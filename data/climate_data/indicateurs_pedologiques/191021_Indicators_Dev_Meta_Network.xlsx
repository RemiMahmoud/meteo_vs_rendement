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"/>
    </mc:Choice>
  </mc:AlternateContent>
  <bookViews>
    <workbookView xWindow="0" yWindow="0" windowWidth="28800" windowHeight="117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B5" i="1" l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2" i="1"/>
  <c r="DB74" i="1"/>
  <c r="DB75" i="1"/>
  <c r="DB76" i="1"/>
  <c r="DB78" i="1"/>
  <c r="DB80" i="1"/>
  <c r="DB82" i="1"/>
  <c r="DB84" i="1"/>
  <c r="DB86" i="1"/>
  <c r="DB88" i="1"/>
  <c r="DB4" i="1"/>
  <c r="CZ57" i="1" l="1"/>
  <c r="CZ55" i="1"/>
</calcChain>
</file>

<file path=xl/comments1.xml><?xml version="1.0" encoding="utf-8"?>
<comments xmlns="http://schemas.openxmlformats.org/spreadsheetml/2006/main">
  <authors>
    <author>adminigepp</author>
  </authors>
  <commentList>
    <comment ref="CW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Quantité d'azote aérien</t>
        </r>
      </text>
    </comment>
    <comment ref="CX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Matière sèche aérienne</t>
        </r>
      </text>
    </comment>
    <comment ref="CY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INN3</t>
        </r>
      </text>
    </comment>
    <comment ref="CZ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Quantité totale d'azote apportée</t>
        </r>
      </text>
    </comment>
    <comment ref="DA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WSC moyenne 3 jours avant ferti / Nombre d'apports</t>
        </r>
      </text>
    </comment>
    <comment ref="DC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Nombre de jours sans plus 3 jours avant ferti</t>
        </r>
      </text>
    </comment>
    <comment ref="DD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Nombre de jours sans pluie 10 jours après la fertilisation</t>
        </r>
      </text>
    </comment>
    <comment ref="DE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Nombre de jours de runoff 10 jours après ferti</t>
        </r>
      </text>
    </comment>
    <comment ref="DF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Cumul de précipitation pendant 10 jours après la ferti</t>
        </r>
      </text>
    </comment>
    <comment ref="DG3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Reliquat N en sortie d'hiver</t>
        </r>
      </text>
    </comment>
    <comment ref="G36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Pas de notation en N1, -1 pour estimation date de flo</t>
        </r>
      </text>
    </comment>
    <comment ref="D54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En l'absence d'infos sols, la RU a été prise comme égale à celle des sites de Selommes car très proches géographiquement</t>
        </r>
      </text>
    </comment>
    <comment ref="D56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En l'absence d'infos sols, la RU a été prise comme égale à celle des sites de Selommes car très proches géographiquement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date de flo estimée par la moyenne des flo N1 de 2017 sauf les 2 essais BGA car les seuls dans le sud de la France et différents des autres</t>
        </r>
      </text>
    </comment>
  </commentList>
</comments>
</file>

<file path=xl/sharedStrings.xml><?xml version="1.0" encoding="utf-8"?>
<sst xmlns="http://schemas.openxmlformats.org/spreadsheetml/2006/main" count="641" uniqueCount="208">
  <si>
    <t>TMIN</t>
  </si>
  <si>
    <t>TMAX</t>
  </si>
  <si>
    <t>TMN</t>
  </si>
  <si>
    <t>FR</t>
  </si>
  <si>
    <t>HT</t>
  </si>
  <si>
    <t>LT</t>
  </si>
  <si>
    <t>LGDD</t>
  </si>
  <si>
    <t>WD</t>
  </si>
  <si>
    <t>WS</t>
  </si>
  <si>
    <t>WSC_MAX</t>
  </si>
  <si>
    <t>SSR</t>
  </si>
  <si>
    <t>LSR</t>
  </si>
  <si>
    <t>VERN</t>
  </si>
  <si>
    <t>T</t>
  </si>
  <si>
    <t>W</t>
  </si>
  <si>
    <t>S</t>
  </si>
  <si>
    <t>FALL</t>
  </si>
  <si>
    <t>P</t>
  </si>
  <si>
    <t>CLIMATIC WINTER</t>
  </si>
  <si>
    <t>BOLTING</t>
  </si>
  <si>
    <t>QPT</t>
  </si>
  <si>
    <t>FLOWERING</t>
  </si>
  <si>
    <t>P300</t>
  </si>
  <si>
    <t>P600</t>
  </si>
  <si>
    <t>P1000</t>
  </si>
  <si>
    <t>PROJET</t>
  </si>
  <si>
    <t>N1</t>
  </si>
  <si>
    <t>N2</t>
  </si>
  <si>
    <t>IPC cat</t>
  </si>
  <si>
    <t>Period</t>
  </si>
  <si>
    <t>ENVIRONNEMENT / PARTENAIRE</t>
  </si>
  <si>
    <t>MD15/BGA15</t>
  </si>
  <si>
    <t>Probe Genotype</t>
  </si>
  <si>
    <t>Montego</t>
  </si>
  <si>
    <t>AN</t>
  </si>
  <si>
    <t>MSA</t>
  </si>
  <si>
    <t>INN</t>
  </si>
  <si>
    <t>NI</t>
  </si>
  <si>
    <t>BI_DRY</t>
  </si>
  <si>
    <t>DRF</t>
  </si>
  <si>
    <t>TS</t>
  </si>
  <si>
    <t>IRF</t>
  </si>
  <si>
    <t>N_Sol</t>
  </si>
  <si>
    <t>W_N</t>
  </si>
  <si>
    <t>N</t>
  </si>
  <si>
    <t>P_N</t>
  </si>
  <si>
    <t>NITROGEN RELATED INDICATORS</t>
  </si>
  <si>
    <t>CH14/EUR14</t>
  </si>
  <si>
    <t>DIJ15/TI15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</si>
  <si>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</si>
  <si>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</si>
  <si>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</si>
  <si>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</si>
  <si>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</si>
  <si>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</si>
  <si>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</si>
  <si>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</si>
  <si>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</si>
  <si>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</si>
  <si>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</si>
  <si>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</si>
  <si>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</si>
  <si>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</si>
  <si>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</si>
  <si>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</si>
  <si>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</si>
  <si>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YEB15/LIM15</t>
  </si>
  <si>
    <t>PRE14/RAGT14</t>
  </si>
  <si>
    <t>VER15/SYN15</t>
  </si>
  <si>
    <t>LR15/INRA15</t>
  </si>
  <si>
    <t>LR16/INRA16</t>
  </si>
  <si>
    <t>PRE15/RAGT15</t>
  </si>
  <si>
    <t>VER14/SYN14</t>
  </si>
  <si>
    <t>SEL14/MAD14</t>
  </si>
  <si>
    <t>SEL15/MAD15</t>
  </si>
  <si>
    <t>LR11/INRA11</t>
  </si>
  <si>
    <t>LR12/INRA12</t>
  </si>
  <si>
    <t>LR13/INRA13</t>
  </si>
  <si>
    <t>MD11/BGA11</t>
  </si>
  <si>
    <t>DIJ13/TI13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</si>
  <si>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</si>
  <si>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</si>
  <si>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</si>
  <si>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</si>
  <si>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</si>
  <si>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</si>
  <si>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</si>
  <si>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</si>
  <si>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</si>
  <si>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</si>
  <si>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</si>
  <si>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</si>
  <si>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LR17/INRA17</t>
  </si>
  <si>
    <t>LR18/INRA18</t>
  </si>
  <si>
    <t>WP4 RAPSO</t>
  </si>
  <si>
    <t>R_316</t>
  </si>
  <si>
    <t>AU117/BGA117</t>
  </si>
  <si>
    <t>AU217/BGA217</t>
  </si>
  <si>
    <t>BLO17/EUR17BLO</t>
  </si>
  <si>
    <t>CHX17/EUR17CHX</t>
  </si>
  <si>
    <t>ORM17/LIM17ORM</t>
  </si>
  <si>
    <t>PR17/LIM17PRE</t>
  </si>
  <si>
    <t>AUT17/MAI17AUT</t>
  </si>
  <si>
    <t>VIL17/MAI17VIL</t>
  </si>
  <si>
    <t>BEA17/R2N17BEA</t>
  </si>
  <si>
    <t>HOU17/R2N17HOU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</si>
  <si>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</si>
  <si>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</si>
  <si>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</si>
  <si>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</si>
  <si>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</si>
  <si>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</si>
  <si>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</si>
  <si>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</si>
  <si>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</si>
  <si>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</si>
  <si>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</si>
  <si>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</si>
  <si>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</si>
  <si>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</si>
  <si>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</si>
  <si>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VER17/SYN17VER</t>
  </si>
  <si>
    <t>CHA17/SYN17CHA</t>
  </si>
  <si>
    <t>DIJ17/TI17BRE</t>
  </si>
  <si>
    <t>BLO18/EUR18BLO</t>
  </si>
  <si>
    <t>CHL18/EU18CHL</t>
  </si>
  <si>
    <t>CV18/LIM18CVCV</t>
  </si>
  <si>
    <t>LIV18/LIM18VRLI</t>
  </si>
  <si>
    <t>AUT18/MAD18FAU</t>
  </si>
  <si>
    <t>VIL18/MAD18FSE</t>
  </si>
  <si>
    <t>CUP18/R2N18CUP</t>
  </si>
  <si>
    <t>LOU18/R2N18LOU</t>
  </si>
  <si>
    <t>PRE18/R2N18PRE</t>
  </si>
  <si>
    <t>CHR18/SYN118CHR</t>
  </si>
  <si>
    <t>CH218/SYN18CH2</t>
  </si>
  <si>
    <t>PUI18/SYN18PUI</t>
  </si>
  <si>
    <t>DTF</t>
  </si>
  <si>
    <t>WSN_MN (%)</t>
  </si>
  <si>
    <t>WSC_MN (mm)</t>
  </si>
  <si>
    <t>WP3 RAPSO CANOPY</t>
  </si>
  <si>
    <t>WP3 RAPSO PANEL</t>
  </si>
  <si>
    <t>GENERGY AM DH</t>
  </si>
  <si>
    <t>AZOTE INITIAL LABEL</t>
  </si>
  <si>
    <t>78T (ExN)</t>
  </si>
  <si>
    <t>-</t>
  </si>
  <si>
    <t>estimation flo</t>
  </si>
  <si>
    <t>* =</t>
  </si>
  <si>
    <t>22/03/2016 (82)</t>
  </si>
  <si>
    <t>03/04/2015 (93)</t>
  </si>
  <si>
    <t>12/04/2015 (102)</t>
  </si>
  <si>
    <t>13/04/2015 (103)</t>
  </si>
  <si>
    <t>14/04/2015 (104)</t>
  </si>
  <si>
    <t>11/04/2015 (101)</t>
  </si>
  <si>
    <t>25/03/2015 (84)</t>
  </si>
  <si>
    <t>26/03/2015 (85)</t>
  </si>
  <si>
    <t>18/03/2014 (77)</t>
  </si>
  <si>
    <t>19/03/2014 (78)</t>
  </si>
  <si>
    <t>01/04/2014 (91)</t>
  </si>
  <si>
    <t>02/04/2014 (92)</t>
  </si>
  <si>
    <t>DELTA DTF (N2-N1)</t>
  </si>
  <si>
    <t>1*</t>
  </si>
  <si>
    <t>18/03/2017 (77)</t>
  </si>
  <si>
    <t>19/03/2017 (78)</t>
  </si>
  <si>
    <t>17/03/2017 (76)</t>
  </si>
  <si>
    <t>26/03/2017 (85)</t>
  </si>
  <si>
    <t>30/03/2017 (89)</t>
  </si>
  <si>
    <t>01/04/2017 (91)</t>
  </si>
  <si>
    <t>31/03/2017 (90)</t>
  </si>
  <si>
    <t>25/03/2017 (84)</t>
  </si>
  <si>
    <t>02/04/2017 (92)</t>
  </si>
  <si>
    <t>29/03/2017 (88)</t>
  </si>
  <si>
    <t>30/03/2017 (89)*</t>
  </si>
  <si>
    <t>29/03/2017 (88)*</t>
  </si>
  <si>
    <t>01/04/2018 (91)</t>
  </si>
  <si>
    <t>02/04/2018 (92)</t>
  </si>
  <si>
    <t>12/04/2018 (102)</t>
  </si>
  <si>
    <t>07/04/2018 (97)</t>
  </si>
  <si>
    <t>09/04/2018 (99)</t>
  </si>
  <si>
    <t>03/04/2018 (93)</t>
  </si>
  <si>
    <t>04/04/2018 (94)</t>
  </si>
  <si>
    <t>11/04/2018 (101)</t>
  </si>
  <si>
    <t>16/04/2018 (106)</t>
  </si>
  <si>
    <t>05/04/2018 (95)</t>
  </si>
  <si>
    <t>08/04/2018 (98)</t>
  </si>
  <si>
    <t>check</t>
  </si>
  <si>
    <t>15/04/2015 (105)</t>
  </si>
  <si>
    <t>17/04/2015 (107)</t>
  </si>
  <si>
    <t>07/04/2014 (97)*</t>
  </si>
  <si>
    <t>06/04/2014 (96)*</t>
  </si>
  <si>
    <t>31/03/2014 (90)</t>
  </si>
  <si>
    <t>10/04/2015 (100)</t>
  </si>
  <si>
    <t>26/03/2014 (85)</t>
  </si>
  <si>
    <t>07/04/2018 (97)*</t>
  </si>
  <si>
    <t>NA</t>
  </si>
  <si>
    <t>06/04/2018 (96)</t>
  </si>
  <si>
    <t>26/03/2011 (86)</t>
  </si>
  <si>
    <t>24/03/2012 (84)</t>
  </si>
  <si>
    <t>25/03/2012 (85)</t>
  </si>
  <si>
    <t>30/03/2013 (89)</t>
  </si>
  <si>
    <t>31/03/2013 (90)</t>
  </si>
  <si>
    <t>20/03/2011 (79)</t>
  </si>
  <si>
    <t>21/03/2019 (80)</t>
  </si>
  <si>
    <t>24/04/2013 (114)</t>
  </si>
  <si>
    <t>23/04/2013 (113)*</t>
  </si>
  <si>
    <t>XXXXXXX</t>
  </si>
  <si>
    <t>XXXXXX</t>
  </si>
  <si>
    <t>WSC_I%</t>
  </si>
  <si>
    <t>WSC_I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</si>
</sst>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lightUp">
        <bgColor theme="0"/>
      </patternFill>
    </fill>
    <fill>
      <patternFill patternType="lightUp">
        <bgColor theme="4" tint="0.79998168889431442"/>
      </patternFill>
    </fill>
    <fill>
      <patternFill patternType="lightUp">
        <bgColor theme="0" tint="-0.14996795556505021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0" fillId="7" borderId="7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0" fontId="0" fillId="21" borderId="6" xfId="0" applyFill="1" applyBorder="1"/>
    <xf numFmtId="0" fontId="0" fillId="21" borderId="7" xfId="0" applyFill="1" applyBorder="1"/>
    <xf numFmtId="0" fontId="0" fillId="21" borderId="8" xfId="0" applyFill="1" applyBorder="1"/>
    <xf numFmtId="0" fontId="0" fillId="19" borderId="6" xfId="0" applyFill="1" applyBorder="1"/>
    <xf numFmtId="0" fontId="0" fillId="19" borderId="7" xfId="0" applyFill="1" applyBorder="1"/>
    <xf numFmtId="0" fontId="0" fillId="19" borderId="8" xfId="0" applyFill="1" applyBorder="1"/>
    <xf numFmtId="0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Fill="1" applyBorder="1"/>
    <xf numFmtId="0" fontId="8" fillId="0" borderId="10" xfId="0" applyFont="1" applyBorder="1"/>
    <xf numFmtId="0" fontId="8" fillId="0" borderId="7" xfId="0" applyFont="1" applyBorder="1"/>
    <xf numFmtId="0" fontId="8" fillId="7" borderId="10" xfId="0" applyFont="1" applyFill="1" applyBorder="1"/>
    <xf numFmtId="0" fontId="8" fillId="7" borderId="7" xfId="0" applyFont="1" applyFill="1" applyBorder="1"/>
    <xf numFmtId="0" fontId="4" fillId="0" borderId="12" xfId="0" applyFont="1" applyBorder="1" applyAlignment="1">
      <alignment horizontal="center" vertical="center" textRotation="255"/>
    </xf>
    <xf numFmtId="0" fontId="4" fillId="0" borderId="14" xfId="0" applyFont="1" applyBorder="1" applyAlignment="1">
      <alignment horizontal="center" vertical="center" textRotation="255"/>
    </xf>
    <xf numFmtId="0" fontId="4" fillId="0" borderId="13" xfId="0" applyFont="1" applyBorder="1" applyAlignment="1">
      <alignment horizontal="center" vertical="center" textRotation="255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18" borderId="16" xfId="0" applyFont="1" applyFill="1" applyBorder="1" applyAlignment="1">
      <alignment horizontal="center"/>
    </xf>
    <xf numFmtId="0" fontId="3" fillId="18" borderId="17" xfId="0" applyFont="1" applyFill="1" applyBorder="1" applyAlignment="1">
      <alignment horizontal="center"/>
    </xf>
    <xf numFmtId="0" fontId="3" fillId="18" borderId="18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/>
    </xf>
    <xf numFmtId="0" fontId="3" fillId="16" borderId="17" xfId="0" applyFont="1" applyFill="1" applyBorder="1" applyAlignment="1">
      <alignment horizontal="center"/>
    </xf>
    <xf numFmtId="0" fontId="3" fillId="16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17" borderId="16" xfId="0" applyFont="1" applyFill="1" applyBorder="1" applyAlignment="1">
      <alignment horizontal="center"/>
    </xf>
    <xf numFmtId="0" fontId="3" fillId="17" borderId="17" xfId="0" applyFont="1" applyFill="1" applyBorder="1" applyAlignment="1">
      <alignment horizontal="center"/>
    </xf>
    <xf numFmtId="0" fontId="3" fillId="17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/>
    </xf>
    <xf numFmtId="0" fontId="3" fillId="15" borderId="17" xfId="0" applyFont="1" applyFill="1" applyBorder="1" applyAlignment="1">
      <alignment horizontal="center"/>
    </xf>
    <xf numFmtId="0" fontId="3" fillId="15" borderId="18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3" fillId="14" borderId="16" xfId="0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  <xf numFmtId="0" fontId="3" fillId="14" borderId="18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0" fillId="0" borderId="10" xfId="0" applyNumberFormat="1" applyBorder="1"/>
    <xf numFmtId="165" fontId="0" fillId="0" borderId="7" xfId="0" applyNumberFormat="1" applyBorder="1"/>
    <xf numFmtId="165" fontId="0" fillId="7" borderId="10" xfId="0" applyNumberFormat="1" applyFill="1" applyBorder="1"/>
    <xf numFmtId="165" fontId="0" fillId="7" borderId="7" xfId="0" applyNumberFormat="1" applyFill="1" applyBorder="1"/>
    <xf numFmtId="1" fontId="0" fillId="0" borderId="10" xfId="0" applyNumberFormat="1" applyBorder="1"/>
    <xf numFmtId="1" fontId="0" fillId="7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G91"/>
  <sheetViews>
    <sheetView tabSelected="1" zoomScale="70" zoomScaleNormal="70" workbookViewId="0">
      <pane xSplit="6" ySplit="3" topLeftCell="CT58" activePane="bottomRight" state="frozen"/>
      <selection pane="topRight" activeCell="E1" sqref="E1"/>
      <selection pane="bottomLeft" activeCell="A4" sqref="A4"/>
      <selection pane="bottomRight" activeCell="CW88" sqref="CW88:DG88"/>
    </sheetView>
  </sheetViews>
  <sheetFormatPr baseColWidth="10" defaultRowHeight="15" x14ac:dyDescent="0.25"/>
  <cols>
    <col min="1" max="1" width="9.28515625" style="1" bestFit="1" customWidth="1"/>
    <col min="2" max="2" width="2.42578125" style="1" customWidth="1"/>
    <col min="3" max="3" width="19.42578125" style="1" bestFit="1" customWidth="1"/>
    <col min="4" max="4" width="19.28515625" style="1" customWidth="1"/>
    <col min="5" max="5" width="19.28515625" style="23" bestFit="1" customWidth="1"/>
    <col min="6" max="6" width="10.5703125" style="1" customWidth="1"/>
    <col min="7" max="7" width="16.85546875" style="1" bestFit="1" customWidth="1"/>
    <col min="8" max="8" width="13.7109375" style="1" customWidth="1"/>
    <col min="9" max="9" width="8.7109375" style="1" bestFit="1" customWidth="1"/>
    <col min="10" max="10" width="11.42578125" style="2"/>
    <col min="11" max="11" width="11.42578125" style="3"/>
    <col min="12" max="12" width="11.42578125" style="3" customWidth="1"/>
    <col min="13" max="22" width="11.42578125" style="3"/>
    <col min="23" max="23" width="11.42578125" style="4"/>
    <col min="24" max="24" width="11.42578125" style="2"/>
    <col min="25" max="36" width="11.42578125" style="3"/>
    <col min="37" max="37" width="11.42578125" style="4"/>
    <col min="38" max="38" width="11.42578125" style="2"/>
    <col min="39" max="49" width="11.42578125" style="3"/>
    <col min="50" max="50" width="11.42578125" style="4"/>
    <col min="51" max="51" width="11.42578125" style="2"/>
    <col min="52" max="63" width="11.42578125" style="3"/>
    <col min="64" max="64" width="11.42578125" style="4"/>
    <col min="65" max="65" width="11.42578125" style="2"/>
    <col min="66" max="75" width="11.42578125" style="3"/>
    <col min="76" max="76" width="11.42578125" style="4"/>
    <col min="77" max="77" width="11.42578125" style="2"/>
    <col min="78" max="87" width="11.42578125" style="3"/>
    <col min="88" max="88" width="11.42578125" style="4"/>
    <col min="89" max="89" width="11.42578125" style="2"/>
    <col min="90" max="99" width="11.42578125" style="3"/>
    <col min="100" max="100" width="11.42578125" style="4"/>
    <col min="112" max="16384" width="11.42578125" style="66"/>
  </cols>
  <sheetData>
    <row r="1" spans="1:111" ht="15.75" thickBot="1" x14ac:dyDescent="0.3">
      <c r="A1" s="74" t="s">
        <v>143</v>
      </c>
      <c r="B1" s="71" t="s">
        <v>184</v>
      </c>
      <c r="C1" s="12"/>
      <c r="D1" s="11"/>
      <c r="E1" s="34"/>
      <c r="F1" s="37" t="s">
        <v>29</v>
      </c>
      <c r="G1" s="12" t="s">
        <v>146</v>
      </c>
      <c r="H1" s="11" t="s">
        <v>145</v>
      </c>
      <c r="I1" s="37"/>
      <c r="J1" s="119" t="s">
        <v>16</v>
      </c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1"/>
      <c r="X1" s="110" t="s">
        <v>18</v>
      </c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2"/>
      <c r="AL1" s="113" t="s">
        <v>19</v>
      </c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5"/>
      <c r="AY1" s="107" t="s">
        <v>21</v>
      </c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9"/>
      <c r="BM1" s="92" t="s">
        <v>22</v>
      </c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4"/>
      <c r="BY1" s="100" t="s">
        <v>23</v>
      </c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102"/>
      <c r="CK1" s="87" t="s">
        <v>24</v>
      </c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9"/>
      <c r="CW1" s="144" t="s">
        <v>46</v>
      </c>
      <c r="CX1" s="145"/>
      <c r="CY1" s="145"/>
      <c r="CZ1" s="145"/>
      <c r="DA1" s="145"/>
      <c r="DB1" s="145"/>
      <c r="DC1" s="145"/>
      <c r="DD1" s="145"/>
      <c r="DE1" s="145"/>
      <c r="DF1" s="145"/>
      <c r="DG1" s="145"/>
    </row>
    <row r="2" spans="1:111" ht="15.75" thickBot="1" x14ac:dyDescent="0.3">
      <c r="A2" s="86"/>
      <c r="B2" s="72"/>
      <c r="C2" s="76" t="s">
        <v>25</v>
      </c>
      <c r="D2" s="125" t="s">
        <v>30</v>
      </c>
      <c r="E2" s="65" t="s">
        <v>28</v>
      </c>
      <c r="F2" s="125" t="s">
        <v>32</v>
      </c>
      <c r="G2" s="38"/>
      <c r="H2" s="35"/>
      <c r="I2" s="36"/>
      <c r="J2" s="95" t="s">
        <v>13</v>
      </c>
      <c r="K2" s="96"/>
      <c r="L2" s="96"/>
      <c r="M2" s="96"/>
      <c r="N2" s="96"/>
      <c r="O2" s="96"/>
      <c r="P2" s="97"/>
      <c r="Q2" s="122" t="s">
        <v>14</v>
      </c>
      <c r="R2" s="123"/>
      <c r="S2" s="123"/>
      <c r="T2" s="123"/>
      <c r="U2" s="124"/>
      <c r="V2" s="98" t="s">
        <v>15</v>
      </c>
      <c r="W2" s="99"/>
      <c r="X2" s="95" t="s">
        <v>13</v>
      </c>
      <c r="Y2" s="96"/>
      <c r="Z2" s="96"/>
      <c r="AA2" s="96"/>
      <c r="AB2" s="96"/>
      <c r="AC2" s="96"/>
      <c r="AD2" s="97"/>
      <c r="AE2" s="122" t="s">
        <v>14</v>
      </c>
      <c r="AF2" s="123"/>
      <c r="AG2" s="123"/>
      <c r="AH2" s="124"/>
      <c r="AI2" s="90" t="s">
        <v>15</v>
      </c>
      <c r="AJ2" s="91"/>
      <c r="AK2" s="40" t="s">
        <v>17</v>
      </c>
      <c r="AL2" s="103" t="s">
        <v>13</v>
      </c>
      <c r="AM2" s="104"/>
      <c r="AN2" s="104"/>
      <c r="AO2" s="104"/>
      <c r="AP2" s="104"/>
      <c r="AQ2" s="104"/>
      <c r="AR2" s="105"/>
      <c r="AS2" s="122" t="s">
        <v>14</v>
      </c>
      <c r="AT2" s="123"/>
      <c r="AU2" s="123"/>
      <c r="AV2" s="124"/>
      <c r="AW2" s="90" t="s">
        <v>15</v>
      </c>
      <c r="AX2" s="91"/>
      <c r="AY2" s="103" t="s">
        <v>13</v>
      </c>
      <c r="AZ2" s="104"/>
      <c r="BA2" s="104"/>
      <c r="BB2" s="104"/>
      <c r="BC2" s="104"/>
      <c r="BD2" s="104"/>
      <c r="BE2" s="105"/>
      <c r="BF2" s="116" t="s">
        <v>14</v>
      </c>
      <c r="BG2" s="117"/>
      <c r="BH2" s="117"/>
      <c r="BI2" s="118"/>
      <c r="BJ2" s="90" t="s">
        <v>15</v>
      </c>
      <c r="BK2" s="106"/>
      <c r="BL2" s="91"/>
      <c r="BM2" s="95" t="s">
        <v>13</v>
      </c>
      <c r="BN2" s="96"/>
      <c r="BO2" s="96"/>
      <c r="BP2" s="96"/>
      <c r="BQ2" s="96"/>
      <c r="BR2" s="97"/>
      <c r="BS2" s="122" t="s">
        <v>14</v>
      </c>
      <c r="BT2" s="123"/>
      <c r="BU2" s="123"/>
      <c r="BV2" s="124"/>
      <c r="BW2" s="90" t="s">
        <v>15</v>
      </c>
      <c r="BX2" s="91"/>
      <c r="BY2" s="95" t="s">
        <v>13</v>
      </c>
      <c r="BZ2" s="96"/>
      <c r="CA2" s="96"/>
      <c r="CB2" s="96"/>
      <c r="CC2" s="96"/>
      <c r="CD2" s="97"/>
      <c r="CE2" s="122" t="s">
        <v>14</v>
      </c>
      <c r="CF2" s="123"/>
      <c r="CG2" s="123"/>
      <c r="CH2" s="124"/>
      <c r="CI2" s="98" t="s">
        <v>15</v>
      </c>
      <c r="CJ2" s="99"/>
      <c r="CK2" s="103" t="s">
        <v>13</v>
      </c>
      <c r="CL2" s="104"/>
      <c r="CM2" s="104"/>
      <c r="CN2" s="104"/>
      <c r="CO2" s="104"/>
      <c r="CP2" s="105"/>
      <c r="CQ2" s="116" t="s">
        <v>14</v>
      </c>
      <c r="CR2" s="117"/>
      <c r="CS2" s="117"/>
      <c r="CT2" s="118"/>
      <c r="CU2" s="98" t="s">
        <v>15</v>
      </c>
      <c r="CV2" s="99"/>
      <c r="CW2" s="127" t="s">
        <v>45</v>
      </c>
      <c r="CX2" s="128"/>
      <c r="CY2" s="129"/>
      <c r="CZ2" s="39" t="s">
        <v>44</v>
      </c>
      <c r="DA2" s="122" t="s">
        <v>43</v>
      </c>
      <c r="DB2" s="123"/>
      <c r="DC2" s="123"/>
      <c r="DD2" s="123"/>
      <c r="DE2" s="123"/>
      <c r="DF2" s="124"/>
      <c r="DG2" s="39" t="s">
        <v>44</v>
      </c>
    </row>
    <row r="3" spans="1:111" ht="30.75" thickBot="1" x14ac:dyDescent="0.3">
      <c r="A3" s="75"/>
      <c r="B3" s="73"/>
      <c r="C3" s="77"/>
      <c r="D3" s="126"/>
      <c r="E3" s="65" t="s">
        <v>142</v>
      </c>
      <c r="F3" s="126"/>
      <c r="G3" s="62" t="s">
        <v>136</v>
      </c>
      <c r="H3" s="63" t="s">
        <v>159</v>
      </c>
      <c r="I3" s="64"/>
      <c r="J3" s="5" t="s">
        <v>0</v>
      </c>
      <c r="K3" s="6" t="s">
        <v>1</v>
      </c>
      <c r="L3" s="6" t="s">
        <v>2</v>
      </c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137</v>
      </c>
      <c r="U3" s="6" t="s">
        <v>138</v>
      </c>
      <c r="V3" s="6" t="s">
        <v>10</v>
      </c>
      <c r="W3" s="7" t="s">
        <v>11</v>
      </c>
      <c r="X3" s="5" t="s">
        <v>0</v>
      </c>
      <c r="Y3" s="6" t="s">
        <v>1</v>
      </c>
      <c r="Z3" s="6" t="s">
        <v>2</v>
      </c>
      <c r="AA3" s="6" t="s">
        <v>3</v>
      </c>
      <c r="AB3" s="6" t="s">
        <v>4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137</v>
      </c>
      <c r="AH3" s="6" t="s">
        <v>138</v>
      </c>
      <c r="AI3" s="6" t="s">
        <v>10</v>
      </c>
      <c r="AJ3" s="6" t="s">
        <v>11</v>
      </c>
      <c r="AK3" s="7" t="s">
        <v>12</v>
      </c>
      <c r="AL3" s="5" t="s">
        <v>0</v>
      </c>
      <c r="AM3" s="6" t="s">
        <v>1</v>
      </c>
      <c r="AN3" s="6" t="s">
        <v>2</v>
      </c>
      <c r="AO3" s="6" t="s">
        <v>3</v>
      </c>
      <c r="AP3" s="6" t="s">
        <v>4</v>
      </c>
      <c r="AQ3" s="6" t="s">
        <v>5</v>
      </c>
      <c r="AR3" s="6" t="s">
        <v>6</v>
      </c>
      <c r="AS3" s="6" t="s">
        <v>7</v>
      </c>
      <c r="AT3" s="6" t="s">
        <v>8</v>
      </c>
      <c r="AU3" s="6" t="s">
        <v>137</v>
      </c>
      <c r="AV3" s="6" t="s">
        <v>138</v>
      </c>
      <c r="AW3" s="6" t="s">
        <v>10</v>
      </c>
      <c r="AX3" s="7" t="s">
        <v>11</v>
      </c>
      <c r="AY3" s="5" t="s">
        <v>0</v>
      </c>
      <c r="AZ3" s="6" t="s">
        <v>1</v>
      </c>
      <c r="BA3" s="6" t="s">
        <v>2</v>
      </c>
      <c r="BB3" s="6" t="s">
        <v>3</v>
      </c>
      <c r="BC3" s="6" t="s">
        <v>4</v>
      </c>
      <c r="BD3" s="6" t="s">
        <v>5</v>
      </c>
      <c r="BE3" s="6" t="s">
        <v>6</v>
      </c>
      <c r="BF3" s="6" t="s">
        <v>7</v>
      </c>
      <c r="BG3" s="6" t="s">
        <v>8</v>
      </c>
      <c r="BH3" s="6" t="s">
        <v>137</v>
      </c>
      <c r="BI3" s="6" t="s">
        <v>138</v>
      </c>
      <c r="BJ3" s="6" t="s">
        <v>10</v>
      </c>
      <c r="BK3" s="6" t="s">
        <v>11</v>
      </c>
      <c r="BL3" s="7" t="s">
        <v>20</v>
      </c>
      <c r="BM3" s="5" t="s">
        <v>0</v>
      </c>
      <c r="BN3" s="6" t="s">
        <v>1</v>
      </c>
      <c r="BO3" s="6" t="s">
        <v>2</v>
      </c>
      <c r="BP3" s="6" t="s">
        <v>3</v>
      </c>
      <c r="BQ3" s="6" t="s">
        <v>4</v>
      </c>
      <c r="BR3" s="6" t="s">
        <v>5</v>
      </c>
      <c r="BS3" s="6" t="s">
        <v>7</v>
      </c>
      <c r="BT3" s="6" t="s">
        <v>8</v>
      </c>
      <c r="BU3" s="6" t="s">
        <v>137</v>
      </c>
      <c r="BV3" s="6" t="s">
        <v>138</v>
      </c>
      <c r="BW3" s="6" t="s">
        <v>10</v>
      </c>
      <c r="BX3" s="7" t="s">
        <v>11</v>
      </c>
      <c r="BY3" s="5" t="s">
        <v>0</v>
      </c>
      <c r="BZ3" s="6" t="s">
        <v>1</v>
      </c>
      <c r="CA3" s="6" t="s">
        <v>2</v>
      </c>
      <c r="CB3" s="6" t="s">
        <v>3</v>
      </c>
      <c r="CC3" s="6" t="s">
        <v>4</v>
      </c>
      <c r="CD3" s="6" t="s">
        <v>5</v>
      </c>
      <c r="CE3" s="6" t="s">
        <v>7</v>
      </c>
      <c r="CF3" s="6" t="s">
        <v>8</v>
      </c>
      <c r="CG3" s="6" t="s">
        <v>137</v>
      </c>
      <c r="CH3" s="6" t="s">
        <v>138</v>
      </c>
      <c r="CI3" s="6" t="s">
        <v>10</v>
      </c>
      <c r="CJ3" s="7" t="s">
        <v>11</v>
      </c>
      <c r="CK3" s="5" t="s">
        <v>0</v>
      </c>
      <c r="CL3" s="6" t="s">
        <v>1</v>
      </c>
      <c r="CM3" s="6" t="s">
        <v>2</v>
      </c>
      <c r="CN3" s="6" t="s">
        <v>3</v>
      </c>
      <c r="CO3" s="6" t="s">
        <v>4</v>
      </c>
      <c r="CP3" s="6" t="s">
        <v>5</v>
      </c>
      <c r="CQ3" s="6" t="s">
        <v>7</v>
      </c>
      <c r="CR3" s="6" t="s">
        <v>8</v>
      </c>
      <c r="CS3" s="6" t="s">
        <v>137</v>
      </c>
      <c r="CT3" s="6" t="s">
        <v>138</v>
      </c>
      <c r="CU3" s="6" t="s">
        <v>10</v>
      </c>
      <c r="CV3" s="7" t="s">
        <v>11</v>
      </c>
      <c r="CW3" s="6" t="s">
        <v>34</v>
      </c>
      <c r="CX3" s="6" t="s">
        <v>35</v>
      </c>
      <c r="CY3" s="6" t="s">
        <v>36</v>
      </c>
      <c r="CZ3" s="6" t="s">
        <v>37</v>
      </c>
      <c r="DA3" s="6" t="s">
        <v>207</v>
      </c>
      <c r="DB3" s="6" t="s">
        <v>206</v>
      </c>
      <c r="DC3" s="6" t="s">
        <v>38</v>
      </c>
      <c r="DD3" s="6" t="s">
        <v>39</v>
      </c>
      <c r="DE3" s="6" t="s">
        <v>40</v>
      </c>
      <c r="DF3" s="6" t="s">
        <v>41</v>
      </c>
      <c r="DG3" s="6" t="s">
        <v>42</v>
      </c>
    </row>
    <row r="4" spans="1:111" x14ac:dyDescent="0.25">
      <c r="A4" s="74" t="s">
        <v>49</v>
      </c>
      <c r="B4" s="82"/>
      <c r="C4" s="76" t="s">
        <v>140</v>
      </c>
      <c r="D4" s="76" t="s">
        <v>31</v>
      </c>
      <c r="E4" s="32" t="s">
        <v>26</v>
      </c>
      <c r="F4" s="76" t="s">
        <v>33</v>
      </c>
      <c r="G4" s="25" t="s">
        <v>153</v>
      </c>
      <c r="H4" s="134">
        <v>1</v>
      </c>
      <c r="I4" s="50">
        <v>2291.3000000000002</v>
      </c>
      <c r="J4" s="9">
        <v>-0.1</v>
      </c>
      <c r="K4" s="8">
        <v>29.6</v>
      </c>
      <c r="L4" s="8">
        <v>15</v>
      </c>
      <c r="M4" s="8">
        <v>1</v>
      </c>
      <c r="N4" s="8">
        <v>25</v>
      </c>
      <c r="O4" s="8">
        <v>15</v>
      </c>
      <c r="P4" s="8">
        <v>1666.4</v>
      </c>
      <c r="Q4" s="8">
        <v>16</v>
      </c>
      <c r="R4" s="8">
        <v>65</v>
      </c>
      <c r="S4" s="8">
        <v>122.1</v>
      </c>
      <c r="T4" s="8">
        <v>23</v>
      </c>
      <c r="U4" s="8">
        <v>28.06</v>
      </c>
      <c r="V4" s="8">
        <v>102739.1</v>
      </c>
      <c r="W4" s="10">
        <v>60</v>
      </c>
      <c r="X4" s="9">
        <v>-4.8</v>
      </c>
      <c r="Y4" s="8">
        <v>15.7</v>
      </c>
      <c r="Z4" s="8">
        <v>4.9000000000000004</v>
      </c>
      <c r="AA4" s="8">
        <v>19</v>
      </c>
      <c r="AB4" s="8">
        <v>0</v>
      </c>
      <c r="AC4" s="8">
        <v>23</v>
      </c>
      <c r="AD4" s="8">
        <v>265.60000000000002</v>
      </c>
      <c r="AE4" s="8">
        <v>0</v>
      </c>
      <c r="AF4" s="8">
        <v>0</v>
      </c>
      <c r="AG4" s="8">
        <v>59.2</v>
      </c>
      <c r="AH4" s="8">
        <v>72.28</v>
      </c>
      <c r="AI4" s="8">
        <v>31464.5</v>
      </c>
      <c r="AJ4" s="8">
        <v>47</v>
      </c>
      <c r="AK4" s="10">
        <v>9</v>
      </c>
      <c r="AL4" s="9">
        <v>0.4</v>
      </c>
      <c r="AM4" s="8">
        <v>18.899999999999999</v>
      </c>
      <c r="AN4" s="8">
        <v>9.1</v>
      </c>
      <c r="AO4" s="8">
        <v>0</v>
      </c>
      <c r="AP4" s="8">
        <v>0</v>
      </c>
      <c r="AQ4" s="8">
        <v>16</v>
      </c>
      <c r="AR4" s="8">
        <v>353.1</v>
      </c>
      <c r="AS4" s="8">
        <v>0</v>
      </c>
      <c r="AT4" s="8">
        <v>0</v>
      </c>
      <c r="AU4" s="8">
        <v>85.8</v>
      </c>
      <c r="AV4" s="8">
        <v>104.78</v>
      </c>
      <c r="AW4" s="8">
        <v>39160.400000000001</v>
      </c>
      <c r="AX4" s="10">
        <v>14</v>
      </c>
      <c r="AY4" s="9">
        <v>1</v>
      </c>
      <c r="AZ4" s="8">
        <v>26.4</v>
      </c>
      <c r="BA4" s="8">
        <v>12.1</v>
      </c>
      <c r="BB4" s="8">
        <v>0</v>
      </c>
      <c r="BC4" s="8">
        <v>1</v>
      </c>
      <c r="BD4" s="8">
        <v>6</v>
      </c>
      <c r="BE4" s="8">
        <v>253.8</v>
      </c>
      <c r="BF4" s="8">
        <v>0</v>
      </c>
      <c r="BG4" s="8">
        <v>0</v>
      </c>
      <c r="BH4" s="8">
        <v>66.900000000000006</v>
      </c>
      <c r="BI4" s="8">
        <v>81.63</v>
      </c>
      <c r="BJ4" s="8">
        <v>38112.1</v>
      </c>
      <c r="BK4" s="8">
        <v>1</v>
      </c>
      <c r="BL4" s="10">
        <v>1.5</v>
      </c>
      <c r="BM4" s="9">
        <v>6.6</v>
      </c>
      <c r="BN4" s="8">
        <v>23.7</v>
      </c>
      <c r="BO4" s="8">
        <v>15.7</v>
      </c>
      <c r="BP4" s="8">
        <v>0</v>
      </c>
      <c r="BQ4" s="8">
        <v>0</v>
      </c>
      <c r="BR4" s="8">
        <v>0</v>
      </c>
      <c r="BS4" s="8">
        <v>0</v>
      </c>
      <c r="BT4" s="8">
        <v>5</v>
      </c>
      <c r="BU4" s="8">
        <v>36.6</v>
      </c>
      <c r="BV4" s="8">
        <v>44.65</v>
      </c>
      <c r="BW4" s="8">
        <v>27356.799999999999</v>
      </c>
      <c r="BX4" s="10">
        <v>3</v>
      </c>
      <c r="BY4" s="9">
        <v>9.9</v>
      </c>
      <c r="BZ4" s="8">
        <v>27.6</v>
      </c>
      <c r="CA4" s="8">
        <v>16.8</v>
      </c>
      <c r="CB4" s="8">
        <v>0</v>
      </c>
      <c r="CC4" s="8">
        <v>4</v>
      </c>
      <c r="CD4" s="8">
        <v>0</v>
      </c>
      <c r="CE4" s="8">
        <v>9</v>
      </c>
      <c r="CF4" s="8">
        <v>9</v>
      </c>
      <c r="CG4" s="8">
        <v>8.3000000000000007</v>
      </c>
      <c r="CH4" s="8">
        <v>10.119999999999999</v>
      </c>
      <c r="CI4" s="8">
        <v>38146.5</v>
      </c>
      <c r="CJ4" s="10">
        <v>1</v>
      </c>
      <c r="CK4" s="9">
        <v>11.3</v>
      </c>
      <c r="CL4" s="8">
        <v>32.799999999999997</v>
      </c>
      <c r="CM4" s="8">
        <v>20.5</v>
      </c>
      <c r="CN4" s="8">
        <v>0</v>
      </c>
      <c r="CO4" s="8">
        <v>10</v>
      </c>
      <c r="CP4" s="8">
        <v>0</v>
      </c>
      <c r="CQ4" s="8">
        <v>19</v>
      </c>
      <c r="CR4" s="8">
        <v>1</v>
      </c>
      <c r="CS4" s="8">
        <v>0.8</v>
      </c>
      <c r="CT4" s="8">
        <v>0.95</v>
      </c>
      <c r="CU4" s="8">
        <v>46713.1</v>
      </c>
      <c r="CV4" s="10">
        <v>0</v>
      </c>
      <c r="CW4" s="8">
        <v>142.19999999999999</v>
      </c>
      <c r="CX4" s="8">
        <v>2.14</v>
      </c>
      <c r="CY4" s="8">
        <v>0.89</v>
      </c>
      <c r="CZ4" s="8">
        <v>52</v>
      </c>
      <c r="DA4" s="8">
        <v>104.58</v>
      </c>
      <c r="DB4" s="146">
        <f>(DA4*100)/S4</f>
        <v>85.651105651105652</v>
      </c>
      <c r="DC4" s="8">
        <v>5</v>
      </c>
      <c r="DD4" s="8">
        <v>5</v>
      </c>
      <c r="DE4" s="8">
        <v>0</v>
      </c>
      <c r="DF4" s="8">
        <v>11.2</v>
      </c>
      <c r="DG4" s="8">
        <v>16</v>
      </c>
    </row>
    <row r="5" spans="1:111" ht="15.75" thickBot="1" x14ac:dyDescent="0.3">
      <c r="A5" s="75"/>
      <c r="B5" s="83"/>
      <c r="C5" s="77"/>
      <c r="D5" s="77"/>
      <c r="E5" s="33" t="s">
        <v>27</v>
      </c>
      <c r="F5" s="77"/>
      <c r="G5" s="24" t="s">
        <v>154</v>
      </c>
      <c r="H5" s="135"/>
      <c r="I5" s="51">
        <v>2299.9</v>
      </c>
      <c r="J5" s="5">
        <v>-0.1</v>
      </c>
      <c r="K5" s="6">
        <v>29.6</v>
      </c>
      <c r="L5" s="6">
        <v>15</v>
      </c>
      <c r="M5" s="6">
        <v>1</v>
      </c>
      <c r="N5" s="6">
        <v>25</v>
      </c>
      <c r="O5" s="6">
        <v>15</v>
      </c>
      <c r="P5" s="6">
        <v>1666.4</v>
      </c>
      <c r="Q5" s="6">
        <v>16</v>
      </c>
      <c r="R5" s="6">
        <v>65</v>
      </c>
      <c r="S5" s="6">
        <v>122.1</v>
      </c>
      <c r="T5" s="6">
        <v>23</v>
      </c>
      <c r="U5" s="6">
        <v>28.06</v>
      </c>
      <c r="V5" s="6">
        <v>102739.1</v>
      </c>
      <c r="W5" s="7">
        <v>60</v>
      </c>
      <c r="X5" s="5">
        <v>-4.8</v>
      </c>
      <c r="Y5" s="6">
        <v>15.7</v>
      </c>
      <c r="Z5" s="6">
        <v>4.9000000000000004</v>
      </c>
      <c r="AA5" s="6">
        <v>19</v>
      </c>
      <c r="AB5" s="6">
        <v>0</v>
      </c>
      <c r="AC5" s="6">
        <v>23</v>
      </c>
      <c r="AD5" s="6">
        <v>265.60000000000002</v>
      </c>
      <c r="AE5" s="6">
        <v>0</v>
      </c>
      <c r="AF5" s="6">
        <v>0</v>
      </c>
      <c r="AG5" s="6">
        <v>59.2</v>
      </c>
      <c r="AH5" s="6">
        <v>72.28</v>
      </c>
      <c r="AI5" s="6">
        <v>31646.5</v>
      </c>
      <c r="AJ5" s="6">
        <v>47</v>
      </c>
      <c r="AK5" s="7">
        <v>9</v>
      </c>
      <c r="AL5" s="5">
        <v>0.4</v>
      </c>
      <c r="AM5" s="6">
        <v>18.899999999999999</v>
      </c>
      <c r="AN5" s="6">
        <v>9</v>
      </c>
      <c r="AO5" s="6">
        <v>0</v>
      </c>
      <c r="AP5" s="6">
        <v>0</v>
      </c>
      <c r="AQ5" s="6">
        <v>17</v>
      </c>
      <c r="AR5" s="6">
        <v>359.3</v>
      </c>
      <c r="AS5" s="6">
        <v>0</v>
      </c>
      <c r="AT5" s="6">
        <v>0</v>
      </c>
      <c r="AU5" s="6">
        <v>85.8</v>
      </c>
      <c r="AV5" s="6">
        <v>104.79</v>
      </c>
      <c r="AW5" s="6">
        <v>40713.599999999999</v>
      </c>
      <c r="AX5" s="7">
        <v>14</v>
      </c>
      <c r="AY5" s="5">
        <v>1</v>
      </c>
      <c r="AZ5" s="6">
        <v>26.4</v>
      </c>
      <c r="BA5" s="6">
        <v>12.6</v>
      </c>
      <c r="BB5" s="6">
        <v>0</v>
      </c>
      <c r="BC5" s="6">
        <v>1</v>
      </c>
      <c r="BD5" s="6">
        <v>5</v>
      </c>
      <c r="BE5" s="6">
        <v>264.7</v>
      </c>
      <c r="BF5" s="6">
        <v>0</v>
      </c>
      <c r="BG5" s="6">
        <v>1</v>
      </c>
      <c r="BH5" s="6">
        <v>64.3</v>
      </c>
      <c r="BI5" s="6">
        <v>78.5</v>
      </c>
      <c r="BJ5" s="6">
        <v>38607.9</v>
      </c>
      <c r="BK5" s="6">
        <v>1</v>
      </c>
      <c r="BL5" s="7">
        <v>1.46</v>
      </c>
      <c r="BM5" s="5">
        <v>6.6</v>
      </c>
      <c r="BN5" s="6">
        <v>23.7</v>
      </c>
      <c r="BO5" s="6">
        <v>15.7</v>
      </c>
      <c r="BP5" s="6">
        <v>0</v>
      </c>
      <c r="BQ5" s="6">
        <v>0</v>
      </c>
      <c r="BR5" s="6">
        <v>0</v>
      </c>
      <c r="BS5" s="6">
        <v>0</v>
      </c>
      <c r="BT5" s="6">
        <v>5</v>
      </c>
      <c r="BU5" s="6">
        <v>36.799999999999997</v>
      </c>
      <c r="BV5" s="6">
        <v>44.99</v>
      </c>
      <c r="BW5" s="6">
        <v>26176.1</v>
      </c>
      <c r="BX5" s="7">
        <v>4</v>
      </c>
      <c r="BY5" s="5">
        <v>9.9</v>
      </c>
      <c r="BZ5" s="6">
        <v>27.6</v>
      </c>
      <c r="CA5" s="6">
        <v>16.7</v>
      </c>
      <c r="CB5" s="6">
        <v>0</v>
      </c>
      <c r="CC5" s="6">
        <v>4</v>
      </c>
      <c r="CD5" s="6">
        <v>0</v>
      </c>
      <c r="CE5" s="6">
        <v>10</v>
      </c>
      <c r="CF5" s="6">
        <v>8</v>
      </c>
      <c r="CG5" s="6">
        <v>6.4</v>
      </c>
      <c r="CH5" s="6">
        <v>7.8</v>
      </c>
      <c r="CI5" s="6">
        <v>39497.1</v>
      </c>
      <c r="CJ5" s="7">
        <v>0</v>
      </c>
      <c r="CK5" s="5">
        <v>12.4</v>
      </c>
      <c r="CL5" s="6">
        <v>32.799999999999997</v>
      </c>
      <c r="CM5" s="6">
        <v>20.7</v>
      </c>
      <c r="CN5" s="6">
        <v>0</v>
      </c>
      <c r="CO5" s="6">
        <v>10</v>
      </c>
      <c r="CP5" s="6">
        <v>0</v>
      </c>
      <c r="CQ5" s="6">
        <v>18</v>
      </c>
      <c r="CR5" s="6">
        <v>2</v>
      </c>
      <c r="CS5" s="6">
        <v>1.5</v>
      </c>
      <c r="CT5" s="6">
        <v>1.83</v>
      </c>
      <c r="CU5" s="6">
        <v>46286.1</v>
      </c>
      <c r="CV5" s="7">
        <v>0</v>
      </c>
      <c r="CW5" s="6">
        <v>223.18</v>
      </c>
      <c r="CX5" s="6">
        <v>2.65</v>
      </c>
      <c r="CY5" s="6">
        <v>1.2</v>
      </c>
      <c r="CZ5" s="6">
        <v>122</v>
      </c>
      <c r="DA5" s="6">
        <v>104.63</v>
      </c>
      <c r="DB5" s="147">
        <f t="shared" ref="DB5:DB68" si="0">(DA5*100)/S5</f>
        <v>85.692055692055689</v>
      </c>
      <c r="DC5" s="6">
        <v>5</v>
      </c>
      <c r="DD5" s="6">
        <v>5</v>
      </c>
      <c r="DE5" s="6">
        <v>0</v>
      </c>
      <c r="DF5" s="6">
        <v>11.2</v>
      </c>
      <c r="DG5" s="6">
        <v>16</v>
      </c>
    </row>
    <row r="6" spans="1:111" x14ac:dyDescent="0.25">
      <c r="A6" s="78" t="s">
        <v>50</v>
      </c>
      <c r="B6" s="82"/>
      <c r="C6" s="80" t="s">
        <v>140</v>
      </c>
      <c r="D6" s="80" t="s">
        <v>47</v>
      </c>
      <c r="E6" s="32" t="s">
        <v>26</v>
      </c>
      <c r="F6" s="80" t="s">
        <v>33</v>
      </c>
      <c r="G6" s="26" t="s">
        <v>155</v>
      </c>
      <c r="H6" s="130">
        <v>1</v>
      </c>
      <c r="I6" s="52">
        <v>1776.9</v>
      </c>
      <c r="J6" s="13">
        <v>-0.2</v>
      </c>
      <c r="K6" s="14">
        <v>31.3</v>
      </c>
      <c r="L6" s="14">
        <v>14</v>
      </c>
      <c r="M6" s="14">
        <v>1</v>
      </c>
      <c r="N6" s="14">
        <v>5</v>
      </c>
      <c r="O6" s="14">
        <v>5</v>
      </c>
      <c r="P6" s="14">
        <v>1039.4000000000001</v>
      </c>
      <c r="Q6" s="14">
        <v>3</v>
      </c>
      <c r="R6" s="14">
        <v>28</v>
      </c>
      <c r="S6" s="14">
        <v>122.1</v>
      </c>
      <c r="T6" s="14">
        <v>52.3</v>
      </c>
      <c r="U6" s="14">
        <v>63.9</v>
      </c>
      <c r="V6" s="14">
        <v>59193.599999999999</v>
      </c>
      <c r="W6" s="15">
        <v>48</v>
      </c>
      <c r="X6" s="13">
        <v>-3.5</v>
      </c>
      <c r="Y6" s="14">
        <v>13.2</v>
      </c>
      <c r="Z6" s="14">
        <v>4.5</v>
      </c>
      <c r="AA6" s="14">
        <v>14</v>
      </c>
      <c r="AB6" s="14">
        <v>0</v>
      </c>
      <c r="AC6" s="14">
        <v>28</v>
      </c>
      <c r="AD6" s="14">
        <v>216.5</v>
      </c>
      <c r="AE6" s="14">
        <v>0</v>
      </c>
      <c r="AF6" s="14">
        <v>0</v>
      </c>
      <c r="AG6" s="14">
        <v>96.8</v>
      </c>
      <c r="AH6" s="14">
        <v>118.17</v>
      </c>
      <c r="AI6" s="14">
        <v>19324.8</v>
      </c>
      <c r="AJ6" s="14">
        <v>48</v>
      </c>
      <c r="AK6" s="15">
        <v>38</v>
      </c>
      <c r="AL6" s="13">
        <v>-1.6</v>
      </c>
      <c r="AM6" s="14">
        <v>18.8</v>
      </c>
      <c r="AN6" s="14">
        <v>6.9</v>
      </c>
      <c r="AO6" s="14">
        <v>5</v>
      </c>
      <c r="AP6" s="14">
        <v>0</v>
      </c>
      <c r="AQ6" s="14">
        <v>43</v>
      </c>
      <c r="AR6" s="14">
        <v>512.9</v>
      </c>
      <c r="AS6" s="14">
        <v>0</v>
      </c>
      <c r="AT6" s="14">
        <v>0</v>
      </c>
      <c r="AU6" s="14">
        <v>96.8</v>
      </c>
      <c r="AV6" s="14">
        <v>118.21</v>
      </c>
      <c r="AW6" s="14">
        <v>49161.8</v>
      </c>
      <c r="AX6" s="15">
        <v>55</v>
      </c>
      <c r="AY6" s="13">
        <v>-1.1000000000000001</v>
      </c>
      <c r="AZ6" s="14">
        <v>23.3</v>
      </c>
      <c r="BA6" s="14">
        <v>10.1</v>
      </c>
      <c r="BB6" s="14">
        <v>2</v>
      </c>
      <c r="BC6" s="14">
        <v>0</v>
      </c>
      <c r="BD6" s="14">
        <v>8</v>
      </c>
      <c r="BE6" s="14">
        <v>212.7</v>
      </c>
      <c r="BF6" s="14">
        <v>0</v>
      </c>
      <c r="BG6" s="14">
        <v>0</v>
      </c>
      <c r="BH6" s="14">
        <v>63.6</v>
      </c>
      <c r="BI6" s="14">
        <v>77.66</v>
      </c>
      <c r="BJ6" s="14">
        <v>25029.9</v>
      </c>
      <c r="BK6" s="14">
        <v>4</v>
      </c>
      <c r="BL6" s="15">
        <v>1.18</v>
      </c>
      <c r="BM6" s="13">
        <v>1.8</v>
      </c>
      <c r="BN6" s="14">
        <v>20.399999999999999</v>
      </c>
      <c r="BO6" s="14">
        <v>10.8</v>
      </c>
      <c r="BP6" s="14">
        <v>0</v>
      </c>
      <c r="BQ6" s="14">
        <v>0</v>
      </c>
      <c r="BR6" s="14">
        <v>8</v>
      </c>
      <c r="BS6" s="14">
        <v>0</v>
      </c>
      <c r="BT6" s="14">
        <v>14</v>
      </c>
      <c r="BU6" s="14">
        <v>31.6</v>
      </c>
      <c r="BV6" s="14">
        <v>38.630000000000003</v>
      </c>
      <c r="BW6" s="14">
        <v>43264.3</v>
      </c>
      <c r="BX6" s="15">
        <v>5</v>
      </c>
      <c r="BY6" s="13">
        <v>6.3</v>
      </c>
      <c r="BZ6" s="14">
        <v>24.3</v>
      </c>
      <c r="CA6" s="14">
        <v>13.2</v>
      </c>
      <c r="CB6" s="14">
        <v>0</v>
      </c>
      <c r="CC6" s="14">
        <v>0</v>
      </c>
      <c r="CD6" s="14">
        <v>0</v>
      </c>
      <c r="CE6" s="14">
        <v>0</v>
      </c>
      <c r="CF6" s="14">
        <v>23</v>
      </c>
      <c r="CG6" s="14">
        <v>25.1</v>
      </c>
      <c r="CH6" s="14">
        <v>30.68</v>
      </c>
      <c r="CI6" s="14">
        <v>39323.4</v>
      </c>
      <c r="CJ6" s="15">
        <v>3</v>
      </c>
      <c r="CK6" s="13">
        <v>7.9</v>
      </c>
      <c r="CL6" s="14">
        <v>28.7</v>
      </c>
      <c r="CM6" s="14">
        <v>18</v>
      </c>
      <c r="CN6" s="14">
        <v>0</v>
      </c>
      <c r="CO6" s="14">
        <v>7</v>
      </c>
      <c r="CP6" s="14">
        <v>0</v>
      </c>
      <c r="CQ6" s="14">
        <v>6</v>
      </c>
      <c r="CR6" s="14">
        <v>17</v>
      </c>
      <c r="CS6" s="14">
        <v>11.5</v>
      </c>
      <c r="CT6" s="14">
        <v>14.06</v>
      </c>
      <c r="CU6" s="14">
        <v>49636.800000000003</v>
      </c>
      <c r="CV6" s="15">
        <v>0</v>
      </c>
      <c r="CW6" s="69">
        <v>311.87</v>
      </c>
      <c r="CX6" s="69">
        <v>4.8600000000000003</v>
      </c>
      <c r="CY6" s="69">
        <v>0.99</v>
      </c>
      <c r="CZ6" s="14">
        <v>40</v>
      </c>
      <c r="DA6" s="14">
        <v>88.22</v>
      </c>
      <c r="DB6" s="148">
        <f t="shared" si="0"/>
        <v>72.252252252252262</v>
      </c>
      <c r="DC6" s="14">
        <v>10</v>
      </c>
      <c r="DD6" s="14">
        <v>4</v>
      </c>
      <c r="DE6" s="14">
        <v>0</v>
      </c>
      <c r="DF6" s="14">
        <v>14.3</v>
      </c>
      <c r="DG6" s="14">
        <v>7</v>
      </c>
    </row>
    <row r="7" spans="1:111" ht="15.75" thickBot="1" x14ac:dyDescent="0.3">
      <c r="A7" s="79"/>
      <c r="B7" s="83"/>
      <c r="C7" s="81"/>
      <c r="D7" s="81"/>
      <c r="E7" s="33" t="s">
        <v>27</v>
      </c>
      <c r="F7" s="81"/>
      <c r="G7" s="27" t="s">
        <v>156</v>
      </c>
      <c r="H7" s="131"/>
      <c r="I7" s="53">
        <v>1786.1</v>
      </c>
      <c r="J7" s="16">
        <v>-0.2</v>
      </c>
      <c r="K7" s="17">
        <v>31.3</v>
      </c>
      <c r="L7" s="17">
        <v>14</v>
      </c>
      <c r="M7" s="17">
        <v>1</v>
      </c>
      <c r="N7" s="17">
        <v>5</v>
      </c>
      <c r="O7" s="17">
        <v>5</v>
      </c>
      <c r="P7" s="17">
        <v>1039.4000000000001</v>
      </c>
      <c r="Q7" s="17">
        <v>3</v>
      </c>
      <c r="R7" s="17">
        <v>28</v>
      </c>
      <c r="S7" s="17">
        <v>122.1</v>
      </c>
      <c r="T7" s="17">
        <v>52.3</v>
      </c>
      <c r="U7" s="17">
        <v>63.9</v>
      </c>
      <c r="V7" s="17">
        <v>59193.599999999999</v>
      </c>
      <c r="W7" s="18">
        <v>48</v>
      </c>
      <c r="X7" s="16">
        <v>-3.5</v>
      </c>
      <c r="Y7" s="17">
        <v>13.2</v>
      </c>
      <c r="Z7" s="17">
        <v>4.5</v>
      </c>
      <c r="AA7" s="17">
        <v>14</v>
      </c>
      <c r="AB7" s="17">
        <v>0</v>
      </c>
      <c r="AC7" s="17">
        <v>28</v>
      </c>
      <c r="AD7" s="17">
        <v>216.5</v>
      </c>
      <c r="AE7" s="17">
        <v>0</v>
      </c>
      <c r="AF7" s="17">
        <v>0</v>
      </c>
      <c r="AG7" s="17">
        <v>96.8</v>
      </c>
      <c r="AH7" s="17">
        <v>118.17</v>
      </c>
      <c r="AI7" s="17">
        <v>19324.8</v>
      </c>
      <c r="AJ7" s="17">
        <v>48</v>
      </c>
      <c r="AK7" s="18">
        <v>38</v>
      </c>
      <c r="AL7" s="16">
        <v>-1.6</v>
      </c>
      <c r="AM7" s="17">
        <v>18.8</v>
      </c>
      <c r="AN7" s="17">
        <v>6.9</v>
      </c>
      <c r="AO7" s="17">
        <v>5</v>
      </c>
      <c r="AP7" s="17">
        <v>0</v>
      </c>
      <c r="AQ7" s="17">
        <v>44</v>
      </c>
      <c r="AR7" s="17">
        <v>521</v>
      </c>
      <c r="AS7" s="17">
        <v>0</v>
      </c>
      <c r="AT7" s="17">
        <v>0</v>
      </c>
      <c r="AU7" s="17">
        <v>96.5</v>
      </c>
      <c r="AV7" s="17">
        <v>117.8</v>
      </c>
      <c r="AW7" s="17">
        <v>50433.5</v>
      </c>
      <c r="AX7" s="18">
        <v>55</v>
      </c>
      <c r="AY7" s="16">
        <v>-1.1000000000000001</v>
      </c>
      <c r="AZ7" s="17">
        <v>23.3</v>
      </c>
      <c r="BA7" s="17">
        <v>10.199999999999999</v>
      </c>
      <c r="BB7" s="17">
        <v>2</v>
      </c>
      <c r="BC7" s="17">
        <v>0</v>
      </c>
      <c r="BD7" s="17">
        <v>7</v>
      </c>
      <c r="BE7" s="17">
        <v>214.8</v>
      </c>
      <c r="BF7" s="17">
        <v>0</v>
      </c>
      <c r="BG7" s="17">
        <v>0</v>
      </c>
      <c r="BH7" s="17">
        <v>62.6</v>
      </c>
      <c r="BI7" s="17">
        <v>76.47</v>
      </c>
      <c r="BJ7" s="17">
        <v>25583.8</v>
      </c>
      <c r="BK7" s="17">
        <v>4</v>
      </c>
      <c r="BL7" s="18">
        <v>1.19</v>
      </c>
      <c r="BM7" s="16">
        <v>1.8</v>
      </c>
      <c r="BN7" s="17">
        <v>20.399999999999999</v>
      </c>
      <c r="BO7" s="17">
        <v>11</v>
      </c>
      <c r="BP7" s="17">
        <v>0</v>
      </c>
      <c r="BQ7" s="17">
        <v>0</v>
      </c>
      <c r="BR7" s="17">
        <v>8</v>
      </c>
      <c r="BS7" s="17">
        <v>0</v>
      </c>
      <c r="BT7" s="17">
        <v>15</v>
      </c>
      <c r="BU7" s="17">
        <v>31.1</v>
      </c>
      <c r="BV7" s="17">
        <v>37.950000000000003</v>
      </c>
      <c r="BW7" s="17">
        <v>42101.599999999999</v>
      </c>
      <c r="BX7" s="18">
        <v>6</v>
      </c>
      <c r="BY7" s="16">
        <v>6.3</v>
      </c>
      <c r="BZ7" s="17">
        <v>24.3</v>
      </c>
      <c r="CA7" s="17">
        <v>13.2</v>
      </c>
      <c r="CB7" s="17">
        <v>0</v>
      </c>
      <c r="CC7" s="17">
        <v>0</v>
      </c>
      <c r="CD7" s="17">
        <v>0</v>
      </c>
      <c r="CE7" s="17">
        <v>0</v>
      </c>
      <c r="CF7" s="17">
        <v>23</v>
      </c>
      <c r="CG7" s="17">
        <v>24.4</v>
      </c>
      <c r="CH7" s="17">
        <v>29.81</v>
      </c>
      <c r="CI7" s="17">
        <v>41027.9</v>
      </c>
      <c r="CJ7" s="18">
        <v>2</v>
      </c>
      <c r="CK7" s="16">
        <v>7.9</v>
      </c>
      <c r="CL7" s="17">
        <v>28.7</v>
      </c>
      <c r="CM7" s="17">
        <v>18.2</v>
      </c>
      <c r="CN7" s="17">
        <v>0</v>
      </c>
      <c r="CO7" s="17">
        <v>7</v>
      </c>
      <c r="CP7" s="17">
        <v>0</v>
      </c>
      <c r="CQ7" s="17">
        <v>6</v>
      </c>
      <c r="CR7" s="17">
        <v>16</v>
      </c>
      <c r="CS7" s="17">
        <v>10.4</v>
      </c>
      <c r="CT7" s="17">
        <v>12.7</v>
      </c>
      <c r="CU7" s="17">
        <v>47269.4</v>
      </c>
      <c r="CV7" s="18">
        <v>0</v>
      </c>
      <c r="CW7" s="70">
        <v>446.5</v>
      </c>
      <c r="CX7" s="70">
        <v>7.69</v>
      </c>
      <c r="CY7" s="70">
        <v>1.56</v>
      </c>
      <c r="CZ7" s="17">
        <v>140</v>
      </c>
      <c r="DA7" s="17">
        <v>104.7</v>
      </c>
      <c r="DB7" s="149">
        <f t="shared" si="0"/>
        <v>85.749385749385752</v>
      </c>
      <c r="DC7" s="17">
        <v>5</v>
      </c>
      <c r="DD7" s="17">
        <v>3</v>
      </c>
      <c r="DE7" s="17">
        <v>2</v>
      </c>
      <c r="DF7" s="17">
        <v>20.6</v>
      </c>
      <c r="DG7" s="17">
        <v>7</v>
      </c>
    </row>
    <row r="8" spans="1:111" x14ac:dyDescent="0.25">
      <c r="A8" s="74" t="s">
        <v>51</v>
      </c>
      <c r="B8" s="82"/>
      <c r="C8" s="76" t="s">
        <v>140</v>
      </c>
      <c r="D8" s="76" t="s">
        <v>48</v>
      </c>
      <c r="E8" s="32" t="s">
        <v>26</v>
      </c>
      <c r="F8" s="76" t="s">
        <v>33</v>
      </c>
      <c r="G8" s="25" t="s">
        <v>152</v>
      </c>
      <c r="H8" s="136">
        <v>0</v>
      </c>
      <c r="I8" s="54">
        <v>1727.5</v>
      </c>
      <c r="J8" s="9">
        <v>0.7</v>
      </c>
      <c r="K8" s="8">
        <v>25.9</v>
      </c>
      <c r="L8" s="8">
        <v>12.7</v>
      </c>
      <c r="M8" s="8">
        <v>0</v>
      </c>
      <c r="N8" s="8">
        <v>6</v>
      </c>
      <c r="O8" s="8">
        <v>10</v>
      </c>
      <c r="P8" s="8">
        <v>1083.0999999999999</v>
      </c>
      <c r="Q8" s="8">
        <v>2</v>
      </c>
      <c r="R8" s="8">
        <v>32</v>
      </c>
      <c r="S8" s="8">
        <v>122.1</v>
      </c>
      <c r="T8" s="8">
        <v>55.8</v>
      </c>
      <c r="U8" s="8">
        <v>68.11</v>
      </c>
      <c r="V8" s="8">
        <v>61859.1</v>
      </c>
      <c r="W8" s="10">
        <v>57</v>
      </c>
      <c r="X8" s="9">
        <v>-6.9</v>
      </c>
      <c r="Y8" s="8">
        <v>13</v>
      </c>
      <c r="Z8" s="8">
        <v>3.3</v>
      </c>
      <c r="AA8" s="8">
        <v>32</v>
      </c>
      <c r="AB8" s="8">
        <v>0</v>
      </c>
      <c r="AC8" s="8">
        <v>49</v>
      </c>
      <c r="AD8" s="8">
        <v>323.10000000000002</v>
      </c>
      <c r="AE8" s="8">
        <v>0</v>
      </c>
      <c r="AF8" s="8">
        <v>0</v>
      </c>
      <c r="AG8" s="8">
        <v>98.8</v>
      </c>
      <c r="AH8" s="8">
        <v>120.7</v>
      </c>
      <c r="AI8" s="8">
        <v>31517.5</v>
      </c>
      <c r="AJ8" s="8">
        <v>84</v>
      </c>
      <c r="AK8" s="10">
        <v>40</v>
      </c>
      <c r="AL8" s="9">
        <v>-2.7</v>
      </c>
      <c r="AM8" s="8">
        <v>19.399999999999999</v>
      </c>
      <c r="AN8" s="8">
        <v>7.5</v>
      </c>
      <c r="AO8" s="8">
        <v>6</v>
      </c>
      <c r="AP8" s="8">
        <v>0</v>
      </c>
      <c r="AQ8" s="8">
        <v>23</v>
      </c>
      <c r="AR8" s="8">
        <v>309.10000000000002</v>
      </c>
      <c r="AS8" s="8">
        <v>0</v>
      </c>
      <c r="AT8" s="8">
        <v>0</v>
      </c>
      <c r="AU8" s="8">
        <v>84.2</v>
      </c>
      <c r="AV8" s="8">
        <v>102.86</v>
      </c>
      <c r="AW8" s="8">
        <v>46956.4</v>
      </c>
      <c r="AX8" s="10">
        <v>16</v>
      </c>
      <c r="AY8" s="9">
        <v>2.8</v>
      </c>
      <c r="AZ8" s="8">
        <v>23.6</v>
      </c>
      <c r="BA8" s="8">
        <v>13</v>
      </c>
      <c r="BB8" s="8">
        <v>0</v>
      </c>
      <c r="BC8" s="8">
        <v>0</v>
      </c>
      <c r="BD8" s="8">
        <v>1</v>
      </c>
      <c r="BE8" s="8">
        <v>273.8</v>
      </c>
      <c r="BF8" s="8">
        <v>0</v>
      </c>
      <c r="BG8" s="8">
        <v>1</v>
      </c>
      <c r="BH8" s="8">
        <v>49.1</v>
      </c>
      <c r="BI8" s="8">
        <v>59.98</v>
      </c>
      <c r="BJ8" s="8">
        <v>34397.199999999997</v>
      </c>
      <c r="BK8" s="8">
        <v>5</v>
      </c>
      <c r="BL8" s="10">
        <v>1.26</v>
      </c>
      <c r="BM8" s="9">
        <v>5.6</v>
      </c>
      <c r="BN8" s="8">
        <v>26.9</v>
      </c>
      <c r="BO8" s="8">
        <v>14.8</v>
      </c>
      <c r="BP8" s="8">
        <v>0</v>
      </c>
      <c r="BQ8" s="8">
        <v>3</v>
      </c>
      <c r="BR8" s="8">
        <v>0</v>
      </c>
      <c r="BS8" s="8">
        <v>0</v>
      </c>
      <c r="BT8" s="8">
        <v>1</v>
      </c>
      <c r="BU8" s="8">
        <v>60.9</v>
      </c>
      <c r="BV8" s="8">
        <v>74.34</v>
      </c>
      <c r="BW8" s="8">
        <v>37483.199999999997</v>
      </c>
      <c r="BX8" s="10">
        <v>3</v>
      </c>
      <c r="BY8" s="9">
        <v>5.9</v>
      </c>
      <c r="BZ8" s="8">
        <v>32.5</v>
      </c>
      <c r="CA8" s="8">
        <v>18.2</v>
      </c>
      <c r="CB8" s="8">
        <v>0</v>
      </c>
      <c r="CC8" s="8">
        <v>6</v>
      </c>
      <c r="CD8" s="8">
        <v>0</v>
      </c>
      <c r="CE8" s="8">
        <v>5</v>
      </c>
      <c r="CF8" s="8">
        <v>12</v>
      </c>
      <c r="CG8" s="8">
        <v>11</v>
      </c>
      <c r="CH8" s="8">
        <v>13.48</v>
      </c>
      <c r="CI8" s="8">
        <v>35285.599999999999</v>
      </c>
      <c r="CJ8" s="10">
        <v>0</v>
      </c>
      <c r="CK8" s="9">
        <v>9.1999999999999993</v>
      </c>
      <c r="CL8" s="8">
        <v>30.3</v>
      </c>
      <c r="CM8" s="8">
        <v>19.100000000000001</v>
      </c>
      <c r="CN8" s="8">
        <v>0</v>
      </c>
      <c r="CO8" s="8">
        <v>9</v>
      </c>
      <c r="CP8" s="8">
        <v>0</v>
      </c>
      <c r="CQ8" s="8">
        <v>3</v>
      </c>
      <c r="CR8" s="8">
        <v>18</v>
      </c>
      <c r="CS8" s="8">
        <v>13.7</v>
      </c>
      <c r="CT8" s="8">
        <v>16.75</v>
      </c>
      <c r="CU8" s="8">
        <v>39231.4</v>
      </c>
      <c r="CV8" s="10">
        <v>1</v>
      </c>
      <c r="CW8" s="8">
        <v>300.52</v>
      </c>
      <c r="CX8" s="8">
        <v>4.2</v>
      </c>
      <c r="CY8" s="8">
        <v>1.1499999999999999</v>
      </c>
      <c r="CZ8" s="8">
        <v>60</v>
      </c>
      <c r="DA8" s="8">
        <v>110.25</v>
      </c>
      <c r="DB8" s="146">
        <f t="shared" si="0"/>
        <v>90.294840294840299</v>
      </c>
      <c r="DC8" s="8">
        <v>6</v>
      </c>
      <c r="DD8" s="8">
        <v>4.5</v>
      </c>
      <c r="DE8" s="8">
        <v>3</v>
      </c>
      <c r="DF8" s="8">
        <v>17.100000000000001</v>
      </c>
      <c r="DG8" s="8">
        <v>45.8</v>
      </c>
    </row>
    <row r="9" spans="1:111" ht="15.75" thickBot="1" x14ac:dyDescent="0.3">
      <c r="A9" s="75"/>
      <c r="B9" s="83"/>
      <c r="C9" s="77"/>
      <c r="D9" s="77"/>
      <c r="E9" s="33" t="s">
        <v>27</v>
      </c>
      <c r="F9" s="77"/>
      <c r="G9" s="24" t="s">
        <v>152</v>
      </c>
      <c r="H9" s="137"/>
      <c r="I9" s="55">
        <v>1727.5</v>
      </c>
      <c r="J9" s="5">
        <v>0.7</v>
      </c>
      <c r="K9" s="6">
        <v>25.9</v>
      </c>
      <c r="L9" s="6">
        <v>12.7</v>
      </c>
      <c r="M9" s="6">
        <v>0</v>
      </c>
      <c r="N9" s="6">
        <v>6</v>
      </c>
      <c r="O9" s="6">
        <v>10</v>
      </c>
      <c r="P9" s="6">
        <v>1083.0999999999999</v>
      </c>
      <c r="Q9" s="6">
        <v>2</v>
      </c>
      <c r="R9" s="6">
        <v>32</v>
      </c>
      <c r="S9" s="6">
        <v>122.1</v>
      </c>
      <c r="T9" s="6">
        <v>55.8</v>
      </c>
      <c r="U9" s="6">
        <v>68.11</v>
      </c>
      <c r="V9" s="6">
        <v>61859.1</v>
      </c>
      <c r="W9" s="7">
        <v>57</v>
      </c>
      <c r="X9" s="5">
        <v>-6.9</v>
      </c>
      <c r="Y9" s="6">
        <v>13</v>
      </c>
      <c r="Z9" s="6">
        <v>3.3</v>
      </c>
      <c r="AA9" s="6">
        <v>32</v>
      </c>
      <c r="AB9" s="6">
        <v>0</v>
      </c>
      <c r="AC9" s="6">
        <v>49</v>
      </c>
      <c r="AD9" s="6">
        <v>323.10000000000002</v>
      </c>
      <c r="AE9" s="6">
        <v>0</v>
      </c>
      <c r="AF9" s="6">
        <v>0</v>
      </c>
      <c r="AG9" s="6">
        <v>98.8</v>
      </c>
      <c r="AH9" s="6">
        <v>120.7</v>
      </c>
      <c r="AI9" s="6">
        <v>31517.5</v>
      </c>
      <c r="AJ9" s="6">
        <v>84</v>
      </c>
      <c r="AK9" s="7">
        <v>40</v>
      </c>
      <c r="AL9" s="5">
        <v>-2.7</v>
      </c>
      <c r="AM9" s="6">
        <v>19.399999999999999</v>
      </c>
      <c r="AN9" s="6">
        <v>7.5</v>
      </c>
      <c r="AO9" s="6">
        <v>6</v>
      </c>
      <c r="AP9" s="6">
        <v>0</v>
      </c>
      <c r="AQ9" s="6">
        <v>23</v>
      </c>
      <c r="AR9" s="6">
        <v>309.10000000000002</v>
      </c>
      <c r="AS9" s="6">
        <v>0</v>
      </c>
      <c r="AT9" s="6">
        <v>0</v>
      </c>
      <c r="AU9" s="6">
        <v>84.2</v>
      </c>
      <c r="AV9" s="6">
        <v>102.86</v>
      </c>
      <c r="AW9" s="6">
        <v>46956.4</v>
      </c>
      <c r="AX9" s="7">
        <v>16</v>
      </c>
      <c r="AY9" s="5">
        <v>2.8</v>
      </c>
      <c r="AZ9" s="6">
        <v>23.6</v>
      </c>
      <c r="BA9" s="6">
        <v>13</v>
      </c>
      <c r="BB9" s="6">
        <v>0</v>
      </c>
      <c r="BC9" s="6">
        <v>0</v>
      </c>
      <c r="BD9" s="6">
        <v>1</v>
      </c>
      <c r="BE9" s="6">
        <v>273.8</v>
      </c>
      <c r="BF9" s="6">
        <v>0</v>
      </c>
      <c r="BG9" s="6">
        <v>1</v>
      </c>
      <c r="BH9" s="6">
        <v>49.1</v>
      </c>
      <c r="BI9" s="6">
        <v>59.98</v>
      </c>
      <c r="BJ9" s="6">
        <v>34397.199999999997</v>
      </c>
      <c r="BK9" s="6">
        <v>5</v>
      </c>
      <c r="BL9" s="7">
        <v>1.26</v>
      </c>
      <c r="BM9" s="5">
        <v>5.6</v>
      </c>
      <c r="BN9" s="6">
        <v>26.9</v>
      </c>
      <c r="BO9" s="6">
        <v>14.8</v>
      </c>
      <c r="BP9" s="6">
        <v>0</v>
      </c>
      <c r="BQ9" s="6">
        <v>3</v>
      </c>
      <c r="BR9" s="6">
        <v>0</v>
      </c>
      <c r="BS9" s="6">
        <v>0</v>
      </c>
      <c r="BT9" s="6">
        <v>1</v>
      </c>
      <c r="BU9" s="6">
        <v>60.9</v>
      </c>
      <c r="BV9" s="6">
        <v>74.34</v>
      </c>
      <c r="BW9" s="6">
        <v>37483.199999999997</v>
      </c>
      <c r="BX9" s="7">
        <v>3</v>
      </c>
      <c r="BY9" s="5">
        <v>5.9</v>
      </c>
      <c r="BZ9" s="6">
        <v>32.5</v>
      </c>
      <c r="CA9" s="6">
        <v>18.2</v>
      </c>
      <c r="CB9" s="6">
        <v>0</v>
      </c>
      <c r="CC9" s="6">
        <v>6</v>
      </c>
      <c r="CD9" s="6">
        <v>0</v>
      </c>
      <c r="CE9" s="6">
        <v>5</v>
      </c>
      <c r="CF9" s="6">
        <v>12</v>
      </c>
      <c r="CG9" s="6">
        <v>11</v>
      </c>
      <c r="CH9" s="6">
        <v>13.48</v>
      </c>
      <c r="CI9" s="6">
        <v>35285.599999999999</v>
      </c>
      <c r="CJ9" s="7">
        <v>0</v>
      </c>
      <c r="CK9" s="5">
        <v>9.1999999999999993</v>
      </c>
      <c r="CL9" s="6">
        <v>30.3</v>
      </c>
      <c r="CM9" s="6">
        <v>19.100000000000001</v>
      </c>
      <c r="CN9" s="6">
        <v>0</v>
      </c>
      <c r="CO9" s="6">
        <v>9</v>
      </c>
      <c r="CP9" s="6">
        <v>0</v>
      </c>
      <c r="CQ9" s="6">
        <v>3</v>
      </c>
      <c r="CR9" s="6">
        <v>18</v>
      </c>
      <c r="CS9" s="6">
        <v>13.7</v>
      </c>
      <c r="CT9" s="6">
        <v>16.75</v>
      </c>
      <c r="CU9" s="6">
        <v>39231.4</v>
      </c>
      <c r="CV9" s="7">
        <v>1</v>
      </c>
      <c r="CW9" s="6">
        <v>357.19</v>
      </c>
      <c r="CX9" s="6">
        <v>4.29</v>
      </c>
      <c r="CY9" s="6">
        <v>1.3</v>
      </c>
      <c r="CZ9" s="6">
        <v>140</v>
      </c>
      <c r="DA9" s="6">
        <v>108.73</v>
      </c>
      <c r="DB9" s="147">
        <f t="shared" si="0"/>
        <v>89.049959049959057</v>
      </c>
      <c r="DC9" s="6">
        <v>6.3</v>
      </c>
      <c r="DD9" s="6">
        <v>5</v>
      </c>
      <c r="DE9" s="6">
        <v>2.6</v>
      </c>
      <c r="DF9" s="6">
        <v>15.1</v>
      </c>
      <c r="DG9" s="6">
        <v>45.8</v>
      </c>
    </row>
    <row r="10" spans="1:111" x14ac:dyDescent="0.25">
      <c r="A10" s="78" t="s">
        <v>52</v>
      </c>
      <c r="B10" s="82"/>
      <c r="C10" s="80" t="s">
        <v>140</v>
      </c>
      <c r="D10" s="80" t="s">
        <v>66</v>
      </c>
      <c r="E10" s="32" t="s">
        <v>26</v>
      </c>
      <c r="F10" s="80" t="s">
        <v>33</v>
      </c>
      <c r="G10" s="26" t="s">
        <v>151</v>
      </c>
      <c r="H10" s="138">
        <v>0</v>
      </c>
      <c r="I10" s="52">
        <v>1893.6</v>
      </c>
      <c r="J10" s="13">
        <v>3.1</v>
      </c>
      <c r="K10" s="14">
        <v>26.6</v>
      </c>
      <c r="L10" s="14">
        <v>13.1</v>
      </c>
      <c r="M10" s="14">
        <v>0</v>
      </c>
      <c r="N10" s="14">
        <v>3</v>
      </c>
      <c r="O10" s="14">
        <v>4</v>
      </c>
      <c r="P10" s="14">
        <v>1161.7</v>
      </c>
      <c r="Q10" s="14">
        <v>1</v>
      </c>
      <c r="R10" s="14">
        <v>67</v>
      </c>
      <c r="S10" s="14">
        <v>197.4</v>
      </c>
      <c r="T10" s="14">
        <v>23.5</v>
      </c>
      <c r="U10" s="14">
        <v>46.3</v>
      </c>
      <c r="V10" s="14">
        <v>72394.8</v>
      </c>
      <c r="W10" s="15">
        <v>42</v>
      </c>
      <c r="X10" s="13">
        <v>-5.8</v>
      </c>
      <c r="Y10" s="14">
        <v>16</v>
      </c>
      <c r="Z10" s="14">
        <v>4.3</v>
      </c>
      <c r="AA10" s="14">
        <v>33</v>
      </c>
      <c r="AB10" s="14">
        <v>0</v>
      </c>
      <c r="AC10" s="14">
        <v>49</v>
      </c>
      <c r="AD10" s="14">
        <v>430.9</v>
      </c>
      <c r="AE10" s="14">
        <v>0</v>
      </c>
      <c r="AF10" s="14">
        <v>0</v>
      </c>
      <c r="AG10" s="14">
        <v>79.900000000000006</v>
      </c>
      <c r="AH10" s="14">
        <v>157.77000000000001</v>
      </c>
      <c r="AI10" s="14">
        <v>40902.6</v>
      </c>
      <c r="AJ10" s="14">
        <v>88</v>
      </c>
      <c r="AK10" s="15">
        <v>31</v>
      </c>
      <c r="AL10" s="13">
        <v>-1.4</v>
      </c>
      <c r="AM10" s="14">
        <v>20.7</v>
      </c>
      <c r="AN10" s="14">
        <v>8.1999999999999993</v>
      </c>
      <c r="AO10" s="14">
        <v>2</v>
      </c>
      <c r="AP10" s="14">
        <v>0</v>
      </c>
      <c r="AQ10" s="14">
        <v>21</v>
      </c>
      <c r="AR10" s="14">
        <v>285.39999999999998</v>
      </c>
      <c r="AS10" s="14">
        <v>0</v>
      </c>
      <c r="AT10" s="14">
        <v>0</v>
      </c>
      <c r="AU10" s="14">
        <v>88.5</v>
      </c>
      <c r="AV10" s="14">
        <v>174.62</v>
      </c>
      <c r="AW10" s="14">
        <v>41995.9</v>
      </c>
      <c r="AX10" s="15">
        <v>11</v>
      </c>
      <c r="AY10" s="13">
        <v>4.5</v>
      </c>
      <c r="AZ10" s="14">
        <v>24.1</v>
      </c>
      <c r="BA10" s="14">
        <v>12.8</v>
      </c>
      <c r="BB10" s="14">
        <v>0</v>
      </c>
      <c r="BC10" s="14">
        <v>0</v>
      </c>
      <c r="BD10" s="14">
        <v>2</v>
      </c>
      <c r="BE10" s="14">
        <v>269.10000000000002</v>
      </c>
      <c r="BF10" s="14">
        <v>0</v>
      </c>
      <c r="BG10" s="14">
        <v>0</v>
      </c>
      <c r="BH10" s="14">
        <v>70.099999999999994</v>
      </c>
      <c r="BI10" s="14">
        <v>138.37</v>
      </c>
      <c r="BJ10" s="14">
        <v>34493.9</v>
      </c>
      <c r="BK10" s="14">
        <v>4</v>
      </c>
      <c r="BL10" s="15">
        <v>1.28</v>
      </c>
      <c r="BM10" s="13">
        <v>5.2</v>
      </c>
      <c r="BN10" s="14">
        <v>25.4</v>
      </c>
      <c r="BO10" s="14">
        <v>13.8</v>
      </c>
      <c r="BP10" s="14">
        <v>0</v>
      </c>
      <c r="BQ10" s="14">
        <v>1</v>
      </c>
      <c r="BR10" s="14">
        <v>0</v>
      </c>
      <c r="BS10" s="14">
        <v>0</v>
      </c>
      <c r="BT10" s="14">
        <v>0</v>
      </c>
      <c r="BU10" s="14">
        <v>62.1</v>
      </c>
      <c r="BV10" s="14">
        <v>122.61</v>
      </c>
      <c r="BW10" s="14">
        <v>44451.6</v>
      </c>
      <c r="BX10" s="15">
        <v>0</v>
      </c>
      <c r="BY10" s="13">
        <v>9.9</v>
      </c>
      <c r="BZ10" s="14">
        <v>32.5</v>
      </c>
      <c r="CA10" s="14">
        <v>17.100000000000001</v>
      </c>
      <c r="CB10" s="14">
        <v>0</v>
      </c>
      <c r="CC10" s="14">
        <v>4</v>
      </c>
      <c r="CD10" s="14">
        <v>0</v>
      </c>
      <c r="CE10" s="14">
        <v>0</v>
      </c>
      <c r="CF10" s="14">
        <v>12</v>
      </c>
      <c r="CG10" s="14">
        <v>25.5</v>
      </c>
      <c r="CH10" s="14">
        <v>50.41</v>
      </c>
      <c r="CI10" s="14">
        <v>40268.699999999997</v>
      </c>
      <c r="CJ10" s="15">
        <v>1</v>
      </c>
      <c r="CK10" s="13">
        <v>9.1</v>
      </c>
      <c r="CL10" s="14">
        <v>36.200000000000003</v>
      </c>
      <c r="CM10" s="14">
        <v>20.2</v>
      </c>
      <c r="CN10" s="14">
        <v>0</v>
      </c>
      <c r="CO10" s="14">
        <v>9</v>
      </c>
      <c r="CP10" s="14">
        <v>0</v>
      </c>
      <c r="CQ10" s="14">
        <v>17</v>
      </c>
      <c r="CR10" s="14">
        <v>4</v>
      </c>
      <c r="CS10" s="14">
        <v>0.5</v>
      </c>
      <c r="CT10" s="14">
        <v>0.96</v>
      </c>
      <c r="CU10" s="14">
        <v>47902.7</v>
      </c>
      <c r="CV10" s="15">
        <v>0</v>
      </c>
      <c r="CW10" s="14">
        <v>287.29000000000002</v>
      </c>
      <c r="CX10" s="14">
        <v>4.92</v>
      </c>
      <c r="CY10" s="14">
        <v>0.85</v>
      </c>
      <c r="CZ10" s="14">
        <v>35</v>
      </c>
      <c r="DA10" s="14">
        <v>178.85</v>
      </c>
      <c r="DB10" s="148">
        <f t="shared" si="0"/>
        <v>90.602836879432616</v>
      </c>
      <c r="DC10" s="14">
        <v>4</v>
      </c>
      <c r="DD10" s="14">
        <v>3</v>
      </c>
      <c r="DE10" s="14">
        <v>0</v>
      </c>
      <c r="DF10" s="14">
        <v>28.2</v>
      </c>
      <c r="DG10" s="14">
        <v>15</v>
      </c>
    </row>
    <row r="11" spans="1:111" ht="15.75" thickBot="1" x14ac:dyDescent="0.3">
      <c r="A11" s="79"/>
      <c r="B11" s="83"/>
      <c r="C11" s="81"/>
      <c r="D11" s="81"/>
      <c r="E11" s="33" t="s">
        <v>27</v>
      </c>
      <c r="F11" s="81"/>
      <c r="G11" s="27" t="s">
        <v>151</v>
      </c>
      <c r="H11" s="139"/>
      <c r="I11" s="53">
        <v>1893.6</v>
      </c>
      <c r="J11" s="16">
        <v>3.1</v>
      </c>
      <c r="K11" s="17">
        <v>26.6</v>
      </c>
      <c r="L11" s="17">
        <v>13.1</v>
      </c>
      <c r="M11" s="17">
        <v>0</v>
      </c>
      <c r="N11" s="17">
        <v>3</v>
      </c>
      <c r="O11" s="17">
        <v>4</v>
      </c>
      <c r="P11" s="17">
        <v>1161.7</v>
      </c>
      <c r="Q11" s="17">
        <v>1</v>
      </c>
      <c r="R11" s="17">
        <v>67</v>
      </c>
      <c r="S11" s="17">
        <v>197.4</v>
      </c>
      <c r="T11" s="17">
        <v>23.5</v>
      </c>
      <c r="U11" s="17">
        <v>46.3</v>
      </c>
      <c r="V11" s="17">
        <v>72394.8</v>
      </c>
      <c r="W11" s="18">
        <v>42</v>
      </c>
      <c r="X11" s="16">
        <v>-5.8</v>
      </c>
      <c r="Y11" s="17">
        <v>16</v>
      </c>
      <c r="Z11" s="17">
        <v>4.3</v>
      </c>
      <c r="AA11" s="17">
        <v>33</v>
      </c>
      <c r="AB11" s="17">
        <v>0</v>
      </c>
      <c r="AC11" s="17">
        <v>49</v>
      </c>
      <c r="AD11" s="17">
        <v>430.9</v>
      </c>
      <c r="AE11" s="17">
        <v>0</v>
      </c>
      <c r="AF11" s="17">
        <v>0</v>
      </c>
      <c r="AG11" s="17">
        <v>79.900000000000006</v>
      </c>
      <c r="AH11" s="17">
        <v>157.77000000000001</v>
      </c>
      <c r="AI11" s="17">
        <v>40902.6</v>
      </c>
      <c r="AJ11" s="17">
        <v>88</v>
      </c>
      <c r="AK11" s="18">
        <v>31</v>
      </c>
      <c r="AL11" s="16">
        <v>-1.4</v>
      </c>
      <c r="AM11" s="17">
        <v>20.7</v>
      </c>
      <c r="AN11" s="17">
        <v>8.1999999999999993</v>
      </c>
      <c r="AO11" s="17">
        <v>2</v>
      </c>
      <c r="AP11" s="17">
        <v>0</v>
      </c>
      <c r="AQ11" s="17">
        <v>21</v>
      </c>
      <c r="AR11" s="17">
        <v>285.39999999999998</v>
      </c>
      <c r="AS11" s="17">
        <v>0</v>
      </c>
      <c r="AT11" s="17">
        <v>0</v>
      </c>
      <c r="AU11" s="17">
        <v>88.2</v>
      </c>
      <c r="AV11" s="17">
        <v>174.62</v>
      </c>
      <c r="AW11" s="17">
        <v>41995.9</v>
      </c>
      <c r="AX11" s="18">
        <v>11</v>
      </c>
      <c r="AY11" s="16">
        <v>4.5</v>
      </c>
      <c r="AZ11" s="17">
        <v>24.1</v>
      </c>
      <c r="BA11" s="17">
        <v>12.8</v>
      </c>
      <c r="BB11" s="17">
        <v>0</v>
      </c>
      <c r="BC11" s="17">
        <v>0</v>
      </c>
      <c r="BD11" s="17">
        <v>2</v>
      </c>
      <c r="BE11" s="17">
        <v>269.10000000000002</v>
      </c>
      <c r="BF11" s="17">
        <v>0</v>
      </c>
      <c r="BG11" s="17">
        <v>0</v>
      </c>
      <c r="BH11" s="17">
        <v>70.099999999999994</v>
      </c>
      <c r="BI11" s="17">
        <v>138.37</v>
      </c>
      <c r="BJ11" s="17">
        <v>34493.9</v>
      </c>
      <c r="BK11" s="17">
        <v>4</v>
      </c>
      <c r="BL11" s="18">
        <v>1.28</v>
      </c>
      <c r="BM11" s="16">
        <v>5.2</v>
      </c>
      <c r="BN11" s="17">
        <v>25.4</v>
      </c>
      <c r="BO11" s="17">
        <v>13.8</v>
      </c>
      <c r="BP11" s="17">
        <v>0</v>
      </c>
      <c r="BQ11" s="17">
        <v>1</v>
      </c>
      <c r="BR11" s="17">
        <v>0</v>
      </c>
      <c r="BS11" s="17">
        <v>0</v>
      </c>
      <c r="BT11" s="17">
        <v>0</v>
      </c>
      <c r="BU11" s="17">
        <v>62.1</v>
      </c>
      <c r="BV11" s="17">
        <v>122.61</v>
      </c>
      <c r="BW11" s="17">
        <v>44451.6</v>
      </c>
      <c r="BX11" s="18">
        <v>0</v>
      </c>
      <c r="BY11" s="16">
        <v>9.9</v>
      </c>
      <c r="BZ11" s="17">
        <v>32.5</v>
      </c>
      <c r="CA11" s="17">
        <v>17.100000000000001</v>
      </c>
      <c r="CB11" s="17">
        <v>0</v>
      </c>
      <c r="CC11" s="17">
        <v>4</v>
      </c>
      <c r="CD11" s="17">
        <v>0</v>
      </c>
      <c r="CE11" s="17">
        <v>0</v>
      </c>
      <c r="CF11" s="17">
        <v>12</v>
      </c>
      <c r="CG11" s="17">
        <v>25.5</v>
      </c>
      <c r="CH11" s="17">
        <v>50.41</v>
      </c>
      <c r="CI11" s="17">
        <v>40268.699999999997</v>
      </c>
      <c r="CJ11" s="18">
        <v>1</v>
      </c>
      <c r="CK11" s="16">
        <v>9.1</v>
      </c>
      <c r="CL11" s="17">
        <v>36.200000000000003</v>
      </c>
      <c r="CM11" s="17">
        <v>20.2</v>
      </c>
      <c r="CN11" s="17">
        <v>0</v>
      </c>
      <c r="CO11" s="17">
        <v>9</v>
      </c>
      <c r="CP11" s="17">
        <v>0</v>
      </c>
      <c r="CQ11" s="17">
        <v>17</v>
      </c>
      <c r="CR11" s="17">
        <v>4</v>
      </c>
      <c r="CS11" s="17">
        <v>0.5</v>
      </c>
      <c r="CT11" s="17">
        <v>0.96</v>
      </c>
      <c r="CU11" s="17">
        <v>47902.7</v>
      </c>
      <c r="CV11" s="18">
        <v>0</v>
      </c>
      <c r="CW11" s="17">
        <v>586.57000000000005</v>
      </c>
      <c r="CX11" s="17">
        <v>6.03</v>
      </c>
      <c r="CY11" s="17">
        <v>1.44</v>
      </c>
      <c r="CZ11" s="17">
        <v>147</v>
      </c>
      <c r="DA11" s="17">
        <v>179.7</v>
      </c>
      <c r="DB11" s="149">
        <f t="shared" si="0"/>
        <v>91.033434650455931</v>
      </c>
      <c r="DC11" s="17">
        <v>4</v>
      </c>
      <c r="DD11" s="17">
        <v>5.3</v>
      </c>
      <c r="DE11" s="17">
        <v>0</v>
      </c>
      <c r="DF11" s="17">
        <v>17.3</v>
      </c>
      <c r="DG11" s="17">
        <v>14</v>
      </c>
    </row>
    <row r="12" spans="1:111" x14ac:dyDescent="0.25">
      <c r="A12" s="74" t="s">
        <v>53</v>
      </c>
      <c r="B12" s="82"/>
      <c r="C12" s="76" t="s">
        <v>140</v>
      </c>
      <c r="D12" s="76" t="s">
        <v>67</v>
      </c>
      <c r="E12" s="32" t="s">
        <v>26</v>
      </c>
      <c r="F12" s="76" t="s">
        <v>33</v>
      </c>
      <c r="G12" s="25" t="s">
        <v>157</v>
      </c>
      <c r="H12" s="132">
        <v>1</v>
      </c>
      <c r="I12" s="54">
        <v>1835.8</v>
      </c>
      <c r="J12" s="9">
        <v>0.5</v>
      </c>
      <c r="K12" s="8">
        <v>31.2</v>
      </c>
      <c r="L12" s="8">
        <v>12.3</v>
      </c>
      <c r="M12" s="8">
        <v>0</v>
      </c>
      <c r="N12" s="8">
        <v>1</v>
      </c>
      <c r="O12" s="8">
        <v>10</v>
      </c>
      <c r="P12" s="8">
        <v>934.4</v>
      </c>
      <c r="Q12" s="8">
        <v>1</v>
      </c>
      <c r="R12" s="8">
        <v>20</v>
      </c>
      <c r="S12" s="8">
        <v>153.6</v>
      </c>
      <c r="T12" s="8">
        <v>62.5</v>
      </c>
      <c r="U12" s="8">
        <v>96.07</v>
      </c>
      <c r="V12" s="8">
        <v>49166.8</v>
      </c>
      <c r="W12" s="10">
        <v>56</v>
      </c>
      <c r="X12" s="9">
        <v>-2.5</v>
      </c>
      <c r="Y12" s="8">
        <v>9.9</v>
      </c>
      <c r="Z12" s="8">
        <v>4.9000000000000004</v>
      </c>
      <c r="AA12" s="8">
        <v>6</v>
      </c>
      <c r="AB12" s="8">
        <v>0</v>
      </c>
      <c r="AC12" s="8">
        <v>15</v>
      </c>
      <c r="AD12" s="8">
        <v>122.5</v>
      </c>
      <c r="AE12" s="8">
        <v>0</v>
      </c>
      <c r="AF12" s="8">
        <v>0</v>
      </c>
      <c r="AG12" s="8">
        <v>95.7</v>
      </c>
      <c r="AH12" s="8">
        <v>147</v>
      </c>
      <c r="AI12" s="8">
        <v>7216.5</v>
      </c>
      <c r="AJ12" s="8">
        <v>25</v>
      </c>
      <c r="AK12" s="10">
        <v>12</v>
      </c>
      <c r="AL12" s="9">
        <v>-1.7</v>
      </c>
      <c r="AM12" s="8">
        <v>20.5</v>
      </c>
      <c r="AN12" s="8">
        <v>7.1</v>
      </c>
      <c r="AO12" s="8">
        <v>3</v>
      </c>
      <c r="AP12" s="8">
        <v>0</v>
      </c>
      <c r="AQ12" s="8">
        <v>55</v>
      </c>
      <c r="AR12" s="8">
        <v>764.3</v>
      </c>
      <c r="AS12" s="8">
        <v>0</v>
      </c>
      <c r="AT12" s="8">
        <v>0</v>
      </c>
      <c r="AU12" s="8">
        <v>95.1</v>
      </c>
      <c r="AV12" s="8">
        <v>146.06</v>
      </c>
      <c r="AW12" s="8">
        <v>59012.4</v>
      </c>
      <c r="AX12" s="10">
        <v>83</v>
      </c>
      <c r="AY12" s="9">
        <v>3.6</v>
      </c>
      <c r="AZ12" s="8">
        <v>21</v>
      </c>
      <c r="BA12" s="8">
        <v>11.7</v>
      </c>
      <c r="BB12" s="8">
        <v>0</v>
      </c>
      <c r="BC12" s="8">
        <v>0</v>
      </c>
      <c r="BD12" s="8">
        <v>4</v>
      </c>
      <c r="BE12" s="8">
        <v>246.3</v>
      </c>
      <c r="BF12" s="8">
        <v>0</v>
      </c>
      <c r="BG12" s="8">
        <v>0</v>
      </c>
      <c r="BH12" s="8">
        <v>54.5</v>
      </c>
      <c r="BI12" s="8">
        <v>83.72</v>
      </c>
      <c r="BJ12" s="8">
        <v>28763.3</v>
      </c>
      <c r="BK12" s="8">
        <v>5</v>
      </c>
      <c r="BL12" s="10">
        <v>1.17</v>
      </c>
      <c r="BM12" s="9">
        <v>5.7</v>
      </c>
      <c r="BN12" s="8">
        <v>19.2</v>
      </c>
      <c r="BO12" s="8">
        <v>12.3</v>
      </c>
      <c r="BP12" s="8">
        <v>0</v>
      </c>
      <c r="BQ12" s="8">
        <v>0</v>
      </c>
      <c r="BR12" s="8">
        <v>0</v>
      </c>
      <c r="BS12" s="8">
        <v>0</v>
      </c>
      <c r="BT12" s="8">
        <v>5</v>
      </c>
      <c r="BU12" s="8">
        <v>38.9</v>
      </c>
      <c r="BV12" s="8">
        <v>59.82</v>
      </c>
      <c r="BW12" s="8">
        <v>36014.1</v>
      </c>
      <c r="BX12" s="10">
        <v>6</v>
      </c>
      <c r="BY12" s="9">
        <v>8.6</v>
      </c>
      <c r="BZ12" s="8">
        <v>24.6</v>
      </c>
      <c r="CA12" s="8">
        <v>15.2</v>
      </c>
      <c r="CB12" s="8">
        <v>0</v>
      </c>
      <c r="CC12" s="8">
        <v>0</v>
      </c>
      <c r="CD12" s="8">
        <v>0</v>
      </c>
      <c r="CE12" s="8">
        <v>0</v>
      </c>
      <c r="CF12" s="8">
        <v>17</v>
      </c>
      <c r="CG12" s="8">
        <v>28.7</v>
      </c>
      <c r="CH12" s="8">
        <v>44.05</v>
      </c>
      <c r="CI12" s="8">
        <v>32304.7</v>
      </c>
      <c r="CJ12" s="10">
        <v>3</v>
      </c>
      <c r="CK12" s="9">
        <v>8.9</v>
      </c>
      <c r="CL12" s="8">
        <v>26.3</v>
      </c>
      <c r="CM12" s="8">
        <v>17.600000000000001</v>
      </c>
      <c r="CN12" s="8">
        <v>0</v>
      </c>
      <c r="CO12" s="8">
        <v>1</v>
      </c>
      <c r="CP12" s="8">
        <v>0</v>
      </c>
      <c r="CQ12" s="8">
        <v>0</v>
      </c>
      <c r="CR12" s="8">
        <v>21</v>
      </c>
      <c r="CS12" s="8">
        <v>18.100000000000001</v>
      </c>
      <c r="CT12" s="8">
        <v>27.83</v>
      </c>
      <c r="CU12" s="8">
        <v>43119.8</v>
      </c>
      <c r="CV12" s="10">
        <v>4</v>
      </c>
      <c r="CW12" s="8">
        <v>201.71</v>
      </c>
      <c r="CX12" s="8">
        <v>3.51</v>
      </c>
      <c r="CY12" s="8">
        <v>0.69</v>
      </c>
      <c r="CZ12" s="8">
        <v>50</v>
      </c>
      <c r="DA12" s="8">
        <v>117.22</v>
      </c>
      <c r="DB12" s="146">
        <f t="shared" si="0"/>
        <v>76.315104166666671</v>
      </c>
      <c r="DC12" s="8">
        <v>5.4</v>
      </c>
      <c r="DD12" s="8">
        <v>6.4</v>
      </c>
      <c r="DE12" s="8">
        <v>0</v>
      </c>
      <c r="DF12" s="8">
        <v>13.9</v>
      </c>
      <c r="DG12" s="8">
        <v>15</v>
      </c>
    </row>
    <row r="13" spans="1:111" ht="15.75" thickBot="1" x14ac:dyDescent="0.3">
      <c r="A13" s="75"/>
      <c r="B13" s="83"/>
      <c r="C13" s="77"/>
      <c r="D13" s="77"/>
      <c r="E13" s="33" t="s">
        <v>27</v>
      </c>
      <c r="F13" s="77"/>
      <c r="G13" s="24" t="s">
        <v>158</v>
      </c>
      <c r="H13" s="133"/>
      <c r="I13" s="55">
        <v>1850.8</v>
      </c>
      <c r="J13" s="5">
        <v>0.5</v>
      </c>
      <c r="K13" s="6">
        <v>31.2</v>
      </c>
      <c r="L13" s="6">
        <v>12.3</v>
      </c>
      <c r="M13" s="6">
        <v>0</v>
      </c>
      <c r="N13" s="6">
        <v>1</v>
      </c>
      <c r="O13" s="6">
        <v>10</v>
      </c>
      <c r="P13" s="6">
        <v>934.4</v>
      </c>
      <c r="Q13" s="6">
        <v>1</v>
      </c>
      <c r="R13" s="6">
        <v>20</v>
      </c>
      <c r="S13" s="6">
        <v>153.6</v>
      </c>
      <c r="T13" s="6">
        <v>62.5</v>
      </c>
      <c r="U13" s="6">
        <v>96.07</v>
      </c>
      <c r="V13" s="6">
        <v>49166.8</v>
      </c>
      <c r="W13" s="7">
        <v>56</v>
      </c>
      <c r="X13" s="5">
        <v>-2.5</v>
      </c>
      <c r="Y13" s="6">
        <v>9.9</v>
      </c>
      <c r="Z13" s="6">
        <v>4.9000000000000004</v>
      </c>
      <c r="AA13" s="6">
        <v>6</v>
      </c>
      <c r="AB13" s="6">
        <v>0</v>
      </c>
      <c r="AC13" s="6">
        <v>15</v>
      </c>
      <c r="AD13" s="6">
        <v>122.5</v>
      </c>
      <c r="AE13" s="6">
        <v>0</v>
      </c>
      <c r="AF13" s="6">
        <v>0</v>
      </c>
      <c r="AG13" s="6">
        <v>95.7</v>
      </c>
      <c r="AH13" s="6">
        <v>147</v>
      </c>
      <c r="AI13" s="6">
        <v>7216.5</v>
      </c>
      <c r="AJ13" s="6">
        <v>25</v>
      </c>
      <c r="AK13" s="7">
        <v>12</v>
      </c>
      <c r="AL13" s="5">
        <v>-1.7</v>
      </c>
      <c r="AM13" s="6">
        <v>20.5</v>
      </c>
      <c r="AN13" s="6">
        <v>7.2</v>
      </c>
      <c r="AO13" s="6">
        <v>3</v>
      </c>
      <c r="AP13" s="6">
        <v>0</v>
      </c>
      <c r="AQ13" s="6">
        <v>55</v>
      </c>
      <c r="AR13" s="6">
        <v>778.9</v>
      </c>
      <c r="AS13" s="6">
        <v>0</v>
      </c>
      <c r="AT13" s="6">
        <v>0</v>
      </c>
      <c r="AU13" s="6">
        <v>94.9</v>
      </c>
      <c r="AV13" s="6">
        <v>145.69999999999999</v>
      </c>
      <c r="AW13" s="6">
        <v>60514.1</v>
      </c>
      <c r="AX13" s="7">
        <v>83</v>
      </c>
      <c r="AY13" s="5">
        <v>3.6</v>
      </c>
      <c r="AZ13" s="6">
        <v>21</v>
      </c>
      <c r="BA13" s="6">
        <v>11.7</v>
      </c>
      <c r="BB13" s="6">
        <v>0</v>
      </c>
      <c r="BC13" s="6">
        <v>0</v>
      </c>
      <c r="BD13" s="6">
        <v>4</v>
      </c>
      <c r="BE13" s="6">
        <v>245</v>
      </c>
      <c r="BF13" s="6">
        <v>0</v>
      </c>
      <c r="BG13" s="6">
        <v>0</v>
      </c>
      <c r="BH13" s="6">
        <v>53.6</v>
      </c>
      <c r="BI13" s="6">
        <v>82.27</v>
      </c>
      <c r="BJ13" s="6">
        <v>28736.3</v>
      </c>
      <c r="BK13" s="6">
        <v>5</v>
      </c>
      <c r="BL13" s="7">
        <v>1.17</v>
      </c>
      <c r="BM13" s="5">
        <v>5.7</v>
      </c>
      <c r="BN13" s="6">
        <v>20.6</v>
      </c>
      <c r="BO13" s="6">
        <v>12.4</v>
      </c>
      <c r="BP13" s="6">
        <v>0</v>
      </c>
      <c r="BQ13" s="6">
        <v>0</v>
      </c>
      <c r="BR13" s="6">
        <v>0</v>
      </c>
      <c r="BS13" s="6">
        <v>0</v>
      </c>
      <c r="BT13" s="6">
        <v>6</v>
      </c>
      <c r="BU13" s="6">
        <v>38.1</v>
      </c>
      <c r="BV13" s="6">
        <v>58.55</v>
      </c>
      <c r="BW13" s="6">
        <v>37313</v>
      </c>
      <c r="BX13" s="7">
        <v>6</v>
      </c>
      <c r="BY13" s="5">
        <v>8.6</v>
      </c>
      <c r="BZ13" s="6">
        <v>26.3</v>
      </c>
      <c r="CA13" s="6">
        <v>15.3</v>
      </c>
      <c r="CB13" s="6">
        <v>0</v>
      </c>
      <c r="CC13" s="6">
        <v>0</v>
      </c>
      <c r="CD13" s="6">
        <v>0</v>
      </c>
      <c r="CE13" s="6">
        <v>0</v>
      </c>
      <c r="CF13" s="6">
        <v>17</v>
      </c>
      <c r="CG13" s="6">
        <v>28.6</v>
      </c>
      <c r="CH13" s="6">
        <v>43.95</v>
      </c>
      <c r="CI13" s="6">
        <v>32337.8</v>
      </c>
      <c r="CJ13" s="7">
        <v>3</v>
      </c>
      <c r="CK13" s="5">
        <v>10.6</v>
      </c>
      <c r="CL13" s="6">
        <v>26.3</v>
      </c>
      <c r="CM13" s="6">
        <v>17.399999999999999</v>
      </c>
      <c r="CN13" s="6">
        <v>0</v>
      </c>
      <c r="CO13" s="6">
        <v>1</v>
      </c>
      <c r="CP13" s="6">
        <v>0</v>
      </c>
      <c r="CQ13" s="6">
        <v>1</v>
      </c>
      <c r="CR13" s="6">
        <v>21</v>
      </c>
      <c r="CS13" s="6">
        <v>16.7</v>
      </c>
      <c r="CT13" s="6">
        <v>25.71</v>
      </c>
      <c r="CU13" s="6">
        <v>41373.800000000003</v>
      </c>
      <c r="CV13" s="7">
        <v>4</v>
      </c>
      <c r="CW13" s="6">
        <v>379.69</v>
      </c>
      <c r="CX13" s="6">
        <v>4.09</v>
      </c>
      <c r="CY13" s="6">
        <v>1.05</v>
      </c>
      <c r="CZ13" s="6">
        <v>170</v>
      </c>
      <c r="DA13" s="6">
        <v>108.76</v>
      </c>
      <c r="DB13" s="147">
        <f t="shared" si="0"/>
        <v>70.807291666666671</v>
      </c>
      <c r="DC13" s="6">
        <v>4.2</v>
      </c>
      <c r="DD13" s="6">
        <v>6.7</v>
      </c>
      <c r="DE13" s="6">
        <v>0</v>
      </c>
      <c r="DF13" s="6">
        <v>11</v>
      </c>
      <c r="DG13" s="6">
        <v>15</v>
      </c>
    </row>
    <row r="14" spans="1:111" x14ac:dyDescent="0.25">
      <c r="A14" s="78" t="s">
        <v>54</v>
      </c>
      <c r="B14" s="82"/>
      <c r="C14" s="80" t="s">
        <v>140</v>
      </c>
      <c r="D14" s="80" t="s">
        <v>68</v>
      </c>
      <c r="E14" s="32" t="s">
        <v>26</v>
      </c>
      <c r="F14" s="80" t="s">
        <v>33</v>
      </c>
      <c r="G14" s="26" t="s">
        <v>149</v>
      </c>
      <c r="H14" s="130">
        <v>1</v>
      </c>
      <c r="I14" s="52">
        <v>1764.8</v>
      </c>
      <c r="J14" s="13">
        <v>3.4</v>
      </c>
      <c r="K14" s="14">
        <v>25.7</v>
      </c>
      <c r="L14" s="14">
        <v>12.5</v>
      </c>
      <c r="M14" s="14">
        <v>0</v>
      </c>
      <c r="N14" s="14">
        <v>2</v>
      </c>
      <c r="O14" s="14">
        <v>4</v>
      </c>
      <c r="P14" s="14">
        <v>1112.2</v>
      </c>
      <c r="Q14" s="14">
        <v>0</v>
      </c>
      <c r="R14" s="14">
        <v>36</v>
      </c>
      <c r="S14" s="14">
        <v>189.6</v>
      </c>
      <c r="T14" s="14">
        <v>41.5</v>
      </c>
      <c r="U14" s="14">
        <v>78.77</v>
      </c>
      <c r="V14" s="14">
        <v>59277.7</v>
      </c>
      <c r="W14" s="15">
        <v>64</v>
      </c>
      <c r="X14" s="13">
        <v>-3.8</v>
      </c>
      <c r="Y14" s="14">
        <v>14.5</v>
      </c>
      <c r="Z14" s="14">
        <v>3.9</v>
      </c>
      <c r="AA14" s="14">
        <v>28</v>
      </c>
      <c r="AB14" s="14">
        <v>0</v>
      </c>
      <c r="AC14" s="14">
        <v>57</v>
      </c>
      <c r="AD14" s="14">
        <v>391.9</v>
      </c>
      <c r="AE14" s="14">
        <v>0</v>
      </c>
      <c r="AF14" s="14">
        <v>0</v>
      </c>
      <c r="AG14" s="14">
        <v>94.5</v>
      </c>
      <c r="AH14" s="14">
        <v>179.1</v>
      </c>
      <c r="AI14" s="14">
        <v>32664</v>
      </c>
      <c r="AJ14" s="14">
        <v>95</v>
      </c>
      <c r="AK14" s="15">
        <v>36</v>
      </c>
      <c r="AL14" s="13">
        <v>-2.5</v>
      </c>
      <c r="AM14" s="14">
        <v>20.6</v>
      </c>
      <c r="AN14" s="14">
        <v>7.2</v>
      </c>
      <c r="AO14" s="14">
        <v>5</v>
      </c>
      <c r="AP14" s="14">
        <v>0</v>
      </c>
      <c r="AQ14" s="14">
        <v>18</v>
      </c>
      <c r="AR14" s="14">
        <v>251.1</v>
      </c>
      <c r="AS14" s="14">
        <v>0</v>
      </c>
      <c r="AT14" s="14">
        <v>0</v>
      </c>
      <c r="AU14" s="14">
        <v>89.9</v>
      </c>
      <c r="AV14" s="14">
        <v>170.4</v>
      </c>
      <c r="AW14" s="14">
        <v>37212.699999999997</v>
      </c>
      <c r="AX14" s="15">
        <v>14</v>
      </c>
      <c r="AY14" s="13">
        <v>2.1</v>
      </c>
      <c r="AZ14" s="14">
        <v>24.4</v>
      </c>
      <c r="BA14" s="14">
        <v>11.2</v>
      </c>
      <c r="BB14" s="14">
        <v>0</v>
      </c>
      <c r="BC14" s="14">
        <v>0</v>
      </c>
      <c r="BD14" s="14">
        <v>5</v>
      </c>
      <c r="BE14" s="14">
        <v>235.1</v>
      </c>
      <c r="BF14" s="14">
        <v>0</v>
      </c>
      <c r="BG14" s="14">
        <v>0</v>
      </c>
      <c r="BH14" s="14">
        <v>65.8</v>
      </c>
      <c r="BI14" s="14">
        <v>127.73</v>
      </c>
      <c r="BJ14" s="14">
        <v>33754.199999999997</v>
      </c>
      <c r="BK14" s="14">
        <v>5</v>
      </c>
      <c r="BL14" s="15">
        <v>1.44</v>
      </c>
      <c r="BM14" s="13">
        <v>5.2</v>
      </c>
      <c r="BN14" s="14">
        <v>24</v>
      </c>
      <c r="BO14" s="14">
        <v>12.6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57.8</v>
      </c>
      <c r="BV14" s="14">
        <v>109.68</v>
      </c>
      <c r="BW14" s="14">
        <v>38520.300000000003</v>
      </c>
      <c r="BX14" s="15">
        <v>1</v>
      </c>
      <c r="BY14" s="13">
        <v>6</v>
      </c>
      <c r="BZ14" s="14">
        <v>31.1</v>
      </c>
      <c r="CA14" s="14">
        <v>15</v>
      </c>
      <c r="CB14" s="14">
        <v>0</v>
      </c>
      <c r="CC14" s="14">
        <v>2</v>
      </c>
      <c r="CD14" s="14">
        <v>0</v>
      </c>
      <c r="CE14" s="14">
        <v>0</v>
      </c>
      <c r="CF14" s="14">
        <v>3</v>
      </c>
      <c r="CG14" s="14">
        <v>38.799999999999997</v>
      </c>
      <c r="CH14" s="14">
        <v>73.510000000000005</v>
      </c>
      <c r="CI14" s="14">
        <v>38942.400000000001</v>
      </c>
      <c r="CJ14" s="15">
        <v>1</v>
      </c>
      <c r="CK14" s="13">
        <v>7.9</v>
      </c>
      <c r="CL14" s="14">
        <v>33.4</v>
      </c>
      <c r="CM14" s="14">
        <v>18</v>
      </c>
      <c r="CN14" s="14">
        <v>0</v>
      </c>
      <c r="CO14" s="14">
        <v>7</v>
      </c>
      <c r="CP14" s="14">
        <v>0</v>
      </c>
      <c r="CQ14" s="14">
        <v>0</v>
      </c>
      <c r="CR14" s="14">
        <v>23</v>
      </c>
      <c r="CS14" s="14">
        <v>20.9</v>
      </c>
      <c r="CT14" s="14">
        <v>39.67</v>
      </c>
      <c r="CU14" s="14">
        <v>44693.9</v>
      </c>
      <c r="CV14" s="15">
        <v>2</v>
      </c>
      <c r="CW14" s="14">
        <v>75.510000000000005</v>
      </c>
      <c r="CX14" s="14">
        <v>1.19</v>
      </c>
      <c r="CY14" s="14">
        <v>0.97</v>
      </c>
      <c r="CZ14" s="14">
        <v>50</v>
      </c>
      <c r="DA14" s="14">
        <v>171.57</v>
      </c>
      <c r="DB14" s="148">
        <f t="shared" si="0"/>
        <v>90.490506329113927</v>
      </c>
      <c r="DC14" s="14">
        <v>2</v>
      </c>
      <c r="DD14" s="14">
        <v>8</v>
      </c>
      <c r="DE14" s="14">
        <v>0</v>
      </c>
      <c r="DF14" s="14">
        <v>0.6</v>
      </c>
      <c r="DG14" s="14" t="s">
        <v>193</v>
      </c>
    </row>
    <row r="15" spans="1:111" ht="15.75" thickBot="1" x14ac:dyDescent="0.3">
      <c r="A15" s="79"/>
      <c r="B15" s="83"/>
      <c r="C15" s="81"/>
      <c r="D15" s="81"/>
      <c r="E15" s="33" t="s">
        <v>27</v>
      </c>
      <c r="F15" s="81"/>
      <c r="G15" s="27" t="s">
        <v>150</v>
      </c>
      <c r="H15" s="131"/>
      <c r="I15" s="53">
        <v>1776</v>
      </c>
      <c r="J15" s="16">
        <v>3.4</v>
      </c>
      <c r="K15" s="17">
        <v>25.7</v>
      </c>
      <c r="L15" s="17">
        <v>12.5</v>
      </c>
      <c r="M15" s="17">
        <v>0</v>
      </c>
      <c r="N15" s="17">
        <v>2</v>
      </c>
      <c r="O15" s="17">
        <v>4</v>
      </c>
      <c r="P15" s="17">
        <v>1112.2</v>
      </c>
      <c r="Q15" s="17">
        <v>0</v>
      </c>
      <c r="R15" s="17">
        <v>36</v>
      </c>
      <c r="S15" s="17">
        <v>189.6</v>
      </c>
      <c r="T15" s="17">
        <v>41.5</v>
      </c>
      <c r="U15" s="17">
        <v>78.77</v>
      </c>
      <c r="V15" s="17">
        <v>59277.7</v>
      </c>
      <c r="W15" s="18">
        <v>64</v>
      </c>
      <c r="X15" s="16">
        <v>-3.8</v>
      </c>
      <c r="Y15" s="17">
        <v>14.5</v>
      </c>
      <c r="Z15" s="17">
        <v>3.9</v>
      </c>
      <c r="AA15" s="17">
        <v>28</v>
      </c>
      <c r="AB15" s="17">
        <v>0</v>
      </c>
      <c r="AC15" s="17">
        <v>57</v>
      </c>
      <c r="AD15" s="17">
        <v>391.9</v>
      </c>
      <c r="AE15" s="17">
        <v>0</v>
      </c>
      <c r="AF15" s="17">
        <v>0</v>
      </c>
      <c r="AG15" s="17">
        <v>94.5</v>
      </c>
      <c r="AH15" s="17">
        <v>179.1</v>
      </c>
      <c r="AI15" s="17">
        <v>32664</v>
      </c>
      <c r="AJ15" s="17">
        <v>95</v>
      </c>
      <c r="AK15" s="18">
        <v>36</v>
      </c>
      <c r="AL15" s="16">
        <v>-2.5</v>
      </c>
      <c r="AM15" s="17">
        <v>20.6</v>
      </c>
      <c r="AN15" s="17">
        <v>7.2</v>
      </c>
      <c r="AO15" s="17">
        <v>5</v>
      </c>
      <c r="AP15" s="17">
        <v>0</v>
      </c>
      <c r="AQ15" s="17">
        <v>19</v>
      </c>
      <c r="AR15" s="17">
        <v>260.7</v>
      </c>
      <c r="AS15" s="17">
        <v>0</v>
      </c>
      <c r="AT15" s="17">
        <v>0</v>
      </c>
      <c r="AU15" s="17">
        <v>89.7</v>
      </c>
      <c r="AV15" s="17">
        <v>170</v>
      </c>
      <c r="AW15" s="17">
        <v>38418.9</v>
      </c>
      <c r="AX15" s="18">
        <v>14</v>
      </c>
      <c r="AY15" s="16">
        <v>2.4</v>
      </c>
      <c r="AZ15" s="17">
        <v>24.4</v>
      </c>
      <c r="BA15" s="17">
        <v>11.4</v>
      </c>
      <c r="BB15" s="17">
        <v>0</v>
      </c>
      <c r="BC15" s="17">
        <v>0</v>
      </c>
      <c r="BD15" s="17">
        <v>4</v>
      </c>
      <c r="BE15" s="17">
        <v>239.8</v>
      </c>
      <c r="BF15" s="17">
        <v>0</v>
      </c>
      <c r="BG15" s="17">
        <v>0</v>
      </c>
      <c r="BH15" s="17">
        <v>64.7</v>
      </c>
      <c r="BI15" s="17">
        <v>122.74</v>
      </c>
      <c r="BJ15" s="17">
        <v>33296.400000000001</v>
      </c>
      <c r="BK15" s="17">
        <v>6</v>
      </c>
      <c r="BL15" s="18">
        <v>1.39</v>
      </c>
      <c r="BM15" s="16">
        <v>5.2</v>
      </c>
      <c r="BN15" s="17">
        <v>24</v>
      </c>
      <c r="BO15" s="17">
        <v>12.6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57.3</v>
      </c>
      <c r="BV15" s="17">
        <v>108.56</v>
      </c>
      <c r="BW15" s="17">
        <v>39896.800000000003</v>
      </c>
      <c r="BX15" s="18">
        <v>0</v>
      </c>
      <c r="BY15" s="16">
        <v>6</v>
      </c>
      <c r="BZ15" s="17">
        <v>31.1</v>
      </c>
      <c r="CA15" s="17">
        <v>15</v>
      </c>
      <c r="CB15" s="17">
        <v>0</v>
      </c>
      <c r="CC15" s="17">
        <v>2</v>
      </c>
      <c r="CD15" s="17">
        <v>0</v>
      </c>
      <c r="CE15" s="17">
        <v>0</v>
      </c>
      <c r="CF15" s="17">
        <v>5</v>
      </c>
      <c r="CG15" s="17">
        <v>37.799999999999997</v>
      </c>
      <c r="CH15" s="17">
        <v>71.739999999999995</v>
      </c>
      <c r="CI15" s="17">
        <v>39392.9</v>
      </c>
      <c r="CJ15" s="18">
        <v>1</v>
      </c>
      <c r="CK15" s="16">
        <v>7.9</v>
      </c>
      <c r="CL15" s="17">
        <v>33.4</v>
      </c>
      <c r="CM15" s="17">
        <v>18</v>
      </c>
      <c r="CN15" s="17">
        <v>0</v>
      </c>
      <c r="CO15" s="17">
        <v>7</v>
      </c>
      <c r="CP15" s="17">
        <v>0</v>
      </c>
      <c r="CQ15" s="17">
        <v>0</v>
      </c>
      <c r="CR15" s="17">
        <v>23</v>
      </c>
      <c r="CS15" s="17">
        <v>19.7</v>
      </c>
      <c r="CT15" s="17">
        <v>37.31</v>
      </c>
      <c r="CU15" s="17">
        <v>44237.2</v>
      </c>
      <c r="CV15" s="18">
        <v>2</v>
      </c>
      <c r="CW15" s="17">
        <v>175.08</v>
      </c>
      <c r="CX15" s="17">
        <v>1.91</v>
      </c>
      <c r="CY15" s="17">
        <v>1.25</v>
      </c>
      <c r="CZ15" s="17">
        <v>130</v>
      </c>
      <c r="DA15" s="17">
        <v>177.93</v>
      </c>
      <c r="DB15" s="149">
        <f t="shared" si="0"/>
        <v>93.844936708860757</v>
      </c>
      <c r="DC15" s="17">
        <v>2.4</v>
      </c>
      <c r="DD15" s="17">
        <v>5.3</v>
      </c>
      <c r="DE15" s="17">
        <v>1.9</v>
      </c>
      <c r="DF15" s="17">
        <v>11.7</v>
      </c>
      <c r="DG15" s="17" t="s">
        <v>193</v>
      </c>
    </row>
    <row r="16" spans="1:111" x14ac:dyDescent="0.25">
      <c r="A16" s="74" t="s">
        <v>55</v>
      </c>
      <c r="B16" s="82"/>
      <c r="C16" s="76" t="s">
        <v>140</v>
      </c>
      <c r="D16" s="76" t="s">
        <v>69</v>
      </c>
      <c r="E16" s="32" t="s">
        <v>26</v>
      </c>
      <c r="F16" s="76" t="s">
        <v>33</v>
      </c>
      <c r="G16" s="25" t="s">
        <v>148</v>
      </c>
      <c r="H16" s="136">
        <v>0</v>
      </c>
      <c r="I16" s="54">
        <v>1940.6</v>
      </c>
      <c r="J16" s="9">
        <v>-2.6</v>
      </c>
      <c r="K16" s="8">
        <v>26.4</v>
      </c>
      <c r="L16" s="8">
        <v>12.1</v>
      </c>
      <c r="M16" s="8">
        <v>2</v>
      </c>
      <c r="N16" s="8">
        <v>4</v>
      </c>
      <c r="O16" s="8">
        <v>13</v>
      </c>
      <c r="P16" s="8">
        <v>1329.4</v>
      </c>
      <c r="Q16" s="8">
        <v>2</v>
      </c>
      <c r="R16" s="8">
        <v>46</v>
      </c>
      <c r="S16" s="8">
        <v>197.4</v>
      </c>
      <c r="T16" s="8">
        <v>46</v>
      </c>
      <c r="U16" s="8">
        <v>90.85</v>
      </c>
      <c r="V16" s="8">
        <v>65143.3</v>
      </c>
      <c r="W16" s="10">
        <v>82</v>
      </c>
      <c r="X16" s="9">
        <v>-4.4000000000000004</v>
      </c>
      <c r="Y16" s="8">
        <v>14.6</v>
      </c>
      <c r="Z16" s="8">
        <v>4.9000000000000004</v>
      </c>
      <c r="AA16" s="8">
        <v>21</v>
      </c>
      <c r="AB16" s="8">
        <v>0</v>
      </c>
      <c r="AC16" s="8">
        <v>24</v>
      </c>
      <c r="AD16" s="8">
        <v>292.8</v>
      </c>
      <c r="AE16" s="8">
        <v>0</v>
      </c>
      <c r="AF16" s="8">
        <v>0</v>
      </c>
      <c r="AG16" s="8">
        <v>99.1</v>
      </c>
      <c r="AH16" s="8">
        <v>195.58</v>
      </c>
      <c r="AI16" s="8">
        <v>26499.5</v>
      </c>
      <c r="AJ16" s="8">
        <v>53</v>
      </c>
      <c r="AK16" s="10">
        <v>17</v>
      </c>
      <c r="AL16" s="9">
        <v>-0.4</v>
      </c>
      <c r="AM16" s="8">
        <v>15.6</v>
      </c>
      <c r="AN16" s="8">
        <v>5.4</v>
      </c>
      <c r="AO16" s="8">
        <v>1</v>
      </c>
      <c r="AP16" s="8">
        <v>0</v>
      </c>
      <c r="AQ16" s="8">
        <v>18</v>
      </c>
      <c r="AR16" s="8">
        <v>308.2</v>
      </c>
      <c r="AS16" s="8">
        <v>0</v>
      </c>
      <c r="AT16" s="8">
        <v>0</v>
      </c>
      <c r="AU16" s="8">
        <v>92.2</v>
      </c>
      <c r="AV16" s="8">
        <v>182.01</v>
      </c>
      <c r="AW16" s="8">
        <v>32406</v>
      </c>
      <c r="AX16" s="10">
        <v>22</v>
      </c>
      <c r="AY16" s="9">
        <v>1.9</v>
      </c>
      <c r="AZ16" s="8">
        <v>25</v>
      </c>
      <c r="BA16" s="8">
        <v>12.8</v>
      </c>
      <c r="BB16" s="8">
        <v>0</v>
      </c>
      <c r="BC16" s="8">
        <v>1</v>
      </c>
      <c r="BD16" s="8">
        <v>6</v>
      </c>
      <c r="BE16" s="8">
        <v>268.7</v>
      </c>
      <c r="BF16" s="8">
        <v>0</v>
      </c>
      <c r="BG16" s="8">
        <v>0</v>
      </c>
      <c r="BH16" s="8">
        <v>71</v>
      </c>
      <c r="BI16" s="8">
        <v>140.11000000000001</v>
      </c>
      <c r="BJ16" s="8">
        <v>38573.9</v>
      </c>
      <c r="BK16" s="8">
        <v>5</v>
      </c>
      <c r="BL16" s="10">
        <v>1.44</v>
      </c>
      <c r="BM16" s="9">
        <v>3.3</v>
      </c>
      <c r="BN16" s="8">
        <v>22.8</v>
      </c>
      <c r="BO16" s="8">
        <v>12.9</v>
      </c>
      <c r="BP16" s="8">
        <v>0</v>
      </c>
      <c r="BQ16" s="8">
        <v>0</v>
      </c>
      <c r="BR16" s="8">
        <v>2</v>
      </c>
      <c r="BS16" s="8">
        <v>0</v>
      </c>
      <c r="BT16" s="8">
        <v>0</v>
      </c>
      <c r="BU16" s="8">
        <v>64.3</v>
      </c>
      <c r="BV16" s="8">
        <v>126.91</v>
      </c>
      <c r="BW16" s="8">
        <v>31162.9</v>
      </c>
      <c r="BX16" s="10">
        <v>8</v>
      </c>
      <c r="BY16" s="9">
        <v>5.7</v>
      </c>
      <c r="BZ16" s="8">
        <v>25.3</v>
      </c>
      <c r="CA16" s="8">
        <v>14.1</v>
      </c>
      <c r="CB16" s="8">
        <v>0</v>
      </c>
      <c r="CC16" s="8">
        <v>1</v>
      </c>
      <c r="CD16" s="8">
        <v>0</v>
      </c>
      <c r="CE16" s="8">
        <v>0</v>
      </c>
      <c r="CF16" s="8">
        <v>0</v>
      </c>
      <c r="CG16" s="8">
        <v>50.3</v>
      </c>
      <c r="CH16" s="8">
        <v>99.24</v>
      </c>
      <c r="CI16" s="8">
        <v>40993.4</v>
      </c>
      <c r="CJ16" s="10">
        <v>2</v>
      </c>
      <c r="CK16" s="9">
        <v>9.4</v>
      </c>
      <c r="CL16" s="8">
        <v>33.9</v>
      </c>
      <c r="CM16" s="8">
        <v>18.3</v>
      </c>
      <c r="CN16" s="8">
        <v>0</v>
      </c>
      <c r="CO16" s="8">
        <v>7</v>
      </c>
      <c r="CP16" s="8">
        <v>0</v>
      </c>
      <c r="CQ16" s="8">
        <v>0</v>
      </c>
      <c r="CR16" s="8">
        <v>3</v>
      </c>
      <c r="CS16" s="8">
        <v>42</v>
      </c>
      <c r="CT16" s="8">
        <v>82.88</v>
      </c>
      <c r="CU16" s="8">
        <v>49259.5</v>
      </c>
      <c r="CV16" s="10">
        <v>2</v>
      </c>
      <c r="CW16" s="8">
        <v>228.28</v>
      </c>
      <c r="CX16" s="8">
        <v>5.01</v>
      </c>
      <c r="CY16" s="8">
        <v>0.77</v>
      </c>
      <c r="CZ16" s="8">
        <v>0</v>
      </c>
      <c r="DA16" s="8">
        <v>0</v>
      </c>
      <c r="DB16" s="150">
        <f t="shared" si="0"/>
        <v>0</v>
      </c>
      <c r="DC16" s="8">
        <v>0</v>
      </c>
      <c r="DD16" s="8">
        <v>0</v>
      </c>
      <c r="DE16" s="8">
        <v>0</v>
      </c>
      <c r="DF16" s="8">
        <v>0</v>
      </c>
      <c r="DG16" s="8" t="s">
        <v>193</v>
      </c>
    </row>
    <row r="17" spans="1:111" ht="15.75" thickBot="1" x14ac:dyDescent="0.3">
      <c r="A17" s="75"/>
      <c r="B17" s="83"/>
      <c r="C17" s="77"/>
      <c r="D17" s="77"/>
      <c r="E17" s="33" t="s">
        <v>27</v>
      </c>
      <c r="F17" s="77"/>
      <c r="G17" s="24" t="s">
        <v>148</v>
      </c>
      <c r="H17" s="137"/>
      <c r="I17" s="55">
        <v>1940.6</v>
      </c>
      <c r="J17" s="5">
        <v>-2.6</v>
      </c>
      <c r="K17" s="6">
        <v>26.4</v>
      </c>
      <c r="L17" s="6">
        <v>12.1</v>
      </c>
      <c r="M17" s="6">
        <v>2</v>
      </c>
      <c r="N17" s="6">
        <v>4</v>
      </c>
      <c r="O17" s="6">
        <v>13</v>
      </c>
      <c r="P17" s="6">
        <v>1329.4</v>
      </c>
      <c r="Q17" s="6">
        <v>2</v>
      </c>
      <c r="R17" s="6">
        <v>46</v>
      </c>
      <c r="S17" s="6">
        <v>197.4</v>
      </c>
      <c r="T17" s="6">
        <v>46</v>
      </c>
      <c r="U17" s="6">
        <v>90.85</v>
      </c>
      <c r="V17" s="6">
        <v>65143.3</v>
      </c>
      <c r="W17" s="7">
        <v>82</v>
      </c>
      <c r="X17" s="5">
        <v>-4.4000000000000004</v>
      </c>
      <c r="Y17" s="6">
        <v>14.6</v>
      </c>
      <c r="Z17" s="6">
        <v>4.9000000000000004</v>
      </c>
      <c r="AA17" s="6">
        <v>21</v>
      </c>
      <c r="AB17" s="6">
        <v>0</v>
      </c>
      <c r="AC17" s="6">
        <v>24</v>
      </c>
      <c r="AD17" s="6">
        <v>292.8</v>
      </c>
      <c r="AE17" s="6">
        <v>0</v>
      </c>
      <c r="AF17" s="6">
        <v>0</v>
      </c>
      <c r="AG17" s="6">
        <v>99.1</v>
      </c>
      <c r="AH17" s="6">
        <v>195.58</v>
      </c>
      <c r="AI17" s="6">
        <v>26499.5</v>
      </c>
      <c r="AJ17" s="6">
        <v>53</v>
      </c>
      <c r="AK17" s="7">
        <v>17</v>
      </c>
      <c r="AL17" s="5">
        <v>-0.4</v>
      </c>
      <c r="AM17" s="6">
        <v>15.6</v>
      </c>
      <c r="AN17" s="6">
        <v>5.4</v>
      </c>
      <c r="AO17" s="6">
        <v>1</v>
      </c>
      <c r="AP17" s="6">
        <v>0</v>
      </c>
      <c r="AQ17" s="6">
        <v>18</v>
      </c>
      <c r="AR17" s="6">
        <v>308.2</v>
      </c>
      <c r="AS17" s="6">
        <v>0</v>
      </c>
      <c r="AT17" s="6">
        <v>0</v>
      </c>
      <c r="AU17" s="6">
        <v>92.2</v>
      </c>
      <c r="AV17" s="6">
        <v>182.01</v>
      </c>
      <c r="AW17" s="6">
        <v>32406</v>
      </c>
      <c r="AX17" s="7">
        <v>22</v>
      </c>
      <c r="AY17" s="5">
        <v>1.9</v>
      </c>
      <c r="AZ17" s="6">
        <v>25</v>
      </c>
      <c r="BA17" s="6">
        <v>12.8</v>
      </c>
      <c r="BB17" s="6">
        <v>0</v>
      </c>
      <c r="BC17" s="6">
        <v>1</v>
      </c>
      <c r="BD17" s="6">
        <v>6</v>
      </c>
      <c r="BE17" s="6">
        <v>268.7</v>
      </c>
      <c r="BF17" s="6">
        <v>0</v>
      </c>
      <c r="BG17" s="6">
        <v>0</v>
      </c>
      <c r="BH17" s="6">
        <v>71</v>
      </c>
      <c r="BI17" s="6">
        <v>140.11000000000001</v>
      </c>
      <c r="BJ17" s="6">
        <v>38573.9</v>
      </c>
      <c r="BK17" s="6">
        <v>5</v>
      </c>
      <c r="BL17" s="7">
        <v>1.44</v>
      </c>
      <c r="BM17" s="5">
        <v>3.3</v>
      </c>
      <c r="BN17" s="6">
        <v>22.8</v>
      </c>
      <c r="BO17" s="6">
        <v>12.9</v>
      </c>
      <c r="BP17" s="6">
        <v>0</v>
      </c>
      <c r="BQ17" s="6">
        <v>0</v>
      </c>
      <c r="BR17" s="6">
        <v>2</v>
      </c>
      <c r="BS17" s="6">
        <v>0</v>
      </c>
      <c r="BT17" s="6">
        <v>0</v>
      </c>
      <c r="BU17" s="6">
        <v>64.3</v>
      </c>
      <c r="BV17" s="6">
        <v>126.91</v>
      </c>
      <c r="BW17" s="6">
        <v>31162.9</v>
      </c>
      <c r="BX17" s="7">
        <v>8</v>
      </c>
      <c r="BY17" s="5">
        <v>5.7</v>
      </c>
      <c r="BZ17" s="6">
        <v>25.3</v>
      </c>
      <c r="CA17" s="6">
        <v>14.1</v>
      </c>
      <c r="CB17" s="6">
        <v>0</v>
      </c>
      <c r="CC17" s="6">
        <v>1</v>
      </c>
      <c r="CD17" s="6">
        <v>0</v>
      </c>
      <c r="CE17" s="6">
        <v>0</v>
      </c>
      <c r="CF17" s="6">
        <v>0</v>
      </c>
      <c r="CG17" s="6">
        <v>50.3</v>
      </c>
      <c r="CH17" s="6">
        <v>99.24</v>
      </c>
      <c r="CI17" s="6">
        <v>40993.4</v>
      </c>
      <c r="CJ17" s="7">
        <v>2</v>
      </c>
      <c r="CK17" s="5">
        <v>9.4</v>
      </c>
      <c r="CL17" s="6">
        <v>33.9</v>
      </c>
      <c r="CM17" s="6">
        <v>18.3</v>
      </c>
      <c r="CN17" s="6">
        <v>0</v>
      </c>
      <c r="CO17" s="6">
        <v>7</v>
      </c>
      <c r="CP17" s="6">
        <v>0</v>
      </c>
      <c r="CQ17" s="6">
        <v>0</v>
      </c>
      <c r="CR17" s="6">
        <v>3</v>
      </c>
      <c r="CS17" s="6">
        <v>42</v>
      </c>
      <c r="CT17" s="6">
        <v>82.88</v>
      </c>
      <c r="CU17" s="6">
        <v>49259.5</v>
      </c>
      <c r="CV17" s="7">
        <v>2</v>
      </c>
      <c r="CW17" s="6">
        <v>309.83</v>
      </c>
      <c r="CX17" s="6">
        <v>5.68</v>
      </c>
      <c r="CY17" s="6">
        <v>0.9</v>
      </c>
      <c r="CZ17" s="6">
        <v>40</v>
      </c>
      <c r="DA17" s="6">
        <v>193.87</v>
      </c>
      <c r="DB17" s="147">
        <f t="shared" si="0"/>
        <v>98.21175278622087</v>
      </c>
      <c r="DC17" s="6">
        <v>1</v>
      </c>
      <c r="DD17" s="6">
        <v>5</v>
      </c>
      <c r="DE17" s="6">
        <v>1</v>
      </c>
      <c r="DF17" s="6">
        <v>6.9</v>
      </c>
      <c r="DG17" s="6" t="s">
        <v>193</v>
      </c>
    </row>
    <row r="18" spans="1:111" x14ac:dyDescent="0.25">
      <c r="A18" s="78" t="s">
        <v>56</v>
      </c>
      <c r="B18" s="82"/>
      <c r="C18" s="80" t="s">
        <v>140</v>
      </c>
      <c r="D18" s="80" t="s">
        <v>70</v>
      </c>
      <c r="E18" s="32" t="s">
        <v>26</v>
      </c>
      <c r="F18" s="80" t="s">
        <v>33</v>
      </c>
      <c r="G18" s="26" t="s">
        <v>147</v>
      </c>
      <c r="H18" s="138">
        <v>0</v>
      </c>
      <c r="I18" s="30">
        <v>1904.8</v>
      </c>
      <c r="J18" s="13">
        <v>1.6</v>
      </c>
      <c r="K18" s="14">
        <v>23.8</v>
      </c>
      <c r="L18" s="14">
        <v>11.5</v>
      </c>
      <c r="M18" s="14">
        <v>0</v>
      </c>
      <c r="N18" s="14">
        <v>0</v>
      </c>
      <c r="O18" s="14">
        <v>16</v>
      </c>
      <c r="P18" s="14">
        <v>1449.4</v>
      </c>
      <c r="Q18" s="14">
        <v>0</v>
      </c>
      <c r="R18" s="14">
        <v>50</v>
      </c>
      <c r="S18" s="14">
        <v>197.4</v>
      </c>
      <c r="T18" s="14">
        <v>44.4</v>
      </c>
      <c r="U18" s="14">
        <v>87.66</v>
      </c>
      <c r="V18" s="14">
        <v>69684.800000000003</v>
      </c>
      <c r="W18" s="15">
        <v>99</v>
      </c>
      <c r="X18" s="13">
        <v>-1.6</v>
      </c>
      <c r="Y18" s="14">
        <v>14.4</v>
      </c>
      <c r="Z18" s="14">
        <v>4.0999999999999996</v>
      </c>
      <c r="AA18" s="14">
        <v>2</v>
      </c>
      <c r="AB18" s="14">
        <v>0</v>
      </c>
      <c r="AC18" s="14">
        <v>9</v>
      </c>
      <c r="AD18" s="14">
        <v>49.2</v>
      </c>
      <c r="AE18" s="14">
        <v>0</v>
      </c>
      <c r="AF18" s="14">
        <v>0</v>
      </c>
      <c r="AG18" s="14">
        <v>91</v>
      </c>
      <c r="AH18" s="14">
        <v>179.69</v>
      </c>
      <c r="AI18" s="14">
        <v>3707.9</v>
      </c>
      <c r="AJ18" s="14">
        <v>12</v>
      </c>
      <c r="AK18" s="15">
        <v>9</v>
      </c>
      <c r="AL18" s="13">
        <v>-2.4</v>
      </c>
      <c r="AM18" s="14">
        <v>14.4</v>
      </c>
      <c r="AN18" s="14">
        <v>7</v>
      </c>
      <c r="AO18" s="14">
        <v>6</v>
      </c>
      <c r="AP18" s="14">
        <v>0</v>
      </c>
      <c r="AQ18" s="14">
        <v>29</v>
      </c>
      <c r="AR18" s="14">
        <v>399.7</v>
      </c>
      <c r="AS18" s="14">
        <v>0</v>
      </c>
      <c r="AT18" s="14">
        <v>0</v>
      </c>
      <c r="AU18" s="14">
        <v>98.3</v>
      </c>
      <c r="AV18" s="14">
        <v>194.04</v>
      </c>
      <c r="AW18" s="14">
        <v>34188.800000000003</v>
      </c>
      <c r="AX18" s="15">
        <v>43</v>
      </c>
      <c r="AY18" s="13">
        <v>0.2</v>
      </c>
      <c r="AZ18" s="14">
        <v>16.100000000000001</v>
      </c>
      <c r="BA18" s="14">
        <v>8.5</v>
      </c>
      <c r="BB18" s="14">
        <v>0</v>
      </c>
      <c r="BC18" s="14">
        <v>0</v>
      </c>
      <c r="BD18" s="14">
        <v>12</v>
      </c>
      <c r="BE18" s="14">
        <v>178.5</v>
      </c>
      <c r="BF18" s="14">
        <v>0</v>
      </c>
      <c r="BG18" s="14">
        <v>0</v>
      </c>
      <c r="BH18" s="14">
        <v>95.7</v>
      </c>
      <c r="BI18" s="14">
        <v>188.91</v>
      </c>
      <c r="BJ18" s="14">
        <v>19329.099999999999</v>
      </c>
      <c r="BK18" s="14">
        <v>11</v>
      </c>
      <c r="BL18" s="15">
        <v>1.08</v>
      </c>
      <c r="BM18" s="13">
        <v>0</v>
      </c>
      <c r="BN18" s="14">
        <v>20.9</v>
      </c>
      <c r="BO18" s="14">
        <v>10.8</v>
      </c>
      <c r="BP18" s="14">
        <v>0</v>
      </c>
      <c r="BQ18" s="14">
        <v>0</v>
      </c>
      <c r="BR18" s="14">
        <v>13</v>
      </c>
      <c r="BS18" s="14">
        <v>0</v>
      </c>
      <c r="BT18" s="14">
        <v>0</v>
      </c>
      <c r="BU18" s="14">
        <v>86.8</v>
      </c>
      <c r="BV18" s="14">
        <v>171.32</v>
      </c>
      <c r="BW18" s="14">
        <v>43065.7</v>
      </c>
      <c r="BX18" s="15">
        <v>8</v>
      </c>
      <c r="BY18" s="13">
        <v>4.8</v>
      </c>
      <c r="BZ18" s="14">
        <v>21.7</v>
      </c>
      <c r="CA18" s="14">
        <v>13.9</v>
      </c>
      <c r="CB18" s="14">
        <v>0</v>
      </c>
      <c r="CC18" s="14">
        <v>0</v>
      </c>
      <c r="CD18" s="14">
        <v>1</v>
      </c>
      <c r="CE18" s="14">
        <v>0</v>
      </c>
      <c r="CF18" s="14">
        <v>0</v>
      </c>
      <c r="CG18" s="14">
        <v>72.599999999999994</v>
      </c>
      <c r="CH18" s="14">
        <v>143.36000000000001</v>
      </c>
      <c r="CI18" s="14">
        <v>27898.6</v>
      </c>
      <c r="CJ18" s="15">
        <v>8</v>
      </c>
      <c r="CK18" s="13">
        <v>9.6</v>
      </c>
      <c r="CL18" s="14">
        <v>25.9</v>
      </c>
      <c r="CM18" s="14">
        <v>16.399999999999999</v>
      </c>
      <c r="CN18" s="14">
        <v>0</v>
      </c>
      <c r="CO18" s="14">
        <v>2</v>
      </c>
      <c r="CP18" s="14">
        <v>0</v>
      </c>
      <c r="CQ18" s="14">
        <v>0</v>
      </c>
      <c r="CR18" s="14">
        <v>0</v>
      </c>
      <c r="CS18" s="14">
        <v>76.099999999999994</v>
      </c>
      <c r="CT18" s="14">
        <v>150.13</v>
      </c>
      <c r="CU18" s="14">
        <v>26241</v>
      </c>
      <c r="CV18" s="15">
        <v>16</v>
      </c>
      <c r="CW18" s="14">
        <v>392.04</v>
      </c>
      <c r="CX18" s="14">
        <v>5.79</v>
      </c>
      <c r="CY18" s="14">
        <v>1.04</v>
      </c>
      <c r="CZ18" s="14">
        <v>0</v>
      </c>
      <c r="DA18" s="14">
        <v>0</v>
      </c>
      <c r="DB18" s="14">
        <f t="shared" si="0"/>
        <v>0</v>
      </c>
      <c r="DC18" s="14">
        <v>0</v>
      </c>
      <c r="DD18" s="14">
        <v>0</v>
      </c>
      <c r="DE18" s="14">
        <v>0</v>
      </c>
      <c r="DF18" s="14">
        <v>0</v>
      </c>
      <c r="DG18" s="14" t="s">
        <v>193</v>
      </c>
    </row>
    <row r="19" spans="1:111" ht="15.75" thickBot="1" x14ac:dyDescent="0.3">
      <c r="A19" s="79"/>
      <c r="B19" s="83"/>
      <c r="C19" s="81"/>
      <c r="D19" s="81"/>
      <c r="E19" s="33" t="s">
        <v>27</v>
      </c>
      <c r="F19" s="81"/>
      <c r="G19" s="27" t="s">
        <v>147</v>
      </c>
      <c r="H19" s="139"/>
      <c r="I19" s="31">
        <v>1904.8</v>
      </c>
      <c r="J19" s="16">
        <v>1.6</v>
      </c>
      <c r="K19" s="17">
        <v>23.8</v>
      </c>
      <c r="L19" s="17">
        <v>11.5</v>
      </c>
      <c r="M19" s="17">
        <v>0</v>
      </c>
      <c r="N19" s="17">
        <v>0</v>
      </c>
      <c r="O19" s="17">
        <v>16</v>
      </c>
      <c r="P19" s="17">
        <v>1449.4</v>
      </c>
      <c r="Q19" s="17">
        <v>0</v>
      </c>
      <c r="R19" s="17">
        <v>50</v>
      </c>
      <c r="S19" s="17">
        <v>197.4</v>
      </c>
      <c r="T19" s="17">
        <v>44.4</v>
      </c>
      <c r="U19" s="17">
        <v>87.66</v>
      </c>
      <c r="V19" s="17">
        <v>69684.800000000003</v>
      </c>
      <c r="W19" s="18">
        <v>99</v>
      </c>
      <c r="X19" s="16">
        <v>-1.6</v>
      </c>
      <c r="Y19" s="17">
        <v>14.4</v>
      </c>
      <c r="Z19" s="17">
        <v>4.0999999999999996</v>
      </c>
      <c r="AA19" s="17">
        <v>2</v>
      </c>
      <c r="AB19" s="17">
        <v>0</v>
      </c>
      <c r="AC19" s="17">
        <v>9</v>
      </c>
      <c r="AD19" s="17">
        <v>49.2</v>
      </c>
      <c r="AE19" s="17">
        <v>0</v>
      </c>
      <c r="AF19" s="17">
        <v>0</v>
      </c>
      <c r="AG19" s="17">
        <v>91</v>
      </c>
      <c r="AH19" s="17">
        <v>179.69</v>
      </c>
      <c r="AI19" s="17">
        <v>3707.9</v>
      </c>
      <c r="AJ19" s="17">
        <v>12</v>
      </c>
      <c r="AK19" s="18">
        <v>9</v>
      </c>
      <c r="AL19" s="16">
        <v>-2.4</v>
      </c>
      <c r="AM19" s="17">
        <v>14.4</v>
      </c>
      <c r="AN19" s="17">
        <v>7</v>
      </c>
      <c r="AO19" s="17">
        <v>6</v>
      </c>
      <c r="AP19" s="17">
        <v>0</v>
      </c>
      <c r="AQ19" s="17">
        <v>29</v>
      </c>
      <c r="AR19" s="17">
        <v>399.7</v>
      </c>
      <c r="AS19" s="17">
        <v>0</v>
      </c>
      <c r="AT19" s="17">
        <v>0</v>
      </c>
      <c r="AU19" s="17">
        <v>98.3</v>
      </c>
      <c r="AV19" s="17">
        <v>194.04</v>
      </c>
      <c r="AW19" s="17">
        <v>34188.800000000003</v>
      </c>
      <c r="AX19" s="18">
        <v>43</v>
      </c>
      <c r="AY19" s="16">
        <v>0.2</v>
      </c>
      <c r="AZ19" s="17">
        <v>16.100000000000001</v>
      </c>
      <c r="BA19" s="17">
        <v>8.5</v>
      </c>
      <c r="BB19" s="17">
        <v>0</v>
      </c>
      <c r="BC19" s="17">
        <v>0</v>
      </c>
      <c r="BD19" s="17">
        <v>12</v>
      </c>
      <c r="BE19" s="17">
        <v>178.5</v>
      </c>
      <c r="BF19" s="17">
        <v>0</v>
      </c>
      <c r="BG19" s="17">
        <v>0</v>
      </c>
      <c r="BH19" s="17">
        <v>95.7</v>
      </c>
      <c r="BI19" s="17">
        <v>188.91</v>
      </c>
      <c r="BJ19" s="17">
        <v>19329.099999999999</v>
      </c>
      <c r="BK19" s="17">
        <v>11</v>
      </c>
      <c r="BL19" s="18">
        <v>1.08</v>
      </c>
      <c r="BM19" s="16">
        <v>0</v>
      </c>
      <c r="BN19" s="17">
        <v>20.9</v>
      </c>
      <c r="BO19" s="17">
        <v>10.8</v>
      </c>
      <c r="BP19" s="17">
        <v>0</v>
      </c>
      <c r="BQ19" s="17">
        <v>0</v>
      </c>
      <c r="BR19" s="17">
        <v>13</v>
      </c>
      <c r="BS19" s="17">
        <v>0</v>
      </c>
      <c r="BT19" s="17">
        <v>0</v>
      </c>
      <c r="BU19" s="17">
        <v>86.8</v>
      </c>
      <c r="BV19" s="17">
        <v>171.32</v>
      </c>
      <c r="BW19" s="17">
        <v>43065.7</v>
      </c>
      <c r="BX19" s="18">
        <v>8</v>
      </c>
      <c r="BY19" s="16">
        <v>4.8</v>
      </c>
      <c r="BZ19" s="17">
        <v>21.7</v>
      </c>
      <c r="CA19" s="17">
        <v>13.9</v>
      </c>
      <c r="CB19" s="17">
        <v>0</v>
      </c>
      <c r="CC19" s="17">
        <v>0</v>
      </c>
      <c r="CD19" s="17">
        <v>1</v>
      </c>
      <c r="CE19" s="17">
        <v>0</v>
      </c>
      <c r="CF19" s="17">
        <v>0</v>
      </c>
      <c r="CG19" s="17">
        <v>72.599999999999994</v>
      </c>
      <c r="CH19" s="17">
        <v>143.36000000000001</v>
      </c>
      <c r="CI19" s="17">
        <v>27898.6</v>
      </c>
      <c r="CJ19" s="18">
        <v>8</v>
      </c>
      <c r="CK19" s="16">
        <v>9.6</v>
      </c>
      <c r="CL19" s="17">
        <v>25.9</v>
      </c>
      <c r="CM19" s="17">
        <v>16.399999999999999</v>
      </c>
      <c r="CN19" s="17">
        <v>0</v>
      </c>
      <c r="CO19" s="17">
        <v>2</v>
      </c>
      <c r="CP19" s="17">
        <v>0</v>
      </c>
      <c r="CQ19" s="17">
        <v>0</v>
      </c>
      <c r="CR19" s="17">
        <v>0</v>
      </c>
      <c r="CS19" s="17">
        <v>76.099999999999994</v>
      </c>
      <c r="CT19" s="17">
        <v>150.13</v>
      </c>
      <c r="CU19" s="17">
        <v>26241</v>
      </c>
      <c r="CV19" s="18">
        <v>16</v>
      </c>
      <c r="CW19" s="17">
        <v>428.96</v>
      </c>
      <c r="CX19" s="17">
        <v>5.6</v>
      </c>
      <c r="CY19" s="17">
        <v>1.02</v>
      </c>
      <c r="CZ19" s="17">
        <v>70</v>
      </c>
      <c r="DA19" s="17">
        <v>195.19</v>
      </c>
      <c r="DB19" s="149">
        <f t="shared" si="0"/>
        <v>98.880445795339412</v>
      </c>
      <c r="DC19" s="17">
        <v>3</v>
      </c>
      <c r="DD19" s="17">
        <v>0</v>
      </c>
      <c r="DE19" s="17">
        <v>6</v>
      </c>
      <c r="DF19" s="17">
        <v>51</v>
      </c>
      <c r="DG19" s="17" t="s">
        <v>193</v>
      </c>
    </row>
    <row r="20" spans="1:111" x14ac:dyDescent="0.25">
      <c r="A20" s="74" t="s">
        <v>57</v>
      </c>
      <c r="B20" s="82"/>
      <c r="C20" s="76" t="s">
        <v>140</v>
      </c>
      <c r="D20" s="76" t="s">
        <v>71</v>
      </c>
      <c r="E20" s="32" t="s">
        <v>26</v>
      </c>
      <c r="F20" s="76" t="s">
        <v>33</v>
      </c>
      <c r="G20" s="25" t="s">
        <v>186</v>
      </c>
      <c r="H20" s="140">
        <v>-2</v>
      </c>
      <c r="I20" s="28">
        <v>1800.7</v>
      </c>
      <c r="J20" s="9">
        <v>4.4000000000000004</v>
      </c>
      <c r="K20" s="8">
        <v>26.3</v>
      </c>
      <c r="L20" s="8">
        <v>12.8</v>
      </c>
      <c r="M20" s="8">
        <v>0</v>
      </c>
      <c r="N20" s="8">
        <v>2</v>
      </c>
      <c r="O20" s="8">
        <v>4</v>
      </c>
      <c r="P20" s="8">
        <v>1035.4000000000001</v>
      </c>
      <c r="Q20" s="8">
        <v>0</v>
      </c>
      <c r="R20" s="8">
        <v>27</v>
      </c>
      <c r="S20" s="8">
        <v>153.6</v>
      </c>
      <c r="T20" s="8">
        <v>46.2</v>
      </c>
      <c r="U20" s="8">
        <v>70.959999999999994</v>
      </c>
      <c r="V20" s="8">
        <v>50931.1</v>
      </c>
      <c r="W20" s="10">
        <v>61</v>
      </c>
      <c r="X20" s="9">
        <v>-3.5</v>
      </c>
      <c r="Y20" s="8">
        <v>13.6</v>
      </c>
      <c r="Z20" s="8">
        <v>4.4000000000000004</v>
      </c>
      <c r="AA20" s="8">
        <v>22</v>
      </c>
      <c r="AB20" s="8">
        <v>0</v>
      </c>
      <c r="AC20" s="8">
        <v>61</v>
      </c>
      <c r="AD20" s="8">
        <v>426.7</v>
      </c>
      <c r="AE20" s="8">
        <v>0</v>
      </c>
      <c r="AF20" s="8">
        <v>0</v>
      </c>
      <c r="AG20" s="8">
        <v>95.2</v>
      </c>
      <c r="AH20" s="8">
        <v>146.19</v>
      </c>
      <c r="AI20" s="8">
        <v>31498.1</v>
      </c>
      <c r="AJ20" s="8">
        <v>94</v>
      </c>
      <c r="AK20" s="10">
        <v>49</v>
      </c>
      <c r="AL20" s="9">
        <v>-1.6</v>
      </c>
      <c r="AM20" s="8">
        <v>24.2</v>
      </c>
      <c r="AN20" s="8">
        <v>8</v>
      </c>
      <c r="AO20" s="8">
        <v>2</v>
      </c>
      <c r="AP20" s="8">
        <v>0</v>
      </c>
      <c r="AQ20" s="8">
        <v>22</v>
      </c>
      <c r="AR20" s="8">
        <v>327.60000000000002</v>
      </c>
      <c r="AS20" s="8">
        <v>0</v>
      </c>
      <c r="AT20" s="8">
        <v>0</v>
      </c>
      <c r="AU20" s="8">
        <v>89.8</v>
      </c>
      <c r="AV20" s="8">
        <v>137.97</v>
      </c>
      <c r="AW20" s="8">
        <v>45159.4</v>
      </c>
      <c r="AX20" s="10">
        <v>15</v>
      </c>
      <c r="AY20" s="9">
        <v>2.6</v>
      </c>
      <c r="AZ20" s="8">
        <v>22.5</v>
      </c>
      <c r="BA20" s="8">
        <v>11.6</v>
      </c>
      <c r="BB20" s="8">
        <v>0</v>
      </c>
      <c r="BC20" s="8">
        <v>0</v>
      </c>
      <c r="BD20" s="8">
        <v>5</v>
      </c>
      <c r="BE20" s="8">
        <v>243.5</v>
      </c>
      <c r="BF20" s="8">
        <v>0</v>
      </c>
      <c r="BG20" s="8">
        <v>0</v>
      </c>
      <c r="BH20" s="8">
        <v>61.1</v>
      </c>
      <c r="BI20" s="8">
        <v>93.88</v>
      </c>
      <c r="BJ20" s="8">
        <v>32231</v>
      </c>
      <c r="BK20" s="8">
        <v>4</v>
      </c>
      <c r="BL20" s="10">
        <v>1.32</v>
      </c>
      <c r="BM20" s="9">
        <v>6.3</v>
      </c>
      <c r="BN20" s="8">
        <v>23.6</v>
      </c>
      <c r="BO20" s="8">
        <v>13.3</v>
      </c>
      <c r="BP20" s="8">
        <v>0</v>
      </c>
      <c r="BQ20" s="8">
        <v>0</v>
      </c>
      <c r="BR20" s="8">
        <v>0</v>
      </c>
      <c r="BS20" s="8">
        <v>0</v>
      </c>
      <c r="BT20" s="8">
        <v>6</v>
      </c>
      <c r="BU20" s="8">
        <v>41.4</v>
      </c>
      <c r="BV20" s="8">
        <v>63.54</v>
      </c>
      <c r="BW20" s="8">
        <v>36677.9</v>
      </c>
      <c r="BX20" s="10">
        <v>4</v>
      </c>
      <c r="BY20" s="9">
        <v>8.6</v>
      </c>
      <c r="BZ20" s="8">
        <v>31.1</v>
      </c>
      <c r="CA20" s="8">
        <v>16.3</v>
      </c>
      <c r="CB20" s="8">
        <v>0</v>
      </c>
      <c r="CC20" s="8">
        <v>3</v>
      </c>
      <c r="CD20" s="8">
        <v>0</v>
      </c>
      <c r="CE20" s="8">
        <v>7</v>
      </c>
      <c r="CF20" s="8">
        <v>12</v>
      </c>
      <c r="CG20" s="8">
        <v>9.1</v>
      </c>
      <c r="CH20" s="8">
        <v>13.93</v>
      </c>
      <c r="CI20" s="8">
        <v>39258.6</v>
      </c>
      <c r="CJ20" s="10">
        <v>2</v>
      </c>
      <c r="CK20" s="9">
        <v>9.6</v>
      </c>
      <c r="CL20" s="8">
        <v>33.6</v>
      </c>
      <c r="CM20" s="8">
        <v>19.2</v>
      </c>
      <c r="CN20" s="8">
        <v>0</v>
      </c>
      <c r="CO20" s="8">
        <v>7</v>
      </c>
      <c r="CP20" s="8">
        <v>0</v>
      </c>
      <c r="CQ20" s="8">
        <v>8</v>
      </c>
      <c r="CR20" s="8">
        <v>13</v>
      </c>
      <c r="CS20" s="8">
        <v>3.5</v>
      </c>
      <c r="CT20" s="8">
        <v>5.39</v>
      </c>
      <c r="CU20" s="8">
        <v>40621.300000000003</v>
      </c>
      <c r="CV20" s="10">
        <v>2</v>
      </c>
      <c r="CW20" s="8" t="s">
        <v>193</v>
      </c>
      <c r="CX20" s="8">
        <v>7.75</v>
      </c>
      <c r="CY20" s="8" t="s">
        <v>193</v>
      </c>
      <c r="CZ20" s="8">
        <v>75</v>
      </c>
      <c r="DA20" s="8">
        <v>144.77000000000001</v>
      </c>
      <c r="DB20" s="146">
        <f t="shared" si="0"/>
        <v>94.251302083333343</v>
      </c>
      <c r="DC20" s="8">
        <v>2</v>
      </c>
      <c r="DD20" s="8">
        <v>2</v>
      </c>
      <c r="DE20" s="8">
        <v>3</v>
      </c>
      <c r="DF20" s="8">
        <v>34.4</v>
      </c>
      <c r="DG20" s="8">
        <v>29</v>
      </c>
    </row>
    <row r="21" spans="1:111" ht="15.75" thickBot="1" x14ac:dyDescent="0.3">
      <c r="A21" s="75"/>
      <c r="B21" s="83"/>
      <c r="C21" s="77"/>
      <c r="D21" s="77"/>
      <c r="E21" s="33" t="s">
        <v>27</v>
      </c>
      <c r="F21" s="77"/>
      <c r="G21" s="24" t="s">
        <v>185</v>
      </c>
      <c r="H21" s="141"/>
      <c r="I21" s="29">
        <v>1775.6</v>
      </c>
      <c r="J21" s="5">
        <v>4.4000000000000004</v>
      </c>
      <c r="K21" s="6">
        <v>26.3</v>
      </c>
      <c r="L21" s="6">
        <v>12.8</v>
      </c>
      <c r="M21" s="6">
        <v>0</v>
      </c>
      <c r="N21" s="6">
        <v>2</v>
      </c>
      <c r="O21" s="6">
        <v>4</v>
      </c>
      <c r="P21" s="6">
        <v>1035.4000000000001</v>
      </c>
      <c r="Q21" s="6">
        <v>0</v>
      </c>
      <c r="R21" s="6">
        <v>27</v>
      </c>
      <c r="S21" s="6">
        <v>153.6</v>
      </c>
      <c r="T21" s="6">
        <v>46.2</v>
      </c>
      <c r="U21" s="6">
        <v>70.959999999999994</v>
      </c>
      <c r="V21" s="6">
        <v>50931.1</v>
      </c>
      <c r="W21" s="7">
        <v>61</v>
      </c>
      <c r="X21" s="5">
        <v>-3.5</v>
      </c>
      <c r="Y21" s="6">
        <v>13.6</v>
      </c>
      <c r="Z21" s="6">
        <v>4.4000000000000004</v>
      </c>
      <c r="AA21" s="6">
        <v>22</v>
      </c>
      <c r="AB21" s="6">
        <v>0</v>
      </c>
      <c r="AC21" s="6">
        <v>61</v>
      </c>
      <c r="AD21" s="6">
        <v>426.7</v>
      </c>
      <c r="AE21" s="6">
        <v>0</v>
      </c>
      <c r="AF21" s="6">
        <v>0</v>
      </c>
      <c r="AG21" s="6">
        <v>95.2</v>
      </c>
      <c r="AH21" s="6">
        <v>146.19</v>
      </c>
      <c r="AI21" s="6">
        <v>31498.1</v>
      </c>
      <c r="AJ21" s="6">
        <v>94</v>
      </c>
      <c r="AK21" s="7">
        <v>49</v>
      </c>
      <c r="AL21" s="5">
        <v>-1.6</v>
      </c>
      <c r="AM21" s="6">
        <v>21.7</v>
      </c>
      <c r="AN21" s="6">
        <v>7.6</v>
      </c>
      <c r="AO21" s="6">
        <v>2</v>
      </c>
      <c r="AP21" s="6">
        <v>0</v>
      </c>
      <c r="AQ21" s="6">
        <v>22</v>
      </c>
      <c r="AR21" s="6">
        <v>297.5</v>
      </c>
      <c r="AS21" s="6">
        <v>0</v>
      </c>
      <c r="AT21" s="6">
        <v>0</v>
      </c>
      <c r="AU21" s="6">
        <v>90.4</v>
      </c>
      <c r="AV21" s="6">
        <v>138.83000000000001</v>
      </c>
      <c r="AW21" s="6">
        <v>41913.4</v>
      </c>
      <c r="AX21" s="7">
        <v>15</v>
      </c>
      <c r="AY21" s="5">
        <v>2.6</v>
      </c>
      <c r="AZ21" s="6">
        <v>24.2</v>
      </c>
      <c r="BA21" s="6">
        <v>11.9</v>
      </c>
      <c r="BB21" s="6">
        <v>0</v>
      </c>
      <c r="BC21" s="6">
        <v>0</v>
      </c>
      <c r="BD21" s="6">
        <v>5</v>
      </c>
      <c r="BE21" s="6">
        <v>249.1</v>
      </c>
      <c r="BF21" s="6">
        <v>0</v>
      </c>
      <c r="BG21" s="6">
        <v>0</v>
      </c>
      <c r="BH21" s="6">
        <v>62.5</v>
      </c>
      <c r="BI21" s="6">
        <v>95.98</v>
      </c>
      <c r="BJ21" s="6">
        <v>32208.3</v>
      </c>
      <c r="BK21" s="6">
        <v>4</v>
      </c>
      <c r="BL21" s="7">
        <v>1.29</v>
      </c>
      <c r="BM21" s="5">
        <v>6.3</v>
      </c>
      <c r="BN21" s="6">
        <v>23.6</v>
      </c>
      <c r="BO21" s="6">
        <v>13.3</v>
      </c>
      <c r="BP21" s="6">
        <v>0</v>
      </c>
      <c r="BQ21" s="6">
        <v>0</v>
      </c>
      <c r="BR21" s="6">
        <v>0</v>
      </c>
      <c r="BS21" s="6">
        <v>0</v>
      </c>
      <c r="BT21" s="6">
        <v>4</v>
      </c>
      <c r="BU21" s="6">
        <v>44.7</v>
      </c>
      <c r="BV21" s="6">
        <v>68.599999999999994</v>
      </c>
      <c r="BW21" s="6">
        <v>37295.5</v>
      </c>
      <c r="BX21" s="7">
        <v>3</v>
      </c>
      <c r="BY21" s="5">
        <v>8.6</v>
      </c>
      <c r="BZ21" s="6">
        <v>31.1</v>
      </c>
      <c r="CA21" s="6">
        <v>15.8</v>
      </c>
      <c r="CB21" s="6">
        <v>0</v>
      </c>
      <c r="CC21" s="6">
        <v>3</v>
      </c>
      <c r="CD21" s="6">
        <v>0</v>
      </c>
      <c r="CE21" s="6">
        <v>6</v>
      </c>
      <c r="CF21" s="6">
        <v>14</v>
      </c>
      <c r="CG21" s="6">
        <v>11.2</v>
      </c>
      <c r="CH21" s="6">
        <v>17.14</v>
      </c>
      <c r="CI21" s="6">
        <v>40592.6</v>
      </c>
      <c r="CJ21" s="7">
        <v>3</v>
      </c>
      <c r="CK21" s="5">
        <v>9.6</v>
      </c>
      <c r="CL21" s="6">
        <v>33.6</v>
      </c>
      <c r="CM21" s="6">
        <v>19.100000000000001</v>
      </c>
      <c r="CN21" s="6">
        <v>0</v>
      </c>
      <c r="CO21" s="6">
        <v>7</v>
      </c>
      <c r="CP21" s="6">
        <v>0</v>
      </c>
      <c r="CQ21" s="6">
        <v>9</v>
      </c>
      <c r="CR21" s="6">
        <v>12</v>
      </c>
      <c r="CS21" s="6">
        <v>3.6</v>
      </c>
      <c r="CT21" s="6">
        <v>5.51</v>
      </c>
      <c r="CU21" s="6">
        <v>39704.199999999997</v>
      </c>
      <c r="CV21" s="7">
        <v>2</v>
      </c>
      <c r="CW21" s="6" t="s">
        <v>193</v>
      </c>
      <c r="CX21" s="6">
        <v>8.4600000000000009</v>
      </c>
      <c r="CY21" s="6" t="s">
        <v>193</v>
      </c>
      <c r="CZ21" s="6">
        <v>175</v>
      </c>
      <c r="DA21" s="6">
        <v>124.45</v>
      </c>
      <c r="DB21" s="147">
        <f t="shared" si="0"/>
        <v>81.022135416666671</v>
      </c>
      <c r="DC21" s="6">
        <v>3.7</v>
      </c>
      <c r="DD21" s="6">
        <v>5.4</v>
      </c>
      <c r="DE21" s="6">
        <v>1.3</v>
      </c>
      <c r="DF21" s="6">
        <v>17.5</v>
      </c>
      <c r="DG21" s="6">
        <v>29</v>
      </c>
    </row>
    <row r="22" spans="1:111" x14ac:dyDescent="0.25">
      <c r="A22" s="78" t="s">
        <v>58</v>
      </c>
      <c r="B22" s="82"/>
      <c r="C22" s="80" t="s">
        <v>140</v>
      </c>
      <c r="D22" s="80" t="s">
        <v>72</v>
      </c>
      <c r="E22" s="32" t="s">
        <v>26</v>
      </c>
      <c r="F22" s="80" t="s">
        <v>33</v>
      </c>
      <c r="G22" s="20" t="s">
        <v>188</v>
      </c>
      <c r="H22" s="130" t="s">
        <v>160</v>
      </c>
      <c r="I22" s="30">
        <v>1810</v>
      </c>
      <c r="J22" s="13">
        <v>-0.1</v>
      </c>
      <c r="K22" s="14">
        <v>30.7</v>
      </c>
      <c r="L22" s="14">
        <v>12.4</v>
      </c>
      <c r="M22" s="14">
        <v>1</v>
      </c>
      <c r="N22" s="14">
        <v>2</v>
      </c>
      <c r="O22" s="14">
        <v>7</v>
      </c>
      <c r="P22" s="14">
        <v>906.7</v>
      </c>
      <c r="Q22" s="14">
        <v>2</v>
      </c>
      <c r="R22" s="14">
        <v>34</v>
      </c>
      <c r="S22" s="14">
        <v>189.6</v>
      </c>
      <c r="T22" s="14">
        <v>42.8</v>
      </c>
      <c r="U22" s="14">
        <v>81.09</v>
      </c>
      <c r="V22" s="14">
        <v>46235.9</v>
      </c>
      <c r="W22" s="15">
        <v>58</v>
      </c>
      <c r="X22" s="13">
        <v>-2.8</v>
      </c>
      <c r="Y22" s="14">
        <v>9.6</v>
      </c>
      <c r="Z22" s="14">
        <v>4.0999999999999996</v>
      </c>
      <c r="AA22" s="14">
        <v>7</v>
      </c>
      <c r="AB22" s="14">
        <v>0</v>
      </c>
      <c r="AC22" s="14">
        <v>22</v>
      </c>
      <c r="AD22" s="14">
        <v>127.8</v>
      </c>
      <c r="AE22" s="14">
        <v>0</v>
      </c>
      <c r="AF22" s="14">
        <v>0</v>
      </c>
      <c r="AG22" s="14">
        <v>88.6</v>
      </c>
      <c r="AH22" s="14">
        <v>168.04</v>
      </c>
      <c r="AI22" s="14">
        <v>8803</v>
      </c>
      <c r="AJ22" s="14">
        <v>31</v>
      </c>
      <c r="AK22" s="15">
        <v>29</v>
      </c>
      <c r="AL22" s="13">
        <v>-1.5</v>
      </c>
      <c r="AM22" s="14">
        <v>20</v>
      </c>
      <c r="AN22" s="14">
        <v>6.9</v>
      </c>
      <c r="AO22" s="14">
        <v>5</v>
      </c>
      <c r="AP22" s="14">
        <v>0</v>
      </c>
      <c r="AQ22" s="14">
        <v>65</v>
      </c>
      <c r="AR22" s="14">
        <v>775.5</v>
      </c>
      <c r="AS22" s="14">
        <v>0</v>
      </c>
      <c r="AT22" s="14">
        <v>0</v>
      </c>
      <c r="AU22" s="14">
        <v>95</v>
      </c>
      <c r="AV22" s="14">
        <v>180.05</v>
      </c>
      <c r="AW22" s="14">
        <v>60647.8</v>
      </c>
      <c r="AX22" s="15">
        <v>84</v>
      </c>
      <c r="AY22" s="13">
        <v>3.2</v>
      </c>
      <c r="AZ22" s="14">
        <v>20.6</v>
      </c>
      <c r="BA22" s="14">
        <v>10.6</v>
      </c>
      <c r="BB22" s="14">
        <v>0</v>
      </c>
      <c r="BC22" s="14">
        <v>0</v>
      </c>
      <c r="BD22" s="14">
        <v>6</v>
      </c>
      <c r="BE22" s="14">
        <v>223.1</v>
      </c>
      <c r="BF22" s="14">
        <v>0</v>
      </c>
      <c r="BG22" s="14">
        <v>0</v>
      </c>
      <c r="BH22" s="14">
        <v>65.599999999999994</v>
      </c>
      <c r="BI22" s="14">
        <v>124.42</v>
      </c>
      <c r="BJ22" s="14">
        <v>27230.7</v>
      </c>
      <c r="BK22" s="14">
        <v>5</v>
      </c>
      <c r="BL22" s="15">
        <v>1.22</v>
      </c>
      <c r="BM22" s="13">
        <v>4.3</v>
      </c>
      <c r="BN22" s="14">
        <v>24.4</v>
      </c>
      <c r="BO22" s="14">
        <v>12.2</v>
      </c>
      <c r="BP22" s="14">
        <v>0</v>
      </c>
      <c r="BQ22" s="14">
        <v>0</v>
      </c>
      <c r="BR22" s="14">
        <v>1</v>
      </c>
      <c r="BS22" s="14">
        <v>0</v>
      </c>
      <c r="BT22" s="14">
        <v>0</v>
      </c>
      <c r="BU22" s="14">
        <v>62.9</v>
      </c>
      <c r="BV22" s="14">
        <v>119.22</v>
      </c>
      <c r="BW22" s="14">
        <v>37198.9</v>
      </c>
      <c r="BX22" s="15">
        <v>7</v>
      </c>
      <c r="BY22" s="13">
        <v>7.4</v>
      </c>
      <c r="BZ22" s="14">
        <v>25.5</v>
      </c>
      <c r="CA22" s="14">
        <v>15.2</v>
      </c>
      <c r="CB22" s="14">
        <v>0</v>
      </c>
      <c r="CC22" s="14">
        <v>2</v>
      </c>
      <c r="CD22" s="14">
        <v>0</v>
      </c>
      <c r="CE22" s="14">
        <v>0</v>
      </c>
      <c r="CF22" s="14">
        <v>0</v>
      </c>
      <c r="CG22" s="14">
        <v>69.599999999999994</v>
      </c>
      <c r="CH22" s="14">
        <v>131.88</v>
      </c>
      <c r="CI22" s="14">
        <v>28883.1</v>
      </c>
      <c r="CJ22" s="15">
        <v>5</v>
      </c>
      <c r="CK22" s="13">
        <v>8.6</v>
      </c>
      <c r="CL22" s="14">
        <v>25.9</v>
      </c>
      <c r="CM22" s="14">
        <v>16.399999999999999</v>
      </c>
      <c r="CN22" s="14">
        <v>0</v>
      </c>
      <c r="CO22" s="14">
        <v>1</v>
      </c>
      <c r="CP22" s="14">
        <v>0</v>
      </c>
      <c r="CQ22" s="14">
        <v>0</v>
      </c>
      <c r="CR22" s="14">
        <v>0</v>
      </c>
      <c r="CS22" s="14">
        <v>65.5</v>
      </c>
      <c r="CT22" s="14">
        <v>124.15</v>
      </c>
      <c r="CU22" s="14">
        <v>42337.2</v>
      </c>
      <c r="CV22" s="15">
        <v>3</v>
      </c>
      <c r="CW22" s="14">
        <v>205.74</v>
      </c>
      <c r="CX22" s="14">
        <v>2.85</v>
      </c>
      <c r="CY22" s="14">
        <v>0.82</v>
      </c>
      <c r="CZ22" s="14">
        <v>30</v>
      </c>
      <c r="DA22" s="14">
        <v>166.98</v>
      </c>
      <c r="DB22" s="148">
        <f t="shared" si="0"/>
        <v>88.069620253164558</v>
      </c>
      <c r="DC22" s="14">
        <v>6</v>
      </c>
      <c r="DD22" s="14">
        <v>3</v>
      </c>
      <c r="DE22" s="14">
        <v>0</v>
      </c>
      <c r="DF22" s="14">
        <v>8.8000000000000007</v>
      </c>
      <c r="DG22" s="14" t="s">
        <v>193</v>
      </c>
    </row>
    <row r="23" spans="1:111" ht="15.75" thickBot="1" x14ac:dyDescent="0.3">
      <c r="A23" s="79"/>
      <c r="B23" s="83"/>
      <c r="C23" s="81"/>
      <c r="D23" s="81"/>
      <c r="E23" s="33" t="s">
        <v>27</v>
      </c>
      <c r="F23" s="81"/>
      <c r="G23" s="21" t="s">
        <v>187</v>
      </c>
      <c r="H23" s="131"/>
      <c r="I23" s="31">
        <v>1824.7</v>
      </c>
      <c r="J23" s="16">
        <v>-0.1</v>
      </c>
      <c r="K23" s="17">
        <v>30.7</v>
      </c>
      <c r="L23" s="17">
        <v>12.4</v>
      </c>
      <c r="M23" s="17">
        <v>1</v>
      </c>
      <c r="N23" s="17">
        <v>2</v>
      </c>
      <c r="O23" s="17">
        <v>7</v>
      </c>
      <c r="P23" s="17">
        <v>906.7</v>
      </c>
      <c r="Q23" s="17">
        <v>2</v>
      </c>
      <c r="R23" s="17">
        <v>34</v>
      </c>
      <c r="S23" s="17">
        <v>189.6</v>
      </c>
      <c r="T23" s="17">
        <v>42.8</v>
      </c>
      <c r="U23" s="17">
        <v>81.09</v>
      </c>
      <c r="V23" s="17">
        <v>46235.9</v>
      </c>
      <c r="W23" s="18">
        <v>58</v>
      </c>
      <c r="X23" s="16">
        <v>-2.8</v>
      </c>
      <c r="Y23" s="17">
        <v>9.6</v>
      </c>
      <c r="Z23" s="17">
        <v>4.0999999999999996</v>
      </c>
      <c r="AA23" s="17">
        <v>7</v>
      </c>
      <c r="AB23" s="17">
        <v>0</v>
      </c>
      <c r="AC23" s="17">
        <v>22</v>
      </c>
      <c r="AD23" s="17">
        <v>127.8</v>
      </c>
      <c r="AE23" s="17">
        <v>0</v>
      </c>
      <c r="AF23" s="17">
        <v>0</v>
      </c>
      <c r="AG23" s="17">
        <v>88.6</v>
      </c>
      <c r="AH23" s="17">
        <v>168.04</v>
      </c>
      <c r="AI23" s="17">
        <v>8803</v>
      </c>
      <c r="AJ23" s="17">
        <v>31</v>
      </c>
      <c r="AK23" s="18">
        <v>29</v>
      </c>
      <c r="AL23" s="16">
        <v>-1.5</v>
      </c>
      <c r="AM23" s="17">
        <v>20</v>
      </c>
      <c r="AN23" s="17">
        <v>7</v>
      </c>
      <c r="AO23" s="17">
        <v>5</v>
      </c>
      <c r="AP23" s="17">
        <v>0</v>
      </c>
      <c r="AQ23" s="17">
        <v>65</v>
      </c>
      <c r="AR23" s="17">
        <v>775.5</v>
      </c>
      <c r="AS23" s="17">
        <v>0</v>
      </c>
      <c r="AT23" s="17">
        <v>0</v>
      </c>
      <c r="AU23" s="17">
        <v>94.8</v>
      </c>
      <c r="AV23" s="17">
        <v>179.65</v>
      </c>
      <c r="AW23" s="17">
        <v>60993.4</v>
      </c>
      <c r="AX23" s="18">
        <v>85</v>
      </c>
      <c r="AY23" s="16">
        <v>3.2</v>
      </c>
      <c r="AZ23" s="17">
        <v>20.6</v>
      </c>
      <c r="BA23" s="17">
        <v>10.4</v>
      </c>
      <c r="BB23" s="17">
        <v>0</v>
      </c>
      <c r="BC23" s="17">
        <v>0</v>
      </c>
      <c r="BD23" s="17">
        <v>6</v>
      </c>
      <c r="BE23" s="17">
        <v>218.5</v>
      </c>
      <c r="BF23" s="17">
        <v>0</v>
      </c>
      <c r="BG23" s="17">
        <v>0</v>
      </c>
      <c r="BH23" s="17">
        <v>65</v>
      </c>
      <c r="BI23" s="17">
        <v>123.25</v>
      </c>
      <c r="BJ23" s="17">
        <v>27449.9</v>
      </c>
      <c r="BK23" s="17">
        <v>5</v>
      </c>
      <c r="BL23" s="18">
        <v>1.26</v>
      </c>
      <c r="BM23" s="16">
        <v>4.3</v>
      </c>
      <c r="BN23" s="17">
        <v>24.4</v>
      </c>
      <c r="BO23" s="17">
        <v>12.4</v>
      </c>
      <c r="BP23" s="17">
        <v>0</v>
      </c>
      <c r="BQ23" s="17">
        <v>0</v>
      </c>
      <c r="BR23" s="17">
        <v>1</v>
      </c>
      <c r="BS23" s="17">
        <v>0</v>
      </c>
      <c r="BT23" s="17">
        <v>0</v>
      </c>
      <c r="BU23" s="17">
        <v>63.4</v>
      </c>
      <c r="BV23" s="17">
        <v>120.12</v>
      </c>
      <c r="BW23" s="17">
        <v>38204.6</v>
      </c>
      <c r="BX23" s="18">
        <v>6</v>
      </c>
      <c r="BY23" s="16">
        <v>7.4</v>
      </c>
      <c r="BZ23" s="17">
        <v>25.5</v>
      </c>
      <c r="CA23" s="17">
        <v>15.3</v>
      </c>
      <c r="CB23" s="17">
        <v>0</v>
      </c>
      <c r="CC23" s="17">
        <v>2</v>
      </c>
      <c r="CD23" s="17">
        <v>0</v>
      </c>
      <c r="CE23" s="17">
        <v>0</v>
      </c>
      <c r="CF23" s="17">
        <v>0</v>
      </c>
      <c r="CG23" s="17">
        <v>69.8</v>
      </c>
      <c r="CH23" s="17">
        <v>132.37</v>
      </c>
      <c r="CI23" s="17">
        <v>29336.799999999999</v>
      </c>
      <c r="CJ23" s="18">
        <v>5</v>
      </c>
      <c r="CK23" s="16">
        <v>8.6</v>
      </c>
      <c r="CL23" s="17">
        <v>25.9</v>
      </c>
      <c r="CM23" s="17">
        <v>16.3</v>
      </c>
      <c r="CN23" s="17">
        <v>0</v>
      </c>
      <c r="CO23" s="17">
        <v>1</v>
      </c>
      <c r="CP23" s="17">
        <v>0</v>
      </c>
      <c r="CQ23" s="17">
        <v>0</v>
      </c>
      <c r="CR23" s="17">
        <v>0</v>
      </c>
      <c r="CS23" s="17">
        <v>65</v>
      </c>
      <c r="CT23" s="17">
        <v>123.17</v>
      </c>
      <c r="CU23" s="17">
        <v>41022.1</v>
      </c>
      <c r="CV23" s="18">
        <v>4</v>
      </c>
      <c r="CW23" s="17">
        <v>292.41000000000003</v>
      </c>
      <c r="CX23" s="17">
        <v>3.3</v>
      </c>
      <c r="CY23" s="17">
        <v>1.1200000000000001</v>
      </c>
      <c r="CZ23" s="17">
        <v>90</v>
      </c>
      <c r="DA23" s="17">
        <v>175.81</v>
      </c>
      <c r="DB23" s="149">
        <f t="shared" si="0"/>
        <v>92.726793248945157</v>
      </c>
      <c r="DC23" s="17">
        <v>3.8</v>
      </c>
      <c r="DD23" s="17">
        <v>3.9</v>
      </c>
      <c r="DE23" s="17">
        <v>1.8</v>
      </c>
      <c r="DF23" s="17">
        <v>11.8</v>
      </c>
      <c r="DG23" s="17" t="s">
        <v>193</v>
      </c>
    </row>
    <row r="24" spans="1:111" x14ac:dyDescent="0.25">
      <c r="A24" s="74" t="s">
        <v>59</v>
      </c>
      <c r="B24" s="82"/>
      <c r="C24" s="76" t="s">
        <v>140</v>
      </c>
      <c r="D24" s="76" t="s">
        <v>73</v>
      </c>
      <c r="E24" s="32" t="s">
        <v>26</v>
      </c>
      <c r="F24" s="76" t="s">
        <v>33</v>
      </c>
      <c r="G24" s="19" t="s">
        <v>191</v>
      </c>
      <c r="H24" s="132">
        <v>5</v>
      </c>
      <c r="I24" s="28">
        <v>1811.6</v>
      </c>
      <c r="J24" s="9">
        <v>0.4</v>
      </c>
      <c r="K24" s="8">
        <v>30.7</v>
      </c>
      <c r="L24" s="8">
        <v>13.5</v>
      </c>
      <c r="M24" s="8">
        <v>0</v>
      </c>
      <c r="N24" s="8">
        <v>3</v>
      </c>
      <c r="O24" s="8">
        <v>7</v>
      </c>
      <c r="P24" s="8">
        <v>986</v>
      </c>
      <c r="Q24" s="8">
        <v>6</v>
      </c>
      <c r="R24" s="8">
        <v>18</v>
      </c>
      <c r="S24" s="8">
        <v>138.9</v>
      </c>
      <c r="T24" s="8">
        <v>57</v>
      </c>
      <c r="U24" s="8">
        <v>79.13</v>
      </c>
      <c r="V24" s="8">
        <v>45613.9</v>
      </c>
      <c r="W24" s="10">
        <v>58</v>
      </c>
      <c r="X24" s="9">
        <v>-4</v>
      </c>
      <c r="Y24" s="8">
        <v>11.4</v>
      </c>
      <c r="Z24" s="8">
        <v>4</v>
      </c>
      <c r="AA24" s="8">
        <v>13</v>
      </c>
      <c r="AB24" s="8">
        <v>0</v>
      </c>
      <c r="AC24" s="8">
        <v>22</v>
      </c>
      <c r="AD24" s="8">
        <v>150.6</v>
      </c>
      <c r="AE24" s="8">
        <v>0</v>
      </c>
      <c r="AF24" s="8">
        <v>0</v>
      </c>
      <c r="AG24" s="8">
        <v>96.3</v>
      </c>
      <c r="AH24" s="8">
        <v>133.79</v>
      </c>
      <c r="AI24" s="8">
        <v>13136.5</v>
      </c>
      <c r="AJ24" s="8">
        <v>37</v>
      </c>
      <c r="AK24" s="10">
        <v>20</v>
      </c>
      <c r="AL24" s="9">
        <v>-1.5</v>
      </c>
      <c r="AM24" s="8">
        <v>19.399999999999999</v>
      </c>
      <c r="AN24" s="8">
        <v>7.2</v>
      </c>
      <c r="AO24" s="8">
        <v>4</v>
      </c>
      <c r="AP24" s="8">
        <v>0</v>
      </c>
      <c r="AQ24" s="8">
        <v>57</v>
      </c>
      <c r="AR24" s="8">
        <v>668.4</v>
      </c>
      <c r="AS24" s="8">
        <v>0</v>
      </c>
      <c r="AT24" s="8">
        <v>0</v>
      </c>
      <c r="AU24" s="8">
        <v>95.6</v>
      </c>
      <c r="AV24" s="8">
        <v>132.79</v>
      </c>
      <c r="AW24" s="8">
        <v>55591.5</v>
      </c>
      <c r="AX24" s="10">
        <v>71</v>
      </c>
      <c r="AY24" s="9">
        <v>1.9</v>
      </c>
      <c r="AZ24" s="8">
        <v>12.5</v>
      </c>
      <c r="BA24" s="8">
        <v>11.2</v>
      </c>
      <c r="BB24" s="8">
        <v>0</v>
      </c>
      <c r="BC24" s="8">
        <v>0</v>
      </c>
      <c r="BD24" s="8">
        <v>8</v>
      </c>
      <c r="BE24" s="8">
        <v>236</v>
      </c>
      <c r="BF24" s="8">
        <v>0</v>
      </c>
      <c r="BG24" s="8">
        <v>0</v>
      </c>
      <c r="BH24" s="8">
        <v>59.6</v>
      </c>
      <c r="BI24" s="8">
        <v>82.82</v>
      </c>
      <c r="BJ24" s="8">
        <v>28503.8</v>
      </c>
      <c r="BK24" s="8">
        <v>3</v>
      </c>
      <c r="BL24" s="10">
        <v>1.21</v>
      </c>
      <c r="BM24" s="9">
        <v>3.5</v>
      </c>
      <c r="BN24" s="8">
        <v>20.399999999999999</v>
      </c>
      <c r="BO24" s="8">
        <v>11.8</v>
      </c>
      <c r="BP24" s="8">
        <v>0</v>
      </c>
      <c r="BQ24" s="8">
        <v>0</v>
      </c>
      <c r="BR24" s="8">
        <v>5</v>
      </c>
      <c r="BS24" s="8">
        <v>0</v>
      </c>
      <c r="BT24" s="8">
        <v>6</v>
      </c>
      <c r="BU24" s="8">
        <v>47.3</v>
      </c>
      <c r="BV24" s="8">
        <v>65.650000000000006</v>
      </c>
      <c r="BW24" s="8">
        <v>31889.200000000001</v>
      </c>
      <c r="BX24" s="10">
        <v>9</v>
      </c>
      <c r="BY24" s="9">
        <v>5.0999999999999996</v>
      </c>
      <c r="BZ24" s="8">
        <v>23.3</v>
      </c>
      <c r="CA24" s="8">
        <v>13.5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51.4</v>
      </c>
      <c r="CH24" s="8">
        <v>71.400000000000006</v>
      </c>
      <c r="CI24" s="8">
        <v>39087.5</v>
      </c>
      <c r="CJ24" s="10">
        <v>1</v>
      </c>
      <c r="CK24" s="9">
        <v>9.3000000000000007</v>
      </c>
      <c r="CL24" s="8">
        <v>27.9</v>
      </c>
      <c r="CM24" s="8">
        <v>18.399999999999999</v>
      </c>
      <c r="CN24" s="8">
        <v>0</v>
      </c>
      <c r="CO24" s="8">
        <v>4</v>
      </c>
      <c r="CP24" s="8">
        <v>0</v>
      </c>
      <c r="CQ24" s="8">
        <v>0</v>
      </c>
      <c r="CR24" s="8">
        <v>1</v>
      </c>
      <c r="CS24" s="8">
        <v>47.9</v>
      </c>
      <c r="CT24" s="8">
        <v>66.59</v>
      </c>
      <c r="CU24" s="8">
        <v>44548.1</v>
      </c>
      <c r="CV24" s="10">
        <v>2</v>
      </c>
      <c r="CW24" s="8" t="s">
        <v>193</v>
      </c>
      <c r="CX24" s="8" t="s">
        <v>193</v>
      </c>
      <c r="CY24" s="8" t="s">
        <v>193</v>
      </c>
      <c r="CZ24" s="8">
        <v>80</v>
      </c>
      <c r="DA24" s="8">
        <v>124.6</v>
      </c>
      <c r="DB24" s="146">
        <f t="shared" si="0"/>
        <v>89.704823614110865</v>
      </c>
      <c r="DC24" s="8">
        <v>4</v>
      </c>
      <c r="DD24" s="8">
        <v>4.3</v>
      </c>
      <c r="DE24" s="8">
        <v>1.9</v>
      </c>
      <c r="DF24" s="8">
        <v>15.5</v>
      </c>
      <c r="DG24" s="8" t="s">
        <v>193</v>
      </c>
    </row>
    <row r="25" spans="1:111" ht="15.75" thickBot="1" x14ac:dyDescent="0.3">
      <c r="A25" s="75"/>
      <c r="B25" s="83"/>
      <c r="C25" s="77"/>
      <c r="D25" s="77"/>
      <c r="E25" s="33" t="s">
        <v>27</v>
      </c>
      <c r="F25" s="77"/>
      <c r="G25" s="24" t="s">
        <v>189</v>
      </c>
      <c r="H25" s="133"/>
      <c r="I25" s="29">
        <v>1862.2</v>
      </c>
      <c r="J25" s="5">
        <v>0.4</v>
      </c>
      <c r="K25" s="6">
        <v>30.7</v>
      </c>
      <c r="L25" s="6">
        <v>13.5</v>
      </c>
      <c r="M25" s="6">
        <v>0</v>
      </c>
      <c r="N25" s="6">
        <v>3</v>
      </c>
      <c r="O25" s="6">
        <v>7</v>
      </c>
      <c r="P25" s="6">
        <v>986</v>
      </c>
      <c r="Q25" s="6">
        <v>6</v>
      </c>
      <c r="R25" s="6">
        <v>18</v>
      </c>
      <c r="S25" s="6">
        <v>138.9</v>
      </c>
      <c r="T25" s="6">
        <v>57</v>
      </c>
      <c r="U25" s="6">
        <v>79.13</v>
      </c>
      <c r="V25" s="6">
        <v>45613.9</v>
      </c>
      <c r="W25" s="7">
        <v>58</v>
      </c>
      <c r="X25" s="5">
        <v>-4</v>
      </c>
      <c r="Y25" s="6">
        <v>11.4</v>
      </c>
      <c r="Z25" s="6">
        <v>4</v>
      </c>
      <c r="AA25" s="6">
        <v>13</v>
      </c>
      <c r="AB25" s="6">
        <v>0</v>
      </c>
      <c r="AC25" s="6">
        <v>22</v>
      </c>
      <c r="AD25" s="6">
        <v>150.6</v>
      </c>
      <c r="AE25" s="6">
        <v>0</v>
      </c>
      <c r="AF25" s="6">
        <v>0</v>
      </c>
      <c r="AG25" s="6">
        <v>96.3</v>
      </c>
      <c r="AH25" s="6">
        <v>133.79</v>
      </c>
      <c r="AI25" s="6">
        <v>13136.5</v>
      </c>
      <c r="AJ25" s="6">
        <v>37</v>
      </c>
      <c r="AK25" s="7">
        <v>20</v>
      </c>
      <c r="AL25" s="5">
        <v>-1.5</v>
      </c>
      <c r="AM25" s="6">
        <v>19.399999999999999</v>
      </c>
      <c r="AN25" s="6">
        <v>7.3</v>
      </c>
      <c r="AO25" s="6">
        <v>4</v>
      </c>
      <c r="AP25" s="6">
        <v>0</v>
      </c>
      <c r="AQ25" s="6">
        <v>61</v>
      </c>
      <c r="AR25" s="6">
        <v>714</v>
      </c>
      <c r="AS25" s="6">
        <v>0</v>
      </c>
      <c r="AT25" s="6">
        <v>0</v>
      </c>
      <c r="AU25" s="6">
        <v>94.3</v>
      </c>
      <c r="AV25" s="6">
        <v>131.03</v>
      </c>
      <c r="AW25" s="6">
        <v>61951.4</v>
      </c>
      <c r="AX25" s="7">
        <v>71</v>
      </c>
      <c r="AY25" s="5">
        <v>1.9</v>
      </c>
      <c r="AZ25" s="6">
        <v>12.5</v>
      </c>
      <c r="BA25" s="6">
        <v>11.6</v>
      </c>
      <c r="BB25" s="6">
        <v>0</v>
      </c>
      <c r="BC25" s="6">
        <v>0</v>
      </c>
      <c r="BD25" s="6">
        <v>8</v>
      </c>
      <c r="BE25" s="6">
        <v>243.6</v>
      </c>
      <c r="BF25" s="6">
        <v>0</v>
      </c>
      <c r="BG25" s="6">
        <v>3</v>
      </c>
      <c r="BH25" s="6">
        <v>51.2</v>
      </c>
      <c r="BI25" s="6">
        <v>71.06</v>
      </c>
      <c r="BJ25" s="6">
        <v>31409.5</v>
      </c>
      <c r="BK25" s="6">
        <v>3</v>
      </c>
      <c r="BL25" s="7">
        <v>1.29</v>
      </c>
      <c r="BM25" s="5">
        <v>4.4000000000000004</v>
      </c>
      <c r="BN25" s="6">
        <v>20.399999999999999</v>
      </c>
      <c r="BO25" s="6">
        <v>11.9</v>
      </c>
      <c r="BP25" s="6">
        <v>0</v>
      </c>
      <c r="BQ25" s="6">
        <v>0</v>
      </c>
      <c r="BR25" s="6">
        <v>1</v>
      </c>
      <c r="BS25" s="6">
        <v>0</v>
      </c>
      <c r="BT25" s="6">
        <v>3</v>
      </c>
      <c r="BU25" s="6">
        <v>51.1</v>
      </c>
      <c r="BV25" s="6">
        <v>70.959999999999994</v>
      </c>
      <c r="BW25" s="6">
        <v>33207.699999999997</v>
      </c>
      <c r="BX25" s="7">
        <v>9</v>
      </c>
      <c r="BY25" s="5">
        <v>8</v>
      </c>
      <c r="BZ25" s="6">
        <v>26.7</v>
      </c>
      <c r="CA25" s="6">
        <v>14.4</v>
      </c>
      <c r="CB25" s="6">
        <v>0</v>
      </c>
      <c r="CC25" s="6">
        <v>1</v>
      </c>
      <c r="CD25" s="6">
        <v>0</v>
      </c>
      <c r="CE25" s="6">
        <v>0</v>
      </c>
      <c r="CF25" s="6">
        <v>0</v>
      </c>
      <c r="CG25" s="6">
        <v>50</v>
      </c>
      <c r="CH25" s="6">
        <v>69.44</v>
      </c>
      <c r="CI25" s="6">
        <v>34796.6</v>
      </c>
      <c r="CJ25" s="7">
        <v>2</v>
      </c>
      <c r="CK25" s="5">
        <v>11.9</v>
      </c>
      <c r="CL25" s="6">
        <v>27.9</v>
      </c>
      <c r="CM25" s="6">
        <v>18.600000000000001</v>
      </c>
      <c r="CN25" s="6">
        <v>0</v>
      </c>
      <c r="CO25" s="6">
        <v>4</v>
      </c>
      <c r="CP25" s="6">
        <v>0</v>
      </c>
      <c r="CQ25" s="6">
        <v>0</v>
      </c>
      <c r="CR25" s="6">
        <v>4</v>
      </c>
      <c r="CS25" s="6">
        <v>43.7</v>
      </c>
      <c r="CT25" s="6">
        <v>60.76</v>
      </c>
      <c r="CU25" s="6">
        <v>42975.8</v>
      </c>
      <c r="CV25" s="7">
        <v>2</v>
      </c>
      <c r="CW25" s="6" t="s">
        <v>193</v>
      </c>
      <c r="CX25" s="6" t="s">
        <v>193</v>
      </c>
      <c r="CY25" s="6" t="s">
        <v>193</v>
      </c>
      <c r="CZ25" s="6">
        <v>160</v>
      </c>
      <c r="DA25" s="6">
        <v>120.44</v>
      </c>
      <c r="DB25" s="147">
        <f t="shared" si="0"/>
        <v>86.709863210943126</v>
      </c>
      <c r="DC25" s="6">
        <v>4</v>
      </c>
      <c r="DD25" s="6">
        <v>5.2</v>
      </c>
      <c r="DE25" s="6">
        <v>1.3</v>
      </c>
      <c r="DF25" s="6">
        <v>9.9</v>
      </c>
      <c r="DG25" s="6" t="s">
        <v>193</v>
      </c>
    </row>
    <row r="26" spans="1:111" x14ac:dyDescent="0.25">
      <c r="A26" s="78" t="s">
        <v>60</v>
      </c>
      <c r="B26" s="82"/>
      <c r="C26" s="80" t="s">
        <v>140</v>
      </c>
      <c r="D26" s="80" t="s">
        <v>74</v>
      </c>
      <c r="E26" s="32" t="s">
        <v>26</v>
      </c>
      <c r="F26" s="80" t="s">
        <v>33</v>
      </c>
      <c r="G26" s="20" t="s">
        <v>152</v>
      </c>
      <c r="H26" s="142">
        <v>-1</v>
      </c>
      <c r="I26" s="30">
        <v>1808.4</v>
      </c>
      <c r="J26" s="13">
        <v>0.5</v>
      </c>
      <c r="K26" s="14">
        <v>26.9</v>
      </c>
      <c r="L26" s="14">
        <v>13</v>
      </c>
      <c r="M26" s="14">
        <v>0</v>
      </c>
      <c r="N26" s="14">
        <v>4</v>
      </c>
      <c r="O26" s="14">
        <v>6</v>
      </c>
      <c r="P26" s="14">
        <v>1063.2</v>
      </c>
      <c r="Q26" s="14">
        <v>8</v>
      </c>
      <c r="R26" s="14">
        <v>21</v>
      </c>
      <c r="S26" s="14">
        <v>138.9</v>
      </c>
      <c r="T26" s="14">
        <v>38.1</v>
      </c>
      <c r="U26" s="14">
        <v>52.98</v>
      </c>
      <c r="V26" s="14">
        <v>60224.2</v>
      </c>
      <c r="W26" s="15">
        <v>57</v>
      </c>
      <c r="X26" s="13">
        <v>-5.6</v>
      </c>
      <c r="Y26" s="14">
        <v>12.9</v>
      </c>
      <c r="Z26" s="14">
        <v>4.4000000000000004</v>
      </c>
      <c r="AA26" s="14">
        <v>28</v>
      </c>
      <c r="AB26" s="14">
        <v>0</v>
      </c>
      <c r="AC26" s="14">
        <v>46</v>
      </c>
      <c r="AD26" s="14">
        <v>401.3</v>
      </c>
      <c r="AE26" s="14">
        <v>0</v>
      </c>
      <c r="AF26" s="14">
        <v>0</v>
      </c>
      <c r="AG26" s="14">
        <v>94.8</v>
      </c>
      <c r="AH26" s="14">
        <v>131.66999999999999</v>
      </c>
      <c r="AI26" s="14">
        <v>27777</v>
      </c>
      <c r="AJ26" s="14">
        <v>89</v>
      </c>
      <c r="AK26" s="15">
        <v>23</v>
      </c>
      <c r="AL26" s="13">
        <v>-2.2000000000000002</v>
      </c>
      <c r="AM26" s="14">
        <v>20.6</v>
      </c>
      <c r="AN26" s="14">
        <v>7.9</v>
      </c>
      <c r="AO26" s="14">
        <v>6</v>
      </c>
      <c r="AP26" s="14">
        <v>0</v>
      </c>
      <c r="AQ26" s="14">
        <v>21</v>
      </c>
      <c r="AR26" s="14">
        <v>325.5</v>
      </c>
      <c r="AS26" s="14">
        <v>0</v>
      </c>
      <c r="AT26" s="14">
        <v>0</v>
      </c>
      <c r="AU26" s="14">
        <v>89.8</v>
      </c>
      <c r="AV26" s="14">
        <v>127.73</v>
      </c>
      <c r="AW26" s="14">
        <v>41435.599999999999</v>
      </c>
      <c r="AX26" s="15">
        <v>21</v>
      </c>
      <c r="AY26" s="13">
        <v>3</v>
      </c>
      <c r="AZ26" s="14">
        <v>25.5</v>
      </c>
      <c r="BA26" s="14">
        <v>12.8</v>
      </c>
      <c r="BB26" s="14">
        <v>0</v>
      </c>
      <c r="BC26" s="14">
        <v>1</v>
      </c>
      <c r="BD26" s="14">
        <v>4</v>
      </c>
      <c r="BE26" s="14">
        <v>269.39999999999998</v>
      </c>
      <c r="BF26" s="14">
        <v>0</v>
      </c>
      <c r="BG26" s="14">
        <v>0</v>
      </c>
      <c r="BH26" s="14">
        <v>58.2</v>
      </c>
      <c r="BI26" s="14">
        <v>80.81</v>
      </c>
      <c r="BJ26" s="14">
        <v>32782.300000000003</v>
      </c>
      <c r="BK26" s="14">
        <v>6</v>
      </c>
      <c r="BL26" s="15">
        <v>1.22</v>
      </c>
      <c r="BM26" s="13">
        <v>4.4000000000000004</v>
      </c>
      <c r="BN26" s="14">
        <v>26.1</v>
      </c>
      <c r="BO26" s="14">
        <v>13.7</v>
      </c>
      <c r="BP26" s="14">
        <v>0</v>
      </c>
      <c r="BQ26" s="14">
        <v>1</v>
      </c>
      <c r="BR26" s="14">
        <v>1</v>
      </c>
      <c r="BS26" s="14">
        <v>0</v>
      </c>
      <c r="BT26" s="14">
        <v>0</v>
      </c>
      <c r="BU26" s="14">
        <v>80.400000000000006</v>
      </c>
      <c r="BV26" s="14">
        <v>111.66</v>
      </c>
      <c r="BW26" s="14">
        <v>37046</v>
      </c>
      <c r="BX26" s="15">
        <v>4</v>
      </c>
      <c r="BY26" s="13">
        <v>7.1</v>
      </c>
      <c r="BZ26" s="14">
        <v>31.6</v>
      </c>
      <c r="CA26" s="14">
        <v>17</v>
      </c>
      <c r="CB26" s="14">
        <v>0</v>
      </c>
      <c r="CC26" s="14">
        <v>3</v>
      </c>
      <c r="CD26" s="14">
        <v>0</v>
      </c>
      <c r="CE26" s="14">
        <v>0</v>
      </c>
      <c r="CF26" s="14">
        <v>7</v>
      </c>
      <c r="CG26" s="14">
        <v>36.299999999999997</v>
      </c>
      <c r="CH26" s="14">
        <v>50.39</v>
      </c>
      <c r="CI26" s="14">
        <v>33174.400000000001</v>
      </c>
      <c r="CJ26" s="15">
        <v>2</v>
      </c>
      <c r="CK26" s="13">
        <v>8.9</v>
      </c>
      <c r="CL26" s="14">
        <v>36</v>
      </c>
      <c r="CM26" s="14">
        <v>19.899999999999999</v>
      </c>
      <c r="CN26" s="14">
        <v>0</v>
      </c>
      <c r="CO26" s="14">
        <v>9</v>
      </c>
      <c r="CP26" s="14">
        <v>0</v>
      </c>
      <c r="CQ26" s="14">
        <v>8</v>
      </c>
      <c r="CR26" s="14">
        <v>13</v>
      </c>
      <c r="CS26" s="14">
        <v>6.6</v>
      </c>
      <c r="CT26" s="14">
        <v>9.18</v>
      </c>
      <c r="CU26" s="14">
        <v>43766.7</v>
      </c>
      <c r="CV26" s="15">
        <v>1</v>
      </c>
      <c r="CW26" s="14" t="s">
        <v>193</v>
      </c>
      <c r="CX26" s="14" t="s">
        <v>193</v>
      </c>
      <c r="CY26" s="14" t="s">
        <v>193</v>
      </c>
      <c r="CZ26" s="14">
        <v>50</v>
      </c>
      <c r="DA26" s="14">
        <v>131.94999999999999</v>
      </c>
      <c r="DB26" s="148">
        <f t="shared" si="0"/>
        <v>94.99640028797694</v>
      </c>
      <c r="DC26" s="14">
        <v>3.1</v>
      </c>
      <c r="DD26" s="14">
        <v>6.8</v>
      </c>
      <c r="DE26" s="14">
        <v>1.3</v>
      </c>
      <c r="DF26" s="14">
        <v>6.5</v>
      </c>
      <c r="DG26" s="14" t="s">
        <v>193</v>
      </c>
    </row>
    <row r="27" spans="1:111" ht="15.75" thickBot="1" x14ac:dyDescent="0.3">
      <c r="A27" s="79"/>
      <c r="B27" s="83"/>
      <c r="C27" s="81"/>
      <c r="D27" s="81"/>
      <c r="E27" s="33" t="s">
        <v>27</v>
      </c>
      <c r="F27" s="81"/>
      <c r="G27" s="27" t="s">
        <v>190</v>
      </c>
      <c r="H27" s="143"/>
      <c r="I27" s="31">
        <v>1796.1</v>
      </c>
      <c r="J27" s="16">
        <v>0.5</v>
      </c>
      <c r="K27" s="17">
        <v>26.9</v>
      </c>
      <c r="L27" s="17">
        <v>13</v>
      </c>
      <c r="M27" s="17">
        <v>0</v>
      </c>
      <c r="N27" s="17">
        <v>4</v>
      </c>
      <c r="O27" s="17">
        <v>6</v>
      </c>
      <c r="P27" s="17">
        <v>1063.2</v>
      </c>
      <c r="Q27" s="17">
        <v>8</v>
      </c>
      <c r="R27" s="17">
        <v>21</v>
      </c>
      <c r="S27" s="17">
        <v>138.9</v>
      </c>
      <c r="T27" s="17">
        <v>38.1</v>
      </c>
      <c r="U27" s="17">
        <v>52.98</v>
      </c>
      <c r="V27" s="17">
        <v>60224.2</v>
      </c>
      <c r="W27" s="18">
        <v>57</v>
      </c>
      <c r="X27" s="16">
        <v>-5.6</v>
      </c>
      <c r="Y27" s="17">
        <v>12.9</v>
      </c>
      <c r="Z27" s="17">
        <v>4.4000000000000004</v>
      </c>
      <c r="AA27" s="17">
        <v>28</v>
      </c>
      <c r="AB27" s="17">
        <v>0</v>
      </c>
      <c r="AC27" s="17">
        <v>46</v>
      </c>
      <c r="AD27" s="17">
        <v>401.3</v>
      </c>
      <c r="AE27" s="17">
        <v>0</v>
      </c>
      <c r="AF27" s="17">
        <v>0</v>
      </c>
      <c r="AG27" s="17">
        <v>94.8</v>
      </c>
      <c r="AH27" s="17">
        <v>131.66999999999999</v>
      </c>
      <c r="AI27" s="17">
        <v>27777</v>
      </c>
      <c r="AJ27" s="17">
        <v>89</v>
      </c>
      <c r="AK27" s="18">
        <v>23</v>
      </c>
      <c r="AL27" s="16">
        <v>-2.2000000000000002</v>
      </c>
      <c r="AM27" s="17">
        <v>20.6</v>
      </c>
      <c r="AN27" s="17">
        <v>7.8</v>
      </c>
      <c r="AO27" s="17">
        <v>6</v>
      </c>
      <c r="AP27" s="17">
        <v>0</v>
      </c>
      <c r="AQ27" s="17">
        <v>21</v>
      </c>
      <c r="AR27" s="17">
        <v>313.10000000000002</v>
      </c>
      <c r="AS27" s="17">
        <v>0</v>
      </c>
      <c r="AT27" s="17">
        <v>0</v>
      </c>
      <c r="AU27" s="17">
        <v>90.2</v>
      </c>
      <c r="AV27" s="17">
        <v>125.24</v>
      </c>
      <c r="AW27" s="17">
        <v>39694.800000000003</v>
      </c>
      <c r="AX27" s="18">
        <v>21</v>
      </c>
      <c r="AY27" s="16">
        <v>3</v>
      </c>
      <c r="AZ27" s="17">
        <v>25.5</v>
      </c>
      <c r="BA27" s="17">
        <v>12.79</v>
      </c>
      <c r="BB27" s="17">
        <v>0</v>
      </c>
      <c r="BC27" s="17">
        <v>1</v>
      </c>
      <c r="BD27" s="17">
        <v>4</v>
      </c>
      <c r="BE27" s="17">
        <v>268.5</v>
      </c>
      <c r="BF27" s="17">
        <v>0</v>
      </c>
      <c r="BG27" s="17">
        <v>0</v>
      </c>
      <c r="BH27" s="17">
        <v>57.4</v>
      </c>
      <c r="BI27" s="17">
        <v>79.709999999999994</v>
      </c>
      <c r="BJ27" s="17">
        <v>34049</v>
      </c>
      <c r="BK27" s="17">
        <v>5</v>
      </c>
      <c r="BL27" s="18">
        <v>1.27</v>
      </c>
      <c r="BM27" s="16">
        <v>4.4000000000000004</v>
      </c>
      <c r="BN27" s="17">
        <v>26.1</v>
      </c>
      <c r="BO27" s="17">
        <v>13.6</v>
      </c>
      <c r="BP27" s="17">
        <v>0</v>
      </c>
      <c r="BQ27" s="17">
        <v>1</v>
      </c>
      <c r="BR27" s="17">
        <v>1</v>
      </c>
      <c r="BS27" s="17">
        <v>0</v>
      </c>
      <c r="BT27" s="17">
        <v>0</v>
      </c>
      <c r="BU27" s="17">
        <v>81.7</v>
      </c>
      <c r="BV27" s="17">
        <v>113.48</v>
      </c>
      <c r="BW27" s="17">
        <v>35738.400000000001</v>
      </c>
      <c r="BX27" s="18">
        <v>5</v>
      </c>
      <c r="BY27" s="16">
        <v>7.1</v>
      </c>
      <c r="BZ27" s="17">
        <v>31.6</v>
      </c>
      <c r="CA27" s="17">
        <v>16.899999999999999</v>
      </c>
      <c r="CB27" s="17">
        <v>0</v>
      </c>
      <c r="CC27" s="17">
        <v>3</v>
      </c>
      <c r="CD27" s="17">
        <v>0</v>
      </c>
      <c r="CE27" s="17">
        <v>0</v>
      </c>
      <c r="CF27" s="17">
        <v>7</v>
      </c>
      <c r="CG27" s="17">
        <v>37.799999999999997</v>
      </c>
      <c r="CH27" s="17">
        <v>52.54</v>
      </c>
      <c r="CI27" s="17">
        <v>34956.1</v>
      </c>
      <c r="CJ27" s="18">
        <v>2</v>
      </c>
      <c r="CK27" s="16">
        <v>8.9</v>
      </c>
      <c r="CL27" s="17">
        <v>36</v>
      </c>
      <c r="CM27" s="17">
        <v>19.899999999999999</v>
      </c>
      <c r="CN27" s="17">
        <v>0</v>
      </c>
      <c r="CO27" s="17">
        <v>9</v>
      </c>
      <c r="CP27" s="17">
        <v>0</v>
      </c>
      <c r="CQ27" s="17">
        <v>8</v>
      </c>
      <c r="CR27" s="17">
        <v>13</v>
      </c>
      <c r="CS27" s="17">
        <v>7.1</v>
      </c>
      <c r="CT27" s="17">
        <v>9.91</v>
      </c>
      <c r="CU27" s="17">
        <v>43766.7</v>
      </c>
      <c r="CV27" s="18">
        <v>1</v>
      </c>
      <c r="CW27" s="17" t="s">
        <v>193</v>
      </c>
      <c r="CX27" s="17" t="s">
        <v>193</v>
      </c>
      <c r="CY27" s="17" t="s">
        <v>193</v>
      </c>
      <c r="CZ27" s="17">
        <v>130</v>
      </c>
      <c r="DA27" s="17">
        <v>135.24</v>
      </c>
      <c r="DB27" s="149">
        <f t="shared" si="0"/>
        <v>97.365010799136058</v>
      </c>
      <c r="DC27" s="17">
        <v>4.3</v>
      </c>
      <c r="DD27" s="17">
        <v>4.4000000000000004</v>
      </c>
      <c r="DE27" s="17">
        <v>3.6</v>
      </c>
      <c r="DF27" s="17">
        <v>14.1</v>
      </c>
      <c r="DG27" s="17" t="s">
        <v>193</v>
      </c>
    </row>
    <row r="28" spans="1:111" x14ac:dyDescent="0.25">
      <c r="A28" s="74" t="s">
        <v>61</v>
      </c>
      <c r="B28" s="82"/>
      <c r="C28" s="76" t="s">
        <v>141</v>
      </c>
      <c r="D28" s="76" t="s">
        <v>75</v>
      </c>
      <c r="E28" s="32" t="s">
        <v>26</v>
      </c>
      <c r="F28" s="76" t="s">
        <v>33</v>
      </c>
      <c r="G28" s="25" t="s">
        <v>195</v>
      </c>
      <c r="H28" s="136">
        <v>0</v>
      </c>
      <c r="I28" s="28">
        <v>1524.5</v>
      </c>
      <c r="J28" s="9">
        <v>-1.2</v>
      </c>
      <c r="K28" s="8">
        <v>26.9</v>
      </c>
      <c r="L28" s="8">
        <v>11.6</v>
      </c>
      <c r="M28" s="8">
        <v>2</v>
      </c>
      <c r="N28" s="8">
        <v>1</v>
      </c>
      <c r="O28" s="8">
        <v>15</v>
      </c>
      <c r="P28" s="8">
        <v>814.3</v>
      </c>
      <c r="Q28" s="8">
        <v>6</v>
      </c>
      <c r="R28" s="8">
        <v>25</v>
      </c>
      <c r="S28" s="8">
        <v>197.4</v>
      </c>
      <c r="T28" s="8">
        <v>33.200000000000003</v>
      </c>
      <c r="U28" s="8">
        <v>65.5</v>
      </c>
      <c r="V28" s="8">
        <v>52400.6</v>
      </c>
      <c r="W28" s="10">
        <v>51</v>
      </c>
      <c r="X28" s="9">
        <v>-5.9</v>
      </c>
      <c r="Y28" s="8">
        <v>12.8</v>
      </c>
      <c r="Z28" s="8">
        <v>2.8</v>
      </c>
      <c r="AA28" s="8">
        <v>21</v>
      </c>
      <c r="AB28" s="8">
        <v>0</v>
      </c>
      <c r="AC28" s="8">
        <v>24</v>
      </c>
      <c r="AD28" s="8">
        <v>150.1</v>
      </c>
      <c r="AE28" s="8">
        <v>0</v>
      </c>
      <c r="AF28" s="8">
        <v>0</v>
      </c>
      <c r="AG28" s="8">
        <v>84.1</v>
      </c>
      <c r="AH28" s="8">
        <v>165.93</v>
      </c>
      <c r="AI28" s="8">
        <v>15716.8</v>
      </c>
      <c r="AJ28" s="8">
        <v>49</v>
      </c>
      <c r="AK28" s="10">
        <v>45</v>
      </c>
      <c r="AL28" s="9">
        <v>-4</v>
      </c>
      <c r="AM28" s="8">
        <v>19.399999999999999</v>
      </c>
      <c r="AN28" s="8">
        <v>7.4</v>
      </c>
      <c r="AO28" s="8">
        <v>14</v>
      </c>
      <c r="AP28" s="8">
        <v>0</v>
      </c>
      <c r="AQ28" s="8">
        <v>23</v>
      </c>
      <c r="AR28" s="8">
        <v>545.9</v>
      </c>
      <c r="AS28" s="8">
        <v>0</v>
      </c>
      <c r="AT28" s="8">
        <v>0</v>
      </c>
      <c r="AU28" s="8">
        <v>95.6</v>
      </c>
      <c r="AV28" s="8">
        <v>188.64</v>
      </c>
      <c r="AW28" s="8">
        <v>46967</v>
      </c>
      <c r="AX28" s="10">
        <v>57</v>
      </c>
      <c r="AY28" s="9">
        <v>2.4</v>
      </c>
      <c r="AZ28" s="8">
        <v>24.8</v>
      </c>
      <c r="BA28" s="8">
        <v>12.1</v>
      </c>
      <c r="BB28" s="8">
        <v>0</v>
      </c>
      <c r="BC28" s="8">
        <v>0</v>
      </c>
      <c r="BD28" s="8">
        <v>2</v>
      </c>
      <c r="BE28" s="8">
        <v>254.8</v>
      </c>
      <c r="BF28" s="8">
        <v>0</v>
      </c>
      <c r="BG28" s="8">
        <v>0</v>
      </c>
      <c r="BH28" s="8">
        <v>74.2</v>
      </c>
      <c r="BI28" s="8">
        <v>146.5</v>
      </c>
      <c r="BJ28" s="8">
        <v>26752.799999999999</v>
      </c>
      <c r="BK28" s="8">
        <v>8</v>
      </c>
      <c r="BL28" s="10">
        <v>1.05</v>
      </c>
      <c r="BM28" s="9">
        <v>3.8</v>
      </c>
      <c r="BN28" s="8">
        <v>25.2</v>
      </c>
      <c r="BO28" s="8">
        <v>14.8</v>
      </c>
      <c r="BP28" s="8">
        <v>0</v>
      </c>
      <c r="BQ28" s="8">
        <v>1</v>
      </c>
      <c r="BR28" s="8">
        <v>1</v>
      </c>
      <c r="BS28" s="8">
        <v>0</v>
      </c>
      <c r="BT28" s="8">
        <v>6</v>
      </c>
      <c r="BU28" s="8">
        <v>41.4</v>
      </c>
      <c r="BV28" s="8">
        <v>81.73</v>
      </c>
      <c r="BW28" s="8">
        <v>36541.599999999999</v>
      </c>
      <c r="BX28" s="10">
        <v>2</v>
      </c>
      <c r="BY28" s="9">
        <v>6.7</v>
      </c>
      <c r="BZ28" s="8">
        <v>24.2</v>
      </c>
      <c r="CA28" s="8">
        <v>14.4</v>
      </c>
      <c r="CB28" s="8">
        <v>0</v>
      </c>
      <c r="CC28" s="8">
        <v>0</v>
      </c>
      <c r="CD28" s="8">
        <v>0</v>
      </c>
      <c r="CE28" s="8">
        <v>2</v>
      </c>
      <c r="CF28" s="8">
        <v>19</v>
      </c>
      <c r="CG28" s="8">
        <v>14.8</v>
      </c>
      <c r="CH28" s="8">
        <v>29.15</v>
      </c>
      <c r="CI28" s="8">
        <v>38540.800000000003</v>
      </c>
      <c r="CJ28" s="10">
        <v>1</v>
      </c>
      <c r="CK28" s="9">
        <v>5.4</v>
      </c>
      <c r="CL28" s="8">
        <v>27.8</v>
      </c>
      <c r="CM28" s="8">
        <v>15.4</v>
      </c>
      <c r="CN28" s="8">
        <v>0</v>
      </c>
      <c r="CO28" s="8">
        <v>2</v>
      </c>
      <c r="CP28" s="8">
        <v>0</v>
      </c>
      <c r="CQ28" s="8">
        <v>6</v>
      </c>
      <c r="CR28" s="8">
        <v>21</v>
      </c>
      <c r="CS28" s="8">
        <v>5.5</v>
      </c>
      <c r="CT28" s="8">
        <v>10.81</v>
      </c>
      <c r="CU28" s="8">
        <v>41586.1</v>
      </c>
      <c r="CV28" s="10">
        <v>8</v>
      </c>
      <c r="CW28" s="8">
        <v>242.79</v>
      </c>
      <c r="CX28" s="8">
        <v>4.26</v>
      </c>
      <c r="CY28" s="8">
        <v>0.84</v>
      </c>
      <c r="CZ28" s="8">
        <v>40</v>
      </c>
      <c r="DA28" s="8">
        <v>176.79</v>
      </c>
      <c r="DB28" s="146">
        <f t="shared" si="0"/>
        <v>89.559270516717319</v>
      </c>
      <c r="DC28" s="8">
        <v>9</v>
      </c>
      <c r="DD28" s="8">
        <v>7</v>
      </c>
      <c r="DE28" s="8">
        <v>0</v>
      </c>
      <c r="DF28" s="8">
        <v>6.9</v>
      </c>
      <c r="DG28" s="8">
        <v>11</v>
      </c>
    </row>
    <row r="29" spans="1:111" ht="15.75" thickBot="1" x14ac:dyDescent="0.3">
      <c r="A29" s="75"/>
      <c r="B29" s="83"/>
      <c r="C29" s="77"/>
      <c r="D29" s="77"/>
      <c r="E29" s="33" t="s">
        <v>27</v>
      </c>
      <c r="F29" s="77"/>
      <c r="G29" s="24" t="s">
        <v>195</v>
      </c>
      <c r="H29" s="137"/>
      <c r="I29" s="29">
        <v>1524.5</v>
      </c>
      <c r="J29" s="5">
        <v>-1.2</v>
      </c>
      <c r="K29" s="6">
        <v>26.9</v>
      </c>
      <c r="L29" s="6">
        <v>11.6</v>
      </c>
      <c r="M29" s="6">
        <v>2</v>
      </c>
      <c r="N29" s="6">
        <v>1</v>
      </c>
      <c r="O29" s="6">
        <v>15</v>
      </c>
      <c r="P29" s="6">
        <v>814.3</v>
      </c>
      <c r="Q29" s="6">
        <v>6</v>
      </c>
      <c r="R29" s="6">
        <v>25</v>
      </c>
      <c r="S29" s="6">
        <v>197.4</v>
      </c>
      <c r="T29" s="6">
        <v>33.200000000000003</v>
      </c>
      <c r="U29" s="6">
        <v>65.5</v>
      </c>
      <c r="V29" s="6">
        <v>52400.6</v>
      </c>
      <c r="W29" s="7">
        <v>51</v>
      </c>
      <c r="X29" s="5">
        <v>-5.9</v>
      </c>
      <c r="Y29" s="6">
        <v>12.8</v>
      </c>
      <c r="Z29" s="6">
        <v>2.8</v>
      </c>
      <c r="AA29" s="6">
        <v>21</v>
      </c>
      <c r="AB29" s="6">
        <v>0</v>
      </c>
      <c r="AC29" s="6">
        <v>24</v>
      </c>
      <c r="AD29" s="6">
        <v>150.1</v>
      </c>
      <c r="AE29" s="6">
        <v>0</v>
      </c>
      <c r="AF29" s="6">
        <v>0</v>
      </c>
      <c r="AG29" s="6">
        <v>84.1</v>
      </c>
      <c r="AH29" s="6">
        <v>165.93</v>
      </c>
      <c r="AI29" s="6">
        <v>15716.8</v>
      </c>
      <c r="AJ29" s="6">
        <v>49</v>
      </c>
      <c r="AK29" s="7">
        <v>45</v>
      </c>
      <c r="AL29" s="5">
        <v>-4</v>
      </c>
      <c r="AM29" s="6">
        <v>19.399999999999999</v>
      </c>
      <c r="AN29" s="6">
        <v>7.4</v>
      </c>
      <c r="AO29" s="6">
        <v>14</v>
      </c>
      <c r="AP29" s="6">
        <v>0</v>
      </c>
      <c r="AQ29" s="6">
        <v>23</v>
      </c>
      <c r="AR29" s="6">
        <v>545.9</v>
      </c>
      <c r="AS29" s="6">
        <v>0</v>
      </c>
      <c r="AT29" s="6">
        <v>0</v>
      </c>
      <c r="AU29" s="6">
        <v>95.6</v>
      </c>
      <c r="AV29" s="6">
        <v>188.64</v>
      </c>
      <c r="AW29" s="6">
        <v>46967</v>
      </c>
      <c r="AX29" s="7">
        <v>57</v>
      </c>
      <c r="AY29" s="5">
        <v>2.4</v>
      </c>
      <c r="AZ29" s="6">
        <v>24.8</v>
      </c>
      <c r="BA29" s="6">
        <v>12.1</v>
      </c>
      <c r="BB29" s="6">
        <v>0</v>
      </c>
      <c r="BC29" s="6">
        <v>0</v>
      </c>
      <c r="BD29" s="6">
        <v>2</v>
      </c>
      <c r="BE29" s="6">
        <v>254.8</v>
      </c>
      <c r="BF29" s="6">
        <v>0</v>
      </c>
      <c r="BG29" s="6">
        <v>0</v>
      </c>
      <c r="BH29" s="6">
        <v>74.2</v>
      </c>
      <c r="BI29" s="6">
        <v>146.5</v>
      </c>
      <c r="BJ29" s="6">
        <v>26752.799999999999</v>
      </c>
      <c r="BK29" s="6">
        <v>8</v>
      </c>
      <c r="BL29" s="7">
        <v>1.05</v>
      </c>
      <c r="BM29" s="5">
        <v>3.8</v>
      </c>
      <c r="BN29" s="6">
        <v>25.2</v>
      </c>
      <c r="BO29" s="6">
        <v>14.8</v>
      </c>
      <c r="BP29" s="6">
        <v>0</v>
      </c>
      <c r="BQ29" s="6">
        <v>1</v>
      </c>
      <c r="BR29" s="6">
        <v>1</v>
      </c>
      <c r="BS29" s="6">
        <v>0</v>
      </c>
      <c r="BT29" s="6">
        <v>6</v>
      </c>
      <c r="BU29" s="6">
        <v>41.4</v>
      </c>
      <c r="BV29" s="6">
        <v>81.73</v>
      </c>
      <c r="BW29" s="6">
        <v>36541.599999999999</v>
      </c>
      <c r="BX29" s="7">
        <v>2</v>
      </c>
      <c r="BY29" s="5">
        <v>6.7</v>
      </c>
      <c r="BZ29" s="6">
        <v>24.2</v>
      </c>
      <c r="CA29" s="6">
        <v>14.4</v>
      </c>
      <c r="CB29" s="6">
        <v>0</v>
      </c>
      <c r="CC29" s="6">
        <v>0</v>
      </c>
      <c r="CD29" s="6">
        <v>0</v>
      </c>
      <c r="CE29" s="6">
        <v>2</v>
      </c>
      <c r="CF29" s="6">
        <v>19</v>
      </c>
      <c r="CG29" s="6">
        <v>14.8</v>
      </c>
      <c r="CH29" s="6">
        <v>29.15</v>
      </c>
      <c r="CI29" s="6">
        <v>38540.800000000003</v>
      </c>
      <c r="CJ29" s="7">
        <v>1</v>
      </c>
      <c r="CK29" s="5">
        <v>5.4</v>
      </c>
      <c r="CL29" s="6">
        <v>27.8</v>
      </c>
      <c r="CM29" s="6">
        <v>15.4</v>
      </c>
      <c r="CN29" s="6">
        <v>0</v>
      </c>
      <c r="CO29" s="6">
        <v>2</v>
      </c>
      <c r="CP29" s="6">
        <v>0</v>
      </c>
      <c r="CQ29" s="6">
        <v>6</v>
      </c>
      <c r="CR29" s="6">
        <v>21</v>
      </c>
      <c r="CS29" s="6">
        <v>5.5</v>
      </c>
      <c r="CT29" s="6">
        <v>10.81</v>
      </c>
      <c r="CU29" s="6">
        <v>41586.1</v>
      </c>
      <c r="CV29" s="7">
        <v>8</v>
      </c>
      <c r="CW29" s="6">
        <v>246.47</v>
      </c>
      <c r="CX29" s="6">
        <v>4</v>
      </c>
      <c r="CY29" s="6">
        <v>0.94</v>
      </c>
      <c r="CZ29" s="6">
        <v>130</v>
      </c>
      <c r="DA29" s="6">
        <v>181.15</v>
      </c>
      <c r="DB29" s="147">
        <f t="shared" si="0"/>
        <v>91.767983789260384</v>
      </c>
      <c r="DC29" s="6">
        <v>7.5</v>
      </c>
      <c r="DD29" s="6">
        <v>4.8</v>
      </c>
      <c r="DE29" s="6">
        <v>0</v>
      </c>
      <c r="DF29" s="6">
        <v>9.8000000000000007</v>
      </c>
      <c r="DG29" s="6">
        <v>11</v>
      </c>
    </row>
    <row r="30" spans="1:111" x14ac:dyDescent="0.25">
      <c r="A30" s="78" t="s">
        <v>62</v>
      </c>
      <c r="B30" s="82"/>
      <c r="C30" s="80" t="s">
        <v>141</v>
      </c>
      <c r="D30" s="80" t="s">
        <v>76</v>
      </c>
      <c r="E30" s="32" t="s">
        <v>26</v>
      </c>
      <c r="F30" s="80" t="s">
        <v>33</v>
      </c>
      <c r="G30" s="20" t="s">
        <v>196</v>
      </c>
      <c r="H30" s="130">
        <v>1</v>
      </c>
      <c r="I30" s="30">
        <v>1826.6</v>
      </c>
      <c r="J30" s="13">
        <v>-0.1</v>
      </c>
      <c r="K30" s="14">
        <v>29.1</v>
      </c>
      <c r="L30" s="14">
        <v>11.5</v>
      </c>
      <c r="M30" s="14">
        <v>1</v>
      </c>
      <c r="N30" s="14">
        <v>7</v>
      </c>
      <c r="O30" s="14">
        <v>23</v>
      </c>
      <c r="P30" s="14">
        <v>1398</v>
      </c>
      <c r="Q30" s="14">
        <v>0</v>
      </c>
      <c r="R30" s="14">
        <v>89</v>
      </c>
      <c r="S30" s="14">
        <v>197.4</v>
      </c>
      <c r="T30" s="14">
        <v>27.7</v>
      </c>
      <c r="U30" s="14">
        <v>54.76</v>
      </c>
      <c r="V30" s="14">
        <v>61960.9</v>
      </c>
      <c r="W30" s="15">
        <v>102</v>
      </c>
      <c r="X30" s="13">
        <v>-7.9</v>
      </c>
      <c r="Y30" s="14">
        <v>14</v>
      </c>
      <c r="Z30" s="14">
        <v>3.5</v>
      </c>
      <c r="AA30" s="14">
        <v>24</v>
      </c>
      <c r="AB30" s="14">
        <v>0</v>
      </c>
      <c r="AC30" s="14">
        <v>6</v>
      </c>
      <c r="AD30" s="14">
        <v>157.4</v>
      </c>
      <c r="AE30" s="14">
        <v>0</v>
      </c>
      <c r="AF30" s="14">
        <v>0</v>
      </c>
      <c r="AG30" s="14">
        <v>72</v>
      </c>
      <c r="AH30" s="14">
        <v>142.08000000000001</v>
      </c>
      <c r="AI30" s="14">
        <v>21928.2</v>
      </c>
      <c r="AJ30" s="14">
        <v>31</v>
      </c>
      <c r="AK30" s="15">
        <v>8</v>
      </c>
      <c r="AL30" s="13">
        <v>-0.1</v>
      </c>
      <c r="AM30" s="14">
        <v>21.8</v>
      </c>
      <c r="AN30" s="14">
        <v>8.6</v>
      </c>
      <c r="AO30" s="14">
        <v>1</v>
      </c>
      <c r="AP30" s="14">
        <v>0</v>
      </c>
      <c r="AQ30" s="14">
        <v>15</v>
      </c>
      <c r="AR30" s="14">
        <v>258.2</v>
      </c>
      <c r="AS30" s="14">
        <v>0</v>
      </c>
      <c r="AT30" s="14">
        <v>0</v>
      </c>
      <c r="AU30" s="14">
        <v>67.400000000000006</v>
      </c>
      <c r="AV30" s="14">
        <v>133.02000000000001</v>
      </c>
      <c r="AW30" s="14">
        <v>24313.4</v>
      </c>
      <c r="AX30" s="15">
        <v>18</v>
      </c>
      <c r="AY30" s="13">
        <v>1</v>
      </c>
      <c r="AZ30" s="14">
        <v>22.8</v>
      </c>
      <c r="BA30" s="14">
        <v>10.1</v>
      </c>
      <c r="BB30" s="14">
        <v>0</v>
      </c>
      <c r="BC30" s="14">
        <v>0</v>
      </c>
      <c r="BD30" s="14">
        <v>12</v>
      </c>
      <c r="BE30" s="14">
        <v>211.5</v>
      </c>
      <c r="BF30" s="14">
        <v>0</v>
      </c>
      <c r="BG30" s="14">
        <v>0</v>
      </c>
      <c r="BH30" s="14">
        <v>48.9</v>
      </c>
      <c r="BI30" s="14">
        <v>96.59</v>
      </c>
      <c r="BJ30" s="14">
        <v>34162.199999999997</v>
      </c>
      <c r="BK30" s="14">
        <v>3</v>
      </c>
      <c r="BL30" s="15">
        <v>1.62</v>
      </c>
      <c r="BM30" s="13">
        <v>1.9</v>
      </c>
      <c r="BN30" s="14">
        <v>23.6</v>
      </c>
      <c r="BO30" s="14">
        <v>10.6</v>
      </c>
      <c r="BP30" s="14">
        <v>0</v>
      </c>
      <c r="BQ30" s="14">
        <v>0</v>
      </c>
      <c r="BR30" s="14">
        <v>6</v>
      </c>
      <c r="BS30" s="14">
        <v>0</v>
      </c>
      <c r="BT30" s="14">
        <v>0</v>
      </c>
      <c r="BU30" s="14">
        <v>76.3</v>
      </c>
      <c r="BV30" s="14">
        <v>150.54</v>
      </c>
      <c r="BW30" s="14">
        <v>31075.7</v>
      </c>
      <c r="BX30" s="15">
        <v>14</v>
      </c>
      <c r="BY30" s="13">
        <v>5.3</v>
      </c>
      <c r="BZ30" s="14">
        <v>29.7</v>
      </c>
      <c r="CA30" s="14">
        <v>14.9</v>
      </c>
      <c r="CB30" s="14">
        <v>0</v>
      </c>
      <c r="CC30" s="14">
        <v>2</v>
      </c>
      <c r="CD30" s="14">
        <v>0</v>
      </c>
      <c r="CE30" s="14">
        <v>0</v>
      </c>
      <c r="CF30" s="14">
        <v>0</v>
      </c>
      <c r="CG30" s="14">
        <v>78.3</v>
      </c>
      <c r="CH30" s="14">
        <v>154.51</v>
      </c>
      <c r="CI30" s="14">
        <v>44077.1</v>
      </c>
      <c r="CJ30" s="15">
        <v>3</v>
      </c>
      <c r="CK30" s="13">
        <v>9.4</v>
      </c>
      <c r="CL30" s="14">
        <v>28.2</v>
      </c>
      <c r="CM30" s="14">
        <v>15.9</v>
      </c>
      <c r="CN30" s="14">
        <v>0</v>
      </c>
      <c r="CO30" s="14">
        <v>2</v>
      </c>
      <c r="CP30" s="14">
        <v>0</v>
      </c>
      <c r="CQ30" s="14">
        <v>0</v>
      </c>
      <c r="CR30" s="14">
        <v>0</v>
      </c>
      <c r="CS30" s="14">
        <v>78.599999999999994</v>
      </c>
      <c r="CT30" s="14">
        <v>155.11000000000001</v>
      </c>
      <c r="CU30" s="14">
        <v>37246.300000000003</v>
      </c>
      <c r="CV30" s="15">
        <v>9</v>
      </c>
      <c r="CW30" s="14">
        <v>287.08</v>
      </c>
      <c r="CX30" s="14">
        <v>5.22</v>
      </c>
      <c r="CY30" s="14">
        <v>0.86</v>
      </c>
      <c r="CZ30" s="14">
        <v>0</v>
      </c>
      <c r="DA30" s="14">
        <v>0</v>
      </c>
      <c r="DB30" s="14">
        <f t="shared" si="0"/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30.3</v>
      </c>
    </row>
    <row r="31" spans="1:111" ht="15.75" thickBot="1" x14ac:dyDescent="0.3">
      <c r="A31" s="79"/>
      <c r="B31" s="83"/>
      <c r="C31" s="81"/>
      <c r="D31" s="81"/>
      <c r="E31" s="33" t="s">
        <v>27</v>
      </c>
      <c r="F31" s="81"/>
      <c r="G31" s="27" t="s">
        <v>197</v>
      </c>
      <c r="H31" s="131"/>
      <c r="I31" s="31">
        <v>1839.3</v>
      </c>
      <c r="J31" s="16">
        <v>-0.1</v>
      </c>
      <c r="K31" s="17">
        <v>29.1</v>
      </c>
      <c r="L31" s="17">
        <v>11.5</v>
      </c>
      <c r="M31" s="17">
        <v>1</v>
      </c>
      <c r="N31" s="17">
        <v>7</v>
      </c>
      <c r="O31" s="17">
        <v>23</v>
      </c>
      <c r="P31" s="17">
        <v>1398</v>
      </c>
      <c r="Q31" s="17">
        <v>0</v>
      </c>
      <c r="R31" s="17">
        <v>89</v>
      </c>
      <c r="S31" s="17">
        <v>197.4</v>
      </c>
      <c r="T31" s="17">
        <v>27.7</v>
      </c>
      <c r="U31" s="17">
        <v>54.76</v>
      </c>
      <c r="V31" s="17">
        <v>61960.9</v>
      </c>
      <c r="W31" s="18">
        <v>102</v>
      </c>
      <c r="X31" s="16">
        <v>-7.9</v>
      </c>
      <c r="Y31" s="17">
        <v>14</v>
      </c>
      <c r="Z31" s="17">
        <v>3.5</v>
      </c>
      <c r="AA31" s="17">
        <v>24</v>
      </c>
      <c r="AB31" s="17">
        <v>0</v>
      </c>
      <c r="AC31" s="17">
        <v>6</v>
      </c>
      <c r="AD31" s="17">
        <v>157.4</v>
      </c>
      <c r="AE31" s="17">
        <v>0</v>
      </c>
      <c r="AF31" s="17">
        <v>0</v>
      </c>
      <c r="AG31" s="17">
        <v>72</v>
      </c>
      <c r="AH31" s="17">
        <v>142.08000000000001</v>
      </c>
      <c r="AI31" s="17">
        <v>21928.2</v>
      </c>
      <c r="AJ31" s="17">
        <v>31</v>
      </c>
      <c r="AK31" s="18">
        <v>8</v>
      </c>
      <c r="AL31" s="16">
        <v>-0.1</v>
      </c>
      <c r="AM31" s="17">
        <v>21.8</v>
      </c>
      <c r="AN31" s="17">
        <v>8.6999999999999993</v>
      </c>
      <c r="AO31" s="17">
        <v>1</v>
      </c>
      <c r="AP31" s="17">
        <v>0</v>
      </c>
      <c r="AQ31" s="17">
        <v>15</v>
      </c>
      <c r="AR31" s="17">
        <v>271.2</v>
      </c>
      <c r="AS31" s="17">
        <v>0</v>
      </c>
      <c r="AT31" s="17">
        <v>0</v>
      </c>
      <c r="AU31" s="17">
        <v>67.3</v>
      </c>
      <c r="AV31" s="17">
        <v>132.84</v>
      </c>
      <c r="AW31" s="17">
        <v>26142.5</v>
      </c>
      <c r="AX31" s="18">
        <v>18</v>
      </c>
      <c r="AY31" s="16">
        <v>1</v>
      </c>
      <c r="AZ31" s="17">
        <v>22.8</v>
      </c>
      <c r="BA31" s="17">
        <v>9.8000000000000007</v>
      </c>
      <c r="BB31" s="17">
        <v>0</v>
      </c>
      <c r="BC31" s="17">
        <v>0</v>
      </c>
      <c r="BD31" s="17">
        <v>12</v>
      </c>
      <c r="BE31" s="17">
        <v>206.1</v>
      </c>
      <c r="BF31" s="17">
        <v>0</v>
      </c>
      <c r="BG31" s="17">
        <v>0</v>
      </c>
      <c r="BH31" s="17">
        <v>48.4</v>
      </c>
      <c r="BI31" s="17">
        <v>95.54</v>
      </c>
      <c r="BJ31" s="17">
        <v>32794.6</v>
      </c>
      <c r="BK31" s="17">
        <v>4</v>
      </c>
      <c r="BL31" s="18">
        <v>1.59</v>
      </c>
      <c r="BM31" s="16">
        <v>1.9</v>
      </c>
      <c r="BN31" s="17">
        <v>23.6</v>
      </c>
      <c r="BO31" s="17">
        <v>10.7</v>
      </c>
      <c r="BP31" s="17">
        <v>0</v>
      </c>
      <c r="BQ31" s="17">
        <v>0</v>
      </c>
      <c r="BR31" s="17">
        <v>6</v>
      </c>
      <c r="BS31" s="17">
        <v>0</v>
      </c>
      <c r="BT31" s="17">
        <v>0</v>
      </c>
      <c r="BU31" s="17">
        <v>77.2</v>
      </c>
      <c r="BV31" s="17">
        <v>152.37</v>
      </c>
      <c r="BW31" s="17">
        <v>30614.2</v>
      </c>
      <c r="BX31" s="18">
        <v>13</v>
      </c>
      <c r="BY31" s="16">
        <v>5.3</v>
      </c>
      <c r="BZ31" s="17">
        <v>29.7</v>
      </c>
      <c r="CA31" s="17">
        <v>14.9</v>
      </c>
      <c r="CB31" s="17">
        <v>0</v>
      </c>
      <c r="CC31" s="17">
        <v>2</v>
      </c>
      <c r="CD31" s="17">
        <v>0</v>
      </c>
      <c r="CE31" s="17">
        <v>0</v>
      </c>
      <c r="CF31" s="17">
        <v>0</v>
      </c>
      <c r="CG31" s="17">
        <v>78.3</v>
      </c>
      <c r="CH31" s="17">
        <v>154.61000000000001</v>
      </c>
      <c r="CI31" s="17">
        <v>44077.1</v>
      </c>
      <c r="CJ31" s="18">
        <v>3</v>
      </c>
      <c r="CK31" s="16">
        <v>9.4</v>
      </c>
      <c r="CL31" s="17">
        <v>28.2</v>
      </c>
      <c r="CM31" s="17">
        <v>15.9</v>
      </c>
      <c r="CN31" s="17">
        <v>0</v>
      </c>
      <c r="CO31" s="17">
        <v>2</v>
      </c>
      <c r="CP31" s="17">
        <v>0</v>
      </c>
      <c r="CQ31" s="17">
        <v>0</v>
      </c>
      <c r="CR31" s="17">
        <v>0</v>
      </c>
      <c r="CS31" s="17">
        <v>78.599999999999994</v>
      </c>
      <c r="CT31" s="17">
        <v>155.21</v>
      </c>
      <c r="CU31" s="17">
        <v>37246.300000000003</v>
      </c>
      <c r="CV31" s="18">
        <v>9</v>
      </c>
      <c r="CW31" s="17">
        <v>428.72</v>
      </c>
      <c r="CX31" s="17">
        <v>5.73</v>
      </c>
      <c r="CY31" s="17">
        <v>1.1299999999999999</v>
      </c>
      <c r="CZ31" s="17">
        <v>80</v>
      </c>
      <c r="DA31" s="17">
        <v>138.62</v>
      </c>
      <c r="DB31" s="149">
        <f t="shared" si="0"/>
        <v>70.222897669706185</v>
      </c>
      <c r="DC31" s="17">
        <v>4.5</v>
      </c>
      <c r="DD31" s="17">
        <v>4.5</v>
      </c>
      <c r="DE31" s="17">
        <v>0</v>
      </c>
      <c r="DF31" s="17">
        <v>10.9</v>
      </c>
      <c r="DG31" s="17">
        <v>30.3</v>
      </c>
    </row>
    <row r="32" spans="1:111" x14ac:dyDescent="0.25">
      <c r="A32" s="74" t="s">
        <v>63</v>
      </c>
      <c r="B32" s="82"/>
      <c r="C32" s="76" t="s">
        <v>141</v>
      </c>
      <c r="D32" s="76" t="s">
        <v>77</v>
      </c>
      <c r="E32" s="32" t="s">
        <v>26</v>
      </c>
      <c r="F32" s="76" t="s">
        <v>33</v>
      </c>
      <c r="G32" s="19" t="s">
        <v>198</v>
      </c>
      <c r="H32" s="132">
        <v>1</v>
      </c>
      <c r="I32" s="28">
        <v>1718.6</v>
      </c>
      <c r="J32" s="9">
        <v>-3.7</v>
      </c>
      <c r="K32" s="8">
        <v>28.4</v>
      </c>
      <c r="L32" s="8">
        <v>10.199999999999999</v>
      </c>
      <c r="M32" s="8">
        <v>6</v>
      </c>
      <c r="N32" s="8">
        <v>3</v>
      </c>
      <c r="O32" s="8">
        <v>27</v>
      </c>
      <c r="P32" s="8">
        <v>1324.4</v>
      </c>
      <c r="Q32" s="8">
        <v>5</v>
      </c>
      <c r="R32" s="8">
        <v>26</v>
      </c>
      <c r="S32" s="8">
        <v>197.4</v>
      </c>
      <c r="T32" s="8">
        <v>70</v>
      </c>
      <c r="U32" s="8">
        <v>138.27000000000001</v>
      </c>
      <c r="V32" s="8">
        <v>68962.100000000006</v>
      </c>
      <c r="W32" s="10">
        <v>111</v>
      </c>
      <c r="X32" s="9">
        <v>-3.3</v>
      </c>
      <c r="Y32" s="8">
        <v>13.5</v>
      </c>
      <c r="Z32" s="8">
        <v>4.4000000000000004</v>
      </c>
      <c r="AA32" s="8">
        <v>11</v>
      </c>
      <c r="AB32" s="8">
        <v>0</v>
      </c>
      <c r="AC32" s="8">
        <v>32</v>
      </c>
      <c r="AD32" s="8">
        <v>221.4</v>
      </c>
      <c r="AE32" s="8">
        <v>0</v>
      </c>
      <c r="AF32" s="8">
        <v>0</v>
      </c>
      <c r="AG32" s="8">
        <v>98.3</v>
      </c>
      <c r="AH32" s="8">
        <v>194.02</v>
      </c>
      <c r="AI32" s="8">
        <v>22690.6</v>
      </c>
      <c r="AJ32" s="8">
        <v>46</v>
      </c>
      <c r="AK32" s="10">
        <v>18</v>
      </c>
      <c r="AL32" s="9">
        <v>-2.5</v>
      </c>
      <c r="AM32" s="8">
        <v>16.3</v>
      </c>
      <c r="AN32" s="8">
        <v>6.5</v>
      </c>
      <c r="AO32" s="8">
        <v>5</v>
      </c>
      <c r="AP32" s="8">
        <v>0</v>
      </c>
      <c r="AQ32" s="8">
        <v>11</v>
      </c>
      <c r="AR32" s="8">
        <v>170</v>
      </c>
      <c r="AS32" s="8">
        <v>0</v>
      </c>
      <c r="AT32" s="8">
        <v>0</v>
      </c>
      <c r="AU32" s="8">
        <v>97.6</v>
      </c>
      <c r="AV32" s="8">
        <v>192.58</v>
      </c>
      <c r="AW32" s="8">
        <v>18665.099999999999</v>
      </c>
      <c r="AX32" s="10">
        <v>19</v>
      </c>
      <c r="AY32" s="9">
        <v>-1.2</v>
      </c>
      <c r="AZ32" s="8">
        <v>22.8</v>
      </c>
      <c r="BA32" s="8">
        <v>8.1999999999999993</v>
      </c>
      <c r="BB32" s="8">
        <v>3</v>
      </c>
      <c r="BC32" s="8">
        <v>0</v>
      </c>
      <c r="BD32" s="8">
        <v>8</v>
      </c>
      <c r="BE32" s="8">
        <v>172.3</v>
      </c>
      <c r="BF32" s="8">
        <v>0</v>
      </c>
      <c r="BG32" s="8">
        <v>0</v>
      </c>
      <c r="BH32" s="8">
        <v>95.2</v>
      </c>
      <c r="BI32" s="8">
        <v>187.94</v>
      </c>
      <c r="BJ32" s="8">
        <v>25184.3</v>
      </c>
      <c r="BK32" s="8">
        <v>8</v>
      </c>
      <c r="BL32" s="10">
        <v>1.46</v>
      </c>
      <c r="BM32" s="9">
        <v>0.4</v>
      </c>
      <c r="BN32" s="8">
        <v>23.6</v>
      </c>
      <c r="BO32" s="8">
        <v>11.1</v>
      </c>
      <c r="BP32" s="8">
        <v>0</v>
      </c>
      <c r="BQ32" s="8">
        <v>0</v>
      </c>
      <c r="BR32" s="8">
        <v>6</v>
      </c>
      <c r="BS32" s="8">
        <v>0</v>
      </c>
      <c r="BT32" s="8">
        <v>0</v>
      </c>
      <c r="BU32" s="8">
        <v>72.599999999999994</v>
      </c>
      <c r="BV32" s="8">
        <v>143.32</v>
      </c>
      <c r="BW32" s="8">
        <v>41572.199999999997</v>
      </c>
      <c r="BX32" s="10">
        <v>8</v>
      </c>
      <c r="BY32" s="9">
        <v>4.4000000000000004</v>
      </c>
      <c r="BZ32" s="8">
        <v>27.8</v>
      </c>
      <c r="CA32" s="8">
        <v>13.1</v>
      </c>
      <c r="CB32" s="8">
        <v>0</v>
      </c>
      <c r="CC32" s="8">
        <v>2</v>
      </c>
      <c r="CD32" s="8">
        <v>1</v>
      </c>
      <c r="CE32" s="8">
        <v>0</v>
      </c>
      <c r="CF32" s="8">
        <v>0</v>
      </c>
      <c r="CG32" s="8">
        <v>66.599999999999994</v>
      </c>
      <c r="CH32" s="8">
        <v>131.5</v>
      </c>
      <c r="CI32" s="8">
        <v>36257.5</v>
      </c>
      <c r="CJ32" s="10">
        <v>5</v>
      </c>
      <c r="CK32" s="9">
        <v>7.9</v>
      </c>
      <c r="CL32" s="8">
        <v>24.9</v>
      </c>
      <c r="CM32" s="8">
        <v>16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65.2</v>
      </c>
      <c r="CT32" s="8">
        <v>128.65</v>
      </c>
      <c r="CU32" s="8">
        <v>31916.799999999999</v>
      </c>
      <c r="CV32" s="10">
        <v>9</v>
      </c>
      <c r="CW32" s="8">
        <v>257.54000000000002</v>
      </c>
      <c r="CX32" s="8">
        <v>5.65</v>
      </c>
      <c r="CY32" s="8">
        <v>0.79</v>
      </c>
      <c r="CZ32" s="8">
        <v>0</v>
      </c>
      <c r="DA32" s="8">
        <v>0</v>
      </c>
      <c r="DB32" s="8">
        <f t="shared" si="0"/>
        <v>0</v>
      </c>
      <c r="DC32" s="8">
        <v>0</v>
      </c>
      <c r="DD32" s="8">
        <v>0</v>
      </c>
      <c r="DE32" s="8">
        <v>0</v>
      </c>
      <c r="DF32" s="8">
        <v>0</v>
      </c>
      <c r="DG32" s="8">
        <v>52.5</v>
      </c>
    </row>
    <row r="33" spans="1:111" ht="15.75" thickBot="1" x14ac:dyDescent="0.3">
      <c r="A33" s="75"/>
      <c r="B33" s="83"/>
      <c r="C33" s="77"/>
      <c r="D33" s="77"/>
      <c r="E33" s="33" t="s">
        <v>27</v>
      </c>
      <c r="F33" s="77"/>
      <c r="G33" s="22" t="s">
        <v>199</v>
      </c>
      <c r="H33" s="133"/>
      <c r="I33" s="29">
        <v>1721.7</v>
      </c>
      <c r="J33" s="5">
        <v>-3.7</v>
      </c>
      <c r="K33" s="6">
        <v>28.4</v>
      </c>
      <c r="L33" s="6">
        <v>10.199999999999999</v>
      </c>
      <c r="M33" s="6">
        <v>6</v>
      </c>
      <c r="N33" s="6">
        <v>3</v>
      </c>
      <c r="O33" s="6">
        <v>27</v>
      </c>
      <c r="P33" s="6">
        <v>1324.4</v>
      </c>
      <c r="Q33" s="6">
        <v>5</v>
      </c>
      <c r="R33" s="6">
        <v>26</v>
      </c>
      <c r="S33" s="6">
        <v>197.4</v>
      </c>
      <c r="T33" s="6">
        <v>70</v>
      </c>
      <c r="U33" s="6">
        <v>138.27000000000001</v>
      </c>
      <c r="V33" s="6">
        <v>68962.100000000006</v>
      </c>
      <c r="W33" s="7">
        <v>111</v>
      </c>
      <c r="X33" s="5">
        <v>-3.3</v>
      </c>
      <c r="Y33" s="6">
        <v>13.5</v>
      </c>
      <c r="Z33" s="6">
        <v>4.4000000000000004</v>
      </c>
      <c r="AA33" s="6">
        <v>11</v>
      </c>
      <c r="AB33" s="6">
        <v>0</v>
      </c>
      <c r="AC33" s="6">
        <v>32</v>
      </c>
      <c r="AD33" s="6">
        <v>221.4</v>
      </c>
      <c r="AE33" s="6">
        <v>0</v>
      </c>
      <c r="AF33" s="6">
        <v>0</v>
      </c>
      <c r="AG33" s="6">
        <v>98.3</v>
      </c>
      <c r="AH33" s="6">
        <v>194.02</v>
      </c>
      <c r="AI33" s="6">
        <v>22690.6</v>
      </c>
      <c r="AJ33" s="6">
        <v>46</v>
      </c>
      <c r="AK33" s="7">
        <v>18</v>
      </c>
      <c r="AL33" s="5">
        <v>-2.5</v>
      </c>
      <c r="AM33" s="6">
        <v>16.3</v>
      </c>
      <c r="AN33" s="6">
        <v>6.4</v>
      </c>
      <c r="AO33" s="6">
        <v>5</v>
      </c>
      <c r="AP33" s="6">
        <v>0</v>
      </c>
      <c r="AQ33" s="6">
        <v>12</v>
      </c>
      <c r="AR33" s="6">
        <v>172.8</v>
      </c>
      <c r="AS33" s="6">
        <v>0</v>
      </c>
      <c r="AT33" s="6">
        <v>0</v>
      </c>
      <c r="AU33" s="6">
        <v>97.5</v>
      </c>
      <c r="AV33" s="6">
        <v>192.53</v>
      </c>
      <c r="AW33" s="6">
        <v>19378</v>
      </c>
      <c r="AX33" s="7">
        <v>20</v>
      </c>
      <c r="AY33" s="5">
        <v>-1.2</v>
      </c>
      <c r="AZ33" s="6">
        <v>22.8</v>
      </c>
      <c r="BA33" s="6">
        <v>8.4</v>
      </c>
      <c r="BB33" s="6">
        <v>3</v>
      </c>
      <c r="BC33" s="6">
        <v>0</v>
      </c>
      <c r="BD33" s="6">
        <v>8</v>
      </c>
      <c r="BE33" s="6">
        <v>177.1</v>
      </c>
      <c r="BF33" s="6">
        <v>0</v>
      </c>
      <c r="BG33" s="6">
        <v>0</v>
      </c>
      <c r="BH33" s="6">
        <v>94.8</v>
      </c>
      <c r="BI33" s="6">
        <v>187.11</v>
      </c>
      <c r="BJ33" s="6">
        <v>26874.2</v>
      </c>
      <c r="BK33" s="6">
        <v>7</v>
      </c>
      <c r="BL33" s="7">
        <v>1.52</v>
      </c>
      <c r="BM33" s="5">
        <v>0.4</v>
      </c>
      <c r="BN33" s="6">
        <v>23.6</v>
      </c>
      <c r="BO33" s="6">
        <v>11.2</v>
      </c>
      <c r="BP33" s="6">
        <v>0</v>
      </c>
      <c r="BQ33" s="6">
        <v>0</v>
      </c>
      <c r="BR33" s="6">
        <v>5</v>
      </c>
      <c r="BS33" s="6">
        <v>0</v>
      </c>
      <c r="BT33" s="6">
        <v>0</v>
      </c>
      <c r="BU33" s="6">
        <v>72.099999999999994</v>
      </c>
      <c r="BV33" s="6">
        <v>142.22999999999999</v>
      </c>
      <c r="BW33" s="6">
        <v>39169.4</v>
      </c>
      <c r="BX33" s="7">
        <v>8</v>
      </c>
      <c r="BY33" s="5">
        <v>4.4000000000000004</v>
      </c>
      <c r="BZ33" s="6">
        <v>27.8</v>
      </c>
      <c r="CA33" s="6">
        <v>13.1</v>
      </c>
      <c r="CB33" s="6">
        <v>0</v>
      </c>
      <c r="CC33" s="6">
        <v>2</v>
      </c>
      <c r="CD33" s="6">
        <v>1</v>
      </c>
      <c r="CE33" s="6">
        <v>0</v>
      </c>
      <c r="CF33" s="6">
        <v>0</v>
      </c>
      <c r="CG33" s="6">
        <v>66.599999999999994</v>
      </c>
      <c r="CH33" s="6">
        <v>131.5</v>
      </c>
      <c r="CI33" s="6">
        <v>36257.5</v>
      </c>
      <c r="CJ33" s="7">
        <v>5</v>
      </c>
      <c r="CK33" s="5">
        <v>7.9</v>
      </c>
      <c r="CL33" s="6">
        <v>24.9</v>
      </c>
      <c r="CM33" s="6">
        <v>16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65.2</v>
      </c>
      <c r="CT33" s="6">
        <v>128.65</v>
      </c>
      <c r="CU33" s="6">
        <v>31916.799999999999</v>
      </c>
      <c r="CV33" s="7">
        <v>9</v>
      </c>
      <c r="CW33" s="6">
        <v>389.02</v>
      </c>
      <c r="CX33" s="6">
        <v>5.59</v>
      </c>
      <c r="CY33" s="6">
        <v>1.04</v>
      </c>
      <c r="CZ33" s="6">
        <v>80</v>
      </c>
      <c r="DA33" s="6">
        <v>185.3</v>
      </c>
      <c r="DB33" s="147">
        <f t="shared" si="0"/>
        <v>93.870314083080032</v>
      </c>
      <c r="DC33" s="6">
        <v>4.5</v>
      </c>
      <c r="DD33" s="6">
        <v>6</v>
      </c>
      <c r="DE33" s="6">
        <v>0</v>
      </c>
      <c r="DF33" s="6">
        <v>13.7</v>
      </c>
      <c r="DG33" s="6">
        <v>52.5</v>
      </c>
    </row>
    <row r="34" spans="1:111" x14ac:dyDescent="0.25">
      <c r="A34" s="78" t="s">
        <v>64</v>
      </c>
      <c r="B34" s="82"/>
      <c r="C34" s="80" t="s">
        <v>141</v>
      </c>
      <c r="D34" s="80" t="s">
        <v>78</v>
      </c>
      <c r="E34" s="32" t="s">
        <v>26</v>
      </c>
      <c r="F34" s="80" t="s">
        <v>33</v>
      </c>
      <c r="G34" s="20" t="s">
        <v>200</v>
      </c>
      <c r="H34" s="130">
        <v>1</v>
      </c>
      <c r="I34" s="30">
        <v>1777</v>
      </c>
      <c r="J34" s="13">
        <v>0</v>
      </c>
      <c r="K34" s="14">
        <v>28.3</v>
      </c>
      <c r="L34" s="14">
        <v>13.7</v>
      </c>
      <c r="M34" s="14">
        <v>0</v>
      </c>
      <c r="N34" s="14">
        <v>9</v>
      </c>
      <c r="O34" s="14">
        <v>8</v>
      </c>
      <c r="P34" s="14">
        <v>1052.2</v>
      </c>
      <c r="Q34" s="14">
        <v>4</v>
      </c>
      <c r="R34" s="14">
        <v>28</v>
      </c>
      <c r="S34" s="14">
        <v>122.1</v>
      </c>
      <c r="T34" s="14">
        <v>34.9</v>
      </c>
      <c r="U34" s="14">
        <v>42.66</v>
      </c>
      <c r="V34" s="14">
        <v>72079.8</v>
      </c>
      <c r="W34" s="15">
        <v>35</v>
      </c>
      <c r="X34" s="13">
        <v>-5.5</v>
      </c>
      <c r="Y34" s="14">
        <v>19.3</v>
      </c>
      <c r="Z34" s="14">
        <v>4.2</v>
      </c>
      <c r="AA34" s="14">
        <v>18</v>
      </c>
      <c r="AB34" s="14">
        <v>0</v>
      </c>
      <c r="AC34" s="14">
        <v>16</v>
      </c>
      <c r="AD34" s="14">
        <v>183.7</v>
      </c>
      <c r="AE34" s="14">
        <v>0</v>
      </c>
      <c r="AF34" s="14">
        <v>0</v>
      </c>
      <c r="AG34" s="14">
        <v>80.5</v>
      </c>
      <c r="AH34" s="14">
        <v>98.32</v>
      </c>
      <c r="AI34" s="14">
        <v>18424.7</v>
      </c>
      <c r="AJ34" s="14">
        <v>43</v>
      </c>
      <c r="AK34" s="15">
        <v>15</v>
      </c>
      <c r="AL34" s="13">
        <v>-4.5999999999999996</v>
      </c>
      <c r="AM34" s="14">
        <v>16.600000000000001</v>
      </c>
      <c r="AN34" s="14">
        <v>7.2</v>
      </c>
      <c r="AO34" s="14">
        <v>13</v>
      </c>
      <c r="AP34" s="14">
        <v>0</v>
      </c>
      <c r="AQ34" s="14">
        <v>28</v>
      </c>
      <c r="AR34" s="14">
        <v>531.1</v>
      </c>
      <c r="AS34" s="14">
        <v>0</v>
      </c>
      <c r="AT34" s="14">
        <v>0</v>
      </c>
      <c r="AU34" s="14">
        <v>75.599999999999994</v>
      </c>
      <c r="AV34" s="14">
        <v>92.36</v>
      </c>
      <c r="AW34" s="14">
        <v>56159.3</v>
      </c>
      <c r="AX34" s="15">
        <v>47</v>
      </c>
      <c r="AY34" s="13">
        <v>3.5</v>
      </c>
      <c r="AZ34" s="14">
        <v>28.1</v>
      </c>
      <c r="BA34" s="14">
        <v>13.3</v>
      </c>
      <c r="BB34" s="14">
        <v>0</v>
      </c>
      <c r="BC34" s="14">
        <v>4</v>
      </c>
      <c r="BD34" s="14">
        <v>3</v>
      </c>
      <c r="BE34" s="14">
        <v>278.3</v>
      </c>
      <c r="BF34" s="14">
        <v>0</v>
      </c>
      <c r="BG34" s="14">
        <v>4</v>
      </c>
      <c r="BH34" s="14">
        <v>40.4</v>
      </c>
      <c r="BI34" s="14">
        <v>49.29</v>
      </c>
      <c r="BJ34" s="14">
        <v>33462.1</v>
      </c>
      <c r="BK34" s="14">
        <v>4</v>
      </c>
      <c r="BL34" s="15">
        <v>1.2</v>
      </c>
      <c r="BM34" s="13">
        <v>4.3</v>
      </c>
      <c r="BN34" s="14">
        <v>23</v>
      </c>
      <c r="BO34" s="14">
        <v>14.9</v>
      </c>
      <c r="BP34" s="14">
        <v>0</v>
      </c>
      <c r="BQ34" s="14">
        <v>0</v>
      </c>
      <c r="BR34" s="14">
        <v>2</v>
      </c>
      <c r="BS34" s="14">
        <v>12</v>
      </c>
      <c r="BT34" s="14">
        <v>9</v>
      </c>
      <c r="BU34" s="14">
        <v>2.2999999999999998</v>
      </c>
      <c r="BV34" s="14">
        <v>2.78</v>
      </c>
      <c r="BW34" s="14">
        <v>39855.199999999997</v>
      </c>
      <c r="BX34" s="15">
        <v>3</v>
      </c>
      <c r="BY34" s="13">
        <v>10</v>
      </c>
      <c r="BZ34" s="14">
        <v>27.9</v>
      </c>
      <c r="CA34" s="14">
        <v>18</v>
      </c>
      <c r="CB34" s="14">
        <v>0</v>
      </c>
      <c r="CC34" s="14">
        <v>4</v>
      </c>
      <c r="CD34" s="14">
        <v>0</v>
      </c>
      <c r="CE34" s="14">
        <v>13</v>
      </c>
      <c r="CF34" s="14">
        <v>4</v>
      </c>
      <c r="CG34" s="14">
        <v>0.8</v>
      </c>
      <c r="CH34" s="14">
        <v>0.96</v>
      </c>
      <c r="CI34" s="14">
        <v>34533.699999999997</v>
      </c>
      <c r="CJ34" s="15">
        <v>1</v>
      </c>
      <c r="CK34" s="13">
        <v>11.1</v>
      </c>
      <c r="CL34" s="14">
        <v>30.8</v>
      </c>
      <c r="CM34" s="14">
        <v>18.5</v>
      </c>
      <c r="CN34" s="14">
        <v>0</v>
      </c>
      <c r="CO34" s="14">
        <v>9</v>
      </c>
      <c r="CP34" s="14">
        <v>0</v>
      </c>
      <c r="CQ34" s="14">
        <v>12</v>
      </c>
      <c r="CR34" s="14">
        <v>10</v>
      </c>
      <c r="CS34" s="14">
        <v>7.3</v>
      </c>
      <c r="CT34" s="14">
        <v>8.86</v>
      </c>
      <c r="CU34" s="14">
        <v>41129.300000000003</v>
      </c>
      <c r="CV34" s="15">
        <v>1</v>
      </c>
      <c r="CW34" s="14">
        <v>284.95999999999998</v>
      </c>
      <c r="CX34" s="14">
        <v>7.12</v>
      </c>
      <c r="CY34" s="14">
        <v>0.76</v>
      </c>
      <c r="CZ34" s="14">
        <v>30</v>
      </c>
      <c r="DA34" s="14">
        <v>75.8</v>
      </c>
      <c r="DB34" s="148">
        <f t="shared" si="0"/>
        <v>62.080262080262081</v>
      </c>
      <c r="DC34" s="14">
        <v>6</v>
      </c>
      <c r="DD34" s="14">
        <v>4</v>
      </c>
      <c r="DE34" s="14">
        <v>0</v>
      </c>
      <c r="DF34" s="14">
        <v>20.2</v>
      </c>
      <c r="DG34" s="14">
        <v>14.1</v>
      </c>
    </row>
    <row r="35" spans="1:111" ht="15.75" thickBot="1" x14ac:dyDescent="0.3">
      <c r="A35" s="79"/>
      <c r="B35" s="83"/>
      <c r="C35" s="81"/>
      <c r="D35" s="81"/>
      <c r="E35" s="33" t="s">
        <v>27</v>
      </c>
      <c r="F35" s="81"/>
      <c r="G35" s="21" t="s">
        <v>201</v>
      </c>
      <c r="H35" s="131"/>
      <c r="I35" s="31">
        <v>1786.5</v>
      </c>
      <c r="J35" s="16">
        <v>0</v>
      </c>
      <c r="K35" s="17">
        <v>28.3</v>
      </c>
      <c r="L35" s="17">
        <v>13.7</v>
      </c>
      <c r="M35" s="17">
        <v>0</v>
      </c>
      <c r="N35" s="17">
        <v>9</v>
      </c>
      <c r="O35" s="17">
        <v>8</v>
      </c>
      <c r="P35" s="17">
        <v>1052.2</v>
      </c>
      <c r="Q35" s="17">
        <v>4</v>
      </c>
      <c r="R35" s="17">
        <v>28</v>
      </c>
      <c r="S35" s="17">
        <v>122.1</v>
      </c>
      <c r="T35" s="17">
        <v>34.9</v>
      </c>
      <c r="U35" s="17">
        <v>42.66</v>
      </c>
      <c r="V35" s="17">
        <v>72079.8</v>
      </c>
      <c r="W35" s="18">
        <v>35</v>
      </c>
      <c r="X35" s="16">
        <v>-5.5</v>
      </c>
      <c r="Y35" s="17">
        <v>19.3</v>
      </c>
      <c r="Z35" s="17">
        <v>4.2</v>
      </c>
      <c r="AA35" s="17">
        <v>18</v>
      </c>
      <c r="AB35" s="17">
        <v>0</v>
      </c>
      <c r="AC35" s="17">
        <v>16</v>
      </c>
      <c r="AD35" s="17">
        <v>183.7</v>
      </c>
      <c r="AE35" s="17">
        <v>0</v>
      </c>
      <c r="AF35" s="17">
        <v>0</v>
      </c>
      <c r="AG35" s="17">
        <v>80.5</v>
      </c>
      <c r="AH35" s="17">
        <v>98.32</v>
      </c>
      <c r="AI35" s="17">
        <v>18424.7</v>
      </c>
      <c r="AJ35" s="17">
        <v>43</v>
      </c>
      <c r="AK35" s="18">
        <v>15</v>
      </c>
      <c r="AL35" s="16">
        <v>-4.5999999999999996</v>
      </c>
      <c r="AM35" s="17">
        <v>16.600000000000001</v>
      </c>
      <c r="AN35" s="17">
        <v>7.3</v>
      </c>
      <c r="AO35" s="17">
        <v>13</v>
      </c>
      <c r="AP35" s="17">
        <v>0</v>
      </c>
      <c r="AQ35" s="17">
        <v>28</v>
      </c>
      <c r="AR35" s="17">
        <v>541.1</v>
      </c>
      <c r="AS35" s="17">
        <v>0</v>
      </c>
      <c r="AT35" s="17">
        <v>0</v>
      </c>
      <c r="AU35" s="17">
        <v>75.400000000000006</v>
      </c>
      <c r="AV35" s="17">
        <v>92.11</v>
      </c>
      <c r="AW35" s="17">
        <v>57394.2</v>
      </c>
      <c r="AX35" s="18">
        <v>47</v>
      </c>
      <c r="AY35" s="16">
        <v>3.5</v>
      </c>
      <c r="AZ35" s="17">
        <v>28.1</v>
      </c>
      <c r="BA35" s="17">
        <v>13.5</v>
      </c>
      <c r="BB35" s="17">
        <v>0</v>
      </c>
      <c r="BC35" s="17">
        <v>4</v>
      </c>
      <c r="BD35" s="17">
        <v>3</v>
      </c>
      <c r="BE35" s="17">
        <v>283.60000000000002</v>
      </c>
      <c r="BF35" s="17">
        <v>0</v>
      </c>
      <c r="BG35" s="17">
        <v>5</v>
      </c>
      <c r="BH35" s="17">
        <v>38.299999999999997</v>
      </c>
      <c r="BI35" s="17">
        <v>46.73</v>
      </c>
      <c r="BJ35" s="17">
        <v>33044.300000000003</v>
      </c>
      <c r="BK35" s="17">
        <v>5</v>
      </c>
      <c r="BL35" s="18">
        <v>1.17</v>
      </c>
      <c r="BM35" s="16">
        <v>4.3</v>
      </c>
      <c r="BN35" s="17">
        <v>23</v>
      </c>
      <c r="BO35" s="17">
        <v>15</v>
      </c>
      <c r="BP35" s="17">
        <v>0</v>
      </c>
      <c r="BQ35" s="17">
        <v>0</v>
      </c>
      <c r="BR35" s="17">
        <v>2</v>
      </c>
      <c r="BS35" s="17">
        <v>13</v>
      </c>
      <c r="BT35" s="17">
        <v>8</v>
      </c>
      <c r="BU35" s="17">
        <v>2.2999999999999998</v>
      </c>
      <c r="BV35" s="17">
        <v>2.8</v>
      </c>
      <c r="BW35" s="17">
        <v>40908</v>
      </c>
      <c r="BX35" s="18">
        <v>2</v>
      </c>
      <c r="BY35" s="16">
        <v>10</v>
      </c>
      <c r="BZ35" s="17">
        <v>27.9</v>
      </c>
      <c r="CA35" s="17">
        <v>18.2</v>
      </c>
      <c r="CB35" s="17">
        <v>0</v>
      </c>
      <c r="CC35" s="17">
        <v>5</v>
      </c>
      <c r="CD35" s="17">
        <v>0</v>
      </c>
      <c r="CE35" s="17">
        <v>13</v>
      </c>
      <c r="CF35" s="17">
        <v>4</v>
      </c>
      <c r="CG35" s="17">
        <v>0.8</v>
      </c>
      <c r="CH35" s="17">
        <v>0.97</v>
      </c>
      <c r="CI35" s="17">
        <v>35326.800000000003</v>
      </c>
      <c r="CJ35" s="18">
        <v>1</v>
      </c>
      <c r="CK35" s="16">
        <v>11.1</v>
      </c>
      <c r="CL35" s="17">
        <v>30.8</v>
      </c>
      <c r="CM35" s="17">
        <v>18.399999999999999</v>
      </c>
      <c r="CN35" s="17">
        <v>0</v>
      </c>
      <c r="CO35" s="17">
        <v>8</v>
      </c>
      <c r="CP35" s="17">
        <v>0</v>
      </c>
      <c r="CQ35" s="17">
        <v>11</v>
      </c>
      <c r="CR35" s="17">
        <v>11</v>
      </c>
      <c r="CS35" s="17">
        <v>8.6</v>
      </c>
      <c r="CT35" s="17">
        <v>10.45</v>
      </c>
      <c r="CU35" s="17">
        <v>40432.5</v>
      </c>
      <c r="CV35" s="18">
        <v>1</v>
      </c>
      <c r="CW35" s="17">
        <v>482.4</v>
      </c>
      <c r="CX35" s="17">
        <v>8.48</v>
      </c>
      <c r="CY35" s="17">
        <v>1.07</v>
      </c>
      <c r="CZ35" s="17">
        <v>120</v>
      </c>
      <c r="DA35" s="17">
        <v>80.39</v>
      </c>
      <c r="DB35" s="149">
        <f t="shared" si="0"/>
        <v>65.839475839475838</v>
      </c>
      <c r="DC35" s="17">
        <v>4.3</v>
      </c>
      <c r="DD35" s="17">
        <v>3.7</v>
      </c>
      <c r="DE35" s="17">
        <v>0</v>
      </c>
      <c r="DF35" s="17">
        <v>21.2</v>
      </c>
      <c r="DG35" s="17">
        <v>14.1</v>
      </c>
    </row>
    <row r="36" spans="1:111" x14ac:dyDescent="0.25">
      <c r="A36" s="74" t="s">
        <v>65</v>
      </c>
      <c r="B36" s="82"/>
      <c r="C36" s="76" t="s">
        <v>141</v>
      </c>
      <c r="D36" s="76" t="s">
        <v>79</v>
      </c>
      <c r="E36" s="32" t="s">
        <v>26</v>
      </c>
      <c r="F36" s="76" t="s">
        <v>33</v>
      </c>
      <c r="G36" s="19" t="s">
        <v>203</v>
      </c>
      <c r="H36" s="132" t="s">
        <v>160</v>
      </c>
      <c r="I36" s="28">
        <v>1492.1</v>
      </c>
      <c r="J36" s="9">
        <v>-6.5</v>
      </c>
      <c r="K36" s="8">
        <v>25.1</v>
      </c>
      <c r="L36" s="8">
        <v>8.5</v>
      </c>
      <c r="M36" s="8">
        <v>12</v>
      </c>
      <c r="N36" s="8">
        <v>1</v>
      </c>
      <c r="O36" s="8">
        <v>39</v>
      </c>
      <c r="P36" s="8">
        <v>1003.2</v>
      </c>
      <c r="Q36" s="8">
        <v>6</v>
      </c>
      <c r="R36" s="8">
        <v>7</v>
      </c>
      <c r="S36" s="8">
        <v>122.1</v>
      </c>
      <c r="T36" s="8">
        <v>84.8</v>
      </c>
      <c r="U36" s="8">
        <v>103.5</v>
      </c>
      <c r="V36" s="8">
        <v>53852.6</v>
      </c>
      <c r="W36" s="10">
        <v>97</v>
      </c>
      <c r="X36" s="9">
        <v>-6.2</v>
      </c>
      <c r="Y36" s="8">
        <v>15.2</v>
      </c>
      <c r="Z36" s="8">
        <v>1.3</v>
      </c>
      <c r="AA36" s="8">
        <v>34</v>
      </c>
      <c r="AB36" s="8">
        <v>0</v>
      </c>
      <c r="AC36" s="8">
        <v>22</v>
      </c>
      <c r="AD36" s="8">
        <v>114.1</v>
      </c>
      <c r="AE36" s="8">
        <v>0</v>
      </c>
      <c r="AF36" s="8">
        <v>0</v>
      </c>
      <c r="AG36" s="8">
        <v>97.6</v>
      </c>
      <c r="AH36" s="8">
        <v>119.16</v>
      </c>
      <c r="AI36" s="8">
        <v>24071.9</v>
      </c>
      <c r="AJ36" s="8">
        <v>55</v>
      </c>
      <c r="AK36" s="10">
        <v>31</v>
      </c>
      <c r="AL36" s="9">
        <v>-6.3</v>
      </c>
      <c r="AM36" s="8">
        <v>24.2</v>
      </c>
      <c r="AN36" s="8">
        <v>7.6</v>
      </c>
      <c r="AO36" s="8">
        <v>6</v>
      </c>
      <c r="AP36" s="8">
        <v>0</v>
      </c>
      <c r="AQ36" s="8">
        <v>22</v>
      </c>
      <c r="AR36" s="8">
        <v>363.5</v>
      </c>
      <c r="AS36" s="8">
        <v>0</v>
      </c>
      <c r="AT36" s="8">
        <v>0</v>
      </c>
      <c r="AU36" s="8">
        <v>90.7</v>
      </c>
      <c r="AV36" s="8">
        <v>110.8</v>
      </c>
      <c r="AW36" s="8">
        <v>47545.599999999999</v>
      </c>
      <c r="AX36" s="10">
        <v>22</v>
      </c>
      <c r="AY36" s="9">
        <v>4.4000000000000004</v>
      </c>
      <c r="AZ36" s="8">
        <v>23.6</v>
      </c>
      <c r="BA36" s="8">
        <v>12.3</v>
      </c>
      <c r="BB36" s="8">
        <v>0</v>
      </c>
      <c r="BC36" s="8">
        <v>0</v>
      </c>
      <c r="BD36" s="8">
        <v>3</v>
      </c>
      <c r="BE36" s="8">
        <v>258.89999999999998</v>
      </c>
      <c r="BF36" s="8">
        <v>0</v>
      </c>
      <c r="BG36" s="8">
        <v>0</v>
      </c>
      <c r="BH36" s="8">
        <v>92.6</v>
      </c>
      <c r="BI36" s="8">
        <v>113.08</v>
      </c>
      <c r="BJ36" s="8">
        <v>24685.5</v>
      </c>
      <c r="BK36" s="8">
        <v>8</v>
      </c>
      <c r="BL36" s="10">
        <v>0.95</v>
      </c>
      <c r="BM36" s="9">
        <v>3.7</v>
      </c>
      <c r="BN36" s="8">
        <v>25.5</v>
      </c>
      <c r="BO36" s="8">
        <v>12.2</v>
      </c>
      <c r="BP36" s="8">
        <v>0</v>
      </c>
      <c r="BQ36" s="8">
        <v>2</v>
      </c>
      <c r="BR36" s="8">
        <v>2</v>
      </c>
      <c r="BS36" s="8">
        <v>0</v>
      </c>
      <c r="BT36" s="8">
        <v>0</v>
      </c>
      <c r="BU36" s="8">
        <v>94.2</v>
      </c>
      <c r="BV36" s="8">
        <v>114.97</v>
      </c>
      <c r="BW36" s="8">
        <v>37728.5</v>
      </c>
      <c r="BX36" s="10">
        <v>9</v>
      </c>
      <c r="BY36" s="9">
        <v>10.3</v>
      </c>
      <c r="BZ36" s="8">
        <v>31.8</v>
      </c>
      <c r="CA36" s="8">
        <v>18.2</v>
      </c>
      <c r="CB36" s="8">
        <v>0</v>
      </c>
      <c r="CC36" s="8">
        <v>5</v>
      </c>
      <c r="CD36" s="8">
        <v>0</v>
      </c>
      <c r="CE36" s="8">
        <v>0</v>
      </c>
      <c r="CF36" s="8">
        <v>0</v>
      </c>
      <c r="CG36" s="8">
        <v>77.900000000000006</v>
      </c>
      <c r="CH36" s="8">
        <v>95.12</v>
      </c>
      <c r="CI36" s="8">
        <v>31646.400000000001</v>
      </c>
      <c r="CJ36" s="10">
        <v>1</v>
      </c>
      <c r="CK36" s="9">
        <v>9.5</v>
      </c>
      <c r="CL36" s="8">
        <v>29.2</v>
      </c>
      <c r="CM36" s="8">
        <v>19.7</v>
      </c>
      <c r="CN36" s="8">
        <v>0</v>
      </c>
      <c r="CO36" s="8">
        <v>11</v>
      </c>
      <c r="CP36" s="8">
        <v>0</v>
      </c>
      <c r="CQ36" s="8">
        <v>0</v>
      </c>
      <c r="CR36" s="8">
        <v>0</v>
      </c>
      <c r="CS36" s="8">
        <v>81.5</v>
      </c>
      <c r="CT36" s="8">
        <v>99.49</v>
      </c>
      <c r="CU36" s="8">
        <v>49686.3</v>
      </c>
      <c r="CV36" s="10">
        <v>2</v>
      </c>
      <c r="CW36" s="67">
        <v>973.54</v>
      </c>
      <c r="CX36" s="67">
        <v>3.04</v>
      </c>
      <c r="CY36" s="67">
        <v>0.95</v>
      </c>
      <c r="CZ36" s="8">
        <v>120</v>
      </c>
      <c r="DA36" s="8">
        <v>117.75</v>
      </c>
      <c r="DB36" s="146">
        <f t="shared" si="0"/>
        <v>96.437346437346449</v>
      </c>
      <c r="DC36" s="8">
        <v>2</v>
      </c>
      <c r="DD36" s="8">
        <v>5.7</v>
      </c>
      <c r="DE36" s="8">
        <v>1.2</v>
      </c>
      <c r="DF36" s="8">
        <v>14.6</v>
      </c>
      <c r="DG36" s="8">
        <v>40.6</v>
      </c>
    </row>
    <row r="37" spans="1:111" ht="15.75" thickBot="1" x14ac:dyDescent="0.3">
      <c r="A37" s="75"/>
      <c r="B37" s="83"/>
      <c r="C37" s="77"/>
      <c r="D37" s="77"/>
      <c r="E37" s="33" t="s">
        <v>27</v>
      </c>
      <c r="F37" s="77"/>
      <c r="G37" s="24" t="s">
        <v>202</v>
      </c>
      <c r="H37" s="133"/>
      <c r="I37" s="29">
        <v>1506</v>
      </c>
      <c r="J37" s="5">
        <v>-6.5</v>
      </c>
      <c r="K37" s="6">
        <v>25.1</v>
      </c>
      <c r="L37" s="6">
        <v>8.5</v>
      </c>
      <c r="M37" s="6">
        <v>12</v>
      </c>
      <c r="N37" s="6">
        <v>1</v>
      </c>
      <c r="O37" s="6">
        <v>39</v>
      </c>
      <c r="P37" s="6">
        <v>1003.2</v>
      </c>
      <c r="Q37" s="6">
        <v>6</v>
      </c>
      <c r="R37" s="6">
        <v>7</v>
      </c>
      <c r="S37" s="6">
        <v>122.1</v>
      </c>
      <c r="T37" s="6">
        <v>84.8</v>
      </c>
      <c r="U37" s="6">
        <v>103.5</v>
      </c>
      <c r="V37" s="6">
        <v>53852.6</v>
      </c>
      <c r="W37" s="7">
        <v>97</v>
      </c>
      <c r="X37" s="5">
        <v>-6.2</v>
      </c>
      <c r="Y37" s="6">
        <v>15.2</v>
      </c>
      <c r="Z37" s="6">
        <v>1.3</v>
      </c>
      <c r="AA37" s="6">
        <v>34</v>
      </c>
      <c r="AB37" s="6">
        <v>0</v>
      </c>
      <c r="AC37" s="6">
        <v>22</v>
      </c>
      <c r="AD37" s="6">
        <v>114.1</v>
      </c>
      <c r="AE37" s="6">
        <v>0</v>
      </c>
      <c r="AF37" s="6">
        <v>0</v>
      </c>
      <c r="AG37" s="6">
        <v>97.6</v>
      </c>
      <c r="AH37" s="6">
        <v>119.16</v>
      </c>
      <c r="AI37" s="6">
        <v>24071.9</v>
      </c>
      <c r="AJ37" s="6">
        <v>55</v>
      </c>
      <c r="AK37" s="7">
        <v>31</v>
      </c>
      <c r="AL37" s="5">
        <v>-6.3</v>
      </c>
      <c r="AM37" s="6">
        <v>24.2</v>
      </c>
      <c r="AN37" s="6">
        <v>7.6</v>
      </c>
      <c r="AO37" s="6">
        <v>6</v>
      </c>
      <c r="AP37" s="6">
        <v>0</v>
      </c>
      <c r="AQ37" s="6">
        <v>23</v>
      </c>
      <c r="AR37" s="6">
        <v>374.8</v>
      </c>
      <c r="AS37" s="6">
        <v>0</v>
      </c>
      <c r="AT37" s="6">
        <v>0</v>
      </c>
      <c r="AU37" s="6">
        <v>90.5</v>
      </c>
      <c r="AV37" s="6">
        <v>110.49</v>
      </c>
      <c r="AW37" s="6">
        <v>48855.8</v>
      </c>
      <c r="AX37" s="7">
        <v>22</v>
      </c>
      <c r="AY37" s="5">
        <v>4.7</v>
      </c>
      <c r="AZ37" s="6">
        <v>23.6</v>
      </c>
      <c r="BA37" s="6">
        <v>12.5</v>
      </c>
      <c r="BB37" s="6">
        <v>0</v>
      </c>
      <c r="BC37" s="6">
        <v>0</v>
      </c>
      <c r="BD37" s="6">
        <v>2</v>
      </c>
      <c r="BE37" s="6">
        <v>261.89999999999998</v>
      </c>
      <c r="BF37" s="6">
        <v>0</v>
      </c>
      <c r="BG37" s="6">
        <v>0</v>
      </c>
      <c r="BH37" s="6">
        <v>93.2</v>
      </c>
      <c r="BI37" s="6">
        <v>113.74</v>
      </c>
      <c r="BJ37" s="6">
        <v>24888.400000000001</v>
      </c>
      <c r="BK37" s="6">
        <v>8</v>
      </c>
      <c r="BL37" s="7">
        <v>0.95</v>
      </c>
      <c r="BM37" s="5">
        <v>3.7</v>
      </c>
      <c r="BN37" s="6">
        <v>25.5</v>
      </c>
      <c r="BO37" s="6">
        <v>12.1</v>
      </c>
      <c r="BP37" s="6">
        <v>0</v>
      </c>
      <c r="BQ37" s="6">
        <v>2</v>
      </c>
      <c r="BR37" s="6">
        <v>2</v>
      </c>
      <c r="BS37" s="6">
        <v>0</v>
      </c>
      <c r="BT37" s="6">
        <v>0</v>
      </c>
      <c r="BU37" s="6">
        <v>94.4</v>
      </c>
      <c r="BV37" s="6">
        <v>115.24</v>
      </c>
      <c r="BW37" s="6">
        <v>36215.4</v>
      </c>
      <c r="BX37" s="7">
        <v>9</v>
      </c>
      <c r="BY37" s="5">
        <v>10.3</v>
      </c>
      <c r="BZ37" s="6">
        <v>31.8</v>
      </c>
      <c r="CA37" s="6">
        <v>18.2</v>
      </c>
      <c r="CB37" s="6">
        <v>0</v>
      </c>
      <c r="CC37" s="6">
        <v>5</v>
      </c>
      <c r="CD37" s="6">
        <v>0</v>
      </c>
      <c r="CE37" s="6">
        <v>0</v>
      </c>
      <c r="CF37" s="6">
        <v>0</v>
      </c>
      <c r="CG37" s="6">
        <v>77.900000000000006</v>
      </c>
      <c r="CH37" s="6">
        <v>95.12</v>
      </c>
      <c r="CI37" s="6">
        <v>31646.400000000001</v>
      </c>
      <c r="CJ37" s="7">
        <v>1</v>
      </c>
      <c r="CK37" s="5">
        <v>9.5</v>
      </c>
      <c r="CL37" s="6">
        <v>29.2</v>
      </c>
      <c r="CM37" s="6">
        <v>19.7</v>
      </c>
      <c r="CN37" s="6">
        <v>0</v>
      </c>
      <c r="CO37" s="6">
        <v>11</v>
      </c>
      <c r="CP37" s="6">
        <v>0</v>
      </c>
      <c r="CQ37" s="6">
        <v>0</v>
      </c>
      <c r="CR37" s="6">
        <v>0</v>
      </c>
      <c r="CS37" s="6">
        <v>81.5</v>
      </c>
      <c r="CT37" s="6">
        <v>99.49</v>
      </c>
      <c r="CU37" s="6">
        <v>49686.3</v>
      </c>
      <c r="CV37" s="7">
        <v>2</v>
      </c>
      <c r="CW37" s="68">
        <v>926.57</v>
      </c>
      <c r="CX37" s="68">
        <v>2.62</v>
      </c>
      <c r="CY37" s="68">
        <v>1.01</v>
      </c>
      <c r="CZ37" s="6">
        <v>180</v>
      </c>
      <c r="DA37" s="6">
        <v>114.76</v>
      </c>
      <c r="DB37" s="147">
        <f t="shared" si="0"/>
        <v>93.988533988533987</v>
      </c>
      <c r="DC37" s="6">
        <v>2.6</v>
      </c>
      <c r="DD37" s="6">
        <v>6.2</v>
      </c>
      <c r="DE37" s="6">
        <v>0.8</v>
      </c>
      <c r="DF37" s="6">
        <v>9.9</v>
      </c>
      <c r="DG37" s="6">
        <v>40.6</v>
      </c>
    </row>
    <row r="38" spans="1:111" x14ac:dyDescent="0.25">
      <c r="A38" s="78" t="s">
        <v>80</v>
      </c>
      <c r="B38" s="82"/>
      <c r="C38" s="80" t="s">
        <v>139</v>
      </c>
      <c r="D38" s="80" t="s">
        <v>92</v>
      </c>
      <c r="E38" s="32" t="s">
        <v>26</v>
      </c>
      <c r="F38" s="80" t="s">
        <v>33</v>
      </c>
      <c r="G38" s="20" t="s">
        <v>170</v>
      </c>
      <c r="H38" s="130">
        <v>1</v>
      </c>
      <c r="I38" s="30">
        <v>1471</v>
      </c>
      <c r="J38" s="13">
        <v>-0.7</v>
      </c>
      <c r="K38" s="14">
        <v>23.5</v>
      </c>
      <c r="L38" s="14">
        <v>10.5</v>
      </c>
      <c r="M38" s="14">
        <v>1</v>
      </c>
      <c r="N38" s="14">
        <v>0</v>
      </c>
      <c r="O38" s="14">
        <v>17</v>
      </c>
      <c r="P38" s="14">
        <v>693.6</v>
      </c>
      <c r="Q38" s="14">
        <v>6</v>
      </c>
      <c r="R38" s="14">
        <v>55</v>
      </c>
      <c r="S38" s="14">
        <v>197.4</v>
      </c>
      <c r="T38" s="14">
        <v>10.7</v>
      </c>
      <c r="U38" s="14">
        <v>21.12</v>
      </c>
      <c r="V38" s="14">
        <v>43458</v>
      </c>
      <c r="W38" s="15">
        <v>45</v>
      </c>
      <c r="X38" s="13">
        <v>-6.5</v>
      </c>
      <c r="Y38" s="14">
        <v>12.4</v>
      </c>
      <c r="Z38" s="14">
        <v>3.9</v>
      </c>
      <c r="AA38" s="14">
        <v>22</v>
      </c>
      <c r="AB38" s="14">
        <v>0</v>
      </c>
      <c r="AC38" s="14">
        <v>23</v>
      </c>
      <c r="AD38" s="14">
        <v>261.7</v>
      </c>
      <c r="AE38" s="14">
        <v>0</v>
      </c>
      <c r="AF38" s="14">
        <v>27</v>
      </c>
      <c r="AG38" s="14">
        <v>35.6</v>
      </c>
      <c r="AH38" s="14">
        <v>70.27</v>
      </c>
      <c r="AI38" s="14">
        <v>22516.5</v>
      </c>
      <c r="AJ38" s="14">
        <v>61</v>
      </c>
      <c r="AK38" s="15">
        <v>35</v>
      </c>
      <c r="AL38" s="13">
        <v>-2</v>
      </c>
      <c r="AM38" s="14">
        <v>17.8</v>
      </c>
      <c r="AN38" s="14">
        <v>8.4</v>
      </c>
      <c r="AO38" s="14">
        <v>5</v>
      </c>
      <c r="AP38" s="14">
        <v>0</v>
      </c>
      <c r="AQ38" s="14">
        <v>18</v>
      </c>
      <c r="AR38" s="14">
        <v>501.7</v>
      </c>
      <c r="AS38" s="14">
        <v>0</v>
      </c>
      <c r="AT38" s="14">
        <v>0</v>
      </c>
      <c r="AU38" s="14">
        <v>68.099999999999994</v>
      </c>
      <c r="AV38" s="14">
        <v>134.47999999999999</v>
      </c>
      <c r="AW38" s="14">
        <v>34762</v>
      </c>
      <c r="AX38" s="15">
        <v>48</v>
      </c>
      <c r="AY38" s="13">
        <v>2.4</v>
      </c>
      <c r="AZ38" s="14">
        <v>23.8</v>
      </c>
      <c r="BA38" s="14">
        <v>10.8</v>
      </c>
      <c r="BB38" s="14">
        <v>0</v>
      </c>
      <c r="BC38" s="14">
        <v>0</v>
      </c>
      <c r="BD38" s="14">
        <v>8</v>
      </c>
      <c r="BE38" s="14">
        <v>227.4</v>
      </c>
      <c r="BF38" s="14">
        <v>0</v>
      </c>
      <c r="BG38" s="14">
        <v>0</v>
      </c>
      <c r="BH38" s="14">
        <v>58.6</v>
      </c>
      <c r="BI38" s="14">
        <v>115.7</v>
      </c>
      <c r="BJ38" s="14">
        <v>28526.6</v>
      </c>
      <c r="BK38" s="14">
        <v>6</v>
      </c>
      <c r="BL38" s="15">
        <v>1.25</v>
      </c>
      <c r="BM38" s="13">
        <v>0.1</v>
      </c>
      <c r="BN38" s="14">
        <v>20.7</v>
      </c>
      <c r="BO38" s="14">
        <v>11.1</v>
      </c>
      <c r="BP38" s="14">
        <v>0</v>
      </c>
      <c r="BQ38" s="14">
        <v>0</v>
      </c>
      <c r="BR38" s="14">
        <v>9</v>
      </c>
      <c r="BS38" s="14">
        <v>0</v>
      </c>
      <c r="BT38" s="14">
        <v>2</v>
      </c>
      <c r="BU38" s="14">
        <v>44.8</v>
      </c>
      <c r="BV38" s="14">
        <v>88.53</v>
      </c>
      <c r="BW38" s="14">
        <v>44294.8</v>
      </c>
      <c r="BX38" s="15">
        <v>6</v>
      </c>
      <c r="BY38" s="13">
        <v>7.9</v>
      </c>
      <c r="BZ38" s="14">
        <v>28.6</v>
      </c>
      <c r="CA38" s="14">
        <v>17.399999999999999</v>
      </c>
      <c r="CB38" s="14">
        <v>0</v>
      </c>
      <c r="CC38" s="14">
        <v>4</v>
      </c>
      <c r="CD38" s="14">
        <v>0</v>
      </c>
      <c r="CE38" s="14">
        <v>0</v>
      </c>
      <c r="CF38" s="14">
        <v>0</v>
      </c>
      <c r="CG38" s="14">
        <v>45.2</v>
      </c>
      <c r="CH38" s="14">
        <v>89.17</v>
      </c>
      <c r="CI38" s="14">
        <v>32634.2</v>
      </c>
      <c r="CJ38" s="15">
        <v>3</v>
      </c>
      <c r="CK38" s="13">
        <v>10.5</v>
      </c>
      <c r="CL38" s="14">
        <v>33.799999999999997</v>
      </c>
      <c r="CM38" s="14">
        <v>18.600000000000001</v>
      </c>
      <c r="CN38" s="14">
        <v>0</v>
      </c>
      <c r="CO38" s="14">
        <v>6</v>
      </c>
      <c r="CP38" s="14">
        <v>0</v>
      </c>
      <c r="CQ38" s="14">
        <v>0</v>
      </c>
      <c r="CR38" s="14">
        <v>11</v>
      </c>
      <c r="CS38" s="14">
        <v>32.1</v>
      </c>
      <c r="CT38" s="14">
        <v>63.37</v>
      </c>
      <c r="CU38" s="14">
        <v>48169</v>
      </c>
      <c r="CV38" s="15">
        <v>2</v>
      </c>
      <c r="CW38" s="14">
        <v>353.39</v>
      </c>
      <c r="CX38" s="14">
        <v>3.63</v>
      </c>
      <c r="CY38" s="14">
        <v>1.05</v>
      </c>
      <c r="CZ38" s="14">
        <v>0</v>
      </c>
      <c r="DA38" s="14">
        <v>0</v>
      </c>
      <c r="DB38" s="14">
        <f t="shared" si="0"/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112.3</v>
      </c>
    </row>
    <row r="39" spans="1:111" ht="15.75" thickBot="1" x14ac:dyDescent="0.3">
      <c r="A39" s="79"/>
      <c r="B39" s="83"/>
      <c r="C39" s="81"/>
      <c r="D39" s="81"/>
      <c r="E39" s="33" t="s">
        <v>27</v>
      </c>
      <c r="F39" s="81"/>
      <c r="G39" s="21" t="s">
        <v>165</v>
      </c>
      <c r="H39" s="131"/>
      <c r="I39" s="31">
        <v>1486.4</v>
      </c>
      <c r="J39" s="16">
        <v>-0.7</v>
      </c>
      <c r="K39" s="17">
        <v>23.5</v>
      </c>
      <c r="L39" s="17">
        <v>10.5</v>
      </c>
      <c r="M39" s="17">
        <v>1</v>
      </c>
      <c r="N39" s="17">
        <v>0</v>
      </c>
      <c r="O39" s="17">
        <v>17</v>
      </c>
      <c r="P39" s="17">
        <v>693.6</v>
      </c>
      <c r="Q39" s="17">
        <v>6</v>
      </c>
      <c r="R39" s="17">
        <v>55</v>
      </c>
      <c r="S39" s="17">
        <v>197.4</v>
      </c>
      <c r="T39" s="17">
        <v>10.7</v>
      </c>
      <c r="U39" s="17">
        <v>21.12</v>
      </c>
      <c r="V39" s="17">
        <v>43458</v>
      </c>
      <c r="W39" s="18">
        <v>45</v>
      </c>
      <c r="X39" s="16">
        <v>-6.5</v>
      </c>
      <c r="Y39" s="17">
        <v>12.4</v>
      </c>
      <c r="Z39" s="17">
        <v>3.9</v>
      </c>
      <c r="AA39" s="17">
        <v>22</v>
      </c>
      <c r="AB39" s="17">
        <v>0</v>
      </c>
      <c r="AC39" s="17">
        <v>23</v>
      </c>
      <c r="AD39" s="17">
        <v>261.7</v>
      </c>
      <c r="AE39" s="17">
        <v>0</v>
      </c>
      <c r="AF39" s="17">
        <v>27</v>
      </c>
      <c r="AG39" s="17">
        <v>35.6</v>
      </c>
      <c r="AH39" s="17">
        <v>70.27</v>
      </c>
      <c r="AI39" s="17">
        <v>22516.5</v>
      </c>
      <c r="AJ39" s="17">
        <v>61</v>
      </c>
      <c r="AK39" s="18">
        <v>35</v>
      </c>
      <c r="AL39" s="16">
        <v>-2</v>
      </c>
      <c r="AM39" s="17">
        <v>19.399999999999999</v>
      </c>
      <c r="AN39" s="17">
        <v>8.5</v>
      </c>
      <c r="AO39" s="17">
        <v>5</v>
      </c>
      <c r="AP39" s="17">
        <v>0</v>
      </c>
      <c r="AQ39" s="17">
        <v>18</v>
      </c>
      <c r="AR39" s="17">
        <v>515.70000000000005</v>
      </c>
      <c r="AS39" s="17">
        <v>0</v>
      </c>
      <c r="AT39" s="17">
        <v>0</v>
      </c>
      <c r="AU39" s="17">
        <v>68.2</v>
      </c>
      <c r="AV39" s="17">
        <v>134.53</v>
      </c>
      <c r="AW39" s="17">
        <v>35549.800000000003</v>
      </c>
      <c r="AX39" s="18">
        <v>49</v>
      </c>
      <c r="AY39" s="16">
        <v>2.4</v>
      </c>
      <c r="AZ39" s="17">
        <v>23.8</v>
      </c>
      <c r="BA39" s="17">
        <v>10.5</v>
      </c>
      <c r="BB39" s="17">
        <v>0</v>
      </c>
      <c r="BC39" s="17">
        <v>0</v>
      </c>
      <c r="BD39" s="17">
        <v>9</v>
      </c>
      <c r="BE39" s="17">
        <v>221.5</v>
      </c>
      <c r="BF39" s="17">
        <v>0</v>
      </c>
      <c r="BG39" s="17">
        <v>0</v>
      </c>
      <c r="BH39" s="17">
        <v>57.5</v>
      </c>
      <c r="BI39" s="17">
        <v>113.56</v>
      </c>
      <c r="BJ39" s="17">
        <v>29108.6</v>
      </c>
      <c r="BK39" s="17">
        <v>5</v>
      </c>
      <c r="BL39" s="18">
        <v>1.31</v>
      </c>
      <c r="BM39" s="16">
        <v>0.1</v>
      </c>
      <c r="BN39" s="17">
        <v>25.2</v>
      </c>
      <c r="BO39" s="17">
        <v>11.6</v>
      </c>
      <c r="BP39" s="17">
        <v>0</v>
      </c>
      <c r="BQ39" s="17">
        <v>1</v>
      </c>
      <c r="BR39" s="17">
        <v>8</v>
      </c>
      <c r="BS39" s="17">
        <v>0</v>
      </c>
      <c r="BT39" s="17">
        <v>2</v>
      </c>
      <c r="BU39" s="17">
        <v>45</v>
      </c>
      <c r="BV39" s="17">
        <v>88.73</v>
      </c>
      <c r="BW39" s="17">
        <v>44589.599999999999</v>
      </c>
      <c r="BX39" s="18">
        <v>6</v>
      </c>
      <c r="BY39" s="16">
        <v>7.9</v>
      </c>
      <c r="BZ39" s="17">
        <v>28.6</v>
      </c>
      <c r="CA39" s="17">
        <v>17.100000000000001</v>
      </c>
      <c r="CB39" s="17">
        <v>0</v>
      </c>
      <c r="CC39" s="17">
        <v>3</v>
      </c>
      <c r="CD39" s="17">
        <v>0</v>
      </c>
      <c r="CE39" s="17">
        <v>0</v>
      </c>
      <c r="CF39" s="17">
        <v>0</v>
      </c>
      <c r="CG39" s="17">
        <v>44.5</v>
      </c>
      <c r="CH39" s="17">
        <v>87.77</v>
      </c>
      <c r="CI39" s="17">
        <v>31773</v>
      </c>
      <c r="CJ39" s="18">
        <v>4</v>
      </c>
      <c r="CK39" s="16">
        <v>10.5</v>
      </c>
      <c r="CL39" s="17">
        <v>33.799999999999997</v>
      </c>
      <c r="CM39" s="17">
        <v>18.899999999999999</v>
      </c>
      <c r="CN39" s="17">
        <v>0</v>
      </c>
      <c r="CO39" s="17">
        <v>6</v>
      </c>
      <c r="CP39" s="17">
        <v>0</v>
      </c>
      <c r="CQ39" s="17">
        <v>0</v>
      </c>
      <c r="CR39" s="17">
        <v>12</v>
      </c>
      <c r="CS39" s="17">
        <v>30.6</v>
      </c>
      <c r="CT39" s="17">
        <v>60.48</v>
      </c>
      <c r="CU39" s="17">
        <v>49649.9</v>
      </c>
      <c r="CV39" s="18">
        <v>1</v>
      </c>
      <c r="CW39" s="17">
        <v>499.33</v>
      </c>
      <c r="CX39" s="17">
        <v>4.2</v>
      </c>
      <c r="CY39" s="17">
        <v>1.33</v>
      </c>
      <c r="CZ39" s="17">
        <v>80</v>
      </c>
      <c r="DA39" s="17">
        <v>135.21</v>
      </c>
      <c r="DB39" s="149">
        <f t="shared" si="0"/>
        <v>68.495440729483278</v>
      </c>
      <c r="DC39" s="17">
        <v>3</v>
      </c>
      <c r="DD39" s="17">
        <v>4</v>
      </c>
      <c r="DE39" s="17">
        <v>0</v>
      </c>
      <c r="DF39" s="17">
        <v>7.1</v>
      </c>
      <c r="DG39" s="17">
        <v>112.3</v>
      </c>
    </row>
    <row r="40" spans="1:111" x14ac:dyDescent="0.25">
      <c r="A40" s="74" t="s">
        <v>81</v>
      </c>
      <c r="B40" s="82"/>
      <c r="C40" s="76" t="s">
        <v>139</v>
      </c>
      <c r="D40" s="76" t="s">
        <v>93</v>
      </c>
      <c r="E40" s="32" t="s">
        <v>26</v>
      </c>
      <c r="F40" s="76" t="s">
        <v>33</v>
      </c>
      <c r="G40" s="19" t="s">
        <v>178</v>
      </c>
      <c r="H40" s="132">
        <v>3</v>
      </c>
      <c r="I40" s="28">
        <v>1782.4</v>
      </c>
      <c r="J40" s="9">
        <v>1.1000000000000001</v>
      </c>
      <c r="K40" s="8">
        <v>20.8</v>
      </c>
      <c r="L40" s="8">
        <v>11.9</v>
      </c>
      <c r="M40" s="8">
        <v>0</v>
      </c>
      <c r="N40" s="8">
        <v>0</v>
      </c>
      <c r="O40" s="8">
        <v>16</v>
      </c>
      <c r="P40" s="8">
        <v>940.3</v>
      </c>
      <c r="Q40" s="8">
        <v>0</v>
      </c>
      <c r="R40" s="8">
        <v>14</v>
      </c>
      <c r="S40" s="8">
        <v>197.4</v>
      </c>
      <c r="T40" s="8">
        <v>42.7</v>
      </c>
      <c r="U40" s="8">
        <v>84.36</v>
      </c>
      <c r="V40" s="8">
        <v>43923</v>
      </c>
      <c r="W40" s="10">
        <v>63</v>
      </c>
      <c r="X40" s="9">
        <v>-6.9</v>
      </c>
      <c r="Y40" s="8">
        <v>14.1</v>
      </c>
      <c r="Z40" s="8">
        <v>6.3</v>
      </c>
      <c r="AA40" s="8">
        <v>16</v>
      </c>
      <c r="AB40" s="8">
        <v>0</v>
      </c>
      <c r="AC40" s="8">
        <v>39</v>
      </c>
      <c r="AD40" s="8">
        <v>589.70000000000005</v>
      </c>
      <c r="AE40" s="8">
        <v>0</v>
      </c>
      <c r="AF40" s="8">
        <v>0</v>
      </c>
      <c r="AG40" s="8">
        <v>96.6</v>
      </c>
      <c r="AH40" s="8">
        <v>190.75</v>
      </c>
      <c r="AI40" s="8">
        <v>33056.300000000003</v>
      </c>
      <c r="AJ40" s="8">
        <v>83</v>
      </c>
      <c r="AK40" s="10">
        <v>15</v>
      </c>
      <c r="AL40" s="9">
        <v>-1.9</v>
      </c>
      <c r="AM40" s="8">
        <v>15.5</v>
      </c>
      <c r="AN40" s="8">
        <v>7.6</v>
      </c>
      <c r="AO40" s="8">
        <v>2</v>
      </c>
      <c r="AP40" s="8">
        <v>0</v>
      </c>
      <c r="AQ40" s="8">
        <v>14</v>
      </c>
      <c r="AR40" s="8">
        <v>241.7</v>
      </c>
      <c r="AS40" s="8">
        <v>0</v>
      </c>
      <c r="AT40" s="8">
        <v>0</v>
      </c>
      <c r="AU40" s="8">
        <v>99.6</v>
      </c>
      <c r="AV40" s="8">
        <v>196.63</v>
      </c>
      <c r="AW40" s="8">
        <v>18806.099999999999</v>
      </c>
      <c r="AX40" s="10">
        <v>27</v>
      </c>
      <c r="AY40" s="9">
        <v>5.5</v>
      </c>
      <c r="AZ40" s="8">
        <v>25.9</v>
      </c>
      <c r="BA40" s="8">
        <v>13</v>
      </c>
      <c r="BB40" s="8">
        <v>0</v>
      </c>
      <c r="BC40" s="8">
        <v>1</v>
      </c>
      <c r="BD40" s="8">
        <v>0</v>
      </c>
      <c r="BE40" s="8">
        <v>273.60000000000002</v>
      </c>
      <c r="BF40" s="8">
        <v>0</v>
      </c>
      <c r="BG40" s="8">
        <v>0</v>
      </c>
      <c r="BH40" s="8">
        <v>94</v>
      </c>
      <c r="BI40" s="8">
        <v>185.53</v>
      </c>
      <c r="BJ40" s="8">
        <v>26780.6</v>
      </c>
      <c r="BK40" s="8">
        <v>6</v>
      </c>
      <c r="BL40" s="10">
        <v>0.98</v>
      </c>
      <c r="BM40" s="9">
        <v>4.3</v>
      </c>
      <c r="BN40" s="8">
        <v>26.3</v>
      </c>
      <c r="BO40" s="8">
        <v>12.2</v>
      </c>
      <c r="BP40" s="8">
        <v>0</v>
      </c>
      <c r="BQ40" s="8">
        <v>1</v>
      </c>
      <c r="BR40" s="8">
        <v>1</v>
      </c>
      <c r="BS40" s="8">
        <v>0</v>
      </c>
      <c r="BT40" s="8">
        <v>0</v>
      </c>
      <c r="BU40" s="8">
        <v>72.5</v>
      </c>
      <c r="BV40" s="8">
        <v>143.07</v>
      </c>
      <c r="BW40" s="8">
        <v>45592.3</v>
      </c>
      <c r="BX40" s="10">
        <v>4</v>
      </c>
      <c r="BY40" s="9">
        <v>7.9</v>
      </c>
      <c r="BZ40" s="8">
        <v>26.7</v>
      </c>
      <c r="CA40" s="8">
        <v>17.5</v>
      </c>
      <c r="CB40" s="8">
        <v>0</v>
      </c>
      <c r="CC40" s="8">
        <v>2</v>
      </c>
      <c r="CD40" s="8">
        <v>0</v>
      </c>
      <c r="CE40" s="8">
        <v>0</v>
      </c>
      <c r="CF40" s="8">
        <v>0</v>
      </c>
      <c r="CG40" s="8">
        <v>41.9</v>
      </c>
      <c r="CH40" s="8">
        <v>82.67</v>
      </c>
      <c r="CI40" s="8">
        <v>28430.5</v>
      </c>
      <c r="CJ40" s="10">
        <v>4</v>
      </c>
      <c r="CK40" s="9">
        <v>10.7</v>
      </c>
      <c r="CL40" s="8">
        <v>28.9</v>
      </c>
      <c r="CM40" s="8">
        <v>18.399999999999999</v>
      </c>
      <c r="CN40" s="8">
        <v>0</v>
      </c>
      <c r="CO40" s="8">
        <v>5</v>
      </c>
      <c r="CP40" s="8">
        <v>0</v>
      </c>
      <c r="CQ40" s="8">
        <v>0</v>
      </c>
      <c r="CR40" s="8">
        <v>0</v>
      </c>
      <c r="CS40" s="8">
        <v>73.2</v>
      </c>
      <c r="CT40" s="8">
        <v>144.46</v>
      </c>
      <c r="CU40" s="8">
        <v>40302.6</v>
      </c>
      <c r="CV40" s="10">
        <v>6</v>
      </c>
      <c r="CW40" s="8">
        <v>185.03</v>
      </c>
      <c r="CX40" s="8">
        <v>2.62</v>
      </c>
      <c r="CY40" s="8">
        <v>0.77</v>
      </c>
      <c r="CZ40" s="8">
        <v>0</v>
      </c>
      <c r="DA40" s="8">
        <v>0</v>
      </c>
      <c r="DB40" s="8">
        <f t="shared" si="0"/>
        <v>0</v>
      </c>
      <c r="DC40" s="8">
        <v>0</v>
      </c>
      <c r="DD40" s="8">
        <v>0</v>
      </c>
      <c r="DE40" s="8">
        <v>0</v>
      </c>
      <c r="DF40" s="8">
        <v>0</v>
      </c>
      <c r="DG40" s="8">
        <v>49.3</v>
      </c>
    </row>
    <row r="41" spans="1:111" ht="15.75" thickBot="1" x14ac:dyDescent="0.3">
      <c r="A41" s="75"/>
      <c r="B41" s="83"/>
      <c r="C41" s="77"/>
      <c r="D41" s="77"/>
      <c r="E41" s="33" t="s">
        <v>27</v>
      </c>
      <c r="F41" s="77"/>
      <c r="G41" s="22" t="s">
        <v>194</v>
      </c>
      <c r="H41" s="133"/>
      <c r="I41" s="29">
        <v>1814.4</v>
      </c>
      <c r="J41" s="5">
        <v>1.1000000000000001</v>
      </c>
      <c r="K41" s="6">
        <v>20.8</v>
      </c>
      <c r="L41" s="6">
        <v>11.9</v>
      </c>
      <c r="M41" s="6">
        <v>0</v>
      </c>
      <c r="N41" s="6">
        <v>0</v>
      </c>
      <c r="O41" s="6">
        <v>16</v>
      </c>
      <c r="P41" s="6">
        <v>940.3</v>
      </c>
      <c r="Q41" s="6">
        <v>0</v>
      </c>
      <c r="R41" s="6">
        <v>14</v>
      </c>
      <c r="S41" s="6">
        <v>197.4</v>
      </c>
      <c r="T41" s="6">
        <v>42.7</v>
      </c>
      <c r="U41" s="6">
        <v>84.36</v>
      </c>
      <c r="V41" s="6">
        <v>43923</v>
      </c>
      <c r="W41" s="7">
        <v>63</v>
      </c>
      <c r="X41" s="5">
        <v>-6.9</v>
      </c>
      <c r="Y41" s="6">
        <v>14.1</v>
      </c>
      <c r="Z41" s="6">
        <v>6.3</v>
      </c>
      <c r="AA41" s="6">
        <v>16</v>
      </c>
      <c r="AB41" s="6">
        <v>0</v>
      </c>
      <c r="AC41" s="6">
        <v>39</v>
      </c>
      <c r="AD41" s="6">
        <v>589.70000000000005</v>
      </c>
      <c r="AE41" s="6">
        <v>0</v>
      </c>
      <c r="AF41" s="6">
        <v>0</v>
      </c>
      <c r="AG41" s="6">
        <v>96.6</v>
      </c>
      <c r="AH41" s="6">
        <v>190.75</v>
      </c>
      <c r="AI41" s="6">
        <v>33056.300000000003</v>
      </c>
      <c r="AJ41" s="6">
        <v>83</v>
      </c>
      <c r="AK41" s="7">
        <v>15</v>
      </c>
      <c r="AL41" s="5">
        <v>-1.9</v>
      </c>
      <c r="AM41" s="6">
        <v>15.5</v>
      </c>
      <c r="AN41" s="6">
        <v>7.8</v>
      </c>
      <c r="AO41" s="6">
        <v>2</v>
      </c>
      <c r="AP41" s="6">
        <v>0</v>
      </c>
      <c r="AQ41" s="6">
        <v>14</v>
      </c>
      <c r="AR41" s="6">
        <v>271.60000000000002</v>
      </c>
      <c r="AS41" s="6">
        <v>0</v>
      </c>
      <c r="AT41" s="6">
        <v>0</v>
      </c>
      <c r="AU41" s="6">
        <v>99.6</v>
      </c>
      <c r="AV41" s="6">
        <v>196.66</v>
      </c>
      <c r="AW41" s="6">
        <v>20831.3</v>
      </c>
      <c r="AX41" s="7">
        <v>29</v>
      </c>
      <c r="AY41" s="5">
        <v>5.5</v>
      </c>
      <c r="AZ41" s="6">
        <v>25.9</v>
      </c>
      <c r="BA41" s="6">
        <v>13.3</v>
      </c>
      <c r="BB41" s="6">
        <v>0</v>
      </c>
      <c r="BC41" s="6">
        <v>1</v>
      </c>
      <c r="BD41" s="6">
        <v>0</v>
      </c>
      <c r="BE41" s="6">
        <v>278.3</v>
      </c>
      <c r="BF41" s="6">
        <v>0</v>
      </c>
      <c r="BG41" s="6">
        <v>0</v>
      </c>
      <c r="BH41" s="6">
        <v>90.9</v>
      </c>
      <c r="BI41" s="6">
        <v>179.48</v>
      </c>
      <c r="BJ41" s="6">
        <v>29248.400000000001</v>
      </c>
      <c r="BK41" s="6">
        <v>5</v>
      </c>
      <c r="BL41" s="7">
        <v>1.05</v>
      </c>
      <c r="BM41" s="5">
        <v>4.3</v>
      </c>
      <c r="BN41" s="6">
        <v>26.3</v>
      </c>
      <c r="BO41" s="6">
        <v>12.7</v>
      </c>
      <c r="BP41" s="6">
        <v>0</v>
      </c>
      <c r="BQ41" s="6">
        <v>1</v>
      </c>
      <c r="BR41" s="6">
        <v>1</v>
      </c>
      <c r="BS41" s="6">
        <v>0</v>
      </c>
      <c r="BT41" s="6">
        <v>0</v>
      </c>
      <c r="BU41" s="6">
        <v>68.7</v>
      </c>
      <c r="BV41" s="6">
        <v>135.54</v>
      </c>
      <c r="BW41" s="6">
        <v>48734</v>
      </c>
      <c r="BX41" s="7">
        <v>3</v>
      </c>
      <c r="BY41" s="5">
        <v>11.9</v>
      </c>
      <c r="BZ41" s="6">
        <v>26.7</v>
      </c>
      <c r="CA41" s="6">
        <v>17.7</v>
      </c>
      <c r="CB41" s="6">
        <v>0</v>
      </c>
      <c r="CC41" s="6">
        <v>2</v>
      </c>
      <c r="CD41" s="6">
        <v>0</v>
      </c>
      <c r="CE41" s="6">
        <v>0</v>
      </c>
      <c r="CF41" s="6">
        <v>0</v>
      </c>
      <c r="CG41" s="6">
        <v>42.3</v>
      </c>
      <c r="CH41" s="6">
        <v>83.6</v>
      </c>
      <c r="CI41" s="6">
        <v>21863.7</v>
      </c>
      <c r="CJ41" s="7">
        <v>6</v>
      </c>
      <c r="CK41" s="5">
        <v>10.7</v>
      </c>
      <c r="CL41" s="6">
        <v>28.9</v>
      </c>
      <c r="CM41" s="6">
        <v>18.8</v>
      </c>
      <c r="CN41" s="6">
        <v>0</v>
      </c>
      <c r="CO41" s="6">
        <v>6</v>
      </c>
      <c r="CP41" s="6">
        <v>0</v>
      </c>
      <c r="CQ41" s="6">
        <v>0</v>
      </c>
      <c r="CR41" s="6">
        <v>0</v>
      </c>
      <c r="CS41" s="6">
        <v>72.5</v>
      </c>
      <c r="CT41" s="6">
        <v>143.09</v>
      </c>
      <c r="CU41" s="6">
        <v>41739.4</v>
      </c>
      <c r="CV41" s="7">
        <v>4</v>
      </c>
      <c r="CW41" s="6">
        <v>312.87</v>
      </c>
      <c r="CX41" s="6">
        <v>3.37</v>
      </c>
      <c r="CY41" s="6">
        <v>1.05</v>
      </c>
      <c r="CZ41" s="6">
        <v>70</v>
      </c>
      <c r="DA41" s="6">
        <v>196.41</v>
      </c>
      <c r="DB41" s="147">
        <f t="shared" si="0"/>
        <v>99.498480243161097</v>
      </c>
      <c r="DC41" s="6">
        <v>6</v>
      </c>
      <c r="DD41" s="6">
        <v>1</v>
      </c>
      <c r="DE41" s="6">
        <v>6</v>
      </c>
      <c r="DF41" s="6">
        <v>37.4</v>
      </c>
      <c r="DG41" s="6">
        <v>49.3</v>
      </c>
    </row>
    <row r="42" spans="1:111" x14ac:dyDescent="0.25">
      <c r="A42" s="78" t="s">
        <v>82</v>
      </c>
      <c r="B42" s="82"/>
      <c r="C42" s="80" t="s">
        <v>94</v>
      </c>
      <c r="D42" s="80" t="s">
        <v>96</v>
      </c>
      <c r="E42" s="32" t="s">
        <v>26</v>
      </c>
      <c r="F42" s="80" t="s">
        <v>95</v>
      </c>
      <c r="G42" s="20" t="s">
        <v>161</v>
      </c>
      <c r="H42" s="130">
        <v>1</v>
      </c>
      <c r="I42" s="30">
        <v>1732.5</v>
      </c>
      <c r="J42" s="13">
        <v>-2</v>
      </c>
      <c r="K42" s="14">
        <v>26.6</v>
      </c>
      <c r="L42" s="14">
        <v>12.1</v>
      </c>
      <c r="M42" s="14">
        <v>2</v>
      </c>
      <c r="N42" s="14">
        <v>4</v>
      </c>
      <c r="O42" s="14">
        <v>14</v>
      </c>
      <c r="P42" s="14">
        <v>1074.5999999999999</v>
      </c>
      <c r="Q42" s="14">
        <v>18</v>
      </c>
      <c r="R42" s="14">
        <v>36</v>
      </c>
      <c r="S42" s="14">
        <v>155.69999999999999</v>
      </c>
      <c r="T42" s="14">
        <v>21.6</v>
      </c>
      <c r="U42" s="14">
        <v>33.659999999999997</v>
      </c>
      <c r="V42" s="14">
        <v>67506.7</v>
      </c>
      <c r="W42" s="15">
        <v>65</v>
      </c>
      <c r="X42" s="13">
        <v>-4.8</v>
      </c>
      <c r="Y42" s="14">
        <v>13.9</v>
      </c>
      <c r="Z42" s="14">
        <v>4</v>
      </c>
      <c r="AA42" s="14">
        <v>15</v>
      </c>
      <c r="AB42" s="14">
        <v>0</v>
      </c>
      <c r="AC42" s="14">
        <v>17</v>
      </c>
      <c r="AD42" s="14">
        <v>165.5</v>
      </c>
      <c r="AE42" s="14">
        <v>0</v>
      </c>
      <c r="AF42" s="14">
        <v>0</v>
      </c>
      <c r="AG42" s="14">
        <v>40.4</v>
      </c>
      <c r="AH42" s="14">
        <v>62.88</v>
      </c>
      <c r="AI42" s="14">
        <v>18621.599999999999</v>
      </c>
      <c r="AJ42" s="14">
        <v>34</v>
      </c>
      <c r="AK42" s="15">
        <v>18</v>
      </c>
      <c r="AL42" s="13">
        <v>0.5</v>
      </c>
      <c r="AM42" s="14">
        <v>19.3</v>
      </c>
      <c r="AN42" s="14">
        <v>9.6</v>
      </c>
      <c r="AO42" s="14">
        <v>0</v>
      </c>
      <c r="AP42" s="14">
        <v>0</v>
      </c>
      <c r="AQ42" s="14">
        <v>20</v>
      </c>
      <c r="AR42" s="14">
        <v>482</v>
      </c>
      <c r="AS42" s="14">
        <v>0</v>
      </c>
      <c r="AT42" s="14">
        <v>0</v>
      </c>
      <c r="AU42" s="14">
        <v>52.5</v>
      </c>
      <c r="AV42" s="14">
        <v>81.790000000000006</v>
      </c>
      <c r="AW42" s="14">
        <v>43211.9</v>
      </c>
      <c r="AX42" s="15">
        <v>32</v>
      </c>
      <c r="AY42" s="13">
        <v>3.3</v>
      </c>
      <c r="AZ42" s="14">
        <v>21.8</v>
      </c>
      <c r="BA42" s="14">
        <v>11.3</v>
      </c>
      <c r="BB42" s="14">
        <v>0</v>
      </c>
      <c r="BC42" s="14">
        <v>0</v>
      </c>
      <c r="BD42" s="14">
        <v>6</v>
      </c>
      <c r="BE42" s="14">
        <v>237.7</v>
      </c>
      <c r="BF42" s="14">
        <v>0</v>
      </c>
      <c r="BG42" s="14">
        <v>0</v>
      </c>
      <c r="BH42" s="14">
        <v>52.3</v>
      </c>
      <c r="BI42" s="14">
        <v>81.790000000000006</v>
      </c>
      <c r="BJ42" s="14">
        <v>27454.6</v>
      </c>
      <c r="BK42" s="14">
        <v>6</v>
      </c>
      <c r="BL42" s="15">
        <v>1.1599999999999999</v>
      </c>
      <c r="BM42" s="13">
        <v>1.7</v>
      </c>
      <c r="BN42" s="14">
        <v>22.9</v>
      </c>
      <c r="BO42" s="14">
        <v>12.7</v>
      </c>
      <c r="BP42" s="14">
        <v>0</v>
      </c>
      <c r="BQ42" s="14">
        <v>0</v>
      </c>
      <c r="BR42" s="14">
        <v>5</v>
      </c>
      <c r="BS42" s="14">
        <v>4</v>
      </c>
      <c r="BT42" s="14">
        <v>17</v>
      </c>
      <c r="BU42" s="14">
        <v>14.1</v>
      </c>
      <c r="BV42" s="14">
        <v>21.88</v>
      </c>
      <c r="BW42" s="14">
        <v>49070</v>
      </c>
      <c r="BX42" s="15">
        <v>2</v>
      </c>
      <c r="BY42" s="13">
        <v>8.1999999999999993</v>
      </c>
      <c r="BZ42" s="14">
        <v>27.4</v>
      </c>
      <c r="CA42" s="14">
        <v>15.9</v>
      </c>
      <c r="CB42" s="14">
        <v>0</v>
      </c>
      <c r="CC42" s="14">
        <v>3</v>
      </c>
      <c r="CD42" s="14">
        <v>0</v>
      </c>
      <c r="CE42" s="14">
        <v>2</v>
      </c>
      <c r="CF42" s="14">
        <v>18</v>
      </c>
      <c r="CG42" s="14">
        <v>6.9</v>
      </c>
      <c r="CH42" s="14">
        <v>10.76</v>
      </c>
      <c r="CI42" s="14">
        <v>34767.599999999999</v>
      </c>
      <c r="CJ42" s="15">
        <v>2</v>
      </c>
      <c r="CK42" s="13">
        <v>12.1</v>
      </c>
      <c r="CL42" s="14">
        <v>31.7</v>
      </c>
      <c r="CM42" s="14">
        <v>20</v>
      </c>
      <c r="CN42" s="14">
        <v>0</v>
      </c>
      <c r="CO42" s="14">
        <v>10</v>
      </c>
      <c r="CP42" s="14">
        <v>0</v>
      </c>
      <c r="CQ42" s="14">
        <v>3</v>
      </c>
      <c r="CR42" s="14">
        <v>18</v>
      </c>
      <c r="CS42" s="14">
        <v>12.6</v>
      </c>
      <c r="CT42" s="14">
        <v>19.54</v>
      </c>
      <c r="CU42" s="14">
        <v>41883.9</v>
      </c>
      <c r="CV42" s="15">
        <v>3</v>
      </c>
      <c r="CW42" s="14">
        <v>415.72</v>
      </c>
      <c r="CX42" s="14">
        <v>4.55</v>
      </c>
      <c r="CY42" s="14">
        <v>1.22</v>
      </c>
      <c r="CZ42" s="14">
        <v>0</v>
      </c>
      <c r="DA42" s="14">
        <v>0</v>
      </c>
      <c r="DB42" s="14">
        <f t="shared" si="0"/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20</v>
      </c>
    </row>
    <row r="43" spans="1:111" ht="15.75" thickBot="1" x14ac:dyDescent="0.3">
      <c r="A43" s="79"/>
      <c r="B43" s="83"/>
      <c r="C43" s="81"/>
      <c r="D43" s="81"/>
      <c r="E43" s="33" t="s">
        <v>27</v>
      </c>
      <c r="F43" s="81"/>
      <c r="G43" s="21" t="s">
        <v>162</v>
      </c>
      <c r="H43" s="131"/>
      <c r="I43" s="31">
        <v>1743</v>
      </c>
      <c r="J43" s="16">
        <v>-2</v>
      </c>
      <c r="K43" s="17">
        <v>26.6</v>
      </c>
      <c r="L43" s="17">
        <v>12.1</v>
      </c>
      <c r="M43" s="17">
        <v>2</v>
      </c>
      <c r="N43" s="17">
        <v>4</v>
      </c>
      <c r="O43" s="17">
        <v>14</v>
      </c>
      <c r="P43" s="17">
        <v>1074.5999999999999</v>
      </c>
      <c r="Q43" s="17">
        <v>18</v>
      </c>
      <c r="R43" s="17">
        <v>36</v>
      </c>
      <c r="S43" s="17">
        <v>155.69999999999999</v>
      </c>
      <c r="T43" s="17">
        <v>21.6</v>
      </c>
      <c r="U43" s="17">
        <v>33.659999999999997</v>
      </c>
      <c r="V43" s="17">
        <v>67506.7</v>
      </c>
      <c r="W43" s="18">
        <v>65</v>
      </c>
      <c r="X43" s="16">
        <v>-4.8</v>
      </c>
      <c r="Y43" s="17">
        <v>13.9</v>
      </c>
      <c r="Z43" s="17">
        <v>4</v>
      </c>
      <c r="AA43" s="17">
        <v>15</v>
      </c>
      <c r="AB43" s="17">
        <v>0</v>
      </c>
      <c r="AC43" s="17">
        <v>17</v>
      </c>
      <c r="AD43" s="17">
        <v>165.5</v>
      </c>
      <c r="AE43" s="17">
        <v>0</v>
      </c>
      <c r="AF43" s="17">
        <v>0</v>
      </c>
      <c r="AG43" s="17">
        <v>40.4</v>
      </c>
      <c r="AH43" s="17">
        <v>62.88</v>
      </c>
      <c r="AI43" s="17">
        <v>18621.599999999999</v>
      </c>
      <c r="AJ43" s="17">
        <v>34</v>
      </c>
      <c r="AK43" s="18">
        <v>18</v>
      </c>
      <c r="AL43" s="16">
        <v>0.5</v>
      </c>
      <c r="AM43" s="17">
        <v>19.3</v>
      </c>
      <c r="AN43" s="17">
        <v>9.6999999999999993</v>
      </c>
      <c r="AO43" s="17">
        <v>0</v>
      </c>
      <c r="AP43" s="17">
        <v>0</v>
      </c>
      <c r="AQ43" s="17">
        <v>20</v>
      </c>
      <c r="AR43" s="17">
        <v>492.4</v>
      </c>
      <c r="AS43" s="17">
        <v>0</v>
      </c>
      <c r="AT43" s="17">
        <v>0</v>
      </c>
      <c r="AU43" s="17">
        <v>52.6</v>
      </c>
      <c r="AV43" s="17">
        <v>81.900000000000006</v>
      </c>
      <c r="AW43" s="17">
        <v>43852.7</v>
      </c>
      <c r="AX43" s="18">
        <v>33</v>
      </c>
      <c r="AY43" s="16">
        <v>3.3</v>
      </c>
      <c r="AZ43" s="17">
        <v>21.8</v>
      </c>
      <c r="BA43" s="17">
        <v>11.5</v>
      </c>
      <c r="BB43" s="17">
        <v>0</v>
      </c>
      <c r="BC43" s="17">
        <v>0</v>
      </c>
      <c r="BD43" s="17">
        <v>6</v>
      </c>
      <c r="BE43" s="17">
        <v>242.1</v>
      </c>
      <c r="BF43" s="17">
        <v>0</v>
      </c>
      <c r="BG43" s="17">
        <v>0</v>
      </c>
      <c r="BH43" s="17">
        <v>52</v>
      </c>
      <c r="BI43" s="17">
        <v>80.92</v>
      </c>
      <c r="BJ43" s="17">
        <v>29214.6</v>
      </c>
      <c r="BK43" s="17">
        <v>5</v>
      </c>
      <c r="BL43" s="18">
        <v>1.21</v>
      </c>
      <c r="BM43" s="16">
        <v>1.7</v>
      </c>
      <c r="BN43" s="17">
        <v>22.9</v>
      </c>
      <c r="BO43" s="17">
        <v>12.6</v>
      </c>
      <c r="BP43" s="17">
        <v>0</v>
      </c>
      <c r="BQ43" s="17">
        <v>0</v>
      </c>
      <c r="BR43" s="17">
        <v>5</v>
      </c>
      <c r="BS43" s="17">
        <v>4</v>
      </c>
      <c r="BT43" s="17">
        <v>18</v>
      </c>
      <c r="BU43" s="17">
        <v>12.7</v>
      </c>
      <c r="BV43" s="17">
        <v>19.739999999999998</v>
      </c>
      <c r="BW43" s="17">
        <v>47717.1</v>
      </c>
      <c r="BX43" s="18">
        <v>2</v>
      </c>
      <c r="BY43" s="16">
        <v>8.1999999999999993</v>
      </c>
      <c r="BZ43" s="17">
        <v>27.4</v>
      </c>
      <c r="CA43" s="17">
        <v>16</v>
      </c>
      <c r="CB43" s="17">
        <v>0</v>
      </c>
      <c r="CC43" s="17">
        <v>3</v>
      </c>
      <c r="CD43" s="17">
        <v>0</v>
      </c>
      <c r="CE43" s="17">
        <v>2</v>
      </c>
      <c r="CF43" s="17">
        <v>17</v>
      </c>
      <c r="CG43" s="17">
        <v>6.8</v>
      </c>
      <c r="CH43" s="17">
        <v>10.53</v>
      </c>
      <c r="CI43" s="17">
        <v>33719.699999999997</v>
      </c>
      <c r="CJ43" s="18">
        <v>2</v>
      </c>
      <c r="CK43" s="16">
        <v>12.1</v>
      </c>
      <c r="CL43" s="17">
        <v>31.7</v>
      </c>
      <c r="CM43" s="17">
        <v>20</v>
      </c>
      <c r="CN43" s="17">
        <v>0</v>
      </c>
      <c r="CO43" s="17">
        <v>10</v>
      </c>
      <c r="CP43" s="17">
        <v>0</v>
      </c>
      <c r="CQ43" s="17">
        <v>3</v>
      </c>
      <c r="CR43" s="17">
        <v>18</v>
      </c>
      <c r="CS43" s="17">
        <v>12.5</v>
      </c>
      <c r="CT43" s="17">
        <v>19.399999999999999</v>
      </c>
      <c r="CU43" s="17">
        <v>41883.9</v>
      </c>
      <c r="CV43" s="18">
        <v>3</v>
      </c>
      <c r="CW43" s="17">
        <v>413.77</v>
      </c>
      <c r="CX43" s="17">
        <v>4.55</v>
      </c>
      <c r="CY43" s="17">
        <v>1.17</v>
      </c>
      <c r="CZ43" s="17">
        <v>60</v>
      </c>
      <c r="DA43" s="17">
        <v>85.12</v>
      </c>
      <c r="DB43" s="149">
        <f t="shared" si="0"/>
        <v>54.669235709698143</v>
      </c>
      <c r="DC43" s="17">
        <v>4</v>
      </c>
      <c r="DD43" s="17">
        <v>4</v>
      </c>
      <c r="DE43" s="17">
        <v>0</v>
      </c>
      <c r="DF43" s="17">
        <v>51.1</v>
      </c>
      <c r="DG43" s="17">
        <v>20</v>
      </c>
    </row>
    <row r="44" spans="1:111" x14ac:dyDescent="0.25">
      <c r="A44" s="74" t="s">
        <v>83</v>
      </c>
      <c r="B44" s="82"/>
      <c r="C44" s="76" t="s">
        <v>94</v>
      </c>
      <c r="D44" s="76" t="s">
        <v>97</v>
      </c>
      <c r="E44" s="32" t="s">
        <v>26</v>
      </c>
      <c r="F44" s="76" t="s">
        <v>95</v>
      </c>
      <c r="G44" s="19" t="s">
        <v>163</v>
      </c>
      <c r="H44" s="132">
        <v>1</v>
      </c>
      <c r="I44" s="28">
        <v>1722.1</v>
      </c>
      <c r="J44" s="9">
        <v>-2</v>
      </c>
      <c r="K44" s="8">
        <v>26.6</v>
      </c>
      <c r="L44" s="8">
        <v>12.1</v>
      </c>
      <c r="M44" s="8">
        <v>2</v>
      </c>
      <c r="N44" s="8">
        <v>4</v>
      </c>
      <c r="O44" s="8">
        <v>14</v>
      </c>
      <c r="P44" s="8">
        <v>1074.5999999999999</v>
      </c>
      <c r="Q44" s="8">
        <v>18</v>
      </c>
      <c r="R44" s="8">
        <v>36</v>
      </c>
      <c r="S44" s="8">
        <v>157.80000000000001</v>
      </c>
      <c r="T44" s="8">
        <v>21.4</v>
      </c>
      <c r="U44" s="8">
        <v>33.799999999999997</v>
      </c>
      <c r="V44" s="8">
        <v>67506.7</v>
      </c>
      <c r="W44" s="10">
        <v>65</v>
      </c>
      <c r="X44" s="9">
        <v>-4.8</v>
      </c>
      <c r="Y44" s="8">
        <v>13.9</v>
      </c>
      <c r="Z44" s="8">
        <v>4</v>
      </c>
      <c r="AA44" s="8">
        <v>15</v>
      </c>
      <c r="AB44" s="8">
        <v>0</v>
      </c>
      <c r="AC44" s="8">
        <v>17</v>
      </c>
      <c r="AD44" s="8">
        <v>165.5</v>
      </c>
      <c r="AE44" s="8">
        <v>0</v>
      </c>
      <c r="AF44" s="8">
        <v>0</v>
      </c>
      <c r="AG44" s="8">
        <v>40</v>
      </c>
      <c r="AH44" s="8">
        <v>63.14</v>
      </c>
      <c r="AI44" s="8">
        <v>18621.599999999999</v>
      </c>
      <c r="AJ44" s="8">
        <v>34</v>
      </c>
      <c r="AK44" s="10">
        <v>18</v>
      </c>
      <c r="AL44" s="9">
        <v>0.5</v>
      </c>
      <c r="AM44" s="8">
        <v>19.3</v>
      </c>
      <c r="AN44" s="8">
        <v>9.6</v>
      </c>
      <c r="AO44" s="8">
        <v>0</v>
      </c>
      <c r="AP44" s="8">
        <v>0</v>
      </c>
      <c r="AQ44" s="8">
        <v>20</v>
      </c>
      <c r="AR44" s="8">
        <v>469.6</v>
      </c>
      <c r="AS44" s="8">
        <v>0</v>
      </c>
      <c r="AT44" s="8">
        <v>0</v>
      </c>
      <c r="AU44" s="8">
        <v>51.9</v>
      </c>
      <c r="AV44" s="8">
        <v>81.91</v>
      </c>
      <c r="AW44" s="8">
        <v>41320.5</v>
      </c>
      <c r="AX44" s="10">
        <v>32</v>
      </c>
      <c r="AY44" s="9">
        <v>3.3</v>
      </c>
      <c r="AZ44" s="8">
        <v>21.8</v>
      </c>
      <c r="BA44" s="8">
        <v>11.3</v>
      </c>
      <c r="BB44" s="8">
        <v>0</v>
      </c>
      <c r="BC44" s="8">
        <v>0</v>
      </c>
      <c r="BD44" s="8">
        <v>5</v>
      </c>
      <c r="BE44" s="8">
        <v>238.1</v>
      </c>
      <c r="BF44" s="8">
        <v>0</v>
      </c>
      <c r="BG44" s="8">
        <v>0</v>
      </c>
      <c r="BH44" s="8">
        <v>52.5</v>
      </c>
      <c r="BI44" s="8">
        <v>82.78</v>
      </c>
      <c r="BJ44" s="8">
        <v>26903</v>
      </c>
      <c r="BK44" s="8">
        <v>6</v>
      </c>
      <c r="BL44" s="10">
        <v>1.1299999999999999</v>
      </c>
      <c r="BM44" s="9">
        <v>1.7</v>
      </c>
      <c r="BN44" s="8">
        <v>22.9</v>
      </c>
      <c r="BO44" s="8">
        <v>12.8</v>
      </c>
      <c r="BP44" s="8">
        <v>0</v>
      </c>
      <c r="BQ44" s="8">
        <v>0</v>
      </c>
      <c r="BR44" s="8">
        <v>6</v>
      </c>
      <c r="BS44" s="8">
        <v>4</v>
      </c>
      <c r="BT44" s="8">
        <v>16</v>
      </c>
      <c r="BU44" s="8">
        <v>15.6</v>
      </c>
      <c r="BV44" s="8">
        <v>24.57</v>
      </c>
      <c r="BW44" s="8">
        <v>50463.4</v>
      </c>
      <c r="BX44" s="10">
        <v>2</v>
      </c>
      <c r="BY44" s="9">
        <v>6.5</v>
      </c>
      <c r="BZ44" s="8">
        <v>27.4</v>
      </c>
      <c r="CA44" s="8">
        <v>15.5</v>
      </c>
      <c r="CB44" s="8">
        <v>0</v>
      </c>
      <c r="CC44" s="8">
        <v>3</v>
      </c>
      <c r="CD44" s="8">
        <v>0</v>
      </c>
      <c r="CE44" s="8">
        <v>2</v>
      </c>
      <c r="CF44" s="8">
        <v>18</v>
      </c>
      <c r="CG44" s="8">
        <v>6.7</v>
      </c>
      <c r="CH44" s="8">
        <v>10.55</v>
      </c>
      <c r="CI44" s="8">
        <v>33809.9</v>
      </c>
      <c r="CJ44" s="10">
        <v>2</v>
      </c>
      <c r="CK44" s="9">
        <v>10.5</v>
      </c>
      <c r="CL44" s="8">
        <v>29.3</v>
      </c>
      <c r="CM44" s="8">
        <v>19.600000000000001</v>
      </c>
      <c r="CN44" s="8">
        <v>0</v>
      </c>
      <c r="CO44" s="8">
        <v>9</v>
      </c>
      <c r="CP44" s="8">
        <v>0</v>
      </c>
      <c r="CQ44" s="8">
        <v>3</v>
      </c>
      <c r="CR44" s="8">
        <v>18</v>
      </c>
      <c r="CS44" s="8">
        <v>12.2</v>
      </c>
      <c r="CT44" s="8">
        <v>19.32</v>
      </c>
      <c r="CU44" s="8">
        <v>41399.300000000003</v>
      </c>
      <c r="CV44" s="10">
        <v>3</v>
      </c>
      <c r="CW44" s="8">
        <v>198.42</v>
      </c>
      <c r="CX44" s="8">
        <v>3.38</v>
      </c>
      <c r="CY44" s="8">
        <v>0.81</v>
      </c>
      <c r="CZ44" s="8">
        <v>0</v>
      </c>
      <c r="DA44" s="8">
        <v>0</v>
      </c>
      <c r="DB44" s="8">
        <f t="shared" si="0"/>
        <v>0</v>
      </c>
      <c r="DC44" s="8">
        <v>0</v>
      </c>
      <c r="DD44" s="8">
        <v>0</v>
      </c>
      <c r="DE44" s="8">
        <v>0</v>
      </c>
      <c r="DF44" s="8">
        <v>0</v>
      </c>
      <c r="DG44" s="8">
        <v>19.5</v>
      </c>
    </row>
    <row r="45" spans="1:111" ht="15.75" thickBot="1" x14ac:dyDescent="0.3">
      <c r="A45" s="75"/>
      <c r="B45" s="83"/>
      <c r="C45" s="77"/>
      <c r="D45" s="77"/>
      <c r="E45" s="33" t="s">
        <v>27</v>
      </c>
      <c r="F45" s="77"/>
      <c r="G45" s="22" t="s">
        <v>161</v>
      </c>
      <c r="H45" s="133"/>
      <c r="I45" s="29">
        <v>1732.5</v>
      </c>
      <c r="J45" s="5">
        <v>-2</v>
      </c>
      <c r="K45" s="6">
        <v>26.6</v>
      </c>
      <c r="L45" s="6">
        <v>12.1</v>
      </c>
      <c r="M45" s="6">
        <v>2</v>
      </c>
      <c r="N45" s="6">
        <v>4</v>
      </c>
      <c r="O45" s="6">
        <v>14</v>
      </c>
      <c r="P45" s="6">
        <v>1074.5999999999999</v>
      </c>
      <c r="Q45" s="6">
        <v>18</v>
      </c>
      <c r="R45" s="6">
        <v>36</v>
      </c>
      <c r="S45" s="6">
        <v>157.80000000000001</v>
      </c>
      <c r="T45" s="6">
        <v>21.4</v>
      </c>
      <c r="U45" s="6">
        <v>33.799999999999997</v>
      </c>
      <c r="V45" s="6">
        <v>67506.7</v>
      </c>
      <c r="W45" s="7">
        <v>65</v>
      </c>
      <c r="X45" s="5">
        <v>-4.8</v>
      </c>
      <c r="Y45" s="6">
        <v>13.9</v>
      </c>
      <c r="Z45" s="6">
        <v>4</v>
      </c>
      <c r="AA45" s="6">
        <v>15</v>
      </c>
      <c r="AB45" s="6">
        <v>0</v>
      </c>
      <c r="AC45" s="6">
        <v>17</v>
      </c>
      <c r="AD45" s="6">
        <v>165.5</v>
      </c>
      <c r="AE45" s="6">
        <v>0</v>
      </c>
      <c r="AF45" s="6">
        <v>0</v>
      </c>
      <c r="AG45" s="6">
        <v>40</v>
      </c>
      <c r="AH45" s="6">
        <v>63.14</v>
      </c>
      <c r="AI45" s="6">
        <v>18621.599999999999</v>
      </c>
      <c r="AJ45" s="6">
        <v>34</v>
      </c>
      <c r="AK45" s="7">
        <v>18</v>
      </c>
      <c r="AL45" s="5">
        <v>0.5</v>
      </c>
      <c r="AM45" s="6">
        <v>19.3</v>
      </c>
      <c r="AN45" s="6">
        <v>9.6</v>
      </c>
      <c r="AO45" s="6">
        <v>0</v>
      </c>
      <c r="AP45" s="6">
        <v>0</v>
      </c>
      <c r="AQ45" s="6">
        <v>20</v>
      </c>
      <c r="AR45" s="6">
        <v>482</v>
      </c>
      <c r="AS45" s="6">
        <v>0</v>
      </c>
      <c r="AT45" s="6">
        <v>0</v>
      </c>
      <c r="AU45" s="6">
        <v>52</v>
      </c>
      <c r="AV45" s="6">
        <v>82.05</v>
      </c>
      <c r="AW45" s="6">
        <v>43211.9</v>
      </c>
      <c r="AX45" s="7">
        <v>32</v>
      </c>
      <c r="AY45" s="5">
        <v>3.3</v>
      </c>
      <c r="AZ45" s="6">
        <v>21.8</v>
      </c>
      <c r="BA45" s="6">
        <v>11.3</v>
      </c>
      <c r="BB45" s="6">
        <v>0</v>
      </c>
      <c r="BC45" s="6">
        <v>0</v>
      </c>
      <c r="BD45" s="6">
        <v>6</v>
      </c>
      <c r="BE45" s="6">
        <v>237.7</v>
      </c>
      <c r="BF45" s="6">
        <v>0</v>
      </c>
      <c r="BG45" s="6">
        <v>0</v>
      </c>
      <c r="BH45" s="6">
        <v>52</v>
      </c>
      <c r="BI45" s="6">
        <v>82.05</v>
      </c>
      <c r="BJ45" s="6">
        <v>27454.6</v>
      </c>
      <c r="BK45" s="6">
        <v>6</v>
      </c>
      <c r="BL45" s="7">
        <v>1.1599999999999999</v>
      </c>
      <c r="BM45" s="5">
        <v>1.7</v>
      </c>
      <c r="BN45" s="6">
        <v>22.9</v>
      </c>
      <c r="BO45" s="6">
        <v>12.7</v>
      </c>
      <c r="BP45" s="6">
        <v>0</v>
      </c>
      <c r="BQ45" s="6">
        <v>0</v>
      </c>
      <c r="BR45" s="6">
        <v>5</v>
      </c>
      <c r="BS45" s="6">
        <v>4</v>
      </c>
      <c r="BT45" s="6">
        <v>17</v>
      </c>
      <c r="BU45" s="6">
        <v>14</v>
      </c>
      <c r="BV45" s="6">
        <v>22.05</v>
      </c>
      <c r="BW45" s="6">
        <v>49070</v>
      </c>
      <c r="BX45" s="7">
        <v>2</v>
      </c>
      <c r="BY45" s="5">
        <v>8.1999999999999993</v>
      </c>
      <c r="BZ45" s="6">
        <v>27.4</v>
      </c>
      <c r="CA45" s="6">
        <v>15.9</v>
      </c>
      <c r="CB45" s="6">
        <v>0</v>
      </c>
      <c r="CC45" s="6">
        <v>3</v>
      </c>
      <c r="CD45" s="6">
        <v>0</v>
      </c>
      <c r="CE45" s="6">
        <v>2</v>
      </c>
      <c r="CF45" s="6">
        <v>18</v>
      </c>
      <c r="CG45" s="6">
        <v>6.8</v>
      </c>
      <c r="CH45" s="6">
        <v>10.7</v>
      </c>
      <c r="CI45" s="6">
        <v>33719.699999999997</v>
      </c>
      <c r="CJ45" s="7">
        <v>2</v>
      </c>
      <c r="CK45" s="5">
        <v>12.1</v>
      </c>
      <c r="CL45" s="6">
        <v>31.7</v>
      </c>
      <c r="CM45" s="6">
        <v>20</v>
      </c>
      <c r="CN45" s="6">
        <v>0</v>
      </c>
      <c r="CO45" s="6">
        <v>10</v>
      </c>
      <c r="CP45" s="6">
        <v>0</v>
      </c>
      <c r="CQ45" s="6">
        <v>3</v>
      </c>
      <c r="CR45" s="6">
        <v>18</v>
      </c>
      <c r="CS45" s="6">
        <v>12.2</v>
      </c>
      <c r="CT45" s="6">
        <v>19.22</v>
      </c>
      <c r="CU45" s="6">
        <v>41883.9</v>
      </c>
      <c r="CV45" s="7">
        <v>3</v>
      </c>
      <c r="CW45" s="6">
        <v>338.73</v>
      </c>
      <c r="CX45" s="6">
        <v>3.73</v>
      </c>
      <c r="CY45" s="6">
        <v>1.24</v>
      </c>
      <c r="CZ45" s="6">
        <v>120</v>
      </c>
      <c r="DA45" s="6">
        <v>87.2</v>
      </c>
      <c r="DB45" s="147">
        <f t="shared" si="0"/>
        <v>55.259822560202785</v>
      </c>
      <c r="DC45" s="6">
        <v>3.5</v>
      </c>
      <c r="DD45" s="6">
        <v>4.5</v>
      </c>
      <c r="DE45" s="6">
        <v>0</v>
      </c>
      <c r="DF45" s="6">
        <v>33.4</v>
      </c>
      <c r="DG45" s="6">
        <v>19.5</v>
      </c>
    </row>
    <row r="46" spans="1:111" x14ac:dyDescent="0.25">
      <c r="A46" s="78" t="s">
        <v>84</v>
      </c>
      <c r="B46" s="82"/>
      <c r="C46" s="80" t="s">
        <v>94</v>
      </c>
      <c r="D46" s="80" t="s">
        <v>98</v>
      </c>
      <c r="E46" s="32" t="s">
        <v>26</v>
      </c>
      <c r="F46" s="80" t="s">
        <v>95</v>
      </c>
      <c r="G46" s="20" t="s">
        <v>164</v>
      </c>
      <c r="H46" s="138">
        <v>0</v>
      </c>
      <c r="I46" s="30">
        <v>1723.9</v>
      </c>
      <c r="J46" s="13">
        <v>-0.2</v>
      </c>
      <c r="K46" s="14">
        <v>31.1</v>
      </c>
      <c r="L46" s="14">
        <v>12.3</v>
      </c>
      <c r="M46" s="14">
        <v>1</v>
      </c>
      <c r="N46" s="14">
        <v>9</v>
      </c>
      <c r="O46" s="14">
        <v>20</v>
      </c>
      <c r="P46" s="14">
        <v>1105.9000000000001</v>
      </c>
      <c r="Q46" s="14">
        <v>15</v>
      </c>
      <c r="R46" s="14">
        <v>69</v>
      </c>
      <c r="S46" s="14">
        <v>146.69999999999999</v>
      </c>
      <c r="T46" s="14">
        <v>10.4</v>
      </c>
      <c r="U46" s="14">
        <v>15.25</v>
      </c>
      <c r="V46" s="14">
        <v>65384.6</v>
      </c>
      <c r="W46" s="15">
        <v>59</v>
      </c>
      <c r="X46" s="13">
        <v>-7.8</v>
      </c>
      <c r="Y46" s="14">
        <v>11.7</v>
      </c>
      <c r="Z46" s="14">
        <v>2.1</v>
      </c>
      <c r="AA46" s="14">
        <v>32</v>
      </c>
      <c r="AB46" s="14">
        <v>0</v>
      </c>
      <c r="AC46" s="14">
        <v>23</v>
      </c>
      <c r="AD46" s="14">
        <v>162.19999999999999</v>
      </c>
      <c r="AE46" s="14">
        <v>0</v>
      </c>
      <c r="AF46" s="14">
        <v>20</v>
      </c>
      <c r="AG46" s="14">
        <v>36.5</v>
      </c>
      <c r="AH46" s="14">
        <v>53.5</v>
      </c>
      <c r="AI46" s="14">
        <v>25649.9</v>
      </c>
      <c r="AJ46" s="14">
        <v>59</v>
      </c>
      <c r="AK46" s="15">
        <v>47</v>
      </c>
      <c r="AL46" s="13">
        <v>-4.0999999999999996</v>
      </c>
      <c r="AM46" s="14">
        <v>17.7</v>
      </c>
      <c r="AN46" s="14">
        <v>7.7</v>
      </c>
      <c r="AO46" s="14">
        <v>6</v>
      </c>
      <c r="AP46" s="14">
        <v>0</v>
      </c>
      <c r="AQ46" s="14">
        <v>19</v>
      </c>
      <c r="AR46" s="14">
        <v>445.7</v>
      </c>
      <c r="AS46" s="14">
        <v>0</v>
      </c>
      <c r="AT46" s="14">
        <v>0</v>
      </c>
      <c r="AU46" s="14">
        <v>59.9</v>
      </c>
      <c r="AV46" s="14">
        <v>87.86</v>
      </c>
      <c r="AW46" s="14">
        <v>31075</v>
      </c>
      <c r="AX46" s="15">
        <v>49</v>
      </c>
      <c r="AY46" s="13">
        <v>2.9</v>
      </c>
      <c r="AZ46" s="14">
        <v>23.8</v>
      </c>
      <c r="BA46" s="14">
        <v>11.6</v>
      </c>
      <c r="BB46" s="14">
        <v>0</v>
      </c>
      <c r="BC46" s="14">
        <v>0</v>
      </c>
      <c r="BD46" s="14">
        <v>7</v>
      </c>
      <c r="BE46" s="14">
        <v>243.4</v>
      </c>
      <c r="BF46" s="14">
        <v>0</v>
      </c>
      <c r="BG46" s="14">
        <v>0</v>
      </c>
      <c r="BH46" s="14">
        <v>59.2</v>
      </c>
      <c r="BI46" s="14">
        <v>86.88</v>
      </c>
      <c r="BJ46" s="14">
        <v>31721.3</v>
      </c>
      <c r="BK46" s="14">
        <v>5</v>
      </c>
      <c r="BL46" s="15">
        <v>1.3</v>
      </c>
      <c r="BM46" s="13">
        <v>-0.1</v>
      </c>
      <c r="BN46" s="14">
        <v>22.9</v>
      </c>
      <c r="BO46" s="14">
        <v>10.4</v>
      </c>
      <c r="BP46" s="14">
        <v>1</v>
      </c>
      <c r="BQ46" s="14">
        <v>0</v>
      </c>
      <c r="BR46" s="14">
        <v>12</v>
      </c>
      <c r="BS46" s="14">
        <v>0</v>
      </c>
      <c r="BT46" s="14">
        <v>26</v>
      </c>
      <c r="BU46" s="14">
        <v>25.1</v>
      </c>
      <c r="BV46" s="14">
        <v>36.869999999999997</v>
      </c>
      <c r="BW46" s="14">
        <v>45891.3</v>
      </c>
      <c r="BX46" s="15">
        <v>5</v>
      </c>
      <c r="BY46" s="13">
        <v>7.2</v>
      </c>
      <c r="BZ46" s="14">
        <v>29.3</v>
      </c>
      <c r="CA46" s="14">
        <v>18.399999999999999</v>
      </c>
      <c r="CB46" s="14">
        <v>0</v>
      </c>
      <c r="CC46" s="14">
        <v>7</v>
      </c>
      <c r="CD46" s="14">
        <v>0</v>
      </c>
      <c r="CE46" s="14">
        <v>0</v>
      </c>
      <c r="CF46" s="14">
        <v>11</v>
      </c>
      <c r="CG46" s="14">
        <v>26.2</v>
      </c>
      <c r="CH46" s="14">
        <v>38.46</v>
      </c>
      <c r="CI46" s="14">
        <v>33179</v>
      </c>
      <c r="CJ46" s="15">
        <v>1</v>
      </c>
      <c r="CK46" s="13">
        <v>8.9</v>
      </c>
      <c r="CL46" s="14">
        <v>35.1</v>
      </c>
      <c r="CM46" s="14">
        <v>20.3</v>
      </c>
      <c r="CN46" s="14">
        <v>0</v>
      </c>
      <c r="CO46" s="14">
        <v>11</v>
      </c>
      <c r="CP46" s="14">
        <v>0</v>
      </c>
      <c r="CQ46" s="14">
        <v>10</v>
      </c>
      <c r="CR46" s="14">
        <v>10</v>
      </c>
      <c r="CS46" s="14">
        <v>2.9</v>
      </c>
      <c r="CT46" s="14">
        <v>4.2300000000000004</v>
      </c>
      <c r="CU46" s="14">
        <v>45196.7</v>
      </c>
      <c r="CV46" s="15">
        <v>1</v>
      </c>
      <c r="CW46" s="14">
        <v>322.92</v>
      </c>
      <c r="CX46" s="14">
        <v>3.56</v>
      </c>
      <c r="CY46" s="14">
        <v>0.82</v>
      </c>
      <c r="CZ46" s="14">
        <v>0</v>
      </c>
      <c r="DA46" s="14">
        <v>0</v>
      </c>
      <c r="DB46" s="14">
        <f t="shared" si="0"/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13</v>
      </c>
    </row>
    <row r="47" spans="1:111" ht="15.75" thickBot="1" x14ac:dyDescent="0.3">
      <c r="A47" s="79"/>
      <c r="B47" s="83"/>
      <c r="C47" s="81"/>
      <c r="D47" s="81"/>
      <c r="E47" s="33" t="s">
        <v>27</v>
      </c>
      <c r="F47" s="81"/>
      <c r="G47" s="21" t="s">
        <v>164</v>
      </c>
      <c r="H47" s="139"/>
      <c r="I47" s="31">
        <v>1723.9</v>
      </c>
      <c r="J47" s="16">
        <v>-0.2</v>
      </c>
      <c r="K47" s="17">
        <v>31.1</v>
      </c>
      <c r="L47" s="17">
        <v>12.3</v>
      </c>
      <c r="M47" s="17">
        <v>1</v>
      </c>
      <c r="N47" s="17">
        <v>9</v>
      </c>
      <c r="O47" s="17">
        <v>20</v>
      </c>
      <c r="P47" s="17">
        <v>1105.9000000000001</v>
      </c>
      <c r="Q47" s="17">
        <v>15</v>
      </c>
      <c r="R47" s="17">
        <v>69</v>
      </c>
      <c r="S47" s="17">
        <v>146.69999999999999</v>
      </c>
      <c r="T47" s="17">
        <v>10.4</v>
      </c>
      <c r="U47" s="17">
        <v>15.25</v>
      </c>
      <c r="V47" s="17">
        <v>65384.6</v>
      </c>
      <c r="W47" s="18">
        <v>59</v>
      </c>
      <c r="X47" s="16">
        <v>-7.8</v>
      </c>
      <c r="Y47" s="17">
        <v>11.7</v>
      </c>
      <c r="Z47" s="17">
        <v>2.1</v>
      </c>
      <c r="AA47" s="17">
        <v>32</v>
      </c>
      <c r="AB47" s="17">
        <v>0</v>
      </c>
      <c r="AC47" s="17">
        <v>23</v>
      </c>
      <c r="AD47" s="17">
        <v>162.19999999999999</v>
      </c>
      <c r="AE47" s="17">
        <v>0</v>
      </c>
      <c r="AF47" s="17">
        <v>20</v>
      </c>
      <c r="AG47" s="17">
        <v>36.5</v>
      </c>
      <c r="AH47" s="17">
        <v>53.5</v>
      </c>
      <c r="AI47" s="17">
        <v>25649.9</v>
      </c>
      <c r="AJ47" s="17">
        <v>59</v>
      </c>
      <c r="AK47" s="18">
        <v>47</v>
      </c>
      <c r="AL47" s="16">
        <v>-4.0999999999999996</v>
      </c>
      <c r="AM47" s="17">
        <v>17.7</v>
      </c>
      <c r="AN47" s="17">
        <v>7.7</v>
      </c>
      <c r="AO47" s="17">
        <v>6</v>
      </c>
      <c r="AP47" s="17">
        <v>0</v>
      </c>
      <c r="AQ47" s="17">
        <v>19</v>
      </c>
      <c r="AR47" s="17">
        <v>445.7</v>
      </c>
      <c r="AS47" s="17">
        <v>0</v>
      </c>
      <c r="AT47" s="17">
        <v>0</v>
      </c>
      <c r="AU47" s="17">
        <v>59.9</v>
      </c>
      <c r="AV47" s="17">
        <v>87.86</v>
      </c>
      <c r="AW47" s="17">
        <v>31075</v>
      </c>
      <c r="AX47" s="18">
        <v>49</v>
      </c>
      <c r="AY47" s="16">
        <v>2.9</v>
      </c>
      <c r="AZ47" s="17">
        <v>23.8</v>
      </c>
      <c r="BA47" s="17">
        <v>11.6</v>
      </c>
      <c r="BB47" s="17">
        <v>0</v>
      </c>
      <c r="BC47" s="17">
        <v>0</v>
      </c>
      <c r="BD47" s="17">
        <v>7</v>
      </c>
      <c r="BE47" s="17">
        <v>243.4</v>
      </c>
      <c r="BF47" s="17">
        <v>0</v>
      </c>
      <c r="BG47" s="17">
        <v>0</v>
      </c>
      <c r="BH47" s="17">
        <v>59.2</v>
      </c>
      <c r="BI47" s="17">
        <v>86.88</v>
      </c>
      <c r="BJ47" s="17">
        <v>31721.3</v>
      </c>
      <c r="BK47" s="17">
        <v>5</v>
      </c>
      <c r="BL47" s="18">
        <v>1.3</v>
      </c>
      <c r="BM47" s="16">
        <v>-0.1</v>
      </c>
      <c r="BN47" s="17">
        <v>22.9</v>
      </c>
      <c r="BO47" s="17">
        <v>10.4</v>
      </c>
      <c r="BP47" s="17">
        <v>1</v>
      </c>
      <c r="BQ47" s="17">
        <v>0</v>
      </c>
      <c r="BR47" s="17">
        <v>12</v>
      </c>
      <c r="BS47" s="17">
        <v>0</v>
      </c>
      <c r="BT47" s="17">
        <v>26</v>
      </c>
      <c r="BU47" s="17">
        <v>25.1</v>
      </c>
      <c r="BV47" s="17">
        <v>36.869999999999997</v>
      </c>
      <c r="BW47" s="17">
        <v>45891.3</v>
      </c>
      <c r="BX47" s="18">
        <v>5</v>
      </c>
      <c r="BY47" s="16">
        <v>7.2</v>
      </c>
      <c r="BZ47" s="17">
        <v>29.3</v>
      </c>
      <c r="CA47" s="17">
        <v>18.399999999999999</v>
      </c>
      <c r="CB47" s="17">
        <v>0</v>
      </c>
      <c r="CC47" s="17">
        <v>7</v>
      </c>
      <c r="CD47" s="17">
        <v>0</v>
      </c>
      <c r="CE47" s="17">
        <v>0</v>
      </c>
      <c r="CF47" s="17">
        <v>11</v>
      </c>
      <c r="CG47" s="17">
        <v>26.2</v>
      </c>
      <c r="CH47" s="17">
        <v>38.46</v>
      </c>
      <c r="CI47" s="17">
        <v>33179</v>
      </c>
      <c r="CJ47" s="18">
        <v>1</v>
      </c>
      <c r="CK47" s="16">
        <v>8.9</v>
      </c>
      <c r="CL47" s="17">
        <v>35.1</v>
      </c>
      <c r="CM47" s="17">
        <v>20.3</v>
      </c>
      <c r="CN47" s="17">
        <v>0</v>
      </c>
      <c r="CO47" s="17">
        <v>11</v>
      </c>
      <c r="CP47" s="17">
        <v>0</v>
      </c>
      <c r="CQ47" s="17">
        <v>10</v>
      </c>
      <c r="CR47" s="17">
        <v>10</v>
      </c>
      <c r="CS47" s="17">
        <v>2.9</v>
      </c>
      <c r="CT47" s="17">
        <v>4.2300000000000004</v>
      </c>
      <c r="CU47" s="17">
        <v>45196.7</v>
      </c>
      <c r="CV47" s="18">
        <v>1</v>
      </c>
      <c r="CW47" s="17">
        <v>444.09</v>
      </c>
      <c r="CX47" s="17">
        <v>2.99</v>
      </c>
      <c r="CY47" s="17">
        <v>1.33</v>
      </c>
      <c r="CZ47" s="17">
        <v>144</v>
      </c>
      <c r="DA47" s="17">
        <v>110.31</v>
      </c>
      <c r="DB47" s="149">
        <f t="shared" si="0"/>
        <v>75.194274028629863</v>
      </c>
      <c r="DC47" s="17">
        <v>3</v>
      </c>
      <c r="DD47" s="17">
        <v>6.5</v>
      </c>
      <c r="DE47" s="17">
        <v>0</v>
      </c>
      <c r="DF47" s="17">
        <v>9.6999999999999993</v>
      </c>
      <c r="DG47" s="17">
        <v>13</v>
      </c>
    </row>
    <row r="48" spans="1:111" x14ac:dyDescent="0.25">
      <c r="A48" s="74" t="s">
        <v>85</v>
      </c>
      <c r="B48" s="82"/>
      <c r="C48" s="76" t="s">
        <v>94</v>
      </c>
      <c r="D48" s="76" t="s">
        <v>99</v>
      </c>
      <c r="E48" s="32" t="s">
        <v>26</v>
      </c>
      <c r="F48" s="76" t="s">
        <v>95</v>
      </c>
      <c r="G48" s="19" t="s">
        <v>165</v>
      </c>
      <c r="H48" s="132">
        <v>2</v>
      </c>
      <c r="I48" s="28">
        <v>1669.9</v>
      </c>
      <c r="J48" s="9">
        <v>-1</v>
      </c>
      <c r="K48" s="8">
        <v>32.4</v>
      </c>
      <c r="L48" s="8">
        <v>11.8</v>
      </c>
      <c r="M48" s="8">
        <v>2</v>
      </c>
      <c r="N48" s="8">
        <v>8</v>
      </c>
      <c r="O48" s="8">
        <v>20</v>
      </c>
      <c r="P48" s="8">
        <v>992.9</v>
      </c>
      <c r="Q48" s="8">
        <v>9</v>
      </c>
      <c r="R48" s="8">
        <v>39</v>
      </c>
      <c r="S48" s="8">
        <v>122.1</v>
      </c>
      <c r="T48" s="8">
        <v>31.2</v>
      </c>
      <c r="U48" s="8">
        <v>38.159999999999997</v>
      </c>
      <c r="V48" s="8">
        <v>63630.3</v>
      </c>
      <c r="W48" s="10">
        <v>51</v>
      </c>
      <c r="X48" s="9">
        <v>-6.8</v>
      </c>
      <c r="Y48" s="8">
        <v>11.5</v>
      </c>
      <c r="Z48" s="8">
        <v>2.1</v>
      </c>
      <c r="AA48" s="8">
        <v>30</v>
      </c>
      <c r="AB48" s="8">
        <v>0</v>
      </c>
      <c r="AC48" s="8">
        <v>26</v>
      </c>
      <c r="AD48" s="8">
        <v>159.6</v>
      </c>
      <c r="AE48" s="8">
        <v>0</v>
      </c>
      <c r="AF48" s="8">
        <v>0</v>
      </c>
      <c r="AG48" s="8">
        <v>88.9</v>
      </c>
      <c r="AH48" s="8">
        <v>108.54</v>
      </c>
      <c r="AI48" s="8">
        <v>22792.400000000001</v>
      </c>
      <c r="AJ48" s="8">
        <v>59</v>
      </c>
      <c r="AK48" s="10">
        <v>43</v>
      </c>
      <c r="AL48" s="9">
        <v>-2.1</v>
      </c>
      <c r="AM48" s="8">
        <v>19.600000000000001</v>
      </c>
      <c r="AN48" s="8">
        <v>8.1</v>
      </c>
      <c r="AO48" s="8">
        <v>5</v>
      </c>
      <c r="AP48" s="8">
        <v>0</v>
      </c>
      <c r="AQ48" s="8">
        <v>21</v>
      </c>
      <c r="AR48" s="8">
        <v>502.8</v>
      </c>
      <c r="AS48" s="8">
        <v>0</v>
      </c>
      <c r="AT48" s="8">
        <v>0</v>
      </c>
      <c r="AU48" s="8">
        <v>97</v>
      </c>
      <c r="AV48" s="8">
        <v>118.39</v>
      </c>
      <c r="AW48" s="8">
        <v>37203.800000000003</v>
      </c>
      <c r="AX48" s="10">
        <v>47</v>
      </c>
      <c r="AY48" s="9">
        <v>1.5</v>
      </c>
      <c r="AZ48" s="8">
        <v>23.1</v>
      </c>
      <c r="BA48" s="8">
        <v>11.1</v>
      </c>
      <c r="BB48" s="8">
        <v>0</v>
      </c>
      <c r="BC48" s="8">
        <v>0</v>
      </c>
      <c r="BD48" s="8">
        <v>8</v>
      </c>
      <c r="BE48" s="8">
        <v>232.4</v>
      </c>
      <c r="BF48" s="8">
        <v>0</v>
      </c>
      <c r="BG48" s="8">
        <v>0</v>
      </c>
      <c r="BH48" s="8">
        <v>76.2</v>
      </c>
      <c r="BI48" s="8">
        <v>93.04</v>
      </c>
      <c r="BJ48" s="8">
        <v>32552.5</v>
      </c>
      <c r="BK48" s="8">
        <v>4</v>
      </c>
      <c r="BL48" s="10">
        <v>1.4</v>
      </c>
      <c r="BM48" s="9">
        <v>0.4</v>
      </c>
      <c r="BN48" s="8">
        <v>27.9</v>
      </c>
      <c r="BO48" s="8">
        <v>11.4</v>
      </c>
      <c r="BP48" s="8">
        <v>0</v>
      </c>
      <c r="BQ48" s="8">
        <v>2</v>
      </c>
      <c r="BR48" s="8">
        <v>9</v>
      </c>
      <c r="BS48" s="8">
        <v>0</v>
      </c>
      <c r="BT48" s="8">
        <v>0</v>
      </c>
      <c r="BU48" s="8">
        <v>46.3</v>
      </c>
      <c r="BV48" s="8">
        <v>56.58</v>
      </c>
      <c r="BW48" s="8">
        <v>39357.300000000003</v>
      </c>
      <c r="BX48" s="10">
        <v>7</v>
      </c>
      <c r="BY48" s="9">
        <v>7.3</v>
      </c>
      <c r="BZ48" s="8">
        <v>29.8</v>
      </c>
      <c r="CA48" s="8">
        <v>18.5</v>
      </c>
      <c r="CB48" s="8">
        <v>0</v>
      </c>
      <c r="CC48" s="8">
        <v>8</v>
      </c>
      <c r="CD48" s="8">
        <v>0</v>
      </c>
      <c r="CE48" s="8">
        <v>0</v>
      </c>
      <c r="CF48" s="8">
        <v>3</v>
      </c>
      <c r="CG48" s="8">
        <v>46.9</v>
      </c>
      <c r="CH48" s="8">
        <v>57.25</v>
      </c>
      <c r="CI48" s="8">
        <v>30256.3</v>
      </c>
      <c r="CJ48" s="10">
        <v>3</v>
      </c>
      <c r="CK48" s="9">
        <v>10.1</v>
      </c>
      <c r="CL48" s="8">
        <v>35.700000000000003</v>
      </c>
      <c r="CM48" s="8">
        <v>21.4</v>
      </c>
      <c r="CN48" s="8">
        <v>0</v>
      </c>
      <c r="CO48" s="8">
        <v>12</v>
      </c>
      <c r="CP48" s="8">
        <v>0</v>
      </c>
      <c r="CQ48" s="8">
        <v>1</v>
      </c>
      <c r="CR48" s="8">
        <v>14</v>
      </c>
      <c r="CS48" s="8">
        <v>20.6</v>
      </c>
      <c r="CT48" s="8">
        <v>25.2</v>
      </c>
      <c r="CU48" s="8">
        <v>40835.699999999997</v>
      </c>
      <c r="CV48" s="10">
        <v>0</v>
      </c>
      <c r="CW48" s="8">
        <v>148.38</v>
      </c>
      <c r="CX48" s="8">
        <v>2.37</v>
      </c>
      <c r="CY48" s="8">
        <v>0.65</v>
      </c>
      <c r="CZ48" s="8">
        <v>0</v>
      </c>
      <c r="DA48" s="8">
        <v>0</v>
      </c>
      <c r="DB48" s="8">
        <f t="shared" si="0"/>
        <v>0</v>
      </c>
      <c r="DC48" s="8">
        <v>0</v>
      </c>
      <c r="DD48" s="8">
        <v>0</v>
      </c>
      <c r="DE48" s="8">
        <v>0</v>
      </c>
      <c r="DF48" s="8">
        <v>0</v>
      </c>
      <c r="DG48" s="8">
        <v>20</v>
      </c>
    </row>
    <row r="49" spans="1:111" ht="15.75" thickBot="1" x14ac:dyDescent="0.3">
      <c r="A49" s="75"/>
      <c r="B49" s="83"/>
      <c r="C49" s="77"/>
      <c r="D49" s="77"/>
      <c r="E49" s="33" t="s">
        <v>27</v>
      </c>
      <c r="F49" s="77"/>
      <c r="G49" s="22" t="s">
        <v>166</v>
      </c>
      <c r="H49" s="133"/>
      <c r="I49" s="29">
        <v>1692.7</v>
      </c>
      <c r="J49" s="5">
        <v>-1</v>
      </c>
      <c r="K49" s="6">
        <v>32.4</v>
      </c>
      <c r="L49" s="6">
        <v>11.8</v>
      </c>
      <c r="M49" s="6">
        <v>2</v>
      </c>
      <c r="N49" s="6">
        <v>8</v>
      </c>
      <c r="O49" s="6">
        <v>20</v>
      </c>
      <c r="P49" s="6">
        <v>992.9</v>
      </c>
      <c r="Q49" s="6">
        <v>9</v>
      </c>
      <c r="R49" s="6">
        <v>39</v>
      </c>
      <c r="S49" s="6">
        <v>122.1</v>
      </c>
      <c r="T49" s="6">
        <v>31.2</v>
      </c>
      <c r="U49" s="6">
        <v>38.159999999999997</v>
      </c>
      <c r="V49" s="6">
        <v>63630.3</v>
      </c>
      <c r="W49" s="7">
        <v>51</v>
      </c>
      <c r="X49" s="5">
        <v>-6.8</v>
      </c>
      <c r="Y49" s="6">
        <v>11.5</v>
      </c>
      <c r="Z49" s="6">
        <v>2.1</v>
      </c>
      <c r="AA49" s="6">
        <v>30</v>
      </c>
      <c r="AB49" s="6">
        <v>0</v>
      </c>
      <c r="AC49" s="6">
        <v>26</v>
      </c>
      <c r="AD49" s="6">
        <v>159.6</v>
      </c>
      <c r="AE49" s="6">
        <v>0</v>
      </c>
      <c r="AF49" s="6">
        <v>0</v>
      </c>
      <c r="AG49" s="6">
        <v>88.9</v>
      </c>
      <c r="AH49" s="6">
        <v>108.54</v>
      </c>
      <c r="AI49" s="6">
        <v>22792.400000000001</v>
      </c>
      <c r="AJ49" s="6">
        <v>59</v>
      </c>
      <c r="AK49" s="7">
        <v>43</v>
      </c>
      <c r="AL49" s="5">
        <v>-2.1</v>
      </c>
      <c r="AM49" s="6">
        <v>21.9</v>
      </c>
      <c r="AN49" s="6">
        <v>8.3000000000000007</v>
      </c>
      <c r="AO49" s="6">
        <v>5</v>
      </c>
      <c r="AP49" s="6">
        <v>0</v>
      </c>
      <c r="AQ49" s="6">
        <v>21</v>
      </c>
      <c r="AR49" s="6">
        <v>529.70000000000005</v>
      </c>
      <c r="AS49" s="6">
        <v>0</v>
      </c>
      <c r="AT49" s="6">
        <v>0</v>
      </c>
      <c r="AU49" s="6">
        <v>96.8</v>
      </c>
      <c r="AV49" s="6">
        <v>118.2</v>
      </c>
      <c r="AW49" s="6">
        <v>39073.300000000003</v>
      </c>
      <c r="AX49" s="7">
        <v>48</v>
      </c>
      <c r="AY49" s="5">
        <v>0.4</v>
      </c>
      <c r="AZ49" s="6">
        <v>23.1</v>
      </c>
      <c r="BA49" s="6">
        <v>10.5</v>
      </c>
      <c r="BB49" s="6">
        <v>0</v>
      </c>
      <c r="BC49" s="6">
        <v>0</v>
      </c>
      <c r="BD49" s="6">
        <v>10</v>
      </c>
      <c r="BE49" s="6">
        <v>220.6</v>
      </c>
      <c r="BF49" s="6">
        <v>0</v>
      </c>
      <c r="BG49" s="6">
        <v>0</v>
      </c>
      <c r="BH49" s="6">
        <v>72.2</v>
      </c>
      <c r="BI49" s="6">
        <v>88.18</v>
      </c>
      <c r="BJ49" s="6">
        <v>35556.800000000003</v>
      </c>
      <c r="BK49" s="6">
        <v>3</v>
      </c>
      <c r="BL49" s="7">
        <v>1.6</v>
      </c>
      <c r="BM49" s="5">
        <v>1.3</v>
      </c>
      <c r="BN49" s="6">
        <v>27.9</v>
      </c>
      <c r="BO49" s="6">
        <v>11.7</v>
      </c>
      <c r="BP49" s="6">
        <v>0</v>
      </c>
      <c r="BQ49" s="6">
        <v>2</v>
      </c>
      <c r="BR49" s="6">
        <v>7</v>
      </c>
      <c r="BS49" s="6">
        <v>0</v>
      </c>
      <c r="BT49" s="6">
        <v>0</v>
      </c>
      <c r="BU49" s="6">
        <v>46.1</v>
      </c>
      <c r="BV49" s="6">
        <v>56.33</v>
      </c>
      <c r="BW49" s="6">
        <v>34483.5</v>
      </c>
      <c r="BX49" s="7">
        <v>7</v>
      </c>
      <c r="BY49" s="5">
        <v>7.3</v>
      </c>
      <c r="BZ49" s="6">
        <v>29.8</v>
      </c>
      <c r="CA49" s="6">
        <v>18.5</v>
      </c>
      <c r="CB49" s="6">
        <v>0</v>
      </c>
      <c r="CC49" s="6">
        <v>8</v>
      </c>
      <c r="CD49" s="6">
        <v>0</v>
      </c>
      <c r="CE49" s="6">
        <v>0</v>
      </c>
      <c r="CF49" s="6">
        <v>3</v>
      </c>
      <c r="CG49" s="6">
        <v>46.9</v>
      </c>
      <c r="CH49" s="6">
        <v>57.3</v>
      </c>
      <c r="CI49" s="6">
        <v>30256.3</v>
      </c>
      <c r="CJ49" s="7">
        <v>3</v>
      </c>
      <c r="CK49" s="5">
        <v>10.1</v>
      </c>
      <c r="CL49" s="6">
        <v>35.700000000000003</v>
      </c>
      <c r="CM49" s="6">
        <v>21.4</v>
      </c>
      <c r="CN49" s="6">
        <v>0</v>
      </c>
      <c r="CO49" s="6">
        <v>12</v>
      </c>
      <c r="CP49" s="6">
        <v>0</v>
      </c>
      <c r="CQ49" s="6">
        <v>1</v>
      </c>
      <c r="CR49" s="6">
        <v>14</v>
      </c>
      <c r="CS49" s="6">
        <v>20.7</v>
      </c>
      <c r="CT49" s="6">
        <v>25.24</v>
      </c>
      <c r="CU49" s="6">
        <v>40835.699999999997</v>
      </c>
      <c r="CV49" s="7">
        <v>0</v>
      </c>
      <c r="CW49" s="6">
        <v>367.88</v>
      </c>
      <c r="CX49" s="6">
        <v>3.49</v>
      </c>
      <c r="CY49" s="6">
        <v>1.25</v>
      </c>
      <c r="CZ49" s="6">
        <v>100</v>
      </c>
      <c r="DA49" s="6">
        <v>116.62</v>
      </c>
      <c r="DB49" s="147">
        <f t="shared" si="0"/>
        <v>95.511875511875516</v>
      </c>
      <c r="DC49" s="6">
        <v>4.5</v>
      </c>
      <c r="DD49" s="6">
        <v>4.5</v>
      </c>
      <c r="DE49" s="6">
        <v>2</v>
      </c>
      <c r="DF49" s="6">
        <v>23.8</v>
      </c>
      <c r="DG49" s="6">
        <v>20</v>
      </c>
    </row>
    <row r="50" spans="1:111" x14ac:dyDescent="0.25">
      <c r="A50" s="78" t="s">
        <v>86</v>
      </c>
      <c r="B50" s="82"/>
      <c r="C50" s="80" t="s">
        <v>94</v>
      </c>
      <c r="D50" s="80" t="s">
        <v>100</v>
      </c>
      <c r="E50" s="32" t="s">
        <v>26</v>
      </c>
      <c r="F50" s="80" t="s">
        <v>95</v>
      </c>
      <c r="G50" s="20" t="s">
        <v>167</v>
      </c>
      <c r="H50" s="130">
        <v>1</v>
      </c>
      <c r="I50" s="30">
        <v>1739.1</v>
      </c>
      <c r="J50" s="13">
        <v>-0.5</v>
      </c>
      <c r="K50" s="14">
        <v>31.3</v>
      </c>
      <c r="L50" s="14">
        <v>12.1</v>
      </c>
      <c r="M50" s="14">
        <v>2</v>
      </c>
      <c r="N50" s="14">
        <v>6</v>
      </c>
      <c r="O50" s="14">
        <v>15</v>
      </c>
      <c r="P50" s="14">
        <v>1062.7</v>
      </c>
      <c r="Q50" s="14">
        <v>7</v>
      </c>
      <c r="R50" s="14">
        <v>62</v>
      </c>
      <c r="S50" s="14">
        <v>153.9</v>
      </c>
      <c r="T50" s="14">
        <v>22</v>
      </c>
      <c r="U50" s="14">
        <v>33.799999999999997</v>
      </c>
      <c r="V50" s="14">
        <v>59559.5</v>
      </c>
      <c r="W50" s="15">
        <v>62</v>
      </c>
      <c r="X50" s="13">
        <v>-7.9</v>
      </c>
      <c r="Y50" s="14">
        <v>10.1</v>
      </c>
      <c r="Z50" s="14">
        <v>2.1</v>
      </c>
      <c r="AA50" s="14">
        <v>33</v>
      </c>
      <c r="AB50" s="14">
        <v>0</v>
      </c>
      <c r="AC50" s="14">
        <v>22</v>
      </c>
      <c r="AD50" s="14">
        <v>166.4</v>
      </c>
      <c r="AE50" s="14">
        <v>0</v>
      </c>
      <c r="AF50" s="14">
        <v>0</v>
      </c>
      <c r="AG50" s="14">
        <v>56.8</v>
      </c>
      <c r="AH50" s="14">
        <v>87.4</v>
      </c>
      <c r="AI50" s="14">
        <v>21101.1</v>
      </c>
      <c r="AJ50" s="14">
        <v>61</v>
      </c>
      <c r="AK50" s="15">
        <v>50</v>
      </c>
      <c r="AL50" s="13">
        <v>-2.4</v>
      </c>
      <c r="AM50" s="14">
        <v>21.1</v>
      </c>
      <c r="AN50" s="14">
        <v>8</v>
      </c>
      <c r="AO50" s="14">
        <v>4</v>
      </c>
      <c r="AP50" s="14">
        <v>0</v>
      </c>
      <c r="AQ50" s="14">
        <v>24</v>
      </c>
      <c r="AR50" s="14">
        <v>496.6</v>
      </c>
      <c r="AS50" s="14">
        <v>0</v>
      </c>
      <c r="AT50" s="14">
        <v>0</v>
      </c>
      <c r="AU50" s="14">
        <v>86.2</v>
      </c>
      <c r="AV50" s="14">
        <v>132.63999999999999</v>
      </c>
      <c r="AW50" s="14">
        <v>33585.9</v>
      </c>
      <c r="AX50" s="15">
        <v>53</v>
      </c>
      <c r="AY50" s="13">
        <v>-0.1</v>
      </c>
      <c r="AZ50" s="14">
        <v>22.5</v>
      </c>
      <c r="BA50" s="14">
        <v>10.1</v>
      </c>
      <c r="BB50" s="14">
        <v>1</v>
      </c>
      <c r="BC50" s="14">
        <v>0</v>
      </c>
      <c r="BD50" s="14">
        <v>9</v>
      </c>
      <c r="BE50" s="14">
        <v>211.2</v>
      </c>
      <c r="BF50" s="14">
        <v>0</v>
      </c>
      <c r="BG50" s="14">
        <v>0</v>
      </c>
      <c r="BH50" s="14">
        <v>74.3</v>
      </c>
      <c r="BI50" s="14">
        <v>114.27</v>
      </c>
      <c r="BJ50" s="14">
        <v>30082.7</v>
      </c>
      <c r="BK50" s="14">
        <v>5</v>
      </c>
      <c r="BL50" s="15">
        <v>1.42</v>
      </c>
      <c r="BM50" s="13">
        <v>1</v>
      </c>
      <c r="BN50" s="14">
        <v>26.8</v>
      </c>
      <c r="BO50" s="14">
        <v>11.3</v>
      </c>
      <c r="BP50" s="14">
        <v>0</v>
      </c>
      <c r="BQ50" s="14">
        <v>2</v>
      </c>
      <c r="BR50" s="14">
        <v>7</v>
      </c>
      <c r="BS50" s="14">
        <v>0</v>
      </c>
      <c r="BT50" s="14">
        <v>0</v>
      </c>
      <c r="BU50" s="14">
        <v>51</v>
      </c>
      <c r="BV50" s="14">
        <v>78.44</v>
      </c>
      <c r="BW50" s="14">
        <v>41218.1</v>
      </c>
      <c r="BX50" s="15">
        <v>4</v>
      </c>
      <c r="BY50" s="13">
        <v>7</v>
      </c>
      <c r="BZ50" s="14">
        <v>27.4</v>
      </c>
      <c r="CA50" s="14">
        <v>17.8</v>
      </c>
      <c r="CB50" s="14">
        <v>0</v>
      </c>
      <c r="CC50" s="14">
        <v>6</v>
      </c>
      <c r="CD50" s="14">
        <v>0</v>
      </c>
      <c r="CE50" s="14">
        <v>0</v>
      </c>
      <c r="CF50" s="14">
        <v>1</v>
      </c>
      <c r="CG50" s="14">
        <v>46.7</v>
      </c>
      <c r="CH50" s="14">
        <v>71.94</v>
      </c>
      <c r="CI50" s="14">
        <v>31698.1</v>
      </c>
      <c r="CJ50" s="15">
        <v>2</v>
      </c>
      <c r="CK50" s="13">
        <v>9.1</v>
      </c>
      <c r="CL50" s="14">
        <v>34.5</v>
      </c>
      <c r="CM50" s="14">
        <v>19.899999999999999</v>
      </c>
      <c r="CN50" s="14">
        <v>0</v>
      </c>
      <c r="CO50" s="14">
        <v>11</v>
      </c>
      <c r="CP50" s="14">
        <v>0</v>
      </c>
      <c r="CQ50" s="14">
        <v>0</v>
      </c>
      <c r="CR50" s="14">
        <v>10</v>
      </c>
      <c r="CS50" s="14">
        <v>31.5</v>
      </c>
      <c r="CT50" s="14">
        <v>48.49</v>
      </c>
      <c r="CU50" s="14">
        <v>47248</v>
      </c>
      <c r="CV50" s="15">
        <v>0</v>
      </c>
      <c r="CW50" s="14">
        <v>211.41</v>
      </c>
      <c r="CX50" s="14">
        <v>3.13</v>
      </c>
      <c r="CY50" s="14">
        <v>1.02</v>
      </c>
      <c r="CZ50" s="14">
        <v>0</v>
      </c>
      <c r="DA50" s="14">
        <v>0</v>
      </c>
      <c r="DB50" s="14">
        <f t="shared" si="0"/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87</v>
      </c>
    </row>
    <row r="51" spans="1:111" ht="15.75" thickBot="1" x14ac:dyDescent="0.3">
      <c r="A51" s="79"/>
      <c r="B51" s="83"/>
      <c r="C51" s="81"/>
      <c r="D51" s="81"/>
      <c r="E51" s="33" t="s">
        <v>27</v>
      </c>
      <c r="F51" s="81"/>
      <c r="G51" s="21" t="s">
        <v>166</v>
      </c>
      <c r="H51" s="131"/>
      <c r="I51" s="31">
        <v>1749.9</v>
      </c>
      <c r="J51" s="16">
        <v>-0.5</v>
      </c>
      <c r="K51" s="17">
        <v>31.3</v>
      </c>
      <c r="L51" s="17">
        <v>12.1</v>
      </c>
      <c r="M51" s="17">
        <v>2</v>
      </c>
      <c r="N51" s="17">
        <v>6</v>
      </c>
      <c r="O51" s="17">
        <v>15</v>
      </c>
      <c r="P51" s="17">
        <v>1062.7</v>
      </c>
      <c r="Q51" s="17">
        <v>7</v>
      </c>
      <c r="R51" s="17">
        <v>62</v>
      </c>
      <c r="S51" s="17">
        <v>153.9</v>
      </c>
      <c r="T51" s="17">
        <v>22</v>
      </c>
      <c r="U51" s="17">
        <v>33.799999999999997</v>
      </c>
      <c r="V51" s="17">
        <v>59559.5</v>
      </c>
      <c r="W51" s="18">
        <v>62</v>
      </c>
      <c r="X51" s="16">
        <v>-7.9</v>
      </c>
      <c r="Y51" s="17">
        <v>10.1</v>
      </c>
      <c r="Z51" s="17">
        <v>2.1</v>
      </c>
      <c r="AA51" s="17">
        <v>33</v>
      </c>
      <c r="AB51" s="17">
        <v>0</v>
      </c>
      <c r="AC51" s="17">
        <v>22</v>
      </c>
      <c r="AD51" s="17">
        <v>166.4</v>
      </c>
      <c r="AE51" s="17">
        <v>0</v>
      </c>
      <c r="AF51" s="17">
        <v>0</v>
      </c>
      <c r="AG51" s="17">
        <v>56.8</v>
      </c>
      <c r="AH51" s="17">
        <v>87.4</v>
      </c>
      <c r="AI51" s="17">
        <v>21101.1</v>
      </c>
      <c r="AJ51" s="17">
        <v>61</v>
      </c>
      <c r="AK51" s="18">
        <v>50</v>
      </c>
      <c r="AL51" s="16">
        <v>-2.4</v>
      </c>
      <c r="AM51" s="17">
        <v>21.1</v>
      </c>
      <c r="AN51" s="17">
        <v>8.1</v>
      </c>
      <c r="AO51" s="17">
        <v>4</v>
      </c>
      <c r="AP51" s="17">
        <v>0</v>
      </c>
      <c r="AQ51" s="17">
        <v>24</v>
      </c>
      <c r="AR51" s="17">
        <v>510</v>
      </c>
      <c r="AS51" s="17">
        <v>0</v>
      </c>
      <c r="AT51" s="17">
        <v>0</v>
      </c>
      <c r="AU51" s="17">
        <v>86.2</v>
      </c>
      <c r="AV51" s="17">
        <v>132.72</v>
      </c>
      <c r="AW51" s="17">
        <v>34378.5</v>
      </c>
      <c r="AX51" s="18">
        <v>54</v>
      </c>
      <c r="AY51" s="16">
        <v>-0.1</v>
      </c>
      <c r="AZ51" s="17">
        <v>22.5</v>
      </c>
      <c r="BA51" s="17">
        <v>9.9</v>
      </c>
      <c r="BB51" s="17">
        <v>1</v>
      </c>
      <c r="BC51" s="17">
        <v>0</v>
      </c>
      <c r="BD51" s="17">
        <v>10</v>
      </c>
      <c r="BE51" s="17">
        <v>207.1</v>
      </c>
      <c r="BF51" s="17">
        <v>0</v>
      </c>
      <c r="BG51" s="17">
        <v>0</v>
      </c>
      <c r="BH51" s="17">
        <v>72.7</v>
      </c>
      <c r="BI51" s="17">
        <v>111.94</v>
      </c>
      <c r="BJ51" s="17">
        <v>31881.3</v>
      </c>
      <c r="BK51" s="17">
        <v>4</v>
      </c>
      <c r="BL51" s="18">
        <v>1.54</v>
      </c>
      <c r="BM51" s="16">
        <v>1</v>
      </c>
      <c r="BN51" s="17">
        <v>26.8</v>
      </c>
      <c r="BO51" s="17">
        <v>11.5</v>
      </c>
      <c r="BP51" s="17">
        <v>0</v>
      </c>
      <c r="BQ51" s="17">
        <v>2</v>
      </c>
      <c r="BR51" s="17">
        <v>6</v>
      </c>
      <c r="BS51" s="17">
        <v>0</v>
      </c>
      <c r="BT51" s="17">
        <v>0</v>
      </c>
      <c r="BU51" s="17">
        <v>51.2</v>
      </c>
      <c r="BV51" s="17">
        <v>78.760000000000005</v>
      </c>
      <c r="BW51" s="17">
        <v>39078.6</v>
      </c>
      <c r="BX51" s="18">
        <v>5</v>
      </c>
      <c r="BY51" s="16">
        <v>7</v>
      </c>
      <c r="BZ51" s="17">
        <v>27.4</v>
      </c>
      <c r="CA51" s="17">
        <v>17.899999999999999</v>
      </c>
      <c r="CB51" s="17">
        <v>0</v>
      </c>
      <c r="CC51" s="17">
        <v>6</v>
      </c>
      <c r="CD51" s="17">
        <v>0</v>
      </c>
      <c r="CE51" s="17">
        <v>0</v>
      </c>
      <c r="CF51" s="17">
        <v>1</v>
      </c>
      <c r="CG51" s="17">
        <v>45.1</v>
      </c>
      <c r="CH51" s="17">
        <v>69.430000000000007</v>
      </c>
      <c r="CI51" s="17">
        <v>32890.199999999997</v>
      </c>
      <c r="CJ51" s="18">
        <v>1</v>
      </c>
      <c r="CK51" s="16">
        <v>9.8000000000000007</v>
      </c>
      <c r="CL51" s="17">
        <v>34.5</v>
      </c>
      <c r="CM51" s="17">
        <v>20.2</v>
      </c>
      <c r="CN51" s="17">
        <v>0</v>
      </c>
      <c r="CO51" s="17">
        <v>11</v>
      </c>
      <c r="CP51" s="17">
        <v>0</v>
      </c>
      <c r="CQ51" s="17">
        <v>0</v>
      </c>
      <c r="CR51" s="17">
        <v>10</v>
      </c>
      <c r="CS51" s="17">
        <v>30.4</v>
      </c>
      <c r="CT51" s="17">
        <v>46.85</v>
      </c>
      <c r="CU51" s="17">
        <v>45604.2</v>
      </c>
      <c r="CV51" s="18">
        <v>0</v>
      </c>
      <c r="CW51" s="17">
        <v>317.24</v>
      </c>
      <c r="CX51" s="17">
        <v>3.23</v>
      </c>
      <c r="CY51" s="17">
        <v>1.4</v>
      </c>
      <c r="CZ51" s="17">
        <v>100</v>
      </c>
      <c r="DA51" s="17">
        <v>148.11000000000001</v>
      </c>
      <c r="DB51" s="149">
        <f t="shared" si="0"/>
        <v>96.23781676413256</v>
      </c>
      <c r="DC51" s="17">
        <v>2</v>
      </c>
      <c r="DD51" s="17">
        <v>5</v>
      </c>
      <c r="DE51" s="17">
        <v>0.5</v>
      </c>
      <c r="DF51" s="17">
        <v>7.4</v>
      </c>
      <c r="DG51" s="17">
        <v>87</v>
      </c>
    </row>
    <row r="52" spans="1:111" x14ac:dyDescent="0.25">
      <c r="A52" s="74" t="s">
        <v>87</v>
      </c>
      <c r="B52" s="82"/>
      <c r="C52" s="76" t="s">
        <v>94</v>
      </c>
      <c r="D52" s="76" t="s">
        <v>101</v>
      </c>
      <c r="E52" s="32" t="s">
        <v>26</v>
      </c>
      <c r="F52" s="76" t="s">
        <v>95</v>
      </c>
      <c r="G52" s="19" t="s">
        <v>169</v>
      </c>
      <c r="H52" s="140">
        <v>-2</v>
      </c>
      <c r="I52" s="28">
        <v>1782.1</v>
      </c>
      <c r="J52" s="9">
        <v>-1.9</v>
      </c>
      <c r="K52" s="8">
        <v>29.8</v>
      </c>
      <c r="L52" s="8">
        <v>12.1</v>
      </c>
      <c r="M52" s="8">
        <v>2</v>
      </c>
      <c r="N52" s="8">
        <v>7</v>
      </c>
      <c r="O52" s="8">
        <v>15</v>
      </c>
      <c r="P52" s="8">
        <v>1079.5999999999999</v>
      </c>
      <c r="Q52" s="8">
        <v>6</v>
      </c>
      <c r="R52" s="8">
        <v>82</v>
      </c>
      <c r="S52" s="8">
        <v>197.4</v>
      </c>
      <c r="T52" s="8">
        <v>11</v>
      </c>
      <c r="U52" s="8">
        <v>21.68</v>
      </c>
      <c r="V52" s="8">
        <v>66885.100000000006</v>
      </c>
      <c r="W52" s="10">
        <v>57</v>
      </c>
      <c r="X52" s="9">
        <v>-7.6</v>
      </c>
      <c r="Y52" s="8">
        <v>10.199999999999999</v>
      </c>
      <c r="Z52" s="8">
        <v>1.9</v>
      </c>
      <c r="AA52" s="8">
        <v>30</v>
      </c>
      <c r="AB52" s="8">
        <v>0</v>
      </c>
      <c r="AC52" s="8">
        <v>25</v>
      </c>
      <c r="AD52" s="8">
        <v>161.9</v>
      </c>
      <c r="AE52" s="8">
        <v>0</v>
      </c>
      <c r="AF52" s="8">
        <v>42</v>
      </c>
      <c r="AG52" s="8">
        <v>31.7</v>
      </c>
      <c r="AH52" s="8">
        <v>62.55</v>
      </c>
      <c r="AI52" s="8">
        <v>21646</v>
      </c>
      <c r="AJ52" s="8">
        <v>61</v>
      </c>
      <c r="AK52" s="10">
        <v>51</v>
      </c>
      <c r="AL52" s="9">
        <v>-1.4</v>
      </c>
      <c r="AM52" s="8">
        <v>20.8</v>
      </c>
      <c r="AN52" s="8">
        <v>8.3000000000000007</v>
      </c>
      <c r="AO52" s="8">
        <v>6</v>
      </c>
      <c r="AP52" s="8">
        <v>0</v>
      </c>
      <c r="AQ52" s="8">
        <v>22</v>
      </c>
      <c r="AR52" s="8">
        <v>528.6</v>
      </c>
      <c r="AS52" s="8">
        <v>0</v>
      </c>
      <c r="AT52" s="8">
        <v>0</v>
      </c>
      <c r="AU52" s="8">
        <v>50.3</v>
      </c>
      <c r="AV52" s="8">
        <v>99.29</v>
      </c>
      <c r="AW52" s="8">
        <v>37030.5</v>
      </c>
      <c r="AX52" s="10">
        <v>48</v>
      </c>
      <c r="AY52" s="9">
        <v>1.2</v>
      </c>
      <c r="AZ52" s="8">
        <v>22.5</v>
      </c>
      <c r="BA52" s="8">
        <v>10.3</v>
      </c>
      <c r="BB52" s="8">
        <v>0</v>
      </c>
      <c r="BC52" s="8">
        <v>0</v>
      </c>
      <c r="BD52" s="8">
        <v>8</v>
      </c>
      <c r="BE52" s="8">
        <v>215.9</v>
      </c>
      <c r="BF52" s="8">
        <v>0</v>
      </c>
      <c r="BG52" s="8">
        <v>7</v>
      </c>
      <c r="BH52" s="8">
        <v>37.9</v>
      </c>
      <c r="BI52" s="8">
        <v>74.760000000000005</v>
      </c>
      <c r="BJ52" s="8">
        <v>29719.3</v>
      </c>
      <c r="BK52" s="8">
        <v>7</v>
      </c>
      <c r="BL52" s="10">
        <v>1.38</v>
      </c>
      <c r="BM52" s="9">
        <v>1.5</v>
      </c>
      <c r="BN52" s="8">
        <v>27</v>
      </c>
      <c r="BO52" s="8">
        <v>11.9</v>
      </c>
      <c r="BP52" s="8">
        <v>0</v>
      </c>
      <c r="BQ52" s="8">
        <v>1</v>
      </c>
      <c r="BR52" s="8">
        <v>6</v>
      </c>
      <c r="BS52" s="8">
        <v>0</v>
      </c>
      <c r="BT52" s="8">
        <v>26</v>
      </c>
      <c r="BU52" s="8">
        <v>23.8</v>
      </c>
      <c r="BV52" s="8">
        <v>47.02</v>
      </c>
      <c r="BW52" s="8">
        <v>32491.1</v>
      </c>
      <c r="BX52" s="10">
        <v>9</v>
      </c>
      <c r="BY52" s="9">
        <v>8.6</v>
      </c>
      <c r="BZ52" s="8">
        <v>29.4</v>
      </c>
      <c r="CA52" s="8">
        <v>18.8</v>
      </c>
      <c r="CB52" s="8">
        <v>0</v>
      </c>
      <c r="CC52" s="8">
        <v>6</v>
      </c>
      <c r="CD52" s="8">
        <v>0</v>
      </c>
      <c r="CE52" s="8">
        <v>0</v>
      </c>
      <c r="CF52" s="8">
        <v>16</v>
      </c>
      <c r="CG52" s="8">
        <v>13</v>
      </c>
      <c r="CH52" s="8">
        <v>25.73</v>
      </c>
      <c r="CI52" s="8">
        <v>30008.400000000001</v>
      </c>
      <c r="CJ52" s="10">
        <v>0</v>
      </c>
      <c r="CK52" s="9">
        <v>10.199999999999999</v>
      </c>
      <c r="CL52" s="8">
        <v>34.200000000000003</v>
      </c>
      <c r="CM52" s="8">
        <v>20.399999999999999</v>
      </c>
      <c r="CN52" s="8">
        <v>0</v>
      </c>
      <c r="CO52" s="8">
        <v>10</v>
      </c>
      <c r="CP52" s="8">
        <v>0</v>
      </c>
      <c r="CQ52" s="8">
        <v>12</v>
      </c>
      <c r="CR52" s="8">
        <v>8</v>
      </c>
      <c r="CS52" s="8">
        <v>1.3</v>
      </c>
      <c r="CT52" s="8">
        <v>2.6</v>
      </c>
      <c r="CU52" s="8">
        <v>43556.3</v>
      </c>
      <c r="CV52" s="10">
        <v>0</v>
      </c>
      <c r="CW52" s="8">
        <v>107.43</v>
      </c>
      <c r="CX52" s="8">
        <v>1.63</v>
      </c>
      <c r="CY52" s="8">
        <v>0.87</v>
      </c>
      <c r="CZ52" s="8">
        <v>0</v>
      </c>
      <c r="DA52" s="8">
        <v>0</v>
      </c>
      <c r="DB52" s="8">
        <f t="shared" si="0"/>
        <v>0</v>
      </c>
      <c r="DC52" s="8">
        <v>0</v>
      </c>
      <c r="DD52" s="8">
        <v>0</v>
      </c>
      <c r="DE52" s="8">
        <v>0</v>
      </c>
      <c r="DF52" s="8">
        <v>0</v>
      </c>
      <c r="DG52" s="8">
        <v>43</v>
      </c>
    </row>
    <row r="53" spans="1:111" ht="15.75" thickBot="1" x14ac:dyDescent="0.3">
      <c r="A53" s="75"/>
      <c r="B53" s="83"/>
      <c r="C53" s="77"/>
      <c r="D53" s="77"/>
      <c r="E53" s="33" t="s">
        <v>27</v>
      </c>
      <c r="F53" s="77"/>
      <c r="G53" s="22" t="s">
        <v>167</v>
      </c>
      <c r="H53" s="141"/>
      <c r="I53" s="29">
        <v>1758.4</v>
      </c>
      <c r="J53" s="5">
        <v>-1.9</v>
      </c>
      <c r="K53" s="6">
        <v>29.8</v>
      </c>
      <c r="L53" s="6">
        <v>12.1</v>
      </c>
      <c r="M53" s="6">
        <v>2</v>
      </c>
      <c r="N53" s="6">
        <v>7</v>
      </c>
      <c r="O53" s="6">
        <v>15</v>
      </c>
      <c r="P53" s="6">
        <v>1079.5999999999999</v>
      </c>
      <c r="Q53" s="6">
        <v>6</v>
      </c>
      <c r="R53" s="6">
        <v>82</v>
      </c>
      <c r="S53" s="6">
        <v>197.4</v>
      </c>
      <c r="T53" s="6">
        <v>11</v>
      </c>
      <c r="U53" s="6">
        <v>21.68</v>
      </c>
      <c r="V53" s="6">
        <v>66885.100000000006</v>
      </c>
      <c r="W53" s="7">
        <v>57</v>
      </c>
      <c r="X53" s="5">
        <v>-7.6</v>
      </c>
      <c r="Y53" s="6">
        <v>10.199999999999999</v>
      </c>
      <c r="Z53" s="6">
        <v>1.9</v>
      </c>
      <c r="AA53" s="6">
        <v>30</v>
      </c>
      <c r="AB53" s="6">
        <v>0</v>
      </c>
      <c r="AC53" s="6">
        <v>25</v>
      </c>
      <c r="AD53" s="6">
        <v>161.9</v>
      </c>
      <c r="AE53" s="6">
        <v>0</v>
      </c>
      <c r="AF53" s="6">
        <v>42</v>
      </c>
      <c r="AG53" s="6">
        <v>31.7</v>
      </c>
      <c r="AH53" s="6">
        <v>62.55</v>
      </c>
      <c r="AI53" s="6">
        <v>21646</v>
      </c>
      <c r="AJ53" s="6">
        <v>61</v>
      </c>
      <c r="AK53" s="7">
        <v>51</v>
      </c>
      <c r="AL53" s="5">
        <v>-1.4</v>
      </c>
      <c r="AM53" s="6">
        <v>20.8</v>
      </c>
      <c r="AN53" s="6">
        <v>8.1</v>
      </c>
      <c r="AO53" s="6">
        <v>6</v>
      </c>
      <c r="AP53" s="6">
        <v>0</v>
      </c>
      <c r="AQ53" s="6">
        <v>22</v>
      </c>
      <c r="AR53" s="6">
        <v>502.6</v>
      </c>
      <c r="AS53" s="6">
        <v>0</v>
      </c>
      <c r="AT53" s="6">
        <v>0</v>
      </c>
      <c r="AU53" s="6">
        <v>50.2</v>
      </c>
      <c r="AV53" s="6">
        <v>99.08</v>
      </c>
      <c r="AW53" s="6">
        <v>35495.1</v>
      </c>
      <c r="AX53" s="7">
        <v>47</v>
      </c>
      <c r="AY53" s="5">
        <v>1.2</v>
      </c>
      <c r="AZ53" s="6">
        <v>22.5</v>
      </c>
      <c r="BA53" s="6">
        <v>10.5</v>
      </c>
      <c r="BB53" s="6">
        <v>0</v>
      </c>
      <c r="BC53" s="6">
        <v>0</v>
      </c>
      <c r="BD53" s="6">
        <v>7</v>
      </c>
      <c r="BE53" s="6">
        <v>221.4</v>
      </c>
      <c r="BF53" s="6">
        <v>0</v>
      </c>
      <c r="BG53" s="6">
        <v>5</v>
      </c>
      <c r="BH53" s="6">
        <v>40.4</v>
      </c>
      <c r="BI53" s="6">
        <v>79.66</v>
      </c>
      <c r="BJ53" s="6">
        <v>27382.5</v>
      </c>
      <c r="BK53" s="6">
        <v>8</v>
      </c>
      <c r="BL53" s="7">
        <v>1.24</v>
      </c>
      <c r="BM53" s="5">
        <v>1.5</v>
      </c>
      <c r="BN53" s="6">
        <v>27</v>
      </c>
      <c r="BO53" s="6">
        <v>11.6</v>
      </c>
      <c r="BP53" s="6">
        <v>0</v>
      </c>
      <c r="BQ53" s="6">
        <v>1</v>
      </c>
      <c r="BR53" s="6">
        <v>7</v>
      </c>
      <c r="BS53" s="6">
        <v>0</v>
      </c>
      <c r="BT53" s="6">
        <v>27</v>
      </c>
      <c r="BU53" s="6">
        <v>23.6</v>
      </c>
      <c r="BV53" s="6">
        <v>46.66</v>
      </c>
      <c r="BW53" s="6">
        <v>35315.699999999997</v>
      </c>
      <c r="BX53" s="7">
        <v>9</v>
      </c>
      <c r="BY53" s="5">
        <v>8.6</v>
      </c>
      <c r="BZ53" s="6">
        <v>29.4</v>
      </c>
      <c r="CA53" s="6">
        <v>18.8</v>
      </c>
      <c r="CB53" s="6">
        <v>0</v>
      </c>
      <c r="CC53" s="6">
        <v>6</v>
      </c>
      <c r="CD53" s="6">
        <v>0</v>
      </c>
      <c r="CE53" s="6">
        <v>0</v>
      </c>
      <c r="CF53" s="6">
        <v>16</v>
      </c>
      <c r="CG53" s="6">
        <v>14.8</v>
      </c>
      <c r="CH53" s="6">
        <v>29.23</v>
      </c>
      <c r="CI53" s="6">
        <v>30126.799999999999</v>
      </c>
      <c r="CJ53" s="7">
        <v>0</v>
      </c>
      <c r="CK53" s="5">
        <v>10.199999999999999</v>
      </c>
      <c r="CL53" s="6">
        <v>34.200000000000003</v>
      </c>
      <c r="CM53" s="6">
        <v>20.2</v>
      </c>
      <c r="CN53" s="6">
        <v>0</v>
      </c>
      <c r="CO53" s="6">
        <v>10</v>
      </c>
      <c r="CP53" s="6">
        <v>0</v>
      </c>
      <c r="CQ53" s="6">
        <v>11</v>
      </c>
      <c r="CR53" s="6">
        <v>9</v>
      </c>
      <c r="CS53" s="6">
        <v>1.5</v>
      </c>
      <c r="CT53" s="6">
        <v>3.05</v>
      </c>
      <c r="CU53" s="6">
        <v>42764.9</v>
      </c>
      <c r="CV53" s="7">
        <v>0</v>
      </c>
      <c r="CW53" s="6">
        <v>372.19</v>
      </c>
      <c r="CX53" s="6">
        <v>3.72</v>
      </c>
      <c r="CY53" s="6">
        <v>1.35</v>
      </c>
      <c r="CZ53" s="6">
        <v>120</v>
      </c>
      <c r="DA53" s="6">
        <v>117.59</v>
      </c>
      <c r="DB53" s="147">
        <f t="shared" si="0"/>
        <v>59.569402228976692</v>
      </c>
      <c r="DC53" s="6">
        <v>5.3</v>
      </c>
      <c r="DD53" s="6">
        <v>4.4000000000000004</v>
      </c>
      <c r="DE53" s="6">
        <v>0</v>
      </c>
      <c r="DF53" s="6">
        <v>23.9</v>
      </c>
      <c r="DG53" s="6">
        <v>43</v>
      </c>
    </row>
    <row r="54" spans="1:111" x14ac:dyDescent="0.25">
      <c r="A54" s="78" t="s">
        <v>88</v>
      </c>
      <c r="B54" s="82"/>
      <c r="C54" s="80" t="s">
        <v>94</v>
      </c>
      <c r="D54" s="80" t="s">
        <v>102</v>
      </c>
      <c r="E54" s="32" t="s">
        <v>26</v>
      </c>
      <c r="F54" s="80" t="s">
        <v>95</v>
      </c>
      <c r="G54" s="20" t="s">
        <v>168</v>
      </c>
      <c r="H54" s="130">
        <v>1</v>
      </c>
      <c r="I54" s="30">
        <v>1659.5</v>
      </c>
      <c r="J54" s="13">
        <v>-0.2</v>
      </c>
      <c r="K54" s="14">
        <v>30.9</v>
      </c>
      <c r="L54" s="14">
        <v>12</v>
      </c>
      <c r="M54" s="14">
        <v>1</v>
      </c>
      <c r="N54" s="14">
        <v>7</v>
      </c>
      <c r="O54" s="14">
        <v>20</v>
      </c>
      <c r="P54" s="14">
        <v>1060</v>
      </c>
      <c r="Q54" s="14">
        <v>12</v>
      </c>
      <c r="R54" s="14">
        <v>66</v>
      </c>
      <c r="S54" s="14">
        <v>138.9</v>
      </c>
      <c r="T54" s="14">
        <v>12.1</v>
      </c>
      <c r="U54" s="14">
        <v>16.8</v>
      </c>
      <c r="V54" s="14">
        <v>62208.5</v>
      </c>
      <c r="W54" s="15">
        <v>58</v>
      </c>
      <c r="X54" s="13">
        <v>-7.8</v>
      </c>
      <c r="Y54" s="14">
        <v>11.6</v>
      </c>
      <c r="Z54" s="14">
        <v>2</v>
      </c>
      <c r="AA54" s="14">
        <v>33</v>
      </c>
      <c r="AB54" s="14">
        <v>0</v>
      </c>
      <c r="AC54" s="14">
        <v>22</v>
      </c>
      <c r="AD54" s="14">
        <v>158.69999999999999</v>
      </c>
      <c r="AE54" s="14">
        <v>0</v>
      </c>
      <c r="AF54" s="14">
        <v>13</v>
      </c>
      <c r="AG54" s="14">
        <v>40.1</v>
      </c>
      <c r="AH54" s="14">
        <v>55.76</v>
      </c>
      <c r="AI54" s="14">
        <v>25647.3</v>
      </c>
      <c r="AJ54" s="14">
        <v>59</v>
      </c>
      <c r="AK54" s="15">
        <v>48</v>
      </c>
      <c r="AL54" s="13">
        <v>-4.2</v>
      </c>
      <c r="AM54" s="14">
        <v>17.600000000000001</v>
      </c>
      <c r="AN54" s="14">
        <v>7.5</v>
      </c>
      <c r="AO54" s="14">
        <v>6</v>
      </c>
      <c r="AP54" s="14">
        <v>0</v>
      </c>
      <c r="AQ54" s="14">
        <v>20</v>
      </c>
      <c r="AR54" s="14">
        <v>430</v>
      </c>
      <c r="AS54" s="14">
        <v>0</v>
      </c>
      <c r="AT54" s="14">
        <v>0</v>
      </c>
      <c r="AU54" s="14">
        <v>65</v>
      </c>
      <c r="AV54" s="14">
        <v>90.32</v>
      </c>
      <c r="AW54" s="14">
        <v>29168.3</v>
      </c>
      <c r="AX54" s="15">
        <v>49</v>
      </c>
      <c r="AY54" s="13">
        <v>2.7</v>
      </c>
      <c r="AZ54" s="14">
        <v>23.8</v>
      </c>
      <c r="BA54" s="14">
        <v>11.5</v>
      </c>
      <c r="BB54" s="14">
        <v>0</v>
      </c>
      <c r="BC54" s="14">
        <v>0</v>
      </c>
      <c r="BD54" s="14">
        <v>7</v>
      </c>
      <c r="BE54" s="14">
        <v>242.2</v>
      </c>
      <c r="BF54" s="14">
        <v>0</v>
      </c>
      <c r="BG54" s="14">
        <v>0</v>
      </c>
      <c r="BH54" s="14">
        <v>66.8</v>
      </c>
      <c r="BI54" s="14">
        <v>92.73</v>
      </c>
      <c r="BJ54" s="14">
        <v>33214.300000000003</v>
      </c>
      <c r="BK54" s="14">
        <v>4</v>
      </c>
      <c r="BL54" s="15">
        <v>1.37</v>
      </c>
      <c r="BM54" s="13">
        <v>-0.2</v>
      </c>
      <c r="BN54" s="14">
        <v>20</v>
      </c>
      <c r="BO54" s="14">
        <v>10.1</v>
      </c>
      <c r="BP54" s="14">
        <v>1</v>
      </c>
      <c r="BQ54" s="14">
        <v>0</v>
      </c>
      <c r="BR54" s="14">
        <v>12</v>
      </c>
      <c r="BS54" s="14">
        <v>0</v>
      </c>
      <c r="BT54" s="14">
        <v>23</v>
      </c>
      <c r="BU54" s="14">
        <v>29.6</v>
      </c>
      <c r="BV54" s="14">
        <v>41.16</v>
      </c>
      <c r="BW54" s="14">
        <v>44225.9</v>
      </c>
      <c r="BX54" s="15">
        <v>6</v>
      </c>
      <c r="BY54" s="13">
        <v>7.1</v>
      </c>
      <c r="BZ54" s="14">
        <v>29.3</v>
      </c>
      <c r="CA54" s="14">
        <v>18.100000000000001</v>
      </c>
      <c r="CB54" s="14">
        <v>0</v>
      </c>
      <c r="CC54" s="14">
        <v>6</v>
      </c>
      <c r="CD54" s="14">
        <v>0</v>
      </c>
      <c r="CE54" s="14">
        <v>0</v>
      </c>
      <c r="CF54" s="14">
        <v>10</v>
      </c>
      <c r="CG54" s="14">
        <v>31.5</v>
      </c>
      <c r="CH54" s="14">
        <v>43.73</v>
      </c>
      <c r="CI54" s="14">
        <v>32794</v>
      </c>
      <c r="CJ54" s="15">
        <v>1</v>
      </c>
      <c r="CK54" s="13">
        <v>8.9</v>
      </c>
      <c r="CL54" s="14">
        <v>35</v>
      </c>
      <c r="CM54" s="14">
        <v>20.3</v>
      </c>
      <c r="CN54" s="14">
        <v>0</v>
      </c>
      <c r="CO54" s="14">
        <v>12</v>
      </c>
      <c r="CP54" s="14">
        <v>0</v>
      </c>
      <c r="CQ54" s="14">
        <v>9</v>
      </c>
      <c r="CR54" s="14">
        <v>12</v>
      </c>
      <c r="CS54" s="14">
        <v>4.2</v>
      </c>
      <c r="CT54" s="14">
        <v>5.88</v>
      </c>
      <c r="CU54" s="14">
        <v>47597.1</v>
      </c>
      <c r="CV54" s="15">
        <v>1</v>
      </c>
      <c r="CW54" s="14">
        <v>383.98</v>
      </c>
      <c r="CX54" s="14">
        <v>4.76</v>
      </c>
      <c r="CY54" s="14">
        <v>1.06</v>
      </c>
      <c r="CZ54" s="14">
        <v>67</v>
      </c>
      <c r="DA54" s="14">
        <v>82.4</v>
      </c>
      <c r="DB54" s="148">
        <f t="shared" si="0"/>
        <v>59.323254139668826</v>
      </c>
      <c r="DC54" s="14">
        <v>3.7</v>
      </c>
      <c r="DD54" s="14">
        <v>4.7</v>
      </c>
      <c r="DE54" s="14">
        <v>0</v>
      </c>
      <c r="DF54" s="14">
        <v>23.8</v>
      </c>
      <c r="DG54" s="14">
        <v>27</v>
      </c>
    </row>
    <row r="55" spans="1:111" ht="15.75" thickBot="1" x14ac:dyDescent="0.3">
      <c r="A55" s="79"/>
      <c r="B55" s="83"/>
      <c r="C55" s="81"/>
      <c r="D55" s="81"/>
      <c r="E55" s="33" t="s">
        <v>27</v>
      </c>
      <c r="F55" s="81"/>
      <c r="G55" s="21" t="s">
        <v>164</v>
      </c>
      <c r="H55" s="131"/>
      <c r="I55" s="31">
        <v>1669.6</v>
      </c>
      <c r="J55" s="16">
        <v>-0.2</v>
      </c>
      <c r="K55" s="17">
        <v>30.9</v>
      </c>
      <c r="L55" s="17">
        <v>12</v>
      </c>
      <c r="M55" s="17">
        <v>1</v>
      </c>
      <c r="N55" s="17">
        <v>7</v>
      </c>
      <c r="O55" s="17">
        <v>20</v>
      </c>
      <c r="P55" s="17">
        <v>1060</v>
      </c>
      <c r="Q55" s="17">
        <v>12</v>
      </c>
      <c r="R55" s="17">
        <v>66</v>
      </c>
      <c r="S55" s="17">
        <v>138.9</v>
      </c>
      <c r="T55" s="17">
        <v>12.1</v>
      </c>
      <c r="U55" s="17">
        <v>16.8</v>
      </c>
      <c r="V55" s="17">
        <v>62208.5</v>
      </c>
      <c r="W55" s="18">
        <v>58</v>
      </c>
      <c r="X55" s="16">
        <v>-7.8</v>
      </c>
      <c r="Y55" s="17">
        <v>11.6</v>
      </c>
      <c r="Z55" s="17">
        <v>2</v>
      </c>
      <c r="AA55" s="17">
        <v>33</v>
      </c>
      <c r="AB55" s="17">
        <v>0</v>
      </c>
      <c r="AC55" s="17">
        <v>22</v>
      </c>
      <c r="AD55" s="17">
        <v>158.69999999999999</v>
      </c>
      <c r="AE55" s="17">
        <v>0</v>
      </c>
      <c r="AF55" s="17">
        <v>13</v>
      </c>
      <c r="AG55" s="17">
        <v>40.1</v>
      </c>
      <c r="AH55" s="17">
        <v>55.76</v>
      </c>
      <c r="AI55" s="17">
        <v>25647.3</v>
      </c>
      <c r="AJ55" s="17">
        <v>59</v>
      </c>
      <c r="AK55" s="18">
        <v>48</v>
      </c>
      <c r="AL55" s="16">
        <v>-4.2</v>
      </c>
      <c r="AM55" s="17">
        <v>17.600000000000001</v>
      </c>
      <c r="AN55" s="17">
        <v>7.6</v>
      </c>
      <c r="AO55" s="17">
        <v>6</v>
      </c>
      <c r="AP55" s="17">
        <v>0</v>
      </c>
      <c r="AQ55" s="17">
        <v>20</v>
      </c>
      <c r="AR55" s="17">
        <v>440.8</v>
      </c>
      <c r="AS55" s="17">
        <v>0</v>
      </c>
      <c r="AT55" s="17">
        <v>0</v>
      </c>
      <c r="AU55" s="17">
        <v>65.400000000000006</v>
      </c>
      <c r="AV55" s="17">
        <v>90.81</v>
      </c>
      <c r="AW55" s="17">
        <v>31067.200000000001</v>
      </c>
      <c r="AX55" s="18">
        <v>49</v>
      </c>
      <c r="AY55" s="16">
        <v>2.7</v>
      </c>
      <c r="AZ55" s="17">
        <v>23.8</v>
      </c>
      <c r="BA55" s="17">
        <v>11.5</v>
      </c>
      <c r="BB55" s="17">
        <v>0</v>
      </c>
      <c r="BC55" s="17">
        <v>0</v>
      </c>
      <c r="BD55" s="17">
        <v>7</v>
      </c>
      <c r="BE55" s="17">
        <v>242</v>
      </c>
      <c r="BF55" s="17">
        <v>0</v>
      </c>
      <c r="BG55" s="17">
        <v>0</v>
      </c>
      <c r="BH55" s="17">
        <v>65</v>
      </c>
      <c r="BI55" s="17">
        <v>90.26</v>
      </c>
      <c r="BJ55" s="17">
        <v>31710.9</v>
      </c>
      <c r="BK55" s="17">
        <v>5</v>
      </c>
      <c r="BL55" s="18">
        <v>1.31</v>
      </c>
      <c r="BM55" s="16">
        <v>-0.2</v>
      </c>
      <c r="BN55" s="17">
        <v>22.7</v>
      </c>
      <c r="BO55" s="17">
        <v>10.3</v>
      </c>
      <c r="BP55" s="17">
        <v>1</v>
      </c>
      <c r="BQ55" s="17">
        <v>0</v>
      </c>
      <c r="BR55" s="17">
        <v>12</v>
      </c>
      <c r="BS55" s="17">
        <v>0</v>
      </c>
      <c r="BT55" s="17">
        <v>24</v>
      </c>
      <c r="BU55" s="17">
        <v>29.1</v>
      </c>
      <c r="BV55" s="17">
        <v>40.42</v>
      </c>
      <c r="BW55" s="17">
        <v>45873.3</v>
      </c>
      <c r="BX55" s="18">
        <v>5</v>
      </c>
      <c r="BY55" s="16">
        <v>7.1</v>
      </c>
      <c r="BZ55" s="17">
        <v>29.3</v>
      </c>
      <c r="CA55" s="17">
        <v>18.3</v>
      </c>
      <c r="CB55" s="17">
        <v>0</v>
      </c>
      <c r="CC55" s="17">
        <v>7</v>
      </c>
      <c r="CD55" s="17">
        <v>0</v>
      </c>
      <c r="CE55" s="17">
        <v>0</v>
      </c>
      <c r="CF55" s="17">
        <v>10</v>
      </c>
      <c r="CG55" s="17">
        <v>30.3</v>
      </c>
      <c r="CH55" s="17">
        <v>42.02</v>
      </c>
      <c r="CI55" s="17">
        <v>33164.6</v>
      </c>
      <c r="CJ55" s="18">
        <v>1</v>
      </c>
      <c r="CK55" s="16">
        <v>8.9</v>
      </c>
      <c r="CL55" s="17">
        <v>35</v>
      </c>
      <c r="CM55" s="17">
        <v>20.2</v>
      </c>
      <c r="CN55" s="17">
        <v>0</v>
      </c>
      <c r="CO55" s="17">
        <v>11</v>
      </c>
      <c r="CP55" s="17">
        <v>0</v>
      </c>
      <c r="CQ55" s="17">
        <v>10</v>
      </c>
      <c r="CR55" s="17">
        <v>10</v>
      </c>
      <c r="CS55" s="17">
        <v>3.6</v>
      </c>
      <c r="CT55" s="17">
        <v>5.03</v>
      </c>
      <c r="CU55" s="17">
        <v>45183.6</v>
      </c>
      <c r="CV55" s="18">
        <v>1</v>
      </c>
      <c r="CW55" s="17" t="s">
        <v>193</v>
      </c>
      <c r="CX55" s="17" t="s">
        <v>193</v>
      </c>
      <c r="CY55" s="17" t="s">
        <v>193</v>
      </c>
      <c r="CZ55" s="17">
        <f>45+22+81+29</f>
        <v>177</v>
      </c>
      <c r="DA55" s="17">
        <v>100.63</v>
      </c>
      <c r="DB55" s="149">
        <f t="shared" si="0"/>
        <v>72.447804175665951</v>
      </c>
      <c r="DC55" s="17">
        <v>4</v>
      </c>
      <c r="DD55" s="17">
        <v>5</v>
      </c>
      <c r="DE55" s="17">
        <v>0</v>
      </c>
      <c r="DF55" s="17">
        <v>18.010000000000002</v>
      </c>
      <c r="DG55" s="17">
        <v>27</v>
      </c>
    </row>
    <row r="56" spans="1:111" x14ac:dyDescent="0.25">
      <c r="A56" s="74" t="s">
        <v>89</v>
      </c>
      <c r="B56" s="82"/>
      <c r="C56" s="76" t="s">
        <v>94</v>
      </c>
      <c r="D56" s="76" t="s">
        <v>103</v>
      </c>
      <c r="E56" s="32" t="s">
        <v>26</v>
      </c>
      <c r="F56" s="76" t="s">
        <v>95</v>
      </c>
      <c r="G56" s="19" t="s">
        <v>164</v>
      </c>
      <c r="H56" s="136">
        <v>0</v>
      </c>
      <c r="I56" s="28">
        <v>1417.5</v>
      </c>
      <c r="J56" s="9">
        <v>-0.2</v>
      </c>
      <c r="K56" s="8">
        <v>25.1</v>
      </c>
      <c r="L56" s="8">
        <v>10.1</v>
      </c>
      <c r="M56" s="8">
        <v>1</v>
      </c>
      <c r="N56" s="8">
        <v>1</v>
      </c>
      <c r="O56" s="8">
        <v>20</v>
      </c>
      <c r="P56" s="8">
        <v>799.5</v>
      </c>
      <c r="Q56" s="8">
        <v>0</v>
      </c>
      <c r="R56" s="8">
        <v>63</v>
      </c>
      <c r="S56" s="8">
        <v>138.9</v>
      </c>
      <c r="T56" s="8">
        <v>17.399999999999999</v>
      </c>
      <c r="U56" s="8">
        <v>24.17</v>
      </c>
      <c r="V56" s="8">
        <v>45986.400000000001</v>
      </c>
      <c r="W56" s="10">
        <v>24</v>
      </c>
      <c r="X56" s="9">
        <v>-7.8</v>
      </c>
      <c r="Y56" s="8">
        <v>11.7</v>
      </c>
      <c r="Z56" s="8">
        <v>2.1</v>
      </c>
      <c r="AA56" s="8">
        <v>32</v>
      </c>
      <c r="AB56" s="8">
        <v>0</v>
      </c>
      <c r="AC56" s="8">
        <v>23</v>
      </c>
      <c r="AD56" s="8">
        <v>162.19999999999999</v>
      </c>
      <c r="AE56" s="8">
        <v>0</v>
      </c>
      <c r="AF56" s="8">
        <v>0</v>
      </c>
      <c r="AG56" s="8">
        <v>44.2</v>
      </c>
      <c r="AH56" s="8">
        <v>61.45</v>
      </c>
      <c r="AI56" s="8">
        <v>25649.9</v>
      </c>
      <c r="AJ56" s="8">
        <v>59</v>
      </c>
      <c r="AK56" s="10">
        <v>47</v>
      </c>
      <c r="AL56" s="9">
        <v>-4.0999999999999996</v>
      </c>
      <c r="AM56" s="8">
        <v>17.7</v>
      </c>
      <c r="AN56" s="8">
        <v>7.7</v>
      </c>
      <c r="AO56" s="8">
        <v>6</v>
      </c>
      <c r="AP56" s="8">
        <v>0</v>
      </c>
      <c r="AQ56" s="8">
        <v>19</v>
      </c>
      <c r="AR56" s="8">
        <v>445.7</v>
      </c>
      <c r="AS56" s="8">
        <v>0</v>
      </c>
      <c r="AT56" s="8">
        <v>0</v>
      </c>
      <c r="AU56" s="8">
        <v>69</v>
      </c>
      <c r="AV56" s="8">
        <v>95.82</v>
      </c>
      <c r="AW56" s="8">
        <v>31075</v>
      </c>
      <c r="AX56" s="10">
        <v>49</v>
      </c>
      <c r="AY56" s="9">
        <v>2.9</v>
      </c>
      <c r="AZ56" s="8">
        <v>23.8</v>
      </c>
      <c r="BA56" s="8">
        <v>11.6</v>
      </c>
      <c r="BB56" s="8">
        <v>0</v>
      </c>
      <c r="BC56" s="8">
        <v>0</v>
      </c>
      <c r="BD56" s="8">
        <v>7</v>
      </c>
      <c r="BE56" s="8">
        <v>243.4</v>
      </c>
      <c r="BF56" s="8">
        <v>0</v>
      </c>
      <c r="BG56" s="8">
        <v>0</v>
      </c>
      <c r="BH56" s="8">
        <v>68.3</v>
      </c>
      <c r="BI56" s="8">
        <v>94.84</v>
      </c>
      <c r="BJ56" s="8">
        <v>31721.3</v>
      </c>
      <c r="BK56" s="8">
        <v>5</v>
      </c>
      <c r="BL56" s="10">
        <v>1.3</v>
      </c>
      <c r="BM56" s="9">
        <v>-0.1</v>
      </c>
      <c r="BN56" s="8">
        <v>22.9</v>
      </c>
      <c r="BO56" s="8">
        <v>10.4</v>
      </c>
      <c r="BP56" s="8">
        <v>1</v>
      </c>
      <c r="BQ56" s="8">
        <v>0</v>
      </c>
      <c r="BR56" s="8">
        <v>12</v>
      </c>
      <c r="BS56" s="8">
        <v>0</v>
      </c>
      <c r="BT56" s="8">
        <v>18</v>
      </c>
      <c r="BU56" s="8">
        <v>32.299999999999997</v>
      </c>
      <c r="BV56" s="8">
        <v>44.82</v>
      </c>
      <c r="BW56" s="8">
        <v>45891.3</v>
      </c>
      <c r="BX56" s="10">
        <v>5</v>
      </c>
      <c r="BY56" s="9">
        <v>7.2</v>
      </c>
      <c r="BZ56" s="8">
        <v>29.3</v>
      </c>
      <c r="CA56" s="8">
        <v>18.3</v>
      </c>
      <c r="CB56" s="8">
        <v>0</v>
      </c>
      <c r="CC56" s="8">
        <v>7</v>
      </c>
      <c r="CD56" s="8">
        <v>0</v>
      </c>
      <c r="CE56" s="8">
        <v>0</v>
      </c>
      <c r="CF56" s="8">
        <v>9</v>
      </c>
      <c r="CG56" s="8">
        <v>33.299999999999997</v>
      </c>
      <c r="CH56" s="8">
        <v>46.24</v>
      </c>
      <c r="CI56" s="8">
        <v>33179</v>
      </c>
      <c r="CJ56" s="10">
        <v>1</v>
      </c>
      <c r="CK56" s="9">
        <v>8.9</v>
      </c>
      <c r="CL56" s="8">
        <v>35.1</v>
      </c>
      <c r="CM56" s="8">
        <v>20.3</v>
      </c>
      <c r="CN56" s="8">
        <v>0</v>
      </c>
      <c r="CO56" s="8">
        <v>11</v>
      </c>
      <c r="CP56" s="8">
        <v>0</v>
      </c>
      <c r="CQ56" s="8">
        <v>7</v>
      </c>
      <c r="CR56" s="8">
        <v>13</v>
      </c>
      <c r="CS56" s="8">
        <v>6</v>
      </c>
      <c r="CT56" s="8">
        <v>8.3000000000000007</v>
      </c>
      <c r="CU56" s="8">
        <v>45196.7</v>
      </c>
      <c r="CV56" s="10">
        <v>1</v>
      </c>
      <c r="CW56" s="8" t="s">
        <v>193</v>
      </c>
      <c r="CX56" s="8" t="s">
        <v>193</v>
      </c>
      <c r="CY56" s="8" t="s">
        <v>193</v>
      </c>
      <c r="CZ56" s="8">
        <v>0</v>
      </c>
      <c r="DA56" s="8">
        <v>0</v>
      </c>
      <c r="DB56" s="8">
        <f t="shared" si="0"/>
        <v>0</v>
      </c>
      <c r="DC56" s="8">
        <v>0</v>
      </c>
      <c r="DD56" s="8">
        <v>0</v>
      </c>
      <c r="DE56" s="8">
        <v>0</v>
      </c>
      <c r="DF56" s="8">
        <v>0</v>
      </c>
      <c r="DG56" s="8">
        <v>89</v>
      </c>
    </row>
    <row r="57" spans="1:111" ht="15.75" thickBot="1" x14ac:dyDescent="0.3">
      <c r="A57" s="75"/>
      <c r="B57" s="83"/>
      <c r="C57" s="77"/>
      <c r="D57" s="77"/>
      <c r="E57" s="33" t="s">
        <v>27</v>
      </c>
      <c r="F57" s="77"/>
      <c r="G57" s="22" t="s">
        <v>164</v>
      </c>
      <c r="H57" s="137"/>
      <c r="I57" s="29">
        <v>1417.5</v>
      </c>
      <c r="J57" s="5">
        <v>-0.2</v>
      </c>
      <c r="K57" s="6">
        <v>25.1</v>
      </c>
      <c r="L57" s="6">
        <v>10.1</v>
      </c>
      <c r="M57" s="6">
        <v>1</v>
      </c>
      <c r="N57" s="6">
        <v>1</v>
      </c>
      <c r="O57" s="6">
        <v>20</v>
      </c>
      <c r="P57" s="6">
        <v>799.5</v>
      </c>
      <c r="Q57" s="6">
        <v>0</v>
      </c>
      <c r="R57" s="6">
        <v>63</v>
      </c>
      <c r="S57" s="6">
        <v>138.9</v>
      </c>
      <c r="T57" s="6">
        <v>17.399999999999999</v>
      </c>
      <c r="U57" s="6">
        <v>24.17</v>
      </c>
      <c r="V57" s="6">
        <v>45986.400000000001</v>
      </c>
      <c r="W57" s="7">
        <v>24</v>
      </c>
      <c r="X57" s="5">
        <v>-7.8</v>
      </c>
      <c r="Y57" s="6">
        <v>11.7</v>
      </c>
      <c r="Z57" s="6">
        <v>2.1</v>
      </c>
      <c r="AA57" s="6">
        <v>32</v>
      </c>
      <c r="AB57" s="6">
        <v>0</v>
      </c>
      <c r="AC57" s="6">
        <v>23</v>
      </c>
      <c r="AD57" s="6">
        <v>162.19999999999999</v>
      </c>
      <c r="AE57" s="6">
        <v>0</v>
      </c>
      <c r="AF57" s="6">
        <v>0</v>
      </c>
      <c r="AG57" s="6">
        <v>44.2</v>
      </c>
      <c r="AH57" s="6">
        <v>61.45</v>
      </c>
      <c r="AI57" s="6">
        <v>25649.9</v>
      </c>
      <c r="AJ57" s="6">
        <v>59</v>
      </c>
      <c r="AK57" s="7">
        <v>47</v>
      </c>
      <c r="AL57" s="5">
        <v>-4.0999999999999996</v>
      </c>
      <c r="AM57" s="6">
        <v>17.7</v>
      </c>
      <c r="AN57" s="6">
        <v>7.7</v>
      </c>
      <c r="AO57" s="6">
        <v>6</v>
      </c>
      <c r="AP57" s="6">
        <v>0</v>
      </c>
      <c r="AQ57" s="6">
        <v>19</v>
      </c>
      <c r="AR57" s="6">
        <v>445.7</v>
      </c>
      <c r="AS57" s="6">
        <v>0</v>
      </c>
      <c r="AT57" s="6">
        <v>0</v>
      </c>
      <c r="AU57" s="6">
        <v>69</v>
      </c>
      <c r="AV57" s="6">
        <v>95.82</v>
      </c>
      <c r="AW57" s="6">
        <v>31075</v>
      </c>
      <c r="AX57" s="7">
        <v>49</v>
      </c>
      <c r="AY57" s="5">
        <v>2.9</v>
      </c>
      <c r="AZ57" s="6">
        <v>23.8</v>
      </c>
      <c r="BA57" s="6">
        <v>11.6</v>
      </c>
      <c r="BB57" s="6">
        <v>0</v>
      </c>
      <c r="BC57" s="6">
        <v>0</v>
      </c>
      <c r="BD57" s="6">
        <v>7</v>
      </c>
      <c r="BE57" s="6">
        <v>243.4</v>
      </c>
      <c r="BF57" s="6">
        <v>0</v>
      </c>
      <c r="BG57" s="6">
        <v>0</v>
      </c>
      <c r="BH57" s="6">
        <v>68.3</v>
      </c>
      <c r="BI57" s="6">
        <v>94.84</v>
      </c>
      <c r="BJ57" s="6">
        <v>31721.3</v>
      </c>
      <c r="BK57" s="6">
        <v>5</v>
      </c>
      <c r="BL57" s="7">
        <v>1.3</v>
      </c>
      <c r="BM57" s="5">
        <v>-0.1</v>
      </c>
      <c r="BN57" s="6">
        <v>22.9</v>
      </c>
      <c r="BO57" s="6">
        <v>10.4</v>
      </c>
      <c r="BP57" s="6">
        <v>1</v>
      </c>
      <c r="BQ57" s="6">
        <v>0</v>
      </c>
      <c r="BR57" s="6">
        <v>12</v>
      </c>
      <c r="BS57" s="6">
        <v>0</v>
      </c>
      <c r="BT57" s="6">
        <v>18</v>
      </c>
      <c r="BU57" s="6">
        <v>32.299999999999997</v>
      </c>
      <c r="BV57" s="6">
        <v>44.82</v>
      </c>
      <c r="BW57" s="6">
        <v>45891.3</v>
      </c>
      <c r="BX57" s="7">
        <v>5</v>
      </c>
      <c r="BY57" s="5">
        <v>7.2</v>
      </c>
      <c r="BZ57" s="6">
        <v>29.3</v>
      </c>
      <c r="CA57" s="6">
        <v>18.3</v>
      </c>
      <c r="CB57" s="6">
        <v>0</v>
      </c>
      <c r="CC57" s="6">
        <v>7</v>
      </c>
      <c r="CD57" s="6">
        <v>0</v>
      </c>
      <c r="CE57" s="6">
        <v>0</v>
      </c>
      <c r="CF57" s="6">
        <v>9</v>
      </c>
      <c r="CG57" s="6">
        <v>33.299999999999997</v>
      </c>
      <c r="CH57" s="6">
        <v>46.24</v>
      </c>
      <c r="CI57" s="6">
        <v>33179</v>
      </c>
      <c r="CJ57" s="7">
        <v>1</v>
      </c>
      <c r="CK57" s="5">
        <v>8.9</v>
      </c>
      <c r="CL57" s="6">
        <v>35.1</v>
      </c>
      <c r="CM57" s="6">
        <v>20.3</v>
      </c>
      <c r="CN57" s="6">
        <v>0</v>
      </c>
      <c r="CO57" s="6">
        <v>11</v>
      </c>
      <c r="CP57" s="6">
        <v>0</v>
      </c>
      <c r="CQ57" s="6">
        <v>7</v>
      </c>
      <c r="CR57" s="6">
        <v>13</v>
      </c>
      <c r="CS57" s="6">
        <v>6</v>
      </c>
      <c r="CT57" s="6">
        <v>8.3000000000000007</v>
      </c>
      <c r="CU57" s="6">
        <v>45196.7</v>
      </c>
      <c r="CV57" s="7">
        <v>1</v>
      </c>
      <c r="CW57" s="6" t="s">
        <v>193</v>
      </c>
      <c r="CX57" s="6" t="s">
        <v>193</v>
      </c>
      <c r="CY57" s="6" t="s">
        <v>193</v>
      </c>
      <c r="CZ57" s="6">
        <f>21+31</f>
        <v>52</v>
      </c>
      <c r="DA57" s="6">
        <v>117.47</v>
      </c>
      <c r="DB57" s="147">
        <f t="shared" si="0"/>
        <v>84.571634269258453</v>
      </c>
      <c r="DC57" s="6">
        <v>4</v>
      </c>
      <c r="DD57" s="6">
        <v>6</v>
      </c>
      <c r="DE57" s="6">
        <v>0</v>
      </c>
      <c r="DF57" s="6">
        <v>12.2</v>
      </c>
      <c r="DG57" s="6">
        <v>89</v>
      </c>
    </row>
    <row r="58" spans="1:111" x14ac:dyDescent="0.25">
      <c r="A58" s="78" t="s">
        <v>90</v>
      </c>
      <c r="B58" s="82"/>
      <c r="C58" s="80" t="s">
        <v>94</v>
      </c>
      <c r="D58" s="80" t="s">
        <v>104</v>
      </c>
      <c r="E58" s="32" t="s">
        <v>26</v>
      </c>
      <c r="F58" s="80" t="s">
        <v>95</v>
      </c>
      <c r="G58" s="20" t="s">
        <v>166</v>
      </c>
      <c r="H58" s="130">
        <v>1</v>
      </c>
      <c r="I58" s="30">
        <v>1658.3</v>
      </c>
      <c r="J58" s="13">
        <v>-1.3</v>
      </c>
      <c r="K58" s="14">
        <v>31.5</v>
      </c>
      <c r="L58" s="14">
        <v>11.5</v>
      </c>
      <c r="M58" s="14">
        <v>1</v>
      </c>
      <c r="N58" s="14">
        <v>6</v>
      </c>
      <c r="O58" s="14">
        <v>14</v>
      </c>
      <c r="P58" s="14">
        <v>946.6</v>
      </c>
      <c r="Q58" s="14">
        <v>8</v>
      </c>
      <c r="R58" s="14">
        <v>48</v>
      </c>
      <c r="S58" s="14">
        <v>153.6</v>
      </c>
      <c r="T58" s="14">
        <v>26.9</v>
      </c>
      <c r="U58" s="14">
        <v>41.26</v>
      </c>
      <c r="V58" s="14">
        <v>57852.2</v>
      </c>
      <c r="W58" s="15">
        <v>56</v>
      </c>
      <c r="X58" s="13">
        <v>-5.7</v>
      </c>
      <c r="Y58" s="14">
        <v>12.2</v>
      </c>
      <c r="Z58" s="14">
        <v>3.3</v>
      </c>
      <c r="AA58" s="14">
        <v>29</v>
      </c>
      <c r="AB58" s="14">
        <v>0</v>
      </c>
      <c r="AC58" s="14">
        <v>35</v>
      </c>
      <c r="AD58" s="14">
        <v>277.89999999999998</v>
      </c>
      <c r="AE58" s="14">
        <v>0</v>
      </c>
      <c r="AF58" s="14">
        <v>0</v>
      </c>
      <c r="AG58" s="14">
        <v>85.3</v>
      </c>
      <c r="AH58" s="14">
        <v>131.08000000000001</v>
      </c>
      <c r="AI58" s="14">
        <v>26464.1</v>
      </c>
      <c r="AJ58" s="14">
        <v>77</v>
      </c>
      <c r="AK58" s="15">
        <v>42</v>
      </c>
      <c r="AL58" s="13">
        <v>0.6</v>
      </c>
      <c r="AM58" s="14">
        <v>21.2</v>
      </c>
      <c r="AN58" s="14">
        <v>9</v>
      </c>
      <c r="AO58" s="14">
        <v>0</v>
      </c>
      <c r="AP58" s="14">
        <v>0</v>
      </c>
      <c r="AQ58" s="14">
        <v>20</v>
      </c>
      <c r="AR58" s="14">
        <v>422.3</v>
      </c>
      <c r="AS58" s="14">
        <v>0</v>
      </c>
      <c r="AT58" s="14">
        <v>0</v>
      </c>
      <c r="AU58" s="14">
        <v>94.6</v>
      </c>
      <c r="AV58" s="14">
        <v>145.27000000000001</v>
      </c>
      <c r="AW58" s="14">
        <v>34849.4</v>
      </c>
      <c r="AX58" s="15">
        <v>33</v>
      </c>
      <c r="AY58" s="13">
        <v>-0.1</v>
      </c>
      <c r="AZ58" s="14">
        <v>20.8</v>
      </c>
      <c r="BA58" s="14">
        <v>9.9</v>
      </c>
      <c r="BB58" s="14">
        <v>1</v>
      </c>
      <c r="BC58" s="14">
        <v>0</v>
      </c>
      <c r="BD58" s="14">
        <v>7</v>
      </c>
      <c r="BE58" s="14">
        <v>207.1</v>
      </c>
      <c r="BF58" s="14">
        <v>0</v>
      </c>
      <c r="BG58" s="14">
        <v>0</v>
      </c>
      <c r="BH58" s="14">
        <v>60.9</v>
      </c>
      <c r="BI58" s="14">
        <v>93.59</v>
      </c>
      <c r="BJ58" s="14">
        <v>26063.5</v>
      </c>
      <c r="BK58" s="14">
        <v>8</v>
      </c>
      <c r="BL58" s="15">
        <v>1.26</v>
      </c>
      <c r="BM58" s="13">
        <v>2.9</v>
      </c>
      <c r="BN58" s="14">
        <v>28.1</v>
      </c>
      <c r="BO58" s="14">
        <v>12</v>
      </c>
      <c r="BP58" s="14">
        <v>0</v>
      </c>
      <c r="BQ58" s="14">
        <v>2</v>
      </c>
      <c r="BR58" s="14">
        <v>5</v>
      </c>
      <c r="BS58" s="14">
        <v>0</v>
      </c>
      <c r="BT58" s="14">
        <v>10</v>
      </c>
      <c r="BU58" s="14">
        <v>32.700000000000003</v>
      </c>
      <c r="BV58" s="14">
        <v>50.26</v>
      </c>
      <c r="BW58" s="14">
        <v>38364.199999999997</v>
      </c>
      <c r="BX58" s="15">
        <v>7</v>
      </c>
      <c r="BY58" s="13">
        <v>10.1</v>
      </c>
      <c r="BZ58" s="14">
        <v>29.9</v>
      </c>
      <c r="CA58" s="14">
        <v>18.600000000000001</v>
      </c>
      <c r="CB58" s="14">
        <v>0</v>
      </c>
      <c r="CC58" s="14">
        <v>6</v>
      </c>
      <c r="CD58" s="14">
        <v>0</v>
      </c>
      <c r="CE58" s="14">
        <v>8</v>
      </c>
      <c r="CF58" s="14">
        <v>9</v>
      </c>
      <c r="CG58" s="14">
        <v>8</v>
      </c>
      <c r="CH58" s="14">
        <v>12.32</v>
      </c>
      <c r="CI58" s="14">
        <v>35570.9</v>
      </c>
      <c r="CJ58" s="15">
        <v>1</v>
      </c>
      <c r="CK58" s="13">
        <v>11.2</v>
      </c>
      <c r="CL58" s="14">
        <v>32.9</v>
      </c>
      <c r="CM58" s="14">
        <v>19.8</v>
      </c>
      <c r="CN58" s="14">
        <v>0</v>
      </c>
      <c r="CO58" s="14">
        <v>10</v>
      </c>
      <c r="CP58" s="14">
        <v>0</v>
      </c>
      <c r="CQ58" s="14">
        <v>17</v>
      </c>
      <c r="CR58" s="14">
        <v>4</v>
      </c>
      <c r="CS58" s="14">
        <v>0.4</v>
      </c>
      <c r="CT58" s="14">
        <v>0.61</v>
      </c>
      <c r="CU58" s="14">
        <v>43237.5</v>
      </c>
      <c r="CV58" s="15">
        <v>2</v>
      </c>
      <c r="CW58" s="14">
        <v>224.22</v>
      </c>
      <c r="CX58" s="14">
        <v>3.58</v>
      </c>
      <c r="CY58" s="14">
        <v>0.57999999999999996</v>
      </c>
      <c r="CZ58" s="14">
        <v>0</v>
      </c>
      <c r="DA58" s="14">
        <v>0</v>
      </c>
      <c r="DB58" s="14">
        <f t="shared" si="0"/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46</v>
      </c>
    </row>
    <row r="59" spans="1:111" ht="15.75" thickBot="1" x14ac:dyDescent="0.3">
      <c r="A59" s="79"/>
      <c r="B59" s="83"/>
      <c r="C59" s="81"/>
      <c r="D59" s="81"/>
      <c r="E59" s="33" t="s">
        <v>27</v>
      </c>
      <c r="F59" s="81"/>
      <c r="G59" s="21" t="s">
        <v>169</v>
      </c>
      <c r="H59" s="131"/>
      <c r="I59" s="31">
        <v>1668.7</v>
      </c>
      <c r="J59" s="16">
        <v>-1.3</v>
      </c>
      <c r="K59" s="17">
        <v>31.5</v>
      </c>
      <c r="L59" s="17">
        <v>11.5</v>
      </c>
      <c r="M59" s="17">
        <v>1</v>
      </c>
      <c r="N59" s="17">
        <v>6</v>
      </c>
      <c r="O59" s="17">
        <v>14</v>
      </c>
      <c r="P59" s="17">
        <v>946.6</v>
      </c>
      <c r="Q59" s="17">
        <v>8</v>
      </c>
      <c r="R59" s="17">
        <v>48</v>
      </c>
      <c r="S59" s="17">
        <v>153.6</v>
      </c>
      <c r="T59" s="17">
        <v>26.9</v>
      </c>
      <c r="U59" s="17">
        <v>41.26</v>
      </c>
      <c r="V59" s="17">
        <v>57852.2</v>
      </c>
      <c r="W59" s="18">
        <v>56</v>
      </c>
      <c r="X59" s="16">
        <v>-5.7</v>
      </c>
      <c r="Y59" s="17">
        <v>12.2</v>
      </c>
      <c r="Z59" s="17">
        <v>3.3</v>
      </c>
      <c r="AA59" s="17">
        <v>29</v>
      </c>
      <c r="AB59" s="17">
        <v>0</v>
      </c>
      <c r="AC59" s="17">
        <v>35</v>
      </c>
      <c r="AD59" s="17">
        <v>277.89999999999998</v>
      </c>
      <c r="AE59" s="17">
        <v>0</v>
      </c>
      <c r="AF59" s="17">
        <v>0</v>
      </c>
      <c r="AG59" s="17">
        <v>85.3</v>
      </c>
      <c r="AH59" s="17">
        <v>131.08000000000001</v>
      </c>
      <c r="AI59" s="17">
        <v>26464.1</v>
      </c>
      <c r="AJ59" s="17">
        <v>77</v>
      </c>
      <c r="AK59" s="18">
        <v>42</v>
      </c>
      <c r="AL59" s="16">
        <v>0.6</v>
      </c>
      <c r="AM59" s="17">
        <v>21.2</v>
      </c>
      <c r="AN59" s="17">
        <v>9</v>
      </c>
      <c r="AO59" s="17">
        <v>0</v>
      </c>
      <c r="AP59" s="17">
        <v>0</v>
      </c>
      <c r="AQ59" s="17">
        <v>20</v>
      </c>
      <c r="AR59" s="17">
        <v>433.8</v>
      </c>
      <c r="AS59" s="17">
        <v>0</v>
      </c>
      <c r="AT59" s="17">
        <v>0</v>
      </c>
      <c r="AU59" s="17">
        <v>94.2</v>
      </c>
      <c r="AV59" s="17">
        <v>144.69</v>
      </c>
      <c r="AW59" s="17">
        <v>35662.6</v>
      </c>
      <c r="AX59" s="18">
        <v>34</v>
      </c>
      <c r="AY59" s="16">
        <v>-0.1</v>
      </c>
      <c r="AZ59" s="17">
        <v>20.8</v>
      </c>
      <c r="BA59" s="17">
        <v>9.8000000000000007</v>
      </c>
      <c r="BB59" s="17">
        <v>1</v>
      </c>
      <c r="BC59" s="17">
        <v>0</v>
      </c>
      <c r="BD59" s="17">
        <v>7</v>
      </c>
      <c r="BE59" s="17">
        <v>205.5</v>
      </c>
      <c r="BF59" s="17">
        <v>0</v>
      </c>
      <c r="BG59" s="17">
        <v>0</v>
      </c>
      <c r="BH59" s="17">
        <v>59.6</v>
      </c>
      <c r="BI59" s="17">
        <v>91.52</v>
      </c>
      <c r="BJ59" s="17">
        <v>26410.1</v>
      </c>
      <c r="BK59" s="17">
        <v>7</v>
      </c>
      <c r="BL59" s="18">
        <v>1.29</v>
      </c>
      <c r="BM59" s="16">
        <v>2.9</v>
      </c>
      <c r="BN59" s="17">
        <v>28.1</v>
      </c>
      <c r="BO59" s="17">
        <v>12</v>
      </c>
      <c r="BP59" s="17">
        <v>0</v>
      </c>
      <c r="BQ59" s="17">
        <v>2</v>
      </c>
      <c r="BR59" s="17">
        <v>5</v>
      </c>
      <c r="BS59" s="17">
        <v>0</v>
      </c>
      <c r="BT59" s="17">
        <v>10</v>
      </c>
      <c r="BU59" s="17">
        <v>32.299999999999997</v>
      </c>
      <c r="BV59" s="17">
        <v>49.55</v>
      </c>
      <c r="BW59" s="17">
        <v>37204.400000000001</v>
      </c>
      <c r="BX59" s="18">
        <v>7</v>
      </c>
      <c r="BY59" s="16">
        <v>10.1</v>
      </c>
      <c r="BZ59" s="17">
        <v>29.9</v>
      </c>
      <c r="CA59" s="17">
        <v>18.600000000000001</v>
      </c>
      <c r="CB59" s="17">
        <v>0</v>
      </c>
      <c r="CC59" s="17">
        <v>6</v>
      </c>
      <c r="CD59" s="17">
        <v>0</v>
      </c>
      <c r="CE59" s="17">
        <v>8</v>
      </c>
      <c r="CF59" s="17">
        <v>9</v>
      </c>
      <c r="CG59" s="17">
        <v>8.1</v>
      </c>
      <c r="CH59" s="17">
        <v>12.38</v>
      </c>
      <c r="CI59" s="17">
        <v>35570.9</v>
      </c>
      <c r="CJ59" s="18">
        <v>1</v>
      </c>
      <c r="CK59" s="16">
        <v>11.2</v>
      </c>
      <c r="CL59" s="17">
        <v>32.9</v>
      </c>
      <c r="CM59" s="17">
        <v>19.8</v>
      </c>
      <c r="CN59" s="17">
        <v>0</v>
      </c>
      <c r="CO59" s="17">
        <v>10</v>
      </c>
      <c r="CP59" s="17">
        <v>0</v>
      </c>
      <c r="CQ59" s="17">
        <v>17</v>
      </c>
      <c r="CR59" s="17">
        <v>4</v>
      </c>
      <c r="CS59" s="17">
        <v>0.4</v>
      </c>
      <c r="CT59" s="17">
        <v>0.61</v>
      </c>
      <c r="CU59" s="17">
        <v>43237.5</v>
      </c>
      <c r="CV59" s="18">
        <v>2</v>
      </c>
      <c r="CW59" s="17">
        <v>407.53</v>
      </c>
      <c r="CX59" s="17">
        <v>5.25</v>
      </c>
      <c r="CY59" s="17">
        <v>0.89</v>
      </c>
      <c r="CZ59" s="17">
        <v>120</v>
      </c>
      <c r="DA59" s="17">
        <v>136.78</v>
      </c>
      <c r="DB59" s="149">
        <f t="shared" si="0"/>
        <v>89.049479166666671</v>
      </c>
      <c r="DC59" s="17">
        <v>4</v>
      </c>
      <c r="DD59" s="17">
        <v>5.7</v>
      </c>
      <c r="DE59" s="17">
        <v>1</v>
      </c>
      <c r="DF59" s="17">
        <v>11.1</v>
      </c>
      <c r="DG59" s="17">
        <v>46</v>
      </c>
    </row>
    <row r="60" spans="1:111" x14ac:dyDescent="0.25">
      <c r="A60" s="74" t="s">
        <v>91</v>
      </c>
      <c r="B60" s="82"/>
      <c r="C60" s="76" t="s">
        <v>94</v>
      </c>
      <c r="D60" s="76" t="s">
        <v>105</v>
      </c>
      <c r="E60" s="32" t="s">
        <v>26</v>
      </c>
      <c r="F60" s="76" t="s">
        <v>95</v>
      </c>
      <c r="G60" s="19" t="s">
        <v>170</v>
      </c>
      <c r="H60" s="132">
        <v>1</v>
      </c>
      <c r="I60" s="28">
        <v>1712</v>
      </c>
      <c r="J60" s="9">
        <v>-1.3</v>
      </c>
      <c r="K60" s="8">
        <v>31.5</v>
      </c>
      <c r="L60" s="8">
        <v>12</v>
      </c>
      <c r="M60" s="8">
        <v>1</v>
      </c>
      <c r="N60" s="8">
        <v>7</v>
      </c>
      <c r="O60" s="8">
        <v>14</v>
      </c>
      <c r="P60" s="8">
        <v>1040.3</v>
      </c>
      <c r="Q60" s="8">
        <v>4</v>
      </c>
      <c r="R60" s="8">
        <v>64</v>
      </c>
      <c r="S60" s="8">
        <v>153.6</v>
      </c>
      <c r="T60" s="8">
        <v>23.4</v>
      </c>
      <c r="U60" s="8">
        <v>35.950000000000003</v>
      </c>
      <c r="V60" s="8">
        <v>61458.1</v>
      </c>
      <c r="W60" s="10">
        <v>59</v>
      </c>
      <c r="X60" s="9">
        <v>-5.7</v>
      </c>
      <c r="Y60" s="8">
        <v>12.2</v>
      </c>
      <c r="Z60" s="8">
        <v>3.3</v>
      </c>
      <c r="AA60" s="8">
        <v>29</v>
      </c>
      <c r="AB60" s="8">
        <v>0</v>
      </c>
      <c r="AC60" s="8">
        <v>35</v>
      </c>
      <c r="AD60" s="8">
        <v>277.89999999999998</v>
      </c>
      <c r="AE60" s="8">
        <v>0</v>
      </c>
      <c r="AF60" s="8">
        <v>0</v>
      </c>
      <c r="AG60" s="8">
        <v>82.4</v>
      </c>
      <c r="AH60" s="8">
        <v>126.53</v>
      </c>
      <c r="AI60" s="8">
        <v>26464.1</v>
      </c>
      <c r="AJ60" s="8">
        <v>77</v>
      </c>
      <c r="AK60" s="10">
        <v>42</v>
      </c>
      <c r="AL60" s="9">
        <v>0.6</v>
      </c>
      <c r="AM60" s="8">
        <v>19.5</v>
      </c>
      <c r="AN60" s="8">
        <v>8.6999999999999993</v>
      </c>
      <c r="AO60" s="8">
        <v>0</v>
      </c>
      <c r="AP60" s="8">
        <v>0</v>
      </c>
      <c r="AQ60" s="8">
        <v>20</v>
      </c>
      <c r="AR60" s="8">
        <v>380.6</v>
      </c>
      <c r="AS60" s="8">
        <v>0</v>
      </c>
      <c r="AT60" s="8">
        <v>0</v>
      </c>
      <c r="AU60" s="8">
        <v>95.7</v>
      </c>
      <c r="AV60" s="8">
        <v>146.99</v>
      </c>
      <c r="AW60" s="8">
        <v>31611.9</v>
      </c>
      <c r="AX60" s="10">
        <v>32</v>
      </c>
      <c r="AY60" s="9">
        <v>1.6</v>
      </c>
      <c r="AZ60" s="8">
        <v>21.2</v>
      </c>
      <c r="BA60" s="8">
        <v>10.7</v>
      </c>
      <c r="BB60" s="8">
        <v>0</v>
      </c>
      <c r="BC60" s="8">
        <v>0</v>
      </c>
      <c r="BD60" s="8">
        <v>6</v>
      </c>
      <c r="BE60" s="8">
        <v>224.3</v>
      </c>
      <c r="BF60" s="8">
        <v>0</v>
      </c>
      <c r="BG60" s="8">
        <v>0</v>
      </c>
      <c r="BH60" s="8">
        <v>64.8</v>
      </c>
      <c r="BI60" s="8">
        <v>99.57</v>
      </c>
      <c r="BJ60" s="8">
        <v>24239.1</v>
      </c>
      <c r="BK60" s="8">
        <v>8</v>
      </c>
      <c r="BL60" s="10">
        <v>1.08</v>
      </c>
      <c r="BM60" s="9">
        <v>-0.1</v>
      </c>
      <c r="BN60" s="8">
        <v>25.6</v>
      </c>
      <c r="BO60" s="8">
        <v>11.2</v>
      </c>
      <c r="BP60" s="8">
        <v>1</v>
      </c>
      <c r="BQ60" s="8">
        <v>1</v>
      </c>
      <c r="BR60" s="8">
        <v>6</v>
      </c>
      <c r="BS60" s="8">
        <v>0</v>
      </c>
      <c r="BT60" s="8">
        <v>10</v>
      </c>
      <c r="BU60" s="8">
        <v>34.9</v>
      </c>
      <c r="BV60" s="8">
        <v>53.6</v>
      </c>
      <c r="BW60" s="8">
        <v>41425.5</v>
      </c>
      <c r="BX60" s="10">
        <v>8</v>
      </c>
      <c r="BY60" s="9">
        <v>10.1</v>
      </c>
      <c r="BZ60" s="8">
        <v>29.9</v>
      </c>
      <c r="CA60" s="8">
        <v>18.899999999999999</v>
      </c>
      <c r="CB60" s="8">
        <v>0</v>
      </c>
      <c r="CC60" s="8">
        <v>7</v>
      </c>
      <c r="CD60" s="8">
        <v>0</v>
      </c>
      <c r="CE60" s="8">
        <v>7</v>
      </c>
      <c r="CF60" s="8">
        <v>10</v>
      </c>
      <c r="CG60" s="8">
        <v>8.9</v>
      </c>
      <c r="CH60" s="8">
        <v>13.63</v>
      </c>
      <c r="CI60" s="8">
        <v>35369.4</v>
      </c>
      <c r="CJ60" s="10">
        <v>1</v>
      </c>
      <c r="CK60" s="9">
        <v>11.2</v>
      </c>
      <c r="CL60" s="8">
        <v>32.9</v>
      </c>
      <c r="CM60" s="8">
        <v>19.8</v>
      </c>
      <c r="CN60" s="8">
        <v>0</v>
      </c>
      <c r="CO60" s="8">
        <v>10</v>
      </c>
      <c r="CP60" s="8">
        <v>0</v>
      </c>
      <c r="CQ60" s="8">
        <v>16</v>
      </c>
      <c r="CR60" s="8">
        <v>5</v>
      </c>
      <c r="CS60" s="8">
        <v>0.4</v>
      </c>
      <c r="CT60" s="8">
        <v>0.64</v>
      </c>
      <c r="CU60" s="8">
        <v>44800</v>
      </c>
      <c r="CV60" s="10">
        <v>1</v>
      </c>
      <c r="CW60" s="8">
        <v>337.92</v>
      </c>
      <c r="CX60" s="8">
        <v>4.4800000000000004</v>
      </c>
      <c r="CY60" s="8">
        <v>0.71</v>
      </c>
      <c r="CZ60" s="8">
        <v>0</v>
      </c>
      <c r="DA60" s="8">
        <v>0</v>
      </c>
      <c r="DB60" s="8">
        <f t="shared" si="0"/>
        <v>0</v>
      </c>
      <c r="DC60" s="8">
        <v>0</v>
      </c>
      <c r="DD60" s="8">
        <v>0</v>
      </c>
      <c r="DE60" s="8">
        <v>0</v>
      </c>
      <c r="DF60" s="8">
        <v>0</v>
      </c>
      <c r="DG60" s="8">
        <v>26</v>
      </c>
    </row>
    <row r="61" spans="1:111" ht="15.75" thickBot="1" x14ac:dyDescent="0.3">
      <c r="A61" s="75"/>
      <c r="B61" s="83"/>
      <c r="C61" s="77"/>
      <c r="D61" s="77"/>
      <c r="E61" s="33" t="s">
        <v>27</v>
      </c>
      <c r="F61" s="77"/>
      <c r="G61" s="22" t="s">
        <v>165</v>
      </c>
      <c r="H61" s="133"/>
      <c r="I61" s="29">
        <v>1727.6</v>
      </c>
      <c r="J61" s="5">
        <v>-1.3</v>
      </c>
      <c r="K61" s="6">
        <v>31.5</v>
      </c>
      <c r="L61" s="6">
        <v>12</v>
      </c>
      <c r="M61" s="6">
        <v>1</v>
      </c>
      <c r="N61" s="6">
        <v>7</v>
      </c>
      <c r="O61" s="6">
        <v>14</v>
      </c>
      <c r="P61" s="6">
        <v>1040.3</v>
      </c>
      <c r="Q61" s="6">
        <v>4</v>
      </c>
      <c r="R61" s="6">
        <v>64</v>
      </c>
      <c r="S61" s="6">
        <v>153.6</v>
      </c>
      <c r="T61" s="6">
        <v>23.4</v>
      </c>
      <c r="U61" s="6">
        <v>35.950000000000003</v>
      </c>
      <c r="V61" s="6">
        <v>61458.1</v>
      </c>
      <c r="W61" s="7">
        <v>59</v>
      </c>
      <c r="X61" s="5">
        <v>-5.7</v>
      </c>
      <c r="Y61" s="6">
        <v>12.2</v>
      </c>
      <c r="Z61" s="6">
        <v>3.3</v>
      </c>
      <c r="AA61" s="6">
        <v>29</v>
      </c>
      <c r="AB61" s="6">
        <v>0</v>
      </c>
      <c r="AC61" s="6">
        <v>35</v>
      </c>
      <c r="AD61" s="6">
        <v>277.89999999999998</v>
      </c>
      <c r="AE61" s="6">
        <v>0</v>
      </c>
      <c r="AF61" s="6">
        <v>0</v>
      </c>
      <c r="AG61" s="6">
        <v>82.4</v>
      </c>
      <c r="AH61" s="6">
        <v>126.53</v>
      </c>
      <c r="AI61" s="6">
        <v>26464.1</v>
      </c>
      <c r="AJ61" s="6">
        <v>77</v>
      </c>
      <c r="AK61" s="7">
        <v>42</v>
      </c>
      <c r="AL61" s="5">
        <v>0.6</v>
      </c>
      <c r="AM61" s="6">
        <v>19.5</v>
      </c>
      <c r="AN61" s="6">
        <v>8.8000000000000007</v>
      </c>
      <c r="AO61" s="6">
        <v>0</v>
      </c>
      <c r="AP61" s="6">
        <v>0</v>
      </c>
      <c r="AQ61" s="6">
        <v>20</v>
      </c>
      <c r="AR61" s="6">
        <v>393.8</v>
      </c>
      <c r="AS61" s="6">
        <v>0</v>
      </c>
      <c r="AT61" s="6">
        <v>0</v>
      </c>
      <c r="AU61" s="6">
        <v>95.3</v>
      </c>
      <c r="AV61" s="6">
        <v>146.44</v>
      </c>
      <c r="AW61" s="6">
        <v>32327.4</v>
      </c>
      <c r="AX61" s="7">
        <v>33</v>
      </c>
      <c r="AY61" s="5">
        <v>1.6</v>
      </c>
      <c r="AZ61" s="6">
        <v>21.2</v>
      </c>
      <c r="BA61" s="6">
        <v>10.3</v>
      </c>
      <c r="BB61" s="6">
        <v>0</v>
      </c>
      <c r="BC61" s="6">
        <v>0</v>
      </c>
      <c r="BD61" s="6">
        <v>7</v>
      </c>
      <c r="BE61" s="6">
        <v>217.2</v>
      </c>
      <c r="BF61" s="6">
        <v>0</v>
      </c>
      <c r="BG61" s="6">
        <v>0</v>
      </c>
      <c r="BH61" s="6">
        <v>63.5</v>
      </c>
      <c r="BI61" s="6">
        <v>97.59</v>
      </c>
      <c r="BJ61" s="6">
        <v>25610.2</v>
      </c>
      <c r="BK61" s="6">
        <v>7</v>
      </c>
      <c r="BL61" s="7">
        <v>1.18</v>
      </c>
      <c r="BM61" s="5">
        <v>-0.1</v>
      </c>
      <c r="BN61" s="6">
        <v>25.6</v>
      </c>
      <c r="BO61" s="6">
        <v>11.4</v>
      </c>
      <c r="BP61" s="6">
        <v>1</v>
      </c>
      <c r="BQ61" s="6">
        <v>1</v>
      </c>
      <c r="BR61" s="6">
        <v>5</v>
      </c>
      <c r="BS61" s="6">
        <v>0</v>
      </c>
      <c r="BT61" s="6">
        <v>9</v>
      </c>
      <c r="BU61" s="6">
        <v>34.4</v>
      </c>
      <c r="BV61" s="6">
        <v>52.81</v>
      </c>
      <c r="BW61" s="6">
        <v>39338.9</v>
      </c>
      <c r="BX61" s="7">
        <v>8</v>
      </c>
      <c r="BY61" s="5">
        <v>10.1</v>
      </c>
      <c r="BZ61" s="6">
        <v>29.9</v>
      </c>
      <c r="CA61" s="6">
        <v>18.899999999999999</v>
      </c>
      <c r="CB61" s="6">
        <v>0</v>
      </c>
      <c r="CC61" s="6">
        <v>7</v>
      </c>
      <c r="CD61" s="6">
        <v>0</v>
      </c>
      <c r="CE61" s="6">
        <v>7</v>
      </c>
      <c r="CF61" s="6">
        <v>10</v>
      </c>
      <c r="CG61" s="6">
        <v>8.9</v>
      </c>
      <c r="CH61" s="6">
        <v>13.69</v>
      </c>
      <c r="CI61" s="6">
        <v>35369.4</v>
      </c>
      <c r="CJ61" s="7">
        <v>1</v>
      </c>
      <c r="CK61" s="5">
        <v>11.2</v>
      </c>
      <c r="CL61" s="6">
        <v>32.9</v>
      </c>
      <c r="CM61" s="6">
        <v>19.8</v>
      </c>
      <c r="CN61" s="6">
        <v>0</v>
      </c>
      <c r="CO61" s="6">
        <v>10</v>
      </c>
      <c r="CP61" s="6">
        <v>0</v>
      </c>
      <c r="CQ61" s="6">
        <v>16</v>
      </c>
      <c r="CR61" s="6">
        <v>5</v>
      </c>
      <c r="CS61" s="6">
        <v>0.4</v>
      </c>
      <c r="CT61" s="6">
        <v>0.64</v>
      </c>
      <c r="CU61" s="6">
        <v>44800</v>
      </c>
      <c r="CV61" s="7">
        <v>1</v>
      </c>
      <c r="CW61" s="6">
        <v>393.41</v>
      </c>
      <c r="CX61" s="6">
        <v>3.79</v>
      </c>
      <c r="CY61" s="6">
        <v>0.89</v>
      </c>
      <c r="CZ61" s="6">
        <v>100</v>
      </c>
      <c r="DA61" s="6">
        <v>139.88</v>
      </c>
      <c r="DB61" s="147">
        <f t="shared" si="0"/>
        <v>91.067708333333343</v>
      </c>
      <c r="DC61" s="6">
        <v>3</v>
      </c>
      <c r="DD61" s="6">
        <v>5.4</v>
      </c>
      <c r="DE61" s="6">
        <v>2</v>
      </c>
      <c r="DF61" s="6">
        <v>18.899999999999999</v>
      </c>
      <c r="DG61" s="6">
        <v>26</v>
      </c>
    </row>
    <row r="62" spans="1:111" x14ac:dyDescent="0.25">
      <c r="A62" s="78" t="s">
        <v>106</v>
      </c>
      <c r="B62" s="82"/>
      <c r="C62" s="80" t="s">
        <v>94</v>
      </c>
      <c r="D62" s="80" t="s">
        <v>121</v>
      </c>
      <c r="E62" s="32" t="s">
        <v>26</v>
      </c>
      <c r="F62" s="80" t="s">
        <v>95</v>
      </c>
      <c r="G62" s="20" t="s">
        <v>165</v>
      </c>
      <c r="H62" s="130">
        <v>1</v>
      </c>
      <c r="I62" s="30">
        <v>1645.6</v>
      </c>
      <c r="J62" s="13">
        <v>-0.9</v>
      </c>
      <c r="K62" s="14">
        <v>28.2</v>
      </c>
      <c r="L62" s="14">
        <v>11.6</v>
      </c>
      <c r="M62" s="14">
        <v>2</v>
      </c>
      <c r="N62" s="14">
        <v>4</v>
      </c>
      <c r="O62" s="14">
        <v>21</v>
      </c>
      <c r="P62" s="14">
        <v>1021.2</v>
      </c>
      <c r="Q62" s="14">
        <v>6</v>
      </c>
      <c r="R62" s="14">
        <v>82</v>
      </c>
      <c r="S62" s="14">
        <v>189.6</v>
      </c>
      <c r="T62" s="14">
        <v>8.4</v>
      </c>
      <c r="U62" s="14">
        <v>15.97</v>
      </c>
      <c r="V62" s="14">
        <v>63447.6</v>
      </c>
      <c r="W62" s="15">
        <v>62</v>
      </c>
      <c r="X62" s="13">
        <v>-6.6</v>
      </c>
      <c r="Y62" s="14">
        <v>10.199999999999999</v>
      </c>
      <c r="Z62" s="14">
        <v>2.1</v>
      </c>
      <c r="AA62" s="14">
        <v>28</v>
      </c>
      <c r="AB62" s="14">
        <v>0</v>
      </c>
      <c r="AC62" s="14">
        <v>31</v>
      </c>
      <c r="AD62" s="14">
        <v>169.2</v>
      </c>
      <c r="AE62" s="14">
        <v>0</v>
      </c>
      <c r="AF62" s="14">
        <v>46</v>
      </c>
      <c r="AG62" s="14">
        <v>25.6</v>
      </c>
      <c r="AH62" s="14">
        <v>54.22</v>
      </c>
      <c r="AI62" s="14">
        <v>20556.3</v>
      </c>
      <c r="AJ62" s="14">
        <v>64</v>
      </c>
      <c r="AK62" s="15">
        <v>53</v>
      </c>
      <c r="AL62" s="13">
        <v>-0.5</v>
      </c>
      <c r="AM62" s="14">
        <v>16.600000000000001</v>
      </c>
      <c r="AN62" s="14">
        <v>7.5</v>
      </c>
      <c r="AO62" s="14">
        <v>3</v>
      </c>
      <c r="AP62" s="14">
        <v>0</v>
      </c>
      <c r="AQ62" s="14">
        <v>31</v>
      </c>
      <c r="AR62" s="14">
        <v>440.9</v>
      </c>
      <c r="AS62" s="14">
        <v>0</v>
      </c>
      <c r="AT62" s="14">
        <v>0</v>
      </c>
      <c r="AU62" s="14">
        <v>59.2</v>
      </c>
      <c r="AV62" s="14">
        <v>112.23</v>
      </c>
      <c r="AW62" s="14">
        <v>31948.9</v>
      </c>
      <c r="AX62" s="15">
        <v>46</v>
      </c>
      <c r="AY62" s="13">
        <v>0.8</v>
      </c>
      <c r="AZ62" s="14">
        <v>21</v>
      </c>
      <c r="BA62" s="14">
        <v>9.6999999999999993</v>
      </c>
      <c r="BB62" s="14">
        <v>0</v>
      </c>
      <c r="BC62" s="14">
        <v>0</v>
      </c>
      <c r="BD62" s="14">
        <v>10</v>
      </c>
      <c r="BE62" s="14">
        <v>204</v>
      </c>
      <c r="BF62" s="14">
        <v>0</v>
      </c>
      <c r="BG62" s="14">
        <v>0</v>
      </c>
      <c r="BH62" s="14">
        <v>45.6</v>
      </c>
      <c r="BI62" s="14">
        <v>86.41</v>
      </c>
      <c r="BJ62" s="14">
        <v>26508.1</v>
      </c>
      <c r="BK62" s="14">
        <v>7</v>
      </c>
      <c r="BL62" s="15">
        <v>1.3</v>
      </c>
      <c r="BM62" s="13">
        <v>-1.1000000000000001</v>
      </c>
      <c r="BN62" s="14">
        <v>27.8</v>
      </c>
      <c r="BO62" s="14">
        <v>11</v>
      </c>
      <c r="BP62" s="14">
        <v>1</v>
      </c>
      <c r="BQ62" s="14">
        <v>1</v>
      </c>
      <c r="BR62" s="14">
        <v>8</v>
      </c>
      <c r="BS62" s="14">
        <v>0</v>
      </c>
      <c r="BT62" s="14">
        <v>28</v>
      </c>
      <c r="BU62" s="14">
        <v>21.7</v>
      </c>
      <c r="BV62" s="14">
        <v>41.21</v>
      </c>
      <c r="BW62" s="14">
        <v>37750.800000000003</v>
      </c>
      <c r="BX62" s="15">
        <v>7</v>
      </c>
      <c r="BY62" s="13">
        <v>9.1999999999999993</v>
      </c>
      <c r="BZ62" s="14">
        <v>28.1</v>
      </c>
      <c r="CA62" s="14">
        <v>17.5</v>
      </c>
      <c r="CB62" s="14">
        <v>0</v>
      </c>
      <c r="CC62" s="14">
        <v>5</v>
      </c>
      <c r="CD62" s="14">
        <v>0</v>
      </c>
      <c r="CE62" s="14">
        <v>8</v>
      </c>
      <c r="CF62" s="14">
        <v>10</v>
      </c>
      <c r="CG62" s="14">
        <v>7</v>
      </c>
      <c r="CH62" s="14">
        <v>13.29</v>
      </c>
      <c r="CI62" s="14">
        <v>33951.1</v>
      </c>
      <c r="CJ62" s="15">
        <v>1</v>
      </c>
      <c r="CK62" s="13">
        <v>8.6</v>
      </c>
      <c r="CL62" s="14">
        <v>32.9</v>
      </c>
      <c r="CM62" s="14">
        <v>19.100000000000001</v>
      </c>
      <c r="CN62" s="14">
        <v>0</v>
      </c>
      <c r="CO62" s="14">
        <v>9</v>
      </c>
      <c r="CP62" s="14">
        <v>0</v>
      </c>
      <c r="CQ62" s="14">
        <v>13</v>
      </c>
      <c r="CR62" s="14">
        <v>8</v>
      </c>
      <c r="CS62" s="14">
        <v>1.1000000000000001</v>
      </c>
      <c r="CT62" s="14">
        <v>2.17</v>
      </c>
      <c r="CU62" s="14">
        <v>40491.699999999997</v>
      </c>
      <c r="CV62" s="15">
        <v>1</v>
      </c>
      <c r="CW62" s="14">
        <v>167.12</v>
      </c>
      <c r="CX62" s="14">
        <v>3.89</v>
      </c>
      <c r="CY62" s="14">
        <v>0.73</v>
      </c>
      <c r="CZ62" s="14">
        <v>80</v>
      </c>
      <c r="DA62" s="14">
        <v>113.21</v>
      </c>
      <c r="DB62" s="148">
        <f t="shared" si="0"/>
        <v>59.709915611814345</v>
      </c>
      <c r="DC62" s="14">
        <v>4</v>
      </c>
      <c r="DD62" s="14">
        <v>4</v>
      </c>
      <c r="DE62" s="14">
        <v>0</v>
      </c>
      <c r="DF62" s="14">
        <v>11.6</v>
      </c>
      <c r="DG62" s="14">
        <v>32</v>
      </c>
    </row>
    <row r="63" spans="1:111" ht="15.75" thickBot="1" x14ac:dyDescent="0.3">
      <c r="A63" s="79"/>
      <c r="B63" s="83"/>
      <c r="C63" s="81"/>
      <c r="D63" s="81"/>
      <c r="E63" s="33" t="s">
        <v>27</v>
      </c>
      <c r="F63" s="81"/>
      <c r="G63" s="21" t="s">
        <v>167</v>
      </c>
      <c r="H63" s="131"/>
      <c r="I63" s="31">
        <v>1658.6</v>
      </c>
      <c r="J63" s="16">
        <v>-0.9</v>
      </c>
      <c r="K63" s="17">
        <v>28.2</v>
      </c>
      <c r="L63" s="17">
        <v>11.6</v>
      </c>
      <c r="M63" s="17">
        <v>2</v>
      </c>
      <c r="N63" s="17">
        <v>4</v>
      </c>
      <c r="O63" s="17">
        <v>21</v>
      </c>
      <c r="P63" s="17">
        <v>1021.2</v>
      </c>
      <c r="Q63" s="17">
        <v>6</v>
      </c>
      <c r="R63" s="17">
        <v>82</v>
      </c>
      <c r="S63" s="17">
        <v>189.6</v>
      </c>
      <c r="T63" s="17">
        <v>8.4</v>
      </c>
      <c r="U63" s="17">
        <v>15.97</v>
      </c>
      <c r="V63" s="17">
        <v>63447.6</v>
      </c>
      <c r="W63" s="18">
        <v>62</v>
      </c>
      <c r="X63" s="16">
        <v>-6.6</v>
      </c>
      <c r="Y63" s="17">
        <v>10.199999999999999</v>
      </c>
      <c r="Z63" s="17">
        <v>2.1</v>
      </c>
      <c r="AA63" s="17">
        <v>28</v>
      </c>
      <c r="AB63" s="17">
        <v>0</v>
      </c>
      <c r="AC63" s="17">
        <v>31</v>
      </c>
      <c r="AD63" s="17">
        <v>169.1</v>
      </c>
      <c r="AE63" s="17">
        <v>0</v>
      </c>
      <c r="AF63" s="17">
        <v>46</v>
      </c>
      <c r="AG63" s="17">
        <v>25.6</v>
      </c>
      <c r="AH63" s="17">
        <v>54.22</v>
      </c>
      <c r="AI63" s="17">
        <v>20556.3</v>
      </c>
      <c r="AJ63" s="17">
        <v>64</v>
      </c>
      <c r="AK63" s="18">
        <v>53</v>
      </c>
      <c r="AL63" s="16">
        <v>-0.5</v>
      </c>
      <c r="AM63" s="17">
        <v>20.9</v>
      </c>
      <c r="AN63" s="17">
        <v>7.6</v>
      </c>
      <c r="AO63" s="17">
        <v>3</v>
      </c>
      <c r="AP63" s="17">
        <v>0</v>
      </c>
      <c r="AQ63" s="17">
        <v>31</v>
      </c>
      <c r="AR63" s="17">
        <v>455.2</v>
      </c>
      <c r="AS63" s="17">
        <v>0</v>
      </c>
      <c r="AT63" s="17">
        <v>0</v>
      </c>
      <c r="AU63" s="17">
        <v>59.2</v>
      </c>
      <c r="AV63" s="17">
        <v>112.18</v>
      </c>
      <c r="AW63" s="17">
        <v>33711.599999999999</v>
      </c>
      <c r="AX63" s="18">
        <v>46</v>
      </c>
      <c r="AY63" s="16">
        <v>-1.1000000000000001</v>
      </c>
      <c r="AZ63" s="17">
        <v>21</v>
      </c>
      <c r="BA63" s="17">
        <v>9.3000000000000007</v>
      </c>
      <c r="BB63" s="17">
        <v>1</v>
      </c>
      <c r="BC63" s="17">
        <v>0</v>
      </c>
      <c r="BD63" s="17">
        <v>10</v>
      </c>
      <c r="BE63" s="17">
        <v>195</v>
      </c>
      <c r="BF63" s="17">
        <v>0</v>
      </c>
      <c r="BG63" s="17">
        <v>1</v>
      </c>
      <c r="BH63" s="17">
        <v>44.4</v>
      </c>
      <c r="BI63" s="17">
        <v>84.27</v>
      </c>
      <c r="BJ63" s="17">
        <v>27105.8</v>
      </c>
      <c r="BK63" s="17">
        <v>7</v>
      </c>
      <c r="BL63" s="18">
        <v>1.39</v>
      </c>
      <c r="BM63" s="16">
        <v>0.5</v>
      </c>
      <c r="BN63" s="17">
        <v>27.8</v>
      </c>
      <c r="BO63" s="17">
        <v>11.2</v>
      </c>
      <c r="BP63" s="17">
        <v>0</v>
      </c>
      <c r="BQ63" s="17">
        <v>1</v>
      </c>
      <c r="BR63" s="17">
        <v>8</v>
      </c>
      <c r="BS63" s="17">
        <v>0</v>
      </c>
      <c r="BT63" s="17">
        <v>27</v>
      </c>
      <c r="BU63" s="17">
        <v>21.4</v>
      </c>
      <c r="BV63" s="17">
        <v>40.57</v>
      </c>
      <c r="BW63" s="17">
        <v>35390.400000000001</v>
      </c>
      <c r="BX63" s="18">
        <v>7</v>
      </c>
      <c r="BY63" s="16">
        <v>9.1999999999999993</v>
      </c>
      <c r="BZ63" s="17">
        <v>28.1</v>
      </c>
      <c r="CA63" s="17">
        <v>17.5</v>
      </c>
      <c r="CB63" s="17">
        <v>0</v>
      </c>
      <c r="CC63" s="17">
        <v>5</v>
      </c>
      <c r="CD63" s="17">
        <v>0</v>
      </c>
      <c r="CE63" s="17">
        <v>8</v>
      </c>
      <c r="CF63" s="17">
        <v>10</v>
      </c>
      <c r="CG63" s="17">
        <v>7</v>
      </c>
      <c r="CH63" s="17">
        <v>13.34</v>
      </c>
      <c r="CI63" s="17">
        <v>33951.1</v>
      </c>
      <c r="CJ63" s="18">
        <v>1</v>
      </c>
      <c r="CK63" s="16">
        <v>8.6</v>
      </c>
      <c r="CL63" s="17">
        <v>32.9</v>
      </c>
      <c r="CM63" s="17">
        <v>19.100000000000001</v>
      </c>
      <c r="CN63" s="17">
        <v>0</v>
      </c>
      <c r="CO63" s="17">
        <v>9</v>
      </c>
      <c r="CP63" s="17">
        <v>0</v>
      </c>
      <c r="CQ63" s="17">
        <v>13</v>
      </c>
      <c r="CR63" s="17">
        <v>8</v>
      </c>
      <c r="CS63" s="17">
        <v>1.1000000000000001</v>
      </c>
      <c r="CT63" s="17">
        <v>2.17</v>
      </c>
      <c r="CU63" s="17">
        <v>40491.699999999997</v>
      </c>
      <c r="CV63" s="18">
        <v>1</v>
      </c>
      <c r="CW63" s="17">
        <v>208.34</v>
      </c>
      <c r="CX63" s="17">
        <v>3.83</v>
      </c>
      <c r="CY63" s="17">
        <v>0.74</v>
      </c>
      <c r="CZ63" s="17">
        <v>160</v>
      </c>
      <c r="DA63" s="17">
        <v>113.24</v>
      </c>
      <c r="DB63" s="149">
        <f t="shared" si="0"/>
        <v>59.725738396624472</v>
      </c>
      <c r="DC63" s="17">
        <v>4</v>
      </c>
      <c r="DD63" s="17">
        <v>4</v>
      </c>
      <c r="DE63" s="17">
        <v>0</v>
      </c>
      <c r="DF63" s="17">
        <v>11.6</v>
      </c>
      <c r="DG63" s="17">
        <v>32</v>
      </c>
    </row>
    <row r="64" spans="1:111" x14ac:dyDescent="0.25">
      <c r="A64" s="74" t="s">
        <v>107</v>
      </c>
      <c r="B64" s="82"/>
      <c r="C64" s="76" t="s">
        <v>94</v>
      </c>
      <c r="D64" s="76" t="s">
        <v>122</v>
      </c>
      <c r="E64" s="32" t="s">
        <v>26</v>
      </c>
      <c r="F64" s="76" t="s">
        <v>95</v>
      </c>
      <c r="G64" s="19" t="s">
        <v>172</v>
      </c>
      <c r="H64" s="132" t="s">
        <v>160</v>
      </c>
      <c r="I64" s="28">
        <v>1879.8</v>
      </c>
      <c r="J64" s="9">
        <v>-0.9</v>
      </c>
      <c r="K64" s="8">
        <v>34.299999999999997</v>
      </c>
      <c r="L64" s="8">
        <v>12.9</v>
      </c>
      <c r="M64" s="8">
        <v>2</v>
      </c>
      <c r="N64" s="8">
        <v>44</v>
      </c>
      <c r="O64" s="8">
        <v>16</v>
      </c>
      <c r="P64" s="8">
        <v>1255.3</v>
      </c>
      <c r="Q64" s="8">
        <v>17</v>
      </c>
      <c r="R64" s="8">
        <v>74</v>
      </c>
      <c r="S64" s="8">
        <v>218.9</v>
      </c>
      <c r="T64" s="8">
        <v>13.2</v>
      </c>
      <c r="U64" s="8">
        <v>28.95</v>
      </c>
      <c r="V64" s="8">
        <v>77049.399999999994</v>
      </c>
      <c r="W64" s="10">
        <v>63</v>
      </c>
      <c r="X64" s="9">
        <v>-7.8</v>
      </c>
      <c r="Y64" s="8">
        <v>9.9</v>
      </c>
      <c r="Z64" s="8">
        <v>2</v>
      </c>
      <c r="AA64" s="8">
        <v>32</v>
      </c>
      <c r="AB64" s="8">
        <v>0</v>
      </c>
      <c r="AC64" s="8">
        <v>26</v>
      </c>
      <c r="AD64" s="8">
        <v>168.6</v>
      </c>
      <c r="AE64" s="8">
        <v>0</v>
      </c>
      <c r="AF64" s="8">
        <v>13</v>
      </c>
      <c r="AG64" s="8">
        <v>39.700000000000003</v>
      </c>
      <c r="AH64" s="8">
        <v>86.97</v>
      </c>
      <c r="AI64" s="8">
        <v>21413.9</v>
      </c>
      <c r="AJ64" s="8">
        <v>63</v>
      </c>
      <c r="AK64" s="10">
        <v>50</v>
      </c>
      <c r="AL64" s="9">
        <v>-2.4</v>
      </c>
      <c r="AM64" s="8">
        <v>17.3</v>
      </c>
      <c r="AN64" s="8">
        <v>7.6</v>
      </c>
      <c r="AO64" s="8">
        <v>5</v>
      </c>
      <c r="AP64" s="8">
        <v>0</v>
      </c>
      <c r="AQ64" s="8">
        <v>22</v>
      </c>
      <c r="AR64" s="8">
        <v>443.4</v>
      </c>
      <c r="AS64" s="8">
        <v>0</v>
      </c>
      <c r="AT64" s="8">
        <v>0</v>
      </c>
      <c r="AU64" s="8">
        <v>64.099999999999994</v>
      </c>
      <c r="AV64" s="8">
        <v>140.22</v>
      </c>
      <c r="AW64" s="8">
        <v>30302.7</v>
      </c>
      <c r="AX64" s="10">
        <v>51</v>
      </c>
      <c r="AY64" s="9">
        <v>2.7</v>
      </c>
      <c r="AZ64" s="8">
        <v>22.4</v>
      </c>
      <c r="BA64" s="8">
        <v>10.6</v>
      </c>
      <c r="BB64" s="8">
        <v>0</v>
      </c>
      <c r="BC64" s="8">
        <v>0</v>
      </c>
      <c r="BD64" s="8">
        <v>8</v>
      </c>
      <c r="BE64" s="8">
        <v>223.1</v>
      </c>
      <c r="BF64" s="8">
        <v>0</v>
      </c>
      <c r="BG64" s="8">
        <v>0</v>
      </c>
      <c r="BH64" s="8">
        <v>62.5</v>
      </c>
      <c r="BI64" s="8">
        <v>136.84</v>
      </c>
      <c r="BJ64" s="8">
        <v>28688.799999999999</v>
      </c>
      <c r="BK64" s="8">
        <v>5</v>
      </c>
      <c r="BL64" s="10">
        <v>1.29</v>
      </c>
      <c r="BM64" s="9">
        <v>-0.1</v>
      </c>
      <c r="BN64" s="8">
        <v>26.5</v>
      </c>
      <c r="BO64" s="8">
        <v>10.8</v>
      </c>
      <c r="BP64" s="8">
        <v>1</v>
      </c>
      <c r="BQ64" s="8">
        <v>2</v>
      </c>
      <c r="BR64" s="8">
        <v>8</v>
      </c>
      <c r="BS64" s="8">
        <v>0</v>
      </c>
      <c r="BT64" s="8">
        <v>0</v>
      </c>
      <c r="BU64" s="8">
        <v>45.3</v>
      </c>
      <c r="BV64" s="8">
        <v>99.16</v>
      </c>
      <c r="BW64" s="8">
        <v>45491.6</v>
      </c>
      <c r="BX64" s="10">
        <v>4</v>
      </c>
      <c r="BY64" s="9">
        <v>6.9</v>
      </c>
      <c r="BZ64" s="8">
        <v>27.5</v>
      </c>
      <c r="CA64" s="8">
        <v>17.7</v>
      </c>
      <c r="CB64" s="8">
        <v>0</v>
      </c>
      <c r="CC64" s="8">
        <v>6</v>
      </c>
      <c r="CD64" s="8">
        <v>0</v>
      </c>
      <c r="CE64" s="8">
        <v>0</v>
      </c>
      <c r="CF64" s="8">
        <v>2</v>
      </c>
      <c r="CG64" s="8">
        <v>42.1</v>
      </c>
      <c r="CH64" s="8">
        <v>92.08</v>
      </c>
      <c r="CI64" s="8">
        <v>31663.9</v>
      </c>
      <c r="CJ64" s="10">
        <v>2</v>
      </c>
      <c r="CK64" s="9">
        <v>9</v>
      </c>
      <c r="CL64" s="8">
        <v>34.200000000000003</v>
      </c>
      <c r="CM64" s="8">
        <v>19.7</v>
      </c>
      <c r="CN64" s="8">
        <v>0</v>
      </c>
      <c r="CO64" s="8">
        <v>11</v>
      </c>
      <c r="CP64" s="8">
        <v>0</v>
      </c>
      <c r="CQ64" s="8">
        <v>0</v>
      </c>
      <c r="CR64" s="8">
        <v>12</v>
      </c>
      <c r="CS64" s="8">
        <v>28.1</v>
      </c>
      <c r="CT64" s="8">
        <v>61.58</v>
      </c>
      <c r="CU64" s="8">
        <v>47203.8</v>
      </c>
      <c r="CV64" s="10">
        <v>0</v>
      </c>
      <c r="CW64" s="8">
        <v>195.89</v>
      </c>
      <c r="CX64" s="8">
        <v>1.81</v>
      </c>
      <c r="CY64" s="8">
        <v>0.88</v>
      </c>
      <c r="CZ64" s="8">
        <v>105</v>
      </c>
      <c r="DA64" s="8">
        <v>145.09</v>
      </c>
      <c r="DB64" s="146">
        <f t="shared" si="0"/>
        <v>66.281407035175874</v>
      </c>
      <c r="DC64" s="8">
        <v>2.5</v>
      </c>
      <c r="DD64" s="8">
        <v>4.4000000000000004</v>
      </c>
      <c r="DE64" s="8">
        <v>0</v>
      </c>
      <c r="DF64" s="8">
        <v>16.899999999999999</v>
      </c>
      <c r="DG64" s="8" t="s">
        <v>193</v>
      </c>
    </row>
    <row r="65" spans="1:111" ht="15.75" thickBot="1" x14ac:dyDescent="0.3">
      <c r="A65" s="75"/>
      <c r="B65" s="83"/>
      <c r="C65" s="77"/>
      <c r="D65" s="77"/>
      <c r="E65" s="33" t="s">
        <v>27</v>
      </c>
      <c r="F65" s="77"/>
      <c r="G65" s="22" t="s">
        <v>171</v>
      </c>
      <c r="H65" s="133"/>
      <c r="I65" s="29">
        <v>1894.3</v>
      </c>
      <c r="J65" s="5">
        <v>-0.8</v>
      </c>
      <c r="K65" s="6">
        <v>34.299999999999997</v>
      </c>
      <c r="L65" s="6">
        <v>12.9</v>
      </c>
      <c r="M65" s="6">
        <v>2</v>
      </c>
      <c r="N65" s="6">
        <v>11</v>
      </c>
      <c r="O65" s="6">
        <v>16</v>
      </c>
      <c r="P65" s="6">
        <v>1255.3</v>
      </c>
      <c r="Q65" s="6">
        <v>17</v>
      </c>
      <c r="R65" s="6">
        <v>74</v>
      </c>
      <c r="S65" s="6">
        <v>218.9</v>
      </c>
      <c r="T65" s="6">
        <v>13.2</v>
      </c>
      <c r="U65" s="6">
        <v>28.95</v>
      </c>
      <c r="V65" s="6">
        <v>77049.399999999994</v>
      </c>
      <c r="W65" s="7">
        <v>63</v>
      </c>
      <c r="X65" s="5">
        <v>-7.8</v>
      </c>
      <c r="Y65" s="6">
        <v>9.9</v>
      </c>
      <c r="Z65" s="6">
        <v>2</v>
      </c>
      <c r="AA65" s="6">
        <v>32</v>
      </c>
      <c r="AB65" s="6">
        <v>0</v>
      </c>
      <c r="AC65" s="6">
        <v>26</v>
      </c>
      <c r="AD65" s="6">
        <v>168.6</v>
      </c>
      <c r="AE65" s="6">
        <v>0</v>
      </c>
      <c r="AF65" s="6">
        <v>13</v>
      </c>
      <c r="AG65" s="6">
        <v>39.700000000000003</v>
      </c>
      <c r="AH65" s="6">
        <v>86.97</v>
      </c>
      <c r="AI65" s="6">
        <v>21413.9</v>
      </c>
      <c r="AJ65" s="6">
        <v>63</v>
      </c>
      <c r="AK65" s="7">
        <v>50</v>
      </c>
      <c r="AL65" s="5">
        <v>-2.4</v>
      </c>
      <c r="AM65" s="6">
        <v>17.7</v>
      </c>
      <c r="AN65" s="6">
        <v>7.7</v>
      </c>
      <c r="AO65" s="6">
        <v>5</v>
      </c>
      <c r="AP65" s="6">
        <v>0</v>
      </c>
      <c r="AQ65" s="6">
        <v>22</v>
      </c>
      <c r="AR65" s="6">
        <v>455.9</v>
      </c>
      <c r="AS65" s="6">
        <v>0</v>
      </c>
      <c r="AT65" s="6">
        <v>0</v>
      </c>
      <c r="AU65" s="6">
        <v>64.2</v>
      </c>
      <c r="AV65" s="6">
        <v>140.57</v>
      </c>
      <c r="AW65" s="6">
        <v>31644.400000000001</v>
      </c>
      <c r="AX65" s="7">
        <v>51</v>
      </c>
      <c r="AY65" s="5">
        <v>1.2</v>
      </c>
      <c r="AZ65" s="6">
        <v>22.4</v>
      </c>
      <c r="BA65" s="6">
        <v>10.3</v>
      </c>
      <c r="BB65" s="6">
        <v>0</v>
      </c>
      <c r="BC65" s="6">
        <v>0</v>
      </c>
      <c r="BD65" s="6">
        <v>9</v>
      </c>
      <c r="BE65" s="6">
        <v>216.1</v>
      </c>
      <c r="BF65" s="6">
        <v>0</v>
      </c>
      <c r="BG65" s="6">
        <v>0</v>
      </c>
      <c r="BH65" s="6">
        <v>61.6</v>
      </c>
      <c r="BI65" s="6">
        <v>137.74</v>
      </c>
      <c r="BJ65" s="6">
        <v>29369.5</v>
      </c>
      <c r="BK65" s="6">
        <v>5</v>
      </c>
      <c r="BL65" s="7">
        <v>1.36</v>
      </c>
      <c r="BM65" s="5">
        <v>-0.1</v>
      </c>
      <c r="BN65" s="6">
        <v>26.5</v>
      </c>
      <c r="BO65" s="6">
        <v>11</v>
      </c>
      <c r="BP65" s="6">
        <v>1</v>
      </c>
      <c r="BQ65" s="6">
        <v>2</v>
      </c>
      <c r="BR65" s="6">
        <v>7</v>
      </c>
      <c r="BS65" s="6">
        <v>0</v>
      </c>
      <c r="BT65" s="6">
        <v>0</v>
      </c>
      <c r="BU65" s="6">
        <v>45.1</v>
      </c>
      <c r="BV65" s="6">
        <v>98.7</v>
      </c>
      <c r="BW65" s="6">
        <v>43469.2</v>
      </c>
      <c r="BX65" s="7">
        <v>4</v>
      </c>
      <c r="BY65" s="5">
        <v>6.9</v>
      </c>
      <c r="BZ65" s="6">
        <v>27.5</v>
      </c>
      <c r="CA65" s="6">
        <v>17.7</v>
      </c>
      <c r="CB65" s="6">
        <v>0</v>
      </c>
      <c r="CC65" s="6">
        <v>6</v>
      </c>
      <c r="CD65" s="6">
        <v>0</v>
      </c>
      <c r="CE65" s="6">
        <v>0</v>
      </c>
      <c r="CF65" s="6">
        <v>2</v>
      </c>
      <c r="CG65" s="6">
        <v>42.1</v>
      </c>
      <c r="CH65" s="6">
        <v>92.15</v>
      </c>
      <c r="CI65" s="6">
        <v>31663.9</v>
      </c>
      <c r="CJ65" s="7">
        <v>2</v>
      </c>
      <c r="CK65" s="5">
        <v>9</v>
      </c>
      <c r="CL65" s="6">
        <v>34.200000000000003</v>
      </c>
      <c r="CM65" s="6">
        <v>19.7</v>
      </c>
      <c r="CN65" s="6">
        <v>0</v>
      </c>
      <c r="CO65" s="6">
        <v>11</v>
      </c>
      <c r="CP65" s="6">
        <v>0</v>
      </c>
      <c r="CQ65" s="6">
        <v>0</v>
      </c>
      <c r="CR65" s="6">
        <v>12</v>
      </c>
      <c r="CS65" s="6">
        <v>28.2</v>
      </c>
      <c r="CT65" s="6">
        <v>61.64</v>
      </c>
      <c r="CU65" s="6">
        <v>47203.8</v>
      </c>
      <c r="CV65" s="7">
        <v>0</v>
      </c>
      <c r="CW65" s="6">
        <v>286.89999999999998</v>
      </c>
      <c r="CX65" s="6">
        <v>1.87</v>
      </c>
      <c r="CY65" s="6">
        <v>1.07</v>
      </c>
      <c r="CZ65" s="6">
        <v>185</v>
      </c>
      <c r="DA65" s="6">
        <v>144.69</v>
      </c>
      <c r="DB65" s="147">
        <f t="shared" si="0"/>
        <v>66.098675194152577</v>
      </c>
      <c r="DC65" s="6">
        <v>2.5</v>
      </c>
      <c r="DD65" s="6">
        <v>4.5</v>
      </c>
      <c r="DE65" s="6">
        <v>0</v>
      </c>
      <c r="DF65" s="6">
        <v>16.899999999999999</v>
      </c>
      <c r="DG65" s="6" t="s">
        <v>193</v>
      </c>
    </row>
    <row r="66" spans="1:111" x14ac:dyDescent="0.25">
      <c r="A66" s="78" t="s">
        <v>108</v>
      </c>
      <c r="B66" s="82"/>
      <c r="C66" s="80" t="s">
        <v>94</v>
      </c>
      <c r="D66" s="80" t="s">
        <v>123</v>
      </c>
      <c r="E66" s="32" t="s">
        <v>26</v>
      </c>
      <c r="F66" s="80" t="s">
        <v>95</v>
      </c>
      <c r="G66" s="20" t="s">
        <v>167</v>
      </c>
      <c r="H66" s="130">
        <v>1</v>
      </c>
      <c r="I66" s="30">
        <v>1525</v>
      </c>
      <c r="J66" s="13">
        <v>-2.4</v>
      </c>
      <c r="K66" s="14">
        <v>30.3</v>
      </c>
      <c r="L66" s="14">
        <v>11.6</v>
      </c>
      <c r="M66" s="14">
        <v>2</v>
      </c>
      <c r="N66" s="14">
        <v>9</v>
      </c>
      <c r="O66" s="14">
        <v>19</v>
      </c>
      <c r="P66" s="14">
        <v>994.2</v>
      </c>
      <c r="Q66" s="14">
        <v>1</v>
      </c>
      <c r="R66" s="14">
        <v>40</v>
      </c>
      <c r="S66" s="14">
        <v>122.1</v>
      </c>
      <c r="T66" s="14">
        <v>43</v>
      </c>
      <c r="U66" s="14">
        <v>52.47</v>
      </c>
      <c r="V66" s="14">
        <v>66314.5</v>
      </c>
      <c r="W66" s="15">
        <v>53</v>
      </c>
      <c r="X66" s="13">
        <v>-9.6999999999999993</v>
      </c>
      <c r="Y66" s="14">
        <v>8.5</v>
      </c>
      <c r="Z66" s="14">
        <v>0</v>
      </c>
      <c r="AA66" s="14">
        <v>46</v>
      </c>
      <c r="AB66" s="14">
        <v>0</v>
      </c>
      <c r="AC66" s="14">
        <v>15</v>
      </c>
      <c r="AD66" s="14">
        <v>76.2</v>
      </c>
      <c r="AE66" s="14">
        <v>0</v>
      </c>
      <c r="AF66" s="14">
        <v>0</v>
      </c>
      <c r="AG66" s="14">
        <v>92.7</v>
      </c>
      <c r="AH66" s="14">
        <v>113.24</v>
      </c>
      <c r="AI66" s="14">
        <v>24000.5</v>
      </c>
      <c r="AJ66" s="14">
        <v>64</v>
      </c>
      <c r="AK66" s="15">
        <v>53</v>
      </c>
      <c r="AL66" s="13">
        <v>-2.6</v>
      </c>
      <c r="AM66" s="14">
        <v>20</v>
      </c>
      <c r="AN66" s="14">
        <v>7.5</v>
      </c>
      <c r="AO66" s="14">
        <v>9</v>
      </c>
      <c r="AP66" s="14">
        <v>0</v>
      </c>
      <c r="AQ66" s="14">
        <v>27</v>
      </c>
      <c r="AR66" s="14">
        <v>440.8</v>
      </c>
      <c r="AS66" s="14">
        <v>0</v>
      </c>
      <c r="AT66" s="14">
        <v>0</v>
      </c>
      <c r="AU66" s="14">
        <v>95.2</v>
      </c>
      <c r="AV66" s="14">
        <v>116.3</v>
      </c>
      <c r="AW66" s="14">
        <v>43540</v>
      </c>
      <c r="AX66" s="15">
        <v>38</v>
      </c>
      <c r="AY66" s="13">
        <v>-0.1</v>
      </c>
      <c r="AZ66" s="14">
        <v>23.4</v>
      </c>
      <c r="BA66" s="14">
        <v>10.7</v>
      </c>
      <c r="BB66" s="14">
        <v>1</v>
      </c>
      <c r="BC66" s="14">
        <v>0</v>
      </c>
      <c r="BD66" s="14">
        <v>5</v>
      </c>
      <c r="BE66" s="14">
        <v>224.9</v>
      </c>
      <c r="BF66" s="14">
        <v>0</v>
      </c>
      <c r="BG66" s="14">
        <v>1</v>
      </c>
      <c r="BH66" s="14">
        <v>55</v>
      </c>
      <c r="BI66" s="14">
        <v>67.14</v>
      </c>
      <c r="BJ66" s="14">
        <v>32836.199999999997</v>
      </c>
      <c r="BK66" s="14">
        <v>4</v>
      </c>
      <c r="BL66" s="15">
        <v>1.46</v>
      </c>
      <c r="BM66" s="13">
        <v>1.7</v>
      </c>
      <c r="BN66" s="14">
        <v>26.5</v>
      </c>
      <c r="BO66" s="14">
        <v>11.2</v>
      </c>
      <c r="BP66" s="14">
        <v>0</v>
      </c>
      <c r="BQ66" s="14">
        <v>2</v>
      </c>
      <c r="BR66" s="14">
        <v>11</v>
      </c>
      <c r="BS66" s="14">
        <v>0</v>
      </c>
      <c r="BT66" s="14">
        <v>11</v>
      </c>
      <c r="BU66" s="14">
        <v>41.3</v>
      </c>
      <c r="BV66" s="14">
        <v>50.47</v>
      </c>
      <c r="BW66" s="14">
        <v>39980</v>
      </c>
      <c r="BX66" s="15">
        <v>10</v>
      </c>
      <c r="BY66" s="13">
        <v>6.7</v>
      </c>
      <c r="BZ66" s="14">
        <v>29.2</v>
      </c>
      <c r="CA66" s="14">
        <v>19.3</v>
      </c>
      <c r="CB66" s="14">
        <v>0</v>
      </c>
      <c r="CC66" s="14">
        <v>8</v>
      </c>
      <c r="CD66" s="14">
        <v>0</v>
      </c>
      <c r="CE66" s="14">
        <v>0</v>
      </c>
      <c r="CF66" s="14">
        <v>8</v>
      </c>
      <c r="CG66" s="14">
        <v>35</v>
      </c>
      <c r="CH66" s="14">
        <v>42.76</v>
      </c>
      <c r="CI66" s="14">
        <v>37550.6</v>
      </c>
      <c r="CJ66" s="15">
        <v>1</v>
      </c>
      <c r="CK66" s="13">
        <v>8.4</v>
      </c>
      <c r="CL66" s="14">
        <v>35.299999999999997</v>
      </c>
      <c r="CM66" s="14">
        <v>21</v>
      </c>
      <c r="CN66" s="14">
        <v>0</v>
      </c>
      <c r="CO66" s="14">
        <v>11</v>
      </c>
      <c r="CP66" s="14">
        <v>0</v>
      </c>
      <c r="CQ66" s="14">
        <v>7</v>
      </c>
      <c r="CR66" s="14">
        <v>13</v>
      </c>
      <c r="CS66" s="14">
        <v>10</v>
      </c>
      <c r="CT66" s="14">
        <v>12.2</v>
      </c>
      <c r="CU66" s="14">
        <v>43979.199999999997</v>
      </c>
      <c r="CV66" s="15">
        <v>1</v>
      </c>
      <c r="CW66" s="14">
        <v>192.39</v>
      </c>
      <c r="CX66" s="14">
        <v>3.18</v>
      </c>
      <c r="CY66" s="14">
        <v>0.74</v>
      </c>
      <c r="CZ66" s="14">
        <v>0</v>
      </c>
      <c r="DA66" s="14">
        <v>0</v>
      </c>
      <c r="DB66" s="151">
        <f t="shared" si="0"/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49.5</v>
      </c>
    </row>
    <row r="67" spans="1:111" ht="15.75" thickBot="1" x14ac:dyDescent="0.3">
      <c r="A67" s="79"/>
      <c r="B67" s="83"/>
      <c r="C67" s="81"/>
      <c r="D67" s="81"/>
      <c r="E67" s="33" t="s">
        <v>27</v>
      </c>
      <c r="F67" s="81"/>
      <c r="G67" s="21" t="s">
        <v>166</v>
      </c>
      <c r="H67" s="131"/>
      <c r="I67" s="31">
        <v>1534.9</v>
      </c>
      <c r="J67" s="16">
        <v>-2.4</v>
      </c>
      <c r="K67" s="17">
        <v>30.3</v>
      </c>
      <c r="L67" s="17">
        <v>11.6</v>
      </c>
      <c r="M67" s="17">
        <v>2</v>
      </c>
      <c r="N67" s="17">
        <v>9</v>
      </c>
      <c r="O67" s="17">
        <v>19</v>
      </c>
      <c r="P67" s="17">
        <v>994.2</v>
      </c>
      <c r="Q67" s="17">
        <v>1</v>
      </c>
      <c r="R67" s="17">
        <v>40</v>
      </c>
      <c r="S67" s="17">
        <v>122.1</v>
      </c>
      <c r="T67" s="17">
        <v>43</v>
      </c>
      <c r="U67" s="17">
        <v>52.47</v>
      </c>
      <c r="V67" s="17">
        <v>66314.5</v>
      </c>
      <c r="W67" s="18">
        <v>53</v>
      </c>
      <c r="X67" s="16">
        <v>-9.6999999999999993</v>
      </c>
      <c r="Y67" s="17">
        <v>8.5</v>
      </c>
      <c r="Z67" s="17">
        <v>0</v>
      </c>
      <c r="AA67" s="17">
        <v>46</v>
      </c>
      <c r="AB67" s="17">
        <v>0</v>
      </c>
      <c r="AC67" s="17">
        <v>15</v>
      </c>
      <c r="AD67" s="17">
        <v>76.2</v>
      </c>
      <c r="AE67" s="17">
        <v>0</v>
      </c>
      <c r="AF67" s="17">
        <v>0</v>
      </c>
      <c r="AG67" s="17">
        <v>92.7</v>
      </c>
      <c r="AH67" s="17">
        <v>113.24</v>
      </c>
      <c r="AI67" s="17">
        <v>24000.5</v>
      </c>
      <c r="AJ67" s="17">
        <v>64</v>
      </c>
      <c r="AK67" s="18">
        <v>53</v>
      </c>
      <c r="AL67" s="16">
        <v>-2.6</v>
      </c>
      <c r="AM67" s="17">
        <v>20.5</v>
      </c>
      <c r="AN67" s="17">
        <v>7.6</v>
      </c>
      <c r="AO67" s="17">
        <v>9</v>
      </c>
      <c r="AP67" s="17">
        <v>0</v>
      </c>
      <c r="AQ67" s="17">
        <v>27</v>
      </c>
      <c r="AR67" s="17">
        <v>454.6</v>
      </c>
      <c r="AS67" s="17">
        <v>0</v>
      </c>
      <c r="AT67" s="17">
        <v>0</v>
      </c>
      <c r="AU67" s="17">
        <v>95</v>
      </c>
      <c r="AV67" s="17">
        <v>115.96</v>
      </c>
      <c r="AW67" s="17">
        <v>44937.3</v>
      </c>
      <c r="AX67" s="18">
        <v>38</v>
      </c>
      <c r="AY67" s="16">
        <v>-0.1</v>
      </c>
      <c r="AZ67" s="17">
        <v>23.4</v>
      </c>
      <c r="BA67" s="17">
        <v>10.5</v>
      </c>
      <c r="BB67" s="17">
        <v>1</v>
      </c>
      <c r="BC67" s="17">
        <v>0</v>
      </c>
      <c r="BD67" s="17">
        <v>6</v>
      </c>
      <c r="BE67" s="17">
        <v>220.1</v>
      </c>
      <c r="BF67" s="17">
        <v>0</v>
      </c>
      <c r="BG67" s="17">
        <v>2</v>
      </c>
      <c r="BH67" s="17">
        <v>52.7</v>
      </c>
      <c r="BI67" s="17">
        <v>64.349999999999994</v>
      </c>
      <c r="BJ67" s="17">
        <v>34170.400000000001</v>
      </c>
      <c r="BK67" s="17">
        <v>4</v>
      </c>
      <c r="BL67" s="18">
        <v>1.55</v>
      </c>
      <c r="BM67" s="16">
        <v>2.1</v>
      </c>
      <c r="BN67" s="17">
        <v>26.5</v>
      </c>
      <c r="BO67" s="17">
        <v>11.5</v>
      </c>
      <c r="BP67" s="17">
        <v>0</v>
      </c>
      <c r="BQ67" s="17">
        <v>2</v>
      </c>
      <c r="BR67" s="17">
        <v>10</v>
      </c>
      <c r="BS67" s="17">
        <v>0</v>
      </c>
      <c r="BT67" s="17">
        <v>10</v>
      </c>
      <c r="BU67" s="17">
        <v>42.4</v>
      </c>
      <c r="BV67" s="17">
        <v>51.74</v>
      </c>
      <c r="BW67" s="17">
        <v>38630.1</v>
      </c>
      <c r="BX67" s="18">
        <v>10</v>
      </c>
      <c r="BY67" s="16">
        <v>6.7</v>
      </c>
      <c r="BZ67" s="17">
        <v>29.2</v>
      </c>
      <c r="CA67" s="17">
        <v>19.2</v>
      </c>
      <c r="CB67" s="17">
        <v>0</v>
      </c>
      <c r="CC67" s="17">
        <v>8</v>
      </c>
      <c r="CD67" s="17">
        <v>0</v>
      </c>
      <c r="CE67" s="17">
        <v>0</v>
      </c>
      <c r="CF67" s="17">
        <v>9</v>
      </c>
      <c r="CG67" s="17">
        <v>32.799999999999997</v>
      </c>
      <c r="CH67" s="17">
        <v>40</v>
      </c>
      <c r="CI67" s="17">
        <v>35175.800000000003</v>
      </c>
      <c r="CJ67" s="18">
        <v>2</v>
      </c>
      <c r="CK67" s="16">
        <v>8.4</v>
      </c>
      <c r="CL67" s="17">
        <v>35.299999999999997</v>
      </c>
      <c r="CM67" s="17">
        <v>21.3</v>
      </c>
      <c r="CN67" s="17">
        <v>0</v>
      </c>
      <c r="CO67" s="17">
        <v>12</v>
      </c>
      <c r="CP67" s="17">
        <v>0</v>
      </c>
      <c r="CQ67" s="17">
        <v>8</v>
      </c>
      <c r="CR67" s="17">
        <v>12</v>
      </c>
      <c r="CS67" s="17">
        <v>8.3000000000000007</v>
      </c>
      <c r="CT67" s="17">
        <v>10.16</v>
      </c>
      <c r="CU67" s="17">
        <v>45080.4</v>
      </c>
      <c r="CV67" s="18">
        <v>0</v>
      </c>
      <c r="CW67" s="17">
        <v>413.2</v>
      </c>
      <c r="CX67" s="17">
        <v>4.28</v>
      </c>
      <c r="CY67" s="17">
        <v>1.38</v>
      </c>
      <c r="CZ67" s="17">
        <v>150</v>
      </c>
      <c r="DA67" s="17">
        <v>112.61</v>
      </c>
      <c r="DB67" s="149">
        <f t="shared" si="0"/>
        <v>92.227682227682237</v>
      </c>
      <c r="DC67" s="17">
        <v>5.4</v>
      </c>
      <c r="DD67" s="17">
        <v>5.2</v>
      </c>
      <c r="DE67" s="17">
        <v>0</v>
      </c>
      <c r="DF67" s="17">
        <v>14.3</v>
      </c>
      <c r="DG67" s="17">
        <v>44.1</v>
      </c>
    </row>
    <row r="68" spans="1:111" x14ac:dyDescent="0.25">
      <c r="A68" s="74" t="s">
        <v>109</v>
      </c>
      <c r="B68" s="82"/>
      <c r="C68" s="76" t="s">
        <v>94</v>
      </c>
      <c r="D68" s="76" t="s">
        <v>124</v>
      </c>
      <c r="E68" s="32" t="s">
        <v>26</v>
      </c>
      <c r="F68" s="76" t="s">
        <v>33</v>
      </c>
      <c r="G68" s="19" t="s">
        <v>173</v>
      </c>
      <c r="H68" s="132">
        <v>1</v>
      </c>
      <c r="I68" s="28">
        <v>1761</v>
      </c>
      <c r="J68" s="9">
        <v>-2.2999999999999998</v>
      </c>
      <c r="K68" s="8">
        <v>24.8</v>
      </c>
      <c r="L68" s="8">
        <v>12</v>
      </c>
      <c r="M68" s="8">
        <v>3</v>
      </c>
      <c r="N68" s="8">
        <v>0</v>
      </c>
      <c r="O68" s="8">
        <v>16</v>
      </c>
      <c r="P68" s="8">
        <v>1082.3</v>
      </c>
      <c r="Q68" s="8">
        <v>1</v>
      </c>
      <c r="R68" s="8">
        <v>51</v>
      </c>
      <c r="S68" s="8">
        <v>150.80000000000001</v>
      </c>
      <c r="T68" s="8">
        <v>29.4</v>
      </c>
      <c r="U68" s="8">
        <v>44.38</v>
      </c>
      <c r="V68" s="8">
        <v>63646.7</v>
      </c>
      <c r="W68" s="10">
        <v>64</v>
      </c>
      <c r="X68" s="9">
        <v>-9.1999999999999993</v>
      </c>
      <c r="Y68" s="8">
        <v>14.1</v>
      </c>
      <c r="Z68" s="8">
        <v>4.7</v>
      </c>
      <c r="AA68" s="8">
        <v>30</v>
      </c>
      <c r="AB68" s="8">
        <v>0</v>
      </c>
      <c r="AC68" s="8">
        <v>36</v>
      </c>
      <c r="AD68" s="8">
        <v>459.8</v>
      </c>
      <c r="AE68" s="8">
        <v>0</v>
      </c>
      <c r="AF68" s="8">
        <v>0</v>
      </c>
      <c r="AG68" s="8">
        <v>84.6</v>
      </c>
      <c r="AH68" s="8">
        <v>127.57</v>
      </c>
      <c r="AI68" s="8">
        <v>31894.2</v>
      </c>
      <c r="AJ68" s="8">
        <v>86</v>
      </c>
      <c r="AK68" s="10">
        <v>25</v>
      </c>
      <c r="AL68" s="9">
        <v>-2.4</v>
      </c>
      <c r="AM68" s="8">
        <v>16.899999999999999</v>
      </c>
      <c r="AN68" s="8">
        <v>7.3</v>
      </c>
      <c r="AO68" s="8">
        <v>4</v>
      </c>
      <c r="AP68" s="8">
        <v>0</v>
      </c>
      <c r="AQ68" s="8">
        <v>13</v>
      </c>
      <c r="AR68" s="8">
        <v>210.7</v>
      </c>
      <c r="AS68" s="8">
        <v>0</v>
      </c>
      <c r="AT68" s="8">
        <v>0</v>
      </c>
      <c r="AU68" s="8">
        <v>98.9</v>
      </c>
      <c r="AV68" s="8">
        <v>149.07</v>
      </c>
      <c r="AW68" s="8">
        <v>20280.099999999999</v>
      </c>
      <c r="AX68" s="10">
        <v>21</v>
      </c>
      <c r="AY68" s="9">
        <v>4.0999999999999996</v>
      </c>
      <c r="AZ68" s="8">
        <v>26.9</v>
      </c>
      <c r="BA68" s="8">
        <v>12.8</v>
      </c>
      <c r="BB68" s="8">
        <v>0</v>
      </c>
      <c r="BC68" s="8">
        <v>3</v>
      </c>
      <c r="BD68" s="8">
        <v>2</v>
      </c>
      <c r="BE68" s="8">
        <v>268.7</v>
      </c>
      <c r="BF68" s="8">
        <v>0</v>
      </c>
      <c r="BG68" s="8">
        <v>0</v>
      </c>
      <c r="BH68" s="8">
        <v>96.2</v>
      </c>
      <c r="BI68" s="8">
        <v>145.12</v>
      </c>
      <c r="BJ68" s="8">
        <v>24625.7</v>
      </c>
      <c r="BK68" s="8">
        <v>11</v>
      </c>
      <c r="BL68" s="10">
        <v>0.92</v>
      </c>
      <c r="BM68" s="9">
        <v>2.9</v>
      </c>
      <c r="BN68" s="8">
        <v>25.4</v>
      </c>
      <c r="BO68" s="8">
        <v>13.1</v>
      </c>
      <c r="BP68" s="8">
        <v>0</v>
      </c>
      <c r="BQ68" s="8">
        <v>3</v>
      </c>
      <c r="BR68" s="8">
        <v>2</v>
      </c>
      <c r="BS68" s="8">
        <v>0</v>
      </c>
      <c r="BT68" s="8">
        <v>0</v>
      </c>
      <c r="BU68" s="8">
        <v>68</v>
      </c>
      <c r="BV68" s="8">
        <v>102.57</v>
      </c>
      <c r="BW68" s="8">
        <v>37209.4</v>
      </c>
      <c r="BX68" s="10">
        <v>7</v>
      </c>
      <c r="BY68" s="9">
        <v>8.3000000000000007</v>
      </c>
      <c r="BZ68" s="8">
        <v>26.2</v>
      </c>
      <c r="CA68" s="8">
        <v>16.899999999999999</v>
      </c>
      <c r="CB68" s="8">
        <v>0</v>
      </c>
      <c r="CC68" s="8">
        <v>3</v>
      </c>
      <c r="CD68" s="8">
        <v>0</v>
      </c>
      <c r="CE68" s="8">
        <v>0</v>
      </c>
      <c r="CF68" s="8">
        <v>0</v>
      </c>
      <c r="CG68" s="8">
        <v>41.2</v>
      </c>
      <c r="CH68" s="8">
        <v>62.14</v>
      </c>
      <c r="CI68" s="8">
        <v>33350.6</v>
      </c>
      <c r="CJ68" s="10">
        <v>1</v>
      </c>
      <c r="CK68" s="9">
        <v>9.1</v>
      </c>
      <c r="CL68" s="8">
        <v>28.4</v>
      </c>
      <c r="CM68" s="8">
        <v>18.5</v>
      </c>
      <c r="CN68" s="8">
        <v>0</v>
      </c>
      <c r="CO68" s="8">
        <v>4</v>
      </c>
      <c r="CP68" s="8">
        <v>0</v>
      </c>
      <c r="CQ68" s="8">
        <v>0</v>
      </c>
      <c r="CR68" s="8">
        <v>1</v>
      </c>
      <c r="CS68" s="8">
        <v>43.5</v>
      </c>
      <c r="CT68" s="8">
        <v>65.62</v>
      </c>
      <c r="CU68" s="8">
        <v>32951.5</v>
      </c>
      <c r="CV68" s="10">
        <v>7</v>
      </c>
      <c r="CW68" s="8">
        <v>182.71</v>
      </c>
      <c r="CX68" s="8">
        <v>3.36</v>
      </c>
      <c r="CY68" s="8">
        <v>0.63</v>
      </c>
      <c r="CZ68" s="8">
        <v>0</v>
      </c>
      <c r="DA68" s="8">
        <v>0</v>
      </c>
      <c r="DB68" s="8">
        <f t="shared" si="0"/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</row>
    <row r="69" spans="1:111" ht="15.75" thickBot="1" x14ac:dyDescent="0.3">
      <c r="A69" s="75"/>
      <c r="B69" s="83"/>
      <c r="C69" s="77"/>
      <c r="D69" s="77"/>
      <c r="E69" s="33" t="s">
        <v>27</v>
      </c>
      <c r="F69" s="77"/>
      <c r="G69" s="22" t="s">
        <v>174</v>
      </c>
      <c r="H69" s="133"/>
      <c r="I69" s="29">
        <v>1772</v>
      </c>
      <c r="J69" s="5">
        <v>-2.2999999999999998</v>
      </c>
      <c r="K69" s="6">
        <v>24.8</v>
      </c>
      <c r="L69" s="6">
        <v>12</v>
      </c>
      <c r="M69" s="6">
        <v>3</v>
      </c>
      <c r="N69" s="6">
        <v>0</v>
      </c>
      <c r="O69" s="6">
        <v>16</v>
      </c>
      <c r="P69" s="6">
        <v>1082.3</v>
      </c>
      <c r="Q69" s="6">
        <v>1</v>
      </c>
      <c r="R69" s="6">
        <v>51</v>
      </c>
      <c r="S69" s="6">
        <v>150.80000000000001</v>
      </c>
      <c r="T69" s="6">
        <v>29.4</v>
      </c>
      <c r="U69" s="6">
        <v>44.38</v>
      </c>
      <c r="V69" s="6">
        <v>63646.7</v>
      </c>
      <c r="W69" s="7">
        <v>64</v>
      </c>
      <c r="X69" s="5">
        <v>-9.1999999999999993</v>
      </c>
      <c r="Y69" s="6">
        <v>14.1</v>
      </c>
      <c r="Z69" s="6">
        <v>4.7</v>
      </c>
      <c r="AA69" s="6">
        <v>30</v>
      </c>
      <c r="AB69" s="6">
        <v>0</v>
      </c>
      <c r="AC69" s="6">
        <v>36</v>
      </c>
      <c r="AD69" s="6">
        <v>459.8</v>
      </c>
      <c r="AE69" s="6">
        <v>0</v>
      </c>
      <c r="AF69" s="6">
        <v>0</v>
      </c>
      <c r="AG69" s="6">
        <v>84.6</v>
      </c>
      <c r="AH69" s="6">
        <v>127.57</v>
      </c>
      <c r="AI69" s="6">
        <v>31894.2</v>
      </c>
      <c r="AJ69" s="6">
        <v>86</v>
      </c>
      <c r="AK69" s="7">
        <v>25</v>
      </c>
      <c r="AL69" s="5">
        <v>-2.4</v>
      </c>
      <c r="AM69" s="6">
        <v>16.899999999999999</v>
      </c>
      <c r="AN69" s="6">
        <v>7.3</v>
      </c>
      <c r="AO69" s="6">
        <v>4</v>
      </c>
      <c r="AP69" s="6">
        <v>0</v>
      </c>
      <c r="AQ69" s="6">
        <v>14</v>
      </c>
      <c r="AR69" s="6">
        <v>218.9</v>
      </c>
      <c r="AS69" s="6">
        <v>0</v>
      </c>
      <c r="AT69" s="6">
        <v>0</v>
      </c>
      <c r="AU69" s="6">
        <v>98.9</v>
      </c>
      <c r="AV69" s="6">
        <v>149.07</v>
      </c>
      <c r="AW69" s="6">
        <v>20925.599999999999</v>
      </c>
      <c r="AX69" s="7">
        <v>22</v>
      </c>
      <c r="AY69" s="5">
        <v>4.0999999999999996</v>
      </c>
      <c r="AZ69" s="6">
        <v>26.9</v>
      </c>
      <c r="BA69" s="6">
        <v>13.3</v>
      </c>
      <c r="BB69" s="6">
        <v>0</v>
      </c>
      <c r="BC69" s="6">
        <v>4</v>
      </c>
      <c r="BD69" s="6">
        <v>1</v>
      </c>
      <c r="BE69" s="6">
        <v>279.39999999999998</v>
      </c>
      <c r="BF69" s="6">
        <v>0</v>
      </c>
      <c r="BG69" s="6">
        <v>0</v>
      </c>
      <c r="BH69" s="6">
        <v>95.2</v>
      </c>
      <c r="BI69" s="6">
        <v>143.61000000000001</v>
      </c>
      <c r="BJ69" s="6">
        <v>26105.1</v>
      </c>
      <c r="BK69" s="6">
        <v>10</v>
      </c>
      <c r="BL69" s="7">
        <v>0.93</v>
      </c>
      <c r="BM69" s="5">
        <v>2.9</v>
      </c>
      <c r="BN69" s="6">
        <v>25.4</v>
      </c>
      <c r="BO69" s="6">
        <v>13.1</v>
      </c>
      <c r="BP69" s="6">
        <v>0</v>
      </c>
      <c r="BQ69" s="6">
        <v>2</v>
      </c>
      <c r="BR69" s="6">
        <v>2</v>
      </c>
      <c r="BS69" s="6">
        <v>0</v>
      </c>
      <c r="BT69" s="6">
        <v>0</v>
      </c>
      <c r="BU69" s="6">
        <v>66.5</v>
      </c>
      <c r="BV69" s="6">
        <v>100.3</v>
      </c>
      <c r="BW69" s="6">
        <v>39327.699999999997</v>
      </c>
      <c r="BX69" s="7">
        <v>7</v>
      </c>
      <c r="BY69" s="5">
        <v>8.3000000000000007</v>
      </c>
      <c r="BZ69" s="6">
        <v>26.2</v>
      </c>
      <c r="CA69" s="6">
        <v>17.399999999999999</v>
      </c>
      <c r="CB69" s="6">
        <v>0</v>
      </c>
      <c r="CC69" s="6">
        <v>4</v>
      </c>
      <c r="CD69" s="6">
        <v>0</v>
      </c>
      <c r="CE69" s="6">
        <v>0</v>
      </c>
      <c r="CF69" s="6">
        <v>1</v>
      </c>
      <c r="CG69" s="6">
        <v>38.299999999999997</v>
      </c>
      <c r="CH69" s="6">
        <v>57.73</v>
      </c>
      <c r="CI69" s="6">
        <v>31858.3</v>
      </c>
      <c r="CJ69" s="7">
        <v>2</v>
      </c>
      <c r="CK69" s="5">
        <v>9.1</v>
      </c>
      <c r="CL69" s="6">
        <v>28.4</v>
      </c>
      <c r="CM69" s="6">
        <v>18.399999999999999</v>
      </c>
      <c r="CN69" s="6">
        <v>0</v>
      </c>
      <c r="CO69" s="6">
        <v>3</v>
      </c>
      <c r="CP69" s="6">
        <v>0</v>
      </c>
      <c r="CQ69" s="6">
        <v>0</v>
      </c>
      <c r="CR69" s="6">
        <v>3</v>
      </c>
      <c r="CS69" s="6">
        <v>42.1</v>
      </c>
      <c r="CT69" s="6">
        <v>63.49</v>
      </c>
      <c r="CU69" s="6">
        <v>36127.699999999997</v>
      </c>
      <c r="CV69" s="7">
        <v>6</v>
      </c>
      <c r="CW69" s="6">
        <v>337.69</v>
      </c>
      <c r="CX69" s="6">
        <v>4.42</v>
      </c>
      <c r="CY69" s="6">
        <v>1.1499999999999999</v>
      </c>
      <c r="CZ69" s="6">
        <v>150</v>
      </c>
      <c r="DA69" s="6">
        <v>149.13999999999999</v>
      </c>
      <c r="DB69" s="147">
        <f t="shared" ref="DB69:DB88" si="1">(DA69*100)/S69</f>
        <v>98.899204244031807</v>
      </c>
      <c r="DC69" s="6">
        <v>3.5</v>
      </c>
      <c r="DD69" s="6">
        <v>1</v>
      </c>
      <c r="DE69" s="6">
        <v>4.0999999999999996</v>
      </c>
      <c r="DF69" s="6">
        <v>28.2</v>
      </c>
      <c r="DG69" s="6">
        <v>0</v>
      </c>
    </row>
    <row r="70" spans="1:111" x14ac:dyDescent="0.25">
      <c r="A70" s="78" t="s">
        <v>110</v>
      </c>
      <c r="B70" s="82"/>
      <c r="C70" s="80" t="s">
        <v>94</v>
      </c>
      <c r="D70" s="80" t="s">
        <v>125</v>
      </c>
      <c r="E70" s="32" t="s">
        <v>26</v>
      </c>
      <c r="F70" s="80" t="s">
        <v>33</v>
      </c>
      <c r="G70" s="20" t="s">
        <v>175</v>
      </c>
      <c r="H70" s="60" t="s">
        <v>144</v>
      </c>
      <c r="I70" s="52">
        <v>1807.7</v>
      </c>
      <c r="J70" s="13">
        <v>0.4</v>
      </c>
      <c r="K70" s="14">
        <v>30.1</v>
      </c>
      <c r="L70" s="14">
        <v>13.4</v>
      </c>
      <c r="M70" s="14">
        <v>0</v>
      </c>
      <c r="N70" s="14">
        <v>4</v>
      </c>
      <c r="O70" s="14">
        <v>8</v>
      </c>
      <c r="P70" s="14">
        <v>1001.5</v>
      </c>
      <c r="Q70" s="14">
        <v>0</v>
      </c>
      <c r="R70" s="14">
        <v>21</v>
      </c>
      <c r="S70" s="14">
        <v>153.9</v>
      </c>
      <c r="T70" s="14">
        <v>52</v>
      </c>
      <c r="U70" s="14">
        <v>80.03</v>
      </c>
      <c r="V70" s="14">
        <v>59655.9</v>
      </c>
      <c r="W70" s="15">
        <v>46</v>
      </c>
      <c r="X70" s="13">
        <v>-11.6</v>
      </c>
      <c r="Y70" s="14">
        <v>14.6</v>
      </c>
      <c r="Z70" s="14">
        <v>4.0999999999999996</v>
      </c>
      <c r="AA70" s="14">
        <v>36</v>
      </c>
      <c r="AB70" s="14">
        <v>0</v>
      </c>
      <c r="AC70" s="14">
        <v>55</v>
      </c>
      <c r="AD70" s="14">
        <v>514.29999999999995</v>
      </c>
      <c r="AE70" s="14">
        <v>0</v>
      </c>
      <c r="AF70" s="14">
        <v>0</v>
      </c>
      <c r="AG70" s="14">
        <v>96.6</v>
      </c>
      <c r="AH70" s="14">
        <v>148.63999999999999</v>
      </c>
      <c r="AI70" s="14">
        <v>38459.5</v>
      </c>
      <c r="AJ70" s="14">
        <v>107</v>
      </c>
      <c r="AK70" s="15">
        <v>36</v>
      </c>
      <c r="AL70" s="13">
        <v>-3.2</v>
      </c>
      <c r="AM70" s="14">
        <v>22.5</v>
      </c>
      <c r="AN70" s="14">
        <v>7.4</v>
      </c>
      <c r="AO70" s="14">
        <v>5</v>
      </c>
      <c r="AP70" s="14">
        <v>0</v>
      </c>
      <c r="AQ70" s="14">
        <v>17</v>
      </c>
      <c r="AR70" s="14">
        <v>282</v>
      </c>
      <c r="AS70" s="14">
        <v>0</v>
      </c>
      <c r="AT70" s="14">
        <v>0</v>
      </c>
      <c r="AU70" s="14">
        <v>96.7</v>
      </c>
      <c r="AV70" s="14">
        <v>148.83000000000001</v>
      </c>
      <c r="AW70" s="14">
        <v>30301.8</v>
      </c>
      <c r="AX70" s="15">
        <v>24</v>
      </c>
      <c r="AY70" s="13">
        <v>3.2</v>
      </c>
      <c r="AZ70" s="14">
        <v>26.3</v>
      </c>
      <c r="BA70" s="14">
        <v>13</v>
      </c>
      <c r="BB70" s="14">
        <v>0</v>
      </c>
      <c r="BC70" s="14">
        <v>3</v>
      </c>
      <c r="BD70" s="14">
        <v>3</v>
      </c>
      <c r="BE70" s="14">
        <v>272.8</v>
      </c>
      <c r="BF70" s="14">
        <v>0</v>
      </c>
      <c r="BG70" s="14">
        <v>0</v>
      </c>
      <c r="BH70" s="14">
        <v>66.599999999999994</v>
      </c>
      <c r="BI70" s="14">
        <v>102.55</v>
      </c>
      <c r="BJ70" s="14">
        <v>33316.800000000003</v>
      </c>
      <c r="BK70" s="14">
        <v>4</v>
      </c>
      <c r="BL70" s="15">
        <v>1.22</v>
      </c>
      <c r="BM70" s="13">
        <v>6.5</v>
      </c>
      <c r="BN70" s="14">
        <v>24.2</v>
      </c>
      <c r="BO70" s="14">
        <v>14.7</v>
      </c>
      <c r="BP70" s="14">
        <v>0</v>
      </c>
      <c r="BQ70" s="14">
        <v>0</v>
      </c>
      <c r="BR70" s="14">
        <v>0</v>
      </c>
      <c r="BS70" s="14">
        <v>0</v>
      </c>
      <c r="BT70" s="14">
        <v>4</v>
      </c>
      <c r="BU70" s="14">
        <v>41.6</v>
      </c>
      <c r="BV70" s="14">
        <v>64.09</v>
      </c>
      <c r="BW70" s="14">
        <v>42013.2</v>
      </c>
      <c r="BX70" s="15">
        <v>2</v>
      </c>
      <c r="BY70" s="13">
        <v>13</v>
      </c>
      <c r="BZ70" s="14">
        <v>27.7</v>
      </c>
      <c r="CA70" s="14">
        <v>19.899999999999999</v>
      </c>
      <c r="CB70" s="14">
        <v>0</v>
      </c>
      <c r="CC70" s="14">
        <v>8</v>
      </c>
      <c r="CD70" s="14">
        <v>0</v>
      </c>
      <c r="CE70" s="14">
        <v>0</v>
      </c>
      <c r="CF70" s="14">
        <v>16</v>
      </c>
      <c r="CG70" s="14">
        <v>19.899999999999999</v>
      </c>
      <c r="CH70" s="14">
        <v>30.66</v>
      </c>
      <c r="CI70" s="14">
        <v>26221.8</v>
      </c>
      <c r="CJ70" s="15">
        <v>0</v>
      </c>
      <c r="CK70" s="13">
        <v>8.4</v>
      </c>
      <c r="CL70" s="14">
        <v>31</v>
      </c>
      <c r="CM70" s="14">
        <v>18.5</v>
      </c>
      <c r="CN70" s="14">
        <v>0</v>
      </c>
      <c r="CO70" s="14">
        <v>8</v>
      </c>
      <c r="CP70" s="14">
        <v>0</v>
      </c>
      <c r="CQ70" s="14">
        <v>4</v>
      </c>
      <c r="CR70" s="14">
        <v>18</v>
      </c>
      <c r="CS70" s="14">
        <v>11.9</v>
      </c>
      <c r="CT70" s="14">
        <v>18.34</v>
      </c>
      <c r="CU70" s="14">
        <v>42098.6</v>
      </c>
      <c r="CV70" s="15">
        <v>4</v>
      </c>
      <c r="CW70" s="14">
        <v>172.13</v>
      </c>
      <c r="CX70" s="14">
        <v>4.0599999999999996</v>
      </c>
      <c r="CY70" s="14">
        <v>0.57999999999999996</v>
      </c>
      <c r="CZ70" s="14">
        <v>0</v>
      </c>
      <c r="DA70" s="14">
        <v>0</v>
      </c>
      <c r="DB70" s="14">
        <f t="shared" si="1"/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31</v>
      </c>
    </row>
    <row r="71" spans="1:111" ht="15.75" thickBot="1" x14ac:dyDescent="0.3">
      <c r="A71" s="79"/>
      <c r="B71" s="83"/>
      <c r="C71" s="81"/>
      <c r="D71" s="81"/>
      <c r="E71" s="42" t="s">
        <v>27</v>
      </c>
      <c r="F71" s="81"/>
      <c r="G71" s="43"/>
      <c r="H71" s="56"/>
      <c r="I71" s="56"/>
      <c r="J71" s="44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6"/>
      <c r="X71" s="44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6"/>
      <c r="AL71" s="44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6"/>
      <c r="AY71" s="44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6"/>
      <c r="BM71" s="44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6"/>
      <c r="BY71" s="44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6"/>
      <c r="CK71" s="44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6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</row>
    <row r="72" spans="1:111" x14ac:dyDescent="0.25">
      <c r="A72" s="74" t="s">
        <v>111</v>
      </c>
      <c r="B72" s="82"/>
      <c r="C72" s="76" t="s">
        <v>94</v>
      </c>
      <c r="D72" s="76" t="s">
        <v>126</v>
      </c>
      <c r="E72" s="32" t="s">
        <v>26</v>
      </c>
      <c r="F72" s="76" t="s">
        <v>33</v>
      </c>
      <c r="G72" s="19" t="s">
        <v>176</v>
      </c>
      <c r="H72" s="61" t="s">
        <v>144</v>
      </c>
      <c r="I72" s="54">
        <v>1796</v>
      </c>
      <c r="J72" s="9">
        <v>-2.6</v>
      </c>
      <c r="K72" s="8">
        <v>23.5</v>
      </c>
      <c r="L72" s="8">
        <v>11.9</v>
      </c>
      <c r="M72" s="8">
        <v>1</v>
      </c>
      <c r="N72" s="8">
        <v>0</v>
      </c>
      <c r="O72" s="8">
        <v>19</v>
      </c>
      <c r="P72" s="8">
        <v>1082</v>
      </c>
      <c r="Q72" s="8">
        <v>0</v>
      </c>
      <c r="R72" s="8">
        <v>10</v>
      </c>
      <c r="S72" s="8">
        <v>153.9</v>
      </c>
      <c r="T72" s="8">
        <v>60.3</v>
      </c>
      <c r="U72" s="8">
        <v>92.87</v>
      </c>
      <c r="V72" s="8">
        <v>54485.599999999999</v>
      </c>
      <c r="W72" s="10">
        <v>70</v>
      </c>
      <c r="X72" s="9">
        <v>-8.5</v>
      </c>
      <c r="Y72" s="8">
        <v>14.2</v>
      </c>
      <c r="Z72" s="8">
        <v>4.5</v>
      </c>
      <c r="AA72" s="8">
        <v>22</v>
      </c>
      <c r="AB72" s="8">
        <v>0</v>
      </c>
      <c r="AC72" s="8">
        <v>48</v>
      </c>
      <c r="AD72" s="8">
        <v>454.8</v>
      </c>
      <c r="AE72" s="8">
        <v>0</v>
      </c>
      <c r="AF72" s="8">
        <v>0</v>
      </c>
      <c r="AG72" s="8">
        <v>97.5</v>
      </c>
      <c r="AH72" s="8">
        <v>150.02000000000001</v>
      </c>
      <c r="AI72" s="8">
        <v>29103.200000000001</v>
      </c>
      <c r="AJ72" s="8">
        <v>87</v>
      </c>
      <c r="AK72" s="10">
        <v>24</v>
      </c>
      <c r="AL72" s="9">
        <v>-1.7</v>
      </c>
      <c r="AM72" s="8">
        <v>16.5</v>
      </c>
      <c r="AN72" s="8">
        <v>7.4</v>
      </c>
      <c r="AO72" s="8">
        <v>4</v>
      </c>
      <c r="AP72" s="8">
        <v>0</v>
      </c>
      <c r="AQ72" s="8">
        <v>13</v>
      </c>
      <c r="AR72" s="8">
        <v>245.5</v>
      </c>
      <c r="AS72" s="8">
        <v>0</v>
      </c>
      <c r="AT72" s="8">
        <v>0</v>
      </c>
      <c r="AU72" s="8">
        <v>99.1</v>
      </c>
      <c r="AV72" s="8">
        <v>152.47</v>
      </c>
      <c r="AW72" s="8">
        <v>21158.9</v>
      </c>
      <c r="AX72" s="10">
        <v>28</v>
      </c>
      <c r="AY72" s="9">
        <v>6.2</v>
      </c>
      <c r="AZ72" s="8">
        <v>26.6</v>
      </c>
      <c r="BA72" s="8">
        <v>13.6</v>
      </c>
      <c r="BB72" s="8">
        <v>0</v>
      </c>
      <c r="BC72" s="8">
        <v>2</v>
      </c>
      <c r="BD72" s="8">
        <v>0</v>
      </c>
      <c r="BE72" s="8">
        <v>285.5</v>
      </c>
      <c r="BF72" s="8">
        <v>0</v>
      </c>
      <c r="BG72" s="8">
        <v>0</v>
      </c>
      <c r="BH72" s="8">
        <v>89.5</v>
      </c>
      <c r="BI72" s="8">
        <v>137.74</v>
      </c>
      <c r="BJ72" s="8">
        <v>29373.5</v>
      </c>
      <c r="BK72" s="8">
        <v>7</v>
      </c>
      <c r="BL72" s="10">
        <v>1.03</v>
      </c>
      <c r="BM72" s="9">
        <v>3.5</v>
      </c>
      <c r="BN72" s="8">
        <v>25.6</v>
      </c>
      <c r="BO72" s="8">
        <v>13.1</v>
      </c>
      <c r="BP72" s="8">
        <v>0</v>
      </c>
      <c r="BQ72" s="8">
        <v>2</v>
      </c>
      <c r="BR72" s="8">
        <v>2</v>
      </c>
      <c r="BS72" s="8">
        <v>0</v>
      </c>
      <c r="BT72" s="8">
        <v>0</v>
      </c>
      <c r="BU72" s="8">
        <v>59.1</v>
      </c>
      <c r="BV72" s="8">
        <v>91.01</v>
      </c>
      <c r="BW72" s="8">
        <v>40698.400000000001</v>
      </c>
      <c r="BX72" s="10">
        <v>5</v>
      </c>
      <c r="BY72" s="9">
        <v>11.5</v>
      </c>
      <c r="BZ72" s="8">
        <v>25.6</v>
      </c>
      <c r="CA72" s="8">
        <v>18.100000000000001</v>
      </c>
      <c r="CB72" s="8">
        <v>0</v>
      </c>
      <c r="CC72" s="8">
        <v>2</v>
      </c>
      <c r="CD72" s="8">
        <v>0</v>
      </c>
      <c r="CE72" s="8">
        <v>0</v>
      </c>
      <c r="CF72" s="8">
        <v>0</v>
      </c>
      <c r="CG72" s="8">
        <v>48</v>
      </c>
      <c r="CH72" s="8">
        <v>73.92</v>
      </c>
      <c r="CI72" s="8">
        <v>20491.3</v>
      </c>
      <c r="CJ72" s="10">
        <v>3</v>
      </c>
      <c r="CK72" s="9">
        <v>10</v>
      </c>
      <c r="CL72" s="8">
        <v>27.7</v>
      </c>
      <c r="CM72" s="8">
        <v>18.399999999999999</v>
      </c>
      <c r="CN72" s="8">
        <v>0</v>
      </c>
      <c r="CO72" s="8">
        <v>4</v>
      </c>
      <c r="CP72" s="8">
        <v>0</v>
      </c>
      <c r="CQ72" s="8">
        <v>0</v>
      </c>
      <c r="CR72" s="8">
        <v>0</v>
      </c>
      <c r="CS72" s="8">
        <v>74.2</v>
      </c>
      <c r="CT72" s="8">
        <v>114.17</v>
      </c>
      <c r="CU72" s="8">
        <v>39351.599999999999</v>
      </c>
      <c r="CV72" s="10">
        <v>6</v>
      </c>
      <c r="CW72" s="8">
        <v>342.9</v>
      </c>
      <c r="CX72" s="8">
        <v>4.74</v>
      </c>
      <c r="CY72" s="8">
        <v>1.26</v>
      </c>
      <c r="CZ72" s="8">
        <v>63</v>
      </c>
      <c r="DA72" s="8">
        <v>153.6</v>
      </c>
      <c r="DB72" s="146">
        <f t="shared" si="1"/>
        <v>99.805068226120852</v>
      </c>
      <c r="DC72" s="8">
        <v>3</v>
      </c>
      <c r="DD72" s="8">
        <v>1</v>
      </c>
      <c r="DE72" s="8">
        <v>4</v>
      </c>
      <c r="DF72" s="8">
        <v>40</v>
      </c>
      <c r="DG72" s="8">
        <v>16</v>
      </c>
    </row>
    <row r="73" spans="1:111" ht="15.75" thickBot="1" x14ac:dyDescent="0.3">
      <c r="A73" s="75"/>
      <c r="B73" s="83"/>
      <c r="C73" s="77"/>
      <c r="D73" s="77"/>
      <c r="E73" s="42" t="s">
        <v>27</v>
      </c>
      <c r="F73" s="77"/>
      <c r="G73" s="41"/>
      <c r="H73" s="57"/>
      <c r="I73" s="57"/>
      <c r="J73" s="47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9"/>
      <c r="X73" s="47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9"/>
      <c r="AL73" s="47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9"/>
      <c r="AY73" s="47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9"/>
      <c r="BM73" s="47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9"/>
      <c r="BY73" s="47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9"/>
      <c r="CK73" s="47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9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</row>
    <row r="74" spans="1:111" x14ac:dyDescent="0.25">
      <c r="A74" s="78" t="s">
        <v>112</v>
      </c>
      <c r="B74" s="82"/>
      <c r="C74" s="80" t="s">
        <v>94</v>
      </c>
      <c r="D74" s="80" t="s">
        <v>127</v>
      </c>
      <c r="E74" s="32" t="s">
        <v>26</v>
      </c>
      <c r="F74" s="80" t="s">
        <v>33</v>
      </c>
      <c r="G74" s="20" t="s">
        <v>176</v>
      </c>
      <c r="H74" s="130">
        <v>2</v>
      </c>
      <c r="I74" s="52">
        <v>1819.3</v>
      </c>
      <c r="J74" s="13">
        <v>-0.9</v>
      </c>
      <c r="K74" s="14">
        <v>23.1</v>
      </c>
      <c r="L74" s="14">
        <v>11.9</v>
      </c>
      <c r="M74" s="14">
        <v>2</v>
      </c>
      <c r="N74" s="14">
        <v>0</v>
      </c>
      <c r="O74" s="14">
        <v>17</v>
      </c>
      <c r="P74" s="14">
        <v>1086.7</v>
      </c>
      <c r="Q74" s="14">
        <v>0</v>
      </c>
      <c r="R74" s="14">
        <v>6</v>
      </c>
      <c r="S74" s="14">
        <v>179.3</v>
      </c>
      <c r="T74" s="14">
        <v>80</v>
      </c>
      <c r="U74" s="14">
        <v>143.52000000000001</v>
      </c>
      <c r="V74" s="14">
        <v>59416.1</v>
      </c>
      <c r="W74" s="15">
        <v>66</v>
      </c>
      <c r="X74" s="13">
        <v>-9.1999999999999993</v>
      </c>
      <c r="Y74" s="14">
        <v>14.7</v>
      </c>
      <c r="Z74" s="14">
        <v>4.5999999999999996</v>
      </c>
      <c r="AA74" s="14">
        <v>21</v>
      </c>
      <c r="AB74" s="14">
        <v>0</v>
      </c>
      <c r="AC74" s="14">
        <v>45</v>
      </c>
      <c r="AD74" s="14">
        <v>451.3</v>
      </c>
      <c r="AE74" s="14">
        <v>0</v>
      </c>
      <c r="AF74" s="14">
        <v>0</v>
      </c>
      <c r="AG74" s="14">
        <v>99.3</v>
      </c>
      <c r="AH74" s="14">
        <v>177.98</v>
      </c>
      <c r="AI74" s="14">
        <v>32348.2</v>
      </c>
      <c r="AJ74" s="14">
        <v>84</v>
      </c>
      <c r="AK74" s="15">
        <v>24</v>
      </c>
      <c r="AL74" s="13">
        <v>-2.1</v>
      </c>
      <c r="AM74" s="14">
        <v>17.100000000000001</v>
      </c>
      <c r="AN74" s="14">
        <v>7.6</v>
      </c>
      <c r="AO74" s="14">
        <v>5</v>
      </c>
      <c r="AP74" s="14">
        <v>0</v>
      </c>
      <c r="AQ74" s="14">
        <v>10</v>
      </c>
      <c r="AR74" s="14">
        <v>265.8</v>
      </c>
      <c r="AS74" s="14">
        <v>0</v>
      </c>
      <c r="AT74" s="14">
        <v>0</v>
      </c>
      <c r="AU74" s="14">
        <v>98.2</v>
      </c>
      <c r="AV74" s="14">
        <v>176.16</v>
      </c>
      <c r="AW74" s="14">
        <v>23364.9</v>
      </c>
      <c r="AX74" s="15">
        <v>27</v>
      </c>
      <c r="AY74" s="13">
        <v>6.9</v>
      </c>
      <c r="AZ74" s="14">
        <v>27.2</v>
      </c>
      <c r="BA74" s="14">
        <v>14.5</v>
      </c>
      <c r="BB74" s="14">
        <v>0</v>
      </c>
      <c r="BC74" s="14">
        <v>3</v>
      </c>
      <c r="BD74" s="14">
        <v>0</v>
      </c>
      <c r="BE74" s="14">
        <v>305.2</v>
      </c>
      <c r="BF74" s="14">
        <v>0</v>
      </c>
      <c r="BG74" s="14">
        <v>0</v>
      </c>
      <c r="BH74" s="14">
        <v>86.2</v>
      </c>
      <c r="BI74" s="14">
        <v>154.63999999999999</v>
      </c>
      <c r="BJ74" s="14">
        <v>31909.9</v>
      </c>
      <c r="BK74" s="14">
        <v>3</v>
      </c>
      <c r="BL74" s="15">
        <v>1.05</v>
      </c>
      <c r="BM74" s="13">
        <v>4.5999999999999996</v>
      </c>
      <c r="BN74" s="14">
        <v>25.2</v>
      </c>
      <c r="BO74" s="14">
        <v>13.5</v>
      </c>
      <c r="BP74" s="14">
        <v>0</v>
      </c>
      <c r="BQ74" s="14">
        <v>1</v>
      </c>
      <c r="BR74" s="14">
        <v>3</v>
      </c>
      <c r="BS74" s="14">
        <v>0</v>
      </c>
      <c r="BT74" s="14">
        <v>0</v>
      </c>
      <c r="BU74" s="14">
        <v>60.7</v>
      </c>
      <c r="BV74" s="14">
        <v>108.75</v>
      </c>
      <c r="BW74" s="14">
        <v>41701.5</v>
      </c>
      <c r="BX74" s="15">
        <v>5</v>
      </c>
      <c r="BY74" s="13">
        <v>12.1</v>
      </c>
      <c r="BZ74" s="14">
        <v>26.3</v>
      </c>
      <c r="CA74" s="14">
        <v>19.100000000000001</v>
      </c>
      <c r="CB74" s="14">
        <v>0</v>
      </c>
      <c r="CC74" s="14">
        <v>4</v>
      </c>
      <c r="CD74" s="14">
        <v>0</v>
      </c>
      <c r="CE74" s="14">
        <v>0</v>
      </c>
      <c r="CF74" s="14">
        <v>0</v>
      </c>
      <c r="CG74" s="14">
        <v>54.2</v>
      </c>
      <c r="CH74" s="14">
        <v>97.12</v>
      </c>
      <c r="CI74" s="14">
        <v>25184.400000000001</v>
      </c>
      <c r="CJ74" s="15">
        <v>3</v>
      </c>
      <c r="CK74" s="13">
        <v>10</v>
      </c>
      <c r="CL74" s="14">
        <v>26.7</v>
      </c>
      <c r="CM74" s="14">
        <v>18.2</v>
      </c>
      <c r="CN74" s="14">
        <v>0</v>
      </c>
      <c r="CO74" s="14">
        <v>2</v>
      </c>
      <c r="CP74" s="14">
        <v>0</v>
      </c>
      <c r="CQ74" s="14">
        <v>0</v>
      </c>
      <c r="CR74" s="14">
        <v>0</v>
      </c>
      <c r="CS74" s="14">
        <v>92.3</v>
      </c>
      <c r="CT74" s="14">
        <v>165.52</v>
      </c>
      <c r="CU74" s="14">
        <v>37371.199999999997</v>
      </c>
      <c r="CV74" s="15">
        <v>3</v>
      </c>
      <c r="CW74" s="14">
        <v>309.73</v>
      </c>
      <c r="CX74" s="14">
        <v>3.23</v>
      </c>
      <c r="CY74" s="14">
        <v>1.19</v>
      </c>
      <c r="CZ74" s="14">
        <v>40</v>
      </c>
      <c r="DA74" s="14">
        <v>170.01</v>
      </c>
      <c r="DB74" s="148">
        <f t="shared" si="1"/>
        <v>94.818739542665924</v>
      </c>
      <c r="DC74" s="14">
        <v>6</v>
      </c>
      <c r="DD74" s="14">
        <v>5</v>
      </c>
      <c r="DE74" s="14">
        <v>1</v>
      </c>
      <c r="DF74" s="14">
        <v>20.7</v>
      </c>
      <c r="DG74" s="14">
        <v>26</v>
      </c>
    </row>
    <row r="75" spans="1:111" ht="15.75" thickBot="1" x14ac:dyDescent="0.3">
      <c r="A75" s="79"/>
      <c r="B75" s="83"/>
      <c r="C75" s="81"/>
      <c r="D75" s="81"/>
      <c r="E75" s="33" t="s">
        <v>27</v>
      </c>
      <c r="F75" s="81"/>
      <c r="G75" s="21" t="s">
        <v>177</v>
      </c>
      <c r="H75" s="131"/>
      <c r="I75" s="53">
        <v>1846.5</v>
      </c>
      <c r="J75" s="16">
        <v>-0.9</v>
      </c>
      <c r="K75" s="17">
        <v>23.1</v>
      </c>
      <c r="L75" s="17">
        <v>11.9</v>
      </c>
      <c r="M75" s="17">
        <v>2</v>
      </c>
      <c r="N75" s="17">
        <v>0</v>
      </c>
      <c r="O75" s="17">
        <v>17</v>
      </c>
      <c r="P75" s="17">
        <v>1086.7</v>
      </c>
      <c r="Q75" s="17">
        <v>0</v>
      </c>
      <c r="R75" s="17">
        <v>6</v>
      </c>
      <c r="S75" s="17">
        <v>179.3</v>
      </c>
      <c r="T75" s="17">
        <v>80</v>
      </c>
      <c r="U75" s="17">
        <v>143.52000000000001</v>
      </c>
      <c r="V75" s="17">
        <v>59416.1</v>
      </c>
      <c r="W75" s="18">
        <v>66</v>
      </c>
      <c r="X75" s="16">
        <v>-9.1999999999999993</v>
      </c>
      <c r="Y75" s="17">
        <v>14.7</v>
      </c>
      <c r="Z75" s="17">
        <v>4.5999999999999996</v>
      </c>
      <c r="AA75" s="17">
        <v>21</v>
      </c>
      <c r="AB75" s="17">
        <v>0</v>
      </c>
      <c r="AC75" s="17">
        <v>45</v>
      </c>
      <c r="AD75" s="17">
        <v>451.3</v>
      </c>
      <c r="AE75" s="17">
        <v>0</v>
      </c>
      <c r="AF75" s="17">
        <v>0</v>
      </c>
      <c r="AG75" s="17">
        <v>99.3</v>
      </c>
      <c r="AH75" s="17">
        <v>177.98</v>
      </c>
      <c r="AI75" s="17">
        <v>32348.2</v>
      </c>
      <c r="AJ75" s="17">
        <v>84</v>
      </c>
      <c r="AK75" s="18">
        <v>24</v>
      </c>
      <c r="AL75" s="16">
        <v>-2.1</v>
      </c>
      <c r="AM75" s="17">
        <v>20.6</v>
      </c>
      <c r="AN75" s="17">
        <v>8</v>
      </c>
      <c r="AO75" s="17">
        <v>5</v>
      </c>
      <c r="AP75" s="17">
        <v>0</v>
      </c>
      <c r="AQ75" s="17">
        <v>10</v>
      </c>
      <c r="AR75" s="17">
        <v>296.60000000000002</v>
      </c>
      <c r="AS75" s="17">
        <v>0</v>
      </c>
      <c r="AT75" s="17">
        <v>0</v>
      </c>
      <c r="AU75" s="17">
        <v>98.1</v>
      </c>
      <c r="AV75" s="17">
        <v>175.89</v>
      </c>
      <c r="AW75" s="17">
        <v>25619.1</v>
      </c>
      <c r="AX75" s="18">
        <v>28</v>
      </c>
      <c r="AY75" s="16">
        <v>6.9</v>
      </c>
      <c r="AZ75" s="17">
        <v>27.2</v>
      </c>
      <c r="BA75" s="17">
        <v>14.2</v>
      </c>
      <c r="BB75" s="17">
        <v>0</v>
      </c>
      <c r="BC75" s="17">
        <v>3</v>
      </c>
      <c r="BD75" s="17">
        <v>0</v>
      </c>
      <c r="BE75" s="17">
        <v>297.2</v>
      </c>
      <c r="BF75" s="17">
        <v>0</v>
      </c>
      <c r="BG75" s="17">
        <v>0</v>
      </c>
      <c r="BH75" s="17">
        <v>84.1</v>
      </c>
      <c r="BI75" s="17">
        <v>150.78</v>
      </c>
      <c r="BJ75" s="17">
        <v>21412.2</v>
      </c>
      <c r="BK75" s="17">
        <v>3</v>
      </c>
      <c r="BL75" s="18">
        <v>1.06</v>
      </c>
      <c r="BM75" s="16">
        <v>4.5999999999999996</v>
      </c>
      <c r="BN75" s="17">
        <v>25.2</v>
      </c>
      <c r="BO75" s="17">
        <v>13.8</v>
      </c>
      <c r="BP75" s="17">
        <v>0</v>
      </c>
      <c r="BQ75" s="17">
        <v>1</v>
      </c>
      <c r="BR75" s="17">
        <v>3</v>
      </c>
      <c r="BS75" s="17">
        <v>0</v>
      </c>
      <c r="BT75" s="17">
        <v>0</v>
      </c>
      <c r="BU75" s="17">
        <v>58.7</v>
      </c>
      <c r="BV75" s="17">
        <v>105.29</v>
      </c>
      <c r="BW75" s="17">
        <v>42431.199999999997</v>
      </c>
      <c r="BX75" s="18">
        <v>4</v>
      </c>
      <c r="BY75" s="16">
        <v>12.3</v>
      </c>
      <c r="BZ75" s="17">
        <v>26.3</v>
      </c>
      <c r="CA75" s="17">
        <v>19.2</v>
      </c>
      <c r="CB75" s="17">
        <v>0</v>
      </c>
      <c r="CC75" s="17">
        <v>4</v>
      </c>
      <c r="CD75" s="17">
        <v>0</v>
      </c>
      <c r="CE75" s="17">
        <v>0</v>
      </c>
      <c r="CF75" s="17">
        <v>0</v>
      </c>
      <c r="CG75" s="17">
        <v>57.5</v>
      </c>
      <c r="CH75" s="17">
        <v>103.17</v>
      </c>
      <c r="CI75" s="17">
        <v>23763.1</v>
      </c>
      <c r="CJ75" s="18">
        <v>3</v>
      </c>
      <c r="CK75" s="16">
        <v>10</v>
      </c>
      <c r="CL75" s="17">
        <v>26.7</v>
      </c>
      <c r="CM75" s="17">
        <v>18.399999999999999</v>
      </c>
      <c r="CN75" s="17">
        <v>0</v>
      </c>
      <c r="CO75" s="17">
        <v>3</v>
      </c>
      <c r="CP75" s="17">
        <v>0</v>
      </c>
      <c r="CQ75" s="17">
        <v>0</v>
      </c>
      <c r="CR75" s="17">
        <v>0</v>
      </c>
      <c r="CS75" s="17">
        <v>91.1</v>
      </c>
      <c r="CT75" s="17">
        <v>163.41999999999999</v>
      </c>
      <c r="CU75" s="17">
        <v>39505.9</v>
      </c>
      <c r="CV75" s="18">
        <v>3</v>
      </c>
      <c r="CW75" s="17">
        <v>397.38</v>
      </c>
      <c r="CX75" s="17">
        <v>3.49</v>
      </c>
      <c r="CY75" s="17">
        <v>1.37</v>
      </c>
      <c r="CZ75" s="17">
        <v>147</v>
      </c>
      <c r="DA75" s="17">
        <v>173.29</v>
      </c>
      <c r="DB75" s="149">
        <f t="shared" si="1"/>
        <v>96.648075850529835</v>
      </c>
      <c r="DC75" s="17">
        <v>4.2</v>
      </c>
      <c r="DD75" s="17">
        <v>4.4000000000000004</v>
      </c>
      <c r="DE75" s="17">
        <v>2.2000000000000002</v>
      </c>
      <c r="DF75" s="17">
        <v>19.899999999999999</v>
      </c>
      <c r="DG75" s="17">
        <v>34</v>
      </c>
    </row>
    <row r="76" spans="1:111" x14ac:dyDescent="0.25">
      <c r="A76" s="74" t="s">
        <v>113</v>
      </c>
      <c r="B76" s="82"/>
      <c r="C76" s="76" t="s">
        <v>94</v>
      </c>
      <c r="D76" s="76" t="s">
        <v>128</v>
      </c>
      <c r="E76" s="32" t="s">
        <v>26</v>
      </c>
      <c r="F76" s="76" t="s">
        <v>33</v>
      </c>
      <c r="G76" s="19" t="s">
        <v>178</v>
      </c>
      <c r="H76" s="61" t="s">
        <v>144</v>
      </c>
      <c r="I76" s="54">
        <v>1710.7</v>
      </c>
      <c r="J76" s="9">
        <v>-2.2000000000000002</v>
      </c>
      <c r="K76" s="8">
        <v>24.7</v>
      </c>
      <c r="L76" s="8">
        <v>11.8</v>
      </c>
      <c r="M76" s="8">
        <v>3</v>
      </c>
      <c r="N76" s="8">
        <v>0</v>
      </c>
      <c r="O76" s="8">
        <v>17</v>
      </c>
      <c r="P76" s="8">
        <v>1017.6</v>
      </c>
      <c r="Q76" s="8">
        <v>4</v>
      </c>
      <c r="R76" s="8">
        <v>13</v>
      </c>
      <c r="S76" s="8">
        <v>138.9</v>
      </c>
      <c r="T76" s="8">
        <v>35</v>
      </c>
      <c r="U76" s="8">
        <v>48.6</v>
      </c>
      <c r="V76" s="8">
        <v>58649</v>
      </c>
      <c r="W76" s="10">
        <v>63</v>
      </c>
      <c r="X76" s="9">
        <v>-9.3000000000000007</v>
      </c>
      <c r="Y76" s="8">
        <v>14</v>
      </c>
      <c r="Z76" s="8">
        <v>4.5999999999999996</v>
      </c>
      <c r="AA76" s="8">
        <v>29</v>
      </c>
      <c r="AB76" s="8">
        <v>0</v>
      </c>
      <c r="AC76" s="8">
        <v>37</v>
      </c>
      <c r="AD76" s="8">
        <v>453.6</v>
      </c>
      <c r="AE76" s="8">
        <v>0</v>
      </c>
      <c r="AF76" s="8">
        <v>0</v>
      </c>
      <c r="AG76" s="8">
        <v>88.7</v>
      </c>
      <c r="AH76" s="8">
        <v>123.2</v>
      </c>
      <c r="AI76" s="8">
        <v>31894.6</v>
      </c>
      <c r="AJ76" s="8">
        <v>86</v>
      </c>
      <c r="AK76" s="10">
        <v>25</v>
      </c>
      <c r="AL76" s="9">
        <v>-2.4</v>
      </c>
      <c r="AM76" s="8">
        <v>16.8</v>
      </c>
      <c r="AN76" s="8">
        <v>7.4</v>
      </c>
      <c r="AO76" s="8">
        <v>4</v>
      </c>
      <c r="AP76" s="8">
        <v>0</v>
      </c>
      <c r="AQ76" s="8">
        <v>14</v>
      </c>
      <c r="AR76" s="8">
        <v>228.3</v>
      </c>
      <c r="AS76" s="8">
        <v>0</v>
      </c>
      <c r="AT76" s="8">
        <v>0</v>
      </c>
      <c r="AU76" s="8">
        <v>98.7</v>
      </c>
      <c r="AV76" s="8">
        <v>137.15</v>
      </c>
      <c r="AW76" s="8">
        <v>21697</v>
      </c>
      <c r="AX76" s="10">
        <v>23</v>
      </c>
      <c r="AY76" s="9">
        <v>4.2</v>
      </c>
      <c r="AZ76" s="8">
        <v>26.9</v>
      </c>
      <c r="BA76" s="8">
        <v>13.5</v>
      </c>
      <c r="BB76" s="8">
        <v>0</v>
      </c>
      <c r="BC76" s="8">
        <v>3</v>
      </c>
      <c r="BD76" s="8">
        <v>1</v>
      </c>
      <c r="BE76" s="8">
        <v>282.60000000000002</v>
      </c>
      <c r="BF76" s="8">
        <v>0</v>
      </c>
      <c r="BG76" s="8">
        <v>0</v>
      </c>
      <c r="BH76" s="8">
        <v>93.8</v>
      </c>
      <c r="BI76" s="8">
        <v>130.24</v>
      </c>
      <c r="BJ76" s="8">
        <v>25894.2</v>
      </c>
      <c r="BK76" s="8">
        <v>9</v>
      </c>
      <c r="BL76" s="10">
        <v>0.92</v>
      </c>
      <c r="BM76" s="9">
        <v>3</v>
      </c>
      <c r="BN76" s="8">
        <v>25.3</v>
      </c>
      <c r="BO76" s="8">
        <v>13</v>
      </c>
      <c r="BP76" s="8">
        <v>0</v>
      </c>
      <c r="BQ76" s="8">
        <v>2</v>
      </c>
      <c r="BR76" s="8">
        <v>2</v>
      </c>
      <c r="BS76" s="8">
        <v>0</v>
      </c>
      <c r="BT76" s="8">
        <v>0</v>
      </c>
      <c r="BU76" s="8">
        <v>62.7</v>
      </c>
      <c r="BV76" s="8">
        <v>87.15</v>
      </c>
      <c r="BW76" s="8">
        <v>40121.800000000003</v>
      </c>
      <c r="BX76" s="10">
        <v>6</v>
      </c>
      <c r="BY76" s="9">
        <v>8.1999999999999993</v>
      </c>
      <c r="BZ76" s="8">
        <v>26.1</v>
      </c>
      <c r="CA76" s="8">
        <v>17.7</v>
      </c>
      <c r="CB76" s="8">
        <v>0</v>
      </c>
      <c r="CC76" s="8">
        <v>3</v>
      </c>
      <c r="CD76" s="8">
        <v>0</v>
      </c>
      <c r="CE76" s="8">
        <v>0</v>
      </c>
      <c r="CF76" s="8">
        <v>13</v>
      </c>
      <c r="CG76" s="8">
        <v>31.6</v>
      </c>
      <c r="CH76" s="8">
        <v>43.89</v>
      </c>
      <c r="CI76" s="8">
        <v>31979.7</v>
      </c>
      <c r="CJ76" s="10">
        <v>2</v>
      </c>
      <c r="CK76" s="9">
        <v>9.1999999999999993</v>
      </c>
      <c r="CL76" s="8">
        <v>28.4</v>
      </c>
      <c r="CM76" s="8">
        <v>18.399999999999999</v>
      </c>
      <c r="CN76" s="8">
        <v>0</v>
      </c>
      <c r="CO76" s="8">
        <v>4</v>
      </c>
      <c r="CP76" s="8">
        <v>0</v>
      </c>
      <c r="CQ76" s="8">
        <v>0</v>
      </c>
      <c r="CR76" s="8">
        <v>6</v>
      </c>
      <c r="CS76" s="8">
        <v>34.5</v>
      </c>
      <c r="CT76" s="8">
        <v>47.96</v>
      </c>
      <c r="CU76" s="8">
        <v>37898</v>
      </c>
      <c r="CV76" s="10">
        <v>6</v>
      </c>
      <c r="CW76" s="8">
        <v>248.13</v>
      </c>
      <c r="CX76" s="8">
        <v>2.4</v>
      </c>
      <c r="CY76" s="8">
        <v>0.81</v>
      </c>
      <c r="CZ76" s="8">
        <v>30</v>
      </c>
      <c r="DA76" s="8">
        <v>134.97999999999999</v>
      </c>
      <c r="DB76" s="146">
        <f t="shared" si="1"/>
        <v>97.177825773938068</v>
      </c>
      <c r="DC76" s="8">
        <v>3</v>
      </c>
      <c r="DD76" s="8">
        <v>2</v>
      </c>
      <c r="DE76" s="8">
        <v>3</v>
      </c>
      <c r="DF76" s="8">
        <v>28.8</v>
      </c>
      <c r="DG76" s="8">
        <v>8</v>
      </c>
    </row>
    <row r="77" spans="1:111" ht="15.75" thickBot="1" x14ac:dyDescent="0.3">
      <c r="A77" s="75"/>
      <c r="B77" s="83"/>
      <c r="C77" s="77"/>
      <c r="D77" s="77"/>
      <c r="E77" s="42" t="s">
        <v>27</v>
      </c>
      <c r="F77" s="77"/>
      <c r="G77" s="41"/>
      <c r="H77" s="57"/>
      <c r="I77" s="57"/>
      <c r="J77" s="47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9"/>
      <c r="X77" s="47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9"/>
      <c r="AL77" s="47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9"/>
      <c r="AY77" s="47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9"/>
      <c r="BM77" s="47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9"/>
      <c r="BY77" s="47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9"/>
      <c r="CK77" s="47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9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</row>
    <row r="78" spans="1:111" x14ac:dyDescent="0.25">
      <c r="A78" s="78" t="s">
        <v>114</v>
      </c>
      <c r="B78" s="82"/>
      <c r="C78" s="80" t="s">
        <v>94</v>
      </c>
      <c r="D78" s="80" t="s">
        <v>129</v>
      </c>
      <c r="E78" s="32" t="s">
        <v>26</v>
      </c>
      <c r="F78" s="80" t="s">
        <v>33</v>
      </c>
      <c r="G78" s="20" t="s">
        <v>179</v>
      </c>
      <c r="H78" s="60" t="s">
        <v>144</v>
      </c>
      <c r="I78" s="52">
        <v>1778.6</v>
      </c>
      <c r="J78" s="13">
        <v>-2.2999999999999998</v>
      </c>
      <c r="K78" s="14">
        <v>24.8</v>
      </c>
      <c r="L78" s="14">
        <v>12</v>
      </c>
      <c r="M78" s="14">
        <v>3</v>
      </c>
      <c r="N78" s="14">
        <v>0</v>
      </c>
      <c r="O78" s="14">
        <v>16</v>
      </c>
      <c r="P78" s="14">
        <v>1066.9000000000001</v>
      </c>
      <c r="Q78" s="14">
        <v>4</v>
      </c>
      <c r="R78" s="14">
        <v>22</v>
      </c>
      <c r="S78" s="14">
        <v>138.9</v>
      </c>
      <c r="T78" s="14">
        <v>33.6</v>
      </c>
      <c r="U78" s="14">
        <v>46.65</v>
      </c>
      <c r="V78" s="14">
        <v>61643.4</v>
      </c>
      <c r="W78" s="15">
        <v>64</v>
      </c>
      <c r="X78" s="13">
        <v>-9.1999999999999993</v>
      </c>
      <c r="Y78" s="14">
        <v>14.1</v>
      </c>
      <c r="Z78" s="14">
        <v>4.7</v>
      </c>
      <c r="AA78" s="14">
        <v>30</v>
      </c>
      <c r="AB78" s="14">
        <v>0</v>
      </c>
      <c r="AC78" s="14">
        <v>36</v>
      </c>
      <c r="AD78" s="14">
        <v>459.8</v>
      </c>
      <c r="AE78" s="14">
        <v>0</v>
      </c>
      <c r="AF78" s="14">
        <v>0</v>
      </c>
      <c r="AG78" s="14">
        <v>88.4</v>
      </c>
      <c r="AH78" s="14">
        <v>122.83</v>
      </c>
      <c r="AI78" s="14">
        <v>31894.2</v>
      </c>
      <c r="AJ78" s="14">
        <v>86</v>
      </c>
      <c r="AK78" s="15">
        <v>25</v>
      </c>
      <c r="AL78" s="13">
        <v>-2.4</v>
      </c>
      <c r="AM78" s="14">
        <v>16.899999999999999</v>
      </c>
      <c r="AN78" s="14">
        <v>7.5</v>
      </c>
      <c r="AO78" s="14">
        <v>4</v>
      </c>
      <c r="AP78" s="14">
        <v>0</v>
      </c>
      <c r="AQ78" s="14">
        <v>14</v>
      </c>
      <c r="AR78" s="14">
        <v>240.9</v>
      </c>
      <c r="AS78" s="14">
        <v>0</v>
      </c>
      <c r="AT78" s="14">
        <v>0</v>
      </c>
      <c r="AU78" s="14">
        <v>98.8</v>
      </c>
      <c r="AV78" s="14">
        <v>137.19999999999999</v>
      </c>
      <c r="AW78" s="14">
        <v>22191</v>
      </c>
      <c r="AX78" s="15">
        <v>24</v>
      </c>
      <c r="AY78" s="13">
        <v>4.0999999999999996</v>
      </c>
      <c r="AZ78" s="14">
        <v>26.9</v>
      </c>
      <c r="BA78" s="14">
        <v>13.6</v>
      </c>
      <c r="BB78" s="14">
        <v>0</v>
      </c>
      <c r="BC78" s="14">
        <v>4</v>
      </c>
      <c r="BD78" s="14">
        <v>1</v>
      </c>
      <c r="BE78" s="14">
        <v>285.5</v>
      </c>
      <c r="BF78" s="14">
        <v>0</v>
      </c>
      <c r="BG78" s="14">
        <v>0</v>
      </c>
      <c r="BH78" s="14">
        <v>92.4</v>
      </c>
      <c r="BI78" s="14">
        <v>128.36000000000001</v>
      </c>
      <c r="BJ78" s="14">
        <v>22472.799999999999</v>
      </c>
      <c r="BK78" s="14">
        <v>9</v>
      </c>
      <c r="BL78" s="15">
        <v>0.96</v>
      </c>
      <c r="BM78" s="13">
        <v>2.9</v>
      </c>
      <c r="BN78" s="14">
        <v>25.4</v>
      </c>
      <c r="BO78" s="14">
        <v>13</v>
      </c>
      <c r="BP78" s="14">
        <v>0</v>
      </c>
      <c r="BQ78" s="14">
        <v>2</v>
      </c>
      <c r="BR78" s="14">
        <v>2</v>
      </c>
      <c r="BS78" s="14">
        <v>0</v>
      </c>
      <c r="BT78" s="14">
        <v>0</v>
      </c>
      <c r="BU78" s="14">
        <v>61.3</v>
      </c>
      <c r="BV78" s="14">
        <v>85.14</v>
      </c>
      <c r="BW78" s="14">
        <v>41057.599999999999</v>
      </c>
      <c r="BX78" s="15">
        <v>6</v>
      </c>
      <c r="BY78" s="13">
        <v>8.6999999999999993</v>
      </c>
      <c r="BZ78" s="14">
        <v>26.2</v>
      </c>
      <c r="CA78" s="14">
        <v>18</v>
      </c>
      <c r="CB78" s="14">
        <v>0</v>
      </c>
      <c r="CC78" s="14">
        <v>4</v>
      </c>
      <c r="CD78" s="14">
        <v>0</v>
      </c>
      <c r="CE78" s="14">
        <v>0</v>
      </c>
      <c r="CF78" s="14">
        <v>14</v>
      </c>
      <c r="CG78" s="14">
        <v>30.3</v>
      </c>
      <c r="CH78" s="14">
        <v>42.14</v>
      </c>
      <c r="CI78" s="14">
        <v>29015.3</v>
      </c>
      <c r="CJ78" s="15">
        <v>2</v>
      </c>
      <c r="CK78" s="13">
        <v>9.1</v>
      </c>
      <c r="CL78" s="14">
        <v>28.4</v>
      </c>
      <c r="CM78" s="14">
        <v>18.5</v>
      </c>
      <c r="CN78" s="14">
        <v>0</v>
      </c>
      <c r="CO78" s="14">
        <v>4</v>
      </c>
      <c r="CP78" s="14">
        <v>0</v>
      </c>
      <c r="CQ78" s="14">
        <v>0</v>
      </c>
      <c r="CR78" s="14">
        <v>6</v>
      </c>
      <c r="CS78" s="14">
        <v>35</v>
      </c>
      <c r="CT78" s="14">
        <v>48.59</v>
      </c>
      <c r="CU78" s="14">
        <v>37901.4</v>
      </c>
      <c r="CV78" s="15">
        <v>6</v>
      </c>
      <c r="CW78" s="14">
        <v>218.96</v>
      </c>
      <c r="CX78" s="14">
        <v>3.05</v>
      </c>
      <c r="CY78" s="14">
        <v>0.71</v>
      </c>
      <c r="CZ78" s="14">
        <v>0</v>
      </c>
      <c r="DA78" s="14">
        <v>0</v>
      </c>
      <c r="DB78" s="14">
        <f t="shared" si="1"/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13</v>
      </c>
    </row>
    <row r="79" spans="1:111" ht="15.75" thickBot="1" x14ac:dyDescent="0.3">
      <c r="A79" s="79"/>
      <c r="B79" s="83"/>
      <c r="C79" s="81"/>
      <c r="D79" s="81"/>
      <c r="E79" s="42" t="s">
        <v>27</v>
      </c>
      <c r="F79" s="81"/>
      <c r="G79" s="43"/>
      <c r="H79" s="56"/>
      <c r="I79" s="56"/>
      <c r="J79" s="44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6"/>
      <c r="X79" s="44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6"/>
      <c r="AL79" s="44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6"/>
      <c r="AY79" s="44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6"/>
      <c r="BM79" s="44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6"/>
      <c r="BY79" s="44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6"/>
      <c r="CK79" s="44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6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</row>
    <row r="80" spans="1:111" x14ac:dyDescent="0.25">
      <c r="A80" s="74" t="s">
        <v>115</v>
      </c>
      <c r="B80" s="82"/>
      <c r="C80" s="76" t="s">
        <v>94</v>
      </c>
      <c r="D80" s="76" t="s">
        <v>130</v>
      </c>
      <c r="E80" s="32" t="s">
        <v>26</v>
      </c>
      <c r="F80" s="76" t="s">
        <v>33</v>
      </c>
      <c r="G80" s="19" t="s">
        <v>192</v>
      </c>
      <c r="H80" s="61" t="s">
        <v>144</v>
      </c>
      <c r="I80" s="54">
        <v>1524</v>
      </c>
      <c r="J80" s="9">
        <v>0.4</v>
      </c>
      <c r="K80" s="8">
        <v>23.6</v>
      </c>
      <c r="L80" s="8">
        <v>12.3</v>
      </c>
      <c r="M80" s="8">
        <v>0</v>
      </c>
      <c r="N80" s="8">
        <v>0</v>
      </c>
      <c r="O80" s="8">
        <v>8</v>
      </c>
      <c r="P80" s="8">
        <v>776.5</v>
      </c>
      <c r="Q80" s="8">
        <v>4</v>
      </c>
      <c r="R80" s="8">
        <v>5</v>
      </c>
      <c r="S80" s="8">
        <v>153.9</v>
      </c>
      <c r="T80" s="8">
        <v>59.9</v>
      </c>
      <c r="U80" s="8">
        <v>92.14</v>
      </c>
      <c r="V80" s="8">
        <v>43416.3</v>
      </c>
      <c r="W80" s="10">
        <v>44</v>
      </c>
      <c r="X80" s="9">
        <v>-11.6</v>
      </c>
      <c r="Y80" s="8">
        <v>14.6</v>
      </c>
      <c r="Z80" s="8">
        <v>4.0999999999999996</v>
      </c>
      <c r="AA80" s="8">
        <v>36</v>
      </c>
      <c r="AB80" s="8">
        <v>0</v>
      </c>
      <c r="AC80" s="8">
        <v>55</v>
      </c>
      <c r="AD80" s="8">
        <v>515</v>
      </c>
      <c r="AE80" s="8">
        <v>0</v>
      </c>
      <c r="AF80" s="8">
        <v>0</v>
      </c>
      <c r="AG80" s="8">
        <v>96.6</v>
      </c>
      <c r="AH80" s="8">
        <v>148.72999999999999</v>
      </c>
      <c r="AI80" s="8">
        <v>38459.199999999997</v>
      </c>
      <c r="AJ80" s="8">
        <v>107</v>
      </c>
      <c r="AK80" s="10">
        <v>36</v>
      </c>
      <c r="AL80" s="9">
        <v>-3.2</v>
      </c>
      <c r="AM80" s="8">
        <v>16.2</v>
      </c>
      <c r="AN80" s="8">
        <v>6.5</v>
      </c>
      <c r="AO80" s="8">
        <v>5</v>
      </c>
      <c r="AP80" s="8">
        <v>0</v>
      </c>
      <c r="AQ80" s="8">
        <v>16</v>
      </c>
      <c r="AR80" s="8">
        <v>218.2</v>
      </c>
      <c r="AS80" s="8">
        <v>0</v>
      </c>
      <c r="AT80" s="8">
        <v>0</v>
      </c>
      <c r="AU80" s="8">
        <v>97.7</v>
      </c>
      <c r="AV80" s="8">
        <v>150.34</v>
      </c>
      <c r="AW80" s="8">
        <v>23044.1</v>
      </c>
      <c r="AX80" s="10">
        <v>23</v>
      </c>
      <c r="AY80" s="9">
        <v>4.8</v>
      </c>
      <c r="AZ80" s="8">
        <v>26.3</v>
      </c>
      <c r="BA80" s="8">
        <v>13.7</v>
      </c>
      <c r="BB80" s="8">
        <v>0</v>
      </c>
      <c r="BC80" s="8">
        <v>3</v>
      </c>
      <c r="BD80" s="8">
        <v>2</v>
      </c>
      <c r="BE80" s="8">
        <v>287.5</v>
      </c>
      <c r="BF80" s="8">
        <v>0</v>
      </c>
      <c r="BG80" s="8">
        <v>0</v>
      </c>
      <c r="BH80" s="8">
        <v>73.2</v>
      </c>
      <c r="BI80" s="8">
        <v>112.58</v>
      </c>
      <c r="BJ80" s="8">
        <v>34514</v>
      </c>
      <c r="BK80" s="8">
        <v>4</v>
      </c>
      <c r="BL80" s="10">
        <v>1.2</v>
      </c>
      <c r="BM80" s="9">
        <v>3.2</v>
      </c>
      <c r="BN80" s="8">
        <v>24.2</v>
      </c>
      <c r="BO80" s="8">
        <v>13.4</v>
      </c>
      <c r="BP80" s="8">
        <v>0</v>
      </c>
      <c r="BQ80" s="8">
        <v>0</v>
      </c>
      <c r="BR80" s="8">
        <v>2</v>
      </c>
      <c r="BS80" s="8">
        <v>0</v>
      </c>
      <c r="BT80" s="8">
        <v>1</v>
      </c>
      <c r="BU80" s="8">
        <v>47.1</v>
      </c>
      <c r="BV80" s="8">
        <v>72.53</v>
      </c>
      <c r="BW80" s="8">
        <v>43565</v>
      </c>
      <c r="BX80" s="10">
        <v>3</v>
      </c>
      <c r="BY80" s="9">
        <v>9.9</v>
      </c>
      <c r="BZ80" s="8">
        <v>27.7</v>
      </c>
      <c r="CA80" s="8">
        <v>19.2</v>
      </c>
      <c r="CB80" s="8">
        <v>0</v>
      </c>
      <c r="CC80" s="8">
        <v>6</v>
      </c>
      <c r="CD80" s="8">
        <v>0</v>
      </c>
      <c r="CE80" s="8">
        <v>0</v>
      </c>
      <c r="CF80" s="8">
        <v>16</v>
      </c>
      <c r="CG80" s="8">
        <v>22.4</v>
      </c>
      <c r="CH80" s="8">
        <v>34.51</v>
      </c>
      <c r="CI80" s="8">
        <v>25588.400000000001</v>
      </c>
      <c r="CJ80" s="10">
        <v>0</v>
      </c>
      <c r="CK80" s="9">
        <v>8.4</v>
      </c>
      <c r="CL80" s="8">
        <v>27.1</v>
      </c>
      <c r="CM80" s="8">
        <v>18.3</v>
      </c>
      <c r="CN80" s="8">
        <v>0</v>
      </c>
      <c r="CO80" s="8">
        <v>8</v>
      </c>
      <c r="CP80" s="8">
        <v>0</v>
      </c>
      <c r="CQ80" s="8">
        <v>2</v>
      </c>
      <c r="CR80" s="8">
        <v>21</v>
      </c>
      <c r="CS80" s="8">
        <v>14.4</v>
      </c>
      <c r="CT80" s="8">
        <v>22.19</v>
      </c>
      <c r="CU80" s="8">
        <v>42859</v>
      </c>
      <c r="CV80" s="10">
        <v>4</v>
      </c>
      <c r="CW80" s="8">
        <v>127.83</v>
      </c>
      <c r="CX80" s="8">
        <v>3.14</v>
      </c>
      <c r="CY80" s="8">
        <v>0.88</v>
      </c>
      <c r="CZ80" s="8">
        <v>0</v>
      </c>
      <c r="DA80" s="8">
        <v>0</v>
      </c>
      <c r="DB80" s="8">
        <f t="shared" si="1"/>
        <v>0</v>
      </c>
      <c r="DC80" s="8">
        <v>0</v>
      </c>
      <c r="DD80" s="8">
        <v>0</v>
      </c>
      <c r="DE80" s="8">
        <v>0</v>
      </c>
      <c r="DF80" s="8">
        <v>0</v>
      </c>
      <c r="DG80" s="8">
        <v>33</v>
      </c>
    </row>
    <row r="81" spans="1:111" ht="15.75" thickBot="1" x14ac:dyDescent="0.3">
      <c r="A81" s="75"/>
      <c r="B81" s="83"/>
      <c r="C81" s="77"/>
      <c r="D81" s="77"/>
      <c r="E81" s="42" t="s">
        <v>27</v>
      </c>
      <c r="F81" s="77"/>
      <c r="G81" s="41"/>
      <c r="H81" s="57"/>
      <c r="I81" s="57"/>
      <c r="J81" s="47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9"/>
      <c r="X81" s="47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9"/>
      <c r="AL81" s="47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9"/>
      <c r="AY81" s="47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9"/>
      <c r="BM81" s="47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9"/>
      <c r="BY81" s="47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9"/>
      <c r="CK81" s="47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9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</row>
    <row r="82" spans="1:111" x14ac:dyDescent="0.25">
      <c r="A82" s="78" t="s">
        <v>116</v>
      </c>
      <c r="B82" s="82"/>
      <c r="C82" s="80" t="s">
        <v>94</v>
      </c>
      <c r="D82" s="80" t="s">
        <v>131</v>
      </c>
      <c r="E82" s="32" t="s">
        <v>26</v>
      </c>
      <c r="F82" s="80" t="s">
        <v>33</v>
      </c>
      <c r="G82" s="20" t="s">
        <v>180</v>
      </c>
      <c r="H82" s="60" t="s">
        <v>144</v>
      </c>
      <c r="I82" s="52">
        <v>1881</v>
      </c>
      <c r="J82" s="13">
        <v>-2.6</v>
      </c>
      <c r="K82" s="14">
        <v>30.7</v>
      </c>
      <c r="L82" s="14">
        <v>12.1</v>
      </c>
      <c r="M82" s="14">
        <v>1</v>
      </c>
      <c r="N82" s="14">
        <v>2</v>
      </c>
      <c r="O82" s="14">
        <v>21</v>
      </c>
      <c r="P82" s="14">
        <v>1125.5999999999999</v>
      </c>
      <c r="Q82" s="14">
        <v>0</v>
      </c>
      <c r="R82" s="14">
        <v>16</v>
      </c>
      <c r="S82" s="14">
        <v>174</v>
      </c>
      <c r="T82" s="14">
        <v>55</v>
      </c>
      <c r="U82" s="14">
        <v>95.75</v>
      </c>
      <c r="V82" s="14">
        <v>57606.6</v>
      </c>
      <c r="W82" s="15">
        <v>70</v>
      </c>
      <c r="X82" s="13">
        <v>-8.5</v>
      </c>
      <c r="Y82" s="14">
        <v>14.2</v>
      </c>
      <c r="Z82" s="14">
        <v>4.4000000000000004</v>
      </c>
      <c r="AA82" s="14">
        <v>22</v>
      </c>
      <c r="AB82" s="14">
        <v>0</v>
      </c>
      <c r="AC82" s="14">
        <v>48</v>
      </c>
      <c r="AD82" s="14">
        <v>450.3</v>
      </c>
      <c r="AE82" s="14">
        <v>0</v>
      </c>
      <c r="AF82" s="14">
        <v>0</v>
      </c>
      <c r="AG82" s="14">
        <v>96</v>
      </c>
      <c r="AH82" s="14">
        <v>167.05</v>
      </c>
      <c r="AI82" s="14">
        <v>29109.4</v>
      </c>
      <c r="AJ82" s="14">
        <v>87</v>
      </c>
      <c r="AK82" s="15">
        <v>24</v>
      </c>
      <c r="AL82" s="13">
        <v>-1.8</v>
      </c>
      <c r="AM82" s="14">
        <v>18.399999999999999</v>
      </c>
      <c r="AN82" s="14">
        <v>7.9</v>
      </c>
      <c r="AO82" s="14">
        <v>4</v>
      </c>
      <c r="AP82" s="14">
        <v>0</v>
      </c>
      <c r="AQ82" s="14">
        <v>14</v>
      </c>
      <c r="AR82" s="14">
        <v>293.5</v>
      </c>
      <c r="AS82" s="14">
        <v>0</v>
      </c>
      <c r="AT82" s="14">
        <v>0</v>
      </c>
      <c r="AU82" s="14">
        <v>99.2</v>
      </c>
      <c r="AV82" s="14">
        <v>172.54</v>
      </c>
      <c r="AW82" s="14">
        <v>22894.5</v>
      </c>
      <c r="AX82" s="15">
        <v>32</v>
      </c>
      <c r="AY82" s="13">
        <v>3.4</v>
      </c>
      <c r="AZ82" s="14">
        <v>26.5</v>
      </c>
      <c r="BA82" s="14">
        <v>12.8</v>
      </c>
      <c r="BB82" s="14">
        <v>0</v>
      </c>
      <c r="BC82" s="14">
        <v>2</v>
      </c>
      <c r="BD82" s="14">
        <v>1</v>
      </c>
      <c r="BE82" s="14">
        <v>269.8</v>
      </c>
      <c r="BF82" s="14">
        <v>0</v>
      </c>
      <c r="BG82" s="14">
        <v>0</v>
      </c>
      <c r="BH82" s="14">
        <v>87.1</v>
      </c>
      <c r="BI82" s="14">
        <v>151.51</v>
      </c>
      <c r="BJ82" s="14">
        <v>31403.599999999999</v>
      </c>
      <c r="BK82" s="14">
        <v>5</v>
      </c>
      <c r="BL82" s="15">
        <v>1.1599999999999999</v>
      </c>
      <c r="BM82" s="13">
        <v>3.7</v>
      </c>
      <c r="BN82" s="14">
        <v>25.5</v>
      </c>
      <c r="BO82" s="14">
        <v>14.2</v>
      </c>
      <c r="BP82" s="14">
        <v>0</v>
      </c>
      <c r="BQ82" s="14">
        <v>3</v>
      </c>
      <c r="BR82" s="14">
        <v>1</v>
      </c>
      <c r="BS82" s="14">
        <v>0</v>
      </c>
      <c r="BT82" s="14">
        <v>0</v>
      </c>
      <c r="BU82" s="14">
        <v>58.8</v>
      </c>
      <c r="BV82" s="14">
        <v>102.33</v>
      </c>
      <c r="BW82" s="14">
        <v>41714.5</v>
      </c>
      <c r="BX82" s="15">
        <v>3</v>
      </c>
      <c r="BY82" s="13">
        <v>12.7</v>
      </c>
      <c r="BZ82" s="14">
        <v>25.5</v>
      </c>
      <c r="CA82" s="14">
        <v>18.8</v>
      </c>
      <c r="CB82" s="14">
        <v>0</v>
      </c>
      <c r="CC82" s="14">
        <v>2</v>
      </c>
      <c r="CD82" s="14">
        <v>0</v>
      </c>
      <c r="CE82" s="14">
        <v>0</v>
      </c>
      <c r="CF82" s="14">
        <v>0</v>
      </c>
      <c r="CG82" s="14">
        <v>58.2</v>
      </c>
      <c r="CH82" s="14">
        <v>101.22</v>
      </c>
      <c r="CI82" s="14">
        <v>20858.7</v>
      </c>
      <c r="CJ82" s="15">
        <v>3</v>
      </c>
      <c r="CK82" s="13">
        <v>10</v>
      </c>
      <c r="CL82" s="14">
        <v>29.7</v>
      </c>
      <c r="CM82" s="14">
        <v>18.899999999999999</v>
      </c>
      <c r="CN82" s="14">
        <v>0</v>
      </c>
      <c r="CO82" s="14">
        <v>7</v>
      </c>
      <c r="CP82" s="14">
        <v>0</v>
      </c>
      <c r="CQ82" s="14">
        <v>0</v>
      </c>
      <c r="CR82" s="14">
        <v>0</v>
      </c>
      <c r="CS82" s="14">
        <v>76.099999999999994</v>
      </c>
      <c r="CT82" s="14">
        <v>132.41999999999999</v>
      </c>
      <c r="CU82" s="14">
        <v>39060.5</v>
      </c>
      <c r="CV82" s="15">
        <v>6</v>
      </c>
      <c r="CW82" s="14">
        <v>381.61</v>
      </c>
      <c r="CX82" s="14">
        <v>6.21</v>
      </c>
      <c r="CY82" s="14">
        <v>1.25</v>
      </c>
      <c r="CZ82" s="14">
        <v>81</v>
      </c>
      <c r="DA82" s="14">
        <v>171.52</v>
      </c>
      <c r="DB82" s="148">
        <f t="shared" si="1"/>
        <v>98.574712643678154</v>
      </c>
      <c r="DC82" s="14">
        <v>1</v>
      </c>
      <c r="DD82" s="14">
        <v>4</v>
      </c>
      <c r="DE82" s="14">
        <v>2</v>
      </c>
      <c r="DF82" s="14">
        <v>15.2</v>
      </c>
      <c r="DG82" s="14">
        <v>28</v>
      </c>
    </row>
    <row r="83" spans="1:111" ht="15.75" thickBot="1" x14ac:dyDescent="0.3">
      <c r="A83" s="79"/>
      <c r="B83" s="83"/>
      <c r="C83" s="81"/>
      <c r="D83" s="81"/>
      <c r="E83" s="42" t="s">
        <v>27</v>
      </c>
      <c r="F83" s="81"/>
      <c r="G83" s="43"/>
      <c r="H83" s="56"/>
      <c r="I83" s="56"/>
      <c r="J83" s="44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6"/>
      <c r="X83" s="44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6"/>
      <c r="AL83" s="44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6"/>
      <c r="AY83" s="44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6"/>
      <c r="BM83" s="44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6"/>
      <c r="BY83" s="44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6"/>
      <c r="CK83" s="44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6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</row>
    <row r="84" spans="1:111" x14ac:dyDescent="0.25">
      <c r="A84" s="74" t="s">
        <v>117</v>
      </c>
      <c r="B84" s="82"/>
      <c r="C84" s="76" t="s">
        <v>94</v>
      </c>
      <c r="D84" s="76" t="s">
        <v>132</v>
      </c>
      <c r="E84" s="32" t="s">
        <v>26</v>
      </c>
      <c r="F84" s="76" t="s">
        <v>33</v>
      </c>
      <c r="G84" s="19" t="s">
        <v>181</v>
      </c>
      <c r="H84" s="61" t="s">
        <v>144</v>
      </c>
      <c r="I84" s="54">
        <v>1967.9</v>
      </c>
      <c r="J84" s="9">
        <v>-1.2</v>
      </c>
      <c r="K84" s="8">
        <v>30.3</v>
      </c>
      <c r="L84" s="8">
        <v>12.5</v>
      </c>
      <c r="M84" s="8">
        <v>1</v>
      </c>
      <c r="N84" s="8">
        <v>2</v>
      </c>
      <c r="O84" s="8">
        <v>11</v>
      </c>
      <c r="P84" s="8">
        <v>1188.9000000000001</v>
      </c>
      <c r="Q84" s="8">
        <v>1</v>
      </c>
      <c r="R84" s="8">
        <v>13</v>
      </c>
      <c r="S84" s="8">
        <v>153.6</v>
      </c>
      <c r="T84" s="8">
        <v>57.9</v>
      </c>
      <c r="U84" s="8">
        <v>89</v>
      </c>
      <c r="V84" s="8">
        <v>58732.7</v>
      </c>
      <c r="W84" s="10">
        <v>75</v>
      </c>
      <c r="X84" s="9">
        <v>-7.4</v>
      </c>
      <c r="Y84" s="8">
        <v>13.7</v>
      </c>
      <c r="Z84" s="8">
        <v>4.4000000000000004</v>
      </c>
      <c r="AA84" s="8">
        <v>18</v>
      </c>
      <c r="AB84" s="8">
        <v>0</v>
      </c>
      <c r="AC84" s="8">
        <v>56</v>
      </c>
      <c r="AD84" s="8">
        <v>443.7</v>
      </c>
      <c r="AE84" s="8">
        <v>0</v>
      </c>
      <c r="AF84" s="8">
        <v>0</v>
      </c>
      <c r="AG84" s="8">
        <v>98.1</v>
      </c>
      <c r="AH84" s="8">
        <v>150.63999999999999</v>
      </c>
      <c r="AI84" s="8">
        <v>31608.799999999999</v>
      </c>
      <c r="AJ84" s="8">
        <v>89</v>
      </c>
      <c r="AK84" s="10">
        <v>31</v>
      </c>
      <c r="AL84" s="9">
        <v>-1.7</v>
      </c>
      <c r="AM84" s="8">
        <v>20</v>
      </c>
      <c r="AN84" s="8">
        <v>7.7</v>
      </c>
      <c r="AO84" s="8">
        <v>4</v>
      </c>
      <c r="AP84" s="8">
        <v>0</v>
      </c>
      <c r="AQ84" s="8">
        <v>16</v>
      </c>
      <c r="AR84" s="8">
        <v>324.3</v>
      </c>
      <c r="AS84" s="8">
        <v>0</v>
      </c>
      <c r="AT84" s="8">
        <v>0</v>
      </c>
      <c r="AU84" s="8">
        <v>97.3</v>
      </c>
      <c r="AV84" s="8">
        <v>149.47999999999999</v>
      </c>
      <c r="AW84" s="8">
        <v>28332.2</v>
      </c>
      <c r="AX84" s="10">
        <v>29</v>
      </c>
      <c r="AY84" s="9">
        <v>4.5999999999999996</v>
      </c>
      <c r="AZ84" s="8">
        <v>25.1</v>
      </c>
      <c r="BA84" s="8">
        <v>12.7</v>
      </c>
      <c r="BB84" s="8">
        <v>0</v>
      </c>
      <c r="BC84" s="8">
        <v>1</v>
      </c>
      <c r="BD84" s="8">
        <v>1</v>
      </c>
      <c r="BE84" s="8">
        <v>266</v>
      </c>
      <c r="BF84" s="8">
        <v>0</v>
      </c>
      <c r="BG84" s="8">
        <v>0</v>
      </c>
      <c r="BH84" s="8">
        <v>83.5</v>
      </c>
      <c r="BI84" s="8">
        <v>128.21</v>
      </c>
      <c r="BJ84" s="8">
        <v>30470.799999999999</v>
      </c>
      <c r="BK84" s="8">
        <v>6</v>
      </c>
      <c r="BL84" s="10">
        <v>1.1499999999999999</v>
      </c>
      <c r="BM84" s="9">
        <v>5.3</v>
      </c>
      <c r="BN84" s="8">
        <v>26.9</v>
      </c>
      <c r="BO84" s="8">
        <v>14.3</v>
      </c>
      <c r="BP84" s="8">
        <v>0</v>
      </c>
      <c r="BQ84" s="8">
        <v>4</v>
      </c>
      <c r="BR84" s="8">
        <v>0</v>
      </c>
      <c r="BS84" s="8">
        <v>0</v>
      </c>
      <c r="BT84" s="8">
        <v>0</v>
      </c>
      <c r="BU84" s="8">
        <v>60.7</v>
      </c>
      <c r="BV84" s="8">
        <v>93.29</v>
      </c>
      <c r="BW84" s="8">
        <v>26527.8</v>
      </c>
      <c r="BX84" s="10">
        <v>8</v>
      </c>
      <c r="BY84" s="9">
        <v>11.3</v>
      </c>
      <c r="BZ84" s="8">
        <v>24.1</v>
      </c>
      <c r="CA84" s="8">
        <v>16.7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59.1</v>
      </c>
      <c r="CH84" s="8">
        <v>90.75</v>
      </c>
      <c r="CI84" s="8">
        <v>19670.400000000001</v>
      </c>
      <c r="CJ84" s="10">
        <v>8</v>
      </c>
      <c r="CK84" s="9">
        <v>7.5</v>
      </c>
      <c r="CL84" s="8">
        <v>29.4</v>
      </c>
      <c r="CM84" s="8">
        <v>18.3</v>
      </c>
      <c r="CN84" s="8">
        <v>0</v>
      </c>
      <c r="CO84" s="8">
        <v>9</v>
      </c>
      <c r="CP84" s="8">
        <v>0</v>
      </c>
      <c r="CQ84" s="8">
        <v>0</v>
      </c>
      <c r="CR84" s="8">
        <v>15</v>
      </c>
      <c r="CS84" s="8">
        <v>26.7</v>
      </c>
      <c r="CT84" s="8">
        <v>41</v>
      </c>
      <c r="CU84" s="8">
        <v>38997.1</v>
      </c>
      <c r="CV84" s="10">
        <v>2</v>
      </c>
      <c r="CW84" s="8">
        <v>329</v>
      </c>
      <c r="CX84" s="8">
        <v>5.39</v>
      </c>
      <c r="CY84" s="8">
        <v>1.05</v>
      </c>
      <c r="CZ84" s="8">
        <v>55</v>
      </c>
      <c r="DA84" s="8">
        <v>144.96</v>
      </c>
      <c r="DB84" s="146">
        <f t="shared" si="1"/>
        <v>94.375</v>
      </c>
      <c r="DC84" s="8">
        <v>3</v>
      </c>
      <c r="DD84" s="8">
        <v>9</v>
      </c>
      <c r="DE84" s="8">
        <v>0</v>
      </c>
      <c r="DF84" s="8">
        <v>1.3</v>
      </c>
      <c r="DG84" s="8">
        <v>31</v>
      </c>
    </row>
    <row r="85" spans="1:111" ht="15.75" thickBot="1" x14ac:dyDescent="0.3">
      <c r="A85" s="75"/>
      <c r="B85" s="83"/>
      <c r="C85" s="77"/>
      <c r="D85" s="77"/>
      <c r="E85" s="42" t="s">
        <v>27</v>
      </c>
      <c r="F85" s="77"/>
      <c r="G85" s="41"/>
      <c r="H85" s="57"/>
      <c r="I85" s="57"/>
      <c r="J85" s="47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9"/>
      <c r="X85" s="47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9"/>
      <c r="AL85" s="47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9"/>
      <c r="AY85" s="47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9"/>
      <c r="BM85" s="47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9"/>
      <c r="BY85" s="47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9"/>
      <c r="CK85" s="47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9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</row>
    <row r="86" spans="1:111" x14ac:dyDescent="0.25">
      <c r="A86" s="78" t="s">
        <v>118</v>
      </c>
      <c r="B86" s="82"/>
      <c r="C86" s="80" t="s">
        <v>94</v>
      </c>
      <c r="D86" s="80" t="s">
        <v>133</v>
      </c>
      <c r="E86" s="32" t="s">
        <v>26</v>
      </c>
      <c r="F86" s="80" t="s">
        <v>33</v>
      </c>
      <c r="G86" s="20" t="s">
        <v>182</v>
      </c>
      <c r="H86" s="60" t="s">
        <v>144</v>
      </c>
      <c r="I86" s="52">
        <v>1789.6</v>
      </c>
      <c r="J86" s="13">
        <v>-2.5</v>
      </c>
      <c r="K86" s="14">
        <v>30.6</v>
      </c>
      <c r="L86" s="14">
        <v>12</v>
      </c>
      <c r="M86" s="14">
        <v>1</v>
      </c>
      <c r="N86" s="14">
        <v>2</v>
      </c>
      <c r="O86" s="14">
        <v>21</v>
      </c>
      <c r="P86" s="14">
        <v>1118.5999999999999</v>
      </c>
      <c r="Q86" s="14">
        <v>0</v>
      </c>
      <c r="R86" s="14">
        <v>16</v>
      </c>
      <c r="S86" s="14">
        <v>218.9</v>
      </c>
      <c r="T86" s="14">
        <v>44.6</v>
      </c>
      <c r="U86" s="14">
        <v>97.7</v>
      </c>
      <c r="V86" s="14">
        <v>57572.7</v>
      </c>
      <c r="W86" s="15">
        <v>70</v>
      </c>
      <c r="X86" s="13">
        <v>-8.6999999999999993</v>
      </c>
      <c r="Y86" s="14">
        <v>14</v>
      </c>
      <c r="Z86" s="14">
        <v>4.3</v>
      </c>
      <c r="AA86" s="14">
        <v>22</v>
      </c>
      <c r="AB86" s="14">
        <v>0</v>
      </c>
      <c r="AC86" s="14">
        <v>50</v>
      </c>
      <c r="AD86" s="14">
        <v>441.1</v>
      </c>
      <c r="AE86" s="14">
        <v>0</v>
      </c>
      <c r="AF86" s="14">
        <v>0</v>
      </c>
      <c r="AG86" s="14">
        <v>90.3</v>
      </c>
      <c r="AH86" s="14">
        <v>197.65</v>
      </c>
      <c r="AI86" s="14">
        <v>29120.2</v>
      </c>
      <c r="AJ86" s="14">
        <v>87</v>
      </c>
      <c r="AK86" s="15">
        <v>24</v>
      </c>
      <c r="AL86" s="13">
        <v>-1.9</v>
      </c>
      <c r="AM86" s="14">
        <v>16.2</v>
      </c>
      <c r="AN86" s="14">
        <v>7.2</v>
      </c>
      <c r="AO86" s="14">
        <v>4</v>
      </c>
      <c r="AP86" s="14">
        <v>0</v>
      </c>
      <c r="AQ86" s="14">
        <v>13</v>
      </c>
      <c r="AR86" s="14">
        <v>222.2</v>
      </c>
      <c r="AS86" s="14">
        <v>0</v>
      </c>
      <c r="AT86" s="14">
        <v>0</v>
      </c>
      <c r="AU86" s="14">
        <v>99.4</v>
      </c>
      <c r="AV86" s="14">
        <v>217.54</v>
      </c>
      <c r="AW86" s="14">
        <v>18403.7</v>
      </c>
      <c r="AX86" s="15">
        <v>27</v>
      </c>
      <c r="AY86" s="13">
        <v>4</v>
      </c>
      <c r="AZ86" s="14">
        <v>26.4</v>
      </c>
      <c r="BA86" s="14">
        <v>13.3</v>
      </c>
      <c r="BB86" s="14">
        <v>0</v>
      </c>
      <c r="BC86" s="14">
        <v>2</v>
      </c>
      <c r="BD86" s="14">
        <v>1</v>
      </c>
      <c r="BE86" s="14">
        <v>280</v>
      </c>
      <c r="BF86" s="14">
        <v>0</v>
      </c>
      <c r="BG86" s="14">
        <v>0</v>
      </c>
      <c r="BH86" s="14">
        <v>94.5</v>
      </c>
      <c r="BI86" s="14">
        <v>206.8</v>
      </c>
      <c r="BJ86" s="14">
        <v>28472.6</v>
      </c>
      <c r="BK86" s="14">
        <v>8</v>
      </c>
      <c r="BL86" s="15">
        <v>1.02</v>
      </c>
      <c r="BM86" s="13">
        <v>3.4</v>
      </c>
      <c r="BN86" s="14">
        <v>25.4</v>
      </c>
      <c r="BO86" s="14">
        <v>12.7</v>
      </c>
      <c r="BP86" s="14">
        <v>0</v>
      </c>
      <c r="BQ86" s="14">
        <v>3</v>
      </c>
      <c r="BR86" s="14">
        <v>2</v>
      </c>
      <c r="BS86" s="14">
        <v>0</v>
      </c>
      <c r="BT86" s="14">
        <v>0</v>
      </c>
      <c r="BU86" s="14">
        <v>73.099999999999994</v>
      </c>
      <c r="BV86" s="14">
        <v>160.1</v>
      </c>
      <c r="BW86" s="14">
        <v>41810.5</v>
      </c>
      <c r="BX86" s="15">
        <v>5</v>
      </c>
      <c r="BY86" s="13">
        <v>7.4</v>
      </c>
      <c r="BZ86" s="14">
        <v>25.4</v>
      </c>
      <c r="CA86" s="14">
        <v>17.8</v>
      </c>
      <c r="CB86" s="14">
        <v>0</v>
      </c>
      <c r="CC86" s="14">
        <v>2</v>
      </c>
      <c r="CD86" s="14">
        <v>0</v>
      </c>
      <c r="CE86" s="14">
        <v>0</v>
      </c>
      <c r="CF86" s="14">
        <v>0</v>
      </c>
      <c r="CG86" s="14">
        <v>63.1</v>
      </c>
      <c r="CH86" s="14">
        <v>138.19999999999999</v>
      </c>
      <c r="CI86" s="14">
        <v>22510.7</v>
      </c>
      <c r="CJ86" s="15">
        <v>2</v>
      </c>
      <c r="CK86" s="13">
        <v>9.9</v>
      </c>
      <c r="CL86" s="14">
        <v>27.6</v>
      </c>
      <c r="CM86" s="14">
        <v>18.2</v>
      </c>
      <c r="CN86" s="14">
        <v>0</v>
      </c>
      <c r="CO86" s="14">
        <v>4</v>
      </c>
      <c r="CP86" s="14">
        <v>0</v>
      </c>
      <c r="CQ86" s="14">
        <v>0</v>
      </c>
      <c r="CR86" s="14">
        <v>0</v>
      </c>
      <c r="CS86" s="14">
        <v>82.2</v>
      </c>
      <c r="CT86" s="14">
        <v>179.9</v>
      </c>
      <c r="CU86" s="14">
        <v>39791.800000000003</v>
      </c>
      <c r="CV86" s="15">
        <v>7</v>
      </c>
      <c r="CW86" s="14">
        <v>470.9</v>
      </c>
      <c r="CX86" s="14">
        <v>4.92</v>
      </c>
      <c r="CY86" s="14">
        <v>1.33</v>
      </c>
      <c r="CZ86" s="14">
        <v>170</v>
      </c>
      <c r="DA86" s="14">
        <v>218.67</v>
      </c>
      <c r="DB86" s="148">
        <f t="shared" si="1"/>
        <v>99.894929191411606</v>
      </c>
      <c r="DC86" s="14">
        <v>4</v>
      </c>
      <c r="DD86" s="14">
        <v>1</v>
      </c>
      <c r="DE86" s="14">
        <v>4</v>
      </c>
      <c r="DF86" s="14">
        <v>40.799999999999997</v>
      </c>
      <c r="DG86" s="14">
        <v>13</v>
      </c>
    </row>
    <row r="87" spans="1:111" ht="15.75" thickBot="1" x14ac:dyDescent="0.3">
      <c r="A87" s="79"/>
      <c r="B87" s="83"/>
      <c r="C87" s="81"/>
      <c r="D87" s="81"/>
      <c r="E87" s="42" t="s">
        <v>27</v>
      </c>
      <c r="F87" s="81"/>
      <c r="G87" s="43"/>
      <c r="H87" s="56"/>
      <c r="I87" s="56"/>
      <c r="J87" s="44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6"/>
      <c r="X87" s="44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6"/>
      <c r="AL87" s="44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6"/>
      <c r="AY87" s="44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6"/>
      <c r="BM87" s="44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6"/>
      <c r="BY87" s="44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6"/>
      <c r="CK87" s="44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6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</row>
    <row r="88" spans="1:111" x14ac:dyDescent="0.25">
      <c r="A88" s="74" t="s">
        <v>119</v>
      </c>
      <c r="B88" s="82"/>
      <c r="C88" s="76" t="s">
        <v>94</v>
      </c>
      <c r="D88" s="76" t="s">
        <v>134</v>
      </c>
      <c r="E88" s="32" t="s">
        <v>26</v>
      </c>
      <c r="F88" s="76" t="s">
        <v>33</v>
      </c>
      <c r="G88" s="19" t="s">
        <v>183</v>
      </c>
      <c r="H88" s="61" t="s">
        <v>144</v>
      </c>
      <c r="I88" s="54">
        <v>1827.8</v>
      </c>
      <c r="J88" s="9">
        <v>-2.5</v>
      </c>
      <c r="K88" s="8">
        <v>30.6</v>
      </c>
      <c r="L88" s="8">
        <v>12</v>
      </c>
      <c r="M88" s="8">
        <v>1</v>
      </c>
      <c r="N88" s="8">
        <v>2</v>
      </c>
      <c r="O88" s="8">
        <v>21</v>
      </c>
      <c r="P88" s="8">
        <v>1118.5999999999999</v>
      </c>
      <c r="Q88" s="8">
        <v>0</v>
      </c>
      <c r="R88" s="8">
        <v>16</v>
      </c>
      <c r="S88" s="8">
        <v>218.9</v>
      </c>
      <c r="T88" s="8">
        <v>44.6</v>
      </c>
      <c r="U88" s="8">
        <v>97.7</v>
      </c>
      <c r="V88" s="8">
        <v>57572.7</v>
      </c>
      <c r="W88" s="10">
        <v>70</v>
      </c>
      <c r="X88" s="9">
        <v>-8.6999999999999993</v>
      </c>
      <c r="Y88" s="8">
        <v>14</v>
      </c>
      <c r="Z88" s="8">
        <v>4.3</v>
      </c>
      <c r="AA88" s="8">
        <v>22</v>
      </c>
      <c r="AB88" s="8">
        <v>0</v>
      </c>
      <c r="AC88" s="8">
        <v>50</v>
      </c>
      <c r="AD88" s="8">
        <v>441.1</v>
      </c>
      <c r="AE88" s="8">
        <v>0</v>
      </c>
      <c r="AF88" s="8">
        <v>0</v>
      </c>
      <c r="AG88" s="8">
        <v>90.3</v>
      </c>
      <c r="AH88" s="8">
        <v>197.65</v>
      </c>
      <c r="AI88" s="8">
        <v>29120.2</v>
      </c>
      <c r="AJ88" s="8">
        <v>87</v>
      </c>
      <c r="AK88" s="10">
        <v>24</v>
      </c>
      <c r="AL88" s="9">
        <v>-1.9</v>
      </c>
      <c r="AM88" s="8">
        <v>16.399999999999999</v>
      </c>
      <c r="AN88" s="8">
        <v>7.5</v>
      </c>
      <c r="AO88" s="8">
        <v>4</v>
      </c>
      <c r="AP88" s="8">
        <v>0</v>
      </c>
      <c r="AQ88" s="8">
        <v>14</v>
      </c>
      <c r="AR88" s="8">
        <v>254.3</v>
      </c>
      <c r="AS88" s="8">
        <v>0</v>
      </c>
      <c r="AT88" s="8">
        <v>0</v>
      </c>
      <c r="AU88" s="8">
        <v>99.3</v>
      </c>
      <c r="AV88" s="8">
        <v>217.43</v>
      </c>
      <c r="AW88" s="8">
        <v>21681.200000000001</v>
      </c>
      <c r="AX88" s="10">
        <v>29</v>
      </c>
      <c r="AY88" s="9">
        <v>6.1</v>
      </c>
      <c r="AZ88" s="8">
        <v>26.4</v>
      </c>
      <c r="BA88" s="8">
        <v>13.4</v>
      </c>
      <c r="BB88" s="8">
        <v>0</v>
      </c>
      <c r="BC88" s="8">
        <v>2</v>
      </c>
      <c r="BD88" s="8">
        <v>0</v>
      </c>
      <c r="BE88" s="8">
        <v>281.3</v>
      </c>
      <c r="BF88" s="8">
        <v>0</v>
      </c>
      <c r="BG88" s="8">
        <v>0</v>
      </c>
      <c r="BH88" s="8">
        <v>91.9</v>
      </c>
      <c r="BI88" s="8">
        <v>201.06</v>
      </c>
      <c r="BJ88" s="8">
        <v>29936.400000000001</v>
      </c>
      <c r="BK88" s="8">
        <v>6</v>
      </c>
      <c r="BL88" s="10">
        <v>1.06</v>
      </c>
      <c r="BM88" s="9">
        <v>3.4</v>
      </c>
      <c r="BN88" s="8">
        <v>25.4</v>
      </c>
      <c r="BO88" s="8">
        <v>13.1</v>
      </c>
      <c r="BP88" s="8">
        <v>0</v>
      </c>
      <c r="BQ88" s="8">
        <v>3</v>
      </c>
      <c r="BR88" s="8">
        <v>2</v>
      </c>
      <c r="BS88" s="8">
        <v>0</v>
      </c>
      <c r="BT88" s="8">
        <v>0</v>
      </c>
      <c r="BU88" s="8">
        <v>70.7</v>
      </c>
      <c r="BV88" s="8">
        <v>154.78</v>
      </c>
      <c r="BW88" s="8">
        <v>41118.9</v>
      </c>
      <c r="BX88" s="10">
        <v>5</v>
      </c>
      <c r="BY88" s="9">
        <v>11.5</v>
      </c>
      <c r="BZ88" s="8">
        <v>25.4</v>
      </c>
      <c r="CA88" s="8">
        <v>18.100000000000001</v>
      </c>
      <c r="CB88" s="8">
        <v>0</v>
      </c>
      <c r="CC88" s="8">
        <v>2</v>
      </c>
      <c r="CD88" s="8">
        <v>0</v>
      </c>
      <c r="CE88" s="8">
        <v>0</v>
      </c>
      <c r="CF88" s="8">
        <v>0</v>
      </c>
      <c r="CG88" s="8">
        <v>65.2</v>
      </c>
      <c r="CH88" s="8">
        <v>142.76</v>
      </c>
      <c r="CI88" s="8">
        <v>20316.099999999999</v>
      </c>
      <c r="CJ88" s="10">
        <v>3</v>
      </c>
      <c r="CK88" s="9">
        <v>9.9</v>
      </c>
      <c r="CL88" s="8">
        <v>27.6</v>
      </c>
      <c r="CM88" s="8">
        <v>18.399999999999999</v>
      </c>
      <c r="CN88" s="8">
        <v>0</v>
      </c>
      <c r="CO88" s="8">
        <v>5</v>
      </c>
      <c r="CP88" s="8">
        <v>0</v>
      </c>
      <c r="CQ88" s="8">
        <v>0</v>
      </c>
      <c r="CR88" s="8">
        <v>0</v>
      </c>
      <c r="CS88" s="8">
        <v>81.400000000000006</v>
      </c>
      <c r="CT88" s="8">
        <v>178.29</v>
      </c>
      <c r="CU88" s="8">
        <v>39742</v>
      </c>
      <c r="CV88" s="10">
        <v>6</v>
      </c>
      <c r="CW88" s="8">
        <v>332.94</v>
      </c>
      <c r="CX88" s="8">
        <v>3.15</v>
      </c>
      <c r="CY88" s="8">
        <v>1.4</v>
      </c>
      <c r="CZ88" s="8">
        <v>40</v>
      </c>
      <c r="DA88" s="8">
        <v>216.73</v>
      </c>
      <c r="DB88" s="146">
        <f t="shared" si="1"/>
        <v>99.008679762448608</v>
      </c>
      <c r="DC88" s="8">
        <v>3</v>
      </c>
      <c r="DD88" s="8">
        <v>4.5</v>
      </c>
      <c r="DE88" s="8">
        <v>3</v>
      </c>
      <c r="DF88" s="8">
        <v>13.6</v>
      </c>
      <c r="DG88" s="8" t="s">
        <v>193</v>
      </c>
    </row>
    <row r="89" spans="1:111" ht="15.75" thickBot="1" x14ac:dyDescent="0.3">
      <c r="A89" s="75"/>
      <c r="B89" s="83"/>
      <c r="C89" s="77"/>
      <c r="D89" s="77"/>
      <c r="E89" s="42" t="s">
        <v>27</v>
      </c>
      <c r="F89" s="77"/>
      <c r="G89" s="41"/>
      <c r="H89" s="57"/>
      <c r="I89" s="57"/>
      <c r="J89" s="47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9"/>
      <c r="X89" s="47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9"/>
      <c r="AL89" s="47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9"/>
      <c r="AY89" s="47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9"/>
      <c r="BM89" s="47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9"/>
      <c r="BY89" s="47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9"/>
      <c r="CK89" s="47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9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</row>
    <row r="90" spans="1:111" x14ac:dyDescent="0.25">
      <c r="A90" s="78" t="s">
        <v>120</v>
      </c>
      <c r="B90" s="84"/>
      <c r="C90" s="80" t="s">
        <v>94</v>
      </c>
      <c r="D90" s="80" t="s">
        <v>135</v>
      </c>
      <c r="E90" s="58" t="s">
        <v>26</v>
      </c>
      <c r="F90" s="78" t="s">
        <v>33</v>
      </c>
      <c r="G90" s="20" t="s">
        <v>192</v>
      </c>
      <c r="H90" s="60" t="s">
        <v>144</v>
      </c>
      <c r="I90" s="52" t="s">
        <v>144</v>
      </c>
      <c r="J90" s="13" t="s">
        <v>204</v>
      </c>
      <c r="K90" s="14" t="s">
        <v>204</v>
      </c>
      <c r="L90" s="14" t="s">
        <v>204</v>
      </c>
      <c r="M90" s="14" t="s">
        <v>204</v>
      </c>
      <c r="N90" s="14" t="s">
        <v>204</v>
      </c>
      <c r="O90" s="14" t="s">
        <v>204</v>
      </c>
      <c r="P90" s="14" t="s">
        <v>204</v>
      </c>
      <c r="Q90" s="14" t="s">
        <v>204</v>
      </c>
      <c r="R90" s="14" t="s">
        <v>204</v>
      </c>
      <c r="S90" s="14" t="s">
        <v>204</v>
      </c>
      <c r="T90" s="14" t="s">
        <v>204</v>
      </c>
      <c r="U90" s="14" t="s">
        <v>204</v>
      </c>
      <c r="V90" s="14" t="s">
        <v>205</v>
      </c>
      <c r="W90" s="15" t="s">
        <v>204</v>
      </c>
      <c r="X90" s="13" t="s">
        <v>204</v>
      </c>
      <c r="Y90" s="14" t="s">
        <v>204</v>
      </c>
      <c r="Z90" s="14" t="s">
        <v>204</v>
      </c>
      <c r="AA90" s="14" t="s">
        <v>204</v>
      </c>
      <c r="AB90" s="14" t="s">
        <v>204</v>
      </c>
      <c r="AC90" s="14" t="s">
        <v>204</v>
      </c>
      <c r="AD90" s="14" t="s">
        <v>204</v>
      </c>
      <c r="AE90" s="14" t="s">
        <v>204</v>
      </c>
      <c r="AF90" s="14" t="s">
        <v>204</v>
      </c>
      <c r="AG90" s="14" t="s">
        <v>204</v>
      </c>
      <c r="AH90" s="14" t="s">
        <v>204</v>
      </c>
      <c r="AI90" s="14" t="s">
        <v>204</v>
      </c>
      <c r="AJ90" s="14" t="s">
        <v>204</v>
      </c>
      <c r="AK90" s="15" t="s">
        <v>204</v>
      </c>
      <c r="AL90" s="13" t="s">
        <v>204</v>
      </c>
      <c r="AM90" s="14" t="s">
        <v>204</v>
      </c>
      <c r="AN90" s="14" t="s">
        <v>204</v>
      </c>
      <c r="AO90" s="14" t="s">
        <v>204</v>
      </c>
      <c r="AP90" s="14" t="s">
        <v>204</v>
      </c>
      <c r="AQ90" s="14" t="s">
        <v>204</v>
      </c>
      <c r="AR90" s="14" t="s">
        <v>204</v>
      </c>
      <c r="AS90" s="14" t="s">
        <v>204</v>
      </c>
      <c r="AT90" s="14" t="s">
        <v>204</v>
      </c>
      <c r="AU90" s="14" t="s">
        <v>204</v>
      </c>
      <c r="AV90" s="14" t="s">
        <v>204</v>
      </c>
      <c r="AW90" s="14" t="s">
        <v>204</v>
      </c>
      <c r="AX90" s="15" t="s">
        <v>204</v>
      </c>
      <c r="AY90" s="13" t="s">
        <v>204</v>
      </c>
      <c r="AZ90" s="14" t="s">
        <v>204</v>
      </c>
      <c r="BA90" s="14" t="s">
        <v>204</v>
      </c>
      <c r="BB90" s="14" t="s">
        <v>204</v>
      </c>
      <c r="BC90" s="14" t="s">
        <v>204</v>
      </c>
      <c r="BD90" s="14" t="s">
        <v>204</v>
      </c>
      <c r="BE90" s="14" t="s">
        <v>204</v>
      </c>
      <c r="BF90" s="14" t="s">
        <v>204</v>
      </c>
      <c r="BG90" s="14" t="s">
        <v>204</v>
      </c>
      <c r="BH90" s="14" t="s">
        <v>204</v>
      </c>
      <c r="BI90" s="14" t="s">
        <v>204</v>
      </c>
      <c r="BJ90" s="14" t="s">
        <v>204</v>
      </c>
      <c r="BK90" s="14" t="s">
        <v>204</v>
      </c>
      <c r="BL90" s="15" t="s">
        <v>204</v>
      </c>
      <c r="BM90" s="13" t="s">
        <v>204</v>
      </c>
      <c r="BN90" s="14" t="s">
        <v>204</v>
      </c>
      <c r="BO90" s="14" t="s">
        <v>204</v>
      </c>
      <c r="BP90" s="14" t="s">
        <v>204</v>
      </c>
      <c r="BQ90" s="14" t="s">
        <v>204</v>
      </c>
      <c r="BR90" s="14" t="s">
        <v>204</v>
      </c>
      <c r="BS90" s="14" t="s">
        <v>204</v>
      </c>
      <c r="BT90" s="14" t="s">
        <v>204</v>
      </c>
      <c r="BU90" s="14" t="s">
        <v>204</v>
      </c>
      <c r="BV90" s="14" t="s">
        <v>204</v>
      </c>
      <c r="BW90" s="14" t="s">
        <v>204</v>
      </c>
      <c r="BX90" s="15" t="s">
        <v>204</v>
      </c>
      <c r="BY90" s="13" t="s">
        <v>204</v>
      </c>
      <c r="BZ90" s="14" t="s">
        <v>204</v>
      </c>
      <c r="CA90" s="14" t="s">
        <v>204</v>
      </c>
      <c r="CB90" s="14" t="s">
        <v>204</v>
      </c>
      <c r="CC90" s="14" t="s">
        <v>204</v>
      </c>
      <c r="CD90" s="14" t="s">
        <v>204</v>
      </c>
      <c r="CE90" s="14" t="s">
        <v>204</v>
      </c>
      <c r="CF90" s="14" t="s">
        <v>204</v>
      </c>
      <c r="CG90" s="14" t="s">
        <v>204</v>
      </c>
      <c r="CH90" s="14" t="s">
        <v>204</v>
      </c>
      <c r="CI90" s="14" t="s">
        <v>204</v>
      </c>
      <c r="CJ90" s="15" t="s">
        <v>204</v>
      </c>
      <c r="CK90" s="13" t="s">
        <v>204</v>
      </c>
      <c r="CL90" s="14" t="s">
        <v>204</v>
      </c>
      <c r="CM90" s="14" t="s">
        <v>204</v>
      </c>
      <c r="CN90" s="14" t="s">
        <v>204</v>
      </c>
      <c r="CO90" s="14" t="s">
        <v>204</v>
      </c>
      <c r="CP90" s="14" t="s">
        <v>204</v>
      </c>
      <c r="CQ90" s="14" t="s">
        <v>204</v>
      </c>
      <c r="CR90" s="14" t="s">
        <v>204</v>
      </c>
      <c r="CS90" s="14" t="s">
        <v>204</v>
      </c>
      <c r="CT90" s="14" t="s">
        <v>204</v>
      </c>
      <c r="CU90" s="14" t="s">
        <v>204</v>
      </c>
      <c r="CV90" s="15" t="s">
        <v>204</v>
      </c>
      <c r="CW90" s="14">
        <v>324.63</v>
      </c>
      <c r="CX90" s="14">
        <v>3.31</v>
      </c>
      <c r="CY90" s="14">
        <v>1.06</v>
      </c>
      <c r="CZ90" s="14">
        <v>95</v>
      </c>
      <c r="DA90" s="14" t="s">
        <v>204</v>
      </c>
      <c r="DB90" s="14"/>
      <c r="DC90" s="14" t="s">
        <v>204</v>
      </c>
      <c r="DD90" s="14" t="s">
        <v>204</v>
      </c>
      <c r="DE90" s="14" t="s">
        <v>204</v>
      </c>
      <c r="DF90" s="14" t="s">
        <v>204</v>
      </c>
      <c r="DG90" s="14" t="s">
        <v>193</v>
      </c>
    </row>
    <row r="91" spans="1:111" ht="15.75" thickBot="1" x14ac:dyDescent="0.3">
      <c r="A91" s="79"/>
      <c r="B91" s="85"/>
      <c r="C91" s="81"/>
      <c r="D91" s="81"/>
      <c r="E91" s="59" t="s">
        <v>27</v>
      </c>
      <c r="F91" s="79"/>
      <c r="G91" s="43"/>
      <c r="H91" s="56"/>
      <c r="I91" s="56"/>
      <c r="J91" s="44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6"/>
      <c r="X91" s="44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6"/>
      <c r="AL91" s="44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6"/>
      <c r="AY91" s="44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6"/>
      <c r="BM91" s="44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6"/>
      <c r="BY91" s="44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6"/>
      <c r="CK91" s="44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6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</row>
  </sheetData>
  <mergeCells count="290"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H38:H39"/>
    <mergeCell ref="H40:H41"/>
    <mergeCell ref="H42:H43"/>
    <mergeCell ref="H44:H45"/>
    <mergeCell ref="H64:H65"/>
    <mergeCell ref="H66:H67"/>
    <mergeCell ref="H68:H69"/>
    <mergeCell ref="H74:H7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CW1:DG1"/>
    <mergeCell ref="F2:F3"/>
    <mergeCell ref="A4:A5"/>
    <mergeCell ref="A6:A7"/>
    <mergeCell ref="A8:A9"/>
    <mergeCell ref="A10:A11"/>
    <mergeCell ref="A12:A13"/>
    <mergeCell ref="F30:F31"/>
    <mergeCell ref="F32:F33"/>
    <mergeCell ref="C20:C21"/>
    <mergeCell ref="D20:D21"/>
    <mergeCell ref="C22:C23"/>
    <mergeCell ref="D22:D23"/>
    <mergeCell ref="C12:C13"/>
    <mergeCell ref="D12:D13"/>
    <mergeCell ref="C14:C15"/>
    <mergeCell ref="D14:D15"/>
    <mergeCell ref="C16:C17"/>
    <mergeCell ref="D16:D17"/>
    <mergeCell ref="C6:C7"/>
    <mergeCell ref="D6:D7"/>
    <mergeCell ref="C8:C9"/>
    <mergeCell ref="D8:D9"/>
    <mergeCell ref="C10:C11"/>
    <mergeCell ref="DA2:DF2"/>
    <mergeCell ref="F18:F19"/>
    <mergeCell ref="F20:F21"/>
    <mergeCell ref="F22:F23"/>
    <mergeCell ref="F24:F25"/>
    <mergeCell ref="F26:F27"/>
    <mergeCell ref="F28:F29"/>
    <mergeCell ref="CU2:CV2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J2:P2"/>
    <mergeCell ref="V2:W2"/>
    <mergeCell ref="C26:C27"/>
    <mergeCell ref="D26:D27"/>
    <mergeCell ref="C28:C29"/>
    <mergeCell ref="D28:D29"/>
    <mergeCell ref="C18:C19"/>
    <mergeCell ref="D18:D19"/>
    <mergeCell ref="F34:F35"/>
    <mergeCell ref="F36:F37"/>
    <mergeCell ref="CW2:CY2"/>
    <mergeCell ref="H30:H31"/>
    <mergeCell ref="H32:H33"/>
    <mergeCell ref="H34:H35"/>
    <mergeCell ref="H36:H37"/>
    <mergeCell ref="CK2:CP2"/>
    <mergeCell ref="CE2:CH2"/>
    <mergeCell ref="BS2:BV2"/>
    <mergeCell ref="C2:C3"/>
    <mergeCell ref="J1:W1"/>
    <mergeCell ref="X2:AD2"/>
    <mergeCell ref="Q2:U2"/>
    <mergeCell ref="AE2:AH2"/>
    <mergeCell ref="AS2:AV2"/>
    <mergeCell ref="C36:C37"/>
    <mergeCell ref="D36:D37"/>
    <mergeCell ref="D2:D3"/>
    <mergeCell ref="F4:F5"/>
    <mergeCell ref="F6:F7"/>
    <mergeCell ref="F8:F9"/>
    <mergeCell ref="F10:F11"/>
    <mergeCell ref="F12:F13"/>
    <mergeCell ref="F14:F15"/>
    <mergeCell ref="F16:F17"/>
    <mergeCell ref="C30:C31"/>
    <mergeCell ref="D30:D31"/>
    <mergeCell ref="C32:C33"/>
    <mergeCell ref="D32:D33"/>
    <mergeCell ref="C34:C35"/>
    <mergeCell ref="D34:D35"/>
    <mergeCell ref="C24:C25"/>
    <mergeCell ref="D10:D11"/>
    <mergeCell ref="D24:D25"/>
    <mergeCell ref="A38:A39"/>
    <mergeCell ref="C38:C39"/>
    <mergeCell ref="D38:D39"/>
    <mergeCell ref="F38:F39"/>
    <mergeCell ref="A1:A3"/>
    <mergeCell ref="CK1:CV1"/>
    <mergeCell ref="D4:D5"/>
    <mergeCell ref="C4:C5"/>
    <mergeCell ref="BW2:BX2"/>
    <mergeCell ref="BM1:BX1"/>
    <mergeCell ref="BY2:CD2"/>
    <mergeCell ref="CI2:CJ2"/>
    <mergeCell ref="BY1:CJ1"/>
    <mergeCell ref="AY2:BE2"/>
    <mergeCell ref="BJ2:BL2"/>
    <mergeCell ref="AY1:BL1"/>
    <mergeCell ref="BM2:BR2"/>
    <mergeCell ref="AI2:AJ2"/>
    <mergeCell ref="X1:AK1"/>
    <mergeCell ref="AL2:AR2"/>
    <mergeCell ref="AW2:AX2"/>
    <mergeCell ref="AL1:AX1"/>
    <mergeCell ref="BF2:BI2"/>
    <mergeCell ref="CQ2:CT2"/>
    <mergeCell ref="A40:A41"/>
    <mergeCell ref="C40:C41"/>
    <mergeCell ref="D40:D41"/>
    <mergeCell ref="F40:F41"/>
    <mergeCell ref="A42:A43"/>
    <mergeCell ref="C42:C43"/>
    <mergeCell ref="D42:D43"/>
    <mergeCell ref="F42:F43"/>
    <mergeCell ref="A44:A45"/>
    <mergeCell ref="C44:C45"/>
    <mergeCell ref="D44:D45"/>
    <mergeCell ref="F44:F45"/>
    <mergeCell ref="B40:B41"/>
    <mergeCell ref="B42:B43"/>
    <mergeCell ref="B44:B45"/>
    <mergeCell ref="A46:A47"/>
    <mergeCell ref="C46:C47"/>
    <mergeCell ref="D46:D47"/>
    <mergeCell ref="F46:F47"/>
    <mergeCell ref="A48:A49"/>
    <mergeCell ref="C48:C49"/>
    <mergeCell ref="D48:D49"/>
    <mergeCell ref="F48:F49"/>
    <mergeCell ref="A50:A51"/>
    <mergeCell ref="C50:C51"/>
    <mergeCell ref="D50:D51"/>
    <mergeCell ref="F50:F51"/>
    <mergeCell ref="B46:B47"/>
    <mergeCell ref="B48:B49"/>
    <mergeCell ref="B50:B51"/>
    <mergeCell ref="A52:A53"/>
    <mergeCell ref="C52:C53"/>
    <mergeCell ref="D52:D53"/>
    <mergeCell ref="F52:F53"/>
    <mergeCell ref="A54:A55"/>
    <mergeCell ref="C54:C55"/>
    <mergeCell ref="D54:D55"/>
    <mergeCell ref="F54:F55"/>
    <mergeCell ref="A56:A57"/>
    <mergeCell ref="C56:C57"/>
    <mergeCell ref="D56:D57"/>
    <mergeCell ref="F56:F57"/>
    <mergeCell ref="B52:B53"/>
    <mergeCell ref="B54:B55"/>
    <mergeCell ref="B56:B57"/>
    <mergeCell ref="A58:A59"/>
    <mergeCell ref="C58:C59"/>
    <mergeCell ref="D58:D59"/>
    <mergeCell ref="F58:F59"/>
    <mergeCell ref="A60:A61"/>
    <mergeCell ref="C60:C61"/>
    <mergeCell ref="D60:D61"/>
    <mergeCell ref="F60:F61"/>
    <mergeCell ref="A62:A63"/>
    <mergeCell ref="C62:C63"/>
    <mergeCell ref="D62:D63"/>
    <mergeCell ref="F62:F63"/>
    <mergeCell ref="B58:B59"/>
    <mergeCell ref="B60:B61"/>
    <mergeCell ref="B62:B63"/>
    <mergeCell ref="A64:A65"/>
    <mergeCell ref="C64:C65"/>
    <mergeCell ref="D64:D65"/>
    <mergeCell ref="F64:F65"/>
    <mergeCell ref="A66:A67"/>
    <mergeCell ref="C66:C67"/>
    <mergeCell ref="D66:D67"/>
    <mergeCell ref="F66:F67"/>
    <mergeCell ref="A68:A69"/>
    <mergeCell ref="C68:C69"/>
    <mergeCell ref="D68:D69"/>
    <mergeCell ref="F68:F69"/>
    <mergeCell ref="B64:B65"/>
    <mergeCell ref="B66:B67"/>
    <mergeCell ref="B68:B69"/>
    <mergeCell ref="A72:A73"/>
    <mergeCell ref="C72:C73"/>
    <mergeCell ref="D72:D73"/>
    <mergeCell ref="F72:F73"/>
    <mergeCell ref="A74:A75"/>
    <mergeCell ref="C74:C75"/>
    <mergeCell ref="D74:D75"/>
    <mergeCell ref="F74:F75"/>
    <mergeCell ref="B70:B71"/>
    <mergeCell ref="B72:B73"/>
    <mergeCell ref="B74:B75"/>
    <mergeCell ref="A90:A91"/>
    <mergeCell ref="C90:C91"/>
    <mergeCell ref="D90:D91"/>
    <mergeCell ref="F90:F91"/>
    <mergeCell ref="A82:A83"/>
    <mergeCell ref="C82:C83"/>
    <mergeCell ref="D82:D83"/>
    <mergeCell ref="F82:F83"/>
    <mergeCell ref="A84:A85"/>
    <mergeCell ref="C84:C85"/>
    <mergeCell ref="D84:D85"/>
    <mergeCell ref="F84:F85"/>
    <mergeCell ref="A86:A87"/>
    <mergeCell ref="C86:C87"/>
    <mergeCell ref="D86:D87"/>
    <mergeCell ref="F86:F87"/>
    <mergeCell ref="B82:B83"/>
    <mergeCell ref="B84:B85"/>
    <mergeCell ref="B86:B87"/>
    <mergeCell ref="B90:B91"/>
    <mergeCell ref="B88:B89"/>
    <mergeCell ref="B1:B3"/>
    <mergeCell ref="A88:A89"/>
    <mergeCell ref="C88:C89"/>
    <mergeCell ref="D88:D89"/>
    <mergeCell ref="F88:F89"/>
    <mergeCell ref="A76:A77"/>
    <mergeCell ref="C76:C77"/>
    <mergeCell ref="D76:D77"/>
    <mergeCell ref="F76:F77"/>
    <mergeCell ref="A78:A79"/>
    <mergeCell ref="C78:C79"/>
    <mergeCell ref="D78:D79"/>
    <mergeCell ref="F78:F79"/>
    <mergeCell ref="A80:A81"/>
    <mergeCell ref="C80:C81"/>
    <mergeCell ref="D80:D81"/>
    <mergeCell ref="F80:F81"/>
    <mergeCell ref="B76:B77"/>
    <mergeCell ref="B78:B79"/>
    <mergeCell ref="B80:B81"/>
    <mergeCell ref="A70:A71"/>
    <mergeCell ref="C70:C71"/>
    <mergeCell ref="D70:D71"/>
    <mergeCell ref="F70:F71"/>
  </mergeCells>
  <pageMargins left="0.25" right="0.25" top="0.75" bottom="0.75" header="0.3" footer="0.3"/>
  <pageSetup paperSize="8" scale="53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adminigepp</cp:lastModifiedBy>
  <cp:lastPrinted>2019-11-19T16:08:38Z</cp:lastPrinted>
  <dcterms:created xsi:type="dcterms:W3CDTF">2019-10-21T11:58:16Z</dcterms:created>
  <dcterms:modified xsi:type="dcterms:W3CDTF">2019-11-28T13:26:24Z</dcterms:modified>
</cp:coreProperties>
</file>