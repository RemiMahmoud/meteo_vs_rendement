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3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61" i="1" l="1"/>
  <c r="AB253" i="1"/>
  <c r="AB230" i="1"/>
  <c r="AC211" i="2"/>
  <c r="AB222" i="1"/>
  <c r="AB202" i="1"/>
  <c r="AB194" i="1"/>
  <c r="AC242" i="1"/>
  <c r="AC240" i="1"/>
  <c r="AC238" i="1"/>
  <c r="AB230" i="2"/>
  <c r="AC217" i="2" s="1"/>
  <c r="AB222" i="2"/>
  <c r="AB202" i="2"/>
  <c r="AB194" i="2"/>
  <c r="AC215" i="2"/>
  <c r="AC213" i="2"/>
  <c r="AC244" i="1" l="1"/>
  <c r="AC236" i="1"/>
  <c r="AC209" i="2"/>
  <c r="U329" i="2"/>
  <c r="U327" i="2"/>
  <c r="U325" i="2"/>
  <c r="I323" i="2"/>
  <c r="I321" i="2"/>
  <c r="I319" i="2"/>
  <c r="Z295" i="2"/>
  <c r="U301" i="2"/>
  <c r="U297" i="2"/>
  <c r="I298" i="2"/>
  <c r="I296" i="2"/>
  <c r="I294" i="2"/>
  <c r="U280" i="2"/>
  <c r="U278" i="2"/>
  <c r="U276" i="2"/>
  <c r="I276" i="2"/>
  <c r="I274" i="2"/>
  <c r="I272" i="2"/>
  <c r="U234" i="2"/>
  <c r="U232" i="2"/>
  <c r="U230" i="2"/>
  <c r="I228" i="2"/>
  <c r="I226" i="2"/>
  <c r="I224" i="2"/>
  <c r="Q224" i="2"/>
  <c r="Q225" i="2"/>
  <c r="R225" i="2" s="1"/>
  <c r="S225" i="2" s="1"/>
  <c r="Q226" i="2"/>
  <c r="Q227" i="2"/>
  <c r="Q228" i="2"/>
  <c r="Q229" i="2"/>
  <c r="R229" i="2" s="1"/>
  <c r="S229" i="2" s="1"/>
  <c r="Q230" i="2"/>
  <c r="Q231" i="2"/>
  <c r="R231" i="2" s="1"/>
  <c r="S231" i="2" s="1"/>
  <c r="Q232" i="2"/>
  <c r="Q233" i="2"/>
  <c r="Q234" i="2"/>
  <c r="Q235" i="2"/>
  <c r="Q236" i="2"/>
  <c r="Q237" i="2"/>
  <c r="R237" i="2" s="1"/>
  <c r="S237" i="2" s="1"/>
  <c r="Q238" i="2"/>
  <c r="Q239" i="2"/>
  <c r="R239" i="2" s="1"/>
  <c r="S239" i="2" s="1"/>
  <c r="Q240" i="2"/>
  <c r="Q241" i="2"/>
  <c r="Q242" i="2"/>
  <c r="Q243" i="2"/>
  <c r="Q244" i="2"/>
  <c r="Q245" i="2"/>
  <c r="Q246" i="2"/>
  <c r="Q247" i="2"/>
  <c r="R247" i="2" s="1"/>
  <c r="S247" i="2" s="1"/>
  <c r="Q248" i="2"/>
  <c r="Q249" i="2"/>
  <c r="R249" i="2" s="1"/>
  <c r="S249" i="2" s="1"/>
  <c r="Q250" i="2"/>
  <c r="Q251" i="2"/>
  <c r="Q252" i="2"/>
  <c r="Q253" i="2"/>
  <c r="Q254" i="2"/>
  <c r="Q255" i="2"/>
  <c r="R255" i="2" s="1"/>
  <c r="S255" i="2" s="1"/>
  <c r="Q256" i="2"/>
  <c r="Q257" i="2"/>
  <c r="R257" i="2" s="1"/>
  <c r="S257" i="2" s="1"/>
  <c r="Q258" i="2"/>
  <c r="Q259" i="2"/>
  <c r="Q260" i="2"/>
  <c r="Q261" i="2"/>
  <c r="R261" i="2" s="1"/>
  <c r="S261" i="2" s="1"/>
  <c r="Q262" i="2"/>
  <c r="Q263" i="2"/>
  <c r="R263" i="2" s="1"/>
  <c r="S263" i="2" s="1"/>
  <c r="Q264" i="2"/>
  <c r="Q265" i="2"/>
  <c r="Q266" i="2"/>
  <c r="Q267" i="2"/>
  <c r="Q268" i="2"/>
  <c r="Q269" i="2"/>
  <c r="R269" i="2" s="1"/>
  <c r="S269" i="2" s="1"/>
  <c r="Q270" i="2"/>
  <c r="Q223" i="2"/>
  <c r="H335" i="2"/>
  <c r="Y335" i="2"/>
  <c r="Y318" i="2"/>
  <c r="H318" i="2"/>
  <c r="Y292" i="2"/>
  <c r="H292" i="2"/>
  <c r="Y271" i="2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Y291" i="2" s="1"/>
  <c r="H271" i="2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S375" i="2"/>
  <c r="Q375" i="2"/>
  <c r="R375" i="2" s="1"/>
  <c r="R374" i="2"/>
  <c r="S374" i="2" s="1"/>
  <c r="Q374" i="2"/>
  <c r="S373" i="2"/>
  <c r="Q373" i="2"/>
  <c r="R373" i="2" s="1"/>
  <c r="Q372" i="2"/>
  <c r="R372" i="2" s="1"/>
  <c r="S372" i="2" s="1"/>
  <c r="S371" i="2"/>
  <c r="Q371" i="2"/>
  <c r="R371" i="2" s="1"/>
  <c r="R370" i="2"/>
  <c r="S370" i="2" s="1"/>
  <c r="Q370" i="2"/>
  <c r="Q369" i="2"/>
  <c r="R369" i="2" s="1"/>
  <c r="S369" i="2" s="1"/>
  <c r="R368" i="2"/>
  <c r="S368" i="2" s="1"/>
  <c r="Q368" i="2"/>
  <c r="S367" i="2"/>
  <c r="Q367" i="2"/>
  <c r="R367" i="2" s="1"/>
  <c r="R366" i="2"/>
  <c r="S366" i="2" s="1"/>
  <c r="Q366" i="2"/>
  <c r="S365" i="2"/>
  <c r="Q365" i="2"/>
  <c r="R365" i="2" s="1"/>
  <c r="Q364" i="2"/>
  <c r="R364" i="2" s="1"/>
  <c r="S364" i="2" s="1"/>
  <c r="Q363" i="2"/>
  <c r="R363" i="2" s="1"/>
  <c r="S363" i="2" s="1"/>
  <c r="R362" i="2"/>
  <c r="S362" i="2" s="1"/>
  <c r="Q362" i="2"/>
  <c r="Q361" i="2"/>
  <c r="R361" i="2" s="1"/>
  <c r="S361" i="2" s="1"/>
  <c r="R360" i="2"/>
  <c r="S360" i="2" s="1"/>
  <c r="Q360" i="2"/>
  <c r="Q359" i="2"/>
  <c r="R359" i="2" s="1"/>
  <c r="S359" i="2" s="1"/>
  <c r="R358" i="2"/>
  <c r="S358" i="2" s="1"/>
  <c r="Q358" i="2"/>
  <c r="Q357" i="2"/>
  <c r="R357" i="2" s="1"/>
  <c r="S357" i="2" s="1"/>
  <c r="S356" i="2"/>
  <c r="Q356" i="2"/>
  <c r="R356" i="2" s="1"/>
  <c r="Q355" i="2"/>
  <c r="R355" i="2" s="1"/>
  <c r="S355" i="2" s="1"/>
  <c r="R354" i="2"/>
  <c r="S354" i="2" s="1"/>
  <c r="Q354" i="2"/>
  <c r="Q353" i="2"/>
  <c r="R353" i="2" s="1"/>
  <c r="S353" i="2" s="1"/>
  <c r="R352" i="2"/>
  <c r="S352" i="2" s="1"/>
  <c r="Q352" i="2"/>
  <c r="S351" i="2"/>
  <c r="Q351" i="2"/>
  <c r="R351" i="2" s="1"/>
  <c r="Q350" i="2"/>
  <c r="R350" i="2" s="1"/>
  <c r="S350" i="2" s="1"/>
  <c r="Q349" i="2"/>
  <c r="R349" i="2" s="1"/>
  <c r="S349" i="2" s="1"/>
  <c r="Q348" i="2"/>
  <c r="R348" i="2" s="1"/>
  <c r="S348" i="2" s="1"/>
  <c r="R347" i="2"/>
  <c r="S347" i="2" s="1"/>
  <c r="Q347" i="2"/>
  <c r="O347" i="2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R346" i="2"/>
  <c r="S346" i="2" s="1"/>
  <c r="Q346" i="2"/>
  <c r="Q345" i="2"/>
  <c r="R345" i="2" s="1"/>
  <c r="S345" i="2" s="1"/>
  <c r="Q344" i="2"/>
  <c r="R344" i="2" s="1"/>
  <c r="S344" i="2" s="1"/>
  <c r="Q343" i="2"/>
  <c r="R343" i="2" s="1"/>
  <c r="S343" i="2" s="1"/>
  <c r="R342" i="2"/>
  <c r="S342" i="2" s="1"/>
  <c r="Q342" i="2"/>
  <c r="Q341" i="2"/>
  <c r="R341" i="2" s="1"/>
  <c r="S341" i="2" s="1"/>
  <c r="R340" i="2"/>
  <c r="S340" i="2" s="1"/>
  <c r="Q340" i="2"/>
  <c r="I340" i="2"/>
  <c r="R339" i="2"/>
  <c r="S339" i="2" s="1"/>
  <c r="Q339" i="2"/>
  <c r="R338" i="2"/>
  <c r="S338" i="2" s="1"/>
  <c r="Q338" i="2"/>
  <c r="I338" i="2"/>
  <c r="R337" i="2"/>
  <c r="S337" i="2" s="1"/>
  <c r="Q337" i="2"/>
  <c r="R336" i="2"/>
  <c r="S336" i="2" s="1"/>
  <c r="Q336" i="2"/>
  <c r="I336" i="2"/>
  <c r="S335" i="2"/>
  <c r="Q335" i="2"/>
  <c r="R335" i="2" s="1"/>
  <c r="S334" i="2"/>
  <c r="R334" i="2"/>
  <c r="Q334" i="2"/>
  <c r="R333" i="2"/>
  <c r="S333" i="2" s="1"/>
  <c r="Q333" i="2"/>
  <c r="Q332" i="2"/>
  <c r="R332" i="2" s="1"/>
  <c r="S332" i="2" s="1"/>
  <c r="Q331" i="2"/>
  <c r="R331" i="2" s="1"/>
  <c r="S331" i="2" s="1"/>
  <c r="R330" i="2"/>
  <c r="S330" i="2" s="1"/>
  <c r="Q330" i="2"/>
  <c r="O330" i="2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Q329" i="2"/>
  <c r="R329" i="2" s="1"/>
  <c r="S329" i="2" s="1"/>
  <c r="R328" i="2"/>
  <c r="S328" i="2" s="1"/>
  <c r="Q328" i="2"/>
  <c r="Q327" i="2"/>
  <c r="R327" i="2" s="1"/>
  <c r="S327" i="2" s="1"/>
  <c r="Q326" i="2"/>
  <c r="R326" i="2" s="1"/>
  <c r="S326" i="2" s="1"/>
  <c r="R325" i="2"/>
  <c r="S325" i="2" s="1"/>
  <c r="Q325" i="2"/>
  <c r="S324" i="2"/>
  <c r="R324" i="2"/>
  <c r="Q324" i="2"/>
  <c r="R323" i="2"/>
  <c r="S323" i="2" s="1"/>
  <c r="Q323" i="2"/>
  <c r="R322" i="2"/>
  <c r="S322" i="2" s="1"/>
  <c r="Q322" i="2"/>
  <c r="R321" i="2"/>
  <c r="S321" i="2" s="1"/>
  <c r="Q321" i="2"/>
  <c r="Q320" i="2"/>
  <c r="R320" i="2" s="1"/>
  <c r="S320" i="2" s="1"/>
  <c r="R319" i="2"/>
  <c r="S319" i="2" s="1"/>
  <c r="Q319" i="2"/>
  <c r="Q318" i="2"/>
  <c r="R318" i="2" s="1"/>
  <c r="S318" i="2" s="1"/>
  <c r="S317" i="2"/>
  <c r="R317" i="2"/>
  <c r="R316" i="2"/>
  <c r="S316" i="2" s="1"/>
  <c r="S315" i="2"/>
  <c r="R315" i="2"/>
  <c r="S314" i="2"/>
  <c r="R314" i="2"/>
  <c r="R313" i="2"/>
  <c r="S313" i="2" s="1"/>
  <c r="R312" i="2"/>
  <c r="S312" i="2" s="1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S311" i="2"/>
  <c r="R311" i="2"/>
  <c r="O311" i="2"/>
  <c r="S310" i="2"/>
  <c r="R310" i="2"/>
  <c r="O310" i="2"/>
  <c r="S309" i="2"/>
  <c r="R309" i="2"/>
  <c r="S308" i="2"/>
  <c r="R308" i="2"/>
  <c r="R307" i="2"/>
  <c r="S307" i="2" s="1"/>
  <c r="S306" i="2"/>
  <c r="R306" i="2"/>
  <c r="O306" i="2"/>
  <c r="O307" i="2" s="1"/>
  <c r="R305" i="2"/>
  <c r="S305" i="2" s="1"/>
  <c r="R304" i="2"/>
  <c r="S304" i="2" s="1"/>
  <c r="O304" i="2"/>
  <c r="O305" i="2" s="1"/>
  <c r="S303" i="2"/>
  <c r="R303" i="2"/>
  <c r="S302" i="2"/>
  <c r="R302" i="2"/>
  <c r="R301" i="2"/>
  <c r="S301" i="2" s="1"/>
  <c r="R300" i="2"/>
  <c r="S300" i="2" s="1"/>
  <c r="O300" i="2"/>
  <c r="R299" i="2"/>
  <c r="S299" i="2" s="1"/>
  <c r="S298" i="2"/>
  <c r="R298" i="2"/>
  <c r="R297" i="2"/>
  <c r="S297" i="2" s="1"/>
  <c r="S296" i="2"/>
  <c r="R296" i="2"/>
  <c r="S295" i="2"/>
  <c r="R295" i="2"/>
  <c r="O295" i="2"/>
  <c r="S294" i="2"/>
  <c r="R294" i="2"/>
  <c r="S293" i="2"/>
  <c r="R293" i="2"/>
  <c r="R292" i="2"/>
  <c r="S292" i="2" s="1"/>
  <c r="S291" i="2"/>
  <c r="R291" i="2"/>
  <c r="S290" i="2"/>
  <c r="R290" i="2"/>
  <c r="O290" i="2"/>
  <c r="O291" i="2" s="1"/>
  <c r="O292" i="2" s="1"/>
  <c r="S289" i="2"/>
  <c r="R289" i="2"/>
  <c r="S288" i="2"/>
  <c r="R288" i="2"/>
  <c r="S287" i="2"/>
  <c r="R287" i="2"/>
  <c r="S286" i="2"/>
  <c r="R286" i="2"/>
  <c r="O286" i="2"/>
  <c r="O287" i="2" s="1"/>
  <c r="O288" i="2" s="1"/>
  <c r="O289" i="2" s="1"/>
  <c r="S285" i="2"/>
  <c r="R285" i="2"/>
  <c r="R284" i="2"/>
  <c r="S284" i="2" s="1"/>
  <c r="S283" i="2"/>
  <c r="R283" i="2"/>
  <c r="O283" i="2"/>
  <c r="O284" i="2" s="1"/>
  <c r="O285" i="2" s="1"/>
  <c r="S282" i="2"/>
  <c r="R282" i="2"/>
  <c r="O282" i="2"/>
  <c r="R281" i="2"/>
  <c r="S281" i="2" s="1"/>
  <c r="S280" i="2"/>
  <c r="R280" i="2"/>
  <c r="S279" i="2"/>
  <c r="R279" i="2"/>
  <c r="O279" i="2"/>
  <c r="S278" i="2"/>
  <c r="R278" i="2"/>
  <c r="S277" i="2"/>
  <c r="R277" i="2"/>
  <c r="R276" i="2"/>
  <c r="S276" i="2" s="1"/>
  <c r="Z274" i="2"/>
  <c r="R275" i="2"/>
  <c r="S275" i="2" s="1"/>
  <c r="R274" i="2"/>
  <c r="S274" i="2" s="1"/>
  <c r="S273" i="2"/>
  <c r="R273" i="2"/>
  <c r="R272" i="2"/>
  <c r="S272" i="2" s="1"/>
  <c r="R271" i="2"/>
  <c r="S271" i="2" s="1"/>
  <c r="Q271" i="2"/>
  <c r="R270" i="2"/>
  <c r="S270" i="2" s="1"/>
  <c r="O269" i="2"/>
  <c r="O270" i="2" s="1"/>
  <c r="O271" i="2" s="1"/>
  <c r="O272" i="2" s="1"/>
  <c r="O273" i="2" s="1"/>
  <c r="R268" i="2"/>
  <c r="S268" i="2" s="1"/>
  <c r="R267" i="2"/>
  <c r="S267" i="2" s="1"/>
  <c r="R266" i="2"/>
  <c r="S266" i="2" s="1"/>
  <c r="R265" i="2"/>
  <c r="S265" i="2" s="1"/>
  <c r="R264" i="2"/>
  <c r="S264" i="2" s="1"/>
  <c r="R262" i="2"/>
  <c r="S262" i="2" s="1"/>
  <c r="O261" i="2"/>
  <c r="O262" i="2" s="1"/>
  <c r="O263" i="2" s="1"/>
  <c r="O264" i="2" s="1"/>
  <c r="O265" i="2" s="1"/>
  <c r="O266" i="2" s="1"/>
  <c r="O267" i="2" s="1"/>
  <c r="O268" i="2" s="1"/>
  <c r="R260" i="2"/>
  <c r="S260" i="2" s="1"/>
  <c r="R259" i="2"/>
  <c r="S259" i="2" s="1"/>
  <c r="R258" i="2"/>
  <c r="S258" i="2" s="1"/>
  <c r="S256" i="2"/>
  <c r="R256" i="2"/>
  <c r="R254" i="2"/>
  <c r="S254" i="2" s="1"/>
  <c r="R253" i="2"/>
  <c r="S253" i="2" s="1"/>
  <c r="R252" i="2"/>
  <c r="S252" i="2" s="1"/>
  <c r="R251" i="2"/>
  <c r="S251" i="2" s="1"/>
  <c r="R250" i="2"/>
  <c r="S250" i="2" s="1"/>
  <c r="R248" i="2"/>
  <c r="S248" i="2" s="1"/>
  <c r="S246" i="2"/>
  <c r="R246" i="2"/>
  <c r="R245" i="2"/>
  <c r="S245" i="2" s="1"/>
  <c r="R244" i="2"/>
  <c r="S244" i="2" s="1"/>
  <c r="R243" i="2"/>
  <c r="S243" i="2" s="1"/>
  <c r="R242" i="2"/>
  <c r="S242" i="2" s="1"/>
  <c r="R241" i="2"/>
  <c r="S241" i="2" s="1"/>
  <c r="R240" i="2"/>
  <c r="S240" i="2" s="1"/>
  <c r="R238" i="2"/>
  <c r="S238" i="2" s="1"/>
  <c r="O238" i="2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S236" i="2"/>
  <c r="R236" i="2"/>
  <c r="O236" i="2"/>
  <c r="O237" i="2" s="1"/>
  <c r="R235" i="2"/>
  <c r="S235" i="2" s="1"/>
  <c r="R234" i="2"/>
  <c r="S234" i="2" s="1"/>
  <c r="H234" i="2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G234" i="2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R233" i="2"/>
  <c r="S233" i="2" s="1"/>
  <c r="H233" i="2"/>
  <c r="G233" i="2"/>
  <c r="R232" i="2"/>
  <c r="S232" i="2" s="1"/>
  <c r="R230" i="2"/>
  <c r="S230" i="2" s="1"/>
  <c r="S228" i="2"/>
  <c r="R228" i="2"/>
  <c r="Y227" i="2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R227" i="2"/>
  <c r="S227" i="2" s="1"/>
  <c r="Z226" i="2"/>
  <c r="S226" i="2"/>
  <c r="R226" i="2"/>
  <c r="Y225" i="2"/>
  <c r="Y226" i="2" s="1"/>
  <c r="Y224" i="2"/>
  <c r="R224" i="2"/>
  <c r="S224" i="2" s="1"/>
  <c r="H224" i="2"/>
  <c r="H225" i="2" s="1"/>
  <c r="H226" i="2" s="1"/>
  <c r="H227" i="2" s="1"/>
  <c r="H228" i="2" s="1"/>
  <c r="H229" i="2" s="1"/>
  <c r="R223" i="2"/>
  <c r="S223" i="2" s="1"/>
  <c r="R222" i="2"/>
  <c r="S222" i="2" s="1"/>
  <c r="S221" i="2"/>
  <c r="R221" i="2"/>
  <c r="R220" i="2"/>
  <c r="S220" i="2" s="1"/>
  <c r="S219" i="2"/>
  <c r="R219" i="2"/>
  <c r="R218" i="2"/>
  <c r="S218" i="2" s="1"/>
  <c r="H218" i="2"/>
  <c r="H219" i="2" s="1"/>
  <c r="H220" i="2" s="1"/>
  <c r="H221" i="2" s="1"/>
  <c r="H222" i="2" s="1"/>
  <c r="S217" i="2"/>
  <c r="R217" i="2"/>
  <c r="R216" i="2"/>
  <c r="S216" i="2" s="1"/>
  <c r="H216" i="2"/>
  <c r="H217" i="2" s="1"/>
  <c r="G216" i="2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S215" i="2"/>
  <c r="R215" i="2"/>
  <c r="S214" i="2"/>
  <c r="R214" i="2"/>
  <c r="S213" i="2"/>
  <c r="R213" i="2"/>
  <c r="S212" i="2"/>
  <c r="R212" i="2"/>
  <c r="S211" i="2"/>
  <c r="R211" i="2"/>
  <c r="S210" i="2"/>
  <c r="R210" i="2"/>
  <c r="S209" i="2"/>
  <c r="R209" i="2"/>
  <c r="H209" i="2"/>
  <c r="G209" i="2"/>
  <c r="R208" i="2"/>
  <c r="S208" i="2" s="1"/>
  <c r="R207" i="2"/>
  <c r="S207" i="2" s="1"/>
  <c r="O207" i="2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R206" i="2"/>
  <c r="S206" i="2" s="1"/>
  <c r="O206" i="2"/>
  <c r="H206" i="2"/>
  <c r="S205" i="2"/>
  <c r="R205" i="2"/>
  <c r="S204" i="2"/>
  <c r="R204" i="2"/>
  <c r="H204" i="2"/>
  <c r="H205" i="2" s="1"/>
  <c r="G204" i="2"/>
  <c r="G205" i="2" s="1"/>
  <c r="G206" i="2" s="1"/>
  <c r="S203" i="2"/>
  <c r="R203" i="2"/>
  <c r="R202" i="2"/>
  <c r="S202" i="2" s="1"/>
  <c r="S201" i="2"/>
  <c r="R201" i="2"/>
  <c r="O201" i="2"/>
  <c r="O202" i="2" s="1"/>
  <c r="O203" i="2" s="1"/>
  <c r="O204" i="2" s="1"/>
  <c r="O205" i="2" s="1"/>
  <c r="S200" i="2"/>
  <c r="R200" i="2"/>
  <c r="H200" i="2"/>
  <c r="G200" i="2"/>
  <c r="S199" i="2"/>
  <c r="R199" i="2"/>
  <c r="R198" i="2"/>
  <c r="S198" i="2" s="1"/>
  <c r="R197" i="2"/>
  <c r="S197" i="2" s="1"/>
  <c r="S196" i="2"/>
  <c r="R196" i="2"/>
  <c r="O196" i="2"/>
  <c r="O197" i="2" s="1"/>
  <c r="O198" i="2" s="1"/>
  <c r="S195" i="2"/>
  <c r="R195" i="2"/>
  <c r="S194" i="2"/>
  <c r="R194" i="2"/>
  <c r="R193" i="2"/>
  <c r="S193" i="2" s="1"/>
  <c r="R192" i="2"/>
  <c r="S192" i="2" s="1"/>
  <c r="S191" i="2"/>
  <c r="R191" i="2"/>
  <c r="O191" i="2"/>
  <c r="S190" i="2"/>
  <c r="R190" i="2"/>
  <c r="R189" i="2"/>
  <c r="S189" i="2" s="1"/>
  <c r="S188" i="2"/>
  <c r="R188" i="2"/>
  <c r="S187" i="2"/>
  <c r="R187" i="2"/>
  <c r="H187" i="2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R186" i="2"/>
  <c r="S186" i="2" s="1"/>
  <c r="H186" i="2"/>
  <c r="R185" i="2"/>
  <c r="S185" i="2" s="1"/>
  <c r="H185" i="2"/>
  <c r="G185" i="2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S184" i="2"/>
  <c r="R184" i="2"/>
  <c r="R183" i="2"/>
  <c r="S183" i="2" s="1"/>
  <c r="S182" i="2"/>
  <c r="R182" i="2"/>
  <c r="S181" i="2"/>
  <c r="R181" i="2"/>
  <c r="G181" i="2"/>
  <c r="G182" i="2" s="1"/>
  <c r="S180" i="2"/>
  <c r="R180" i="2"/>
  <c r="O180" i="2"/>
  <c r="O181" i="2" s="1"/>
  <c r="O182" i="2" s="1"/>
  <c r="O183" i="2" s="1"/>
  <c r="O184" i="2" s="1"/>
  <c r="S179" i="2"/>
  <c r="R179" i="2"/>
  <c r="S178" i="2"/>
  <c r="R178" i="2"/>
  <c r="H178" i="2"/>
  <c r="H179" i="2" s="1"/>
  <c r="H180" i="2" s="1"/>
  <c r="H181" i="2" s="1"/>
  <c r="H182" i="2" s="1"/>
  <c r="G178" i="2"/>
  <c r="G179" i="2" s="1"/>
  <c r="G180" i="2" s="1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O171" i="2"/>
  <c r="O172" i="2" s="1"/>
  <c r="O173" i="2" s="1"/>
  <c r="O174" i="2" s="1"/>
  <c r="O175" i="2" s="1"/>
  <c r="O176" i="2" s="1"/>
  <c r="R170" i="2"/>
  <c r="S170" i="2" s="1"/>
  <c r="I170" i="2"/>
  <c r="S169" i="2"/>
  <c r="R169" i="2"/>
  <c r="O169" i="2"/>
  <c r="O170" i="2" s="1"/>
  <c r="Z168" i="2"/>
  <c r="Y168" i="2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S168" i="2"/>
  <c r="R168" i="2"/>
  <c r="I168" i="2"/>
  <c r="Y167" i="2"/>
  <c r="R167" i="2"/>
  <c r="S167" i="2" s="1"/>
  <c r="H167" i="2"/>
  <c r="H168" i="2" s="1"/>
  <c r="H169" i="2" s="1"/>
  <c r="H170" i="2" s="1"/>
  <c r="H171" i="2" s="1"/>
  <c r="S166" i="2"/>
  <c r="R166" i="2"/>
  <c r="I166" i="2"/>
  <c r="Y165" i="2"/>
  <c r="Y166" i="2" s="1"/>
  <c r="S165" i="2"/>
  <c r="R165" i="2"/>
  <c r="H165" i="2"/>
  <c r="H166" i="2" s="1"/>
  <c r="Q164" i="2"/>
  <c r="R164" i="2" s="1"/>
  <c r="S164" i="2" s="1"/>
  <c r="Q163" i="2"/>
  <c r="R163" i="2" s="1"/>
  <c r="S163" i="2" s="1"/>
  <c r="R162" i="2"/>
  <c r="S162" i="2" s="1"/>
  <c r="Q162" i="2"/>
  <c r="S161" i="2"/>
  <c r="Q161" i="2"/>
  <c r="R161" i="2" s="1"/>
  <c r="O161" i="2"/>
  <c r="O162" i="2" s="1"/>
  <c r="O163" i="2" s="1"/>
  <c r="O164" i="2" s="1"/>
  <c r="O165" i="2" s="1"/>
  <c r="O166" i="2" s="1"/>
  <c r="R160" i="2"/>
  <c r="S160" i="2" s="1"/>
  <c r="Q160" i="2"/>
  <c r="O160" i="2"/>
  <c r="Q159" i="2"/>
  <c r="R159" i="2" s="1"/>
  <c r="S159" i="2" s="1"/>
  <c r="S158" i="2"/>
  <c r="Q158" i="2"/>
  <c r="R158" i="2" s="1"/>
  <c r="S157" i="2"/>
  <c r="R157" i="2"/>
  <c r="Q157" i="2"/>
  <c r="S156" i="2"/>
  <c r="R156" i="2"/>
  <c r="Q156" i="2"/>
  <c r="O156" i="2"/>
  <c r="O157" i="2" s="1"/>
  <c r="O158" i="2" s="1"/>
  <c r="Q155" i="2"/>
  <c r="R155" i="2" s="1"/>
  <c r="S155" i="2" s="1"/>
  <c r="O155" i="2"/>
  <c r="R154" i="2"/>
  <c r="S154" i="2" s="1"/>
  <c r="Q154" i="2"/>
  <c r="Q153" i="2"/>
  <c r="R153" i="2" s="1"/>
  <c r="S153" i="2" s="1"/>
  <c r="R152" i="2"/>
  <c r="S152" i="2" s="1"/>
  <c r="Q152" i="2"/>
  <c r="Q151" i="2"/>
  <c r="R151" i="2" s="1"/>
  <c r="S151" i="2" s="1"/>
  <c r="O151" i="2"/>
  <c r="O152" i="2" s="1"/>
  <c r="O153" i="2" s="1"/>
  <c r="Q150" i="2"/>
  <c r="R150" i="2" s="1"/>
  <c r="S150" i="2" s="1"/>
  <c r="O150" i="2"/>
  <c r="Q149" i="2"/>
  <c r="R149" i="2" s="1"/>
  <c r="S149" i="2" s="1"/>
  <c r="Q148" i="2"/>
  <c r="R148" i="2" s="1"/>
  <c r="S148" i="2" s="1"/>
  <c r="S147" i="2"/>
  <c r="Q147" i="2"/>
  <c r="R147" i="2" s="1"/>
  <c r="S146" i="2"/>
  <c r="R146" i="2"/>
  <c r="Q146" i="2"/>
  <c r="O146" i="2"/>
  <c r="S145" i="2"/>
  <c r="R145" i="2"/>
  <c r="Q145" i="2"/>
  <c r="S144" i="2"/>
  <c r="R144" i="2"/>
  <c r="Q144" i="2"/>
  <c r="S143" i="2"/>
  <c r="R143" i="2"/>
  <c r="Q143" i="2"/>
  <c r="S142" i="2"/>
  <c r="R142" i="2"/>
  <c r="Q142" i="2"/>
  <c r="R141" i="2"/>
  <c r="S141" i="2" s="1"/>
  <c r="Q141" i="2"/>
  <c r="G141" i="2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S140" i="2"/>
  <c r="R140" i="2"/>
  <c r="Q140" i="2"/>
  <c r="R139" i="2"/>
  <c r="S139" i="2" s="1"/>
  <c r="Q139" i="2"/>
  <c r="Q138" i="2"/>
  <c r="R138" i="2" s="1"/>
  <c r="S138" i="2" s="1"/>
  <c r="O138" i="2"/>
  <c r="O139" i="2" s="1"/>
  <c r="R137" i="2"/>
  <c r="S137" i="2" s="1"/>
  <c r="Q137" i="2"/>
  <c r="R136" i="2"/>
  <c r="S136" i="2" s="1"/>
  <c r="Q136" i="2"/>
  <c r="G136" i="2"/>
  <c r="G137" i="2" s="1"/>
  <c r="G138" i="2" s="1"/>
  <c r="R135" i="2"/>
  <c r="S135" i="2" s="1"/>
  <c r="Q135" i="2"/>
  <c r="O135" i="2"/>
  <c r="R134" i="2"/>
  <c r="S134" i="2" s="1"/>
  <c r="Q134" i="2"/>
  <c r="S133" i="2"/>
  <c r="R133" i="2"/>
  <c r="Q133" i="2"/>
  <c r="O133" i="2"/>
  <c r="S132" i="2"/>
  <c r="Q132" i="2"/>
  <c r="R132" i="2" s="1"/>
  <c r="S131" i="2"/>
  <c r="Q131" i="2"/>
  <c r="R131" i="2" s="1"/>
  <c r="S130" i="2"/>
  <c r="Q130" i="2"/>
  <c r="R130" i="2" s="1"/>
  <c r="G130" i="2"/>
  <c r="G131" i="2" s="1"/>
  <c r="G132" i="2" s="1"/>
  <c r="G133" i="2" s="1"/>
  <c r="G134" i="2" s="1"/>
  <c r="G135" i="2" s="1"/>
  <c r="S129" i="2"/>
  <c r="Q129" i="2"/>
  <c r="R129" i="2" s="1"/>
  <c r="S128" i="2"/>
  <c r="Q128" i="2"/>
  <c r="R128" i="2" s="1"/>
  <c r="Q127" i="2"/>
  <c r="R127" i="2" s="1"/>
  <c r="S127" i="2" s="1"/>
  <c r="Q126" i="2"/>
  <c r="R126" i="2" s="1"/>
  <c r="S126" i="2" s="1"/>
  <c r="R125" i="2"/>
  <c r="S125" i="2" s="1"/>
  <c r="Q125" i="2"/>
  <c r="O125" i="2"/>
  <c r="O126" i="2" s="1"/>
  <c r="O127" i="2" s="1"/>
  <c r="O128" i="2" s="1"/>
  <c r="O129" i="2" s="1"/>
  <c r="Q124" i="2"/>
  <c r="R124" i="2" s="1"/>
  <c r="S124" i="2" s="1"/>
  <c r="O124" i="2"/>
  <c r="R123" i="2"/>
  <c r="S123" i="2" s="1"/>
  <c r="Q123" i="2"/>
  <c r="R122" i="2"/>
  <c r="S122" i="2" s="1"/>
  <c r="Q122" i="2"/>
  <c r="Q121" i="2"/>
  <c r="R121" i="2" s="1"/>
  <c r="S121" i="2" s="1"/>
  <c r="S120" i="2"/>
  <c r="Q120" i="2"/>
  <c r="R120" i="2" s="1"/>
  <c r="R119" i="2"/>
  <c r="S119" i="2" s="1"/>
  <c r="Q119" i="2"/>
  <c r="S118" i="2"/>
  <c r="R118" i="2"/>
  <c r="Q118" i="2"/>
  <c r="S117" i="2"/>
  <c r="Q117" i="2"/>
  <c r="R117" i="2" s="1"/>
  <c r="Q116" i="2"/>
  <c r="R116" i="2" s="1"/>
  <c r="S116" i="2" s="1"/>
  <c r="R115" i="2"/>
  <c r="S115" i="2" s="1"/>
  <c r="Q115" i="2"/>
  <c r="Q114" i="2"/>
  <c r="R114" i="2" s="1"/>
  <c r="S114" i="2" s="1"/>
  <c r="Q113" i="2"/>
  <c r="R113" i="2" s="1"/>
  <c r="S113" i="2" s="1"/>
  <c r="Q112" i="2"/>
  <c r="R112" i="2" s="1"/>
  <c r="S112" i="2" s="1"/>
  <c r="R111" i="2"/>
  <c r="S111" i="2" s="1"/>
  <c r="Q111" i="2"/>
  <c r="S110" i="2"/>
  <c r="R110" i="2"/>
  <c r="Q110" i="2"/>
  <c r="S109" i="2"/>
  <c r="Q109" i="2"/>
  <c r="R109" i="2" s="1"/>
  <c r="O109" i="2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R108" i="2"/>
  <c r="S108" i="2" s="1"/>
  <c r="Q108" i="2"/>
  <c r="O108" i="2"/>
  <c r="S107" i="2"/>
  <c r="R107" i="2"/>
  <c r="Q107" i="2"/>
  <c r="S106" i="2"/>
  <c r="R106" i="2"/>
  <c r="Q106" i="2"/>
  <c r="S105" i="2"/>
  <c r="R105" i="2"/>
  <c r="Q105" i="2"/>
  <c r="O105" i="2"/>
  <c r="S104" i="2"/>
  <c r="Q104" i="2"/>
  <c r="R104" i="2" s="1"/>
  <c r="O104" i="2"/>
  <c r="Q103" i="2"/>
  <c r="R103" i="2" s="1"/>
  <c r="S103" i="2" s="1"/>
  <c r="O103" i="2"/>
  <c r="R102" i="2"/>
  <c r="S102" i="2" s="1"/>
  <c r="Q102" i="2"/>
  <c r="S101" i="2"/>
  <c r="R101" i="2"/>
  <c r="Q101" i="2"/>
  <c r="S100" i="2"/>
  <c r="R100" i="2"/>
  <c r="Q100" i="2"/>
  <c r="R99" i="2"/>
  <c r="S99" i="2" s="1"/>
  <c r="Q99" i="2"/>
  <c r="R98" i="2"/>
  <c r="S98" i="2" s="1"/>
  <c r="Q98" i="2"/>
  <c r="S97" i="2"/>
  <c r="Q97" i="2"/>
  <c r="R97" i="2" s="1"/>
  <c r="S96" i="2"/>
  <c r="R96" i="2"/>
  <c r="Q96" i="2"/>
  <c r="Q95" i="2"/>
  <c r="R95" i="2" s="1"/>
  <c r="S95" i="2" s="1"/>
  <c r="R94" i="2"/>
  <c r="S94" i="2" s="1"/>
  <c r="Q94" i="2"/>
  <c r="S93" i="2"/>
  <c r="R93" i="2"/>
  <c r="Q93" i="2"/>
  <c r="S92" i="2"/>
  <c r="Q92" i="2"/>
  <c r="R92" i="2" s="1"/>
  <c r="Q91" i="2"/>
  <c r="R91" i="2" s="1"/>
  <c r="S91" i="2" s="1"/>
  <c r="R90" i="2"/>
  <c r="S90" i="2" s="1"/>
  <c r="Q90" i="2"/>
  <c r="Q89" i="2"/>
  <c r="R89" i="2" s="1"/>
  <c r="S89" i="2" s="1"/>
  <c r="S88" i="2"/>
  <c r="R88" i="2"/>
  <c r="Q88" i="2"/>
  <c r="S87" i="2"/>
  <c r="Q87" i="2"/>
  <c r="R87" i="2" s="1"/>
  <c r="R86" i="2"/>
  <c r="S86" i="2" s="1"/>
  <c r="Q86" i="2"/>
  <c r="S85" i="2"/>
  <c r="R85" i="2"/>
  <c r="Q85" i="2"/>
  <c r="Q84" i="2"/>
  <c r="R84" i="2" s="1"/>
  <c r="S84" i="2" s="1"/>
  <c r="Q83" i="2"/>
  <c r="R83" i="2" s="1"/>
  <c r="S83" i="2" s="1"/>
  <c r="R82" i="2"/>
  <c r="S82" i="2" s="1"/>
  <c r="Q82" i="2"/>
  <c r="S81" i="2"/>
  <c r="Q81" i="2"/>
  <c r="R81" i="2" s="1"/>
  <c r="R80" i="2"/>
  <c r="S80" i="2" s="1"/>
  <c r="Q80" i="2"/>
  <c r="Q79" i="2"/>
  <c r="R79" i="2" s="1"/>
  <c r="S79" i="2" s="1"/>
  <c r="Q78" i="2"/>
  <c r="R78" i="2" s="1"/>
  <c r="S78" i="2" s="1"/>
  <c r="Q77" i="2"/>
  <c r="R77" i="2" s="1"/>
  <c r="S77" i="2" s="1"/>
  <c r="R76" i="2"/>
  <c r="S76" i="2" s="1"/>
  <c r="Q76" i="2"/>
  <c r="S75" i="2"/>
  <c r="R75" i="2"/>
  <c r="Q75" i="2"/>
  <c r="Q74" i="2"/>
  <c r="R74" i="2" s="1"/>
  <c r="S74" i="2" s="1"/>
  <c r="R73" i="2"/>
  <c r="S73" i="2" s="1"/>
  <c r="Q73" i="2"/>
  <c r="S72" i="2"/>
  <c r="Q72" i="2"/>
  <c r="R72" i="2" s="1"/>
  <c r="R71" i="2"/>
  <c r="S71" i="2" s="1"/>
  <c r="Q71" i="2"/>
  <c r="Q70" i="2"/>
  <c r="R70" i="2" s="1"/>
  <c r="S70" i="2" s="1"/>
  <c r="Q69" i="2"/>
  <c r="R69" i="2" s="1"/>
  <c r="S69" i="2" s="1"/>
  <c r="R68" i="2"/>
  <c r="S68" i="2" s="1"/>
  <c r="Q68" i="2"/>
  <c r="S67" i="2"/>
  <c r="R67" i="2"/>
  <c r="Q67" i="2"/>
  <c r="Q66" i="2"/>
  <c r="R66" i="2" s="1"/>
  <c r="S66" i="2" s="1"/>
  <c r="R65" i="2"/>
  <c r="S65" i="2" s="1"/>
  <c r="Q65" i="2"/>
  <c r="Q64" i="2"/>
  <c r="R64" i="2" s="1"/>
  <c r="S64" i="2" s="1"/>
  <c r="R63" i="2"/>
  <c r="S63" i="2" s="1"/>
  <c r="Q63" i="2"/>
  <c r="S62" i="2"/>
  <c r="Q62" i="2"/>
  <c r="R62" i="2" s="1"/>
  <c r="S61" i="2"/>
  <c r="R61" i="2"/>
  <c r="Q61" i="2"/>
  <c r="S60" i="2"/>
  <c r="R60" i="2"/>
  <c r="Q60" i="2"/>
  <c r="R59" i="2"/>
  <c r="S59" i="2" s="1"/>
  <c r="Q59" i="2"/>
  <c r="O59" i="2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Q58" i="2"/>
  <c r="R58" i="2" s="1"/>
  <c r="S58" i="2" s="1"/>
  <c r="S57" i="2"/>
  <c r="T57" i="2" s="1"/>
  <c r="R57" i="2"/>
  <c r="O57" i="2"/>
  <c r="O58" i="2" s="1"/>
  <c r="R56" i="2"/>
  <c r="S56" i="2" s="1"/>
  <c r="R55" i="2"/>
  <c r="S55" i="2" s="1"/>
  <c r="S54" i="2"/>
  <c r="R54" i="2"/>
  <c r="R53" i="2"/>
  <c r="S53" i="2" s="1"/>
  <c r="I53" i="2"/>
  <c r="S52" i="2"/>
  <c r="R52" i="2"/>
  <c r="M52" i="2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M337" i="2" s="1"/>
  <c r="M338" i="2" s="1"/>
  <c r="M339" i="2" s="1"/>
  <c r="M340" i="2" s="1"/>
  <c r="M341" i="2" s="1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M364" i="2" s="1"/>
  <c r="M365" i="2" s="1"/>
  <c r="M366" i="2" s="1"/>
  <c r="M367" i="2" s="1"/>
  <c r="M368" i="2" s="1"/>
  <c r="M369" i="2" s="1"/>
  <c r="M370" i="2" s="1"/>
  <c r="M371" i="2" s="1"/>
  <c r="M372" i="2" s="1"/>
  <c r="M373" i="2" s="1"/>
  <c r="M374" i="2" s="1"/>
  <c r="M375" i="2" s="1"/>
  <c r="Z51" i="2"/>
  <c r="R51" i="2"/>
  <c r="S51" i="2" s="1"/>
  <c r="I51" i="2"/>
  <c r="R50" i="2"/>
  <c r="S50" i="2" s="1"/>
  <c r="G50" i="2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X49" i="2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S49" i="2"/>
  <c r="R49" i="2"/>
  <c r="O49" i="2"/>
  <c r="K49" i="2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I49" i="2"/>
  <c r="X48" i="2"/>
  <c r="T48" i="2"/>
  <c r="T49" i="2" s="1"/>
  <c r="T50" i="2" s="1"/>
  <c r="R48" i="2"/>
  <c r="S48" i="2" s="1"/>
  <c r="O48" i="2"/>
  <c r="M48" i="2"/>
  <c r="M49" i="2" s="1"/>
  <c r="M50" i="2" s="1"/>
  <c r="M51" i="2" s="1"/>
  <c r="K48" i="2"/>
  <c r="G48" i="2"/>
  <c r="G49" i="2" s="1"/>
  <c r="O34" i="2"/>
  <c r="O35" i="2" s="1"/>
  <c r="O32" i="2"/>
  <c r="O33" i="2" s="1"/>
  <c r="O29" i="2"/>
  <c r="O30" i="2" s="1"/>
  <c r="O28" i="2"/>
  <c r="O27" i="2"/>
  <c r="O19" i="2"/>
  <c r="O20" i="2" s="1"/>
  <c r="O21" i="2" s="1"/>
  <c r="O10" i="2"/>
  <c r="O9" i="2"/>
  <c r="U180" i="1"/>
  <c r="U348" i="1"/>
  <c r="U331" i="1"/>
  <c r="U306" i="1"/>
  <c r="U285" i="1"/>
  <c r="U236" i="1"/>
  <c r="U61" i="1"/>
  <c r="Q375" i="1"/>
  <c r="R375" i="1" s="1"/>
  <c r="S375" i="1" s="1"/>
  <c r="R374" i="1"/>
  <c r="S374" i="1" s="1"/>
  <c r="Q374" i="1"/>
  <c r="Q373" i="1"/>
  <c r="R373" i="1" s="1"/>
  <c r="S373" i="1" s="1"/>
  <c r="Q372" i="1"/>
  <c r="R372" i="1" s="1"/>
  <c r="S372" i="1" s="1"/>
  <c r="Q371" i="1"/>
  <c r="R371" i="1" s="1"/>
  <c r="S371" i="1" s="1"/>
  <c r="Q370" i="1"/>
  <c r="R370" i="1" s="1"/>
  <c r="S370" i="1" s="1"/>
  <c r="Q369" i="1"/>
  <c r="R369" i="1" s="1"/>
  <c r="S369" i="1" s="1"/>
  <c r="R368" i="1"/>
  <c r="S368" i="1" s="1"/>
  <c r="Q368" i="1"/>
  <c r="Q367" i="1"/>
  <c r="R367" i="1" s="1"/>
  <c r="S367" i="1" s="1"/>
  <c r="Q366" i="1"/>
  <c r="R366" i="1" s="1"/>
  <c r="S366" i="1" s="1"/>
  <c r="Q365" i="1"/>
  <c r="R365" i="1" s="1"/>
  <c r="S365" i="1" s="1"/>
  <c r="R364" i="1"/>
  <c r="S364" i="1" s="1"/>
  <c r="Q364" i="1"/>
  <c r="Q363" i="1"/>
  <c r="R363" i="1" s="1"/>
  <c r="S363" i="1" s="1"/>
  <c r="Q362" i="1"/>
  <c r="R362" i="1" s="1"/>
  <c r="S362" i="1" s="1"/>
  <c r="Q361" i="1"/>
  <c r="R361" i="1" s="1"/>
  <c r="S361" i="1" s="1"/>
  <c r="R360" i="1"/>
  <c r="S360" i="1" s="1"/>
  <c r="Q360" i="1"/>
  <c r="Q359" i="1"/>
  <c r="R359" i="1" s="1"/>
  <c r="S359" i="1" s="1"/>
  <c r="Y358" i="1"/>
  <c r="Y359" i="1" s="1"/>
  <c r="Y360" i="1" s="1"/>
  <c r="Y361" i="1" s="1"/>
  <c r="Y362" i="1" s="1"/>
  <c r="Y363" i="1" s="1"/>
  <c r="Y364" i="1" s="1"/>
  <c r="Y365" i="1" s="1"/>
  <c r="Y366" i="1" s="1"/>
  <c r="Y367" i="1" s="1"/>
  <c r="Y368" i="1" s="1"/>
  <c r="Y369" i="1" s="1"/>
  <c r="Y370" i="1" s="1"/>
  <c r="Y371" i="1" s="1"/>
  <c r="Y372" i="1" s="1"/>
  <c r="Y373" i="1" s="1"/>
  <c r="Y374" i="1" s="1"/>
  <c r="Y375" i="1" s="1"/>
  <c r="Q358" i="1"/>
  <c r="R358" i="1" s="1"/>
  <c r="S358" i="1" s="1"/>
  <c r="Y357" i="1"/>
  <c r="S357" i="1"/>
  <c r="Q357" i="1"/>
  <c r="R357" i="1" s="1"/>
  <c r="H357" i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Q356" i="1"/>
  <c r="R356" i="1" s="1"/>
  <c r="S356" i="1" s="1"/>
  <c r="S355" i="1"/>
  <c r="Q355" i="1"/>
  <c r="R355" i="1" s="1"/>
  <c r="Q354" i="1"/>
  <c r="R354" i="1" s="1"/>
  <c r="S354" i="1" s="1"/>
  <c r="Q353" i="1"/>
  <c r="R353" i="1" s="1"/>
  <c r="S353" i="1" s="1"/>
  <c r="Q352" i="1"/>
  <c r="R352" i="1" s="1"/>
  <c r="S352" i="1" s="1"/>
  <c r="Q351" i="1"/>
  <c r="R351" i="1" s="1"/>
  <c r="S351" i="1" s="1"/>
  <c r="R350" i="1"/>
  <c r="S350" i="1" s="1"/>
  <c r="Q350" i="1"/>
  <c r="Q349" i="1"/>
  <c r="R349" i="1" s="1"/>
  <c r="S349" i="1" s="1"/>
  <c r="Q348" i="1"/>
  <c r="R348" i="1" s="1"/>
  <c r="S348" i="1" s="1"/>
  <c r="Q347" i="1"/>
  <c r="R347" i="1" s="1"/>
  <c r="S347" i="1" s="1"/>
  <c r="Q346" i="1"/>
  <c r="R346" i="1" s="1"/>
  <c r="S346" i="1" s="1"/>
  <c r="R345" i="1"/>
  <c r="S345" i="1" s="1"/>
  <c r="Q345" i="1"/>
  <c r="Q344" i="1"/>
  <c r="R344" i="1" s="1"/>
  <c r="S344" i="1" s="1"/>
  <c r="Q343" i="1"/>
  <c r="R343" i="1" s="1"/>
  <c r="S343" i="1" s="1"/>
  <c r="Q342" i="1"/>
  <c r="R342" i="1" s="1"/>
  <c r="S342" i="1" s="1"/>
  <c r="R341" i="1"/>
  <c r="S341" i="1" s="1"/>
  <c r="Q341" i="1"/>
  <c r="Q340" i="1"/>
  <c r="R340" i="1" s="1"/>
  <c r="S340" i="1" s="1"/>
  <c r="I340" i="1"/>
  <c r="S339" i="1"/>
  <c r="Q339" i="1"/>
  <c r="R339" i="1" s="1"/>
  <c r="Q338" i="1"/>
  <c r="R338" i="1" s="1"/>
  <c r="S338" i="1" s="1"/>
  <c r="I338" i="1"/>
  <c r="Q337" i="1"/>
  <c r="R337" i="1" s="1"/>
  <c r="S337" i="1" s="1"/>
  <c r="Y336" i="1"/>
  <c r="Y337" i="1" s="1"/>
  <c r="Y338" i="1" s="1"/>
  <c r="Y339" i="1" s="1"/>
  <c r="Y340" i="1" s="1"/>
  <c r="Y341" i="1" s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Z336" i="1" s="1"/>
  <c r="Z338" i="1" s="1"/>
  <c r="Q336" i="1"/>
  <c r="R336" i="1" s="1"/>
  <c r="S336" i="1" s="1"/>
  <c r="I336" i="1"/>
  <c r="H336" i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R335" i="1"/>
  <c r="S335" i="1" s="1"/>
  <c r="Q335" i="1"/>
  <c r="Q334" i="1"/>
  <c r="R334" i="1" s="1"/>
  <c r="S334" i="1" s="1"/>
  <c r="S333" i="1"/>
  <c r="Q333" i="1"/>
  <c r="R333" i="1" s="1"/>
  <c r="Q332" i="1"/>
  <c r="R332" i="1" s="1"/>
  <c r="S332" i="1" s="1"/>
  <c r="Q331" i="1"/>
  <c r="R331" i="1" s="1"/>
  <c r="S331" i="1" s="1"/>
  <c r="R330" i="1"/>
  <c r="S330" i="1" s="1"/>
  <c r="Q330" i="1"/>
  <c r="O330" i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R329" i="1"/>
  <c r="S329" i="1" s="1"/>
  <c r="Q329" i="1"/>
  <c r="Q328" i="1"/>
  <c r="R328" i="1" s="1"/>
  <c r="S328" i="1" s="1"/>
  <c r="Q327" i="1"/>
  <c r="R327" i="1" s="1"/>
  <c r="S327" i="1" s="1"/>
  <c r="R326" i="1"/>
  <c r="S326" i="1" s="1"/>
  <c r="Q326" i="1"/>
  <c r="Q325" i="1"/>
  <c r="R325" i="1" s="1"/>
  <c r="S325" i="1" s="1"/>
  <c r="Q324" i="1"/>
  <c r="R324" i="1" s="1"/>
  <c r="S324" i="1" s="1"/>
  <c r="Q323" i="1"/>
  <c r="R323" i="1" s="1"/>
  <c r="S323" i="1" s="1"/>
  <c r="I323" i="1"/>
  <c r="R322" i="1"/>
  <c r="S322" i="1" s="1"/>
  <c r="Q322" i="1"/>
  <c r="Q321" i="1"/>
  <c r="R321" i="1" s="1"/>
  <c r="S321" i="1" s="1"/>
  <c r="I321" i="1"/>
  <c r="Q320" i="1"/>
  <c r="R320" i="1" s="1"/>
  <c r="S320" i="1" s="1"/>
  <c r="Y319" i="1"/>
  <c r="Y320" i="1" s="1"/>
  <c r="Y321" i="1" s="1"/>
  <c r="Y322" i="1" s="1"/>
  <c r="Y323" i="1" s="1"/>
  <c r="Y324" i="1" s="1"/>
  <c r="Y325" i="1" s="1"/>
  <c r="Y326" i="1" s="1"/>
  <c r="Y327" i="1" s="1"/>
  <c r="Y328" i="1" s="1"/>
  <c r="Y329" i="1" s="1"/>
  <c r="Y330" i="1" s="1"/>
  <c r="Y331" i="1" s="1"/>
  <c r="Y332" i="1" s="1"/>
  <c r="Y333" i="1" s="1"/>
  <c r="Y334" i="1" s="1"/>
  <c r="Z319" i="1" s="1"/>
  <c r="Z321" i="1" s="1"/>
  <c r="R319" i="1"/>
  <c r="S319" i="1" s="1"/>
  <c r="Q319" i="1"/>
  <c r="I319" i="1"/>
  <c r="H319" i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S318" i="1"/>
  <c r="Q318" i="1"/>
  <c r="R318" i="1" s="1"/>
  <c r="S317" i="1"/>
  <c r="R317" i="1"/>
  <c r="S316" i="1"/>
  <c r="R316" i="1"/>
  <c r="R315" i="1"/>
  <c r="S315" i="1" s="1"/>
  <c r="S314" i="1"/>
  <c r="R314" i="1"/>
  <c r="S313" i="1"/>
  <c r="R313" i="1"/>
  <c r="S312" i="1"/>
  <c r="R312" i="1"/>
  <c r="R311" i="1"/>
  <c r="S311" i="1" s="1"/>
  <c r="S310" i="1"/>
  <c r="R310" i="1"/>
  <c r="O310" i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S309" i="1"/>
  <c r="R309" i="1"/>
  <c r="R308" i="1"/>
  <c r="S308" i="1" s="1"/>
  <c r="R307" i="1"/>
  <c r="S307" i="1" s="1"/>
  <c r="S306" i="1"/>
  <c r="R306" i="1"/>
  <c r="R305" i="1"/>
  <c r="S305" i="1" s="1"/>
  <c r="R304" i="1"/>
  <c r="S304" i="1" s="1"/>
  <c r="O304" i="1"/>
  <c r="O305" i="1" s="1"/>
  <c r="O306" i="1" s="1"/>
  <c r="O307" i="1" s="1"/>
  <c r="R303" i="1"/>
  <c r="S303" i="1" s="1"/>
  <c r="S302" i="1"/>
  <c r="R302" i="1"/>
  <c r="R301" i="1"/>
  <c r="S301" i="1" s="1"/>
  <c r="S300" i="1"/>
  <c r="R300" i="1"/>
  <c r="O300" i="1"/>
  <c r="R299" i="1"/>
  <c r="S299" i="1" s="1"/>
  <c r="R298" i="1"/>
  <c r="S298" i="1" s="1"/>
  <c r="I298" i="1"/>
  <c r="R297" i="1"/>
  <c r="S297" i="1" s="1"/>
  <c r="R296" i="1"/>
  <c r="S296" i="1" s="1"/>
  <c r="I296" i="1"/>
  <c r="R295" i="1"/>
  <c r="S295" i="1" s="1"/>
  <c r="O295" i="1"/>
  <c r="H295" i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Y294" i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0" i="1" s="1"/>
  <c r="Y311" i="1" s="1"/>
  <c r="Y312" i="1" s="1"/>
  <c r="Y313" i="1" s="1"/>
  <c r="Y314" i="1" s="1"/>
  <c r="Y315" i="1" s="1"/>
  <c r="Y316" i="1" s="1"/>
  <c r="Y317" i="1" s="1"/>
  <c r="Z294" i="1" s="1"/>
  <c r="Z296" i="1" s="1"/>
  <c r="S294" i="1"/>
  <c r="R294" i="1"/>
  <c r="I294" i="1"/>
  <c r="H294" i="1"/>
  <c r="S293" i="1"/>
  <c r="R293" i="1"/>
  <c r="S292" i="1"/>
  <c r="R292" i="1"/>
  <c r="R291" i="1"/>
  <c r="S291" i="1" s="1"/>
  <c r="R290" i="1"/>
  <c r="S290" i="1" s="1"/>
  <c r="R289" i="1"/>
  <c r="S289" i="1" s="1"/>
  <c r="S288" i="1"/>
  <c r="R288" i="1"/>
  <c r="S287" i="1"/>
  <c r="R287" i="1"/>
  <c r="R286" i="1"/>
  <c r="S286" i="1" s="1"/>
  <c r="R285" i="1"/>
  <c r="S285" i="1" s="1"/>
  <c r="R284" i="1"/>
  <c r="S284" i="1" s="1"/>
  <c r="S283" i="1"/>
  <c r="R283" i="1"/>
  <c r="S282" i="1"/>
  <c r="R282" i="1"/>
  <c r="O282" i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R281" i="1"/>
  <c r="S281" i="1" s="1"/>
  <c r="R280" i="1"/>
  <c r="S280" i="1" s="1"/>
  <c r="R279" i="1"/>
  <c r="S279" i="1" s="1"/>
  <c r="O279" i="1"/>
  <c r="S278" i="1"/>
  <c r="R278" i="1"/>
  <c r="R277" i="1"/>
  <c r="S277" i="1" s="1"/>
  <c r="I277" i="1"/>
  <c r="S276" i="1"/>
  <c r="R276" i="1"/>
  <c r="Z275" i="1"/>
  <c r="S275" i="1"/>
  <c r="R275" i="1"/>
  <c r="I275" i="1"/>
  <c r="R274" i="1"/>
  <c r="S274" i="1" s="1"/>
  <c r="Y273" i="1"/>
  <c r="Y274" i="1" s="1"/>
  <c r="Y275" i="1" s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2" i="1" s="1"/>
  <c r="R273" i="1"/>
  <c r="S273" i="1" s="1"/>
  <c r="I273" i="1"/>
  <c r="H273" i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R272" i="1"/>
  <c r="S272" i="1" s="1"/>
  <c r="Q271" i="1"/>
  <c r="R271" i="1" s="1"/>
  <c r="S271" i="1" s="1"/>
  <c r="Q270" i="1"/>
  <c r="R270" i="1" s="1"/>
  <c r="S270" i="1" s="1"/>
  <c r="Q269" i="1"/>
  <c r="R269" i="1" s="1"/>
  <c r="S269" i="1" s="1"/>
  <c r="Q268" i="1"/>
  <c r="R268" i="1" s="1"/>
  <c r="S268" i="1" s="1"/>
  <c r="Q267" i="1"/>
  <c r="R267" i="1" s="1"/>
  <c r="S267" i="1" s="1"/>
  <c r="Q266" i="1"/>
  <c r="R266" i="1" s="1"/>
  <c r="S266" i="1" s="1"/>
  <c r="R265" i="1"/>
  <c r="S265" i="1" s="1"/>
  <c r="Q265" i="1"/>
  <c r="Q264" i="1"/>
  <c r="R264" i="1" s="1"/>
  <c r="S264" i="1" s="1"/>
  <c r="Q263" i="1"/>
  <c r="R263" i="1" s="1"/>
  <c r="S263" i="1" s="1"/>
  <c r="Q262" i="1"/>
  <c r="R262" i="1" s="1"/>
  <c r="S262" i="1" s="1"/>
  <c r="R261" i="1"/>
  <c r="S261" i="1" s="1"/>
  <c r="Q261" i="1"/>
  <c r="O261" i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Q260" i="1"/>
  <c r="R260" i="1" s="1"/>
  <c r="S260" i="1" s="1"/>
  <c r="Q259" i="1"/>
  <c r="R259" i="1" s="1"/>
  <c r="S259" i="1" s="1"/>
  <c r="Q258" i="1"/>
  <c r="R258" i="1" s="1"/>
  <c r="S258" i="1" s="1"/>
  <c r="Q257" i="1"/>
  <c r="R257" i="1" s="1"/>
  <c r="S257" i="1" s="1"/>
  <c r="R256" i="1"/>
  <c r="S256" i="1" s="1"/>
  <c r="Q256" i="1"/>
  <c r="Q255" i="1"/>
  <c r="R255" i="1" s="1"/>
  <c r="S255" i="1" s="1"/>
  <c r="Q254" i="1"/>
  <c r="R254" i="1" s="1"/>
  <c r="S254" i="1" s="1"/>
  <c r="Q253" i="1"/>
  <c r="R253" i="1" s="1"/>
  <c r="S253" i="1" s="1"/>
  <c r="Q252" i="1"/>
  <c r="R252" i="1" s="1"/>
  <c r="S252" i="1" s="1"/>
  <c r="Q251" i="1"/>
  <c r="R251" i="1" s="1"/>
  <c r="S251" i="1" s="1"/>
  <c r="Q250" i="1"/>
  <c r="R250" i="1" s="1"/>
  <c r="S250" i="1" s="1"/>
  <c r="R249" i="1"/>
  <c r="S249" i="1" s="1"/>
  <c r="Q249" i="1"/>
  <c r="Q248" i="1"/>
  <c r="R248" i="1" s="1"/>
  <c r="S248" i="1" s="1"/>
  <c r="Q247" i="1"/>
  <c r="R247" i="1" s="1"/>
  <c r="S247" i="1" s="1"/>
  <c r="Q246" i="1"/>
  <c r="R246" i="1" s="1"/>
  <c r="S246" i="1" s="1"/>
  <c r="Q245" i="1"/>
  <c r="R245" i="1" s="1"/>
  <c r="S245" i="1" s="1"/>
  <c r="Q244" i="1"/>
  <c r="R244" i="1" s="1"/>
  <c r="S244" i="1" s="1"/>
  <c r="Q243" i="1"/>
  <c r="R243" i="1" s="1"/>
  <c r="S243" i="1" s="1"/>
  <c r="Q242" i="1"/>
  <c r="R242" i="1" s="1"/>
  <c r="S242" i="1" s="1"/>
  <c r="R241" i="1"/>
  <c r="S241" i="1" s="1"/>
  <c r="Q241" i="1"/>
  <c r="Q240" i="1"/>
  <c r="R240" i="1" s="1"/>
  <c r="S240" i="1" s="1"/>
  <c r="Q239" i="1"/>
  <c r="R239" i="1" s="1"/>
  <c r="S239" i="1" s="1"/>
  <c r="H239" i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Q238" i="1"/>
  <c r="R238" i="1" s="1"/>
  <c r="S238" i="1" s="1"/>
  <c r="O238" i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Q237" i="1"/>
  <c r="R237" i="1" s="1"/>
  <c r="S237" i="1" s="1"/>
  <c r="O237" i="1"/>
  <c r="Q236" i="1"/>
  <c r="R236" i="1" s="1"/>
  <c r="S236" i="1" s="1"/>
  <c r="O236" i="1"/>
  <c r="R235" i="1"/>
  <c r="S235" i="1" s="1"/>
  <c r="Q235" i="1"/>
  <c r="H235" i="1"/>
  <c r="H236" i="1" s="1"/>
  <c r="H237" i="1" s="1"/>
  <c r="H238" i="1" s="1"/>
  <c r="Q234" i="1"/>
  <c r="R234" i="1" s="1"/>
  <c r="S234" i="1" s="1"/>
  <c r="H234" i="1"/>
  <c r="Q233" i="1"/>
  <c r="R233" i="1" s="1"/>
  <c r="S233" i="1" s="1"/>
  <c r="H233" i="1"/>
  <c r="G233" i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S232" i="1"/>
  <c r="R232" i="1"/>
  <c r="Q232" i="1"/>
  <c r="Q231" i="1"/>
  <c r="R231" i="1" s="1"/>
  <c r="S231" i="1" s="1"/>
  <c r="Q230" i="1"/>
  <c r="R230" i="1" s="1"/>
  <c r="S230" i="1" s="1"/>
  <c r="Q229" i="1"/>
  <c r="R229" i="1" s="1"/>
  <c r="S229" i="1" s="1"/>
  <c r="Q228" i="1"/>
  <c r="R228" i="1" s="1"/>
  <c r="S228" i="1" s="1"/>
  <c r="I228" i="1"/>
  <c r="Q227" i="1"/>
  <c r="R227" i="1" s="1"/>
  <c r="S227" i="1" s="1"/>
  <c r="Z226" i="1"/>
  <c r="Q226" i="1"/>
  <c r="R226" i="1" s="1"/>
  <c r="S226" i="1" s="1"/>
  <c r="I226" i="1"/>
  <c r="Q225" i="1"/>
  <c r="R225" i="1" s="1"/>
  <c r="S225" i="1" s="1"/>
  <c r="H225" i="1"/>
  <c r="H226" i="1" s="1"/>
  <c r="H227" i="1" s="1"/>
  <c r="H228" i="1" s="1"/>
  <c r="H229" i="1" s="1"/>
  <c r="Y224" i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Q224" i="1"/>
  <c r="R224" i="1" s="1"/>
  <c r="S224" i="1" s="1"/>
  <c r="I224" i="1"/>
  <c r="H224" i="1"/>
  <c r="Q223" i="1"/>
  <c r="R223" i="1" s="1"/>
  <c r="S223" i="1" s="1"/>
  <c r="R222" i="1"/>
  <c r="S222" i="1" s="1"/>
  <c r="R221" i="1"/>
  <c r="S221" i="1" s="1"/>
  <c r="R220" i="1"/>
  <c r="S220" i="1" s="1"/>
  <c r="R219" i="1"/>
  <c r="S219" i="1" s="1"/>
  <c r="R218" i="1"/>
  <c r="S218" i="1" s="1"/>
  <c r="R217" i="1"/>
  <c r="S217" i="1" s="1"/>
  <c r="R216" i="1"/>
  <c r="S216" i="1" s="1"/>
  <c r="H216" i="1"/>
  <c r="H217" i="1" s="1"/>
  <c r="H218" i="1" s="1"/>
  <c r="H219" i="1" s="1"/>
  <c r="H220" i="1" s="1"/>
  <c r="H221" i="1" s="1"/>
  <c r="H222" i="1" s="1"/>
  <c r="G216" i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R215" i="1"/>
  <c r="S215" i="1" s="1"/>
  <c r="S214" i="1"/>
  <c r="R214" i="1"/>
  <c r="S213" i="1"/>
  <c r="R213" i="1"/>
  <c r="R212" i="1"/>
  <c r="S212" i="1" s="1"/>
  <c r="S211" i="1"/>
  <c r="R211" i="1"/>
  <c r="R210" i="1"/>
  <c r="S210" i="1" s="1"/>
  <c r="S209" i="1"/>
  <c r="R209" i="1"/>
  <c r="H209" i="1"/>
  <c r="G209" i="1"/>
  <c r="R208" i="1"/>
  <c r="S208" i="1" s="1"/>
  <c r="S207" i="1"/>
  <c r="R207" i="1"/>
  <c r="R206" i="1"/>
  <c r="S206" i="1" s="1"/>
  <c r="R205" i="1"/>
  <c r="S205" i="1" s="1"/>
  <c r="R204" i="1"/>
  <c r="S204" i="1" s="1"/>
  <c r="H204" i="1"/>
  <c r="H205" i="1" s="1"/>
  <c r="H206" i="1" s="1"/>
  <c r="G204" i="1"/>
  <c r="G205" i="1" s="1"/>
  <c r="G206" i="1" s="1"/>
  <c r="R203" i="1"/>
  <c r="S203" i="1" s="1"/>
  <c r="R202" i="1"/>
  <c r="S202" i="1" s="1"/>
  <c r="R201" i="1"/>
  <c r="S201" i="1" s="1"/>
  <c r="O201" i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R200" i="1"/>
  <c r="S200" i="1" s="1"/>
  <c r="H200" i="1"/>
  <c r="G200" i="1"/>
  <c r="R199" i="1"/>
  <c r="S199" i="1" s="1"/>
  <c r="R198" i="1"/>
  <c r="S198" i="1" s="1"/>
  <c r="R197" i="1"/>
  <c r="S197" i="1" s="1"/>
  <c r="S196" i="1"/>
  <c r="R196" i="1"/>
  <c r="O196" i="1"/>
  <c r="O197" i="1" s="1"/>
  <c r="O198" i="1" s="1"/>
  <c r="R195" i="1"/>
  <c r="S195" i="1" s="1"/>
  <c r="R194" i="1"/>
  <c r="S194" i="1" s="1"/>
  <c r="R193" i="1"/>
  <c r="S193" i="1" s="1"/>
  <c r="R192" i="1"/>
  <c r="S192" i="1" s="1"/>
  <c r="R191" i="1"/>
  <c r="S191" i="1" s="1"/>
  <c r="O191" i="1"/>
  <c r="R190" i="1"/>
  <c r="S190" i="1" s="1"/>
  <c r="R189" i="1"/>
  <c r="S189" i="1" s="1"/>
  <c r="R188" i="1"/>
  <c r="S188" i="1" s="1"/>
  <c r="S187" i="1"/>
  <c r="R187" i="1"/>
  <c r="R186" i="1"/>
  <c r="S186" i="1" s="1"/>
  <c r="R185" i="1"/>
  <c r="S185" i="1" s="1"/>
  <c r="H185" i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G185" i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R184" i="1"/>
  <c r="S184" i="1" s="1"/>
  <c r="R183" i="1"/>
  <c r="S183" i="1" s="1"/>
  <c r="R182" i="1"/>
  <c r="S182" i="1" s="1"/>
  <c r="R181" i="1"/>
  <c r="S181" i="1" s="1"/>
  <c r="H181" i="1"/>
  <c r="H182" i="1" s="1"/>
  <c r="S180" i="1"/>
  <c r="R180" i="1"/>
  <c r="O180" i="1"/>
  <c r="O181" i="1" s="1"/>
  <c r="O182" i="1" s="1"/>
  <c r="O183" i="1" s="1"/>
  <c r="O184" i="1" s="1"/>
  <c r="R179" i="1"/>
  <c r="S179" i="1" s="1"/>
  <c r="S178" i="1"/>
  <c r="R178" i="1"/>
  <c r="H178" i="1"/>
  <c r="H179" i="1" s="1"/>
  <c r="H180" i="1" s="1"/>
  <c r="G178" i="1"/>
  <c r="G179" i="1" s="1"/>
  <c r="G180" i="1" s="1"/>
  <c r="G181" i="1" s="1"/>
  <c r="G182" i="1" s="1"/>
  <c r="R177" i="1"/>
  <c r="S177" i="1" s="1"/>
  <c r="R176" i="1"/>
  <c r="S176" i="1" s="1"/>
  <c r="R175" i="1"/>
  <c r="S175" i="1" s="1"/>
  <c r="R174" i="1"/>
  <c r="S174" i="1" s="1"/>
  <c r="R173" i="1"/>
  <c r="S173" i="1" s="1"/>
  <c r="R172" i="1"/>
  <c r="S172" i="1" s="1"/>
  <c r="S171" i="1"/>
  <c r="R171" i="1"/>
  <c r="R170" i="1"/>
  <c r="S170" i="1" s="1"/>
  <c r="O170" i="1"/>
  <c r="O171" i="1" s="1"/>
  <c r="O172" i="1" s="1"/>
  <c r="O173" i="1" s="1"/>
  <c r="O174" i="1" s="1"/>
  <c r="O175" i="1" s="1"/>
  <c r="O176" i="1" s="1"/>
  <c r="I170" i="1"/>
  <c r="R169" i="1"/>
  <c r="S169" i="1" s="1"/>
  <c r="O169" i="1"/>
  <c r="Z168" i="1"/>
  <c r="S168" i="1"/>
  <c r="R168" i="1"/>
  <c r="I168" i="1"/>
  <c r="R167" i="1"/>
  <c r="S167" i="1" s="1"/>
  <c r="S166" i="1"/>
  <c r="R166" i="1"/>
  <c r="I166" i="1"/>
  <c r="Y165" i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S165" i="1"/>
  <c r="R165" i="1"/>
  <c r="H165" i="1"/>
  <c r="H166" i="1" s="1"/>
  <c r="H167" i="1" s="1"/>
  <c r="H168" i="1" s="1"/>
  <c r="H169" i="1" s="1"/>
  <c r="H170" i="1" s="1"/>
  <c r="H171" i="1" s="1"/>
  <c r="Q164" i="1"/>
  <c r="R164" i="1" s="1"/>
  <c r="S164" i="1" s="1"/>
  <c r="Q163" i="1"/>
  <c r="R163" i="1" s="1"/>
  <c r="S163" i="1" s="1"/>
  <c r="Q162" i="1"/>
  <c r="R162" i="1" s="1"/>
  <c r="S162" i="1" s="1"/>
  <c r="Q161" i="1"/>
  <c r="R161" i="1" s="1"/>
  <c r="S161" i="1" s="1"/>
  <c r="Q160" i="1"/>
  <c r="R160" i="1" s="1"/>
  <c r="S160" i="1" s="1"/>
  <c r="O160" i="1"/>
  <c r="O161" i="1" s="1"/>
  <c r="O162" i="1" s="1"/>
  <c r="O163" i="1" s="1"/>
  <c r="O164" i="1" s="1"/>
  <c r="O165" i="1" s="1"/>
  <c r="O166" i="1" s="1"/>
  <c r="R159" i="1"/>
  <c r="S159" i="1" s="1"/>
  <c r="Q159" i="1"/>
  <c r="R158" i="1"/>
  <c r="S158" i="1" s="1"/>
  <c r="Q158" i="1"/>
  <c r="S157" i="1"/>
  <c r="Q157" i="1"/>
  <c r="R157" i="1" s="1"/>
  <c r="R156" i="1"/>
  <c r="S156" i="1" s="1"/>
  <c r="Q156" i="1"/>
  <c r="Q155" i="1"/>
  <c r="R155" i="1" s="1"/>
  <c r="S155" i="1" s="1"/>
  <c r="O155" i="1"/>
  <c r="O156" i="1" s="1"/>
  <c r="O157" i="1" s="1"/>
  <c r="O158" i="1" s="1"/>
  <c r="Q154" i="1"/>
  <c r="R154" i="1" s="1"/>
  <c r="S154" i="1" s="1"/>
  <c r="Q153" i="1"/>
  <c r="R153" i="1" s="1"/>
  <c r="S153" i="1" s="1"/>
  <c r="Q152" i="1"/>
  <c r="R152" i="1" s="1"/>
  <c r="S152" i="1" s="1"/>
  <c r="Q151" i="1"/>
  <c r="R151" i="1" s="1"/>
  <c r="S151" i="1" s="1"/>
  <c r="Q150" i="1"/>
  <c r="R150" i="1" s="1"/>
  <c r="S150" i="1" s="1"/>
  <c r="O150" i="1"/>
  <c r="O151" i="1" s="1"/>
  <c r="O152" i="1" s="1"/>
  <c r="O153" i="1" s="1"/>
  <c r="Q149" i="1"/>
  <c r="R149" i="1" s="1"/>
  <c r="S149" i="1" s="1"/>
  <c r="Q148" i="1"/>
  <c r="R148" i="1" s="1"/>
  <c r="S148" i="1" s="1"/>
  <c r="Q147" i="1"/>
  <c r="R147" i="1" s="1"/>
  <c r="S147" i="1" s="1"/>
  <c r="Q146" i="1"/>
  <c r="R146" i="1" s="1"/>
  <c r="S146" i="1" s="1"/>
  <c r="O146" i="1"/>
  <c r="Q145" i="1"/>
  <c r="R145" i="1" s="1"/>
  <c r="S145" i="1" s="1"/>
  <c r="R144" i="1"/>
  <c r="S144" i="1" s="1"/>
  <c r="Q144" i="1"/>
  <c r="Q143" i="1"/>
  <c r="R143" i="1" s="1"/>
  <c r="S143" i="1" s="1"/>
  <c r="R142" i="1"/>
  <c r="S142" i="1" s="1"/>
  <c r="Q142" i="1"/>
  <c r="Q141" i="1"/>
  <c r="R141" i="1" s="1"/>
  <c r="S141" i="1" s="1"/>
  <c r="G141" i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R140" i="1"/>
  <c r="S140" i="1" s="1"/>
  <c r="Q140" i="1"/>
  <c r="Q139" i="1"/>
  <c r="R139" i="1" s="1"/>
  <c r="S139" i="1" s="1"/>
  <c r="Q138" i="1"/>
  <c r="R138" i="1" s="1"/>
  <c r="S138" i="1" s="1"/>
  <c r="O138" i="1"/>
  <c r="O139" i="1" s="1"/>
  <c r="Q137" i="1"/>
  <c r="R137" i="1" s="1"/>
  <c r="S137" i="1" s="1"/>
  <c r="R136" i="1"/>
  <c r="S136" i="1" s="1"/>
  <c r="Q136" i="1"/>
  <c r="Q135" i="1"/>
  <c r="R135" i="1" s="1"/>
  <c r="S135" i="1" s="1"/>
  <c r="O135" i="1"/>
  <c r="S134" i="1"/>
  <c r="Q134" i="1"/>
  <c r="R134" i="1" s="1"/>
  <c r="Q133" i="1"/>
  <c r="R133" i="1" s="1"/>
  <c r="S133" i="1" s="1"/>
  <c r="O133" i="1"/>
  <c r="Q132" i="1"/>
  <c r="R132" i="1" s="1"/>
  <c r="S132" i="1" s="1"/>
  <c r="Q131" i="1"/>
  <c r="R131" i="1" s="1"/>
  <c r="S131" i="1" s="1"/>
  <c r="Q130" i="1"/>
  <c r="R130" i="1" s="1"/>
  <c r="S130" i="1" s="1"/>
  <c r="G130" i="1"/>
  <c r="G131" i="1" s="1"/>
  <c r="G132" i="1" s="1"/>
  <c r="G133" i="1" s="1"/>
  <c r="G134" i="1" s="1"/>
  <c r="G135" i="1" s="1"/>
  <c r="G136" i="1" s="1"/>
  <c r="G137" i="1" s="1"/>
  <c r="G138" i="1" s="1"/>
  <c r="Q129" i="1"/>
  <c r="R129" i="1" s="1"/>
  <c r="S129" i="1" s="1"/>
  <c r="Q128" i="1"/>
  <c r="R128" i="1" s="1"/>
  <c r="S128" i="1" s="1"/>
  <c r="Q127" i="1"/>
  <c r="R127" i="1" s="1"/>
  <c r="S127" i="1" s="1"/>
  <c r="Q126" i="1"/>
  <c r="R126" i="1" s="1"/>
  <c r="S126" i="1" s="1"/>
  <c r="R125" i="1"/>
  <c r="S125" i="1" s="1"/>
  <c r="Q125" i="1"/>
  <c r="S124" i="1"/>
  <c r="R124" i="1"/>
  <c r="Q124" i="1"/>
  <c r="O124" i="1"/>
  <c r="O125" i="1" s="1"/>
  <c r="O126" i="1" s="1"/>
  <c r="O127" i="1" s="1"/>
  <c r="O128" i="1" s="1"/>
  <c r="O129" i="1" s="1"/>
  <c r="Q123" i="1"/>
  <c r="R123" i="1" s="1"/>
  <c r="S123" i="1" s="1"/>
  <c r="Q122" i="1"/>
  <c r="R122" i="1" s="1"/>
  <c r="S122" i="1" s="1"/>
  <c r="Q121" i="1"/>
  <c r="R121" i="1" s="1"/>
  <c r="S121" i="1" s="1"/>
  <c r="Q120" i="1"/>
  <c r="R120" i="1" s="1"/>
  <c r="S120" i="1" s="1"/>
  <c r="S119" i="1"/>
  <c r="R119" i="1"/>
  <c r="Q119" i="1"/>
  <c r="Q118" i="1"/>
  <c r="R118" i="1" s="1"/>
  <c r="S118" i="1" s="1"/>
  <c r="Q117" i="1"/>
  <c r="R117" i="1" s="1"/>
  <c r="S117" i="1" s="1"/>
  <c r="R116" i="1"/>
  <c r="S116" i="1" s="1"/>
  <c r="Q116" i="1"/>
  <c r="Q115" i="1"/>
  <c r="R115" i="1" s="1"/>
  <c r="S115" i="1" s="1"/>
  <c r="R114" i="1"/>
  <c r="S114" i="1" s="1"/>
  <c r="Q114" i="1"/>
  <c r="Q113" i="1"/>
  <c r="R113" i="1" s="1"/>
  <c r="S113" i="1" s="1"/>
  <c r="Q112" i="1"/>
  <c r="R112" i="1" s="1"/>
  <c r="S112" i="1" s="1"/>
  <c r="Q111" i="1"/>
  <c r="R111" i="1" s="1"/>
  <c r="S111" i="1" s="1"/>
  <c r="Q110" i="1"/>
  <c r="R110" i="1" s="1"/>
  <c r="S110" i="1" s="1"/>
  <c r="Q109" i="1"/>
  <c r="R109" i="1" s="1"/>
  <c r="S109" i="1" s="1"/>
  <c r="Q108" i="1"/>
  <c r="R108" i="1" s="1"/>
  <c r="S108" i="1" s="1"/>
  <c r="O108" i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Q107" i="1"/>
  <c r="R107" i="1" s="1"/>
  <c r="S107" i="1" s="1"/>
  <c r="Q106" i="1"/>
  <c r="R106" i="1" s="1"/>
  <c r="S106" i="1" s="1"/>
  <c r="R105" i="1"/>
  <c r="S105" i="1" s="1"/>
  <c r="Q105" i="1"/>
  <c r="Q104" i="1"/>
  <c r="R104" i="1" s="1"/>
  <c r="S104" i="1" s="1"/>
  <c r="Q103" i="1"/>
  <c r="R103" i="1" s="1"/>
  <c r="S103" i="1" s="1"/>
  <c r="O103" i="1"/>
  <c r="O104" i="1" s="1"/>
  <c r="O105" i="1" s="1"/>
  <c r="Q102" i="1"/>
  <c r="R102" i="1" s="1"/>
  <c r="S102" i="1" s="1"/>
  <c r="Q101" i="1"/>
  <c r="R101" i="1" s="1"/>
  <c r="S101" i="1" s="1"/>
  <c r="Q100" i="1"/>
  <c r="R100" i="1" s="1"/>
  <c r="S100" i="1" s="1"/>
  <c r="Q99" i="1"/>
  <c r="R99" i="1" s="1"/>
  <c r="S99" i="1" s="1"/>
  <c r="Q98" i="1"/>
  <c r="R98" i="1" s="1"/>
  <c r="S98" i="1" s="1"/>
  <c r="R97" i="1"/>
  <c r="S97" i="1" s="1"/>
  <c r="Q97" i="1"/>
  <c r="Q96" i="1"/>
  <c r="R96" i="1" s="1"/>
  <c r="S96" i="1" s="1"/>
  <c r="Q95" i="1"/>
  <c r="R95" i="1" s="1"/>
  <c r="S95" i="1" s="1"/>
  <c r="Q94" i="1"/>
  <c r="R94" i="1" s="1"/>
  <c r="S94" i="1" s="1"/>
  <c r="Q93" i="1"/>
  <c r="R93" i="1" s="1"/>
  <c r="S93" i="1" s="1"/>
  <c r="Q92" i="1"/>
  <c r="R92" i="1" s="1"/>
  <c r="S92" i="1" s="1"/>
  <c r="Q91" i="1"/>
  <c r="R91" i="1" s="1"/>
  <c r="S91" i="1" s="1"/>
  <c r="Q90" i="1"/>
  <c r="R90" i="1" s="1"/>
  <c r="S90" i="1" s="1"/>
  <c r="R89" i="1"/>
  <c r="S89" i="1" s="1"/>
  <c r="Q89" i="1"/>
  <c r="Q88" i="1"/>
  <c r="R88" i="1" s="1"/>
  <c r="S88" i="1" s="1"/>
  <c r="Q87" i="1"/>
  <c r="R87" i="1" s="1"/>
  <c r="S87" i="1" s="1"/>
  <c r="Q86" i="1"/>
  <c r="R86" i="1" s="1"/>
  <c r="S86" i="1" s="1"/>
  <c r="Q85" i="1"/>
  <c r="R85" i="1" s="1"/>
  <c r="S85" i="1" s="1"/>
  <c r="Q84" i="1"/>
  <c r="R84" i="1" s="1"/>
  <c r="S84" i="1" s="1"/>
  <c r="Q83" i="1"/>
  <c r="R83" i="1" s="1"/>
  <c r="S83" i="1" s="1"/>
  <c r="Q82" i="1"/>
  <c r="R82" i="1" s="1"/>
  <c r="S82" i="1" s="1"/>
  <c r="Q81" i="1"/>
  <c r="R81" i="1" s="1"/>
  <c r="S81" i="1" s="1"/>
  <c r="Q80" i="1"/>
  <c r="R80" i="1" s="1"/>
  <c r="S80" i="1" s="1"/>
  <c r="R79" i="1"/>
  <c r="S79" i="1" s="1"/>
  <c r="Q79" i="1"/>
  <c r="Q78" i="1"/>
  <c r="R78" i="1" s="1"/>
  <c r="S78" i="1" s="1"/>
  <c r="Q77" i="1"/>
  <c r="R77" i="1" s="1"/>
  <c r="S77" i="1" s="1"/>
  <c r="R76" i="1"/>
  <c r="S76" i="1" s="1"/>
  <c r="Q76" i="1"/>
  <c r="Q75" i="1"/>
  <c r="R75" i="1" s="1"/>
  <c r="S75" i="1" s="1"/>
  <c r="Q74" i="1"/>
  <c r="R74" i="1" s="1"/>
  <c r="S74" i="1" s="1"/>
  <c r="R73" i="1"/>
  <c r="S73" i="1" s="1"/>
  <c r="Q73" i="1"/>
  <c r="Q72" i="1"/>
  <c r="R72" i="1" s="1"/>
  <c r="S72" i="1" s="1"/>
  <c r="R71" i="1"/>
  <c r="S71" i="1" s="1"/>
  <c r="Q71" i="1"/>
  <c r="Q70" i="1"/>
  <c r="R70" i="1" s="1"/>
  <c r="S70" i="1" s="1"/>
  <c r="Q69" i="1"/>
  <c r="R69" i="1" s="1"/>
  <c r="S69" i="1" s="1"/>
  <c r="Q68" i="1"/>
  <c r="R68" i="1" s="1"/>
  <c r="S68" i="1" s="1"/>
  <c r="Q67" i="1"/>
  <c r="R67" i="1" s="1"/>
  <c r="S67" i="1" s="1"/>
  <c r="Q66" i="1"/>
  <c r="R66" i="1" s="1"/>
  <c r="S66" i="1" s="1"/>
  <c r="R65" i="1"/>
  <c r="S65" i="1" s="1"/>
  <c r="Q65" i="1"/>
  <c r="Q64" i="1"/>
  <c r="R64" i="1" s="1"/>
  <c r="S64" i="1" s="1"/>
  <c r="Q63" i="1"/>
  <c r="R63" i="1" s="1"/>
  <c r="S63" i="1" s="1"/>
  <c r="R62" i="1"/>
  <c r="S62" i="1" s="1"/>
  <c r="Q62" i="1"/>
  <c r="Q61" i="1"/>
  <c r="R61" i="1" s="1"/>
  <c r="S61" i="1" s="1"/>
  <c r="Q60" i="1"/>
  <c r="R60" i="1" s="1"/>
  <c r="S60" i="1" s="1"/>
  <c r="Q59" i="1"/>
  <c r="R59" i="1" s="1"/>
  <c r="S59" i="1" s="1"/>
  <c r="R58" i="1"/>
  <c r="S58" i="1" s="1"/>
  <c r="Q58" i="1"/>
  <c r="R57" i="1"/>
  <c r="S57" i="1" s="1"/>
  <c r="T57" i="1" s="1"/>
  <c r="O57" i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S56" i="1"/>
  <c r="R56" i="1"/>
  <c r="R55" i="1"/>
  <c r="S55" i="1" s="1"/>
  <c r="R54" i="1"/>
  <c r="S54" i="1" s="1"/>
  <c r="R53" i="1"/>
  <c r="S53" i="1" s="1"/>
  <c r="I53" i="1"/>
  <c r="R52" i="1"/>
  <c r="S52" i="1" s="1"/>
  <c r="Z51" i="1"/>
  <c r="S51" i="1"/>
  <c r="R51" i="1"/>
  <c r="I51" i="1"/>
  <c r="S50" i="1"/>
  <c r="R50" i="1"/>
  <c r="R49" i="1"/>
  <c r="S49" i="1" s="1"/>
  <c r="K49" i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I49" i="1"/>
  <c r="X48" i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R48" i="1"/>
  <c r="S48" i="1" s="1"/>
  <c r="T48" i="1" s="1"/>
  <c r="O48" i="1"/>
  <c r="O49" i="1" s="1"/>
  <c r="M48" i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K48" i="1"/>
  <c r="G48" i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O32" i="1"/>
  <c r="O33" i="1" s="1"/>
  <c r="O34" i="1" s="1"/>
  <c r="O35" i="1" s="1"/>
  <c r="O28" i="1"/>
  <c r="O29" i="1" s="1"/>
  <c r="O30" i="1" s="1"/>
  <c r="O27" i="1"/>
  <c r="O19" i="1"/>
  <c r="O20" i="1" s="1"/>
  <c r="O21" i="1" s="1"/>
  <c r="O9" i="1"/>
  <c r="O10" i="1" s="1"/>
  <c r="Y293" i="2" l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Y317" i="2" s="1"/>
  <c r="Y319" i="2" s="1"/>
  <c r="Y320" i="2" s="1"/>
  <c r="Y321" i="2" s="1"/>
  <c r="Y322" i="2" s="1"/>
  <c r="Y323" i="2" s="1"/>
  <c r="Y324" i="2" s="1"/>
  <c r="Y325" i="2" s="1"/>
  <c r="Y326" i="2" s="1"/>
  <c r="Y327" i="2" s="1"/>
  <c r="Y328" i="2" s="1"/>
  <c r="Y329" i="2" s="1"/>
  <c r="Y330" i="2" s="1"/>
  <c r="Y331" i="2" s="1"/>
  <c r="Y332" i="2" s="1"/>
  <c r="Y333" i="2" s="1"/>
  <c r="Y334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Y357" i="2" s="1"/>
  <c r="Y358" i="2" s="1"/>
  <c r="Y359" i="2" s="1"/>
  <c r="Y360" i="2" s="1"/>
  <c r="Y361" i="2" s="1"/>
  <c r="Y362" i="2" s="1"/>
  <c r="Y363" i="2" s="1"/>
  <c r="Y364" i="2" s="1"/>
  <c r="Y365" i="2" s="1"/>
  <c r="Y366" i="2" s="1"/>
  <c r="Y367" i="2" s="1"/>
  <c r="Y368" i="2" s="1"/>
  <c r="Y369" i="2" s="1"/>
  <c r="Y370" i="2" s="1"/>
  <c r="Y371" i="2" s="1"/>
  <c r="Y372" i="2" s="1"/>
  <c r="Y373" i="2" s="1"/>
  <c r="Y374" i="2" s="1"/>
  <c r="Y375" i="2" s="1"/>
  <c r="H293" i="2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X165" i="2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X368" i="2" s="1"/>
  <c r="X369" i="2" s="1"/>
  <c r="X370" i="2" s="1"/>
  <c r="X371" i="2" s="1"/>
  <c r="X372" i="2" s="1"/>
  <c r="X373" i="2" s="1"/>
  <c r="X374" i="2" s="1"/>
  <c r="X375" i="2" s="1"/>
  <c r="W164" i="2"/>
  <c r="T58" i="2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58" i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49" i="1"/>
  <c r="T50" i="1" s="1"/>
  <c r="X165" i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X368" i="1" s="1"/>
  <c r="X369" i="1" s="1"/>
  <c r="X370" i="1" s="1"/>
  <c r="X371" i="1" s="1"/>
  <c r="X372" i="1" s="1"/>
  <c r="X373" i="1" s="1"/>
  <c r="X374" i="1" s="1"/>
  <c r="X375" i="1" s="1"/>
  <c r="W164" i="1"/>
  <c r="Z319" i="2" l="1"/>
  <c r="Z321" i="2" s="1"/>
  <c r="T166" i="2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U57" i="2"/>
  <c r="U59" i="2"/>
  <c r="U61" i="2" s="1"/>
  <c r="U59" i="1"/>
  <c r="T166" i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U57" i="1"/>
  <c r="Z336" i="2" l="1"/>
  <c r="Z338" i="2" s="1"/>
  <c r="U176" i="2"/>
  <c r="U180" i="2" s="1"/>
  <c r="U172" i="2"/>
  <c r="T224" i="2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U176" i="1"/>
  <c r="U172" i="1"/>
  <c r="T224" i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2" l="1"/>
  <c r="T274" i="2" s="1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T292" i="2" s="1"/>
  <c r="T293" i="2" s="1"/>
  <c r="U236" i="2"/>
  <c r="U232" i="1"/>
  <c r="U234" i="1"/>
  <c r="T273" i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U230" i="1"/>
  <c r="T294" i="2" l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U282" i="2"/>
  <c r="U283" i="1"/>
  <c r="U281" i="1"/>
  <c r="U279" i="1"/>
  <c r="T294" i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2" l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34" i="2" s="1"/>
  <c r="T335" i="2" s="1"/>
  <c r="U303" i="2"/>
  <c r="T319" i="1"/>
  <c r="T320" i="1" s="1"/>
  <c r="T321" i="1" s="1"/>
  <c r="T322" i="1" s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U304" i="1"/>
  <c r="U300" i="1"/>
  <c r="T336" i="2" l="1"/>
  <c r="T337" i="2" s="1"/>
  <c r="T338" i="2" s="1"/>
  <c r="T339" i="2" s="1"/>
  <c r="T340" i="2" s="1"/>
  <c r="T341" i="2" s="1"/>
  <c r="T342" i="2" s="1"/>
  <c r="T343" i="2" s="1"/>
  <c r="T344" i="2" s="1"/>
  <c r="T345" i="2" s="1"/>
  <c r="T346" i="2" s="1"/>
  <c r="T347" i="2" s="1"/>
  <c r="T348" i="2" s="1"/>
  <c r="T349" i="2" s="1"/>
  <c r="T350" i="2" s="1"/>
  <c r="T351" i="2" s="1"/>
  <c r="T352" i="2" s="1"/>
  <c r="T353" i="2" s="1"/>
  <c r="T354" i="2" s="1"/>
  <c r="T355" i="2" s="1"/>
  <c r="T356" i="2" s="1"/>
  <c r="T357" i="2" s="1"/>
  <c r="T358" i="2" s="1"/>
  <c r="T359" i="2" s="1"/>
  <c r="T360" i="2" s="1"/>
  <c r="T361" i="2" s="1"/>
  <c r="T362" i="2" s="1"/>
  <c r="T363" i="2" s="1"/>
  <c r="T364" i="2" s="1"/>
  <c r="T365" i="2" s="1"/>
  <c r="T366" i="2" s="1"/>
  <c r="T367" i="2" s="1"/>
  <c r="T368" i="2" s="1"/>
  <c r="T369" i="2" s="1"/>
  <c r="T370" i="2" s="1"/>
  <c r="T371" i="2" s="1"/>
  <c r="T372" i="2" s="1"/>
  <c r="T373" i="2" s="1"/>
  <c r="T374" i="2" s="1"/>
  <c r="T375" i="2" s="1"/>
  <c r="U331" i="2"/>
  <c r="U325" i="1"/>
  <c r="U329" i="1"/>
  <c r="T336" i="1"/>
  <c r="T337" i="1" s="1"/>
  <c r="T338" i="1" s="1"/>
  <c r="T339" i="1" s="1"/>
  <c r="T340" i="1" s="1"/>
  <c r="T341" i="1" s="1"/>
  <c r="T342" i="1" s="1"/>
  <c r="T343" i="1" s="1"/>
  <c r="T344" i="1" s="1"/>
  <c r="T345" i="1" s="1"/>
  <c r="T346" i="1" s="1"/>
  <c r="T347" i="1" s="1"/>
  <c r="T348" i="1" s="1"/>
  <c r="T349" i="1" s="1"/>
  <c r="T350" i="1" s="1"/>
  <c r="T351" i="1" s="1"/>
  <c r="T352" i="1" s="1"/>
  <c r="T353" i="1" s="1"/>
  <c r="T354" i="1" s="1"/>
  <c r="T355" i="1" s="1"/>
  <c r="T356" i="1" s="1"/>
  <c r="T357" i="1" s="1"/>
  <c r="T358" i="1" s="1"/>
  <c r="T359" i="1" s="1"/>
  <c r="T360" i="1" s="1"/>
  <c r="T361" i="1" s="1"/>
  <c r="T362" i="1" s="1"/>
  <c r="T363" i="1" s="1"/>
  <c r="T364" i="1" s="1"/>
  <c r="T365" i="1" s="1"/>
  <c r="T366" i="1" s="1"/>
  <c r="T367" i="1" s="1"/>
  <c r="T368" i="1" s="1"/>
  <c r="T369" i="1" s="1"/>
  <c r="T370" i="1" s="1"/>
  <c r="T371" i="1" s="1"/>
  <c r="T372" i="1" s="1"/>
  <c r="T373" i="1" s="1"/>
  <c r="T374" i="1" s="1"/>
  <c r="T375" i="1" s="1"/>
  <c r="U327" i="1"/>
  <c r="U344" i="2" l="1"/>
  <c r="U342" i="2"/>
  <c r="U346" i="2"/>
  <c r="U348" i="2" s="1"/>
  <c r="U342" i="1"/>
  <c r="U346" i="1"/>
  <c r="U344" i="1"/>
</calcChain>
</file>

<file path=xl/sharedStrings.xml><?xml version="1.0" encoding="utf-8"?>
<sst xmlns="http://schemas.openxmlformats.org/spreadsheetml/2006/main" count="346" uniqueCount="64">
  <si>
    <t>Pts de convergence</t>
  </si>
  <si>
    <t>SEMIS TI13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</si>
  <si>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</si>
  <si>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</si>
  <si>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</si>
  <si>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</si>
  <si>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</si>
  <si>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</si>
  <si>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</si>
  <si>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</si>
  <si>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</si>
  <si>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</si>
  <si>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</si>
  <si>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</si>
  <si>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</si>
  <si>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</si>
  <si>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</si>
  <si>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</si>
  <si>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</si>
  <si>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</si>
  <si>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</si>
  <si>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4'</t>
  </si>
  <si>
    <t>6'</t>
  </si>
  <si>
    <t>7'</t>
  </si>
  <si>
    <t>MONTAISON</t>
  </si>
  <si>
    <t>8'</t>
  </si>
  <si>
    <t>10'</t>
  </si>
  <si>
    <t>C1</t>
  </si>
  <si>
    <t>Flo</t>
  </si>
  <si>
    <t>Fin FLO</t>
  </si>
  <si>
    <t>RECOLTE TI13</t>
  </si>
  <si>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</si>
  <si>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</si>
  <si>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</si>
  <si>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</si>
  <si>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</si>
  <si>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</si>
  <si>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</si>
  <si>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</si>
  <si>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</si>
  <si>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</si>
  <si>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</si>
  <si>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</t>
  </si>
  <si>
    <t>Cumul_P</t>
  </si>
  <si>
    <t>ETP_Q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</si>
  <si>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</si>
  <si>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</si>
  <si>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</si>
  <si>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</si>
  <si>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</si>
  <si>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</si>
  <si>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</si>
  <si>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</si>
  <si>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</si>
  <si>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</si>
  <si>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 RG</t>
  </si>
  <si>
    <t>N50</t>
  </si>
  <si>
    <t>N70</t>
  </si>
  <si>
    <t>WSC_I</t>
  </si>
  <si>
    <t>BI</t>
  </si>
  <si>
    <t>DRF</t>
  </si>
  <si>
    <t>TS</t>
  </si>
  <si>
    <t>IRF</t>
  </si>
  <si>
    <t>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</si>
</sst>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i/>
      <u/>
      <sz val="11"/>
      <color rgb="FFFFC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DD9C4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0070C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 applyFill="1" applyBorder="1"/>
    <xf numFmtId="0" fontId="2" fillId="0" borderId="0" xfId="0" applyFont="1" applyFill="1" applyBorder="1" applyAlignment="1"/>
    <xf numFmtId="14" fontId="2" fillId="2" borderId="0" xfId="0" applyNumberFormat="1" applyFont="1" applyFill="1" applyBorder="1"/>
    <xf numFmtId="0" fontId="2" fillId="3" borderId="0" xfId="0" applyFont="1" applyFill="1" applyBorder="1"/>
    <xf numFmtId="0" fontId="2" fillId="3" borderId="0" xfId="0" applyFont="1" applyFill="1" applyBorder="1" applyAlignment="1"/>
    <xf numFmtId="14" fontId="2" fillId="3" borderId="0" xfId="0" applyNumberFormat="1" applyFont="1" applyFill="1" applyBorder="1"/>
    <xf numFmtId="0" fontId="4" fillId="0" borderId="0" xfId="0" applyFont="1" applyFill="1" applyBorder="1" applyAlignment="1">
      <alignment horizontal="center" vertical="center"/>
    </xf>
    <xf numFmtId="0" fontId="4" fillId="5" borderId="0" xfId="0" applyFont="1" applyFill="1" applyBorder="1"/>
    <xf numFmtId="164" fontId="2" fillId="0" borderId="0" xfId="0" applyNumberFormat="1" applyFont="1" applyFill="1" applyBorder="1"/>
    <xf numFmtId="0" fontId="2" fillId="6" borderId="0" xfId="0" applyFont="1" applyFill="1" applyBorder="1"/>
    <xf numFmtId="0" fontId="4" fillId="7" borderId="0" xfId="0" applyFont="1" applyFill="1" applyBorder="1" applyAlignment="1">
      <alignment horizontal="center" vertical="center"/>
    </xf>
    <xf numFmtId="0" fontId="4" fillId="8" borderId="0" xfId="0" applyFont="1" applyFill="1" applyBorder="1"/>
    <xf numFmtId="0" fontId="4" fillId="9" borderId="0" xfId="0" applyFont="1" applyFill="1" applyBorder="1"/>
    <xf numFmtId="0" fontId="5" fillId="0" borderId="0" xfId="0" applyFont="1" applyFill="1" applyBorder="1"/>
    <xf numFmtId="0" fontId="4" fillId="0" borderId="0" xfId="0" applyFont="1" applyFill="1" applyBorder="1"/>
    <xf numFmtId="0" fontId="4" fillId="10" borderId="0" xfId="0" applyFont="1" applyFill="1" applyBorder="1" applyAlignment="1">
      <alignment horizontal="center" vertical="center"/>
    </xf>
    <xf numFmtId="0" fontId="4" fillId="10" borderId="0" xfId="0" applyFont="1" applyFill="1" applyBorder="1"/>
    <xf numFmtId="0" fontId="4" fillId="3" borderId="0" xfId="0" applyFont="1" applyFill="1" applyBorder="1"/>
    <xf numFmtId="0" fontId="4" fillId="11" borderId="0" xfId="0" applyFont="1" applyFill="1" applyBorder="1"/>
    <xf numFmtId="2" fontId="2" fillId="0" borderId="0" xfId="0" applyNumberFormat="1" applyFont="1" applyFill="1" applyBorder="1"/>
    <xf numFmtId="0" fontId="4" fillId="12" borderId="0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 wrapText="1"/>
    </xf>
    <xf numFmtId="0" fontId="0" fillId="0" borderId="0" xfId="0" applyAlignment="1"/>
    <xf numFmtId="0" fontId="1" fillId="0" borderId="0" xfId="0" applyFont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4" fontId="8" fillId="2" borderId="1" xfId="0" applyNumberFormat="1" applyFont="1" applyFill="1" applyBorder="1"/>
    <xf numFmtId="0" fontId="8" fillId="0" borderId="1" xfId="0" applyFont="1" applyFill="1" applyBorder="1"/>
    <xf numFmtId="164" fontId="8" fillId="0" borderId="1" xfId="0" applyNumberFormat="1" applyFont="1" applyFill="1" applyBorder="1"/>
    <xf numFmtId="0" fontId="8" fillId="6" borderId="1" xfId="0" applyFont="1" applyFill="1" applyBorder="1"/>
    <xf numFmtId="0" fontId="7" fillId="0" borderId="1" xfId="0" applyFont="1" applyFill="1" applyBorder="1"/>
    <xf numFmtId="164" fontId="7" fillId="0" borderId="1" xfId="0" applyNumberFormat="1" applyFont="1" applyFill="1" applyBorder="1"/>
    <xf numFmtId="0" fontId="8" fillId="1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/>
    <xf numFmtId="2" fontId="8" fillId="0" borderId="1" xfId="0" applyNumberFormat="1" applyFont="1" applyFill="1" applyBorder="1"/>
    <xf numFmtId="0" fontId="8" fillId="0" borderId="1" xfId="0" applyFont="1" applyFill="1" applyBorder="1" applyAlignment="1">
      <alignment horizontal="center" vertical="center" wrapText="1"/>
    </xf>
    <xf numFmtId="14" fontId="7" fillId="2" borderId="1" xfId="0" applyNumberFormat="1" applyFont="1" applyFill="1" applyBorder="1"/>
    <xf numFmtId="0" fontId="5" fillId="0" borderId="0" xfId="0" applyFont="1" applyFill="1" applyBorder="1" applyAlignment="1">
      <alignment horizontal="center" vertical="center"/>
    </xf>
    <xf numFmtId="14" fontId="5" fillId="2" borderId="0" xfId="0" applyNumberFormat="1" applyFont="1" applyFill="1" applyBorder="1"/>
    <xf numFmtId="164" fontId="5" fillId="0" borderId="0" xfId="0" applyNumberFormat="1" applyFont="1" applyFill="1" applyBorder="1"/>
    <xf numFmtId="0" fontId="7" fillId="0" borderId="1" xfId="0" applyFont="1" applyFill="1" applyBorder="1" applyAlignment="1"/>
    <xf numFmtId="0" fontId="5" fillId="0" borderId="0" xfId="0" applyFont="1" applyFill="1" applyBorder="1" applyAlignment="1"/>
    <xf numFmtId="0" fontId="4" fillId="12" borderId="0" xfId="0" applyFont="1" applyFill="1" applyBorder="1" applyAlignment="1">
      <alignment horizontal="center" vertical="center" textRotation="255"/>
    </xf>
    <xf numFmtId="0" fontId="6" fillId="13" borderId="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 textRotation="255"/>
    </xf>
    <xf numFmtId="0" fontId="4" fillId="8" borderId="0" xfId="0" applyFont="1" applyFill="1" applyBorder="1" applyAlignment="1">
      <alignment horizontal="center" vertical="center" textRotation="255"/>
    </xf>
    <xf numFmtId="0" fontId="4" fillId="9" borderId="0" xfId="0" applyFont="1" applyFill="1" applyBorder="1" applyAlignment="1">
      <alignment horizontal="center" vertical="center" textRotation="255"/>
    </xf>
    <xf numFmtId="0" fontId="4" fillId="3" borderId="0" xfId="0" applyFont="1" applyFill="1" applyBorder="1" applyAlignment="1">
      <alignment horizontal="center" vertical="center" textRotation="255"/>
    </xf>
    <xf numFmtId="0" fontId="4" fillId="11" borderId="0" xfId="0" applyFont="1" applyFill="1" applyBorder="1" applyAlignment="1">
      <alignment horizontal="center" vertical="center" textRotation="255"/>
    </xf>
    <xf numFmtId="0" fontId="4" fillId="3" borderId="2" xfId="0" applyFont="1" applyFill="1" applyBorder="1" applyAlignment="1">
      <alignment horizontal="center" vertical="center" textRotation="255"/>
    </xf>
    <xf numFmtId="0" fontId="4" fillId="14" borderId="0" xfId="0" applyFont="1" applyFill="1" applyBorder="1" applyAlignment="1">
      <alignment horizontal="center" vertical="center"/>
    </xf>
    <xf numFmtId="14" fontId="2" fillId="15" borderId="0" xfId="0" applyNumberFormat="1" applyFont="1" applyFill="1" applyBorder="1"/>
    <xf numFmtId="0" fontId="2" fillId="14" borderId="0" xfId="0" applyFont="1" applyFill="1" applyBorder="1"/>
    <xf numFmtId="164" fontId="2" fillId="14" borderId="0" xfId="0" applyNumberFormat="1" applyFont="1" applyFill="1" applyBorder="1"/>
    <xf numFmtId="0" fontId="4" fillId="15" borderId="0" xfId="0" applyFont="1" applyFill="1" applyBorder="1"/>
    <xf numFmtId="0" fontId="2" fillId="16" borderId="0" xfId="0" applyFont="1" applyFill="1" applyBorder="1"/>
    <xf numFmtId="164" fontId="2" fillId="16" borderId="0" xfId="0" applyNumberFormat="1" applyFont="1" applyFill="1" applyBorder="1"/>
    <xf numFmtId="0" fontId="8" fillId="16" borderId="1" xfId="0" applyFont="1" applyFill="1" applyBorder="1"/>
    <xf numFmtId="0" fontId="7" fillId="0" borderId="0" xfId="0" applyFont="1" applyFill="1" applyBorder="1"/>
    <xf numFmtId="0" fontId="5" fillId="14" borderId="0" xfId="0" applyFont="1" applyFill="1" applyBorder="1"/>
    <xf numFmtId="164" fontId="8" fillId="16" borderId="1" xfId="0" applyNumberFormat="1" applyFont="1" applyFill="1" applyBorder="1"/>
  </cellXfs>
  <cellStyles count="1">
    <cellStyle name="Normal" xfId="0" builtinId="0"/>
  </cellStyles>
  <dxfs count="20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2DCDB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2DCDB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76"/>
  <sheetViews>
    <sheetView tabSelected="1" zoomScale="80" zoomScaleNormal="80" workbookViewId="0">
      <pane xSplit="3" ySplit="4" topLeftCell="D226" activePane="bottomRight" state="frozen"/>
      <selection pane="topRight" activeCell="D1" sqref="D1"/>
      <selection pane="bottomLeft" activeCell="A5" sqref="A5"/>
      <selection pane="bottomRight" activeCell="AA214" sqref="AA214"/>
    </sheetView>
  </sheetViews>
  <sheetFormatPr baseColWidth="10" defaultRowHeight="15" x14ac:dyDescent="0.25"/>
  <sheetData>
    <row r="1" spans="1:26" x14ac:dyDescent="0.25">
      <c r="B1" s="24"/>
      <c r="D1" s="45" t="s">
        <v>31</v>
      </c>
      <c r="E1" s="45"/>
      <c r="F1" s="45"/>
      <c r="G1" s="45"/>
      <c r="H1" s="45"/>
      <c r="I1" s="45"/>
      <c r="J1" s="45" t="s">
        <v>32</v>
      </c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 t="s">
        <v>33</v>
      </c>
      <c r="W1" s="45"/>
      <c r="X1" s="45"/>
      <c r="Y1" s="45"/>
      <c r="Z1" s="45"/>
    </row>
    <row r="2" spans="1:26" x14ac:dyDescent="0.25">
      <c r="B2" s="24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x14ac:dyDescent="0.25">
      <c r="B3" s="24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45" t="s">
        <v>34</v>
      </c>
      <c r="Q3" s="45"/>
      <c r="R3" s="45"/>
      <c r="S3" s="45"/>
      <c r="T3" s="45"/>
      <c r="U3" s="25"/>
      <c r="V3" s="25"/>
      <c r="W3" s="25"/>
      <c r="X3" s="25"/>
      <c r="Y3" s="25"/>
      <c r="Z3" s="25"/>
    </row>
    <row r="4" spans="1:26" x14ac:dyDescent="0.25">
      <c r="A4" t="s">
        <v>35</v>
      </c>
      <c r="B4" s="24">
        <v>5</v>
      </c>
      <c r="C4" t="s">
        <v>36</v>
      </c>
      <c r="D4" t="s">
        <v>37</v>
      </c>
      <c r="E4" t="s">
        <v>38</v>
      </c>
      <c r="F4" t="s">
        <v>39</v>
      </c>
      <c r="G4" s="46" t="s">
        <v>40</v>
      </c>
      <c r="H4" s="46"/>
      <c r="I4" t="s">
        <v>41</v>
      </c>
      <c r="J4" t="s">
        <v>42</v>
      </c>
      <c r="K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48</v>
      </c>
      <c r="Q4" t="s">
        <v>49</v>
      </c>
      <c r="R4" t="s">
        <v>50</v>
      </c>
      <c r="S4" t="s">
        <v>51</v>
      </c>
      <c r="T4" t="s">
        <v>52</v>
      </c>
      <c r="U4" t="s">
        <v>41</v>
      </c>
      <c r="V4" t="s">
        <v>53</v>
      </c>
      <c r="W4" t="s">
        <v>54</v>
      </c>
      <c r="X4" s="46" t="s">
        <v>55</v>
      </c>
      <c r="Y4" s="46"/>
      <c r="Z4" t="s">
        <v>41</v>
      </c>
    </row>
    <row r="5" spans="1:26" s="1" customFormat="1" x14ac:dyDescent="0.25">
      <c r="B5" s="2"/>
      <c r="C5" s="3">
        <v>41122</v>
      </c>
      <c r="D5" s="1">
        <v>22.7</v>
      </c>
      <c r="E5" s="1">
        <v>15.7</v>
      </c>
      <c r="F5" s="1">
        <v>28.1</v>
      </c>
      <c r="J5" s="1">
        <v>3.1</v>
      </c>
      <c r="L5" s="1">
        <v>3.4</v>
      </c>
      <c r="N5" s="1">
        <v>-0.29999999999999982</v>
      </c>
      <c r="O5" s="1">
        <v>0</v>
      </c>
      <c r="V5" s="1">
        <v>1519</v>
      </c>
    </row>
    <row r="6" spans="1:26" s="1" customFormat="1" x14ac:dyDescent="0.25">
      <c r="B6" s="2"/>
      <c r="C6" s="3">
        <v>41123</v>
      </c>
      <c r="D6" s="1">
        <v>21.2</v>
      </c>
      <c r="E6" s="1">
        <v>18.100000000000001</v>
      </c>
      <c r="F6" s="1">
        <v>24.8</v>
      </c>
      <c r="J6" s="1">
        <v>0</v>
      </c>
      <c r="L6" s="1">
        <v>3.8</v>
      </c>
      <c r="N6" s="1">
        <v>-3.8</v>
      </c>
      <c r="O6" s="1">
        <v>0</v>
      </c>
      <c r="V6" s="1">
        <v>1754.9</v>
      </c>
    </row>
    <row r="7" spans="1:26" s="1" customFormat="1" x14ac:dyDescent="0.25">
      <c r="B7" s="2"/>
      <c r="C7" s="3">
        <v>41124</v>
      </c>
      <c r="D7" s="1">
        <v>21</v>
      </c>
      <c r="E7" s="1">
        <v>16</v>
      </c>
      <c r="F7" s="1">
        <v>25</v>
      </c>
      <c r="J7" s="1">
        <v>0</v>
      </c>
      <c r="L7" s="1">
        <v>2.9</v>
      </c>
      <c r="N7" s="1">
        <v>-2.9</v>
      </c>
      <c r="O7" s="1">
        <v>0</v>
      </c>
      <c r="V7" s="1">
        <v>1476.6</v>
      </c>
    </row>
    <row r="8" spans="1:26" s="1" customFormat="1" x14ac:dyDescent="0.25">
      <c r="B8" s="2"/>
      <c r="C8" s="3">
        <v>41125</v>
      </c>
      <c r="D8" s="1">
        <v>21.6</v>
      </c>
      <c r="E8" s="1">
        <v>16.7</v>
      </c>
      <c r="F8" s="1">
        <v>27</v>
      </c>
      <c r="J8" s="1">
        <v>0.1</v>
      </c>
      <c r="L8" s="1">
        <v>3.1</v>
      </c>
      <c r="N8" s="1">
        <v>-3</v>
      </c>
      <c r="O8" s="1">
        <v>0</v>
      </c>
      <c r="V8" s="1">
        <v>1546.1</v>
      </c>
    </row>
    <row r="9" spans="1:26" s="1" customFormat="1" x14ac:dyDescent="0.25">
      <c r="B9" s="2"/>
      <c r="C9" s="3">
        <v>41126</v>
      </c>
      <c r="D9" s="1">
        <v>20.6</v>
      </c>
      <c r="E9" s="1">
        <v>16.5</v>
      </c>
      <c r="F9" s="1">
        <v>25</v>
      </c>
      <c r="J9" s="1">
        <v>7.5</v>
      </c>
      <c r="L9" s="1">
        <v>2.5</v>
      </c>
      <c r="N9" s="1">
        <v>5</v>
      </c>
      <c r="O9" s="1">
        <f>O8+N9</f>
        <v>5</v>
      </c>
      <c r="V9" s="1">
        <v>1230.0999999999999</v>
      </c>
    </row>
    <row r="10" spans="1:26" s="1" customFormat="1" x14ac:dyDescent="0.25">
      <c r="B10" s="2"/>
      <c r="C10" s="3">
        <v>41127</v>
      </c>
      <c r="D10" s="1">
        <v>18.100000000000001</v>
      </c>
      <c r="E10" s="1">
        <v>14.9</v>
      </c>
      <c r="F10" s="1">
        <v>20.5</v>
      </c>
      <c r="J10" s="1">
        <v>1</v>
      </c>
      <c r="L10" s="1">
        <v>2.4</v>
      </c>
      <c r="N10" s="1">
        <v>-1.4</v>
      </c>
      <c r="O10" s="1">
        <f>O9+N10</f>
        <v>3.6</v>
      </c>
      <c r="V10" s="1">
        <v>1313.4</v>
      </c>
    </row>
    <row r="11" spans="1:26" s="1" customFormat="1" x14ac:dyDescent="0.25">
      <c r="B11" s="2"/>
      <c r="C11" s="3">
        <v>41128</v>
      </c>
      <c r="D11" s="1">
        <v>18.2</v>
      </c>
      <c r="E11" s="1">
        <v>13.9</v>
      </c>
      <c r="F11" s="1">
        <v>22.7</v>
      </c>
      <c r="J11" s="1">
        <v>0</v>
      </c>
      <c r="L11" s="1">
        <v>4.3</v>
      </c>
      <c r="N11" s="1">
        <v>-4.3</v>
      </c>
      <c r="O11" s="1">
        <v>0</v>
      </c>
      <c r="V11" s="1">
        <v>2417.1</v>
      </c>
    </row>
    <row r="12" spans="1:26" s="1" customFormat="1" x14ac:dyDescent="0.25">
      <c r="B12" s="2"/>
      <c r="C12" s="3">
        <v>41129</v>
      </c>
      <c r="D12" s="1">
        <v>19.5</v>
      </c>
      <c r="E12" s="1">
        <v>13.6</v>
      </c>
      <c r="F12" s="1">
        <v>25</v>
      </c>
      <c r="J12" s="1">
        <v>0</v>
      </c>
      <c r="L12" s="1">
        <v>4.7</v>
      </c>
      <c r="N12" s="1">
        <v>-4.7</v>
      </c>
      <c r="O12" s="1">
        <v>0</v>
      </c>
      <c r="V12" s="1">
        <v>2489</v>
      </c>
    </row>
    <row r="13" spans="1:26" s="1" customFormat="1" x14ac:dyDescent="0.25">
      <c r="B13" s="2"/>
      <c r="C13" s="3">
        <v>41130</v>
      </c>
      <c r="D13" s="1">
        <v>21.4</v>
      </c>
      <c r="E13" s="1">
        <v>16</v>
      </c>
      <c r="F13" s="1">
        <v>27.2</v>
      </c>
      <c r="J13" s="1">
        <v>0</v>
      </c>
      <c r="L13" s="1">
        <v>5.4</v>
      </c>
      <c r="N13" s="1">
        <v>-5.4</v>
      </c>
      <c r="O13" s="1">
        <v>0</v>
      </c>
      <c r="V13" s="1">
        <v>2561.6999999999998</v>
      </c>
    </row>
    <row r="14" spans="1:26" s="1" customFormat="1" x14ac:dyDescent="0.25">
      <c r="B14" s="2"/>
      <c r="C14" s="3">
        <v>41131</v>
      </c>
      <c r="D14" s="1">
        <v>21.5</v>
      </c>
      <c r="E14" s="1">
        <v>16.8</v>
      </c>
      <c r="F14" s="1">
        <v>27.3</v>
      </c>
      <c r="J14" s="1">
        <v>0</v>
      </c>
      <c r="L14" s="1">
        <v>6.6</v>
      </c>
      <c r="N14" s="1">
        <v>-6.6</v>
      </c>
      <c r="O14" s="1">
        <v>0</v>
      </c>
      <c r="V14" s="1">
        <v>2875.6</v>
      </c>
    </row>
    <row r="15" spans="1:26" s="1" customFormat="1" x14ac:dyDescent="0.25">
      <c r="B15" s="2"/>
      <c r="C15" s="3">
        <v>41132</v>
      </c>
      <c r="D15" s="1">
        <v>21.3</v>
      </c>
      <c r="E15" s="1">
        <v>14.4</v>
      </c>
      <c r="F15" s="1">
        <v>27.9</v>
      </c>
      <c r="J15" s="1">
        <v>0</v>
      </c>
      <c r="L15" s="1">
        <v>6.3</v>
      </c>
      <c r="N15" s="1">
        <v>-6.3</v>
      </c>
      <c r="O15" s="1">
        <v>0</v>
      </c>
      <c r="V15" s="1">
        <v>2861.1</v>
      </c>
    </row>
    <row r="16" spans="1:26" s="1" customFormat="1" x14ac:dyDescent="0.25">
      <c r="B16" s="2"/>
      <c r="C16" s="3">
        <v>41133</v>
      </c>
      <c r="D16" s="1">
        <v>19.600000000000001</v>
      </c>
      <c r="E16" s="1">
        <v>13.3</v>
      </c>
      <c r="F16" s="1">
        <v>25.6</v>
      </c>
      <c r="J16" s="1">
        <v>0.2</v>
      </c>
      <c r="L16" s="1">
        <v>3.2</v>
      </c>
      <c r="N16" s="1">
        <v>-3</v>
      </c>
      <c r="O16" s="1">
        <v>0</v>
      </c>
      <c r="V16" s="1">
        <v>1770.3</v>
      </c>
    </row>
    <row r="17" spans="2:22" s="1" customFormat="1" x14ac:dyDescent="0.25">
      <c r="B17" s="2"/>
      <c r="C17" s="3">
        <v>41134</v>
      </c>
      <c r="D17" s="1">
        <v>20.7</v>
      </c>
      <c r="E17" s="1">
        <v>14</v>
      </c>
      <c r="F17" s="1">
        <v>27</v>
      </c>
      <c r="J17" s="1">
        <v>0</v>
      </c>
      <c r="L17" s="1">
        <v>2.2999999999999998</v>
      </c>
      <c r="N17" s="1">
        <v>-2.2999999999999998</v>
      </c>
      <c r="O17" s="1">
        <v>0</v>
      </c>
      <c r="V17" s="1">
        <v>1430.9</v>
      </c>
    </row>
    <row r="18" spans="2:22" s="1" customFormat="1" x14ac:dyDescent="0.25">
      <c r="B18" s="2"/>
      <c r="C18" s="3">
        <v>41135</v>
      </c>
      <c r="D18" s="1">
        <v>22.8</v>
      </c>
      <c r="E18" s="1">
        <v>15.1</v>
      </c>
      <c r="F18" s="1">
        <v>28.1</v>
      </c>
      <c r="J18" s="1">
        <v>0</v>
      </c>
      <c r="L18" s="1">
        <v>2</v>
      </c>
      <c r="N18" s="1">
        <v>-2</v>
      </c>
      <c r="O18" s="1">
        <v>0</v>
      </c>
      <c r="V18" s="1">
        <v>1098.5</v>
      </c>
    </row>
    <row r="19" spans="2:22" s="1" customFormat="1" x14ac:dyDescent="0.25">
      <c r="B19" s="2"/>
      <c r="C19" s="3">
        <v>41136</v>
      </c>
      <c r="D19" s="1">
        <v>21.8</v>
      </c>
      <c r="E19" s="1">
        <v>17</v>
      </c>
      <c r="F19" s="1">
        <v>30.8</v>
      </c>
      <c r="J19" s="1">
        <v>15.7</v>
      </c>
      <c r="L19" s="1">
        <v>4.8</v>
      </c>
      <c r="N19" s="1">
        <v>10.899999999999999</v>
      </c>
      <c r="O19" s="1">
        <f>O18+N19</f>
        <v>10.899999999999999</v>
      </c>
      <c r="V19" s="1">
        <v>1694</v>
      </c>
    </row>
    <row r="20" spans="2:22" s="1" customFormat="1" x14ac:dyDescent="0.25">
      <c r="B20" s="2"/>
      <c r="C20" s="3">
        <v>41137</v>
      </c>
      <c r="D20" s="1">
        <v>19.5</v>
      </c>
      <c r="E20" s="1">
        <v>15.8</v>
      </c>
      <c r="F20" s="1">
        <v>23.7</v>
      </c>
      <c r="J20" s="1">
        <v>0</v>
      </c>
      <c r="L20" s="1">
        <v>4.0999999999999996</v>
      </c>
      <c r="N20" s="1">
        <v>-4.0999999999999996</v>
      </c>
      <c r="O20" s="1">
        <f>O19+N20</f>
        <v>6.7999999999999989</v>
      </c>
      <c r="V20" s="1">
        <v>2368.1</v>
      </c>
    </row>
    <row r="21" spans="2:22" s="1" customFormat="1" x14ac:dyDescent="0.25">
      <c r="B21" s="2"/>
      <c r="C21" s="3">
        <v>41138</v>
      </c>
      <c r="D21" s="1">
        <v>21.3</v>
      </c>
      <c r="E21" s="1">
        <v>14.2</v>
      </c>
      <c r="F21" s="1">
        <v>27.4</v>
      </c>
      <c r="J21" s="1">
        <v>0</v>
      </c>
      <c r="L21" s="1">
        <v>4.3</v>
      </c>
      <c r="N21" s="1">
        <v>-4.3</v>
      </c>
      <c r="O21" s="1">
        <f>O20+N21</f>
        <v>2.4999999999999991</v>
      </c>
      <c r="V21" s="1">
        <v>2315.6999999999998</v>
      </c>
    </row>
    <row r="22" spans="2:22" s="1" customFormat="1" x14ac:dyDescent="0.25">
      <c r="B22" s="2"/>
      <c r="C22" s="3">
        <v>41139</v>
      </c>
      <c r="D22" s="1">
        <v>24.1</v>
      </c>
      <c r="E22" s="1">
        <v>17.2</v>
      </c>
      <c r="F22" s="1">
        <v>30.8</v>
      </c>
      <c r="J22" s="1">
        <v>0</v>
      </c>
      <c r="L22" s="1">
        <v>5.7</v>
      </c>
      <c r="N22" s="1">
        <v>-5.7</v>
      </c>
      <c r="O22" s="1">
        <v>0</v>
      </c>
      <c r="V22" s="1">
        <v>2631.8</v>
      </c>
    </row>
    <row r="23" spans="2:22" s="1" customFormat="1" x14ac:dyDescent="0.25">
      <c r="B23" s="2"/>
      <c r="C23" s="3">
        <v>41140</v>
      </c>
      <c r="D23" s="1">
        <v>25.7</v>
      </c>
      <c r="E23" s="1">
        <v>18.3</v>
      </c>
      <c r="F23" s="1">
        <v>34.5</v>
      </c>
      <c r="J23" s="1">
        <v>0</v>
      </c>
      <c r="L23" s="1">
        <v>6.2</v>
      </c>
      <c r="N23" s="1">
        <v>-6.2</v>
      </c>
      <c r="O23" s="1">
        <v>0</v>
      </c>
      <c r="V23" s="1">
        <v>2522.6999999999998</v>
      </c>
    </row>
    <row r="24" spans="2:22" s="1" customFormat="1" x14ac:dyDescent="0.25">
      <c r="B24" s="2"/>
      <c r="C24" s="3">
        <v>41141</v>
      </c>
      <c r="D24" s="1">
        <v>22.8</v>
      </c>
      <c r="E24" s="1">
        <v>19.899999999999999</v>
      </c>
      <c r="F24" s="1">
        <v>26.5</v>
      </c>
      <c r="J24" s="1">
        <v>1</v>
      </c>
      <c r="L24" s="1">
        <v>1.4</v>
      </c>
      <c r="N24" s="1">
        <v>-0.39999999999999991</v>
      </c>
      <c r="O24" s="1">
        <v>0</v>
      </c>
      <c r="V24" s="1">
        <v>890</v>
      </c>
    </row>
    <row r="25" spans="2:22" s="1" customFormat="1" x14ac:dyDescent="0.25">
      <c r="B25" s="2"/>
      <c r="C25" s="3">
        <v>41142</v>
      </c>
      <c r="D25" s="1">
        <v>24.2</v>
      </c>
      <c r="E25" s="1">
        <v>17.8</v>
      </c>
      <c r="F25" s="1">
        <v>31.5</v>
      </c>
      <c r="J25" s="1">
        <v>0</v>
      </c>
      <c r="L25" s="1">
        <v>4.3</v>
      </c>
      <c r="N25" s="1">
        <v>-4.3</v>
      </c>
      <c r="O25" s="1">
        <v>0</v>
      </c>
      <c r="V25" s="1">
        <v>1852.9</v>
      </c>
    </row>
    <row r="26" spans="2:22" s="1" customFormat="1" x14ac:dyDescent="0.25">
      <c r="B26" s="2"/>
      <c r="C26" s="3">
        <v>41143</v>
      </c>
      <c r="D26" s="1">
        <v>22.7</v>
      </c>
      <c r="E26" s="1">
        <v>18.899999999999999</v>
      </c>
      <c r="F26" s="1">
        <v>27.9</v>
      </c>
      <c r="J26" s="1">
        <v>0</v>
      </c>
      <c r="L26" s="1">
        <v>4.0999999999999996</v>
      </c>
      <c r="N26" s="1">
        <v>-4.0999999999999996</v>
      </c>
      <c r="O26" s="1">
        <v>0</v>
      </c>
      <c r="V26" s="1">
        <v>1575.9</v>
      </c>
    </row>
    <row r="27" spans="2:22" s="1" customFormat="1" x14ac:dyDescent="0.25">
      <c r="B27" s="2"/>
      <c r="C27" s="3">
        <v>41144</v>
      </c>
      <c r="D27" s="1">
        <v>22.2</v>
      </c>
      <c r="E27" s="1">
        <v>17.399999999999999</v>
      </c>
      <c r="F27" s="1">
        <v>27.9</v>
      </c>
      <c r="J27" s="1">
        <v>5.3</v>
      </c>
      <c r="L27" s="1">
        <v>3.8</v>
      </c>
      <c r="N27" s="1">
        <v>1.5</v>
      </c>
      <c r="O27" s="1">
        <f>O26+N27</f>
        <v>1.5</v>
      </c>
      <c r="V27" s="1">
        <v>1183.5</v>
      </c>
    </row>
    <row r="28" spans="2:22" s="1" customFormat="1" x14ac:dyDescent="0.25">
      <c r="B28" s="2"/>
      <c r="C28" s="3">
        <v>41145</v>
      </c>
      <c r="D28" s="1">
        <v>19</v>
      </c>
      <c r="E28" s="1">
        <v>19.3</v>
      </c>
      <c r="F28" s="1">
        <v>19.5</v>
      </c>
      <c r="J28" s="1">
        <v>6.3</v>
      </c>
      <c r="L28" s="1">
        <v>1.3</v>
      </c>
      <c r="N28" s="1">
        <v>5</v>
      </c>
      <c r="O28" s="1">
        <f>O27+N28</f>
        <v>6.5</v>
      </c>
      <c r="V28" s="1">
        <v>471.3</v>
      </c>
    </row>
    <row r="29" spans="2:22" s="1" customFormat="1" x14ac:dyDescent="0.25">
      <c r="B29" s="2"/>
      <c r="C29" s="3">
        <v>41146</v>
      </c>
      <c r="D29" s="1">
        <v>17.600000000000001</v>
      </c>
      <c r="E29" s="1">
        <v>16.8</v>
      </c>
      <c r="F29" s="1">
        <v>20</v>
      </c>
      <c r="J29" s="1">
        <v>1.6</v>
      </c>
      <c r="L29" s="1">
        <v>2.7</v>
      </c>
      <c r="N29" s="1">
        <v>-1.1000000000000001</v>
      </c>
      <c r="O29" s="1">
        <f>O28+N29</f>
        <v>5.4</v>
      </c>
      <c r="V29" s="1">
        <v>1448.3</v>
      </c>
    </row>
    <row r="30" spans="2:22" s="1" customFormat="1" x14ac:dyDescent="0.25">
      <c r="B30" s="2"/>
      <c r="C30" s="3">
        <v>41147</v>
      </c>
      <c r="D30" s="1">
        <v>16.2</v>
      </c>
      <c r="E30" s="1">
        <v>13.4</v>
      </c>
      <c r="F30" s="1">
        <v>19.2</v>
      </c>
      <c r="J30" s="1">
        <v>0.1</v>
      </c>
      <c r="L30" s="1">
        <v>1.9</v>
      </c>
      <c r="N30" s="1">
        <v>-1.7999999999999998</v>
      </c>
      <c r="O30" s="1">
        <f>O29+N30</f>
        <v>3.6000000000000005</v>
      </c>
      <c r="V30" s="1">
        <v>933.3</v>
      </c>
    </row>
    <row r="31" spans="2:22" s="1" customFormat="1" x14ac:dyDescent="0.25">
      <c r="B31" s="2"/>
      <c r="C31" s="3">
        <v>41148</v>
      </c>
      <c r="D31" s="1">
        <v>17.399999999999999</v>
      </c>
      <c r="E31" s="1">
        <v>11.4</v>
      </c>
      <c r="F31" s="1">
        <v>25.5</v>
      </c>
      <c r="J31" s="1">
        <v>0</v>
      </c>
      <c r="L31" s="1">
        <v>3.9</v>
      </c>
      <c r="N31" s="1">
        <v>-3.9</v>
      </c>
      <c r="O31" s="1">
        <v>0</v>
      </c>
      <c r="V31" s="1">
        <v>2167.9</v>
      </c>
    </row>
    <row r="32" spans="2:22" s="1" customFormat="1" x14ac:dyDescent="0.25">
      <c r="B32" s="2"/>
      <c r="C32" s="3">
        <v>41149</v>
      </c>
      <c r="D32" s="1">
        <v>17</v>
      </c>
      <c r="E32" s="1">
        <v>13</v>
      </c>
      <c r="F32" s="1">
        <v>21.3</v>
      </c>
      <c r="J32" s="1">
        <v>1.7</v>
      </c>
      <c r="L32" s="1">
        <v>1.6</v>
      </c>
      <c r="N32" s="1">
        <v>9.9999999999999867E-2</v>
      </c>
      <c r="O32" s="1">
        <f>O31+N32</f>
        <v>9.9999999999999867E-2</v>
      </c>
      <c r="V32" s="1">
        <v>1060.7</v>
      </c>
    </row>
    <row r="33" spans="1:27" s="1" customFormat="1" x14ac:dyDescent="0.25">
      <c r="B33" s="2"/>
      <c r="C33" s="3">
        <v>41150</v>
      </c>
      <c r="D33" s="1">
        <v>20.3</v>
      </c>
      <c r="E33" s="1">
        <v>14.5</v>
      </c>
      <c r="F33" s="1">
        <v>26.7</v>
      </c>
      <c r="J33" s="1">
        <v>6.6</v>
      </c>
      <c r="L33" s="1">
        <v>3.3</v>
      </c>
      <c r="N33" s="1">
        <v>3.3</v>
      </c>
      <c r="O33" s="1">
        <f>O32+N33</f>
        <v>3.3999999999999995</v>
      </c>
      <c r="V33" s="1">
        <v>1595.3</v>
      </c>
    </row>
    <row r="34" spans="1:27" s="1" customFormat="1" x14ac:dyDescent="0.25">
      <c r="B34" s="2"/>
      <c r="C34" s="3">
        <v>41151</v>
      </c>
      <c r="D34" s="1">
        <v>18.8</v>
      </c>
      <c r="E34" s="1">
        <v>17.600000000000001</v>
      </c>
      <c r="F34" s="1">
        <v>22.4</v>
      </c>
      <c r="J34" s="1">
        <v>0.2</v>
      </c>
      <c r="L34" s="1">
        <v>2.2999999999999998</v>
      </c>
      <c r="N34" s="1">
        <v>-2.0999999999999996</v>
      </c>
      <c r="O34" s="1">
        <f>O33+N34</f>
        <v>1.2999999999999998</v>
      </c>
      <c r="V34" s="1">
        <v>1032.2</v>
      </c>
    </row>
    <row r="35" spans="1:27" s="1" customFormat="1" x14ac:dyDescent="0.25">
      <c r="B35" s="2"/>
      <c r="C35" s="3">
        <v>41152</v>
      </c>
      <c r="D35" s="1">
        <v>14.3</v>
      </c>
      <c r="E35" s="1">
        <v>12.5</v>
      </c>
      <c r="F35" s="1">
        <v>15.5</v>
      </c>
      <c r="J35" s="1">
        <v>0.4</v>
      </c>
      <c r="L35" s="1">
        <v>1.7</v>
      </c>
      <c r="N35" s="1">
        <v>-1.2999999999999998</v>
      </c>
      <c r="O35" s="1">
        <f>O34+N35</f>
        <v>0</v>
      </c>
      <c r="V35" s="1">
        <v>892.4</v>
      </c>
    </row>
    <row r="36" spans="1:27" s="1" customFormat="1" x14ac:dyDescent="0.25">
      <c r="B36" s="2"/>
      <c r="C36" s="3">
        <v>41153</v>
      </c>
      <c r="D36" s="1">
        <v>13.8</v>
      </c>
      <c r="E36" s="1">
        <v>9.9</v>
      </c>
      <c r="F36" s="1">
        <v>16.5</v>
      </c>
      <c r="J36" s="1">
        <v>0</v>
      </c>
      <c r="L36" s="1">
        <v>2.1</v>
      </c>
      <c r="N36" s="1">
        <v>-2.1</v>
      </c>
      <c r="O36" s="1">
        <v>0</v>
      </c>
      <c r="V36" s="1">
        <v>965.1</v>
      </c>
    </row>
    <row r="37" spans="1:27" s="1" customFormat="1" x14ac:dyDescent="0.25">
      <c r="B37" s="2"/>
      <c r="C37" s="3">
        <v>41154</v>
      </c>
      <c r="D37" s="1">
        <v>17.899999999999999</v>
      </c>
      <c r="E37" s="1">
        <v>14.2</v>
      </c>
      <c r="F37" s="1">
        <v>22.5</v>
      </c>
      <c r="J37" s="1">
        <v>0</v>
      </c>
      <c r="L37" s="1">
        <v>2.9</v>
      </c>
      <c r="N37" s="1">
        <v>-2.9</v>
      </c>
      <c r="O37" s="1">
        <v>0</v>
      </c>
      <c r="V37" s="1">
        <v>822.2</v>
      </c>
    </row>
    <row r="38" spans="1:27" s="1" customFormat="1" x14ac:dyDescent="0.25">
      <c r="A38" s="4"/>
      <c r="B38" s="5"/>
      <c r="C38" s="6">
        <v>41155</v>
      </c>
      <c r="D38" s="1">
        <v>20.2</v>
      </c>
      <c r="E38" s="1">
        <v>15.3</v>
      </c>
      <c r="F38" s="1">
        <v>24.8</v>
      </c>
      <c r="J38" s="1">
        <v>0</v>
      </c>
      <c r="L38" s="1">
        <v>4.5999999999999996</v>
      </c>
      <c r="N38" s="1">
        <v>-4.5999999999999996</v>
      </c>
      <c r="O38" s="1">
        <v>0</v>
      </c>
      <c r="P38" s="4"/>
      <c r="Q38" s="4"/>
      <c r="R38" s="4"/>
      <c r="S38" s="4"/>
      <c r="T38" s="1">
        <v>0</v>
      </c>
      <c r="U38" s="1" t="s">
        <v>0</v>
      </c>
      <c r="V38" s="1">
        <v>1506.5</v>
      </c>
    </row>
    <row r="39" spans="1:27" s="1" customFormat="1" x14ac:dyDescent="0.25">
      <c r="B39" s="2"/>
      <c r="C39" s="3">
        <v>41156</v>
      </c>
      <c r="D39" s="1">
        <v>21.3</v>
      </c>
      <c r="E39" s="1">
        <v>15.8</v>
      </c>
      <c r="F39" s="1">
        <v>27.1</v>
      </c>
      <c r="J39" s="1">
        <v>0</v>
      </c>
      <c r="L39" s="1">
        <v>5</v>
      </c>
      <c r="N39" s="1">
        <v>-5</v>
      </c>
      <c r="O39" s="1">
        <v>0</v>
      </c>
      <c r="T39" s="1">
        <v>0</v>
      </c>
      <c r="V39" s="1">
        <v>1720.1</v>
      </c>
    </row>
    <row r="40" spans="1:27" s="1" customFormat="1" x14ac:dyDescent="0.25">
      <c r="B40" s="2"/>
      <c r="C40" s="3">
        <v>41157</v>
      </c>
      <c r="D40" s="1">
        <v>20.8</v>
      </c>
      <c r="E40" s="1">
        <v>15.9</v>
      </c>
      <c r="F40" s="1">
        <v>26.6</v>
      </c>
      <c r="J40" s="1">
        <v>0</v>
      </c>
      <c r="L40" s="1">
        <v>4.3</v>
      </c>
      <c r="N40" s="1">
        <v>-4.3</v>
      </c>
      <c r="O40" s="1">
        <v>0</v>
      </c>
      <c r="T40" s="1">
        <v>0</v>
      </c>
      <c r="V40" s="1">
        <v>1625.7</v>
      </c>
    </row>
    <row r="41" spans="1:27" s="1" customFormat="1" x14ac:dyDescent="0.25">
      <c r="B41" s="2"/>
      <c r="C41" s="3">
        <v>41158</v>
      </c>
      <c r="D41" s="1">
        <v>18.899999999999999</v>
      </c>
      <c r="E41" s="1">
        <v>13.8</v>
      </c>
      <c r="F41" s="1">
        <v>24.7</v>
      </c>
      <c r="J41" s="1">
        <v>0</v>
      </c>
      <c r="L41" s="1">
        <v>4.8</v>
      </c>
      <c r="N41" s="1">
        <v>-4.8</v>
      </c>
      <c r="O41" s="1">
        <v>0</v>
      </c>
      <c r="T41" s="1">
        <v>0</v>
      </c>
      <c r="V41" s="1">
        <v>2272.6999999999998</v>
      </c>
    </row>
    <row r="42" spans="1:27" s="1" customFormat="1" x14ac:dyDescent="0.25">
      <c r="B42" s="2"/>
      <c r="C42" s="3">
        <v>41159</v>
      </c>
      <c r="D42" s="1">
        <v>17.8</v>
      </c>
      <c r="E42" s="1">
        <v>10.6</v>
      </c>
      <c r="F42" s="1">
        <v>25.5</v>
      </c>
      <c r="J42" s="1">
        <v>0</v>
      </c>
      <c r="L42" s="1">
        <v>4.3</v>
      </c>
      <c r="N42" s="1">
        <v>-4.3</v>
      </c>
      <c r="O42" s="1">
        <v>0</v>
      </c>
      <c r="T42" s="1">
        <v>0</v>
      </c>
      <c r="V42" s="1">
        <v>2096.9</v>
      </c>
    </row>
    <row r="43" spans="1:27" s="1" customFormat="1" x14ac:dyDescent="0.25">
      <c r="B43" s="2"/>
      <c r="C43" s="3">
        <v>41160</v>
      </c>
      <c r="D43" s="1">
        <v>18.5</v>
      </c>
      <c r="E43" s="1">
        <v>10.4</v>
      </c>
      <c r="F43" s="1">
        <v>26.8</v>
      </c>
      <c r="J43" s="1">
        <v>0</v>
      </c>
      <c r="L43" s="1">
        <v>4.2</v>
      </c>
      <c r="N43" s="1">
        <v>-4.2</v>
      </c>
      <c r="O43" s="1">
        <v>0</v>
      </c>
      <c r="T43" s="1">
        <v>0</v>
      </c>
      <c r="V43" s="1">
        <v>2245.1999999999998</v>
      </c>
    </row>
    <row r="44" spans="1:27" s="1" customFormat="1" x14ac:dyDescent="0.25">
      <c r="B44" s="2"/>
      <c r="C44" s="3">
        <v>41161</v>
      </c>
      <c r="D44" s="1">
        <v>20.100000000000001</v>
      </c>
      <c r="E44" s="1">
        <v>12.7</v>
      </c>
      <c r="F44" s="1">
        <v>29.9</v>
      </c>
      <c r="J44" s="1">
        <v>0</v>
      </c>
      <c r="L44" s="1">
        <v>4.8</v>
      </c>
      <c r="N44" s="1">
        <v>-4.8</v>
      </c>
      <c r="O44" s="1">
        <v>0</v>
      </c>
      <c r="T44" s="1">
        <v>0</v>
      </c>
      <c r="V44" s="1">
        <v>2167.1999999999998</v>
      </c>
    </row>
    <row r="45" spans="1:27" s="1" customFormat="1" x14ac:dyDescent="0.25">
      <c r="B45" s="2"/>
      <c r="C45" s="3">
        <v>41162</v>
      </c>
      <c r="D45" s="1">
        <v>20</v>
      </c>
      <c r="E45" s="1">
        <v>12.2</v>
      </c>
      <c r="F45" s="1">
        <v>27.5</v>
      </c>
      <c r="J45" s="1">
        <v>0</v>
      </c>
      <c r="L45" s="1">
        <v>3.2</v>
      </c>
      <c r="N45" s="1">
        <v>-3.2</v>
      </c>
      <c r="O45" s="1">
        <v>0</v>
      </c>
      <c r="T45" s="1">
        <v>0</v>
      </c>
      <c r="V45" s="1">
        <v>1747.8</v>
      </c>
    </row>
    <row r="46" spans="1:27" s="1" customFormat="1" x14ac:dyDescent="0.25">
      <c r="B46" s="2"/>
      <c r="C46" s="3">
        <v>41163</v>
      </c>
      <c r="D46" s="1">
        <v>20</v>
      </c>
      <c r="E46" s="1">
        <v>16.8</v>
      </c>
      <c r="F46" s="1">
        <v>25.6</v>
      </c>
      <c r="J46" s="1">
        <v>2.1</v>
      </c>
      <c r="L46" s="1">
        <v>2.6</v>
      </c>
      <c r="N46" s="1">
        <v>-0.5</v>
      </c>
      <c r="O46" s="1">
        <v>0</v>
      </c>
      <c r="T46" s="1">
        <v>0</v>
      </c>
      <c r="V46" s="1">
        <v>810</v>
      </c>
    </row>
    <row r="47" spans="1:27" s="1" customFormat="1" x14ac:dyDescent="0.25">
      <c r="A47" s="47" t="s">
        <v>1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7" s="1" customFormat="1" ht="15" customHeight="1" x14ac:dyDescent="0.25">
      <c r="A48" s="48" t="s">
        <v>2</v>
      </c>
      <c r="B48" s="7"/>
      <c r="C48" s="3">
        <v>41164</v>
      </c>
      <c r="D48" s="1">
        <v>13.5</v>
      </c>
      <c r="E48" s="1">
        <v>12.6</v>
      </c>
      <c r="F48" s="1">
        <v>15.7</v>
      </c>
      <c r="G48" s="1">
        <f>D48</f>
        <v>13.5</v>
      </c>
      <c r="I48" s="8" t="s">
        <v>3</v>
      </c>
      <c r="J48" s="1">
        <v>1.6</v>
      </c>
      <c r="K48" s="1">
        <f>J48</f>
        <v>1.6</v>
      </c>
      <c r="L48" s="1">
        <v>1.2</v>
      </c>
      <c r="M48" s="1">
        <f>L48</f>
        <v>1.2</v>
      </c>
      <c r="N48" s="1">
        <v>0.40000000000000013</v>
      </c>
      <c r="O48" s="1">
        <f>O46+N48</f>
        <v>0.40000000000000013</v>
      </c>
      <c r="P48" s="1">
        <v>1</v>
      </c>
      <c r="Q48" s="1">
        <v>0.35</v>
      </c>
      <c r="R48" s="9">
        <f t="shared" ref="R48:R111" si="0">Q48*L48</f>
        <v>0.42</v>
      </c>
      <c r="S48" s="9">
        <f t="shared" ref="S48:S111" si="1">J48-R48</f>
        <v>1.1800000000000002</v>
      </c>
      <c r="T48" s="9">
        <f>T46+S48</f>
        <v>1.1800000000000002</v>
      </c>
      <c r="U48" s="8" t="s">
        <v>4</v>
      </c>
      <c r="V48" s="1">
        <v>689.3</v>
      </c>
      <c r="X48" s="1">
        <f>V48</f>
        <v>689.3</v>
      </c>
      <c r="Z48" s="8" t="s">
        <v>5</v>
      </c>
      <c r="AA48" s="1">
        <v>12.815666442770899</v>
      </c>
    </row>
    <row r="49" spans="1:27" s="1" customFormat="1" x14ac:dyDescent="0.25">
      <c r="A49" s="48"/>
      <c r="B49" s="7"/>
      <c r="C49" s="3">
        <v>41165</v>
      </c>
      <c r="D49" s="1">
        <v>12.6</v>
      </c>
      <c r="E49" s="1">
        <v>9.1</v>
      </c>
      <c r="F49" s="1">
        <v>16.8</v>
      </c>
      <c r="G49" s="1">
        <f>G48+D49</f>
        <v>26.1</v>
      </c>
      <c r="I49" s="1">
        <f>MIN(E48:E164)</f>
        <v>-6.5</v>
      </c>
      <c r="J49" s="1">
        <v>0.8</v>
      </c>
      <c r="K49" s="1">
        <f>K48+J49</f>
        <v>2.4000000000000004</v>
      </c>
      <c r="L49" s="1">
        <v>1.2</v>
      </c>
      <c r="M49" s="1">
        <f>M48+L49</f>
        <v>2.4</v>
      </c>
      <c r="N49" s="1">
        <v>-0.39999999999999991</v>
      </c>
      <c r="O49" s="1">
        <f>O48+N49</f>
        <v>0</v>
      </c>
      <c r="P49" s="1">
        <v>2</v>
      </c>
      <c r="Q49" s="1">
        <v>0.35</v>
      </c>
      <c r="R49" s="9">
        <f t="shared" si="0"/>
        <v>0.42</v>
      </c>
      <c r="S49" s="9">
        <f t="shared" si="1"/>
        <v>0.38000000000000006</v>
      </c>
      <c r="T49" s="9">
        <f>MIN(122.1,(T48+S49))</f>
        <v>1.5600000000000003</v>
      </c>
      <c r="U49" s="1">
        <v>61</v>
      </c>
      <c r="V49" s="1">
        <v>728.1</v>
      </c>
      <c r="X49" s="1">
        <f>X48+V49</f>
        <v>1417.4</v>
      </c>
      <c r="Z49" s="1">
        <v>53852.599999999991</v>
      </c>
      <c r="AA49" s="1">
        <v>12.760012022418</v>
      </c>
    </row>
    <row r="50" spans="1:27" s="1" customFormat="1" x14ac:dyDescent="0.25">
      <c r="A50" s="48"/>
      <c r="B50" s="7"/>
      <c r="C50" s="3">
        <v>41166</v>
      </c>
      <c r="D50" s="1">
        <v>14.6</v>
      </c>
      <c r="E50" s="1">
        <v>9.8000000000000007</v>
      </c>
      <c r="F50" s="1">
        <v>19.8</v>
      </c>
      <c r="G50" s="1">
        <f t="shared" ref="G50:G113" si="2">G49+D50</f>
        <v>40.700000000000003</v>
      </c>
      <c r="I50" s="8" t="s">
        <v>6</v>
      </c>
      <c r="J50" s="1">
        <v>0</v>
      </c>
      <c r="K50" s="1">
        <f t="shared" ref="K50:K113" si="3">K49+J50</f>
        <v>2.4000000000000004</v>
      </c>
      <c r="L50" s="1">
        <v>2.6</v>
      </c>
      <c r="M50" s="1">
        <f t="shared" ref="M50:M113" si="4">M49+L50</f>
        <v>5</v>
      </c>
      <c r="N50" s="1">
        <v>-2.6</v>
      </c>
      <c r="O50" s="1">
        <v>0</v>
      </c>
      <c r="P50" s="1">
        <v>3</v>
      </c>
      <c r="Q50" s="1">
        <v>0.35</v>
      </c>
      <c r="R50" s="9">
        <f t="shared" si="0"/>
        <v>0.90999999999999992</v>
      </c>
      <c r="S50" s="9">
        <f t="shared" si="1"/>
        <v>-0.90999999999999992</v>
      </c>
      <c r="T50" s="9">
        <f t="shared" ref="T50:T113" si="5">MIN(122.1,(T49+S50))</f>
        <v>0.65000000000000036</v>
      </c>
      <c r="U50" s="8" t="s">
        <v>7</v>
      </c>
      <c r="V50" s="1">
        <v>1637</v>
      </c>
      <c r="X50" s="1">
        <f t="shared" ref="X50:X113" si="6">X49+V50</f>
        <v>3054.4</v>
      </c>
      <c r="Z50" s="8" t="s">
        <v>8</v>
      </c>
      <c r="AA50" s="1">
        <v>12.7042825302381</v>
      </c>
    </row>
    <row r="51" spans="1:27" s="1" customFormat="1" x14ac:dyDescent="0.25">
      <c r="A51" s="48"/>
      <c r="B51" s="7"/>
      <c r="C51" s="3">
        <v>41167</v>
      </c>
      <c r="D51" s="1">
        <v>14.7</v>
      </c>
      <c r="E51" s="1">
        <v>10.7</v>
      </c>
      <c r="F51" s="1">
        <v>20.2</v>
      </c>
      <c r="G51" s="1">
        <f t="shared" si="2"/>
        <v>55.400000000000006</v>
      </c>
      <c r="I51" s="1">
        <f>MAX(F48:F164)</f>
        <v>25.1</v>
      </c>
      <c r="J51" s="1">
        <v>0</v>
      </c>
      <c r="K51" s="1">
        <f t="shared" si="3"/>
        <v>2.4000000000000004</v>
      </c>
      <c r="L51" s="1">
        <v>2.2000000000000002</v>
      </c>
      <c r="M51" s="1">
        <f t="shared" si="4"/>
        <v>7.2</v>
      </c>
      <c r="N51" s="1">
        <v>-2.2000000000000002</v>
      </c>
      <c r="O51" s="1">
        <v>0</v>
      </c>
      <c r="P51" s="1">
        <v>4</v>
      </c>
      <c r="Q51" s="1">
        <v>0.35</v>
      </c>
      <c r="R51" s="9">
        <f t="shared" si="0"/>
        <v>0.77</v>
      </c>
      <c r="S51" s="9">
        <f t="shared" si="1"/>
        <v>-0.77</v>
      </c>
      <c r="T51" s="9">
        <v>0</v>
      </c>
      <c r="U51" s="1">
        <v>6</v>
      </c>
      <c r="V51" s="1">
        <v>1266.5</v>
      </c>
      <c r="X51" s="1">
        <f t="shared" si="6"/>
        <v>4320.8999999999996</v>
      </c>
      <c r="Z51" s="1">
        <f>(Z49/100)/I61</f>
        <v>0.53680821371610843</v>
      </c>
      <c r="AA51" s="1">
        <v>12.648483990867801</v>
      </c>
    </row>
    <row r="52" spans="1:27" s="1" customFormat="1" x14ac:dyDescent="0.25">
      <c r="A52" s="48"/>
      <c r="B52" s="7"/>
      <c r="C52" s="3">
        <v>41168</v>
      </c>
      <c r="D52" s="1">
        <v>15.1</v>
      </c>
      <c r="E52" s="1">
        <v>8.6999999999999993</v>
      </c>
      <c r="F52" s="1">
        <v>22.8</v>
      </c>
      <c r="G52" s="1">
        <f t="shared" si="2"/>
        <v>70.5</v>
      </c>
      <c r="I52" s="8" t="s">
        <v>9</v>
      </c>
      <c r="J52" s="1">
        <v>0</v>
      </c>
      <c r="K52" s="1">
        <f t="shared" si="3"/>
        <v>2.4000000000000004</v>
      </c>
      <c r="L52" s="1">
        <v>2.8</v>
      </c>
      <c r="M52" s="1">
        <f t="shared" si="4"/>
        <v>10</v>
      </c>
      <c r="N52" s="1">
        <v>-2.8</v>
      </c>
      <c r="O52" s="1">
        <v>0</v>
      </c>
      <c r="P52" s="1">
        <v>5</v>
      </c>
      <c r="Q52" s="1">
        <v>0.35</v>
      </c>
      <c r="R52" s="9">
        <f t="shared" si="0"/>
        <v>0.97999999999999987</v>
      </c>
      <c r="S52" s="9">
        <f t="shared" si="1"/>
        <v>-0.97999999999999987</v>
      </c>
      <c r="T52" s="9">
        <v>0</v>
      </c>
      <c r="U52" s="8" t="s">
        <v>10</v>
      </c>
      <c r="V52" s="1">
        <v>1723.1</v>
      </c>
      <c r="X52" s="1">
        <f t="shared" si="6"/>
        <v>6044</v>
      </c>
      <c r="Z52" s="8" t="s">
        <v>11</v>
      </c>
      <c r="AA52" s="1">
        <v>12.592622302409101</v>
      </c>
    </row>
    <row r="53" spans="1:27" s="1" customFormat="1" x14ac:dyDescent="0.25">
      <c r="A53" s="48"/>
      <c r="B53" s="7"/>
      <c r="C53" s="3">
        <v>41169</v>
      </c>
      <c r="D53" s="1">
        <v>16.600000000000001</v>
      </c>
      <c r="E53" s="1">
        <v>10.7</v>
      </c>
      <c r="F53" s="1">
        <v>25.1</v>
      </c>
      <c r="G53" s="1">
        <f t="shared" si="2"/>
        <v>87.1</v>
      </c>
      <c r="I53" s="9">
        <f>AVERAGE(D48:D164)</f>
        <v>8.5367521367521348</v>
      </c>
      <c r="J53" s="1">
        <v>0</v>
      </c>
      <c r="K53" s="1">
        <f t="shared" si="3"/>
        <v>2.4000000000000004</v>
      </c>
      <c r="L53" s="1">
        <v>1.7</v>
      </c>
      <c r="M53" s="1">
        <f t="shared" si="4"/>
        <v>11.7</v>
      </c>
      <c r="N53" s="1">
        <v>-1.7</v>
      </c>
      <c r="O53" s="1">
        <v>0</v>
      </c>
      <c r="P53" s="1">
        <v>6</v>
      </c>
      <c r="Q53" s="1">
        <v>0.35</v>
      </c>
      <c r="R53" s="9">
        <f t="shared" si="0"/>
        <v>0.59499999999999997</v>
      </c>
      <c r="S53" s="9">
        <f t="shared" si="1"/>
        <v>-0.59499999999999997</v>
      </c>
      <c r="T53" s="9">
        <v>0</v>
      </c>
      <c r="U53" s="1">
        <v>7</v>
      </c>
      <c r="V53" s="1">
        <v>999.5</v>
      </c>
      <c r="X53" s="1">
        <f t="shared" si="6"/>
        <v>7043.5</v>
      </c>
      <c r="Z53" s="1">
        <v>97</v>
      </c>
      <c r="AA53" s="1">
        <v>12.5367032516716</v>
      </c>
    </row>
    <row r="54" spans="1:27" s="1" customFormat="1" x14ac:dyDescent="0.25">
      <c r="A54" s="48"/>
      <c r="B54" s="7"/>
      <c r="C54" s="3">
        <v>41170</v>
      </c>
      <c r="D54" s="1">
        <v>16.2</v>
      </c>
      <c r="E54" s="1">
        <v>10.1</v>
      </c>
      <c r="F54" s="1">
        <v>23.1</v>
      </c>
      <c r="G54" s="1">
        <f t="shared" si="2"/>
        <v>103.3</v>
      </c>
      <c r="I54" s="8" t="s">
        <v>12</v>
      </c>
      <c r="J54" s="1">
        <v>0.7</v>
      </c>
      <c r="K54" s="1">
        <f t="shared" si="3"/>
        <v>3.1000000000000005</v>
      </c>
      <c r="L54" s="1">
        <v>2</v>
      </c>
      <c r="M54" s="1">
        <f t="shared" si="4"/>
        <v>13.7</v>
      </c>
      <c r="N54" s="1">
        <v>-1.3</v>
      </c>
      <c r="O54" s="1">
        <v>0</v>
      </c>
      <c r="P54" s="1">
        <v>7</v>
      </c>
      <c r="Q54" s="1">
        <v>0.35</v>
      </c>
      <c r="R54" s="9">
        <f t="shared" si="0"/>
        <v>0.7</v>
      </c>
      <c r="S54" s="9">
        <f t="shared" si="1"/>
        <v>0</v>
      </c>
      <c r="T54" s="9">
        <v>0</v>
      </c>
      <c r="U54" s="8" t="s">
        <v>13</v>
      </c>
      <c r="V54" s="1">
        <v>952.4</v>
      </c>
      <c r="X54" s="1">
        <f t="shared" si="6"/>
        <v>7995.9</v>
      </c>
      <c r="AA54" s="1">
        <v>12.4807325294801</v>
      </c>
    </row>
    <row r="55" spans="1:27" s="1" customFormat="1" x14ac:dyDescent="0.25">
      <c r="A55" s="48"/>
      <c r="B55" s="7"/>
      <c r="C55" s="3">
        <v>41171</v>
      </c>
      <c r="D55" s="1">
        <v>13.5</v>
      </c>
      <c r="E55" s="1">
        <v>10.6</v>
      </c>
      <c r="F55" s="1">
        <v>18</v>
      </c>
      <c r="G55" s="1">
        <f t="shared" si="2"/>
        <v>116.8</v>
      </c>
      <c r="I55" s="1">
        <v>12</v>
      </c>
      <c r="J55" s="1">
        <v>0</v>
      </c>
      <c r="K55" s="1">
        <f t="shared" si="3"/>
        <v>3.1000000000000005</v>
      </c>
      <c r="L55" s="1">
        <v>3</v>
      </c>
      <c r="M55" s="1">
        <f t="shared" si="4"/>
        <v>16.7</v>
      </c>
      <c r="N55" s="1">
        <v>-3</v>
      </c>
      <c r="O55" s="1">
        <v>0</v>
      </c>
      <c r="P55" s="1">
        <v>8</v>
      </c>
      <c r="Q55" s="1">
        <v>0.35</v>
      </c>
      <c r="R55" s="9">
        <f t="shared" si="0"/>
        <v>1.0499999999999998</v>
      </c>
      <c r="S55" s="9">
        <f t="shared" si="1"/>
        <v>-1.0499999999999998</v>
      </c>
      <c r="T55" s="9">
        <v>0</v>
      </c>
      <c r="U55" s="1">
        <v>0</v>
      </c>
      <c r="V55" s="1">
        <v>1353.3</v>
      </c>
      <c r="X55" s="1">
        <f t="shared" si="6"/>
        <v>9349.1999999999989</v>
      </c>
      <c r="AA55" s="1">
        <v>12.4247157460469</v>
      </c>
    </row>
    <row r="56" spans="1:27" s="1" customFormat="1" x14ac:dyDescent="0.25">
      <c r="A56" s="48"/>
      <c r="B56" s="7"/>
      <c r="C56" s="3">
        <v>41172</v>
      </c>
      <c r="D56" s="1">
        <v>11.3</v>
      </c>
      <c r="E56" s="1">
        <v>5.5</v>
      </c>
      <c r="F56" s="1">
        <v>19.100000000000001</v>
      </c>
      <c r="G56" s="1">
        <f t="shared" si="2"/>
        <v>128.1</v>
      </c>
      <c r="I56" s="8" t="s">
        <v>14</v>
      </c>
      <c r="J56" s="1">
        <v>0</v>
      </c>
      <c r="K56" s="1">
        <f t="shared" si="3"/>
        <v>3.1000000000000005</v>
      </c>
      <c r="L56" s="1">
        <v>2.6</v>
      </c>
      <c r="M56" s="1">
        <f t="shared" si="4"/>
        <v>19.3</v>
      </c>
      <c r="N56" s="1">
        <v>-2.6</v>
      </c>
      <c r="O56" s="1">
        <v>0</v>
      </c>
      <c r="P56" s="1">
        <v>9</v>
      </c>
      <c r="Q56" s="1">
        <v>0.35</v>
      </c>
      <c r="R56" s="9">
        <f t="shared" si="0"/>
        <v>0.90999999999999992</v>
      </c>
      <c r="S56" s="9">
        <f t="shared" si="1"/>
        <v>-0.90999999999999992</v>
      </c>
      <c r="T56" s="9">
        <v>0</v>
      </c>
      <c r="U56" s="8" t="s">
        <v>15</v>
      </c>
      <c r="V56" s="1">
        <v>1410.9</v>
      </c>
      <c r="X56" s="1">
        <f t="shared" si="6"/>
        <v>10760.099999999999</v>
      </c>
      <c r="AA56" s="1">
        <v>12.368658446412599</v>
      </c>
    </row>
    <row r="57" spans="1:27" s="1" customFormat="1" x14ac:dyDescent="0.25">
      <c r="A57" s="48"/>
      <c r="B57" s="7"/>
      <c r="C57" s="3">
        <v>41173</v>
      </c>
      <c r="D57" s="1">
        <v>14.1</v>
      </c>
      <c r="E57" s="1">
        <v>4.7</v>
      </c>
      <c r="F57" s="1">
        <v>23</v>
      </c>
      <c r="G57" s="1">
        <f t="shared" si="2"/>
        <v>142.19999999999999</v>
      </c>
      <c r="I57" s="1">
        <v>1</v>
      </c>
      <c r="J57" s="1">
        <v>21.2</v>
      </c>
      <c r="K57" s="1">
        <f t="shared" si="3"/>
        <v>24.3</v>
      </c>
      <c r="L57" s="1">
        <v>2.6</v>
      </c>
      <c r="M57" s="1">
        <f t="shared" si="4"/>
        <v>21.900000000000002</v>
      </c>
      <c r="N57" s="1">
        <v>18.599999999999998</v>
      </c>
      <c r="O57" s="1">
        <f t="shared" ref="O57:O98" si="7">O56+N57</f>
        <v>18.599999999999998</v>
      </c>
      <c r="P57" s="1">
        <v>10</v>
      </c>
      <c r="Q57" s="1">
        <v>0.35</v>
      </c>
      <c r="R57" s="9">
        <f t="shared" si="0"/>
        <v>0.90999999999999992</v>
      </c>
      <c r="S57" s="9">
        <f t="shared" si="1"/>
        <v>20.29</v>
      </c>
      <c r="T57" s="9">
        <f t="shared" si="5"/>
        <v>20.29</v>
      </c>
      <c r="U57" s="9">
        <f>MAX(T48:T164)</f>
        <v>122.1</v>
      </c>
      <c r="V57" s="1">
        <v>1484.6</v>
      </c>
      <c r="X57" s="1">
        <f t="shared" si="6"/>
        <v>12244.699999999999</v>
      </c>
      <c r="AA57" s="1">
        <v>12.3125661259556</v>
      </c>
    </row>
    <row r="58" spans="1:27" s="1" customFormat="1" x14ac:dyDescent="0.25">
      <c r="A58" s="48"/>
      <c r="B58" s="7"/>
      <c r="C58" s="3">
        <v>41174</v>
      </c>
      <c r="D58" s="1">
        <v>13.6</v>
      </c>
      <c r="E58" s="1">
        <v>12.6</v>
      </c>
      <c r="F58" s="1">
        <v>15</v>
      </c>
      <c r="G58" s="1">
        <f t="shared" si="2"/>
        <v>155.79999999999998</v>
      </c>
      <c r="I58" s="8" t="s">
        <v>16</v>
      </c>
      <c r="J58" s="1">
        <v>1.8</v>
      </c>
      <c r="K58" s="1">
        <f t="shared" si="3"/>
        <v>26.1</v>
      </c>
      <c r="L58" s="1">
        <v>0.5</v>
      </c>
      <c r="M58" s="1">
        <f t="shared" si="4"/>
        <v>22.400000000000002</v>
      </c>
      <c r="N58" s="1">
        <v>1.3</v>
      </c>
      <c r="O58" s="1">
        <f t="shared" si="7"/>
        <v>19.899999999999999</v>
      </c>
      <c r="P58" s="1">
        <v>11</v>
      </c>
      <c r="Q58" s="1">
        <f>0.35+((P58-10)/107)*(1-0.35)</f>
        <v>0.35607476635514018</v>
      </c>
      <c r="R58" s="9">
        <f t="shared" si="0"/>
        <v>0.17803738317757009</v>
      </c>
      <c r="S58" s="9">
        <f t="shared" si="1"/>
        <v>1.6219626168224299</v>
      </c>
      <c r="T58" s="9">
        <f t="shared" si="5"/>
        <v>21.911962616822429</v>
      </c>
      <c r="U58" s="8" t="s">
        <v>17</v>
      </c>
      <c r="V58" s="1">
        <v>397.8</v>
      </c>
      <c r="X58" s="1">
        <f t="shared" si="6"/>
        <v>12642.499999999998</v>
      </c>
      <c r="AA58" s="1">
        <v>12.2564442459744</v>
      </c>
    </row>
    <row r="59" spans="1:27" s="1" customFormat="1" x14ac:dyDescent="0.25">
      <c r="A59" s="48"/>
      <c r="B59" s="7"/>
      <c r="C59" s="3">
        <v>41175</v>
      </c>
      <c r="D59" s="1">
        <v>16.399999999999999</v>
      </c>
      <c r="E59" s="1">
        <v>11.2</v>
      </c>
      <c r="F59" s="1">
        <v>20.8</v>
      </c>
      <c r="G59" s="1">
        <f t="shared" si="2"/>
        <v>172.2</v>
      </c>
      <c r="I59" s="1">
        <v>39</v>
      </c>
      <c r="J59" s="1">
        <v>9.1999999999999993</v>
      </c>
      <c r="K59" s="1">
        <f t="shared" si="3"/>
        <v>35.299999999999997</v>
      </c>
      <c r="L59" s="1">
        <v>1</v>
      </c>
      <c r="M59" s="1">
        <f t="shared" si="4"/>
        <v>23.400000000000002</v>
      </c>
      <c r="N59" s="1">
        <v>8.1999999999999993</v>
      </c>
      <c r="O59" s="1">
        <f t="shared" si="7"/>
        <v>28.099999999999998</v>
      </c>
      <c r="P59" s="1">
        <v>12</v>
      </c>
      <c r="Q59" s="1">
        <f t="shared" ref="Q59:Q122" si="8">0.35+((P59-10)/107)*(1-0.35)</f>
        <v>0.36214953271028033</v>
      </c>
      <c r="R59" s="9">
        <f t="shared" si="0"/>
        <v>0.36214953271028033</v>
      </c>
      <c r="S59" s="9">
        <f t="shared" si="1"/>
        <v>8.8378504672897193</v>
      </c>
      <c r="T59" s="9">
        <f t="shared" si="5"/>
        <v>30.749813084112148</v>
      </c>
      <c r="U59" s="20">
        <f>AVERAGE(T48:T164)</f>
        <v>103.49657880022377</v>
      </c>
      <c r="V59" s="1">
        <v>584.5</v>
      </c>
      <c r="X59" s="1">
        <f t="shared" si="6"/>
        <v>13226.999999999998</v>
      </c>
      <c r="AA59" s="1">
        <v>12.200298249345501</v>
      </c>
    </row>
    <row r="60" spans="1:27" s="1" customFormat="1" x14ac:dyDescent="0.25">
      <c r="A60" s="48"/>
      <c r="B60" s="7"/>
      <c r="C60" s="3">
        <v>41176</v>
      </c>
      <c r="D60" s="1">
        <v>16.600000000000001</v>
      </c>
      <c r="E60" s="1">
        <v>14.8</v>
      </c>
      <c r="F60" s="1">
        <v>18.899999999999999</v>
      </c>
      <c r="G60" s="1">
        <f t="shared" si="2"/>
        <v>188.79999999999998</v>
      </c>
      <c r="I60" s="8" t="s">
        <v>18</v>
      </c>
      <c r="J60" s="1">
        <v>3.4</v>
      </c>
      <c r="K60" s="1">
        <f t="shared" si="3"/>
        <v>38.699999999999996</v>
      </c>
      <c r="L60" s="1">
        <v>2.1</v>
      </c>
      <c r="M60" s="1">
        <f t="shared" si="4"/>
        <v>25.500000000000004</v>
      </c>
      <c r="N60" s="1">
        <v>1.2999999999999998</v>
      </c>
      <c r="O60" s="1">
        <f t="shared" si="7"/>
        <v>29.4</v>
      </c>
      <c r="P60" s="1">
        <v>13</v>
      </c>
      <c r="Q60" s="1">
        <f t="shared" si="8"/>
        <v>0.36822429906542054</v>
      </c>
      <c r="R60" s="9">
        <f t="shared" si="0"/>
        <v>0.77327102803738312</v>
      </c>
      <c r="S60" s="9">
        <f t="shared" si="1"/>
        <v>2.626728971962617</v>
      </c>
      <c r="T60" s="9">
        <f t="shared" si="5"/>
        <v>33.376542056074769</v>
      </c>
      <c r="V60" s="1">
        <v>758</v>
      </c>
      <c r="X60" s="1">
        <f t="shared" si="6"/>
        <v>13984.999999999998</v>
      </c>
      <c r="AA60" s="1">
        <v>12.144133576261</v>
      </c>
    </row>
    <row r="61" spans="1:27" s="1" customFormat="1" x14ac:dyDescent="0.25">
      <c r="A61" s="48"/>
      <c r="B61" s="7"/>
      <c r="C61" s="3">
        <v>41177</v>
      </c>
      <c r="D61" s="1">
        <v>14.1</v>
      </c>
      <c r="E61" s="1">
        <v>13.6</v>
      </c>
      <c r="F61" s="1">
        <v>15</v>
      </c>
      <c r="G61" s="1">
        <f t="shared" si="2"/>
        <v>202.89999999999998</v>
      </c>
      <c r="I61" s="1">
        <v>1003.2</v>
      </c>
      <c r="J61" s="1">
        <v>22</v>
      </c>
      <c r="K61" s="1">
        <f t="shared" si="3"/>
        <v>60.699999999999996</v>
      </c>
      <c r="L61" s="1">
        <v>1.1000000000000001</v>
      </c>
      <c r="M61" s="1">
        <f t="shared" si="4"/>
        <v>26.600000000000005</v>
      </c>
      <c r="N61" s="1">
        <v>20.9</v>
      </c>
      <c r="O61" s="1">
        <f t="shared" si="7"/>
        <v>50.3</v>
      </c>
      <c r="P61" s="1">
        <v>14</v>
      </c>
      <c r="Q61" s="1">
        <f t="shared" si="8"/>
        <v>0.37429906542056074</v>
      </c>
      <c r="R61" s="9">
        <f t="shared" si="0"/>
        <v>0.41172897196261682</v>
      </c>
      <c r="S61" s="9">
        <f t="shared" si="1"/>
        <v>21.588271028037383</v>
      </c>
      <c r="T61" s="9">
        <f t="shared" si="5"/>
        <v>54.964813084112151</v>
      </c>
      <c r="U61" s="9">
        <f>(U59*100)/122.1</f>
        <v>84.763782801166073</v>
      </c>
      <c r="V61" s="1">
        <v>327.8</v>
      </c>
      <c r="X61" s="1">
        <f t="shared" si="6"/>
        <v>14312.799999999997</v>
      </c>
      <c r="AA61" s="1">
        <v>12.087955680049401</v>
      </c>
    </row>
    <row r="62" spans="1:27" s="1" customFormat="1" x14ac:dyDescent="0.25">
      <c r="A62" s="48"/>
      <c r="B62" s="7"/>
      <c r="C62" s="3">
        <v>41178</v>
      </c>
      <c r="D62" s="1">
        <v>11.3</v>
      </c>
      <c r="E62" s="1">
        <v>10.9</v>
      </c>
      <c r="F62" s="1">
        <v>11.9</v>
      </c>
      <c r="G62" s="1">
        <f t="shared" si="2"/>
        <v>214.2</v>
      </c>
      <c r="J62" s="1">
        <v>23.2</v>
      </c>
      <c r="K62" s="1">
        <f t="shared" si="3"/>
        <v>83.899999999999991</v>
      </c>
      <c r="L62" s="1">
        <v>0.7</v>
      </c>
      <c r="M62" s="1">
        <f t="shared" si="4"/>
        <v>27.300000000000004</v>
      </c>
      <c r="N62" s="1">
        <v>22.5</v>
      </c>
      <c r="O62" s="1">
        <f t="shared" si="7"/>
        <v>72.8</v>
      </c>
      <c r="P62" s="1">
        <v>15</v>
      </c>
      <c r="Q62" s="1">
        <f t="shared" si="8"/>
        <v>0.38037383177570089</v>
      </c>
      <c r="R62" s="9">
        <f t="shared" si="0"/>
        <v>0.26626168224299063</v>
      </c>
      <c r="S62" s="9">
        <f t="shared" si="1"/>
        <v>22.933738317757008</v>
      </c>
      <c r="T62" s="9">
        <f t="shared" si="5"/>
        <v>77.898551401869156</v>
      </c>
      <c r="V62" s="1">
        <v>303.2</v>
      </c>
      <c r="X62" s="1">
        <f t="shared" si="6"/>
        <v>14615.999999999998</v>
      </c>
      <c r="AA62" s="1">
        <v>12.031770043084601</v>
      </c>
    </row>
    <row r="63" spans="1:27" s="1" customFormat="1" x14ac:dyDescent="0.25">
      <c r="A63" s="48"/>
      <c r="B63" s="7"/>
      <c r="C63" s="3">
        <v>41179</v>
      </c>
      <c r="D63" s="1">
        <v>11.9</v>
      </c>
      <c r="E63" s="1">
        <v>10.199999999999999</v>
      </c>
      <c r="F63" s="1">
        <v>14.9</v>
      </c>
      <c r="G63" s="1">
        <f t="shared" si="2"/>
        <v>226.1</v>
      </c>
      <c r="J63" s="1">
        <v>2.5</v>
      </c>
      <c r="K63" s="1">
        <f t="shared" si="3"/>
        <v>86.399999999999991</v>
      </c>
      <c r="L63" s="1">
        <v>2</v>
      </c>
      <c r="M63" s="1">
        <f t="shared" si="4"/>
        <v>29.300000000000004</v>
      </c>
      <c r="N63" s="1">
        <v>0.5</v>
      </c>
      <c r="O63" s="1">
        <f t="shared" si="7"/>
        <v>73.3</v>
      </c>
      <c r="P63" s="1">
        <v>16</v>
      </c>
      <c r="Q63" s="1">
        <f t="shared" si="8"/>
        <v>0.38644859813084109</v>
      </c>
      <c r="R63" s="9">
        <f t="shared" si="0"/>
        <v>0.77289719626168218</v>
      </c>
      <c r="S63" s="9">
        <f t="shared" si="1"/>
        <v>1.7271028037383178</v>
      </c>
      <c r="T63" s="9">
        <f t="shared" si="5"/>
        <v>79.625654205607475</v>
      </c>
      <c r="V63" s="1">
        <v>1139.4000000000001</v>
      </c>
      <c r="X63" s="1">
        <f t="shared" si="6"/>
        <v>15755.399999999998</v>
      </c>
      <c r="AA63" s="1">
        <v>11.9755821927857</v>
      </c>
    </row>
    <row r="64" spans="1:27" s="1" customFormat="1" x14ac:dyDescent="0.25">
      <c r="A64" s="48"/>
      <c r="B64" s="7"/>
      <c r="C64" s="3">
        <v>41180</v>
      </c>
      <c r="D64" s="1">
        <v>12.5</v>
      </c>
      <c r="E64" s="1">
        <v>6.6</v>
      </c>
      <c r="F64" s="1">
        <v>20.399999999999999</v>
      </c>
      <c r="G64" s="1">
        <f t="shared" si="2"/>
        <v>238.6</v>
      </c>
      <c r="J64" s="1">
        <v>0</v>
      </c>
      <c r="K64" s="1">
        <f t="shared" si="3"/>
        <v>86.399999999999991</v>
      </c>
      <c r="L64" s="1">
        <v>2.2999999999999998</v>
      </c>
      <c r="M64" s="1">
        <f t="shared" si="4"/>
        <v>31.600000000000005</v>
      </c>
      <c r="N64" s="1">
        <v>-2.2999999999999998</v>
      </c>
      <c r="O64" s="1">
        <f t="shared" si="7"/>
        <v>71</v>
      </c>
      <c r="P64" s="1">
        <v>17</v>
      </c>
      <c r="Q64" s="1">
        <f t="shared" si="8"/>
        <v>0.3925233644859813</v>
      </c>
      <c r="R64" s="9">
        <f t="shared" si="0"/>
        <v>0.90280373831775695</v>
      </c>
      <c r="S64" s="9">
        <f t="shared" si="1"/>
        <v>-0.90280373831775695</v>
      </c>
      <c r="T64" s="9">
        <f t="shared" si="5"/>
        <v>78.722850467289717</v>
      </c>
      <c r="V64" s="1">
        <v>1535.3</v>
      </c>
      <c r="X64" s="1">
        <f t="shared" si="6"/>
        <v>17290.699999999997</v>
      </c>
      <c r="AA64" s="1">
        <v>11.919397717712201</v>
      </c>
    </row>
    <row r="65" spans="1:27" s="1" customFormat="1" x14ac:dyDescent="0.25">
      <c r="A65" s="48"/>
      <c r="B65" s="7"/>
      <c r="C65" s="3">
        <v>41181</v>
      </c>
      <c r="D65" s="1">
        <v>12.3</v>
      </c>
      <c r="E65" s="1">
        <v>8</v>
      </c>
      <c r="F65" s="1">
        <v>18.399999999999999</v>
      </c>
      <c r="G65" s="1">
        <f t="shared" si="2"/>
        <v>250.9</v>
      </c>
      <c r="J65" s="1">
        <v>0</v>
      </c>
      <c r="K65" s="1">
        <f t="shared" si="3"/>
        <v>86.399999999999991</v>
      </c>
      <c r="L65" s="1">
        <v>1.5</v>
      </c>
      <c r="M65" s="1">
        <f t="shared" si="4"/>
        <v>33.100000000000009</v>
      </c>
      <c r="N65" s="1">
        <v>-1.5</v>
      </c>
      <c r="O65" s="1">
        <f t="shared" si="7"/>
        <v>69.5</v>
      </c>
      <c r="P65" s="1">
        <v>18</v>
      </c>
      <c r="Q65" s="1">
        <f t="shared" si="8"/>
        <v>0.3985981308411215</v>
      </c>
      <c r="R65" s="9">
        <f t="shared" si="0"/>
        <v>0.59789719626168225</v>
      </c>
      <c r="S65" s="9">
        <f t="shared" si="1"/>
        <v>-0.59789719626168225</v>
      </c>
      <c r="T65" s="9">
        <f t="shared" si="5"/>
        <v>78.124953271028033</v>
      </c>
      <c r="V65" s="1">
        <v>1006.6</v>
      </c>
      <c r="X65" s="1">
        <f t="shared" si="6"/>
        <v>18297.299999999996</v>
      </c>
      <c r="AA65" s="1">
        <v>11.8632222837584</v>
      </c>
    </row>
    <row r="66" spans="1:27" s="1" customFormat="1" x14ac:dyDescent="0.25">
      <c r="A66" s="48"/>
      <c r="B66" s="7"/>
      <c r="C66" s="3">
        <v>41182</v>
      </c>
      <c r="D66" s="1">
        <v>12.6</v>
      </c>
      <c r="E66" s="1">
        <v>9</v>
      </c>
      <c r="F66" s="1">
        <v>17.399999999999999</v>
      </c>
      <c r="G66" s="1">
        <f t="shared" si="2"/>
        <v>263.5</v>
      </c>
      <c r="J66" s="1">
        <v>0</v>
      </c>
      <c r="K66" s="1">
        <f t="shared" si="3"/>
        <v>86.399999999999991</v>
      </c>
      <c r="L66" s="1">
        <v>1.7</v>
      </c>
      <c r="M66" s="1">
        <f t="shared" si="4"/>
        <v>34.800000000000011</v>
      </c>
      <c r="N66" s="1">
        <v>-1.7</v>
      </c>
      <c r="O66" s="1">
        <f t="shared" si="7"/>
        <v>67.8</v>
      </c>
      <c r="P66" s="1">
        <v>19</v>
      </c>
      <c r="Q66" s="1">
        <f t="shared" si="8"/>
        <v>0.40467289719626165</v>
      </c>
      <c r="R66" s="9">
        <f t="shared" si="0"/>
        <v>0.68794392523364478</v>
      </c>
      <c r="S66" s="9">
        <f t="shared" si="1"/>
        <v>-0.68794392523364478</v>
      </c>
      <c r="T66" s="9">
        <f t="shared" si="5"/>
        <v>77.437009345794394</v>
      </c>
      <c r="V66" s="1">
        <v>1065.3</v>
      </c>
      <c r="X66" s="1">
        <f t="shared" si="6"/>
        <v>19362.599999999995</v>
      </c>
      <c r="AA66" s="1">
        <v>11.8070616504488</v>
      </c>
    </row>
    <row r="67" spans="1:27" s="1" customFormat="1" x14ac:dyDescent="0.25">
      <c r="A67" s="48"/>
      <c r="B67" s="7"/>
      <c r="C67" s="3">
        <v>41183</v>
      </c>
      <c r="D67" s="1">
        <v>12.3</v>
      </c>
      <c r="E67" s="1">
        <v>7.5</v>
      </c>
      <c r="F67" s="1">
        <v>19.5</v>
      </c>
      <c r="G67" s="1">
        <f t="shared" si="2"/>
        <v>275.8</v>
      </c>
      <c r="J67" s="1">
        <v>0</v>
      </c>
      <c r="K67" s="1">
        <f t="shared" si="3"/>
        <v>86.399999999999991</v>
      </c>
      <c r="L67" s="1">
        <v>1.6</v>
      </c>
      <c r="M67" s="1">
        <f t="shared" si="4"/>
        <v>36.400000000000013</v>
      </c>
      <c r="N67" s="1">
        <v>-1.6</v>
      </c>
      <c r="O67" s="1">
        <f t="shared" si="7"/>
        <v>66.2</v>
      </c>
      <c r="P67" s="1">
        <v>20</v>
      </c>
      <c r="Q67" s="1">
        <f t="shared" si="8"/>
        <v>0.41074766355140185</v>
      </c>
      <c r="R67" s="9">
        <f t="shared" si="0"/>
        <v>0.65719626168224299</v>
      </c>
      <c r="S67" s="9">
        <f t="shared" si="1"/>
        <v>-0.65719626168224299</v>
      </c>
      <c r="T67" s="9">
        <f t="shared" si="5"/>
        <v>76.779813084112149</v>
      </c>
      <c r="V67" s="1">
        <v>1069.5</v>
      </c>
      <c r="X67" s="1">
        <f t="shared" si="6"/>
        <v>20432.099999999995</v>
      </c>
      <c r="AA67" s="1">
        <v>11.750921687338</v>
      </c>
    </row>
    <row r="68" spans="1:27" s="1" customFormat="1" x14ac:dyDescent="0.25">
      <c r="A68" s="48"/>
      <c r="B68" s="7"/>
      <c r="C68" s="3">
        <v>41184</v>
      </c>
      <c r="D68" s="1">
        <v>13.1</v>
      </c>
      <c r="E68" s="1">
        <v>7.2</v>
      </c>
      <c r="F68" s="1">
        <v>18.8</v>
      </c>
      <c r="G68" s="1">
        <f t="shared" si="2"/>
        <v>288.90000000000003</v>
      </c>
      <c r="J68" s="1">
        <v>1.6</v>
      </c>
      <c r="K68" s="1">
        <f t="shared" si="3"/>
        <v>87.999999999999986</v>
      </c>
      <c r="L68" s="1">
        <v>1.9</v>
      </c>
      <c r="M68" s="1">
        <f t="shared" si="4"/>
        <v>38.300000000000011</v>
      </c>
      <c r="N68" s="1">
        <v>-0.29999999999999982</v>
      </c>
      <c r="O68" s="1">
        <f t="shared" si="7"/>
        <v>65.900000000000006</v>
      </c>
      <c r="P68" s="1">
        <v>21</v>
      </c>
      <c r="Q68" s="1">
        <f t="shared" si="8"/>
        <v>0.41682242990654206</v>
      </c>
      <c r="R68" s="9">
        <f t="shared" si="0"/>
        <v>0.79196261682242985</v>
      </c>
      <c r="S68" s="9">
        <f t="shared" si="1"/>
        <v>0.80803738317757023</v>
      </c>
      <c r="T68" s="9">
        <f t="shared" si="5"/>
        <v>77.587850467289712</v>
      </c>
      <c r="V68" s="1">
        <v>1192.7</v>
      </c>
      <c r="X68" s="1">
        <f t="shared" si="6"/>
        <v>21624.799999999996</v>
      </c>
      <c r="AA68" s="1">
        <v>11.694808390515799</v>
      </c>
    </row>
    <row r="69" spans="1:27" s="1" customFormat="1" x14ac:dyDescent="0.25">
      <c r="A69" s="48"/>
      <c r="B69" s="7"/>
      <c r="C69" s="3">
        <v>41185</v>
      </c>
      <c r="D69" s="1">
        <v>15.7</v>
      </c>
      <c r="E69" s="1">
        <v>12.1</v>
      </c>
      <c r="F69" s="1">
        <v>20.100000000000001</v>
      </c>
      <c r="G69" s="1">
        <f t="shared" si="2"/>
        <v>304.60000000000002</v>
      </c>
      <c r="J69" s="1">
        <v>0</v>
      </c>
      <c r="K69" s="1">
        <f t="shared" si="3"/>
        <v>87.999999999999986</v>
      </c>
      <c r="L69" s="1">
        <v>1.7</v>
      </c>
      <c r="M69" s="1">
        <f t="shared" si="4"/>
        <v>40.000000000000014</v>
      </c>
      <c r="N69" s="1">
        <v>-1.7</v>
      </c>
      <c r="O69" s="1">
        <f t="shared" si="7"/>
        <v>64.2</v>
      </c>
      <c r="P69" s="1">
        <v>22</v>
      </c>
      <c r="Q69" s="1">
        <f t="shared" si="8"/>
        <v>0.42289719626168221</v>
      </c>
      <c r="R69" s="9">
        <f t="shared" si="0"/>
        <v>0.71892523364485972</v>
      </c>
      <c r="S69" s="9">
        <f t="shared" si="1"/>
        <v>-0.71892523364485972</v>
      </c>
      <c r="T69" s="9">
        <f t="shared" si="5"/>
        <v>76.868925233644859</v>
      </c>
      <c r="V69" s="1">
        <v>747.8</v>
      </c>
      <c r="X69" s="1">
        <f t="shared" si="6"/>
        <v>22372.599999999995</v>
      </c>
      <c r="AA69" s="1">
        <v>11.638727899218701</v>
      </c>
    </row>
    <row r="70" spans="1:27" s="1" customFormat="1" x14ac:dyDescent="0.25">
      <c r="A70" s="48"/>
      <c r="B70" s="7"/>
      <c r="C70" s="3">
        <v>41186</v>
      </c>
      <c r="D70" s="1">
        <v>15.2</v>
      </c>
      <c r="E70" s="1">
        <v>14</v>
      </c>
      <c r="F70" s="1">
        <v>17.8</v>
      </c>
      <c r="G70" s="1">
        <f t="shared" si="2"/>
        <v>319.8</v>
      </c>
      <c r="J70" s="1">
        <v>0.8</v>
      </c>
      <c r="K70" s="1">
        <f t="shared" si="3"/>
        <v>88.799999999999983</v>
      </c>
      <c r="L70" s="1">
        <v>1.7</v>
      </c>
      <c r="M70" s="1">
        <f t="shared" si="4"/>
        <v>41.700000000000017</v>
      </c>
      <c r="N70" s="1">
        <v>-0.89999999999999991</v>
      </c>
      <c r="O70" s="1">
        <f t="shared" si="7"/>
        <v>63.300000000000004</v>
      </c>
      <c r="P70" s="1">
        <v>23</v>
      </c>
      <c r="Q70" s="1">
        <f t="shared" si="8"/>
        <v>0.42897196261682241</v>
      </c>
      <c r="R70" s="9">
        <f t="shared" si="0"/>
        <v>0.7292523364485981</v>
      </c>
      <c r="S70" s="9">
        <f t="shared" si="1"/>
        <v>7.074766355140194E-2</v>
      </c>
      <c r="T70" s="9">
        <f t="shared" si="5"/>
        <v>76.93967289719626</v>
      </c>
      <c r="V70" s="1">
        <v>301.2</v>
      </c>
      <c r="X70" s="1">
        <f t="shared" si="6"/>
        <v>22673.799999999996</v>
      </c>
      <c r="AA70" s="1">
        <v>11.5826865125461</v>
      </c>
    </row>
    <row r="71" spans="1:27" s="1" customFormat="1" x14ac:dyDescent="0.25">
      <c r="A71" s="48"/>
      <c r="B71" s="7"/>
      <c r="C71" s="3">
        <v>41187</v>
      </c>
      <c r="D71" s="1">
        <v>15</v>
      </c>
      <c r="E71" s="1">
        <v>10</v>
      </c>
      <c r="F71" s="1">
        <v>21.5</v>
      </c>
      <c r="G71" s="1">
        <f t="shared" si="2"/>
        <v>334.8</v>
      </c>
      <c r="J71" s="1">
        <v>0.1</v>
      </c>
      <c r="K71" s="1">
        <f t="shared" si="3"/>
        <v>88.899999999999977</v>
      </c>
      <c r="L71" s="1">
        <v>2.1</v>
      </c>
      <c r="M71" s="1">
        <f t="shared" si="4"/>
        <v>43.800000000000018</v>
      </c>
      <c r="N71" s="1">
        <v>-2</v>
      </c>
      <c r="O71" s="1">
        <f t="shared" si="7"/>
        <v>61.300000000000004</v>
      </c>
      <c r="P71" s="1">
        <v>24</v>
      </c>
      <c r="Q71" s="1">
        <f t="shared" si="8"/>
        <v>0.43504672897196262</v>
      </c>
      <c r="R71" s="9">
        <f t="shared" si="0"/>
        <v>0.91359813084112151</v>
      </c>
      <c r="S71" s="9">
        <f t="shared" si="1"/>
        <v>-0.81359813084112154</v>
      </c>
      <c r="T71" s="9">
        <f t="shared" si="5"/>
        <v>76.126074766355146</v>
      </c>
      <c r="V71" s="1">
        <v>1160.5999999999999</v>
      </c>
      <c r="X71" s="1">
        <f t="shared" si="6"/>
        <v>23834.399999999994</v>
      </c>
      <c r="AA71" s="1">
        <v>11.5266907062811</v>
      </c>
    </row>
    <row r="72" spans="1:27" s="1" customFormat="1" x14ac:dyDescent="0.25">
      <c r="A72" s="48"/>
      <c r="B72" s="7"/>
      <c r="C72" s="3">
        <v>41188</v>
      </c>
      <c r="D72" s="1">
        <v>16.899999999999999</v>
      </c>
      <c r="E72" s="1">
        <v>9.8000000000000007</v>
      </c>
      <c r="F72" s="1">
        <v>23.6</v>
      </c>
      <c r="G72" s="1">
        <f t="shared" si="2"/>
        <v>351.7</v>
      </c>
      <c r="J72" s="1">
        <v>8.4</v>
      </c>
      <c r="K72" s="1">
        <f t="shared" si="3"/>
        <v>97.299999999999983</v>
      </c>
      <c r="L72" s="1">
        <v>1.8</v>
      </c>
      <c r="M72" s="1">
        <f t="shared" si="4"/>
        <v>45.600000000000016</v>
      </c>
      <c r="N72" s="1">
        <v>6.6000000000000005</v>
      </c>
      <c r="O72" s="1">
        <f t="shared" si="7"/>
        <v>67.900000000000006</v>
      </c>
      <c r="P72" s="1">
        <v>25</v>
      </c>
      <c r="Q72" s="1">
        <f t="shared" si="8"/>
        <v>0.44112149532710276</v>
      </c>
      <c r="R72" s="9">
        <f t="shared" si="0"/>
        <v>0.79401869158878502</v>
      </c>
      <c r="S72" s="9">
        <f t="shared" si="1"/>
        <v>7.6059813084112156</v>
      </c>
      <c r="T72" s="9">
        <f t="shared" si="5"/>
        <v>83.732056074766362</v>
      </c>
      <c r="V72" s="1">
        <v>983.9</v>
      </c>
      <c r="X72" s="1">
        <f t="shared" si="6"/>
        <v>24818.299999999996</v>
      </c>
      <c r="AA72" s="1">
        <v>11.470747149810901</v>
      </c>
    </row>
    <row r="73" spans="1:27" s="1" customFormat="1" x14ac:dyDescent="0.25">
      <c r="A73" s="48"/>
      <c r="B73" s="7"/>
      <c r="C73" s="3">
        <v>41189</v>
      </c>
      <c r="D73" s="1">
        <v>15</v>
      </c>
      <c r="E73" s="1">
        <v>13.8</v>
      </c>
      <c r="F73" s="1">
        <v>18.399999999999999</v>
      </c>
      <c r="G73" s="1">
        <f t="shared" si="2"/>
        <v>366.7</v>
      </c>
      <c r="J73" s="1">
        <v>1</v>
      </c>
      <c r="K73" s="1">
        <f t="shared" si="3"/>
        <v>98.299999999999983</v>
      </c>
      <c r="L73" s="1">
        <v>1.1000000000000001</v>
      </c>
      <c r="M73" s="1">
        <f t="shared" si="4"/>
        <v>46.700000000000017</v>
      </c>
      <c r="N73" s="1">
        <v>-0.10000000000000009</v>
      </c>
      <c r="O73" s="1">
        <f t="shared" si="7"/>
        <v>67.800000000000011</v>
      </c>
      <c r="P73" s="1">
        <v>26</v>
      </c>
      <c r="Q73" s="1">
        <f t="shared" si="8"/>
        <v>0.44719626168224297</v>
      </c>
      <c r="R73" s="9">
        <f t="shared" si="0"/>
        <v>0.4919158878504673</v>
      </c>
      <c r="S73" s="9">
        <f t="shared" si="1"/>
        <v>0.50808411214953275</v>
      </c>
      <c r="T73" s="9">
        <f t="shared" si="5"/>
        <v>84.240140186915895</v>
      </c>
      <c r="V73" s="1">
        <v>586.9</v>
      </c>
      <c r="X73" s="1">
        <f t="shared" si="6"/>
        <v>25405.199999999997</v>
      </c>
      <c r="AA73" s="1">
        <v>11.414862723142701</v>
      </c>
    </row>
    <row r="74" spans="1:27" s="1" customFormat="1" x14ac:dyDescent="0.25">
      <c r="A74" s="48"/>
      <c r="B74" s="7"/>
      <c r="C74" s="3">
        <v>41190</v>
      </c>
      <c r="D74" s="1">
        <v>12.4</v>
      </c>
      <c r="E74" s="1">
        <v>9.6999999999999993</v>
      </c>
      <c r="F74" s="1">
        <v>16.3</v>
      </c>
      <c r="G74" s="1">
        <f t="shared" si="2"/>
        <v>379.09999999999997</v>
      </c>
      <c r="J74" s="1">
        <v>23.4</v>
      </c>
      <c r="K74" s="1">
        <f t="shared" si="3"/>
        <v>121.69999999999999</v>
      </c>
      <c r="L74" s="1">
        <v>0.8</v>
      </c>
      <c r="M74" s="1">
        <f t="shared" si="4"/>
        <v>47.500000000000014</v>
      </c>
      <c r="N74" s="1">
        <v>22.599999999999998</v>
      </c>
      <c r="O74" s="1">
        <f t="shared" si="7"/>
        <v>90.4</v>
      </c>
      <c r="P74" s="1">
        <v>27</v>
      </c>
      <c r="Q74" s="1">
        <f t="shared" si="8"/>
        <v>0.45327102803738317</v>
      </c>
      <c r="R74" s="9">
        <f t="shared" si="0"/>
        <v>0.36261682242990656</v>
      </c>
      <c r="S74" s="9">
        <f t="shared" si="1"/>
        <v>23.037383177570092</v>
      </c>
      <c r="T74" s="9">
        <f t="shared" si="5"/>
        <v>107.27752336448599</v>
      </c>
      <c r="V74" s="1">
        <v>304.3</v>
      </c>
      <c r="X74" s="1">
        <f t="shared" si="6"/>
        <v>25709.499999999996</v>
      </c>
      <c r="AA74" s="1">
        <v>11.3590445340079</v>
      </c>
    </row>
    <row r="75" spans="1:27" s="1" customFormat="1" x14ac:dyDescent="0.25">
      <c r="A75" s="48"/>
      <c r="B75" s="7"/>
      <c r="C75" s="3">
        <v>41191</v>
      </c>
      <c r="D75" s="1">
        <v>16.899999999999999</v>
      </c>
      <c r="E75" s="1">
        <v>14</v>
      </c>
      <c r="F75" s="1">
        <v>19.2</v>
      </c>
      <c r="G75" s="1">
        <f t="shared" si="2"/>
        <v>395.99999999999994</v>
      </c>
      <c r="J75" s="1">
        <v>8.8000000000000007</v>
      </c>
      <c r="K75" s="1">
        <f t="shared" si="3"/>
        <v>130.5</v>
      </c>
      <c r="L75" s="1">
        <v>0.8</v>
      </c>
      <c r="M75" s="1">
        <f t="shared" si="4"/>
        <v>48.300000000000011</v>
      </c>
      <c r="N75" s="1">
        <v>8</v>
      </c>
      <c r="O75" s="1">
        <f t="shared" si="7"/>
        <v>98.4</v>
      </c>
      <c r="P75" s="1">
        <v>28</v>
      </c>
      <c r="Q75" s="1">
        <f t="shared" si="8"/>
        <v>0.45934579439252332</v>
      </c>
      <c r="R75" s="9">
        <f t="shared" si="0"/>
        <v>0.36747663551401866</v>
      </c>
      <c r="S75" s="9">
        <f t="shared" si="1"/>
        <v>8.4325233644859825</v>
      </c>
      <c r="T75" s="9">
        <f t="shared" si="5"/>
        <v>115.71004672897197</v>
      </c>
      <c r="V75" s="1">
        <v>402.3</v>
      </c>
      <c r="X75" s="1">
        <f t="shared" si="6"/>
        <v>26111.799999999996</v>
      </c>
      <c r="AA75" s="1">
        <v>11.3032999350458</v>
      </c>
    </row>
    <row r="76" spans="1:27" s="1" customFormat="1" x14ac:dyDescent="0.25">
      <c r="A76" s="48"/>
      <c r="B76" s="7"/>
      <c r="C76" s="3">
        <v>41192</v>
      </c>
      <c r="D76" s="1">
        <v>16.600000000000001</v>
      </c>
      <c r="E76" s="1">
        <v>15.2</v>
      </c>
      <c r="F76" s="1">
        <v>20.2</v>
      </c>
      <c r="G76" s="1">
        <f t="shared" si="2"/>
        <v>412.59999999999997</v>
      </c>
      <c r="J76" s="1">
        <v>4.5</v>
      </c>
      <c r="K76" s="1">
        <f t="shared" si="3"/>
        <v>135</v>
      </c>
      <c r="L76" s="1">
        <v>1.7</v>
      </c>
      <c r="M76" s="1">
        <f t="shared" si="4"/>
        <v>50.000000000000014</v>
      </c>
      <c r="N76" s="1">
        <v>2.8</v>
      </c>
      <c r="O76" s="1">
        <f t="shared" si="7"/>
        <v>101.2</v>
      </c>
      <c r="P76" s="1">
        <v>29</v>
      </c>
      <c r="Q76" s="1">
        <f t="shared" si="8"/>
        <v>0.46542056074766353</v>
      </c>
      <c r="R76" s="9">
        <f t="shared" si="0"/>
        <v>0.79121495327102798</v>
      </c>
      <c r="S76" s="9">
        <f t="shared" si="1"/>
        <v>3.708785046728972</v>
      </c>
      <c r="T76" s="9">
        <f t="shared" si="5"/>
        <v>119.41883177570095</v>
      </c>
      <c r="V76" s="1">
        <v>909.6</v>
      </c>
      <c r="X76" s="1">
        <f t="shared" si="6"/>
        <v>27021.399999999994</v>
      </c>
      <c r="AA76" s="1">
        <v>11.2476365410563</v>
      </c>
    </row>
    <row r="77" spans="1:27" s="1" customFormat="1" x14ac:dyDescent="0.25">
      <c r="A77" s="48"/>
      <c r="B77" s="7"/>
      <c r="C77" s="3">
        <v>41193</v>
      </c>
      <c r="D77" s="1">
        <v>15.2</v>
      </c>
      <c r="E77" s="1">
        <v>14</v>
      </c>
      <c r="F77" s="1">
        <v>16.7</v>
      </c>
      <c r="G77" s="1">
        <f t="shared" si="2"/>
        <v>427.79999999999995</v>
      </c>
      <c r="J77" s="1">
        <v>4.5</v>
      </c>
      <c r="K77" s="1">
        <f t="shared" si="3"/>
        <v>139.5</v>
      </c>
      <c r="L77" s="1">
        <v>0.6</v>
      </c>
      <c r="M77" s="1">
        <f t="shared" si="4"/>
        <v>50.600000000000016</v>
      </c>
      <c r="N77" s="1">
        <v>3.9</v>
      </c>
      <c r="O77" s="1">
        <f t="shared" si="7"/>
        <v>105.10000000000001</v>
      </c>
      <c r="P77" s="1">
        <v>30</v>
      </c>
      <c r="Q77" s="1">
        <f t="shared" si="8"/>
        <v>0.47149532710280373</v>
      </c>
      <c r="R77" s="9">
        <f t="shared" si="0"/>
        <v>0.28289719626168225</v>
      </c>
      <c r="S77" s="9">
        <f t="shared" si="1"/>
        <v>4.2171028037383174</v>
      </c>
      <c r="T77" s="9">
        <f t="shared" si="5"/>
        <v>122.1</v>
      </c>
      <c r="V77" s="1">
        <v>221.3</v>
      </c>
      <c r="X77" s="1">
        <f t="shared" si="6"/>
        <v>27242.699999999993</v>
      </c>
      <c r="AA77" s="1">
        <v>11.192062246306</v>
      </c>
    </row>
    <row r="78" spans="1:27" s="1" customFormat="1" x14ac:dyDescent="0.25">
      <c r="A78" s="48"/>
      <c r="B78" s="7"/>
      <c r="C78" s="3">
        <v>41194</v>
      </c>
      <c r="D78" s="1">
        <v>12.4</v>
      </c>
      <c r="E78" s="1">
        <v>10.7</v>
      </c>
      <c r="F78" s="1">
        <v>14.6</v>
      </c>
      <c r="G78" s="1">
        <f t="shared" si="2"/>
        <v>440.19999999999993</v>
      </c>
      <c r="J78" s="1">
        <v>0.5</v>
      </c>
      <c r="K78" s="1">
        <f t="shared" si="3"/>
        <v>140</v>
      </c>
      <c r="L78" s="1">
        <v>0.9</v>
      </c>
      <c r="M78" s="1">
        <f t="shared" si="4"/>
        <v>51.500000000000014</v>
      </c>
      <c r="N78" s="1">
        <v>-0.4</v>
      </c>
      <c r="O78" s="1">
        <f t="shared" si="7"/>
        <v>104.7</v>
      </c>
      <c r="P78" s="1">
        <v>31</v>
      </c>
      <c r="Q78" s="1">
        <f t="shared" si="8"/>
        <v>0.47757009345794388</v>
      </c>
      <c r="R78" s="9">
        <f t="shared" si="0"/>
        <v>0.42981308411214952</v>
      </c>
      <c r="S78" s="9">
        <f t="shared" si="1"/>
        <v>7.0186915887850476E-2</v>
      </c>
      <c r="T78" s="9">
        <f t="shared" si="5"/>
        <v>122.1</v>
      </c>
      <c r="V78" s="1">
        <v>717.1</v>
      </c>
      <c r="X78" s="1">
        <f t="shared" si="6"/>
        <v>27959.799999999992</v>
      </c>
      <c r="AA78" s="1">
        <v>11.136585241874</v>
      </c>
    </row>
    <row r="79" spans="1:27" s="1" customFormat="1" x14ac:dyDescent="0.25">
      <c r="A79" s="48"/>
      <c r="B79" s="7"/>
      <c r="C79" s="3">
        <v>41195</v>
      </c>
      <c r="D79" s="1">
        <v>9.3000000000000007</v>
      </c>
      <c r="E79" s="1">
        <v>3.2</v>
      </c>
      <c r="F79" s="1">
        <v>15.1</v>
      </c>
      <c r="G79" s="1">
        <f t="shared" si="2"/>
        <v>449.49999999999994</v>
      </c>
      <c r="J79" s="1">
        <v>5.2</v>
      </c>
      <c r="K79" s="1">
        <f t="shared" si="3"/>
        <v>145.19999999999999</v>
      </c>
      <c r="L79" s="1">
        <v>0.8</v>
      </c>
      <c r="M79" s="1">
        <f t="shared" si="4"/>
        <v>52.300000000000011</v>
      </c>
      <c r="N79" s="1">
        <v>4.4000000000000004</v>
      </c>
      <c r="O79" s="1">
        <f t="shared" si="7"/>
        <v>109.10000000000001</v>
      </c>
      <c r="P79" s="1">
        <v>32</v>
      </c>
      <c r="Q79" s="1">
        <f t="shared" si="8"/>
        <v>0.48364485981308408</v>
      </c>
      <c r="R79" s="9">
        <f t="shared" si="0"/>
        <v>0.38691588785046727</v>
      </c>
      <c r="S79" s="9">
        <f t="shared" si="1"/>
        <v>4.8130841121495331</v>
      </c>
      <c r="T79" s="9">
        <f t="shared" si="5"/>
        <v>122.1</v>
      </c>
      <c r="V79" s="1">
        <v>734.2</v>
      </c>
      <c r="X79" s="1">
        <f t="shared" si="6"/>
        <v>28693.999999999993</v>
      </c>
      <c r="AA79" s="1">
        <v>11.0812140330164</v>
      </c>
    </row>
    <row r="80" spans="1:27" s="1" customFormat="1" x14ac:dyDescent="0.25">
      <c r="A80" s="48"/>
      <c r="B80" s="7"/>
      <c r="C80" s="3">
        <v>41196</v>
      </c>
      <c r="D80" s="1">
        <v>10.7</v>
      </c>
      <c r="E80" s="1">
        <v>9.5</v>
      </c>
      <c r="F80" s="1">
        <v>13.6</v>
      </c>
      <c r="G80" s="1">
        <f t="shared" si="2"/>
        <v>460.19999999999993</v>
      </c>
      <c r="J80" s="1">
        <v>5.6</v>
      </c>
      <c r="K80" s="1">
        <f t="shared" si="3"/>
        <v>150.79999999999998</v>
      </c>
      <c r="L80" s="1">
        <v>1.1000000000000001</v>
      </c>
      <c r="M80" s="1">
        <f t="shared" si="4"/>
        <v>53.400000000000013</v>
      </c>
      <c r="N80" s="1">
        <v>4.5</v>
      </c>
      <c r="O80" s="1">
        <f t="shared" si="7"/>
        <v>113.60000000000001</v>
      </c>
      <c r="P80" s="1">
        <v>33</v>
      </c>
      <c r="Q80" s="1">
        <f t="shared" si="8"/>
        <v>0.48971962616822429</v>
      </c>
      <c r="R80" s="9">
        <f t="shared" si="0"/>
        <v>0.53869158878504675</v>
      </c>
      <c r="S80" s="9">
        <f t="shared" si="1"/>
        <v>5.0613084112149531</v>
      </c>
      <c r="T80" s="9">
        <f t="shared" si="5"/>
        <v>122.1</v>
      </c>
      <c r="V80" s="1">
        <v>203.9</v>
      </c>
      <c r="X80" s="1">
        <f t="shared" si="6"/>
        <v>28897.899999999994</v>
      </c>
      <c r="AA80" s="1">
        <v>11.0259574565276</v>
      </c>
    </row>
    <row r="81" spans="1:27" s="1" customFormat="1" x14ac:dyDescent="0.25">
      <c r="A81" s="48"/>
      <c r="B81" s="7"/>
      <c r="C81" s="3">
        <v>41197</v>
      </c>
      <c r="D81" s="1">
        <v>7.1</v>
      </c>
      <c r="E81" s="1">
        <v>4.2</v>
      </c>
      <c r="F81" s="1">
        <v>11.9</v>
      </c>
      <c r="G81" s="1">
        <f t="shared" si="2"/>
        <v>467.29999999999995</v>
      </c>
      <c r="J81" s="1">
        <v>0</v>
      </c>
      <c r="K81" s="1">
        <f t="shared" si="3"/>
        <v>150.79999999999998</v>
      </c>
      <c r="L81" s="1">
        <v>0.9</v>
      </c>
      <c r="M81" s="1">
        <f t="shared" si="4"/>
        <v>54.300000000000011</v>
      </c>
      <c r="N81" s="1">
        <v>-0.9</v>
      </c>
      <c r="O81" s="1">
        <f t="shared" si="7"/>
        <v>112.7</v>
      </c>
      <c r="P81" s="1">
        <v>34</v>
      </c>
      <c r="Q81" s="1">
        <f t="shared" si="8"/>
        <v>0.49579439252336444</v>
      </c>
      <c r="R81" s="9">
        <f t="shared" si="0"/>
        <v>0.446214953271028</v>
      </c>
      <c r="S81" s="9">
        <f t="shared" si="1"/>
        <v>-0.446214953271028</v>
      </c>
      <c r="T81" s="9">
        <f t="shared" si="5"/>
        <v>121.65378504672897</v>
      </c>
      <c r="V81" s="1">
        <v>480.3</v>
      </c>
      <c r="X81" s="1">
        <f t="shared" si="6"/>
        <v>29378.199999999993</v>
      </c>
      <c r="AA81" s="1">
        <v>10.9708246980731</v>
      </c>
    </row>
    <row r="82" spans="1:27" s="1" customFormat="1" x14ac:dyDescent="0.25">
      <c r="A82" s="48"/>
      <c r="B82" s="7"/>
      <c r="C82" s="3">
        <v>41198</v>
      </c>
      <c r="D82" s="1">
        <v>5.9</v>
      </c>
      <c r="E82" s="1">
        <v>1</v>
      </c>
      <c r="F82" s="1">
        <v>9.1999999999999993</v>
      </c>
      <c r="G82" s="1">
        <f t="shared" si="2"/>
        <v>473.19999999999993</v>
      </c>
      <c r="J82" s="1">
        <v>1.2</v>
      </c>
      <c r="K82" s="1">
        <f t="shared" si="3"/>
        <v>151.99999999999997</v>
      </c>
      <c r="L82" s="1">
        <v>0.2</v>
      </c>
      <c r="M82" s="1">
        <f t="shared" si="4"/>
        <v>54.500000000000014</v>
      </c>
      <c r="N82" s="1">
        <v>1</v>
      </c>
      <c r="O82" s="1">
        <f t="shared" si="7"/>
        <v>113.7</v>
      </c>
      <c r="P82" s="1">
        <v>35</v>
      </c>
      <c r="Q82" s="1">
        <f t="shared" si="8"/>
        <v>0.5018691588785047</v>
      </c>
      <c r="R82" s="9">
        <f t="shared" si="0"/>
        <v>0.10037383177570094</v>
      </c>
      <c r="S82" s="9">
        <f t="shared" si="1"/>
        <v>1.0996261682242989</v>
      </c>
      <c r="T82" s="9">
        <f t="shared" si="5"/>
        <v>122.1</v>
      </c>
      <c r="V82" s="1">
        <v>295.8</v>
      </c>
      <c r="X82" s="1">
        <f t="shared" si="6"/>
        <v>29673.999999999993</v>
      </c>
      <c r="AA82" s="1">
        <v>10.9158253094635</v>
      </c>
    </row>
    <row r="83" spans="1:27" s="1" customFormat="1" x14ac:dyDescent="0.25">
      <c r="A83" s="48"/>
      <c r="B83" s="7"/>
      <c r="C83" s="3">
        <v>41199</v>
      </c>
      <c r="D83" s="1">
        <v>14.6</v>
      </c>
      <c r="E83" s="1">
        <v>6.8</v>
      </c>
      <c r="F83" s="1">
        <v>19</v>
      </c>
      <c r="G83" s="1">
        <f t="shared" si="2"/>
        <v>487.79999999999995</v>
      </c>
      <c r="J83" s="1">
        <v>0</v>
      </c>
      <c r="K83" s="1">
        <f t="shared" si="3"/>
        <v>151.99999999999997</v>
      </c>
      <c r="L83" s="1">
        <v>1.2</v>
      </c>
      <c r="M83" s="1">
        <f t="shared" si="4"/>
        <v>55.700000000000017</v>
      </c>
      <c r="N83" s="1">
        <v>-1.2</v>
      </c>
      <c r="O83" s="1">
        <f t="shared" si="7"/>
        <v>112.5</v>
      </c>
      <c r="P83" s="1">
        <v>36</v>
      </c>
      <c r="Q83" s="1">
        <f t="shared" si="8"/>
        <v>0.50794392523364484</v>
      </c>
      <c r="R83" s="9">
        <f t="shared" si="0"/>
        <v>0.60953271028037381</v>
      </c>
      <c r="S83" s="9">
        <f t="shared" si="1"/>
        <v>-0.60953271028037381</v>
      </c>
      <c r="T83" s="9">
        <f t="shared" si="5"/>
        <v>121.49046728971962</v>
      </c>
      <c r="V83" s="1">
        <v>510.4</v>
      </c>
      <c r="X83" s="1">
        <f t="shared" si="6"/>
        <v>30184.399999999994</v>
      </c>
      <c r="AA83" s="1">
        <v>10.860969225838</v>
      </c>
    </row>
    <row r="84" spans="1:27" s="1" customFormat="1" x14ac:dyDescent="0.25">
      <c r="A84" s="48"/>
      <c r="B84" s="7"/>
      <c r="C84" s="3">
        <v>41200</v>
      </c>
      <c r="D84" s="1">
        <v>18</v>
      </c>
      <c r="E84" s="1">
        <v>16.600000000000001</v>
      </c>
      <c r="F84" s="1">
        <v>22.1</v>
      </c>
      <c r="G84" s="1">
        <f t="shared" si="2"/>
        <v>505.79999999999995</v>
      </c>
      <c r="J84" s="1">
        <v>0</v>
      </c>
      <c r="K84" s="1">
        <f t="shared" si="3"/>
        <v>151.99999999999997</v>
      </c>
      <c r="L84" s="1">
        <v>4</v>
      </c>
      <c r="M84" s="1">
        <f t="shared" si="4"/>
        <v>59.700000000000017</v>
      </c>
      <c r="N84" s="1">
        <v>-4</v>
      </c>
      <c r="O84" s="1">
        <f t="shared" si="7"/>
        <v>108.5</v>
      </c>
      <c r="P84" s="1">
        <v>37</v>
      </c>
      <c r="Q84" s="1">
        <f t="shared" si="8"/>
        <v>0.51401869158878499</v>
      </c>
      <c r="R84" s="9">
        <f t="shared" si="0"/>
        <v>2.05607476635514</v>
      </c>
      <c r="S84" s="9">
        <f t="shared" si="1"/>
        <v>-2.05607476635514</v>
      </c>
      <c r="T84" s="9">
        <f t="shared" si="5"/>
        <v>119.43439252336448</v>
      </c>
      <c r="V84" s="1">
        <v>944.9</v>
      </c>
      <c r="X84" s="1">
        <f t="shared" si="6"/>
        <v>31129.299999999996</v>
      </c>
      <c r="AA84" s="1">
        <v>10.8062667827186</v>
      </c>
    </row>
    <row r="85" spans="1:27" s="1" customFormat="1" x14ac:dyDescent="0.25">
      <c r="A85" s="48"/>
      <c r="B85" s="7"/>
      <c r="C85" s="3">
        <v>41201</v>
      </c>
      <c r="D85" s="1">
        <v>16.8</v>
      </c>
      <c r="E85" s="1">
        <v>14.6</v>
      </c>
      <c r="F85" s="1">
        <v>22.3</v>
      </c>
      <c r="G85" s="1">
        <f t="shared" si="2"/>
        <v>522.59999999999991</v>
      </c>
      <c r="J85" s="1">
        <v>0</v>
      </c>
      <c r="K85" s="1">
        <f t="shared" si="3"/>
        <v>151.99999999999997</v>
      </c>
      <c r="L85" s="1">
        <v>2.5</v>
      </c>
      <c r="M85" s="1">
        <f t="shared" si="4"/>
        <v>62.200000000000017</v>
      </c>
      <c r="N85" s="1">
        <v>-2.5</v>
      </c>
      <c r="O85" s="1">
        <f t="shared" si="7"/>
        <v>106</v>
      </c>
      <c r="P85" s="1">
        <v>38</v>
      </c>
      <c r="Q85" s="1">
        <f t="shared" si="8"/>
        <v>0.52009345794392514</v>
      </c>
      <c r="R85" s="9">
        <f t="shared" si="0"/>
        <v>1.3002336448598129</v>
      </c>
      <c r="S85" s="9">
        <f t="shared" si="1"/>
        <v>-1.3002336448598129</v>
      </c>
      <c r="T85" s="9">
        <f t="shared" si="5"/>
        <v>118.13415887850466</v>
      </c>
      <c r="V85" s="1">
        <v>631.70000000000005</v>
      </c>
      <c r="X85" s="1">
        <f t="shared" si="6"/>
        <v>31760.999999999996</v>
      </c>
      <c r="AA85" s="1">
        <v>10.7517287328947</v>
      </c>
    </row>
    <row r="86" spans="1:27" s="1" customFormat="1" x14ac:dyDescent="0.25">
      <c r="A86" s="48"/>
      <c r="B86" s="7"/>
      <c r="C86" s="3">
        <v>41202</v>
      </c>
      <c r="D86" s="1">
        <v>15.8</v>
      </c>
      <c r="E86" s="1">
        <v>11.2</v>
      </c>
      <c r="F86" s="1">
        <v>21.5</v>
      </c>
      <c r="G86" s="1">
        <f t="shared" si="2"/>
        <v>538.39999999999986</v>
      </c>
      <c r="J86" s="1">
        <v>0</v>
      </c>
      <c r="K86" s="1">
        <f t="shared" si="3"/>
        <v>151.99999999999997</v>
      </c>
      <c r="L86" s="1">
        <v>1</v>
      </c>
      <c r="M86" s="1">
        <f t="shared" si="4"/>
        <v>63.200000000000017</v>
      </c>
      <c r="N86" s="1">
        <v>-1</v>
      </c>
      <c r="O86" s="1">
        <f t="shared" si="7"/>
        <v>105</v>
      </c>
      <c r="P86" s="1">
        <v>39</v>
      </c>
      <c r="Q86" s="1">
        <f t="shared" si="8"/>
        <v>0.5261682242990654</v>
      </c>
      <c r="R86" s="9">
        <f t="shared" si="0"/>
        <v>0.5261682242990654</v>
      </c>
      <c r="S86" s="9">
        <f t="shared" si="1"/>
        <v>-0.5261682242990654</v>
      </c>
      <c r="T86" s="9">
        <f t="shared" si="5"/>
        <v>117.60799065420559</v>
      </c>
      <c r="V86" s="1">
        <v>268.8</v>
      </c>
      <c r="X86" s="1">
        <f t="shared" si="6"/>
        <v>32029.799999999996</v>
      </c>
      <c r="AA86" s="1">
        <v>10.697366263090901</v>
      </c>
    </row>
    <row r="87" spans="1:27" s="1" customFormat="1" x14ac:dyDescent="0.25">
      <c r="A87" s="48"/>
      <c r="B87" s="7"/>
      <c r="C87" s="3">
        <v>41203</v>
      </c>
      <c r="D87" s="1">
        <v>15.8</v>
      </c>
      <c r="E87" s="1">
        <v>11.7</v>
      </c>
      <c r="F87" s="1">
        <v>21.2</v>
      </c>
      <c r="G87" s="1">
        <f t="shared" si="2"/>
        <v>554.19999999999982</v>
      </c>
      <c r="J87" s="1">
        <v>0</v>
      </c>
      <c r="K87" s="1">
        <f t="shared" si="3"/>
        <v>151.99999999999997</v>
      </c>
      <c r="L87" s="1">
        <v>1</v>
      </c>
      <c r="M87" s="1">
        <f t="shared" si="4"/>
        <v>64.200000000000017</v>
      </c>
      <c r="N87" s="1">
        <v>-1</v>
      </c>
      <c r="O87" s="1">
        <f t="shared" si="7"/>
        <v>104</v>
      </c>
      <c r="P87" s="1">
        <v>40</v>
      </c>
      <c r="Q87" s="1">
        <f t="shared" si="8"/>
        <v>0.53224299065420555</v>
      </c>
      <c r="R87" s="9">
        <f t="shared" si="0"/>
        <v>0.53224299065420555</v>
      </c>
      <c r="S87" s="9">
        <f t="shared" si="1"/>
        <v>-0.53224299065420555</v>
      </c>
      <c r="T87" s="9">
        <f t="shared" si="5"/>
        <v>117.07574766355138</v>
      </c>
      <c r="V87" s="1">
        <v>426.9</v>
      </c>
      <c r="X87" s="1">
        <f t="shared" si="6"/>
        <v>32456.699999999997</v>
      </c>
      <c r="AA87" s="1">
        <v>10.6431910103682</v>
      </c>
    </row>
    <row r="88" spans="1:27" s="1" customFormat="1" x14ac:dyDescent="0.25">
      <c r="A88" s="48"/>
      <c r="B88" s="7"/>
      <c r="C88" s="3">
        <v>41204</v>
      </c>
      <c r="D88" s="1">
        <v>15.8</v>
      </c>
      <c r="E88" s="1">
        <v>10.8</v>
      </c>
      <c r="F88" s="1">
        <v>22.8</v>
      </c>
      <c r="G88" s="1">
        <f t="shared" si="2"/>
        <v>569.99999999999977</v>
      </c>
      <c r="J88" s="1">
        <v>0</v>
      </c>
      <c r="K88" s="1">
        <f t="shared" si="3"/>
        <v>151.99999999999997</v>
      </c>
      <c r="L88" s="1">
        <v>1.3</v>
      </c>
      <c r="M88" s="1">
        <f t="shared" si="4"/>
        <v>65.500000000000014</v>
      </c>
      <c r="N88" s="1">
        <v>-1.3</v>
      </c>
      <c r="O88" s="1">
        <f t="shared" si="7"/>
        <v>102.7</v>
      </c>
      <c r="P88" s="1">
        <v>41</v>
      </c>
      <c r="Q88" s="1">
        <f t="shared" si="8"/>
        <v>0.53831775700934581</v>
      </c>
      <c r="R88" s="9">
        <f t="shared" si="0"/>
        <v>0.6998130841121496</v>
      </c>
      <c r="S88" s="9">
        <f t="shared" si="1"/>
        <v>-0.6998130841121496</v>
      </c>
      <c r="T88" s="9">
        <f t="shared" si="5"/>
        <v>116.37593457943923</v>
      </c>
      <c r="V88" s="1">
        <v>864.1</v>
      </c>
      <c r="X88" s="1">
        <f t="shared" si="6"/>
        <v>33320.799999999996</v>
      </c>
      <c r="AA88" s="1">
        <v>10.5892150782014</v>
      </c>
    </row>
    <row r="89" spans="1:27" s="1" customFormat="1" x14ac:dyDescent="0.25">
      <c r="A89" s="48"/>
      <c r="B89" s="7"/>
      <c r="C89" s="3">
        <v>41205</v>
      </c>
      <c r="D89" s="1">
        <v>11.2</v>
      </c>
      <c r="E89" s="1">
        <v>10.8</v>
      </c>
      <c r="F89" s="1">
        <v>11.3</v>
      </c>
      <c r="G89" s="1">
        <f t="shared" si="2"/>
        <v>581.19999999999982</v>
      </c>
      <c r="J89" s="1">
        <v>0.1</v>
      </c>
      <c r="K89" s="1">
        <f t="shared" si="3"/>
        <v>152.09999999999997</v>
      </c>
      <c r="L89" s="1">
        <v>0.7</v>
      </c>
      <c r="M89" s="1">
        <f t="shared" si="4"/>
        <v>66.200000000000017</v>
      </c>
      <c r="N89" s="1">
        <v>-0.6</v>
      </c>
      <c r="O89" s="1">
        <f t="shared" si="7"/>
        <v>102.10000000000001</v>
      </c>
      <c r="P89" s="1">
        <v>42</v>
      </c>
      <c r="Q89" s="1">
        <f t="shared" si="8"/>
        <v>0.54439252336448596</v>
      </c>
      <c r="R89" s="9">
        <f t="shared" si="0"/>
        <v>0.38107476635514015</v>
      </c>
      <c r="S89" s="9">
        <f t="shared" si="1"/>
        <v>-0.28107476635514017</v>
      </c>
      <c r="T89" s="9">
        <f t="shared" si="5"/>
        <v>116.09485981308408</v>
      </c>
      <c r="V89" s="1">
        <v>293.8</v>
      </c>
      <c r="X89" s="1">
        <f t="shared" si="6"/>
        <v>33614.6</v>
      </c>
      <c r="AA89" s="1">
        <v>10.535451052172499</v>
      </c>
    </row>
    <row r="90" spans="1:27" s="1" customFormat="1" x14ac:dyDescent="0.25">
      <c r="A90" s="48"/>
      <c r="B90" s="7"/>
      <c r="C90" s="3">
        <v>41206</v>
      </c>
      <c r="D90" s="1">
        <v>10.9</v>
      </c>
      <c r="E90" s="1">
        <v>9.8000000000000007</v>
      </c>
      <c r="F90" s="1">
        <v>12.4</v>
      </c>
      <c r="G90" s="1">
        <f t="shared" si="2"/>
        <v>592.0999999999998</v>
      </c>
      <c r="J90" s="1">
        <v>0</v>
      </c>
      <c r="K90" s="1">
        <f t="shared" si="3"/>
        <v>152.09999999999997</v>
      </c>
      <c r="L90" s="1">
        <v>0.6</v>
      </c>
      <c r="M90" s="1">
        <f t="shared" si="4"/>
        <v>66.800000000000011</v>
      </c>
      <c r="N90" s="1">
        <v>-0.6</v>
      </c>
      <c r="O90" s="1">
        <f t="shared" si="7"/>
        <v>101.50000000000001</v>
      </c>
      <c r="P90" s="1">
        <v>43</v>
      </c>
      <c r="Q90" s="1">
        <f t="shared" si="8"/>
        <v>0.55046728971962611</v>
      </c>
      <c r="R90" s="9">
        <f t="shared" si="0"/>
        <v>0.33028037383177566</v>
      </c>
      <c r="S90" s="9">
        <f t="shared" si="1"/>
        <v>-0.33028037383177566</v>
      </c>
      <c r="T90" s="9">
        <f t="shared" si="5"/>
        <v>115.76457943925232</v>
      </c>
      <c r="V90" s="1">
        <v>218.3</v>
      </c>
      <c r="X90" s="1">
        <f t="shared" si="6"/>
        <v>33832.9</v>
      </c>
      <c r="AA90" s="1">
        <v>10.4819120152137</v>
      </c>
    </row>
    <row r="91" spans="1:27" s="1" customFormat="1" x14ac:dyDescent="0.25">
      <c r="A91" s="48"/>
      <c r="B91" s="7"/>
      <c r="C91" s="3">
        <v>41207</v>
      </c>
      <c r="D91" s="1">
        <v>11.2</v>
      </c>
      <c r="E91" s="1">
        <v>9.4</v>
      </c>
      <c r="F91" s="1">
        <v>15.3</v>
      </c>
      <c r="G91" s="1">
        <f t="shared" si="2"/>
        <v>603.29999999999984</v>
      </c>
      <c r="J91" s="1">
        <v>0</v>
      </c>
      <c r="K91" s="1">
        <f t="shared" si="3"/>
        <v>152.09999999999997</v>
      </c>
      <c r="L91" s="1">
        <v>1.1000000000000001</v>
      </c>
      <c r="M91" s="1">
        <f t="shared" si="4"/>
        <v>67.900000000000006</v>
      </c>
      <c r="N91" s="1">
        <v>-1.1000000000000001</v>
      </c>
      <c r="O91" s="1">
        <f t="shared" si="7"/>
        <v>100.40000000000002</v>
      </c>
      <c r="P91" s="1">
        <v>44</v>
      </c>
      <c r="Q91" s="1">
        <f t="shared" si="8"/>
        <v>0.55654205607476637</v>
      </c>
      <c r="R91" s="9">
        <f t="shared" si="0"/>
        <v>0.61219626168224306</v>
      </c>
      <c r="S91" s="9">
        <f t="shared" si="1"/>
        <v>-0.61219626168224306</v>
      </c>
      <c r="T91" s="9">
        <f t="shared" si="5"/>
        <v>115.15238317757007</v>
      </c>
      <c r="V91" s="1">
        <v>462.5</v>
      </c>
      <c r="X91" s="1">
        <f t="shared" si="6"/>
        <v>34295.4</v>
      </c>
      <c r="AA91" s="1">
        <v>10.428611562326401</v>
      </c>
    </row>
    <row r="92" spans="1:27" s="1" customFormat="1" x14ac:dyDescent="0.25">
      <c r="A92" s="48"/>
      <c r="B92" s="7"/>
      <c r="C92" s="3">
        <v>41208</v>
      </c>
      <c r="D92" s="1">
        <v>9.6999999999999993</v>
      </c>
      <c r="E92" s="1">
        <v>8.1</v>
      </c>
      <c r="F92" s="1">
        <v>11.2</v>
      </c>
      <c r="G92" s="1">
        <f t="shared" si="2"/>
        <v>612.99999999999989</v>
      </c>
      <c r="J92" s="1">
        <v>17.899999999999999</v>
      </c>
      <c r="K92" s="1">
        <f t="shared" si="3"/>
        <v>169.99999999999997</v>
      </c>
      <c r="L92" s="1">
        <v>0.4</v>
      </c>
      <c r="M92" s="1">
        <f t="shared" si="4"/>
        <v>68.300000000000011</v>
      </c>
      <c r="N92" s="1">
        <v>17.5</v>
      </c>
      <c r="O92" s="1">
        <f t="shared" si="7"/>
        <v>117.90000000000002</v>
      </c>
      <c r="P92" s="1">
        <v>45</v>
      </c>
      <c r="Q92" s="1">
        <f t="shared" si="8"/>
        <v>0.56261682242990652</v>
      </c>
      <c r="R92" s="9">
        <f t="shared" si="0"/>
        <v>0.22504672897196262</v>
      </c>
      <c r="S92" s="9">
        <f t="shared" si="1"/>
        <v>17.674953271028038</v>
      </c>
      <c r="T92" s="9">
        <f t="shared" si="5"/>
        <v>122.1</v>
      </c>
      <c r="V92" s="1">
        <v>138</v>
      </c>
      <c r="X92" s="1">
        <f t="shared" si="6"/>
        <v>34433.4</v>
      </c>
      <c r="AA92" s="1">
        <v>10.375563814700399</v>
      </c>
    </row>
    <row r="93" spans="1:27" s="1" customFormat="1" x14ac:dyDescent="0.25">
      <c r="A93" s="48"/>
      <c r="B93" s="7"/>
      <c r="C93" s="3">
        <v>41209</v>
      </c>
      <c r="D93" s="1">
        <v>4.0999999999999996</v>
      </c>
      <c r="E93" s="1">
        <v>3.1</v>
      </c>
      <c r="F93" s="1">
        <v>5.2</v>
      </c>
      <c r="G93" s="1">
        <f t="shared" si="2"/>
        <v>617.09999999999991</v>
      </c>
      <c r="J93" s="1">
        <v>0.3</v>
      </c>
      <c r="K93" s="1">
        <f t="shared" si="3"/>
        <v>170.29999999999998</v>
      </c>
      <c r="L93" s="1">
        <v>0.8</v>
      </c>
      <c r="M93" s="1">
        <f t="shared" si="4"/>
        <v>69.100000000000009</v>
      </c>
      <c r="N93" s="1">
        <v>-0.5</v>
      </c>
      <c r="O93" s="1">
        <f t="shared" si="7"/>
        <v>117.40000000000002</v>
      </c>
      <c r="P93" s="1">
        <v>46</v>
      </c>
      <c r="Q93" s="1">
        <f t="shared" si="8"/>
        <v>0.56869158878504666</v>
      </c>
      <c r="R93" s="9">
        <f t="shared" si="0"/>
        <v>0.45495327102803734</v>
      </c>
      <c r="S93" s="9">
        <f t="shared" si="1"/>
        <v>-0.15495327102803735</v>
      </c>
      <c r="T93" s="9">
        <f t="shared" si="5"/>
        <v>121.94504672897196</v>
      </c>
      <c r="V93" s="1">
        <v>199.6</v>
      </c>
      <c r="X93" s="1">
        <f t="shared" si="6"/>
        <v>34633</v>
      </c>
      <c r="AA93" s="1">
        <v>10.3227834331477</v>
      </c>
    </row>
    <row r="94" spans="1:27" s="1" customFormat="1" x14ac:dyDescent="0.25">
      <c r="A94" s="48"/>
      <c r="B94" s="7"/>
      <c r="C94" s="3">
        <v>41210</v>
      </c>
      <c r="D94" s="1">
        <v>2.2000000000000002</v>
      </c>
      <c r="E94" s="1">
        <v>0.8</v>
      </c>
      <c r="F94" s="1">
        <v>6.1</v>
      </c>
      <c r="G94" s="1">
        <f t="shared" si="2"/>
        <v>619.29999999999995</v>
      </c>
      <c r="J94" s="1">
        <v>0</v>
      </c>
      <c r="K94" s="1">
        <f t="shared" si="3"/>
        <v>170.29999999999998</v>
      </c>
      <c r="L94" s="1">
        <v>1.8</v>
      </c>
      <c r="M94" s="1">
        <f t="shared" si="4"/>
        <v>70.900000000000006</v>
      </c>
      <c r="N94" s="1">
        <v>-1.8</v>
      </c>
      <c r="O94" s="1">
        <f t="shared" si="7"/>
        <v>115.60000000000002</v>
      </c>
      <c r="P94" s="1">
        <v>47</v>
      </c>
      <c r="Q94" s="1">
        <f t="shared" si="8"/>
        <v>0.57476635514018692</v>
      </c>
      <c r="R94" s="9">
        <f t="shared" si="0"/>
        <v>1.0345794392523364</v>
      </c>
      <c r="S94" s="9">
        <f t="shared" si="1"/>
        <v>-1.0345794392523364</v>
      </c>
      <c r="T94" s="9">
        <f t="shared" si="5"/>
        <v>120.91046728971962</v>
      </c>
      <c r="V94" s="1">
        <v>636.9</v>
      </c>
      <c r="X94" s="1">
        <f t="shared" si="6"/>
        <v>35269.9</v>
      </c>
      <c r="AA94" s="1">
        <v>10.2702856307623</v>
      </c>
    </row>
    <row r="95" spans="1:27" s="1" customFormat="1" x14ac:dyDescent="0.25">
      <c r="A95" s="48"/>
      <c r="B95" s="7"/>
      <c r="C95" s="3">
        <v>41211</v>
      </c>
      <c r="D95" s="1">
        <v>1</v>
      </c>
      <c r="E95" s="1">
        <v>-4.0999999999999996</v>
      </c>
      <c r="F95" s="1">
        <v>7.8</v>
      </c>
      <c r="G95" s="1">
        <f t="shared" si="2"/>
        <v>620.29999999999995</v>
      </c>
      <c r="J95" s="1">
        <v>0</v>
      </c>
      <c r="K95" s="1">
        <f t="shared" si="3"/>
        <v>170.29999999999998</v>
      </c>
      <c r="L95" s="1">
        <v>0.6</v>
      </c>
      <c r="M95" s="1">
        <f t="shared" si="4"/>
        <v>71.5</v>
      </c>
      <c r="N95" s="1">
        <v>-0.6</v>
      </c>
      <c r="O95" s="1">
        <f t="shared" si="7"/>
        <v>115.00000000000003</v>
      </c>
      <c r="P95" s="1">
        <v>48</v>
      </c>
      <c r="Q95" s="1">
        <f t="shared" si="8"/>
        <v>0.58084112149532707</v>
      </c>
      <c r="R95" s="9">
        <f t="shared" si="0"/>
        <v>0.34850467289719622</v>
      </c>
      <c r="S95" s="9">
        <f t="shared" si="1"/>
        <v>-0.34850467289719622</v>
      </c>
      <c r="T95" s="9">
        <f t="shared" si="5"/>
        <v>120.56196261682243</v>
      </c>
      <c r="V95" s="1">
        <v>544.5</v>
      </c>
      <c r="X95" s="1">
        <f t="shared" si="6"/>
        <v>35814.400000000001</v>
      </c>
      <c r="AA95" s="1">
        <v>10.218086184709801</v>
      </c>
    </row>
    <row r="96" spans="1:27" s="1" customFormat="1" x14ac:dyDescent="0.25">
      <c r="A96" s="48"/>
      <c r="B96" s="7"/>
      <c r="C96" s="3">
        <v>41212</v>
      </c>
      <c r="D96" s="1">
        <v>2.2999999999999998</v>
      </c>
      <c r="E96" s="1">
        <v>-1.9</v>
      </c>
      <c r="F96" s="1">
        <v>10.1</v>
      </c>
      <c r="G96" s="1">
        <f t="shared" si="2"/>
        <v>622.59999999999991</v>
      </c>
      <c r="J96" s="1">
        <v>0</v>
      </c>
      <c r="K96" s="1">
        <f t="shared" si="3"/>
        <v>170.29999999999998</v>
      </c>
      <c r="L96" s="1">
        <v>1.1000000000000001</v>
      </c>
      <c r="M96" s="1">
        <f t="shared" si="4"/>
        <v>72.599999999999994</v>
      </c>
      <c r="N96" s="1">
        <v>-1.1000000000000001</v>
      </c>
      <c r="O96" s="1">
        <f t="shared" si="7"/>
        <v>113.90000000000003</v>
      </c>
      <c r="P96" s="1">
        <v>49</v>
      </c>
      <c r="Q96" s="1">
        <f t="shared" si="8"/>
        <v>0.58691588785046722</v>
      </c>
      <c r="R96" s="9">
        <f t="shared" si="0"/>
        <v>0.64560747663551399</v>
      </c>
      <c r="S96" s="9">
        <f t="shared" si="1"/>
        <v>-0.64560747663551399</v>
      </c>
      <c r="T96" s="9">
        <f t="shared" si="5"/>
        <v>119.91635514018691</v>
      </c>
      <c r="V96" s="1">
        <v>976</v>
      </c>
      <c r="X96" s="1">
        <f t="shared" si="6"/>
        <v>36790.400000000001</v>
      </c>
      <c r="AA96" s="1">
        <v>10.166201447045999</v>
      </c>
    </row>
    <row r="97" spans="1:27" s="1" customFormat="1" x14ac:dyDescent="0.25">
      <c r="A97" s="48"/>
      <c r="B97" s="7"/>
      <c r="C97" s="3">
        <v>41213</v>
      </c>
      <c r="D97" s="1">
        <v>2.8</v>
      </c>
      <c r="E97" s="1">
        <v>-2.8</v>
      </c>
      <c r="F97" s="1">
        <v>8.3000000000000007</v>
      </c>
      <c r="G97" s="1">
        <f t="shared" si="2"/>
        <v>625.39999999999986</v>
      </c>
      <c r="J97" s="1">
        <v>0</v>
      </c>
      <c r="K97" s="1">
        <f t="shared" si="3"/>
        <v>170.29999999999998</v>
      </c>
      <c r="L97" s="1">
        <v>0.5</v>
      </c>
      <c r="M97" s="1">
        <f t="shared" si="4"/>
        <v>73.099999999999994</v>
      </c>
      <c r="N97" s="1">
        <v>-0.5</v>
      </c>
      <c r="O97" s="1">
        <f t="shared" si="7"/>
        <v>113.40000000000003</v>
      </c>
      <c r="P97" s="1">
        <v>50</v>
      </c>
      <c r="Q97" s="1">
        <f t="shared" si="8"/>
        <v>0.59299065420560748</v>
      </c>
      <c r="R97" s="9">
        <f t="shared" si="0"/>
        <v>0.29649532710280374</v>
      </c>
      <c r="S97" s="9">
        <f t="shared" si="1"/>
        <v>-0.29649532710280374</v>
      </c>
      <c r="T97" s="9">
        <f t="shared" si="5"/>
        <v>119.6198598130841</v>
      </c>
      <c r="V97" s="1">
        <v>545.6</v>
      </c>
      <c r="X97" s="1">
        <f t="shared" si="6"/>
        <v>37336</v>
      </c>
      <c r="AA97" s="1">
        <v>10.114648354455101</v>
      </c>
    </row>
    <row r="98" spans="1:27" s="1" customFormat="1" x14ac:dyDescent="0.25">
      <c r="A98" s="48"/>
      <c r="B98" s="7"/>
      <c r="C98" s="3">
        <v>41214</v>
      </c>
      <c r="D98" s="1">
        <v>6</v>
      </c>
      <c r="E98" s="1">
        <v>2.2999999999999998</v>
      </c>
      <c r="F98" s="1">
        <v>9</v>
      </c>
      <c r="G98" s="1">
        <f t="shared" si="2"/>
        <v>631.39999999999986</v>
      </c>
      <c r="J98" s="1">
        <v>3.2</v>
      </c>
      <c r="K98" s="1">
        <f t="shared" si="3"/>
        <v>173.49999999999997</v>
      </c>
      <c r="L98" s="1">
        <v>0.5</v>
      </c>
      <c r="M98" s="1">
        <f t="shared" si="4"/>
        <v>73.599999999999994</v>
      </c>
      <c r="N98" s="1">
        <v>2.7</v>
      </c>
      <c r="O98" s="1">
        <f t="shared" si="7"/>
        <v>116.10000000000004</v>
      </c>
      <c r="P98" s="1">
        <v>51</v>
      </c>
      <c r="Q98" s="1">
        <f t="shared" si="8"/>
        <v>0.59906542056074763</v>
      </c>
      <c r="R98" s="9">
        <f t="shared" si="0"/>
        <v>0.29953271028037382</v>
      </c>
      <c r="S98" s="9">
        <f t="shared" si="1"/>
        <v>2.9004672897196264</v>
      </c>
      <c r="T98" s="9">
        <f t="shared" si="5"/>
        <v>122.1</v>
      </c>
      <c r="V98" s="1">
        <v>165.3</v>
      </c>
      <c r="X98" s="1">
        <f t="shared" si="6"/>
        <v>37501.300000000003</v>
      </c>
      <c r="AA98" s="1">
        <v>10.0634444367965</v>
      </c>
    </row>
    <row r="99" spans="1:27" s="1" customFormat="1" x14ac:dyDescent="0.25">
      <c r="A99" s="48"/>
      <c r="B99" s="7"/>
      <c r="C99" s="3">
        <v>41215</v>
      </c>
      <c r="D99" s="1">
        <v>9.8000000000000007</v>
      </c>
      <c r="E99" s="1">
        <v>6.7</v>
      </c>
      <c r="F99" s="1">
        <v>12.3</v>
      </c>
      <c r="G99" s="1">
        <f t="shared" si="2"/>
        <v>641.19999999999982</v>
      </c>
      <c r="J99" s="1">
        <v>12.2</v>
      </c>
      <c r="K99" s="1">
        <f t="shared" si="3"/>
        <v>185.69999999999996</v>
      </c>
      <c r="L99" s="1">
        <v>1.4</v>
      </c>
      <c r="M99" s="1">
        <f t="shared" si="4"/>
        <v>75</v>
      </c>
      <c r="N99" s="1">
        <v>10.799999999999999</v>
      </c>
      <c r="O99" s="1">
        <v>122.1</v>
      </c>
      <c r="P99" s="1">
        <v>52</v>
      </c>
      <c r="Q99" s="1">
        <f t="shared" si="8"/>
        <v>0.60514018691588789</v>
      </c>
      <c r="R99" s="9">
        <f t="shared" si="0"/>
        <v>0.84719626168224305</v>
      </c>
      <c r="S99" s="9">
        <f t="shared" si="1"/>
        <v>11.352803738317757</v>
      </c>
      <c r="T99" s="9">
        <f t="shared" si="5"/>
        <v>122.1</v>
      </c>
      <c r="V99" s="1">
        <v>205.2</v>
      </c>
      <c r="X99" s="1">
        <f t="shared" si="6"/>
        <v>37706.5</v>
      </c>
      <c r="AA99" s="1">
        <v>10.0126078243393</v>
      </c>
    </row>
    <row r="100" spans="1:27" s="1" customFormat="1" x14ac:dyDescent="0.25">
      <c r="A100" s="48"/>
      <c r="B100" s="7"/>
      <c r="C100" s="3">
        <v>41216</v>
      </c>
      <c r="D100" s="1">
        <v>13.5</v>
      </c>
      <c r="E100" s="1">
        <v>10</v>
      </c>
      <c r="F100" s="1">
        <v>17.2</v>
      </c>
      <c r="G100" s="1">
        <f t="shared" si="2"/>
        <v>654.69999999999982</v>
      </c>
      <c r="J100" s="1">
        <v>7.7</v>
      </c>
      <c r="K100" s="1">
        <f t="shared" si="3"/>
        <v>193.39999999999995</v>
      </c>
      <c r="L100" s="1">
        <v>2</v>
      </c>
      <c r="M100" s="1">
        <f t="shared" si="4"/>
        <v>77</v>
      </c>
      <c r="N100" s="1">
        <v>5.7</v>
      </c>
      <c r="O100" s="1">
        <v>122.1</v>
      </c>
      <c r="P100" s="1">
        <v>53</v>
      </c>
      <c r="Q100" s="1">
        <f t="shared" si="8"/>
        <v>0.61121495327102804</v>
      </c>
      <c r="R100" s="9">
        <f t="shared" si="0"/>
        <v>1.2224299065420561</v>
      </c>
      <c r="S100" s="9">
        <f t="shared" si="1"/>
        <v>6.4775700934579437</v>
      </c>
      <c r="T100" s="9">
        <f t="shared" si="5"/>
        <v>122.1</v>
      </c>
      <c r="V100" s="1">
        <v>183.1</v>
      </c>
      <c r="X100" s="1">
        <f t="shared" si="6"/>
        <v>37889.599999999999</v>
      </c>
      <c r="AA100" s="1">
        <v>9.9621572535609193</v>
      </c>
    </row>
    <row r="101" spans="1:27" s="1" customFormat="1" x14ac:dyDescent="0.25">
      <c r="A101" s="48"/>
      <c r="B101" s="7"/>
      <c r="C101" s="3">
        <v>41217</v>
      </c>
      <c r="D101" s="1">
        <v>10.5</v>
      </c>
      <c r="E101" s="1">
        <v>8.6999999999999993</v>
      </c>
      <c r="F101" s="1">
        <v>13.9</v>
      </c>
      <c r="G101" s="1">
        <f t="shared" si="2"/>
        <v>665.19999999999982</v>
      </c>
      <c r="J101" s="1">
        <v>8.5</v>
      </c>
      <c r="K101" s="1">
        <f t="shared" si="3"/>
        <v>201.89999999999995</v>
      </c>
      <c r="L101" s="1">
        <v>0.6</v>
      </c>
      <c r="M101" s="1">
        <f t="shared" si="4"/>
        <v>77.599999999999994</v>
      </c>
      <c r="N101" s="1">
        <v>7.9</v>
      </c>
      <c r="O101" s="1">
        <v>122.1</v>
      </c>
      <c r="P101" s="1">
        <v>54</v>
      </c>
      <c r="Q101" s="1">
        <f t="shared" si="8"/>
        <v>0.61728971962616819</v>
      </c>
      <c r="R101" s="9">
        <f t="shared" si="0"/>
        <v>0.37037383177570088</v>
      </c>
      <c r="S101" s="9">
        <f t="shared" si="1"/>
        <v>8.1296261682242985</v>
      </c>
      <c r="T101" s="9">
        <f t="shared" si="5"/>
        <v>122.1</v>
      </c>
      <c r="V101" s="1">
        <v>270.8</v>
      </c>
      <c r="X101" s="1">
        <f t="shared" si="6"/>
        <v>38160.400000000001</v>
      </c>
      <c r="AA101" s="1">
        <v>9.9121120713802107</v>
      </c>
    </row>
    <row r="102" spans="1:27" s="1" customFormat="1" x14ac:dyDescent="0.25">
      <c r="A102" s="48"/>
      <c r="B102" s="7"/>
      <c r="C102" s="3">
        <v>41218</v>
      </c>
      <c r="D102" s="1">
        <v>7.9</v>
      </c>
      <c r="E102" s="1">
        <v>5.9</v>
      </c>
      <c r="F102" s="1">
        <v>10.3</v>
      </c>
      <c r="G102" s="1">
        <f t="shared" si="2"/>
        <v>673.0999999999998</v>
      </c>
      <c r="J102" s="1">
        <v>4.2</v>
      </c>
      <c r="K102" s="1">
        <f t="shared" si="3"/>
        <v>206.09999999999994</v>
      </c>
      <c r="L102" s="1">
        <v>0.5</v>
      </c>
      <c r="M102" s="1">
        <f t="shared" si="4"/>
        <v>78.099999999999994</v>
      </c>
      <c r="N102" s="1">
        <v>3.7</v>
      </c>
      <c r="O102" s="1">
        <v>122.1</v>
      </c>
      <c r="P102" s="1">
        <v>55</v>
      </c>
      <c r="Q102" s="1">
        <f t="shared" si="8"/>
        <v>0.62336448598130834</v>
      </c>
      <c r="R102" s="9">
        <f t="shared" si="0"/>
        <v>0.31168224299065417</v>
      </c>
      <c r="S102" s="9">
        <f t="shared" si="1"/>
        <v>3.8883177570093461</v>
      </c>
      <c r="T102" s="9">
        <f t="shared" si="5"/>
        <v>122.1</v>
      </c>
      <c r="V102" s="1">
        <v>161.6</v>
      </c>
      <c r="X102" s="1">
        <f t="shared" si="6"/>
        <v>38322</v>
      </c>
      <c r="AA102" s="1">
        <v>9.8624922376918391</v>
      </c>
    </row>
    <row r="103" spans="1:27" s="1" customFormat="1" x14ac:dyDescent="0.25">
      <c r="A103" s="48"/>
      <c r="B103" s="7"/>
      <c r="C103" s="3">
        <v>41219</v>
      </c>
      <c r="D103" s="1">
        <v>5.7</v>
      </c>
      <c r="E103" s="1">
        <v>4.7</v>
      </c>
      <c r="F103" s="1">
        <v>9.3000000000000007</v>
      </c>
      <c r="G103" s="1">
        <f t="shared" si="2"/>
        <v>678.79999999999984</v>
      </c>
      <c r="J103" s="1">
        <v>0.2</v>
      </c>
      <c r="K103" s="1">
        <f t="shared" si="3"/>
        <v>206.29999999999993</v>
      </c>
      <c r="L103" s="1">
        <v>0.5</v>
      </c>
      <c r="M103" s="1">
        <f t="shared" si="4"/>
        <v>78.599999999999994</v>
      </c>
      <c r="N103" s="1">
        <v>-0.3</v>
      </c>
      <c r="O103" s="1">
        <f>O102+N103</f>
        <v>121.8</v>
      </c>
      <c r="P103" s="1">
        <v>56</v>
      </c>
      <c r="Q103" s="1">
        <f t="shared" si="8"/>
        <v>0.6294392523364486</v>
      </c>
      <c r="R103" s="9">
        <f t="shared" si="0"/>
        <v>0.3147196261682243</v>
      </c>
      <c r="S103" s="9">
        <f t="shared" si="1"/>
        <v>-0.11471962616822429</v>
      </c>
      <c r="T103" s="9">
        <f t="shared" si="5"/>
        <v>121.98528037383177</v>
      </c>
      <c r="V103" s="1">
        <v>450.5</v>
      </c>
      <c r="X103" s="1">
        <f t="shared" si="6"/>
        <v>38772.5</v>
      </c>
      <c r="AA103" s="1">
        <v>9.8133183260629799</v>
      </c>
    </row>
    <row r="104" spans="1:27" s="1" customFormat="1" x14ac:dyDescent="0.25">
      <c r="A104" s="48"/>
      <c r="B104" s="7"/>
      <c r="C104" s="3">
        <v>41220</v>
      </c>
      <c r="D104" s="1">
        <v>4.9000000000000004</v>
      </c>
      <c r="E104" s="1">
        <v>1.6</v>
      </c>
      <c r="F104" s="1">
        <v>8.5</v>
      </c>
      <c r="G104" s="1">
        <f t="shared" si="2"/>
        <v>683.69999999999982</v>
      </c>
      <c r="J104" s="1">
        <v>0</v>
      </c>
      <c r="K104" s="1">
        <f t="shared" si="3"/>
        <v>206.29999999999993</v>
      </c>
      <c r="L104" s="1">
        <v>0.3</v>
      </c>
      <c r="M104" s="1">
        <f t="shared" si="4"/>
        <v>78.899999999999991</v>
      </c>
      <c r="N104" s="1">
        <v>-0.3</v>
      </c>
      <c r="O104" s="1">
        <f>O103+N104</f>
        <v>121.5</v>
      </c>
      <c r="P104" s="1">
        <v>57</v>
      </c>
      <c r="Q104" s="1">
        <f t="shared" si="8"/>
        <v>0.63551401869158874</v>
      </c>
      <c r="R104" s="9">
        <f t="shared" si="0"/>
        <v>0.19065420560747662</v>
      </c>
      <c r="S104" s="9">
        <f t="shared" si="1"/>
        <v>-0.19065420560747662</v>
      </c>
      <c r="T104" s="9">
        <f t="shared" si="5"/>
        <v>121.7946261682243</v>
      </c>
      <c r="V104" s="1">
        <v>178.7</v>
      </c>
      <c r="X104" s="1">
        <f t="shared" si="6"/>
        <v>38951.199999999997</v>
      </c>
      <c r="AA104" s="1">
        <v>9.7646115224518102</v>
      </c>
    </row>
    <row r="105" spans="1:27" s="1" customFormat="1" x14ac:dyDescent="0.25">
      <c r="A105" s="48"/>
      <c r="B105" s="7"/>
      <c r="C105" s="3">
        <v>41221</v>
      </c>
      <c r="D105" s="1">
        <v>4</v>
      </c>
      <c r="E105" s="1">
        <v>1.7</v>
      </c>
      <c r="F105" s="1">
        <v>6.4</v>
      </c>
      <c r="G105" s="1">
        <f t="shared" si="2"/>
        <v>687.69999999999982</v>
      </c>
      <c r="J105" s="1">
        <v>0</v>
      </c>
      <c r="K105" s="1">
        <f t="shared" si="3"/>
        <v>206.29999999999993</v>
      </c>
      <c r="L105" s="1">
        <v>0.3</v>
      </c>
      <c r="M105" s="1">
        <f t="shared" si="4"/>
        <v>79.199999999999989</v>
      </c>
      <c r="N105" s="1">
        <v>-0.3</v>
      </c>
      <c r="O105" s="1">
        <f>O104+N105</f>
        <v>121.2</v>
      </c>
      <c r="P105" s="1">
        <v>58</v>
      </c>
      <c r="Q105" s="1">
        <f t="shared" si="8"/>
        <v>0.641588785046729</v>
      </c>
      <c r="R105" s="9">
        <f t="shared" si="0"/>
        <v>0.1924766355140187</v>
      </c>
      <c r="S105" s="9">
        <f t="shared" si="1"/>
        <v>-0.1924766355140187</v>
      </c>
      <c r="T105" s="9">
        <f t="shared" si="5"/>
        <v>121.60214953271029</v>
      </c>
      <c r="V105" s="1">
        <v>259.89999999999998</v>
      </c>
      <c r="X105" s="1">
        <f t="shared" si="6"/>
        <v>39211.1</v>
      </c>
      <c r="AA105" s="1">
        <v>9.7163936218036895</v>
      </c>
    </row>
    <row r="106" spans="1:27" s="1" customFormat="1" x14ac:dyDescent="0.25">
      <c r="A106" s="48"/>
      <c r="B106" s="7"/>
      <c r="C106" s="3">
        <v>41222</v>
      </c>
      <c r="D106" s="1">
        <v>4.5999999999999996</v>
      </c>
      <c r="E106" s="1">
        <v>0.7</v>
      </c>
      <c r="F106" s="1">
        <v>10.6</v>
      </c>
      <c r="G106" s="1">
        <f t="shared" si="2"/>
        <v>692.29999999999984</v>
      </c>
      <c r="J106" s="1">
        <v>6.5</v>
      </c>
      <c r="K106" s="1">
        <f t="shared" si="3"/>
        <v>212.79999999999993</v>
      </c>
      <c r="L106" s="1">
        <v>0.7</v>
      </c>
      <c r="M106" s="1">
        <f t="shared" si="4"/>
        <v>79.899999999999991</v>
      </c>
      <c r="N106" s="1">
        <v>5.8</v>
      </c>
      <c r="O106" s="1">
        <v>122.1</v>
      </c>
      <c r="P106" s="1">
        <v>59</v>
      </c>
      <c r="Q106" s="1">
        <f t="shared" si="8"/>
        <v>0.64766355140186915</v>
      </c>
      <c r="R106" s="9">
        <f t="shared" si="0"/>
        <v>0.45336448598130835</v>
      </c>
      <c r="S106" s="9">
        <f t="shared" si="1"/>
        <v>6.0466355140186918</v>
      </c>
      <c r="T106" s="9">
        <f t="shared" si="5"/>
        <v>122.1</v>
      </c>
      <c r="V106" s="1">
        <v>392.2</v>
      </c>
      <c r="X106" s="1">
        <f t="shared" si="6"/>
        <v>39603.299999999996</v>
      </c>
      <c r="AA106" s="1">
        <v>9.6686870223797605</v>
      </c>
    </row>
    <row r="107" spans="1:27" s="1" customFormat="1" x14ac:dyDescent="0.25">
      <c r="A107" s="48"/>
      <c r="B107" s="7"/>
      <c r="C107" s="3">
        <v>41223</v>
      </c>
      <c r="D107" s="1">
        <v>10.9</v>
      </c>
      <c r="E107" s="1">
        <v>7.2</v>
      </c>
      <c r="F107" s="1">
        <v>12.1</v>
      </c>
      <c r="G107" s="1">
        <f t="shared" si="2"/>
        <v>703.19999999999982</v>
      </c>
      <c r="J107" s="1">
        <v>12.1</v>
      </c>
      <c r="K107" s="1">
        <f t="shared" si="3"/>
        <v>224.89999999999992</v>
      </c>
      <c r="L107" s="1">
        <v>0.2</v>
      </c>
      <c r="M107" s="1">
        <f t="shared" si="4"/>
        <v>80.099999999999994</v>
      </c>
      <c r="N107" s="1">
        <v>11.9</v>
      </c>
      <c r="O107" s="1">
        <v>122.1</v>
      </c>
      <c r="P107" s="1">
        <v>60</v>
      </c>
      <c r="Q107" s="1">
        <f t="shared" si="8"/>
        <v>0.6537383177570093</v>
      </c>
      <c r="R107" s="9">
        <f t="shared" si="0"/>
        <v>0.13074766355140185</v>
      </c>
      <c r="S107" s="9">
        <f t="shared" si="1"/>
        <v>11.969252336448598</v>
      </c>
      <c r="T107" s="9">
        <f t="shared" si="5"/>
        <v>122.1</v>
      </c>
      <c r="V107" s="1">
        <v>123.2</v>
      </c>
      <c r="X107" s="1">
        <f t="shared" si="6"/>
        <v>39726.499999999993</v>
      </c>
      <c r="AA107" s="1">
        <v>9.6215147176715501</v>
      </c>
    </row>
    <row r="108" spans="1:27" s="1" customFormat="1" x14ac:dyDescent="0.25">
      <c r="A108" s="48"/>
      <c r="B108" s="7"/>
      <c r="C108" s="3">
        <v>41224</v>
      </c>
      <c r="D108" s="1">
        <v>8.6999999999999993</v>
      </c>
      <c r="E108" s="1">
        <v>7.3</v>
      </c>
      <c r="F108" s="1">
        <v>10.4</v>
      </c>
      <c r="G108" s="1">
        <f t="shared" si="2"/>
        <v>711.89999999999986</v>
      </c>
      <c r="J108" s="1">
        <v>0</v>
      </c>
      <c r="K108" s="1">
        <f t="shared" si="3"/>
        <v>224.89999999999992</v>
      </c>
      <c r="L108" s="1">
        <v>0.4</v>
      </c>
      <c r="M108" s="1">
        <f t="shared" si="4"/>
        <v>80.5</v>
      </c>
      <c r="N108" s="1">
        <v>-0.4</v>
      </c>
      <c r="O108" s="1">
        <f t="shared" ref="O108:O121" si="9">O107+N108</f>
        <v>121.69999999999999</v>
      </c>
      <c r="P108" s="1">
        <v>61</v>
      </c>
      <c r="Q108" s="1">
        <f t="shared" si="8"/>
        <v>0.65981308411214945</v>
      </c>
      <c r="R108" s="9">
        <f t="shared" si="0"/>
        <v>0.26392523364485981</v>
      </c>
      <c r="S108" s="9">
        <f t="shared" si="1"/>
        <v>-0.26392523364485981</v>
      </c>
      <c r="T108" s="9">
        <f t="shared" si="5"/>
        <v>121.83607476635514</v>
      </c>
      <c r="V108" s="1">
        <v>482.1</v>
      </c>
      <c r="X108" s="1">
        <f t="shared" si="6"/>
        <v>40208.599999999991</v>
      </c>
      <c r="AA108" s="1">
        <v>9.5749002857564101</v>
      </c>
    </row>
    <row r="109" spans="1:27" s="1" customFormat="1" x14ac:dyDescent="0.25">
      <c r="A109" s="48"/>
      <c r="B109" s="7"/>
      <c r="C109" s="3">
        <v>41225</v>
      </c>
      <c r="D109" s="1">
        <v>4.7</v>
      </c>
      <c r="E109" s="1">
        <v>1.7</v>
      </c>
      <c r="F109" s="1">
        <v>7.4</v>
      </c>
      <c r="G109" s="1">
        <f t="shared" si="2"/>
        <v>716.59999999999991</v>
      </c>
      <c r="J109" s="1">
        <v>0</v>
      </c>
      <c r="K109" s="1">
        <f t="shared" si="3"/>
        <v>224.89999999999992</v>
      </c>
      <c r="L109" s="1">
        <v>0.2</v>
      </c>
      <c r="M109" s="1">
        <f t="shared" si="4"/>
        <v>80.7</v>
      </c>
      <c r="N109" s="1">
        <v>-0.2</v>
      </c>
      <c r="O109" s="1">
        <f t="shared" si="9"/>
        <v>121.49999999999999</v>
      </c>
      <c r="P109" s="1">
        <v>62</v>
      </c>
      <c r="Q109" s="1">
        <f t="shared" si="8"/>
        <v>0.66588785046728971</v>
      </c>
      <c r="R109" s="9">
        <f t="shared" si="0"/>
        <v>0.13317757009345796</v>
      </c>
      <c r="S109" s="9">
        <f t="shared" si="1"/>
        <v>-0.13317757009345796</v>
      </c>
      <c r="T109" s="9">
        <f t="shared" si="5"/>
        <v>121.70289719626169</v>
      </c>
      <c r="V109" s="1">
        <v>314</v>
      </c>
      <c r="X109" s="1">
        <f t="shared" si="6"/>
        <v>40522.599999999991</v>
      </c>
      <c r="AA109" s="1">
        <v>9.52886787594983</v>
      </c>
    </row>
    <row r="110" spans="1:27" s="1" customFormat="1" x14ac:dyDescent="0.25">
      <c r="A110" s="48"/>
      <c r="B110" s="7"/>
      <c r="C110" s="3">
        <v>41226</v>
      </c>
      <c r="D110" s="1">
        <v>5.3</v>
      </c>
      <c r="E110" s="1">
        <v>2.7</v>
      </c>
      <c r="F110" s="1">
        <v>7.9</v>
      </c>
      <c r="G110" s="1">
        <f t="shared" si="2"/>
        <v>721.89999999999986</v>
      </c>
      <c r="J110" s="1">
        <v>0</v>
      </c>
      <c r="K110" s="1">
        <f t="shared" si="3"/>
        <v>224.89999999999992</v>
      </c>
      <c r="L110" s="1">
        <v>0.6</v>
      </c>
      <c r="M110" s="1">
        <f t="shared" si="4"/>
        <v>81.3</v>
      </c>
      <c r="N110" s="1">
        <v>-0.6</v>
      </c>
      <c r="O110" s="1">
        <f t="shared" si="9"/>
        <v>120.89999999999999</v>
      </c>
      <c r="P110" s="1">
        <v>63</v>
      </c>
      <c r="Q110" s="1">
        <f t="shared" si="8"/>
        <v>0.67196261682242997</v>
      </c>
      <c r="R110" s="9">
        <f t="shared" si="0"/>
        <v>0.40317757009345795</v>
      </c>
      <c r="S110" s="9">
        <f t="shared" si="1"/>
        <v>-0.40317757009345795</v>
      </c>
      <c r="T110" s="9">
        <f t="shared" si="5"/>
        <v>121.29971962616823</v>
      </c>
      <c r="V110" s="1">
        <v>430.3</v>
      </c>
      <c r="X110" s="1">
        <f t="shared" si="6"/>
        <v>40952.899999999994</v>
      </c>
      <c r="AA110" s="1">
        <v>9.4834421926144294</v>
      </c>
    </row>
    <row r="111" spans="1:27" s="1" customFormat="1" x14ac:dyDescent="0.25">
      <c r="A111" s="48"/>
      <c r="B111" s="7"/>
      <c r="C111" s="3">
        <v>41227</v>
      </c>
      <c r="D111" s="1">
        <v>4.7</v>
      </c>
      <c r="E111" s="1">
        <v>4.3</v>
      </c>
      <c r="F111" s="1">
        <v>5</v>
      </c>
      <c r="G111" s="1">
        <f t="shared" si="2"/>
        <v>726.59999999999991</v>
      </c>
      <c r="J111" s="1">
        <v>0</v>
      </c>
      <c r="K111" s="1">
        <f t="shared" si="3"/>
        <v>224.89999999999992</v>
      </c>
      <c r="L111" s="1">
        <v>0.7</v>
      </c>
      <c r="M111" s="1">
        <f t="shared" si="4"/>
        <v>82</v>
      </c>
      <c r="N111" s="1">
        <v>-0.7</v>
      </c>
      <c r="O111" s="1">
        <f t="shared" si="9"/>
        <v>120.19999999999999</v>
      </c>
      <c r="P111" s="1">
        <v>64</v>
      </c>
      <c r="Q111" s="1">
        <f t="shared" si="8"/>
        <v>0.67803738317757012</v>
      </c>
      <c r="R111" s="9">
        <f t="shared" si="0"/>
        <v>0.47462616822429904</v>
      </c>
      <c r="S111" s="9">
        <f t="shared" si="1"/>
        <v>-0.47462616822429904</v>
      </c>
      <c r="T111" s="9">
        <f t="shared" si="5"/>
        <v>120.82509345794392</v>
      </c>
      <c r="V111" s="1">
        <v>293.2</v>
      </c>
      <c r="X111" s="1">
        <f t="shared" si="6"/>
        <v>41246.099999999991</v>
      </c>
      <c r="AA111" s="1">
        <v>9.4386484759901403</v>
      </c>
    </row>
    <row r="112" spans="1:27" s="1" customFormat="1" x14ac:dyDescent="0.25">
      <c r="A112" s="48"/>
      <c r="B112" s="7"/>
      <c r="C112" s="3">
        <v>41228</v>
      </c>
      <c r="D112" s="1">
        <v>4</v>
      </c>
      <c r="E112" s="1">
        <v>3.1</v>
      </c>
      <c r="F112" s="1">
        <v>4.9000000000000004</v>
      </c>
      <c r="G112" s="1">
        <f t="shared" si="2"/>
        <v>730.59999999999991</v>
      </c>
      <c r="J112" s="1">
        <v>0.3</v>
      </c>
      <c r="K112" s="1">
        <f t="shared" si="3"/>
        <v>225.19999999999993</v>
      </c>
      <c r="L112" s="1">
        <v>0.6</v>
      </c>
      <c r="M112" s="1">
        <f t="shared" si="4"/>
        <v>82.6</v>
      </c>
      <c r="N112" s="1">
        <v>-0.3</v>
      </c>
      <c r="O112" s="1">
        <f t="shared" si="9"/>
        <v>119.89999999999999</v>
      </c>
      <c r="P112" s="1">
        <v>65</v>
      </c>
      <c r="Q112" s="1">
        <f t="shared" si="8"/>
        <v>0.68411214953271027</v>
      </c>
      <c r="R112" s="9">
        <f t="shared" ref="R112:R175" si="10">Q112*L112</f>
        <v>0.41046728971962615</v>
      </c>
      <c r="S112" s="9">
        <f t="shared" ref="S112:S175" si="11">J112-R112</f>
        <v>-0.11046728971962616</v>
      </c>
      <c r="T112" s="9">
        <f t="shared" si="5"/>
        <v>120.7146261682243</v>
      </c>
      <c r="V112" s="1">
        <v>191.1</v>
      </c>
      <c r="X112" s="1">
        <f t="shared" si="6"/>
        <v>41437.19999999999</v>
      </c>
      <c r="AA112" s="1">
        <v>9.3945124799168305</v>
      </c>
    </row>
    <row r="113" spans="1:27" s="1" customFormat="1" x14ac:dyDescent="0.25">
      <c r="A113" s="48"/>
      <c r="B113" s="7"/>
      <c r="C113" s="3">
        <v>41229</v>
      </c>
      <c r="D113" s="1">
        <v>4.5</v>
      </c>
      <c r="E113" s="1">
        <v>3.2</v>
      </c>
      <c r="F113" s="1">
        <v>5.9</v>
      </c>
      <c r="G113" s="1">
        <f t="shared" si="2"/>
        <v>735.09999999999991</v>
      </c>
      <c r="J113" s="1">
        <v>0.3</v>
      </c>
      <c r="K113" s="1">
        <f t="shared" si="3"/>
        <v>225.49999999999994</v>
      </c>
      <c r="L113" s="1">
        <v>0.8</v>
      </c>
      <c r="M113" s="1">
        <f t="shared" si="4"/>
        <v>83.399999999999991</v>
      </c>
      <c r="N113" s="1">
        <v>-0.5</v>
      </c>
      <c r="O113" s="1">
        <f t="shared" si="9"/>
        <v>119.39999999999999</v>
      </c>
      <c r="P113" s="1">
        <v>66</v>
      </c>
      <c r="Q113" s="1">
        <f t="shared" si="8"/>
        <v>0.69018691588785042</v>
      </c>
      <c r="R113" s="9">
        <f t="shared" si="10"/>
        <v>0.55214953271028033</v>
      </c>
      <c r="S113" s="9">
        <f t="shared" si="11"/>
        <v>-0.25214953271028034</v>
      </c>
      <c r="T113" s="9">
        <f t="shared" si="5"/>
        <v>120.46247663551402</v>
      </c>
      <c r="V113" s="1">
        <v>356.7</v>
      </c>
      <c r="X113" s="1">
        <f t="shared" si="6"/>
        <v>41793.899999999987</v>
      </c>
      <c r="AA113" s="1">
        <v>9.3510604463292104</v>
      </c>
    </row>
    <row r="114" spans="1:27" s="1" customFormat="1" x14ac:dyDescent="0.25">
      <c r="A114" s="48"/>
      <c r="B114" s="7"/>
      <c r="C114" s="3">
        <v>41230</v>
      </c>
      <c r="D114" s="1">
        <v>6.6</v>
      </c>
      <c r="E114" s="1">
        <v>5.4</v>
      </c>
      <c r="F114" s="1">
        <v>9.9</v>
      </c>
      <c r="G114" s="1">
        <f t="shared" ref="G114:G171" si="12">G113+D114</f>
        <v>741.69999999999993</v>
      </c>
      <c r="J114" s="1">
        <v>0.1</v>
      </c>
      <c r="K114" s="1">
        <f t="shared" ref="K114:K177" si="13">K113+J114</f>
        <v>225.59999999999994</v>
      </c>
      <c r="L114" s="1">
        <v>0.5</v>
      </c>
      <c r="M114" s="1">
        <f t="shared" ref="M114:M177" si="14">M113+L114</f>
        <v>83.899999999999991</v>
      </c>
      <c r="N114" s="1">
        <v>-0.4</v>
      </c>
      <c r="O114" s="1">
        <f t="shared" si="9"/>
        <v>118.99999999999999</v>
      </c>
      <c r="P114" s="1">
        <v>67</v>
      </c>
      <c r="Q114" s="1">
        <f t="shared" si="8"/>
        <v>0.69626168224299056</v>
      </c>
      <c r="R114" s="9">
        <f t="shared" si="10"/>
        <v>0.34813084112149528</v>
      </c>
      <c r="S114" s="9">
        <f t="shared" si="11"/>
        <v>-0.24813084112149528</v>
      </c>
      <c r="T114" s="9">
        <f t="shared" ref="T114:T177" si="15">MIN(122.1,(T113+S114))</f>
        <v>120.21434579439253</v>
      </c>
      <c r="V114" s="1">
        <v>279.5</v>
      </c>
      <c r="X114" s="1">
        <f t="shared" ref="X114:X177" si="16">X113+V114</f>
        <v>42073.399999999987</v>
      </c>
      <c r="AA114" s="1">
        <v>9.30831907641425</v>
      </c>
    </row>
    <row r="115" spans="1:27" s="1" customFormat="1" x14ac:dyDescent="0.25">
      <c r="A115" s="48"/>
      <c r="B115" s="7"/>
      <c r="C115" s="3">
        <v>41231</v>
      </c>
      <c r="D115" s="1">
        <v>7.2</v>
      </c>
      <c r="E115" s="1">
        <v>4.7</v>
      </c>
      <c r="F115" s="1">
        <v>12.6</v>
      </c>
      <c r="G115" s="1">
        <f t="shared" si="12"/>
        <v>748.9</v>
      </c>
      <c r="J115" s="1">
        <v>0</v>
      </c>
      <c r="K115" s="1">
        <f t="shared" si="13"/>
        <v>225.59999999999994</v>
      </c>
      <c r="L115" s="1">
        <v>0.5</v>
      </c>
      <c r="M115" s="1">
        <f t="shared" si="14"/>
        <v>84.399999999999991</v>
      </c>
      <c r="N115" s="1">
        <v>-0.5</v>
      </c>
      <c r="O115" s="1">
        <f t="shared" si="9"/>
        <v>118.49999999999999</v>
      </c>
      <c r="P115" s="1">
        <v>68</v>
      </c>
      <c r="Q115" s="1">
        <f t="shared" si="8"/>
        <v>0.70233644859813082</v>
      </c>
      <c r="R115" s="9">
        <f t="shared" si="10"/>
        <v>0.35116822429906541</v>
      </c>
      <c r="S115" s="9">
        <f t="shared" si="11"/>
        <v>-0.35116822429906541</v>
      </c>
      <c r="T115" s="9">
        <f t="shared" si="15"/>
        <v>119.86317757009347</v>
      </c>
      <c r="V115" s="1">
        <v>344.7</v>
      </c>
      <c r="X115" s="1">
        <f t="shared" si="16"/>
        <v>42418.099999999984</v>
      </c>
      <c r="AA115" s="1">
        <v>9.2663154983341602</v>
      </c>
    </row>
    <row r="116" spans="1:27" s="1" customFormat="1" x14ac:dyDescent="0.25">
      <c r="A116" s="48"/>
      <c r="B116" s="7"/>
      <c r="C116" s="3">
        <v>41232</v>
      </c>
      <c r="D116" s="1">
        <v>4.9000000000000004</v>
      </c>
      <c r="E116" s="1">
        <v>2.2999999999999998</v>
      </c>
      <c r="F116" s="1">
        <v>9.4</v>
      </c>
      <c r="G116" s="1">
        <f t="shared" si="12"/>
        <v>753.8</v>
      </c>
      <c r="J116" s="1">
        <v>0.6</v>
      </c>
      <c r="K116" s="1">
        <f t="shared" si="13"/>
        <v>226.19999999999993</v>
      </c>
      <c r="L116" s="1">
        <v>0.9</v>
      </c>
      <c r="M116" s="1">
        <f t="shared" si="14"/>
        <v>85.3</v>
      </c>
      <c r="N116" s="1">
        <v>-0.30000000000000004</v>
      </c>
      <c r="O116" s="1">
        <f t="shared" si="9"/>
        <v>118.19999999999999</v>
      </c>
      <c r="P116" s="1">
        <v>69</v>
      </c>
      <c r="Q116" s="1">
        <f t="shared" si="8"/>
        <v>0.70841121495327097</v>
      </c>
      <c r="R116" s="9">
        <f t="shared" si="10"/>
        <v>0.63757009345794391</v>
      </c>
      <c r="S116" s="9">
        <f t="shared" si="11"/>
        <v>-3.7570093457943932E-2</v>
      </c>
      <c r="T116" s="9">
        <f t="shared" si="15"/>
        <v>119.82560747663553</v>
      </c>
      <c r="V116" s="1">
        <v>658.3</v>
      </c>
      <c r="X116" s="1">
        <f t="shared" si="16"/>
        <v>43076.399999999987</v>
      </c>
      <c r="AA116" s="1">
        <v>9.2250772314327492</v>
      </c>
    </row>
    <row r="117" spans="1:27" s="1" customFormat="1" x14ac:dyDescent="0.25">
      <c r="A117" s="48"/>
      <c r="B117" s="7"/>
      <c r="C117" s="3">
        <v>41233</v>
      </c>
      <c r="D117" s="1">
        <v>3</v>
      </c>
      <c r="E117" s="1">
        <v>2.8</v>
      </c>
      <c r="F117" s="1">
        <v>3.2</v>
      </c>
      <c r="G117" s="1">
        <f t="shared" si="12"/>
        <v>756.8</v>
      </c>
      <c r="J117" s="1">
        <v>0.2</v>
      </c>
      <c r="K117" s="1">
        <f t="shared" si="13"/>
        <v>226.39999999999992</v>
      </c>
      <c r="L117" s="1">
        <v>0.3</v>
      </c>
      <c r="M117" s="1">
        <f t="shared" si="14"/>
        <v>85.6</v>
      </c>
      <c r="N117" s="1">
        <v>-9.9999999999999978E-2</v>
      </c>
      <c r="O117" s="1">
        <f t="shared" si="9"/>
        <v>118.1</v>
      </c>
      <c r="P117" s="1">
        <v>70</v>
      </c>
      <c r="Q117" s="1">
        <f t="shared" si="8"/>
        <v>0.71448598130841123</v>
      </c>
      <c r="R117" s="9">
        <f t="shared" si="10"/>
        <v>0.21434579439252335</v>
      </c>
      <c r="S117" s="9">
        <f t="shared" si="11"/>
        <v>-1.4345794392523342E-2</v>
      </c>
      <c r="T117" s="9">
        <f t="shared" si="15"/>
        <v>119.811261682243</v>
      </c>
      <c r="V117" s="1">
        <v>262.2</v>
      </c>
      <c r="X117" s="1">
        <f t="shared" si="16"/>
        <v>43338.599999999984</v>
      </c>
      <c r="AA117" s="1">
        <v>9.1846321468602099</v>
      </c>
    </row>
    <row r="118" spans="1:27" s="1" customFormat="1" x14ac:dyDescent="0.25">
      <c r="A118" s="48"/>
      <c r="B118" s="7"/>
      <c r="C118" s="3">
        <v>41234</v>
      </c>
      <c r="D118" s="1">
        <v>4.5999999999999996</v>
      </c>
      <c r="E118" s="1">
        <v>2</v>
      </c>
      <c r="F118" s="1">
        <v>7.3</v>
      </c>
      <c r="G118" s="1">
        <f t="shared" si="12"/>
        <v>761.4</v>
      </c>
      <c r="J118" s="1">
        <v>2</v>
      </c>
      <c r="K118" s="1">
        <f t="shared" si="13"/>
        <v>228.39999999999992</v>
      </c>
      <c r="L118" s="1">
        <v>0.3</v>
      </c>
      <c r="M118" s="1">
        <f t="shared" si="14"/>
        <v>85.899999999999991</v>
      </c>
      <c r="N118" s="1">
        <v>1.7</v>
      </c>
      <c r="O118" s="1">
        <f t="shared" si="9"/>
        <v>119.8</v>
      </c>
      <c r="P118" s="1">
        <v>71</v>
      </c>
      <c r="Q118" s="1">
        <f t="shared" si="8"/>
        <v>0.72056074766355138</v>
      </c>
      <c r="R118" s="9">
        <f t="shared" si="10"/>
        <v>0.2161682242990654</v>
      </c>
      <c r="S118" s="9">
        <f t="shared" si="11"/>
        <v>1.7838317757009345</v>
      </c>
      <c r="T118" s="9">
        <f t="shared" si="15"/>
        <v>121.59509345794393</v>
      </c>
      <c r="V118" s="1">
        <v>185.1</v>
      </c>
      <c r="X118" s="1">
        <f t="shared" si="16"/>
        <v>43523.699999999983</v>
      </c>
      <c r="AA118" s="1">
        <v>9.1450084245708005</v>
      </c>
    </row>
    <row r="119" spans="1:27" s="1" customFormat="1" x14ac:dyDescent="0.25">
      <c r="A119" s="48"/>
      <c r="B119" s="7"/>
      <c r="C119" s="3">
        <v>41235</v>
      </c>
      <c r="D119" s="1">
        <v>5.7</v>
      </c>
      <c r="E119" s="1">
        <v>3.9</v>
      </c>
      <c r="F119" s="1">
        <v>6.9</v>
      </c>
      <c r="G119" s="1">
        <f t="shared" si="12"/>
        <v>767.1</v>
      </c>
      <c r="J119" s="1">
        <v>0.2</v>
      </c>
      <c r="K119" s="1">
        <f t="shared" si="13"/>
        <v>228.59999999999991</v>
      </c>
      <c r="L119" s="1">
        <v>0.2</v>
      </c>
      <c r="M119" s="1">
        <f t="shared" si="14"/>
        <v>86.1</v>
      </c>
      <c r="N119" s="1">
        <v>0</v>
      </c>
      <c r="O119" s="1">
        <f t="shared" si="9"/>
        <v>119.8</v>
      </c>
      <c r="P119" s="1">
        <v>72</v>
      </c>
      <c r="Q119" s="1">
        <f t="shared" si="8"/>
        <v>0.72663551401869153</v>
      </c>
      <c r="R119" s="9">
        <f t="shared" si="10"/>
        <v>0.14532710280373831</v>
      </c>
      <c r="S119" s="9">
        <f t="shared" si="11"/>
        <v>5.4672897196261699E-2</v>
      </c>
      <c r="T119" s="9">
        <f t="shared" si="15"/>
        <v>121.64976635514019</v>
      </c>
      <c r="V119" s="1">
        <v>166.8</v>
      </c>
      <c r="X119" s="1">
        <f t="shared" si="16"/>
        <v>43690.499999999985</v>
      </c>
      <c r="AA119" s="1">
        <v>9.1062345066698303</v>
      </c>
    </row>
    <row r="120" spans="1:27" s="1" customFormat="1" x14ac:dyDescent="0.25">
      <c r="A120" s="48"/>
      <c r="B120" s="7"/>
      <c r="C120" s="3">
        <v>41236</v>
      </c>
      <c r="D120" s="1">
        <v>7.6</v>
      </c>
      <c r="E120" s="1">
        <v>6.4</v>
      </c>
      <c r="F120" s="1">
        <v>10.1</v>
      </c>
      <c r="G120" s="1">
        <f t="shared" si="12"/>
        <v>774.7</v>
      </c>
      <c r="J120" s="1">
        <v>0.2</v>
      </c>
      <c r="K120" s="1">
        <f t="shared" si="13"/>
        <v>228.7999999999999</v>
      </c>
      <c r="L120" s="1">
        <v>0.5</v>
      </c>
      <c r="M120" s="1">
        <f t="shared" si="14"/>
        <v>86.6</v>
      </c>
      <c r="N120" s="1">
        <v>-0.3</v>
      </c>
      <c r="O120" s="1">
        <f t="shared" si="9"/>
        <v>119.5</v>
      </c>
      <c r="P120" s="1">
        <v>73</v>
      </c>
      <c r="Q120" s="1">
        <f t="shared" si="8"/>
        <v>0.73271028037383168</v>
      </c>
      <c r="R120" s="9">
        <f t="shared" si="10"/>
        <v>0.36635514018691584</v>
      </c>
      <c r="S120" s="9">
        <f t="shared" si="11"/>
        <v>-0.16635514018691583</v>
      </c>
      <c r="T120" s="9">
        <f t="shared" si="15"/>
        <v>121.48341121495326</v>
      </c>
      <c r="V120" s="1">
        <v>325.5</v>
      </c>
      <c r="X120" s="1">
        <f t="shared" si="16"/>
        <v>44015.999999999985</v>
      </c>
      <c r="AA120" s="1">
        <v>9.0683390471106495</v>
      </c>
    </row>
    <row r="121" spans="1:27" s="1" customFormat="1" x14ac:dyDescent="0.25">
      <c r="A121" s="48"/>
      <c r="B121" s="7"/>
      <c r="C121" s="3">
        <v>41237</v>
      </c>
      <c r="D121" s="1">
        <v>9.1999999999999993</v>
      </c>
      <c r="E121" s="1">
        <v>3.3</v>
      </c>
      <c r="F121" s="1">
        <v>14.1</v>
      </c>
      <c r="G121" s="1">
        <f t="shared" si="12"/>
        <v>783.90000000000009</v>
      </c>
      <c r="J121" s="1">
        <v>0</v>
      </c>
      <c r="K121" s="1">
        <f t="shared" si="13"/>
        <v>228.7999999999999</v>
      </c>
      <c r="L121" s="1">
        <v>0.4</v>
      </c>
      <c r="M121" s="1">
        <f t="shared" si="14"/>
        <v>87</v>
      </c>
      <c r="N121" s="1">
        <v>-0.4</v>
      </c>
      <c r="O121" s="1">
        <f t="shared" si="9"/>
        <v>119.1</v>
      </c>
      <c r="P121" s="1">
        <v>74</v>
      </c>
      <c r="Q121" s="1">
        <f t="shared" si="8"/>
        <v>0.73878504672897194</v>
      </c>
      <c r="R121" s="9">
        <f t="shared" si="10"/>
        <v>0.29551401869158878</v>
      </c>
      <c r="S121" s="9">
        <f t="shared" si="11"/>
        <v>-0.29551401869158878</v>
      </c>
      <c r="T121" s="9">
        <f t="shared" si="15"/>
        <v>121.18789719626167</v>
      </c>
      <c r="V121" s="1">
        <v>145.4</v>
      </c>
      <c r="X121" s="1">
        <f t="shared" si="16"/>
        <v>44161.399999999987</v>
      </c>
      <c r="AA121" s="1">
        <v>9.0313508577686008</v>
      </c>
    </row>
    <row r="122" spans="1:27" s="1" customFormat="1" x14ac:dyDescent="0.25">
      <c r="A122" s="48"/>
      <c r="B122" s="7"/>
      <c r="C122" s="3">
        <v>41238</v>
      </c>
      <c r="D122" s="1">
        <v>11.3</v>
      </c>
      <c r="E122" s="1">
        <v>9.1999999999999993</v>
      </c>
      <c r="F122" s="1">
        <v>12.8</v>
      </c>
      <c r="G122" s="1">
        <f t="shared" si="12"/>
        <v>795.2</v>
      </c>
      <c r="J122" s="1">
        <v>6.4</v>
      </c>
      <c r="K122" s="1">
        <f t="shared" si="13"/>
        <v>235.1999999999999</v>
      </c>
      <c r="L122" s="1">
        <v>1.1000000000000001</v>
      </c>
      <c r="M122" s="1">
        <f t="shared" si="14"/>
        <v>88.1</v>
      </c>
      <c r="N122" s="1">
        <v>5.3000000000000007</v>
      </c>
      <c r="O122" s="1">
        <v>122.1</v>
      </c>
      <c r="P122" s="1">
        <v>75</v>
      </c>
      <c r="Q122" s="1">
        <f t="shared" si="8"/>
        <v>0.74485981308411209</v>
      </c>
      <c r="R122" s="9">
        <f t="shared" si="10"/>
        <v>0.81934579439252331</v>
      </c>
      <c r="S122" s="9">
        <f t="shared" si="11"/>
        <v>5.5806542056074768</v>
      </c>
      <c r="T122" s="9">
        <f t="shared" si="15"/>
        <v>122.1</v>
      </c>
      <c r="V122" s="1">
        <v>474.7</v>
      </c>
      <c r="X122" s="1">
        <f t="shared" si="16"/>
        <v>44636.099999999984</v>
      </c>
      <c r="AA122" s="10">
        <v>8.9952988509480107</v>
      </c>
    </row>
    <row r="123" spans="1:27" s="1" customFormat="1" x14ac:dyDescent="0.25">
      <c r="A123" s="48"/>
      <c r="B123" s="7"/>
      <c r="C123" s="3">
        <v>41239</v>
      </c>
      <c r="D123" s="1">
        <v>9.4</v>
      </c>
      <c r="E123" s="1">
        <v>8.1999999999999993</v>
      </c>
      <c r="F123" s="1">
        <v>11.5</v>
      </c>
      <c r="G123" s="1">
        <f t="shared" si="12"/>
        <v>804.6</v>
      </c>
      <c r="J123" s="1">
        <v>21.6</v>
      </c>
      <c r="K123" s="1">
        <f t="shared" si="13"/>
        <v>256.7999999999999</v>
      </c>
      <c r="L123" s="1">
        <v>0.5</v>
      </c>
      <c r="M123" s="1">
        <f t="shared" si="14"/>
        <v>88.6</v>
      </c>
      <c r="N123" s="1">
        <v>21.1</v>
      </c>
      <c r="O123" s="1">
        <v>122.1</v>
      </c>
      <c r="P123" s="1">
        <v>76</v>
      </c>
      <c r="Q123" s="1">
        <f t="shared" ref="Q123:Q164" si="17">0.35+((P123-10)/107)*(1-0.35)</f>
        <v>0.75093457943925235</v>
      </c>
      <c r="R123" s="9">
        <f t="shared" si="10"/>
        <v>0.37546728971962617</v>
      </c>
      <c r="S123" s="9">
        <f t="shared" si="11"/>
        <v>21.224532710280375</v>
      </c>
      <c r="T123" s="9">
        <f t="shared" si="15"/>
        <v>122.1</v>
      </c>
      <c r="V123" s="1">
        <v>97.1</v>
      </c>
      <c r="X123" s="1">
        <f t="shared" si="16"/>
        <v>44733.199999999983</v>
      </c>
      <c r="AA123" s="10">
        <v>8.9602119784089105</v>
      </c>
    </row>
    <row r="124" spans="1:27" s="1" customFormat="1" x14ac:dyDescent="0.25">
      <c r="A124" s="48"/>
      <c r="B124" s="7"/>
      <c r="C124" s="3">
        <v>41240</v>
      </c>
      <c r="D124" s="1">
        <v>6.5</v>
      </c>
      <c r="E124" s="1">
        <v>6.2</v>
      </c>
      <c r="F124" s="1">
        <v>7.5</v>
      </c>
      <c r="G124" s="1">
        <f t="shared" si="12"/>
        <v>811.1</v>
      </c>
      <c r="J124" s="1">
        <v>0</v>
      </c>
      <c r="K124" s="1">
        <f t="shared" si="13"/>
        <v>256.7999999999999</v>
      </c>
      <c r="L124" s="1">
        <v>0.3</v>
      </c>
      <c r="M124" s="1">
        <f t="shared" si="14"/>
        <v>88.899999999999991</v>
      </c>
      <c r="N124" s="1">
        <v>-0.3</v>
      </c>
      <c r="O124" s="1">
        <f t="shared" ref="O124:O129" si="18">O123+N124</f>
        <v>121.8</v>
      </c>
      <c r="P124" s="1">
        <v>77</v>
      </c>
      <c r="Q124" s="1">
        <f t="shared" si="17"/>
        <v>0.7570093457943925</v>
      </c>
      <c r="R124" s="9">
        <f t="shared" si="10"/>
        <v>0.22710280373831773</v>
      </c>
      <c r="S124" s="9">
        <f t="shared" si="11"/>
        <v>-0.22710280373831773</v>
      </c>
      <c r="T124" s="9">
        <f t="shared" si="15"/>
        <v>121.87289719626168</v>
      </c>
      <c r="V124" s="1">
        <v>143.6</v>
      </c>
      <c r="X124" s="1">
        <f t="shared" si="16"/>
        <v>44876.799999999981</v>
      </c>
      <c r="AA124" s="10">
        <v>8.9261191670329207</v>
      </c>
    </row>
    <row r="125" spans="1:27" s="1" customFormat="1" x14ac:dyDescent="0.25">
      <c r="A125" s="48"/>
      <c r="B125" s="7"/>
      <c r="C125" s="3">
        <v>41241</v>
      </c>
      <c r="D125" s="1">
        <v>5.9</v>
      </c>
      <c r="E125" s="1">
        <v>5.0999999999999996</v>
      </c>
      <c r="F125" s="1">
        <v>7.3</v>
      </c>
      <c r="G125" s="1">
        <f t="shared" si="12"/>
        <v>817</v>
      </c>
      <c r="J125" s="1">
        <v>0.3</v>
      </c>
      <c r="K125" s="1">
        <f t="shared" si="13"/>
        <v>257.09999999999991</v>
      </c>
      <c r="L125" s="1">
        <v>0.8</v>
      </c>
      <c r="M125" s="1">
        <f t="shared" si="14"/>
        <v>89.699999999999989</v>
      </c>
      <c r="N125" s="1">
        <v>-0.5</v>
      </c>
      <c r="O125" s="1">
        <f t="shared" si="18"/>
        <v>121.3</v>
      </c>
      <c r="P125" s="1">
        <v>78</v>
      </c>
      <c r="Q125" s="1">
        <f t="shared" si="17"/>
        <v>0.76308411214953265</v>
      </c>
      <c r="R125" s="9">
        <f t="shared" si="10"/>
        <v>0.61046728971962616</v>
      </c>
      <c r="S125" s="9">
        <f t="shared" si="11"/>
        <v>-0.31046728971962617</v>
      </c>
      <c r="T125" s="9">
        <f t="shared" si="15"/>
        <v>121.56242990654205</v>
      </c>
      <c r="V125" s="1">
        <v>127.3</v>
      </c>
      <c r="X125" s="1">
        <f t="shared" si="16"/>
        <v>45004.099999999984</v>
      </c>
      <c r="AA125" s="10">
        <v>8.8930492512820791</v>
      </c>
    </row>
    <row r="126" spans="1:27" s="1" customFormat="1" x14ac:dyDescent="0.25">
      <c r="A126" s="48"/>
      <c r="B126" s="11">
        <v>1</v>
      </c>
      <c r="C126" s="3">
        <v>41242</v>
      </c>
      <c r="D126" s="1">
        <v>4.5</v>
      </c>
      <c r="E126" s="1">
        <v>4.3</v>
      </c>
      <c r="F126" s="1">
        <v>5.7</v>
      </c>
      <c r="G126" s="1">
        <f t="shared" si="12"/>
        <v>821.5</v>
      </c>
      <c r="J126" s="1">
        <v>0</v>
      </c>
      <c r="K126" s="1">
        <f t="shared" si="13"/>
        <v>257.09999999999991</v>
      </c>
      <c r="L126" s="1">
        <v>1.1000000000000001</v>
      </c>
      <c r="M126" s="1">
        <f t="shared" si="14"/>
        <v>90.799999999999983</v>
      </c>
      <c r="N126" s="1">
        <v>-1.1000000000000001</v>
      </c>
      <c r="O126" s="1">
        <f t="shared" si="18"/>
        <v>120.2</v>
      </c>
      <c r="P126" s="1">
        <v>79</v>
      </c>
      <c r="Q126" s="1">
        <f t="shared" si="17"/>
        <v>0.76915887850467279</v>
      </c>
      <c r="R126" s="9">
        <f t="shared" si="10"/>
        <v>0.84607476635514012</v>
      </c>
      <c r="S126" s="9">
        <f t="shared" si="11"/>
        <v>-0.84607476635514012</v>
      </c>
      <c r="T126" s="9">
        <f t="shared" si="15"/>
        <v>120.71635514018691</v>
      </c>
      <c r="V126" s="1">
        <v>254</v>
      </c>
      <c r="X126" s="1">
        <f t="shared" si="16"/>
        <v>45258.099999999984</v>
      </c>
      <c r="AA126" s="10">
        <v>8.8610309026402607</v>
      </c>
    </row>
    <row r="127" spans="1:27" s="1" customFormat="1" x14ac:dyDescent="0.25">
      <c r="A127" s="48"/>
      <c r="B127" s="11">
        <v>2</v>
      </c>
      <c r="C127" s="3">
        <v>41243</v>
      </c>
      <c r="D127" s="1">
        <v>1.7</v>
      </c>
      <c r="E127" s="1">
        <v>0.8</v>
      </c>
      <c r="F127" s="1">
        <v>4.9000000000000004</v>
      </c>
      <c r="G127" s="1">
        <f t="shared" si="12"/>
        <v>823.2</v>
      </c>
      <c r="J127" s="1">
        <v>0.2</v>
      </c>
      <c r="K127" s="1">
        <f t="shared" si="13"/>
        <v>257.2999999999999</v>
      </c>
      <c r="L127" s="1">
        <v>1.1000000000000001</v>
      </c>
      <c r="M127" s="1">
        <f t="shared" si="14"/>
        <v>91.899999999999977</v>
      </c>
      <c r="N127" s="1">
        <v>-0.90000000000000013</v>
      </c>
      <c r="O127" s="1">
        <f t="shared" si="18"/>
        <v>119.3</v>
      </c>
      <c r="P127" s="1">
        <v>80</v>
      </c>
      <c r="Q127" s="1">
        <f t="shared" si="17"/>
        <v>0.77523364485981305</v>
      </c>
      <c r="R127" s="9">
        <f t="shared" si="10"/>
        <v>0.85275700934579446</v>
      </c>
      <c r="S127" s="9">
        <f t="shared" si="11"/>
        <v>-0.65275700934579439</v>
      </c>
      <c r="T127" s="9">
        <f t="shared" si="15"/>
        <v>120.06359813084111</v>
      </c>
      <c r="V127" s="1">
        <v>565.29999999999995</v>
      </c>
      <c r="X127" s="1">
        <f t="shared" si="16"/>
        <v>45823.399999999987</v>
      </c>
      <c r="AA127" s="10">
        <v>8.8300925562633292</v>
      </c>
    </row>
    <row r="128" spans="1:27" s="1" customFormat="1" x14ac:dyDescent="0.25">
      <c r="A128" s="48"/>
      <c r="B128" s="11">
        <v>3</v>
      </c>
      <c r="C128" s="3">
        <v>41244</v>
      </c>
      <c r="D128" s="1">
        <v>-0.2</v>
      </c>
      <c r="E128" s="1">
        <v>-1.9</v>
      </c>
      <c r="F128" s="1">
        <v>3.2</v>
      </c>
      <c r="G128" s="1">
        <v>823.2</v>
      </c>
      <c r="J128" s="1">
        <v>0</v>
      </c>
      <c r="K128" s="1">
        <f t="shared" si="13"/>
        <v>257.2999999999999</v>
      </c>
      <c r="L128" s="1">
        <v>0.7</v>
      </c>
      <c r="M128" s="1">
        <f t="shared" si="14"/>
        <v>92.59999999999998</v>
      </c>
      <c r="N128" s="1">
        <v>-0.7</v>
      </c>
      <c r="O128" s="1">
        <f t="shared" si="18"/>
        <v>118.6</v>
      </c>
      <c r="P128" s="1">
        <v>81</v>
      </c>
      <c r="Q128" s="1">
        <f t="shared" si="17"/>
        <v>0.78130841121495331</v>
      </c>
      <c r="R128" s="9">
        <f t="shared" si="10"/>
        <v>0.5469158878504673</v>
      </c>
      <c r="S128" s="9">
        <f t="shared" si="11"/>
        <v>-0.5469158878504673</v>
      </c>
      <c r="T128" s="9">
        <f t="shared" si="15"/>
        <v>119.51668224299064</v>
      </c>
      <c r="V128" s="1">
        <v>610</v>
      </c>
      <c r="X128" s="1">
        <f t="shared" si="16"/>
        <v>46433.399999999987</v>
      </c>
      <c r="AA128" s="10">
        <v>8.80026233510171</v>
      </c>
    </row>
    <row r="129" spans="1:27" s="1" customFormat="1" x14ac:dyDescent="0.25">
      <c r="A129" s="48"/>
      <c r="B129" s="11">
        <v>4</v>
      </c>
      <c r="C129" s="3">
        <v>41245</v>
      </c>
      <c r="D129" s="1">
        <v>-0.2</v>
      </c>
      <c r="E129" s="1">
        <v>-1.7</v>
      </c>
      <c r="F129" s="1">
        <v>3.2</v>
      </c>
      <c r="G129" s="1">
        <v>823.2</v>
      </c>
      <c r="J129" s="1">
        <v>0.4</v>
      </c>
      <c r="K129" s="1">
        <f t="shared" si="13"/>
        <v>257.69999999999987</v>
      </c>
      <c r="L129" s="1">
        <v>0.4</v>
      </c>
      <c r="M129" s="1">
        <f t="shared" si="14"/>
        <v>92.999999999999986</v>
      </c>
      <c r="N129" s="1">
        <v>0</v>
      </c>
      <c r="O129" s="1">
        <f t="shared" si="18"/>
        <v>118.6</v>
      </c>
      <c r="P129" s="1">
        <v>82</v>
      </c>
      <c r="Q129" s="1">
        <f t="shared" si="17"/>
        <v>0.78738317757009346</v>
      </c>
      <c r="R129" s="9">
        <f t="shared" si="10"/>
        <v>0.31495327102803738</v>
      </c>
      <c r="S129" s="9">
        <f t="shared" si="11"/>
        <v>8.5046728971962637E-2</v>
      </c>
      <c r="T129" s="9">
        <f t="shared" si="15"/>
        <v>119.6017289719626</v>
      </c>
      <c r="V129" s="1">
        <v>243.7</v>
      </c>
      <c r="X129" s="1">
        <f t="shared" si="16"/>
        <v>46677.099999999984</v>
      </c>
      <c r="AA129" s="10">
        <v>8.7715679717962995</v>
      </c>
    </row>
    <row r="130" spans="1:27" s="1" customFormat="1" x14ac:dyDescent="0.25">
      <c r="A130" s="48"/>
      <c r="B130" s="11">
        <v>5</v>
      </c>
      <c r="C130" s="3">
        <v>41246</v>
      </c>
      <c r="D130" s="1">
        <v>0.2</v>
      </c>
      <c r="E130" s="1">
        <v>-2.4</v>
      </c>
      <c r="F130" s="1">
        <v>6.1</v>
      </c>
      <c r="G130" s="1">
        <f t="shared" si="12"/>
        <v>823.40000000000009</v>
      </c>
      <c r="J130" s="1">
        <v>17.399999999999999</v>
      </c>
      <c r="K130" s="1">
        <f t="shared" si="13"/>
        <v>275.09999999999985</v>
      </c>
      <c r="L130" s="1">
        <v>0.5</v>
      </c>
      <c r="M130" s="1">
        <f t="shared" si="14"/>
        <v>93.499999999999986</v>
      </c>
      <c r="N130" s="1">
        <v>16.899999999999999</v>
      </c>
      <c r="O130" s="1">
        <v>122.1</v>
      </c>
      <c r="P130" s="1">
        <v>83</v>
      </c>
      <c r="Q130" s="1">
        <f t="shared" si="17"/>
        <v>0.79345794392523361</v>
      </c>
      <c r="R130" s="9">
        <f t="shared" si="10"/>
        <v>0.39672897196261681</v>
      </c>
      <c r="S130" s="9">
        <f t="shared" si="11"/>
        <v>17.003271028037382</v>
      </c>
      <c r="T130" s="9">
        <f t="shared" si="15"/>
        <v>122.1</v>
      </c>
      <c r="V130" s="1">
        <v>75.900000000000006</v>
      </c>
      <c r="X130" s="1">
        <f t="shared" si="16"/>
        <v>46752.999999999985</v>
      </c>
      <c r="AA130" s="10">
        <v>8.74403672868584</v>
      </c>
    </row>
    <row r="131" spans="1:27" s="1" customFormat="1" x14ac:dyDescent="0.25">
      <c r="A131" s="48"/>
      <c r="B131" s="11">
        <v>6</v>
      </c>
      <c r="C131" s="3">
        <v>41247</v>
      </c>
      <c r="D131" s="1">
        <v>5</v>
      </c>
      <c r="E131" s="1">
        <v>2.1</v>
      </c>
      <c r="F131" s="1">
        <v>6.1</v>
      </c>
      <c r="G131" s="1">
        <f t="shared" si="12"/>
        <v>828.40000000000009</v>
      </c>
      <c r="J131" s="1">
        <v>2.2999999999999998</v>
      </c>
      <c r="K131" s="1">
        <f t="shared" si="13"/>
        <v>277.39999999999986</v>
      </c>
      <c r="L131" s="1">
        <v>0.3</v>
      </c>
      <c r="M131" s="1">
        <f t="shared" si="14"/>
        <v>93.799999999999983</v>
      </c>
      <c r="N131" s="1">
        <v>1.9999999999999998</v>
      </c>
      <c r="O131" s="1">
        <v>122.1</v>
      </c>
      <c r="P131" s="1">
        <v>84</v>
      </c>
      <c r="Q131" s="1">
        <f t="shared" si="17"/>
        <v>0.79953271028037376</v>
      </c>
      <c r="R131" s="9">
        <f t="shared" si="10"/>
        <v>0.23985981308411211</v>
      </c>
      <c r="S131" s="9">
        <f t="shared" si="11"/>
        <v>2.0601401869158877</v>
      </c>
      <c r="T131" s="9">
        <f t="shared" si="15"/>
        <v>122.1</v>
      </c>
      <c r="V131" s="1">
        <v>133.80000000000001</v>
      </c>
      <c r="X131" s="1">
        <f t="shared" si="16"/>
        <v>46886.799999999988</v>
      </c>
      <c r="AA131" s="10">
        <v>8.7176953163000395</v>
      </c>
    </row>
    <row r="132" spans="1:27" s="1" customFormat="1" x14ac:dyDescent="0.25">
      <c r="A132" s="48"/>
      <c r="B132" s="11">
        <v>7</v>
      </c>
      <c r="C132" s="3">
        <v>41248</v>
      </c>
      <c r="D132" s="1">
        <v>3.3</v>
      </c>
      <c r="E132" s="1">
        <v>2.2000000000000002</v>
      </c>
      <c r="F132" s="1">
        <v>4.9000000000000004</v>
      </c>
      <c r="G132" s="1">
        <f t="shared" si="12"/>
        <v>831.7</v>
      </c>
      <c r="J132" s="1">
        <v>3.2</v>
      </c>
      <c r="K132" s="1">
        <f t="shared" si="13"/>
        <v>280.59999999999985</v>
      </c>
      <c r="L132" s="1">
        <v>0.5</v>
      </c>
      <c r="M132" s="1">
        <f t="shared" si="14"/>
        <v>94.299999999999983</v>
      </c>
      <c r="N132" s="1">
        <v>2.7</v>
      </c>
      <c r="O132" s="1">
        <v>122.1</v>
      </c>
      <c r="P132" s="1">
        <v>85</v>
      </c>
      <c r="Q132" s="1">
        <f t="shared" si="17"/>
        <v>0.80560747663551391</v>
      </c>
      <c r="R132" s="9">
        <f t="shared" si="10"/>
        <v>0.40280373831775695</v>
      </c>
      <c r="S132" s="9">
        <f t="shared" si="11"/>
        <v>2.7971962616822434</v>
      </c>
      <c r="T132" s="9">
        <f t="shared" si="15"/>
        <v>122.1</v>
      </c>
      <c r="V132" s="1">
        <v>145.9</v>
      </c>
      <c r="X132" s="1">
        <f t="shared" si="16"/>
        <v>47032.69999999999</v>
      </c>
      <c r="AA132" s="10">
        <v>8.6925698107472602</v>
      </c>
    </row>
    <row r="133" spans="1:27" s="1" customFormat="1" x14ac:dyDescent="0.25">
      <c r="A133" s="48"/>
      <c r="B133" s="11">
        <v>8</v>
      </c>
      <c r="C133" s="3">
        <v>41249</v>
      </c>
      <c r="D133" s="1">
        <v>0.9</v>
      </c>
      <c r="E133" s="1">
        <v>-1.2</v>
      </c>
      <c r="F133" s="1">
        <v>3.6</v>
      </c>
      <c r="G133" s="1">
        <f t="shared" si="12"/>
        <v>832.6</v>
      </c>
      <c r="J133" s="1">
        <v>0</v>
      </c>
      <c r="K133" s="1">
        <f t="shared" si="13"/>
        <v>280.59999999999985</v>
      </c>
      <c r="L133" s="1">
        <v>0.5</v>
      </c>
      <c r="M133" s="1">
        <f t="shared" si="14"/>
        <v>94.799999999999983</v>
      </c>
      <c r="N133" s="1">
        <v>-0.5</v>
      </c>
      <c r="O133" s="1">
        <f>O132+N133</f>
        <v>121.6</v>
      </c>
      <c r="P133" s="1">
        <v>86</v>
      </c>
      <c r="Q133" s="1">
        <f t="shared" si="17"/>
        <v>0.81168224299065417</v>
      </c>
      <c r="R133" s="9">
        <f t="shared" si="10"/>
        <v>0.40584112149532708</v>
      </c>
      <c r="S133" s="9">
        <f t="shared" si="11"/>
        <v>-0.40584112149532708</v>
      </c>
      <c r="T133" s="9">
        <f t="shared" si="15"/>
        <v>121.69415887850467</v>
      </c>
      <c r="V133" s="1">
        <v>533.1</v>
      </c>
      <c r="X133" s="1">
        <f t="shared" si="16"/>
        <v>47565.799999999988</v>
      </c>
      <c r="AA133" s="10">
        <v>8.6686855704381607</v>
      </c>
    </row>
    <row r="134" spans="1:27" s="1" customFormat="1" x14ac:dyDescent="0.25">
      <c r="A134" s="48"/>
      <c r="B134" s="11">
        <v>9</v>
      </c>
      <c r="C134" s="3">
        <v>41250</v>
      </c>
      <c r="D134" s="1">
        <v>0.5</v>
      </c>
      <c r="E134" s="1">
        <v>-2</v>
      </c>
      <c r="F134" s="1">
        <v>2.4</v>
      </c>
      <c r="G134" s="1">
        <f t="shared" si="12"/>
        <v>833.1</v>
      </c>
      <c r="J134" s="1">
        <v>3.1</v>
      </c>
      <c r="K134" s="1">
        <f t="shared" si="13"/>
        <v>283.69999999999987</v>
      </c>
      <c r="L134" s="1">
        <v>0.2</v>
      </c>
      <c r="M134" s="1">
        <f t="shared" si="14"/>
        <v>94.999999999999986</v>
      </c>
      <c r="N134" s="1">
        <v>2.9</v>
      </c>
      <c r="O134" s="1">
        <v>122.1</v>
      </c>
      <c r="P134" s="1">
        <v>87</v>
      </c>
      <c r="Q134" s="1">
        <f t="shared" si="17"/>
        <v>0.81775700934579443</v>
      </c>
      <c r="R134" s="9">
        <f t="shared" si="10"/>
        <v>0.1635514018691589</v>
      </c>
      <c r="S134" s="9">
        <f t="shared" si="11"/>
        <v>2.9364485981308412</v>
      </c>
      <c r="T134" s="9">
        <f t="shared" si="15"/>
        <v>122.1</v>
      </c>
      <c r="V134" s="1">
        <v>115.5</v>
      </c>
      <c r="X134" s="1">
        <f t="shared" si="16"/>
        <v>47681.299999999988</v>
      </c>
      <c r="AA134" s="10">
        <v>8.6460671526164301</v>
      </c>
    </row>
    <row r="135" spans="1:27" s="1" customFormat="1" x14ac:dyDescent="0.25">
      <c r="A135" s="48"/>
      <c r="B135" s="11">
        <v>10</v>
      </c>
      <c r="C135" s="3">
        <v>41251</v>
      </c>
      <c r="D135" s="1">
        <v>1.3</v>
      </c>
      <c r="E135" s="1">
        <v>0.7</v>
      </c>
      <c r="F135" s="1">
        <v>2</v>
      </c>
      <c r="G135" s="1">
        <f t="shared" si="12"/>
        <v>834.4</v>
      </c>
      <c r="J135" s="1">
        <v>0</v>
      </c>
      <c r="K135" s="1">
        <f t="shared" si="13"/>
        <v>283.69999999999987</v>
      </c>
      <c r="L135" s="1">
        <v>0.4</v>
      </c>
      <c r="M135" s="1">
        <f t="shared" si="14"/>
        <v>95.399999999999991</v>
      </c>
      <c r="N135" s="1">
        <v>-0.4</v>
      </c>
      <c r="O135" s="1">
        <f>O134+N135</f>
        <v>121.69999999999999</v>
      </c>
      <c r="P135" s="1">
        <v>88</v>
      </c>
      <c r="Q135" s="1">
        <f t="shared" si="17"/>
        <v>0.82383177570093458</v>
      </c>
      <c r="R135" s="9">
        <f t="shared" si="10"/>
        <v>0.32953271028037384</v>
      </c>
      <c r="S135" s="9">
        <f t="shared" si="11"/>
        <v>-0.32953271028037384</v>
      </c>
      <c r="T135" s="9">
        <f t="shared" si="15"/>
        <v>121.77046728971962</v>
      </c>
      <c r="V135" s="1">
        <v>220.7</v>
      </c>
      <c r="X135" s="1">
        <f t="shared" si="16"/>
        <v>47901.999999999985</v>
      </c>
      <c r="AA135" s="10">
        <v>8.6247382301942306</v>
      </c>
    </row>
    <row r="136" spans="1:27" s="1" customFormat="1" x14ac:dyDescent="0.25">
      <c r="A136" s="48"/>
      <c r="B136" s="11">
        <v>11</v>
      </c>
      <c r="C136" s="3">
        <v>41252</v>
      </c>
      <c r="D136" s="1">
        <v>1.6</v>
      </c>
      <c r="E136" s="1">
        <v>-0.6</v>
      </c>
      <c r="F136" s="1">
        <v>3.3</v>
      </c>
      <c r="G136" s="1">
        <f t="shared" si="12"/>
        <v>836</v>
      </c>
      <c r="J136" s="1">
        <v>1.2</v>
      </c>
      <c r="K136" s="1">
        <f t="shared" si="13"/>
        <v>284.89999999999986</v>
      </c>
      <c r="L136" s="1">
        <v>0.5</v>
      </c>
      <c r="M136" s="1">
        <f t="shared" si="14"/>
        <v>95.899999999999991</v>
      </c>
      <c r="N136" s="1">
        <v>0.7</v>
      </c>
      <c r="O136" s="1">
        <v>122.1</v>
      </c>
      <c r="P136" s="1">
        <v>89</v>
      </c>
      <c r="Q136" s="1">
        <f t="shared" si="17"/>
        <v>0.82990654205607473</v>
      </c>
      <c r="R136" s="9">
        <f t="shared" si="10"/>
        <v>0.41495327102803736</v>
      </c>
      <c r="S136" s="9">
        <f t="shared" si="11"/>
        <v>0.78504672897196259</v>
      </c>
      <c r="T136" s="9">
        <f t="shared" si="15"/>
        <v>122.1</v>
      </c>
      <c r="V136" s="1">
        <v>310.5</v>
      </c>
      <c r="X136" s="1">
        <f t="shared" si="16"/>
        <v>48212.499999999985</v>
      </c>
      <c r="AA136" s="10">
        <v>8.6047215094119593</v>
      </c>
    </row>
    <row r="137" spans="1:27" s="1" customFormat="1" x14ac:dyDescent="0.25">
      <c r="A137" s="48"/>
      <c r="B137" s="11">
        <v>12</v>
      </c>
      <c r="C137" s="3">
        <v>41253</v>
      </c>
      <c r="D137" s="1">
        <v>3.3</v>
      </c>
      <c r="E137" s="1">
        <v>2.1</v>
      </c>
      <c r="F137" s="1">
        <v>5.3</v>
      </c>
      <c r="G137" s="1">
        <f t="shared" si="12"/>
        <v>839.3</v>
      </c>
      <c r="J137" s="1">
        <v>0.7</v>
      </c>
      <c r="K137" s="1">
        <f t="shared" si="13"/>
        <v>285.59999999999985</v>
      </c>
      <c r="L137" s="1">
        <v>0.6</v>
      </c>
      <c r="M137" s="1">
        <f t="shared" si="14"/>
        <v>96.499999999999986</v>
      </c>
      <c r="N137" s="1">
        <v>9.9999999999999978E-2</v>
      </c>
      <c r="O137" s="1">
        <v>122.1</v>
      </c>
      <c r="P137" s="1">
        <v>90</v>
      </c>
      <c r="Q137" s="1">
        <f t="shared" si="17"/>
        <v>0.83598130841121487</v>
      </c>
      <c r="R137" s="9">
        <f t="shared" si="10"/>
        <v>0.50158878504672888</v>
      </c>
      <c r="S137" s="9">
        <f t="shared" si="11"/>
        <v>0.19841121495327108</v>
      </c>
      <c r="T137" s="9">
        <f t="shared" si="15"/>
        <v>122.1</v>
      </c>
      <c r="V137" s="1">
        <v>310.10000000000002</v>
      </c>
      <c r="X137" s="1">
        <f t="shared" si="16"/>
        <v>48522.599999999984</v>
      </c>
      <c r="AA137" s="10">
        <v>8.5860386488601499</v>
      </c>
    </row>
    <row r="138" spans="1:27" s="1" customFormat="1" x14ac:dyDescent="0.25">
      <c r="A138" s="48"/>
      <c r="B138" s="11">
        <v>13</v>
      </c>
      <c r="C138" s="3">
        <v>41254</v>
      </c>
      <c r="D138" s="1">
        <v>0.4</v>
      </c>
      <c r="E138" s="1">
        <v>0</v>
      </c>
      <c r="F138" s="1">
        <v>1.3</v>
      </c>
      <c r="G138" s="1">
        <f t="shared" si="12"/>
        <v>839.69999999999993</v>
      </c>
      <c r="J138" s="1">
        <v>0</v>
      </c>
      <c r="K138" s="1">
        <f t="shared" si="13"/>
        <v>285.59999999999985</v>
      </c>
      <c r="L138" s="1">
        <v>0.7</v>
      </c>
      <c r="M138" s="1">
        <f t="shared" si="14"/>
        <v>97.199999999999989</v>
      </c>
      <c r="N138" s="1">
        <v>-0.7</v>
      </c>
      <c r="O138" s="1">
        <f>O137+N138</f>
        <v>121.39999999999999</v>
      </c>
      <c r="P138" s="1">
        <v>91</v>
      </c>
      <c r="Q138" s="1">
        <f t="shared" si="17"/>
        <v>0.84205607476635513</v>
      </c>
      <c r="R138" s="9">
        <f t="shared" si="10"/>
        <v>0.58943925233644856</v>
      </c>
      <c r="S138" s="9">
        <f t="shared" si="11"/>
        <v>-0.58943925233644856</v>
      </c>
      <c r="T138" s="9">
        <f t="shared" si="15"/>
        <v>121.51056074766355</v>
      </c>
      <c r="V138" s="1">
        <v>232.1</v>
      </c>
      <c r="X138" s="1">
        <f t="shared" si="16"/>
        <v>48754.699999999983</v>
      </c>
      <c r="AA138" s="10">
        <v>8.5687101804135093</v>
      </c>
    </row>
    <row r="139" spans="1:27" s="1" customFormat="1" x14ac:dyDescent="0.25">
      <c r="A139" s="48"/>
      <c r="B139" s="11">
        <v>14</v>
      </c>
      <c r="C139" s="3">
        <v>41255</v>
      </c>
      <c r="D139" s="1">
        <v>-3.5</v>
      </c>
      <c r="E139" s="1">
        <v>-4.5</v>
      </c>
      <c r="F139" s="1">
        <v>-1.1000000000000001</v>
      </c>
      <c r="G139" s="1">
        <v>839.7</v>
      </c>
      <c r="J139" s="1">
        <v>0</v>
      </c>
      <c r="K139" s="1">
        <f t="shared" si="13"/>
        <v>285.59999999999985</v>
      </c>
      <c r="L139" s="1">
        <v>0.3</v>
      </c>
      <c r="M139" s="1">
        <f t="shared" si="14"/>
        <v>97.499999999999986</v>
      </c>
      <c r="N139" s="1">
        <v>-0.3</v>
      </c>
      <c r="O139" s="1">
        <f>O138+N139</f>
        <v>121.1</v>
      </c>
      <c r="P139" s="1">
        <v>92</v>
      </c>
      <c r="Q139" s="1">
        <f t="shared" si="17"/>
        <v>0.84813084112149528</v>
      </c>
      <c r="R139" s="9">
        <f t="shared" si="10"/>
        <v>0.2544392523364486</v>
      </c>
      <c r="S139" s="9">
        <f t="shared" si="11"/>
        <v>-0.2544392523364486</v>
      </c>
      <c r="T139" s="9">
        <f t="shared" si="15"/>
        <v>121.25612149532709</v>
      </c>
      <c r="V139" s="1">
        <v>371</v>
      </c>
      <c r="X139" s="1">
        <f t="shared" si="16"/>
        <v>49125.699999999983</v>
      </c>
      <c r="AA139" s="10">
        <v>8.5527554326342106</v>
      </c>
    </row>
    <row r="140" spans="1:27" s="1" customFormat="1" x14ac:dyDescent="0.25">
      <c r="A140" s="48"/>
      <c r="B140" s="11">
        <v>15</v>
      </c>
      <c r="C140" s="3">
        <v>41256</v>
      </c>
      <c r="D140" s="1">
        <v>-0.5</v>
      </c>
      <c r="E140" s="1">
        <v>-6.5</v>
      </c>
      <c r="F140" s="1">
        <v>3.3</v>
      </c>
      <c r="G140" s="1">
        <v>839.7</v>
      </c>
      <c r="J140" s="1">
        <v>3.8</v>
      </c>
      <c r="K140" s="1">
        <f t="shared" si="13"/>
        <v>289.39999999999986</v>
      </c>
      <c r="L140" s="1">
        <v>0.1</v>
      </c>
      <c r="M140" s="1">
        <f t="shared" si="14"/>
        <v>97.59999999999998</v>
      </c>
      <c r="N140" s="1">
        <v>3.6999999999999997</v>
      </c>
      <c r="O140" s="1">
        <v>122.1</v>
      </c>
      <c r="P140" s="1">
        <v>93</v>
      </c>
      <c r="Q140" s="1">
        <f t="shared" si="17"/>
        <v>0.85420560747663554</v>
      </c>
      <c r="R140" s="9">
        <f t="shared" si="10"/>
        <v>8.5420560747663563E-2</v>
      </c>
      <c r="S140" s="9">
        <f t="shared" si="11"/>
        <v>3.7145794392523364</v>
      </c>
      <c r="T140" s="9">
        <f t="shared" si="15"/>
        <v>122.1</v>
      </c>
      <c r="V140" s="1">
        <v>182.3</v>
      </c>
      <c r="X140" s="1">
        <f t="shared" si="16"/>
        <v>49307.999999999985</v>
      </c>
      <c r="AA140" s="10">
        <v>8.5381924572023298</v>
      </c>
    </row>
    <row r="141" spans="1:27" s="1" customFormat="1" x14ac:dyDescent="0.25">
      <c r="A141" s="48"/>
      <c r="B141" s="7"/>
      <c r="C141" s="3">
        <v>41257</v>
      </c>
      <c r="D141" s="1">
        <v>7.2</v>
      </c>
      <c r="E141" s="1">
        <v>2.6</v>
      </c>
      <c r="F141" s="1">
        <v>9.5</v>
      </c>
      <c r="G141" s="1">
        <f t="shared" si="12"/>
        <v>846.90000000000009</v>
      </c>
      <c r="J141" s="1">
        <v>18.899999999999999</v>
      </c>
      <c r="K141" s="1">
        <f t="shared" si="13"/>
        <v>308.29999999999984</v>
      </c>
      <c r="L141" s="1">
        <v>0.3</v>
      </c>
      <c r="M141" s="1">
        <f t="shared" si="14"/>
        <v>97.899999999999977</v>
      </c>
      <c r="N141" s="1">
        <v>18.599999999999998</v>
      </c>
      <c r="O141" s="1">
        <v>122.1</v>
      </c>
      <c r="P141" s="1">
        <v>94</v>
      </c>
      <c r="Q141" s="1">
        <f t="shared" si="17"/>
        <v>0.86028037383177569</v>
      </c>
      <c r="R141" s="9">
        <f t="shared" si="10"/>
        <v>0.2580841121495327</v>
      </c>
      <c r="S141" s="9">
        <f t="shared" si="11"/>
        <v>18.641915887850466</v>
      </c>
      <c r="T141" s="9">
        <f t="shared" si="15"/>
        <v>122.1</v>
      </c>
      <c r="V141" s="1">
        <v>257.10000000000002</v>
      </c>
      <c r="X141" s="1">
        <f t="shared" si="16"/>
        <v>49565.099999999984</v>
      </c>
      <c r="AA141" s="10">
        <v>8.5250379589255907</v>
      </c>
    </row>
    <row r="142" spans="1:27" s="1" customFormat="1" x14ac:dyDescent="0.25">
      <c r="A142" s="48"/>
      <c r="B142" s="7"/>
      <c r="C142" s="3">
        <v>41258</v>
      </c>
      <c r="D142" s="1">
        <v>9.1999999999999993</v>
      </c>
      <c r="E142" s="1">
        <v>8.9</v>
      </c>
      <c r="F142" s="1">
        <v>9.8000000000000007</v>
      </c>
      <c r="G142" s="1">
        <f t="shared" si="12"/>
        <v>856.10000000000014</v>
      </c>
      <c r="J142" s="1">
        <v>2.2000000000000002</v>
      </c>
      <c r="K142" s="1">
        <f t="shared" si="13"/>
        <v>310.49999999999983</v>
      </c>
      <c r="L142" s="1">
        <v>0.8</v>
      </c>
      <c r="M142" s="1">
        <f t="shared" si="14"/>
        <v>98.699999999999974</v>
      </c>
      <c r="N142" s="1">
        <v>1.4000000000000001</v>
      </c>
      <c r="O142" s="1">
        <v>122.1</v>
      </c>
      <c r="P142" s="1">
        <v>95</v>
      </c>
      <c r="Q142" s="1">
        <f t="shared" si="17"/>
        <v>0.86635514018691584</v>
      </c>
      <c r="R142" s="9">
        <f t="shared" si="10"/>
        <v>0.69308411214953269</v>
      </c>
      <c r="S142" s="9">
        <f t="shared" si="11"/>
        <v>1.5069158878504676</v>
      </c>
      <c r="T142" s="9">
        <f t="shared" si="15"/>
        <v>122.1</v>
      </c>
      <c r="V142" s="1">
        <v>87</v>
      </c>
      <c r="X142" s="1">
        <f t="shared" si="16"/>
        <v>49652.099999999984</v>
      </c>
      <c r="AA142" s="10">
        <v>8.5133072298683903</v>
      </c>
    </row>
    <row r="143" spans="1:27" s="1" customFormat="1" x14ac:dyDescent="0.25">
      <c r="A143" s="48"/>
      <c r="B143" s="7"/>
      <c r="C143" s="3">
        <v>41259</v>
      </c>
      <c r="D143" s="1">
        <v>8.6</v>
      </c>
      <c r="E143" s="1">
        <v>8.1999999999999993</v>
      </c>
      <c r="F143" s="1">
        <v>9.9</v>
      </c>
      <c r="G143" s="1">
        <f t="shared" si="12"/>
        <v>864.70000000000016</v>
      </c>
      <c r="J143" s="1">
        <v>3.7</v>
      </c>
      <c r="K143" s="1">
        <f t="shared" si="13"/>
        <v>314.19999999999982</v>
      </c>
      <c r="L143" s="1">
        <v>1.2</v>
      </c>
      <c r="M143" s="1">
        <f t="shared" si="14"/>
        <v>99.899999999999977</v>
      </c>
      <c r="N143" s="1">
        <v>2.5</v>
      </c>
      <c r="O143" s="1">
        <v>122.1</v>
      </c>
      <c r="P143" s="1">
        <v>96</v>
      </c>
      <c r="Q143" s="1">
        <f t="shared" si="17"/>
        <v>0.8724299065420561</v>
      </c>
      <c r="R143" s="9">
        <f t="shared" si="10"/>
        <v>1.0469158878504672</v>
      </c>
      <c r="S143" s="9">
        <f t="shared" si="11"/>
        <v>2.653084112149533</v>
      </c>
      <c r="T143" s="9">
        <f t="shared" si="15"/>
        <v>122.1</v>
      </c>
      <c r="V143" s="1">
        <v>247.5</v>
      </c>
      <c r="X143" s="1">
        <f t="shared" si="16"/>
        <v>49899.599999999984</v>
      </c>
      <c r="AA143" s="10">
        <v>8.5030140881210396</v>
      </c>
    </row>
    <row r="144" spans="1:27" s="1" customFormat="1" x14ac:dyDescent="0.25">
      <c r="A144" s="48"/>
      <c r="B144" s="7"/>
      <c r="C144" s="3">
        <v>41260</v>
      </c>
      <c r="D144" s="1">
        <v>7.1</v>
      </c>
      <c r="E144" s="1">
        <v>6.7</v>
      </c>
      <c r="F144" s="1">
        <v>8</v>
      </c>
      <c r="G144" s="1">
        <f t="shared" si="12"/>
        <v>871.80000000000018</v>
      </c>
      <c r="J144" s="1">
        <v>4.3</v>
      </c>
      <c r="K144" s="1">
        <f t="shared" si="13"/>
        <v>318.49999999999983</v>
      </c>
      <c r="L144" s="1">
        <v>0.6</v>
      </c>
      <c r="M144" s="1">
        <f t="shared" si="14"/>
        <v>100.49999999999997</v>
      </c>
      <c r="N144" s="1">
        <v>3.6999999999999997</v>
      </c>
      <c r="O144" s="1">
        <v>122.1</v>
      </c>
      <c r="P144" s="1">
        <v>97</v>
      </c>
      <c r="Q144" s="1">
        <f t="shared" si="17"/>
        <v>0.87850467289719625</v>
      </c>
      <c r="R144" s="9">
        <f t="shared" si="10"/>
        <v>0.52710280373831775</v>
      </c>
      <c r="S144" s="9">
        <f t="shared" si="11"/>
        <v>3.772897196261682</v>
      </c>
      <c r="T144" s="9">
        <f t="shared" si="15"/>
        <v>122.1</v>
      </c>
      <c r="V144" s="1">
        <v>93.3</v>
      </c>
      <c r="X144" s="1">
        <f t="shared" si="16"/>
        <v>49992.899999999987</v>
      </c>
      <c r="AA144" s="10">
        <v>8.4941708217041594</v>
      </c>
    </row>
    <row r="145" spans="1:27" s="1" customFormat="1" x14ac:dyDescent="0.25">
      <c r="A145" s="48"/>
      <c r="B145" s="7"/>
      <c r="C145" s="3">
        <v>41261</v>
      </c>
      <c r="D145" s="1">
        <v>6.2</v>
      </c>
      <c r="E145" s="1">
        <v>5.5</v>
      </c>
      <c r="F145" s="1">
        <v>8.3000000000000007</v>
      </c>
      <c r="G145" s="1">
        <f t="shared" si="12"/>
        <v>878.00000000000023</v>
      </c>
      <c r="J145" s="1">
        <v>4.4000000000000004</v>
      </c>
      <c r="K145" s="1">
        <f t="shared" si="13"/>
        <v>322.89999999999981</v>
      </c>
      <c r="L145" s="1">
        <v>0.6</v>
      </c>
      <c r="M145" s="1">
        <f t="shared" si="14"/>
        <v>101.09999999999997</v>
      </c>
      <c r="N145" s="1">
        <v>3.8000000000000003</v>
      </c>
      <c r="O145" s="1">
        <v>122.1</v>
      </c>
      <c r="P145" s="1">
        <v>98</v>
      </c>
      <c r="Q145" s="1">
        <f t="shared" si="17"/>
        <v>0.8845794392523364</v>
      </c>
      <c r="R145" s="9">
        <f t="shared" si="10"/>
        <v>0.53074766355140179</v>
      </c>
      <c r="S145" s="9">
        <f t="shared" si="11"/>
        <v>3.8692523364485987</v>
      </c>
      <c r="T145" s="9">
        <f t="shared" si="15"/>
        <v>122.1</v>
      </c>
      <c r="V145" s="1">
        <v>73.3</v>
      </c>
      <c r="X145" s="1">
        <f t="shared" si="16"/>
        <v>50066.19999999999</v>
      </c>
      <c r="AA145" s="10">
        <v>8.48678813807072</v>
      </c>
    </row>
    <row r="146" spans="1:27" s="1" customFormat="1" x14ac:dyDescent="0.25">
      <c r="A146" s="48"/>
      <c r="B146" s="11">
        <v>16</v>
      </c>
      <c r="C146" s="3">
        <v>41262</v>
      </c>
      <c r="D146" s="1">
        <v>3.7</v>
      </c>
      <c r="E146" s="1">
        <v>2.5</v>
      </c>
      <c r="F146" s="1">
        <v>4.2</v>
      </c>
      <c r="G146" s="1">
        <f t="shared" si="12"/>
        <v>881.70000000000027</v>
      </c>
      <c r="J146" s="1">
        <v>0.2</v>
      </c>
      <c r="K146" s="1">
        <f t="shared" si="13"/>
        <v>323.0999999999998</v>
      </c>
      <c r="L146" s="1">
        <v>0.3</v>
      </c>
      <c r="M146" s="1">
        <f t="shared" si="14"/>
        <v>101.39999999999996</v>
      </c>
      <c r="N146" s="1">
        <v>-9.9999999999999978E-2</v>
      </c>
      <c r="O146" s="1">
        <f>O145+N146</f>
        <v>122</v>
      </c>
      <c r="P146" s="1">
        <v>99</v>
      </c>
      <c r="Q146" s="1">
        <f t="shared" si="17"/>
        <v>0.89065420560747666</v>
      </c>
      <c r="R146" s="9">
        <f t="shared" si="10"/>
        <v>0.26719626168224297</v>
      </c>
      <c r="S146" s="9">
        <f t="shared" si="11"/>
        <v>-6.7196261682242964E-2</v>
      </c>
      <c r="T146" s="9">
        <f t="shared" si="15"/>
        <v>122.03280373831775</v>
      </c>
      <c r="V146" s="1">
        <v>386.4</v>
      </c>
      <c r="X146" s="1">
        <f t="shared" si="16"/>
        <v>50452.599999999991</v>
      </c>
      <c r="AA146" s="10">
        <v>8.4808751196294203</v>
      </c>
    </row>
    <row r="147" spans="1:27" s="1" customFormat="1" x14ac:dyDescent="0.25">
      <c r="A147" s="48"/>
      <c r="B147" s="11">
        <v>17</v>
      </c>
      <c r="C147" s="3">
        <v>41263</v>
      </c>
      <c r="D147" s="1">
        <v>4.9000000000000004</v>
      </c>
      <c r="E147" s="1">
        <v>3</v>
      </c>
      <c r="F147" s="1">
        <v>7.4</v>
      </c>
      <c r="G147" s="1">
        <f t="shared" si="12"/>
        <v>886.60000000000025</v>
      </c>
      <c r="J147" s="1">
        <v>10.5</v>
      </c>
      <c r="K147" s="1">
        <f t="shared" si="13"/>
        <v>333.5999999999998</v>
      </c>
      <c r="L147" s="1">
        <v>0.3</v>
      </c>
      <c r="M147" s="1">
        <f t="shared" si="14"/>
        <v>101.69999999999996</v>
      </c>
      <c r="N147" s="1">
        <v>10.199999999999999</v>
      </c>
      <c r="O147" s="1">
        <v>122.1</v>
      </c>
      <c r="P147" s="1">
        <v>100</v>
      </c>
      <c r="Q147" s="1">
        <f t="shared" si="17"/>
        <v>0.89672897196261681</v>
      </c>
      <c r="R147" s="9">
        <f t="shared" si="10"/>
        <v>0.26901869158878505</v>
      </c>
      <c r="S147" s="9">
        <f t="shared" si="11"/>
        <v>10.230981308411215</v>
      </c>
      <c r="T147" s="9">
        <f t="shared" si="15"/>
        <v>122.1</v>
      </c>
      <c r="V147" s="1">
        <v>70</v>
      </c>
      <c r="X147" s="1">
        <f t="shared" si="16"/>
        <v>50522.599999999991</v>
      </c>
      <c r="AA147" s="10">
        <v>8.4764391856680099</v>
      </c>
    </row>
    <row r="148" spans="1:27" s="1" customFormat="1" x14ac:dyDescent="0.25">
      <c r="A148" s="48"/>
      <c r="B148" s="7"/>
      <c r="C148" s="3">
        <v>41264</v>
      </c>
      <c r="D148" s="1">
        <v>6.4</v>
      </c>
      <c r="E148" s="1">
        <v>5.5</v>
      </c>
      <c r="F148" s="1">
        <v>7.4</v>
      </c>
      <c r="G148" s="1">
        <f t="shared" si="12"/>
        <v>893.00000000000023</v>
      </c>
      <c r="J148" s="1">
        <v>1.7</v>
      </c>
      <c r="K148" s="1">
        <f t="shared" si="13"/>
        <v>335.29999999999978</v>
      </c>
      <c r="L148" s="1">
        <v>0.2</v>
      </c>
      <c r="M148" s="1">
        <f t="shared" si="14"/>
        <v>101.89999999999996</v>
      </c>
      <c r="N148" s="1">
        <v>1.5</v>
      </c>
      <c r="O148" s="1">
        <v>122.1</v>
      </c>
      <c r="P148" s="1">
        <v>101</v>
      </c>
      <c r="Q148" s="1">
        <f t="shared" si="17"/>
        <v>0.90280373831775695</v>
      </c>
      <c r="R148" s="9">
        <f t="shared" si="10"/>
        <v>0.1805607476635514</v>
      </c>
      <c r="S148" s="9">
        <f t="shared" si="11"/>
        <v>1.5194392523364486</v>
      </c>
      <c r="T148" s="9">
        <f t="shared" si="15"/>
        <v>122.1</v>
      </c>
      <c r="V148" s="1">
        <v>183.8</v>
      </c>
      <c r="X148" s="1">
        <f t="shared" si="16"/>
        <v>50706.399999999994</v>
      </c>
      <c r="AA148" s="10">
        <v>8.4734860610048504</v>
      </c>
    </row>
    <row r="149" spans="1:27" s="1" customFormat="1" x14ac:dyDescent="0.25">
      <c r="A149" s="48"/>
      <c r="B149" s="7"/>
      <c r="C149" s="3">
        <v>41265</v>
      </c>
      <c r="D149" s="1">
        <v>5.8</v>
      </c>
      <c r="E149" s="1">
        <v>3.2</v>
      </c>
      <c r="F149" s="1">
        <v>10.6</v>
      </c>
      <c r="G149" s="1">
        <f t="shared" si="12"/>
        <v>898.80000000000018</v>
      </c>
      <c r="J149" s="1">
        <v>10.3</v>
      </c>
      <c r="K149" s="1">
        <f t="shared" si="13"/>
        <v>345.5999999999998</v>
      </c>
      <c r="L149" s="1">
        <v>0.7</v>
      </c>
      <c r="M149" s="1">
        <f t="shared" si="14"/>
        <v>102.59999999999997</v>
      </c>
      <c r="N149" s="1">
        <v>9.6000000000000014</v>
      </c>
      <c r="O149" s="1">
        <v>122.1</v>
      </c>
      <c r="P149" s="1">
        <v>102</v>
      </c>
      <c r="Q149" s="1">
        <f t="shared" si="17"/>
        <v>0.90887850467289721</v>
      </c>
      <c r="R149" s="9">
        <f t="shared" si="10"/>
        <v>0.63621495327102806</v>
      </c>
      <c r="S149" s="9">
        <f t="shared" si="11"/>
        <v>9.6637850467289734</v>
      </c>
      <c r="T149" s="9">
        <f t="shared" si="15"/>
        <v>122.1</v>
      </c>
      <c r="V149" s="1">
        <v>101.9</v>
      </c>
      <c r="X149" s="1">
        <f t="shared" si="16"/>
        <v>50808.299999999996</v>
      </c>
      <c r="AA149" s="10">
        <v>8.4720197516420797</v>
      </c>
    </row>
    <row r="150" spans="1:27" s="1" customFormat="1" x14ac:dyDescent="0.25">
      <c r="A150" s="48"/>
      <c r="B150" s="7"/>
      <c r="C150" s="3">
        <v>41266</v>
      </c>
      <c r="D150" s="1">
        <v>10.3</v>
      </c>
      <c r="E150" s="1">
        <v>6.9</v>
      </c>
      <c r="F150" s="1">
        <v>13</v>
      </c>
      <c r="G150" s="1">
        <f t="shared" si="12"/>
        <v>909.10000000000014</v>
      </c>
      <c r="J150" s="1">
        <v>0</v>
      </c>
      <c r="K150" s="1">
        <f t="shared" si="13"/>
        <v>345.5999999999998</v>
      </c>
      <c r="L150" s="1">
        <v>0.7</v>
      </c>
      <c r="M150" s="1">
        <f t="shared" si="14"/>
        <v>103.29999999999997</v>
      </c>
      <c r="N150" s="1">
        <v>-0.7</v>
      </c>
      <c r="O150" s="1">
        <f>O149+N150</f>
        <v>121.39999999999999</v>
      </c>
      <c r="P150" s="1">
        <v>103</v>
      </c>
      <c r="Q150" s="1">
        <f t="shared" si="17"/>
        <v>0.91495327102803736</v>
      </c>
      <c r="R150" s="9">
        <f t="shared" si="10"/>
        <v>0.64046728971962608</v>
      </c>
      <c r="S150" s="9">
        <f t="shared" si="11"/>
        <v>-0.64046728971962608</v>
      </c>
      <c r="T150" s="9">
        <f t="shared" si="15"/>
        <v>121.45953271028037</v>
      </c>
      <c r="V150" s="1">
        <v>223.2</v>
      </c>
      <c r="X150" s="1">
        <f t="shared" si="16"/>
        <v>51031.499999999993</v>
      </c>
      <c r="AA150" s="10">
        <v>8.4720425276340698</v>
      </c>
    </row>
    <row r="151" spans="1:27" s="1" customFormat="1" x14ac:dyDescent="0.25">
      <c r="A151" s="48"/>
      <c r="B151" s="7"/>
      <c r="C151" s="3">
        <v>41267</v>
      </c>
      <c r="D151" s="1">
        <v>8.8000000000000007</v>
      </c>
      <c r="E151" s="1">
        <v>3.1</v>
      </c>
      <c r="F151" s="1">
        <v>12.2</v>
      </c>
      <c r="G151" s="1">
        <f t="shared" si="12"/>
        <v>917.90000000000009</v>
      </c>
      <c r="J151" s="1">
        <v>0</v>
      </c>
      <c r="K151" s="1">
        <f t="shared" si="13"/>
        <v>345.5999999999998</v>
      </c>
      <c r="L151" s="1">
        <v>0.5</v>
      </c>
      <c r="M151" s="1">
        <f t="shared" si="14"/>
        <v>103.79999999999997</v>
      </c>
      <c r="N151" s="1">
        <v>-0.5</v>
      </c>
      <c r="O151" s="1">
        <f>O150+N151</f>
        <v>120.89999999999999</v>
      </c>
      <c r="P151" s="1">
        <v>104</v>
      </c>
      <c r="Q151" s="1">
        <f t="shared" si="17"/>
        <v>0.92102803738317751</v>
      </c>
      <c r="R151" s="9">
        <f t="shared" si="10"/>
        <v>0.46051401869158876</v>
      </c>
      <c r="S151" s="9">
        <f t="shared" si="11"/>
        <v>-0.46051401869158876</v>
      </c>
      <c r="T151" s="9">
        <f t="shared" si="15"/>
        <v>120.99901869158879</v>
      </c>
      <c r="V151" s="1">
        <v>245.7</v>
      </c>
      <c r="X151" s="1">
        <f t="shared" si="16"/>
        <v>51277.19999999999</v>
      </c>
      <c r="AA151" s="10">
        <v>8.4735549133228094</v>
      </c>
    </row>
    <row r="152" spans="1:27" s="1" customFormat="1" x14ac:dyDescent="0.25">
      <c r="A152" s="48"/>
      <c r="B152" s="7"/>
      <c r="C152" s="3">
        <v>41268</v>
      </c>
      <c r="D152" s="1">
        <v>11</v>
      </c>
      <c r="E152" s="1">
        <v>10.1</v>
      </c>
      <c r="F152" s="1">
        <v>12.7</v>
      </c>
      <c r="G152" s="1">
        <f t="shared" si="12"/>
        <v>928.90000000000009</v>
      </c>
      <c r="J152" s="1">
        <v>1.8</v>
      </c>
      <c r="K152" s="1">
        <f t="shared" si="13"/>
        <v>347.39999999999981</v>
      </c>
      <c r="L152" s="1">
        <v>1.9</v>
      </c>
      <c r="M152" s="1">
        <f t="shared" si="14"/>
        <v>105.69999999999997</v>
      </c>
      <c r="N152" s="1">
        <v>-9.9999999999999867E-2</v>
      </c>
      <c r="O152" s="1">
        <f>O151+N152</f>
        <v>120.8</v>
      </c>
      <c r="P152" s="1">
        <v>105</v>
      </c>
      <c r="Q152" s="1">
        <f t="shared" si="17"/>
        <v>0.92710280373831777</v>
      </c>
      <c r="R152" s="9">
        <f t="shared" si="10"/>
        <v>1.7614953271028038</v>
      </c>
      <c r="S152" s="9">
        <f t="shared" si="11"/>
        <v>3.8504672897196279E-2</v>
      </c>
      <c r="T152" s="9">
        <f t="shared" si="15"/>
        <v>121.03752336448598</v>
      </c>
      <c r="V152" s="1">
        <v>143.80000000000001</v>
      </c>
      <c r="X152" s="1">
        <f t="shared" si="16"/>
        <v>51420.999999999993</v>
      </c>
      <c r="AA152" s="10">
        <v>8.4765556850269004</v>
      </c>
    </row>
    <row r="153" spans="1:27" s="1" customFormat="1" x14ac:dyDescent="0.25">
      <c r="A153" s="48"/>
      <c r="B153" s="7"/>
      <c r="C153" s="3">
        <v>41269</v>
      </c>
      <c r="D153" s="1">
        <v>8.1</v>
      </c>
      <c r="E153" s="1">
        <v>7.2</v>
      </c>
      <c r="F153" s="1">
        <v>9.4</v>
      </c>
      <c r="G153" s="1">
        <f t="shared" si="12"/>
        <v>937.00000000000011</v>
      </c>
      <c r="J153" s="1">
        <v>2</v>
      </c>
      <c r="K153" s="1">
        <f t="shared" si="13"/>
        <v>349.39999999999981</v>
      </c>
      <c r="L153" s="1">
        <v>1.1000000000000001</v>
      </c>
      <c r="M153" s="1">
        <f t="shared" si="14"/>
        <v>106.79999999999997</v>
      </c>
      <c r="N153" s="1">
        <v>0.89999999999999991</v>
      </c>
      <c r="O153" s="1">
        <f>O152+N153</f>
        <v>121.7</v>
      </c>
      <c r="P153" s="1">
        <v>106</v>
      </c>
      <c r="Q153" s="1">
        <f t="shared" si="17"/>
        <v>0.93317757009345792</v>
      </c>
      <c r="R153" s="9">
        <f t="shared" si="10"/>
        <v>1.0264953271028039</v>
      </c>
      <c r="S153" s="9">
        <f t="shared" si="11"/>
        <v>0.97350467289719611</v>
      </c>
      <c r="T153" s="9">
        <f t="shared" si="15"/>
        <v>122.01102803738317</v>
      </c>
      <c r="V153" s="1">
        <v>313.60000000000002</v>
      </c>
      <c r="X153" s="1">
        <f t="shared" si="16"/>
        <v>51734.599999999991</v>
      </c>
      <c r="AA153" s="10">
        <v>8.48104187620463</v>
      </c>
    </row>
    <row r="154" spans="1:27" s="1" customFormat="1" x14ac:dyDescent="0.25">
      <c r="A154" s="48"/>
      <c r="B154" s="7"/>
      <c r="C154" s="3">
        <v>41270</v>
      </c>
      <c r="D154" s="1">
        <v>8.6999999999999993</v>
      </c>
      <c r="E154" s="1">
        <v>7.4</v>
      </c>
      <c r="F154" s="1">
        <v>10.3</v>
      </c>
      <c r="G154" s="1">
        <f t="shared" si="12"/>
        <v>945.70000000000016</v>
      </c>
      <c r="J154" s="1">
        <v>9</v>
      </c>
      <c r="K154" s="1">
        <f t="shared" si="13"/>
        <v>358.39999999999981</v>
      </c>
      <c r="L154" s="1">
        <v>1.3</v>
      </c>
      <c r="M154" s="1">
        <f t="shared" si="14"/>
        <v>108.09999999999997</v>
      </c>
      <c r="N154" s="1">
        <v>7.7</v>
      </c>
      <c r="O154" s="1">
        <v>122.1</v>
      </c>
      <c r="P154" s="1">
        <v>107</v>
      </c>
      <c r="Q154" s="1">
        <f t="shared" si="17"/>
        <v>0.93925233644859807</v>
      </c>
      <c r="R154" s="9">
        <f t="shared" si="10"/>
        <v>1.2210280373831774</v>
      </c>
      <c r="S154" s="9">
        <f t="shared" si="11"/>
        <v>7.7789719626168221</v>
      </c>
      <c r="T154" s="9">
        <f t="shared" si="15"/>
        <v>122.1</v>
      </c>
      <c r="V154" s="1">
        <v>105.4</v>
      </c>
      <c r="X154" s="1">
        <f t="shared" si="16"/>
        <v>51839.999999999993</v>
      </c>
      <c r="AA154" s="10">
        <v>8.4870087900457207</v>
      </c>
    </row>
    <row r="155" spans="1:27" s="1" customFormat="1" x14ac:dyDescent="0.25">
      <c r="A155" s="48"/>
      <c r="B155" s="7"/>
      <c r="C155" s="3">
        <v>41271</v>
      </c>
      <c r="D155" s="1">
        <v>6.8</v>
      </c>
      <c r="E155" s="1">
        <v>5.0999999999999996</v>
      </c>
      <c r="F155" s="1">
        <v>7.6</v>
      </c>
      <c r="G155" s="1">
        <f t="shared" si="12"/>
        <v>952.50000000000011</v>
      </c>
      <c r="J155" s="1">
        <v>0.1</v>
      </c>
      <c r="K155" s="1">
        <f t="shared" si="13"/>
        <v>358.49999999999983</v>
      </c>
      <c r="L155" s="1">
        <v>0.4</v>
      </c>
      <c r="M155" s="1">
        <f t="shared" si="14"/>
        <v>108.49999999999997</v>
      </c>
      <c r="N155" s="1">
        <v>-0.30000000000000004</v>
      </c>
      <c r="O155" s="1">
        <f>O154+N155</f>
        <v>121.8</v>
      </c>
      <c r="P155" s="1">
        <v>108</v>
      </c>
      <c r="Q155" s="1">
        <f t="shared" si="17"/>
        <v>0.94532710280373833</v>
      </c>
      <c r="R155" s="9">
        <f t="shared" si="10"/>
        <v>0.37813084112149536</v>
      </c>
      <c r="S155" s="9">
        <f t="shared" si="11"/>
        <v>-0.27813084112149533</v>
      </c>
      <c r="T155" s="9">
        <f t="shared" si="15"/>
        <v>121.8218691588785</v>
      </c>
      <c r="V155" s="1">
        <v>144.69999999999999</v>
      </c>
      <c r="X155" s="1">
        <f t="shared" si="16"/>
        <v>51984.69999999999</v>
      </c>
      <c r="AA155" s="10">
        <v>8.4944500193799701</v>
      </c>
    </row>
    <row r="156" spans="1:27" s="1" customFormat="1" x14ac:dyDescent="0.25">
      <c r="A156" s="48"/>
      <c r="B156" s="7"/>
      <c r="C156" s="3">
        <v>41272</v>
      </c>
      <c r="D156" s="1">
        <v>7.9</v>
      </c>
      <c r="E156" s="1">
        <v>2.7</v>
      </c>
      <c r="F156" s="1">
        <v>10.7</v>
      </c>
      <c r="G156" s="1">
        <f t="shared" si="12"/>
        <v>960.40000000000009</v>
      </c>
      <c r="J156" s="1">
        <v>0</v>
      </c>
      <c r="K156" s="1">
        <f t="shared" si="13"/>
        <v>358.49999999999983</v>
      </c>
      <c r="L156" s="1">
        <v>0.9</v>
      </c>
      <c r="M156" s="1">
        <f t="shared" si="14"/>
        <v>109.39999999999998</v>
      </c>
      <c r="N156" s="1">
        <v>-0.9</v>
      </c>
      <c r="O156" s="1">
        <f>O155+N156</f>
        <v>120.89999999999999</v>
      </c>
      <c r="P156" s="1">
        <v>109</v>
      </c>
      <c r="Q156" s="1">
        <f t="shared" si="17"/>
        <v>0.95140186915887848</v>
      </c>
      <c r="R156" s="9">
        <f t="shared" si="10"/>
        <v>0.8562616822429906</v>
      </c>
      <c r="S156" s="9">
        <f t="shared" si="11"/>
        <v>-0.8562616822429906</v>
      </c>
      <c r="T156" s="9">
        <f t="shared" si="15"/>
        <v>120.96560747663551</v>
      </c>
      <c r="V156" s="1">
        <v>297.89999999999998</v>
      </c>
      <c r="X156" s="1">
        <f t="shared" si="16"/>
        <v>52282.599999999991</v>
      </c>
      <c r="AA156" s="10">
        <v>8.5033574737276094</v>
      </c>
    </row>
    <row r="157" spans="1:27" s="1" customFormat="1" x14ac:dyDescent="0.25">
      <c r="A157" s="48"/>
      <c r="B157" s="7"/>
      <c r="C157" s="3">
        <v>41273</v>
      </c>
      <c r="D157" s="1">
        <v>7.4</v>
      </c>
      <c r="E157" s="1">
        <v>6</v>
      </c>
      <c r="F157" s="1">
        <v>10.4</v>
      </c>
      <c r="G157" s="1">
        <f t="shared" si="12"/>
        <v>967.80000000000007</v>
      </c>
      <c r="J157" s="1">
        <v>0.2</v>
      </c>
      <c r="K157" s="1">
        <f t="shared" si="13"/>
        <v>358.69999999999982</v>
      </c>
      <c r="L157" s="1">
        <v>1.4</v>
      </c>
      <c r="M157" s="1">
        <f t="shared" si="14"/>
        <v>110.79999999999998</v>
      </c>
      <c r="N157" s="1">
        <v>-1.2</v>
      </c>
      <c r="O157" s="1">
        <f>O156+N157</f>
        <v>119.69999999999999</v>
      </c>
      <c r="P157" s="1">
        <v>110</v>
      </c>
      <c r="Q157" s="1">
        <f t="shared" si="17"/>
        <v>0.95747663551401874</v>
      </c>
      <c r="R157" s="9">
        <f t="shared" si="10"/>
        <v>1.3404672897196261</v>
      </c>
      <c r="S157" s="9">
        <f t="shared" si="11"/>
        <v>-1.1404672897196262</v>
      </c>
      <c r="T157" s="9">
        <f t="shared" si="15"/>
        <v>119.82514018691589</v>
      </c>
      <c r="V157" s="1">
        <v>353.2</v>
      </c>
      <c r="X157" s="1">
        <f t="shared" si="16"/>
        <v>52635.799999999988</v>
      </c>
      <c r="AA157" s="10">
        <v>8.5137214132544194</v>
      </c>
    </row>
    <row r="158" spans="1:27" s="1" customFormat="1" x14ac:dyDescent="0.25">
      <c r="A158" s="48"/>
      <c r="B158" s="7"/>
      <c r="C158" s="3">
        <v>41274</v>
      </c>
      <c r="D158" s="1">
        <v>5.6</v>
      </c>
      <c r="E158" s="1">
        <v>3.3</v>
      </c>
      <c r="F158" s="1">
        <v>8.6999999999999993</v>
      </c>
      <c r="G158" s="1">
        <f t="shared" si="12"/>
        <v>973.40000000000009</v>
      </c>
      <c r="J158" s="1">
        <v>3.2</v>
      </c>
      <c r="K158" s="1">
        <f t="shared" si="13"/>
        <v>361.89999999999981</v>
      </c>
      <c r="L158" s="1">
        <v>0.8</v>
      </c>
      <c r="M158" s="1">
        <f t="shared" si="14"/>
        <v>111.59999999999998</v>
      </c>
      <c r="N158" s="1">
        <v>2.4000000000000004</v>
      </c>
      <c r="O158" s="1">
        <f>O157+N158</f>
        <v>122.1</v>
      </c>
      <c r="P158" s="1">
        <v>111</v>
      </c>
      <c r="Q158" s="1">
        <f t="shared" si="17"/>
        <v>0.96355140186915889</v>
      </c>
      <c r="R158" s="9">
        <f t="shared" si="10"/>
        <v>0.77084112149532713</v>
      </c>
      <c r="S158" s="9">
        <f t="shared" si="11"/>
        <v>2.4291588785046732</v>
      </c>
      <c r="T158" s="9">
        <f t="shared" si="15"/>
        <v>122.1</v>
      </c>
      <c r="V158" s="1">
        <v>276.8</v>
      </c>
      <c r="X158" s="1">
        <f t="shared" si="16"/>
        <v>52912.599999999991</v>
      </c>
      <c r="AA158" s="10">
        <v>8.5255304893372497</v>
      </c>
    </row>
    <row r="159" spans="1:27" s="1" customFormat="1" x14ac:dyDescent="0.25">
      <c r="A159" s="48"/>
      <c r="B159" s="7"/>
      <c r="C159" s="3">
        <v>41275</v>
      </c>
      <c r="D159" s="1">
        <v>5.8</v>
      </c>
      <c r="E159" s="1">
        <v>4.2</v>
      </c>
      <c r="F159" s="1">
        <v>7.3</v>
      </c>
      <c r="G159" s="1">
        <f t="shared" si="12"/>
        <v>979.2</v>
      </c>
      <c r="J159" s="1">
        <v>7</v>
      </c>
      <c r="K159" s="1">
        <f t="shared" si="13"/>
        <v>368.89999999999981</v>
      </c>
      <c r="L159" s="1">
        <v>0.3</v>
      </c>
      <c r="M159" s="1">
        <f t="shared" si="14"/>
        <v>111.89999999999998</v>
      </c>
      <c r="N159" s="1">
        <v>6.7</v>
      </c>
      <c r="O159" s="1">
        <v>122.1</v>
      </c>
      <c r="P159" s="1">
        <v>112</v>
      </c>
      <c r="Q159" s="1">
        <f t="shared" si="17"/>
        <v>0.96962616822429903</v>
      </c>
      <c r="R159" s="9">
        <f t="shared" si="10"/>
        <v>0.29088785046728971</v>
      </c>
      <c r="S159" s="9">
        <f t="shared" si="11"/>
        <v>6.70911214953271</v>
      </c>
      <c r="T159" s="9">
        <f t="shared" si="15"/>
        <v>122.1</v>
      </c>
      <c r="V159" s="1">
        <v>88.6</v>
      </c>
      <c r="X159" s="1">
        <f t="shared" si="16"/>
        <v>53001.19999999999</v>
      </c>
      <c r="AA159" s="10">
        <v>8.5430425045266798</v>
      </c>
    </row>
    <row r="160" spans="1:27" s="1" customFormat="1" x14ac:dyDescent="0.25">
      <c r="A160" s="48"/>
      <c r="B160" s="11">
        <v>18</v>
      </c>
      <c r="C160" s="3">
        <v>41276</v>
      </c>
      <c r="D160" s="1">
        <v>2</v>
      </c>
      <c r="E160" s="1">
        <v>0.7</v>
      </c>
      <c r="F160" s="1">
        <v>4.9000000000000004</v>
      </c>
      <c r="G160" s="1">
        <f t="shared" si="12"/>
        <v>981.2</v>
      </c>
      <c r="J160" s="1">
        <v>0</v>
      </c>
      <c r="K160" s="1">
        <f t="shared" si="13"/>
        <v>368.89999999999981</v>
      </c>
      <c r="L160" s="1">
        <v>0.2</v>
      </c>
      <c r="M160" s="1">
        <f t="shared" si="14"/>
        <v>112.09999999999998</v>
      </c>
      <c r="N160" s="1">
        <v>-0.2</v>
      </c>
      <c r="O160" s="1">
        <f t="shared" ref="O160:O166" si="19">O159+N160</f>
        <v>121.89999999999999</v>
      </c>
      <c r="P160" s="1">
        <v>113</v>
      </c>
      <c r="Q160" s="1">
        <f t="shared" si="17"/>
        <v>0.97570093457943929</v>
      </c>
      <c r="R160" s="9">
        <f t="shared" si="10"/>
        <v>0.19514018691588786</v>
      </c>
      <c r="S160" s="9">
        <f t="shared" si="11"/>
        <v>-0.19514018691588786</v>
      </c>
      <c r="T160" s="9">
        <f t="shared" si="15"/>
        <v>121.9048598130841</v>
      </c>
      <c r="V160" s="1">
        <v>218.3</v>
      </c>
      <c r="X160" s="1">
        <f t="shared" si="16"/>
        <v>53219.499999999993</v>
      </c>
      <c r="AA160" s="10">
        <v>8.5581259917503303</v>
      </c>
    </row>
    <row r="161" spans="1:27" s="1" customFormat="1" x14ac:dyDescent="0.25">
      <c r="A161" s="48"/>
      <c r="B161" s="11">
        <v>19</v>
      </c>
      <c r="C161" s="3">
        <v>41277</v>
      </c>
      <c r="D161" s="1">
        <v>2.9</v>
      </c>
      <c r="E161" s="1">
        <v>-1.3</v>
      </c>
      <c r="F161" s="1">
        <v>5</v>
      </c>
      <c r="G161" s="1">
        <f t="shared" si="12"/>
        <v>984.1</v>
      </c>
      <c r="J161" s="1">
        <v>0.4</v>
      </c>
      <c r="K161" s="1">
        <f t="shared" si="13"/>
        <v>369.29999999999978</v>
      </c>
      <c r="L161" s="1">
        <v>0.3</v>
      </c>
      <c r="M161" s="1">
        <f t="shared" si="14"/>
        <v>112.39999999999998</v>
      </c>
      <c r="N161" s="1">
        <v>0.10000000000000003</v>
      </c>
      <c r="O161" s="1">
        <f t="shared" si="19"/>
        <v>121.99999999999999</v>
      </c>
      <c r="P161" s="1">
        <v>114</v>
      </c>
      <c r="Q161" s="1">
        <f t="shared" si="17"/>
        <v>0.98177570093457944</v>
      </c>
      <c r="R161" s="9">
        <f t="shared" si="10"/>
        <v>0.29453271028037381</v>
      </c>
      <c r="S161" s="9">
        <f t="shared" si="11"/>
        <v>0.10546728971962621</v>
      </c>
      <c r="T161" s="9">
        <f t="shared" si="15"/>
        <v>122.01032710280373</v>
      </c>
      <c r="V161" s="1">
        <v>124.1</v>
      </c>
      <c r="X161" s="1">
        <f t="shared" si="16"/>
        <v>53343.599999999991</v>
      </c>
      <c r="AA161" s="10">
        <v>8.5746063541320794</v>
      </c>
    </row>
    <row r="162" spans="1:27" s="1" customFormat="1" x14ac:dyDescent="0.25">
      <c r="A162" s="48"/>
      <c r="B162" s="7"/>
      <c r="C162" s="3">
        <v>41278</v>
      </c>
      <c r="D162" s="1">
        <v>6.4</v>
      </c>
      <c r="E162" s="1">
        <v>4.8</v>
      </c>
      <c r="F162" s="1">
        <v>7.8</v>
      </c>
      <c r="G162" s="1">
        <f t="shared" si="12"/>
        <v>990.5</v>
      </c>
      <c r="J162" s="1">
        <v>0.4</v>
      </c>
      <c r="K162" s="1">
        <f t="shared" si="13"/>
        <v>369.69999999999976</v>
      </c>
      <c r="L162" s="1">
        <v>0.3</v>
      </c>
      <c r="M162" s="1">
        <f t="shared" si="14"/>
        <v>112.69999999999997</v>
      </c>
      <c r="N162" s="1">
        <v>0.10000000000000003</v>
      </c>
      <c r="O162" s="1">
        <f t="shared" si="19"/>
        <v>122.09999999999998</v>
      </c>
      <c r="P162" s="1">
        <v>115</v>
      </c>
      <c r="Q162" s="1">
        <f t="shared" si="17"/>
        <v>0.98785046728971959</v>
      </c>
      <c r="R162" s="9">
        <f t="shared" si="10"/>
        <v>0.29635514018691589</v>
      </c>
      <c r="S162" s="9">
        <f t="shared" si="11"/>
        <v>0.10364485981308413</v>
      </c>
      <c r="T162" s="9">
        <f t="shared" si="15"/>
        <v>122.1</v>
      </c>
      <c r="V162" s="1">
        <v>146.4</v>
      </c>
      <c r="X162" s="1">
        <f t="shared" si="16"/>
        <v>53489.999999999993</v>
      </c>
      <c r="AA162" s="10">
        <v>8.5924659271907196</v>
      </c>
    </row>
    <row r="163" spans="1:27" s="1" customFormat="1" x14ac:dyDescent="0.25">
      <c r="A163" s="48"/>
      <c r="B163" s="7"/>
      <c r="C163" s="3">
        <v>41279</v>
      </c>
      <c r="D163" s="1">
        <v>6.5</v>
      </c>
      <c r="E163" s="1">
        <v>6.3</v>
      </c>
      <c r="F163" s="1">
        <v>6.8</v>
      </c>
      <c r="G163" s="1">
        <f t="shared" si="12"/>
        <v>997</v>
      </c>
      <c r="J163" s="1">
        <v>0</v>
      </c>
      <c r="K163" s="1">
        <f t="shared" si="13"/>
        <v>369.69999999999976</v>
      </c>
      <c r="L163" s="1">
        <v>0.2</v>
      </c>
      <c r="M163" s="1">
        <f t="shared" si="14"/>
        <v>112.89999999999998</v>
      </c>
      <c r="N163" s="1">
        <v>-0.2</v>
      </c>
      <c r="O163" s="1">
        <f t="shared" si="19"/>
        <v>121.89999999999998</v>
      </c>
      <c r="P163" s="1">
        <v>116</v>
      </c>
      <c r="Q163" s="1">
        <f t="shared" si="17"/>
        <v>0.99392523364485985</v>
      </c>
      <c r="R163" s="9">
        <f t="shared" si="10"/>
        <v>0.19878504672897199</v>
      </c>
      <c r="S163" s="9">
        <f t="shared" si="11"/>
        <v>-0.19878504672897199</v>
      </c>
      <c r="T163" s="9">
        <f t="shared" si="15"/>
        <v>121.90121495327102</v>
      </c>
      <c r="V163" s="1">
        <v>127.6</v>
      </c>
      <c r="X163" s="1">
        <f t="shared" si="16"/>
        <v>53617.599999999991</v>
      </c>
      <c r="AA163" s="10">
        <v>8.6116857470365797</v>
      </c>
    </row>
    <row r="164" spans="1:27" s="28" customFormat="1" ht="15.75" thickBot="1" x14ac:dyDescent="0.3">
      <c r="A164" s="48"/>
      <c r="B164" s="26"/>
      <c r="C164" s="27">
        <v>41280</v>
      </c>
      <c r="D164" s="28">
        <v>6.2</v>
      </c>
      <c r="E164" s="28">
        <v>5.8</v>
      </c>
      <c r="F164" s="28">
        <v>7</v>
      </c>
      <c r="G164" s="28">
        <f t="shared" si="12"/>
        <v>1003.2</v>
      </c>
      <c r="J164" s="28">
        <v>0</v>
      </c>
      <c r="K164" s="28">
        <f t="shared" si="13"/>
        <v>369.69999999999976</v>
      </c>
      <c r="L164" s="28">
        <v>0.5</v>
      </c>
      <c r="M164" s="28">
        <f t="shared" si="14"/>
        <v>113.39999999999998</v>
      </c>
      <c r="N164" s="28">
        <v>-0.5</v>
      </c>
      <c r="O164" s="28">
        <f t="shared" si="19"/>
        <v>121.39999999999998</v>
      </c>
      <c r="P164" s="28">
        <v>117</v>
      </c>
      <c r="Q164" s="28">
        <f t="shared" si="17"/>
        <v>1</v>
      </c>
      <c r="R164" s="29">
        <f t="shared" si="10"/>
        <v>0.5</v>
      </c>
      <c r="S164" s="29">
        <f t="shared" si="11"/>
        <v>-0.5</v>
      </c>
      <c r="T164" s="29">
        <f t="shared" si="15"/>
        <v>121.40121495327102</v>
      </c>
      <c r="V164" s="28">
        <v>235</v>
      </c>
      <c r="W164" s="28">
        <f>(X164/100)/G164</f>
        <v>0.53680821371610843</v>
      </c>
      <c r="X164" s="28">
        <f t="shared" si="16"/>
        <v>53852.599999999991</v>
      </c>
      <c r="AA164" s="30">
        <v>8.6322456228808804</v>
      </c>
    </row>
    <row r="165" spans="1:27" s="1" customFormat="1" x14ac:dyDescent="0.25">
      <c r="A165" s="49" t="s">
        <v>19</v>
      </c>
      <c r="B165" s="11">
        <v>20</v>
      </c>
      <c r="C165" s="3">
        <v>41281</v>
      </c>
      <c r="D165" s="1">
        <v>4.7</v>
      </c>
      <c r="E165" s="1">
        <v>4.2</v>
      </c>
      <c r="F165" s="1">
        <v>5.3</v>
      </c>
      <c r="G165" s="1">
        <f t="shared" si="12"/>
        <v>1007.9000000000001</v>
      </c>
      <c r="H165" s="1">
        <f>D165</f>
        <v>4.7</v>
      </c>
      <c r="I165" s="12" t="s">
        <v>3</v>
      </c>
      <c r="J165" s="1">
        <v>0</v>
      </c>
      <c r="K165" s="1">
        <f t="shared" si="13"/>
        <v>369.69999999999976</v>
      </c>
      <c r="L165" s="1">
        <v>0.3</v>
      </c>
      <c r="M165" s="1">
        <f t="shared" si="14"/>
        <v>113.69999999999997</v>
      </c>
      <c r="N165" s="1">
        <v>-0.3</v>
      </c>
      <c r="O165" s="1">
        <f t="shared" si="19"/>
        <v>121.09999999999998</v>
      </c>
      <c r="P165" s="1">
        <v>118</v>
      </c>
      <c r="Q165" s="1">
        <v>1</v>
      </c>
      <c r="R165" s="9">
        <f t="shared" si="10"/>
        <v>0.3</v>
      </c>
      <c r="S165" s="9">
        <f t="shared" si="11"/>
        <v>-0.3</v>
      </c>
      <c r="T165" s="9">
        <f t="shared" si="15"/>
        <v>121.10121495327103</v>
      </c>
      <c r="U165" s="12" t="s">
        <v>4</v>
      </c>
      <c r="V165" s="1">
        <v>179.6</v>
      </c>
      <c r="X165" s="1">
        <f t="shared" si="16"/>
        <v>54032.19999999999</v>
      </c>
      <c r="Y165" s="1">
        <f>V165</f>
        <v>179.6</v>
      </c>
      <c r="Z165" s="12" t="s">
        <v>5</v>
      </c>
      <c r="AA165" s="10">
        <v>8.6541242127502596</v>
      </c>
    </row>
    <row r="166" spans="1:27" s="1" customFormat="1" x14ac:dyDescent="0.25">
      <c r="A166" s="49"/>
      <c r="B166" s="11">
        <v>21</v>
      </c>
      <c r="C166" s="3">
        <v>41282</v>
      </c>
      <c r="D166" s="1">
        <v>2.6</v>
      </c>
      <c r="E166" s="1">
        <v>2.2000000000000002</v>
      </c>
      <c r="F166" s="1">
        <v>3</v>
      </c>
      <c r="G166" s="1">
        <f t="shared" si="12"/>
        <v>1010.5000000000001</v>
      </c>
      <c r="H166" s="1">
        <f>H165+D166</f>
        <v>7.3000000000000007</v>
      </c>
      <c r="I166" s="1">
        <f>MIN(E165:E222)</f>
        <v>-6.2</v>
      </c>
      <c r="J166" s="1">
        <v>0</v>
      </c>
      <c r="K166" s="1">
        <f t="shared" si="13"/>
        <v>369.69999999999976</v>
      </c>
      <c r="L166" s="1">
        <v>0.3</v>
      </c>
      <c r="M166" s="1">
        <f t="shared" si="14"/>
        <v>113.99999999999997</v>
      </c>
      <c r="N166" s="1">
        <v>-0.3</v>
      </c>
      <c r="O166" s="1">
        <f t="shared" si="19"/>
        <v>120.79999999999998</v>
      </c>
      <c r="P166" s="1">
        <v>119</v>
      </c>
      <c r="Q166" s="1">
        <v>1</v>
      </c>
      <c r="R166" s="9">
        <f t="shared" si="10"/>
        <v>0.3</v>
      </c>
      <c r="S166" s="9">
        <f t="shared" si="11"/>
        <v>-0.3</v>
      </c>
      <c r="T166" s="9">
        <f t="shared" si="15"/>
        <v>120.80121495327103</v>
      </c>
      <c r="U166" s="1">
        <v>39</v>
      </c>
      <c r="V166" s="1">
        <v>194</v>
      </c>
      <c r="X166" s="1">
        <f t="shared" si="16"/>
        <v>54226.19999999999</v>
      </c>
      <c r="Y166" s="1">
        <f>Y165+V166</f>
        <v>373.6</v>
      </c>
      <c r="Z166" s="1">
        <v>24071.900000000005</v>
      </c>
      <c r="AA166" s="10">
        <v>8.6772991018493499</v>
      </c>
    </row>
    <row r="167" spans="1:27" s="1" customFormat="1" x14ac:dyDescent="0.25">
      <c r="A167" s="49"/>
      <c r="B167" s="11">
        <v>22</v>
      </c>
      <c r="C167" s="3">
        <v>41283</v>
      </c>
      <c r="D167" s="1">
        <v>0.8</v>
      </c>
      <c r="E167" s="1">
        <v>0.6</v>
      </c>
      <c r="F167" s="1">
        <v>1</v>
      </c>
      <c r="G167" s="1">
        <f t="shared" si="12"/>
        <v>1011.3000000000001</v>
      </c>
      <c r="H167" s="1">
        <f t="shared" ref="H167:H229" si="20">H166+D167</f>
        <v>8.1000000000000014</v>
      </c>
      <c r="I167" s="12" t="s">
        <v>6</v>
      </c>
      <c r="J167" s="1">
        <v>2.1</v>
      </c>
      <c r="K167" s="1">
        <f t="shared" si="13"/>
        <v>371.79999999999978</v>
      </c>
      <c r="L167" s="1">
        <v>0.4</v>
      </c>
      <c r="M167" s="1">
        <f t="shared" si="14"/>
        <v>114.39999999999998</v>
      </c>
      <c r="N167" s="1">
        <v>1.7000000000000002</v>
      </c>
      <c r="O167" s="1">
        <v>122.1</v>
      </c>
      <c r="P167" s="1">
        <v>120</v>
      </c>
      <c r="Q167" s="1">
        <v>1</v>
      </c>
      <c r="R167" s="9">
        <f t="shared" si="10"/>
        <v>0.4</v>
      </c>
      <c r="S167" s="9">
        <f t="shared" si="11"/>
        <v>1.7000000000000002</v>
      </c>
      <c r="T167" s="9">
        <f t="shared" si="15"/>
        <v>122.1</v>
      </c>
      <c r="U167" s="12" t="s">
        <v>7</v>
      </c>
      <c r="V167" s="1">
        <v>113.4</v>
      </c>
      <c r="X167" s="1">
        <f t="shared" si="16"/>
        <v>54339.599999999991</v>
      </c>
      <c r="Y167" s="1">
        <f t="shared" ref="Y167:Y230" si="21">Y166+V167</f>
        <v>487</v>
      </c>
      <c r="Z167" s="12" t="s">
        <v>8</v>
      </c>
      <c r="AA167" s="10">
        <v>8.7017468830134099</v>
      </c>
    </row>
    <row r="168" spans="1:27" s="1" customFormat="1" x14ac:dyDescent="0.25">
      <c r="A168" s="49"/>
      <c r="B168" s="11">
        <v>23</v>
      </c>
      <c r="C168" s="3">
        <v>41284</v>
      </c>
      <c r="D168" s="1">
        <v>2.4</v>
      </c>
      <c r="E168" s="1">
        <v>0.8</v>
      </c>
      <c r="F168" s="1">
        <v>6.1</v>
      </c>
      <c r="G168" s="1">
        <f t="shared" si="12"/>
        <v>1013.7</v>
      </c>
      <c r="H168" s="1">
        <f t="shared" si="20"/>
        <v>10.500000000000002</v>
      </c>
      <c r="I168" s="1">
        <f>MAX(F165:F222)</f>
        <v>15.2</v>
      </c>
      <c r="J168" s="1">
        <v>9.3000000000000007</v>
      </c>
      <c r="K168" s="1">
        <f t="shared" si="13"/>
        <v>381.0999999999998</v>
      </c>
      <c r="L168" s="1">
        <v>0.5</v>
      </c>
      <c r="M168" s="1">
        <f t="shared" si="14"/>
        <v>114.89999999999998</v>
      </c>
      <c r="N168" s="1">
        <v>8.8000000000000007</v>
      </c>
      <c r="O168" s="1">
        <v>122.1</v>
      </c>
      <c r="P168" s="1">
        <v>121</v>
      </c>
      <c r="Q168" s="1">
        <v>1</v>
      </c>
      <c r="R168" s="9">
        <f t="shared" si="10"/>
        <v>0.5</v>
      </c>
      <c r="S168" s="9">
        <f t="shared" si="11"/>
        <v>8.8000000000000007</v>
      </c>
      <c r="T168" s="9">
        <f t="shared" si="15"/>
        <v>122.1</v>
      </c>
      <c r="U168" s="1">
        <v>0</v>
      </c>
      <c r="V168" s="1">
        <v>106.1</v>
      </c>
      <c r="X168" s="1">
        <f t="shared" si="16"/>
        <v>54445.69999999999</v>
      </c>
      <c r="Y168" s="1">
        <f t="shared" si="21"/>
        <v>593.1</v>
      </c>
      <c r="Z168" s="1">
        <f>(Z166/100)/I178</f>
        <v>2.1097195442594221</v>
      </c>
      <c r="AA168" s="10">
        <v>8.7274432386980507</v>
      </c>
    </row>
    <row r="169" spans="1:27" s="1" customFormat="1" x14ac:dyDescent="0.25">
      <c r="A169" s="49"/>
      <c r="B169" s="11">
        <v>24</v>
      </c>
      <c r="C169" s="3">
        <v>41285</v>
      </c>
      <c r="D169" s="1">
        <v>4.5</v>
      </c>
      <c r="E169" s="1">
        <v>3.4</v>
      </c>
      <c r="F169" s="1">
        <v>6</v>
      </c>
      <c r="G169" s="1">
        <f t="shared" si="12"/>
        <v>1018.2</v>
      </c>
      <c r="H169" s="1">
        <f t="shared" si="20"/>
        <v>15.000000000000002</v>
      </c>
      <c r="I169" s="12" t="s">
        <v>9</v>
      </c>
      <c r="J169" s="1">
        <v>0.3</v>
      </c>
      <c r="K169" s="1">
        <f t="shared" si="13"/>
        <v>381.39999999999981</v>
      </c>
      <c r="L169" s="1">
        <v>0.4</v>
      </c>
      <c r="M169" s="1">
        <f t="shared" si="14"/>
        <v>115.29999999999998</v>
      </c>
      <c r="N169" s="1">
        <v>-0.10000000000000003</v>
      </c>
      <c r="O169" s="1">
        <f t="shared" ref="O169:O176" si="22">O168+N169</f>
        <v>122</v>
      </c>
      <c r="P169" s="1">
        <v>122</v>
      </c>
      <c r="Q169" s="1">
        <v>1</v>
      </c>
      <c r="R169" s="9">
        <f t="shared" si="10"/>
        <v>0.4</v>
      </c>
      <c r="S169" s="9">
        <f t="shared" si="11"/>
        <v>-0.10000000000000003</v>
      </c>
      <c r="T169" s="9">
        <f t="shared" si="15"/>
        <v>122</v>
      </c>
      <c r="U169" s="12" t="s">
        <v>10</v>
      </c>
      <c r="V169" s="1">
        <v>126.6</v>
      </c>
      <c r="X169" s="1">
        <f t="shared" si="16"/>
        <v>54572.299999999988</v>
      </c>
      <c r="Y169" s="1">
        <f t="shared" si="21"/>
        <v>719.7</v>
      </c>
      <c r="Z169" s="12" t="s">
        <v>11</v>
      </c>
      <c r="AA169" s="10">
        <v>8.7543630239634904</v>
      </c>
    </row>
    <row r="170" spans="1:27" s="1" customFormat="1" x14ac:dyDescent="0.25">
      <c r="A170" s="49"/>
      <c r="B170" s="11">
        <v>25</v>
      </c>
      <c r="C170" s="3">
        <v>41286</v>
      </c>
      <c r="D170" s="1">
        <v>1.7</v>
      </c>
      <c r="E170" s="1">
        <v>0.3</v>
      </c>
      <c r="F170" s="1">
        <v>2.6</v>
      </c>
      <c r="G170" s="1">
        <f t="shared" si="12"/>
        <v>1019.9000000000001</v>
      </c>
      <c r="H170" s="1">
        <f t="shared" si="20"/>
        <v>16.700000000000003</v>
      </c>
      <c r="I170" s="9">
        <f>AVERAGE(D165:D222)</f>
        <v>1.3120689655172415</v>
      </c>
      <c r="J170" s="1">
        <v>0.3</v>
      </c>
      <c r="K170" s="1">
        <f t="shared" si="13"/>
        <v>381.69999999999982</v>
      </c>
      <c r="L170" s="1">
        <v>0.2</v>
      </c>
      <c r="M170" s="1">
        <f t="shared" si="14"/>
        <v>115.49999999999999</v>
      </c>
      <c r="N170" s="1">
        <v>9.9999999999999978E-2</v>
      </c>
      <c r="O170" s="1">
        <f t="shared" si="22"/>
        <v>122.1</v>
      </c>
      <c r="P170" s="1">
        <v>123</v>
      </c>
      <c r="Q170" s="1">
        <v>1</v>
      </c>
      <c r="R170" s="9">
        <f t="shared" si="10"/>
        <v>0.2</v>
      </c>
      <c r="S170" s="9">
        <f t="shared" si="11"/>
        <v>9.9999999999999978E-2</v>
      </c>
      <c r="T170" s="9">
        <f t="shared" si="15"/>
        <v>122.1</v>
      </c>
      <c r="U170" s="1">
        <v>0</v>
      </c>
      <c r="V170" s="1">
        <v>227.3</v>
      </c>
      <c r="X170" s="1">
        <f t="shared" si="16"/>
        <v>54799.599999999991</v>
      </c>
      <c r="Y170" s="1">
        <f t="shared" si="21"/>
        <v>947</v>
      </c>
      <c r="Z170" s="1">
        <v>55</v>
      </c>
      <c r="AA170" s="10">
        <v>8.7824803499272903</v>
      </c>
    </row>
    <row r="171" spans="1:27" s="1" customFormat="1" x14ac:dyDescent="0.25">
      <c r="A171" s="49"/>
      <c r="B171" s="11">
        <v>26</v>
      </c>
      <c r="C171" s="3">
        <v>41287</v>
      </c>
      <c r="D171" s="1">
        <v>3.1</v>
      </c>
      <c r="E171" s="1">
        <v>2.5</v>
      </c>
      <c r="F171" s="1">
        <v>4</v>
      </c>
      <c r="G171" s="1">
        <f t="shared" si="12"/>
        <v>1023.0000000000001</v>
      </c>
      <c r="H171" s="1">
        <f t="shared" si="20"/>
        <v>19.800000000000004</v>
      </c>
      <c r="I171" s="12" t="s">
        <v>12</v>
      </c>
      <c r="J171" s="1">
        <v>0</v>
      </c>
      <c r="K171" s="1">
        <f t="shared" si="13"/>
        <v>381.69999999999982</v>
      </c>
      <c r="L171" s="1">
        <v>0.2</v>
      </c>
      <c r="M171" s="1">
        <f t="shared" si="14"/>
        <v>115.69999999999999</v>
      </c>
      <c r="N171" s="1">
        <v>-0.2</v>
      </c>
      <c r="O171" s="1">
        <f t="shared" si="22"/>
        <v>121.89999999999999</v>
      </c>
      <c r="P171" s="1">
        <v>124</v>
      </c>
      <c r="Q171" s="1">
        <v>1</v>
      </c>
      <c r="R171" s="9">
        <f t="shared" si="10"/>
        <v>0.2</v>
      </c>
      <c r="S171" s="9">
        <f t="shared" si="11"/>
        <v>-0.2</v>
      </c>
      <c r="T171" s="9">
        <f t="shared" si="15"/>
        <v>121.89999999999999</v>
      </c>
      <c r="U171" s="12" t="s">
        <v>13</v>
      </c>
      <c r="V171" s="1">
        <v>134.19999999999999</v>
      </c>
      <c r="X171" s="1">
        <f t="shared" si="16"/>
        <v>54933.799999999988</v>
      </c>
      <c r="Y171" s="1">
        <f t="shared" si="21"/>
        <v>1081.2</v>
      </c>
      <c r="AA171" s="10">
        <v>8.8117686671801199</v>
      </c>
    </row>
    <row r="172" spans="1:27" s="1" customFormat="1" x14ac:dyDescent="0.25">
      <c r="A172" s="49"/>
      <c r="B172" s="11">
        <v>27</v>
      </c>
      <c r="C172" s="3">
        <v>41288</v>
      </c>
      <c r="D172" s="1">
        <v>-0.1</v>
      </c>
      <c r="E172" s="1">
        <v>-2.2999999999999998</v>
      </c>
      <c r="F172" s="1">
        <v>1.6</v>
      </c>
      <c r="G172" s="1">
        <v>1023</v>
      </c>
      <c r="H172" s="1">
        <v>19.8</v>
      </c>
      <c r="I172" s="1">
        <v>34</v>
      </c>
      <c r="J172" s="1">
        <v>0.2</v>
      </c>
      <c r="K172" s="1">
        <f t="shared" si="13"/>
        <v>381.89999999999981</v>
      </c>
      <c r="L172" s="1">
        <v>0.3</v>
      </c>
      <c r="M172" s="1">
        <f t="shared" si="14"/>
        <v>115.99999999999999</v>
      </c>
      <c r="N172" s="1">
        <v>-9.9999999999999978E-2</v>
      </c>
      <c r="O172" s="1">
        <f t="shared" si="22"/>
        <v>121.8</v>
      </c>
      <c r="P172" s="1">
        <v>125</v>
      </c>
      <c r="Q172" s="1">
        <v>1</v>
      </c>
      <c r="R172" s="9">
        <f t="shared" si="10"/>
        <v>0.3</v>
      </c>
      <c r="S172" s="9">
        <f t="shared" si="11"/>
        <v>-9.9999999999999978E-2</v>
      </c>
      <c r="T172" s="9">
        <f t="shared" si="15"/>
        <v>121.8</v>
      </c>
      <c r="U172" s="9">
        <f>MIN(T165:T222)</f>
        <v>105.60000000000001</v>
      </c>
      <c r="V172" s="1">
        <v>213.2</v>
      </c>
      <c r="X172" s="1">
        <f t="shared" si="16"/>
        <v>55146.999999999985</v>
      </c>
      <c r="Y172" s="1">
        <f t="shared" si="21"/>
        <v>1294.4000000000001</v>
      </c>
      <c r="AA172" s="10">
        <v>8.8422008486841808</v>
      </c>
    </row>
    <row r="173" spans="1:27" s="1" customFormat="1" x14ac:dyDescent="0.25">
      <c r="A173" s="49"/>
      <c r="B173" s="11">
        <v>28</v>
      </c>
      <c r="C173" s="3">
        <v>41289</v>
      </c>
      <c r="D173" s="1">
        <v>-0.8</v>
      </c>
      <c r="E173" s="1">
        <v>-2.8</v>
      </c>
      <c r="F173" s="1">
        <v>0.6</v>
      </c>
      <c r="G173" s="1">
        <v>1023</v>
      </c>
      <c r="H173" s="1">
        <v>19.8</v>
      </c>
      <c r="I173" s="12" t="s">
        <v>14</v>
      </c>
      <c r="J173" s="1">
        <v>0.2</v>
      </c>
      <c r="K173" s="1">
        <f t="shared" si="13"/>
        <v>382.0999999999998</v>
      </c>
      <c r="L173" s="1">
        <v>0.3</v>
      </c>
      <c r="M173" s="1">
        <f t="shared" si="14"/>
        <v>116.29999999999998</v>
      </c>
      <c r="N173" s="1">
        <v>-9.9999999999999978E-2</v>
      </c>
      <c r="O173" s="1">
        <f t="shared" si="22"/>
        <v>121.7</v>
      </c>
      <c r="P173" s="1">
        <v>126</v>
      </c>
      <c r="Q173" s="1">
        <v>1</v>
      </c>
      <c r="R173" s="9">
        <f t="shared" si="10"/>
        <v>0.3</v>
      </c>
      <c r="S173" s="9">
        <f t="shared" si="11"/>
        <v>-9.9999999999999978E-2</v>
      </c>
      <c r="T173" s="9">
        <f t="shared" si="15"/>
        <v>121.7</v>
      </c>
      <c r="U173" s="12" t="s">
        <v>15</v>
      </c>
      <c r="V173" s="1">
        <v>257.89999999999998</v>
      </c>
      <c r="X173" s="1">
        <f t="shared" si="16"/>
        <v>55404.899999999987</v>
      </c>
      <c r="Y173" s="1">
        <f t="shared" si="21"/>
        <v>1552.3000000000002</v>
      </c>
      <c r="AA173" s="10">
        <v>8.8737492717029198</v>
      </c>
    </row>
    <row r="174" spans="1:27" s="1" customFormat="1" x14ac:dyDescent="0.25">
      <c r="A174" s="49"/>
      <c r="B174" s="11">
        <v>29</v>
      </c>
      <c r="C174" s="3">
        <v>41290</v>
      </c>
      <c r="D174" s="1">
        <v>-2.1</v>
      </c>
      <c r="E174" s="1">
        <v>-2.6</v>
      </c>
      <c r="F174" s="1">
        <v>0.5</v>
      </c>
      <c r="G174" s="1">
        <v>1023</v>
      </c>
      <c r="H174" s="1">
        <v>19.8</v>
      </c>
      <c r="I174" s="1">
        <v>0</v>
      </c>
      <c r="J174" s="1">
        <v>0</v>
      </c>
      <c r="K174" s="1">
        <f t="shared" si="13"/>
        <v>382.0999999999998</v>
      </c>
      <c r="L174" s="1">
        <v>0.5</v>
      </c>
      <c r="M174" s="1">
        <f t="shared" si="14"/>
        <v>116.79999999999998</v>
      </c>
      <c r="N174" s="1">
        <v>-0.5</v>
      </c>
      <c r="O174" s="1">
        <f t="shared" si="22"/>
        <v>121.2</v>
      </c>
      <c r="P174" s="1">
        <v>127</v>
      </c>
      <c r="Q174" s="1">
        <v>1</v>
      </c>
      <c r="R174" s="9">
        <f t="shared" si="10"/>
        <v>0.5</v>
      </c>
      <c r="S174" s="9">
        <f t="shared" si="11"/>
        <v>-0.5</v>
      </c>
      <c r="T174" s="9">
        <f t="shared" si="15"/>
        <v>121.2</v>
      </c>
      <c r="U174" s="1">
        <v>122.1</v>
      </c>
      <c r="V174" s="1">
        <v>264</v>
      </c>
      <c r="X174" s="1">
        <f t="shared" si="16"/>
        <v>55668.899999999987</v>
      </c>
      <c r="Y174" s="1">
        <f t="shared" si="21"/>
        <v>1816.3000000000002</v>
      </c>
      <c r="AA174" s="10">
        <v>8.9063858983418207</v>
      </c>
    </row>
    <row r="175" spans="1:27" s="1" customFormat="1" x14ac:dyDescent="0.25">
      <c r="A175" s="49"/>
      <c r="B175" s="11">
        <v>30</v>
      </c>
      <c r="C175" s="3">
        <v>41291</v>
      </c>
      <c r="D175" s="1">
        <v>-3.9</v>
      </c>
      <c r="E175" s="1">
        <v>-6.2</v>
      </c>
      <c r="F175" s="1">
        <v>-2</v>
      </c>
      <c r="G175" s="1">
        <v>1023</v>
      </c>
      <c r="H175" s="1">
        <v>19.8</v>
      </c>
      <c r="I175" s="12" t="s">
        <v>16</v>
      </c>
      <c r="J175" s="1">
        <v>0</v>
      </c>
      <c r="K175" s="1">
        <f t="shared" si="13"/>
        <v>382.0999999999998</v>
      </c>
      <c r="L175" s="1">
        <v>0.4</v>
      </c>
      <c r="M175" s="1">
        <f t="shared" si="14"/>
        <v>117.19999999999999</v>
      </c>
      <c r="N175" s="1">
        <v>-0.4</v>
      </c>
      <c r="O175" s="1">
        <f t="shared" si="22"/>
        <v>120.8</v>
      </c>
      <c r="P175" s="1">
        <v>128</v>
      </c>
      <c r="Q175" s="1">
        <v>1</v>
      </c>
      <c r="R175" s="9">
        <f t="shared" si="10"/>
        <v>0.4</v>
      </c>
      <c r="S175" s="9">
        <f t="shared" si="11"/>
        <v>-0.4</v>
      </c>
      <c r="T175" s="9">
        <f t="shared" si="15"/>
        <v>120.8</v>
      </c>
      <c r="U175" s="12" t="s">
        <v>17</v>
      </c>
      <c r="V175" s="1">
        <v>151.80000000000001</v>
      </c>
      <c r="X175" s="1">
        <f t="shared" si="16"/>
        <v>55820.69999999999</v>
      </c>
      <c r="Y175" s="1">
        <f t="shared" si="21"/>
        <v>1968.1000000000001</v>
      </c>
      <c r="AA175" s="10">
        <v>8.9400823543144607</v>
      </c>
    </row>
    <row r="176" spans="1:27" s="1" customFormat="1" x14ac:dyDescent="0.25">
      <c r="A176" s="49"/>
      <c r="B176" s="11">
        <v>31</v>
      </c>
      <c r="C176" s="3">
        <v>41292</v>
      </c>
      <c r="D176" s="1">
        <v>-3.7</v>
      </c>
      <c r="E176" s="1">
        <v>-4.8</v>
      </c>
      <c r="F176" s="1">
        <v>-2.4</v>
      </c>
      <c r="G176" s="1">
        <v>1023</v>
      </c>
      <c r="H176" s="1">
        <v>19.8</v>
      </c>
      <c r="I176" s="1">
        <v>22</v>
      </c>
      <c r="J176" s="1">
        <v>0</v>
      </c>
      <c r="K176" s="1">
        <f t="shared" si="13"/>
        <v>382.0999999999998</v>
      </c>
      <c r="L176" s="1">
        <v>0.4</v>
      </c>
      <c r="M176" s="1">
        <f t="shared" si="14"/>
        <v>117.6</v>
      </c>
      <c r="N176" s="1">
        <v>-0.4</v>
      </c>
      <c r="O176" s="1">
        <f t="shared" si="22"/>
        <v>120.39999999999999</v>
      </c>
      <c r="P176" s="1">
        <v>129</v>
      </c>
      <c r="Q176" s="1">
        <v>1</v>
      </c>
      <c r="R176" s="9">
        <f t="shared" ref="R176:R239" si="23">Q176*L176</f>
        <v>0.4</v>
      </c>
      <c r="S176" s="9">
        <f t="shared" ref="S176:S239" si="24">J176-R176</f>
        <v>-0.4</v>
      </c>
      <c r="T176" s="9">
        <f t="shared" si="15"/>
        <v>120.39999999999999</v>
      </c>
      <c r="U176" s="20">
        <f>AVERAGE(T165:T222)</f>
        <v>119.16038672252661</v>
      </c>
      <c r="V176" s="1">
        <v>503.7</v>
      </c>
      <c r="X176" s="1">
        <f t="shared" si="16"/>
        <v>56324.399999999987</v>
      </c>
      <c r="Y176" s="1">
        <f t="shared" si="21"/>
        <v>2471.8000000000002</v>
      </c>
      <c r="AA176" s="10">
        <v>8.9748100055834303</v>
      </c>
    </row>
    <row r="177" spans="1:27" s="1" customFormat="1" x14ac:dyDescent="0.25">
      <c r="A177" s="49"/>
      <c r="B177" s="7">
        <v>7</v>
      </c>
      <c r="C177" s="3">
        <v>41293</v>
      </c>
      <c r="D177" s="1">
        <v>-0.7</v>
      </c>
      <c r="E177" s="1">
        <v>-4</v>
      </c>
      <c r="F177" s="1">
        <v>1</v>
      </c>
      <c r="G177" s="1">
        <v>1023</v>
      </c>
      <c r="H177" s="1">
        <v>19.8</v>
      </c>
      <c r="I177" s="12" t="s">
        <v>18</v>
      </c>
      <c r="J177" s="1">
        <v>12.7</v>
      </c>
      <c r="K177" s="1">
        <f t="shared" si="13"/>
        <v>394.79999999999978</v>
      </c>
      <c r="L177" s="1">
        <v>0.2</v>
      </c>
      <c r="M177" s="1">
        <f t="shared" si="14"/>
        <v>117.8</v>
      </c>
      <c r="N177" s="1">
        <v>12.5</v>
      </c>
      <c r="O177" s="1">
        <v>122.1</v>
      </c>
      <c r="P177" s="1">
        <v>130</v>
      </c>
      <c r="Q177" s="1">
        <v>1</v>
      </c>
      <c r="R177" s="9">
        <f t="shared" si="23"/>
        <v>0.2</v>
      </c>
      <c r="S177" s="9">
        <f t="shared" si="24"/>
        <v>12.5</v>
      </c>
      <c r="T177" s="9">
        <f t="shared" si="15"/>
        <v>122.1</v>
      </c>
      <c r="U177" s="12" t="s">
        <v>20</v>
      </c>
      <c r="V177" s="1">
        <v>122.3</v>
      </c>
      <c r="X177" s="1">
        <f t="shared" si="16"/>
        <v>56446.69999999999</v>
      </c>
      <c r="Y177" s="1">
        <f t="shared" si="21"/>
        <v>2594.1000000000004</v>
      </c>
      <c r="AA177" s="1">
        <v>9.0105400325625897</v>
      </c>
    </row>
    <row r="178" spans="1:27" s="1" customFormat="1" x14ac:dyDescent="0.25">
      <c r="A178" s="49"/>
      <c r="B178" s="7"/>
      <c r="C178" s="3">
        <v>41294</v>
      </c>
      <c r="D178" s="1">
        <v>1</v>
      </c>
      <c r="E178" s="1">
        <v>-0.4</v>
      </c>
      <c r="F178" s="1">
        <v>3.3</v>
      </c>
      <c r="G178" s="1">
        <f t="shared" ref="G178:G241" si="25">G177+D178</f>
        <v>1024</v>
      </c>
      <c r="H178" s="1">
        <f t="shared" si="20"/>
        <v>20.8</v>
      </c>
      <c r="I178" s="1">
        <v>114.1</v>
      </c>
      <c r="J178" s="1">
        <v>0.9</v>
      </c>
      <c r="K178" s="1">
        <f t="shared" ref="K178:K241" si="26">K177+J178</f>
        <v>395.69999999999976</v>
      </c>
      <c r="L178" s="1">
        <v>0.5</v>
      </c>
      <c r="M178" s="1">
        <f t="shared" ref="M178:M241" si="27">M177+L178</f>
        <v>118.3</v>
      </c>
      <c r="N178" s="1">
        <v>0.4</v>
      </c>
      <c r="O178" s="1">
        <v>122.1</v>
      </c>
      <c r="P178" s="1">
        <v>131</v>
      </c>
      <c r="Q178" s="1">
        <v>1</v>
      </c>
      <c r="R178" s="9">
        <f t="shared" si="23"/>
        <v>0.5</v>
      </c>
      <c r="S178" s="9">
        <f t="shared" si="24"/>
        <v>0.4</v>
      </c>
      <c r="T178" s="9">
        <f t="shared" ref="T178:T241" si="28">MIN(122.1,(T177+S178))</f>
        <v>122.1</v>
      </c>
      <c r="U178" s="1">
        <v>31</v>
      </c>
      <c r="V178" s="1">
        <v>290</v>
      </c>
      <c r="X178" s="1">
        <f t="shared" ref="X178:X241" si="29">X177+V178</f>
        <v>56736.69999999999</v>
      </c>
      <c r="Y178" s="1">
        <f t="shared" si="21"/>
        <v>2884.1000000000004</v>
      </c>
      <c r="AA178" s="1">
        <v>9.0472435016045605</v>
      </c>
    </row>
    <row r="179" spans="1:27" s="1" customFormat="1" x14ac:dyDescent="0.25">
      <c r="A179" s="49"/>
      <c r="B179" s="7"/>
      <c r="C179" s="3">
        <v>41295</v>
      </c>
      <c r="D179" s="1">
        <v>1.5</v>
      </c>
      <c r="E179" s="1">
        <v>-0.6</v>
      </c>
      <c r="F179" s="1">
        <v>4.7</v>
      </c>
      <c r="G179" s="1">
        <f t="shared" si="25"/>
        <v>1025.5</v>
      </c>
      <c r="H179" s="1">
        <f t="shared" si="20"/>
        <v>22.3</v>
      </c>
      <c r="J179" s="1">
        <v>1.1000000000000001</v>
      </c>
      <c r="K179" s="1">
        <f t="shared" si="26"/>
        <v>396.79999999999978</v>
      </c>
      <c r="L179" s="1">
        <v>0.5</v>
      </c>
      <c r="M179" s="1">
        <f t="shared" si="27"/>
        <v>118.8</v>
      </c>
      <c r="N179" s="1">
        <v>0.60000000000000009</v>
      </c>
      <c r="O179" s="1">
        <v>122.1</v>
      </c>
      <c r="P179" s="1">
        <v>132</v>
      </c>
      <c r="Q179" s="1">
        <v>1</v>
      </c>
      <c r="R179" s="9">
        <f t="shared" si="23"/>
        <v>0.5</v>
      </c>
      <c r="S179" s="9">
        <f t="shared" si="24"/>
        <v>0.60000000000000009</v>
      </c>
      <c r="T179" s="9">
        <f t="shared" si="28"/>
        <v>122.1</v>
      </c>
      <c r="V179" s="1">
        <v>163.4</v>
      </c>
      <c r="X179" s="1">
        <f t="shared" si="29"/>
        <v>56900.099999999991</v>
      </c>
      <c r="Y179" s="1">
        <f t="shared" si="21"/>
        <v>3047.5000000000005</v>
      </c>
      <c r="AA179" s="1">
        <v>9.0848914335344801</v>
      </c>
    </row>
    <row r="180" spans="1:27" s="1" customFormat="1" x14ac:dyDescent="0.25">
      <c r="A180" s="49"/>
      <c r="B180" s="7"/>
      <c r="C180" s="3">
        <v>41296</v>
      </c>
      <c r="D180" s="1">
        <v>2.5</v>
      </c>
      <c r="E180" s="1">
        <v>1.4</v>
      </c>
      <c r="F180" s="1">
        <v>5.8</v>
      </c>
      <c r="G180" s="1">
        <f t="shared" si="25"/>
        <v>1028</v>
      </c>
      <c r="H180" s="1">
        <f t="shared" si="20"/>
        <v>24.8</v>
      </c>
      <c r="J180" s="1">
        <v>0</v>
      </c>
      <c r="K180" s="1">
        <f t="shared" si="26"/>
        <v>396.79999999999978</v>
      </c>
      <c r="L180" s="1">
        <v>0.7</v>
      </c>
      <c r="M180" s="1">
        <f t="shared" si="27"/>
        <v>119.5</v>
      </c>
      <c r="N180" s="1">
        <v>-0.7</v>
      </c>
      <c r="O180" s="1">
        <f>O179+N180</f>
        <v>121.39999999999999</v>
      </c>
      <c r="P180" s="1">
        <v>133</v>
      </c>
      <c r="Q180" s="1">
        <v>1</v>
      </c>
      <c r="R180" s="9">
        <f t="shared" si="23"/>
        <v>0.7</v>
      </c>
      <c r="S180" s="9">
        <f t="shared" si="24"/>
        <v>-0.7</v>
      </c>
      <c r="T180" s="9">
        <f t="shared" si="28"/>
        <v>121.39999999999999</v>
      </c>
      <c r="U180" s="9">
        <f>(U176*100)/122.1</f>
        <v>97.592454318203622</v>
      </c>
      <c r="V180" s="1">
        <v>236.3</v>
      </c>
      <c r="X180" s="1">
        <f t="shared" si="29"/>
        <v>57136.399999999994</v>
      </c>
      <c r="Y180" s="1">
        <f t="shared" si="21"/>
        <v>3283.8000000000006</v>
      </c>
      <c r="AA180" s="1">
        <v>9.1234548690283503</v>
      </c>
    </row>
    <row r="181" spans="1:27" s="1" customFormat="1" x14ac:dyDescent="0.25">
      <c r="A181" s="49"/>
      <c r="B181" s="7"/>
      <c r="C181" s="3">
        <v>41297</v>
      </c>
      <c r="D181" s="1">
        <v>1.1000000000000001</v>
      </c>
      <c r="E181" s="1">
        <v>-1.5</v>
      </c>
      <c r="F181" s="1">
        <v>3.6</v>
      </c>
      <c r="G181" s="1">
        <f t="shared" si="25"/>
        <v>1029.0999999999999</v>
      </c>
      <c r="H181" s="1">
        <f t="shared" si="20"/>
        <v>25.900000000000002</v>
      </c>
      <c r="J181" s="1">
        <v>0</v>
      </c>
      <c r="K181" s="1">
        <f t="shared" si="26"/>
        <v>396.79999999999978</v>
      </c>
      <c r="L181" s="1">
        <v>0.6</v>
      </c>
      <c r="M181" s="1">
        <f t="shared" si="27"/>
        <v>120.1</v>
      </c>
      <c r="N181" s="1">
        <v>-0.6</v>
      </c>
      <c r="O181" s="1">
        <f>O180+N181</f>
        <v>120.8</v>
      </c>
      <c r="P181" s="1">
        <v>134</v>
      </c>
      <c r="Q181" s="1">
        <v>1</v>
      </c>
      <c r="R181" s="9">
        <f t="shared" si="23"/>
        <v>0.6</v>
      </c>
      <c r="S181" s="9">
        <f t="shared" si="24"/>
        <v>-0.6</v>
      </c>
      <c r="T181" s="9">
        <f t="shared" si="28"/>
        <v>120.8</v>
      </c>
      <c r="V181" s="1">
        <v>591.1</v>
      </c>
      <c r="X181" s="1">
        <f t="shared" si="29"/>
        <v>57727.499999999993</v>
      </c>
      <c r="Y181" s="1">
        <f t="shared" si="21"/>
        <v>3874.9000000000005</v>
      </c>
      <c r="AA181" s="1">
        <v>9.1629049306699404</v>
      </c>
    </row>
    <row r="182" spans="1:27" s="1" customFormat="1" x14ac:dyDescent="0.25">
      <c r="A182" s="49"/>
      <c r="B182" s="7"/>
      <c r="C182" s="3">
        <v>41298</v>
      </c>
      <c r="D182" s="1">
        <v>0.4</v>
      </c>
      <c r="E182" s="1">
        <v>-0.5</v>
      </c>
      <c r="F182" s="1">
        <v>1.8</v>
      </c>
      <c r="G182" s="1">
        <f t="shared" si="25"/>
        <v>1029.5</v>
      </c>
      <c r="H182" s="1">
        <f t="shared" si="20"/>
        <v>26.3</v>
      </c>
      <c r="J182" s="1">
        <v>0</v>
      </c>
      <c r="K182" s="1">
        <f t="shared" si="26"/>
        <v>396.79999999999978</v>
      </c>
      <c r="L182" s="1">
        <v>0.6</v>
      </c>
      <c r="M182" s="1">
        <f t="shared" si="27"/>
        <v>120.69999999999999</v>
      </c>
      <c r="N182" s="1">
        <v>-0.6</v>
      </c>
      <c r="O182" s="1">
        <f>O181+N182</f>
        <v>120.2</v>
      </c>
      <c r="P182" s="1">
        <v>135</v>
      </c>
      <c r="Q182" s="1">
        <v>1</v>
      </c>
      <c r="R182" s="9">
        <f t="shared" si="23"/>
        <v>0.6</v>
      </c>
      <c r="S182" s="9">
        <f t="shared" si="24"/>
        <v>-0.6</v>
      </c>
      <c r="T182" s="9">
        <f t="shared" si="28"/>
        <v>120.2</v>
      </c>
      <c r="V182" s="1">
        <v>231</v>
      </c>
      <c r="X182" s="1">
        <f t="shared" si="29"/>
        <v>57958.499999999993</v>
      </c>
      <c r="Y182" s="1">
        <f t="shared" si="21"/>
        <v>4105.9000000000005</v>
      </c>
      <c r="AA182" s="1">
        <v>9.2032128815553307</v>
      </c>
    </row>
    <row r="183" spans="1:27" s="1" customFormat="1" x14ac:dyDescent="0.25">
      <c r="A183" s="49"/>
      <c r="B183" s="7"/>
      <c r="C183" s="3">
        <v>41299</v>
      </c>
      <c r="D183" s="1">
        <v>-3</v>
      </c>
      <c r="E183" s="1">
        <v>-3.4</v>
      </c>
      <c r="F183" s="1">
        <v>-2.1</v>
      </c>
      <c r="G183" s="1">
        <v>1029.5</v>
      </c>
      <c r="H183" s="1">
        <v>26.3</v>
      </c>
      <c r="J183" s="1">
        <v>0</v>
      </c>
      <c r="K183" s="1">
        <f t="shared" si="26"/>
        <v>396.79999999999978</v>
      </c>
      <c r="L183" s="1">
        <v>0.4</v>
      </c>
      <c r="M183" s="1">
        <f t="shared" si="27"/>
        <v>121.1</v>
      </c>
      <c r="N183" s="1">
        <v>-0.4</v>
      </c>
      <c r="O183" s="1">
        <f>O182+N183</f>
        <v>119.8</v>
      </c>
      <c r="P183" s="1">
        <v>136</v>
      </c>
      <c r="Q183" s="1">
        <v>1</v>
      </c>
      <c r="R183" s="9">
        <f t="shared" si="23"/>
        <v>0.4</v>
      </c>
      <c r="S183" s="9">
        <f t="shared" si="24"/>
        <v>-0.4</v>
      </c>
      <c r="T183" s="9">
        <f t="shared" si="28"/>
        <v>119.8</v>
      </c>
      <c r="V183" s="1">
        <v>296.8</v>
      </c>
      <c r="X183" s="1">
        <f t="shared" si="29"/>
        <v>58255.299999999996</v>
      </c>
      <c r="Y183" s="1">
        <f t="shared" si="21"/>
        <v>4402.7000000000007</v>
      </c>
      <c r="AA183" s="1">
        <v>9.2443501803474799</v>
      </c>
    </row>
    <row r="184" spans="1:27" s="1" customFormat="1" x14ac:dyDescent="0.25">
      <c r="A184" s="49"/>
      <c r="B184" s="7">
        <v>8</v>
      </c>
      <c r="C184" s="3">
        <v>41300</v>
      </c>
      <c r="D184" s="1">
        <v>-2.2000000000000002</v>
      </c>
      <c r="E184" s="1">
        <v>-5.9</v>
      </c>
      <c r="F184" s="1">
        <v>0.8</v>
      </c>
      <c r="G184" s="1">
        <v>1029.5</v>
      </c>
      <c r="H184" s="1">
        <v>26.3</v>
      </c>
      <c r="J184" s="1">
        <v>0</v>
      </c>
      <c r="K184" s="1">
        <f t="shared" si="26"/>
        <v>396.79999999999978</v>
      </c>
      <c r="L184" s="1">
        <v>0.5</v>
      </c>
      <c r="M184" s="1">
        <f t="shared" si="27"/>
        <v>121.6</v>
      </c>
      <c r="N184" s="1">
        <v>-0.5</v>
      </c>
      <c r="O184" s="1">
        <f>O183+N184</f>
        <v>119.3</v>
      </c>
      <c r="P184" s="1">
        <v>137</v>
      </c>
      <c r="Q184" s="1">
        <v>1</v>
      </c>
      <c r="R184" s="9">
        <f t="shared" si="23"/>
        <v>0.5</v>
      </c>
      <c r="S184" s="9">
        <f t="shared" si="24"/>
        <v>-0.5</v>
      </c>
      <c r="T184" s="9">
        <f t="shared" si="28"/>
        <v>119.3</v>
      </c>
      <c r="V184" s="1">
        <v>579.4</v>
      </c>
      <c r="X184" s="1">
        <f t="shared" si="29"/>
        <v>58834.7</v>
      </c>
      <c r="Y184" s="1">
        <f t="shared" si="21"/>
        <v>4982.1000000000004</v>
      </c>
      <c r="AA184" s="1">
        <v>9.2862885327142699</v>
      </c>
    </row>
    <row r="185" spans="1:27" s="1" customFormat="1" x14ac:dyDescent="0.25">
      <c r="A185" s="49"/>
      <c r="B185" s="7"/>
      <c r="C185" s="3">
        <v>41301</v>
      </c>
      <c r="D185" s="1">
        <v>2</v>
      </c>
      <c r="E185" s="1">
        <v>-0.2</v>
      </c>
      <c r="F185" s="1">
        <v>3</v>
      </c>
      <c r="G185" s="1">
        <f t="shared" si="25"/>
        <v>1031.5</v>
      </c>
      <c r="H185" s="1">
        <f t="shared" si="20"/>
        <v>28.3</v>
      </c>
      <c r="J185" s="1">
        <v>8.1</v>
      </c>
      <c r="K185" s="1">
        <f t="shared" si="26"/>
        <v>404.89999999999981</v>
      </c>
      <c r="L185" s="1">
        <v>0.2</v>
      </c>
      <c r="M185" s="1">
        <f t="shared" si="27"/>
        <v>121.8</v>
      </c>
      <c r="N185" s="1">
        <v>7.8999999999999995</v>
      </c>
      <c r="O185" s="1">
        <v>122.1</v>
      </c>
      <c r="P185" s="1">
        <v>138</v>
      </c>
      <c r="Q185" s="1">
        <v>1</v>
      </c>
      <c r="R185" s="9">
        <f t="shared" si="23"/>
        <v>0.2</v>
      </c>
      <c r="S185" s="9">
        <f t="shared" si="24"/>
        <v>7.8999999999999995</v>
      </c>
      <c r="T185" s="9">
        <f t="shared" si="28"/>
        <v>122.1</v>
      </c>
      <c r="V185" s="1">
        <v>95.4</v>
      </c>
      <c r="X185" s="1">
        <f t="shared" si="29"/>
        <v>58930.1</v>
      </c>
      <c r="Y185" s="1">
        <f t="shared" si="21"/>
        <v>5077.5</v>
      </c>
      <c r="AA185" s="1">
        <v>9.3289999391134604</v>
      </c>
    </row>
    <row r="186" spans="1:27" s="1" customFormat="1" x14ac:dyDescent="0.25">
      <c r="A186" s="49"/>
      <c r="B186" s="7"/>
      <c r="C186" s="3">
        <v>41302</v>
      </c>
      <c r="D186" s="1">
        <v>3.4</v>
      </c>
      <c r="E186" s="1">
        <v>0.4</v>
      </c>
      <c r="F186" s="1">
        <v>5.7</v>
      </c>
      <c r="G186" s="1">
        <f t="shared" si="25"/>
        <v>1034.9000000000001</v>
      </c>
      <c r="H186" s="1">
        <f t="shared" si="20"/>
        <v>31.7</v>
      </c>
      <c r="J186" s="1">
        <v>0.2</v>
      </c>
      <c r="K186" s="1">
        <f t="shared" si="26"/>
        <v>405.0999999999998</v>
      </c>
      <c r="L186" s="1">
        <v>0.1</v>
      </c>
      <c r="M186" s="1">
        <f t="shared" si="27"/>
        <v>121.89999999999999</v>
      </c>
      <c r="N186" s="1">
        <v>0.1</v>
      </c>
      <c r="O186" s="1">
        <v>122.1</v>
      </c>
      <c r="P186" s="1">
        <v>139</v>
      </c>
      <c r="Q186" s="1">
        <v>1</v>
      </c>
      <c r="R186" s="9">
        <f t="shared" si="23"/>
        <v>0.1</v>
      </c>
      <c r="S186" s="9">
        <f t="shared" si="24"/>
        <v>0.1</v>
      </c>
      <c r="T186" s="9">
        <f t="shared" si="28"/>
        <v>122.1</v>
      </c>
      <c r="V186" s="1">
        <v>184.2</v>
      </c>
      <c r="X186" s="1">
        <f t="shared" si="29"/>
        <v>59114.299999999996</v>
      </c>
      <c r="Y186" s="1">
        <f t="shared" si="21"/>
        <v>5261.7</v>
      </c>
      <c r="AA186" s="1">
        <v>9.3724567389148294</v>
      </c>
    </row>
    <row r="187" spans="1:27" s="1" customFormat="1" x14ac:dyDescent="0.25">
      <c r="A187" s="49"/>
      <c r="B187" s="7"/>
      <c r="C187" s="3">
        <v>41303</v>
      </c>
      <c r="D187" s="1">
        <v>6.3</v>
      </c>
      <c r="E187" s="1">
        <v>4.0999999999999996</v>
      </c>
      <c r="F187" s="1">
        <v>8.8000000000000007</v>
      </c>
      <c r="G187" s="1">
        <f t="shared" si="25"/>
        <v>1041.2</v>
      </c>
      <c r="H187" s="1">
        <f t="shared" si="20"/>
        <v>38</v>
      </c>
      <c r="J187" s="1">
        <v>4</v>
      </c>
      <c r="K187" s="1">
        <f t="shared" si="26"/>
        <v>409.0999999999998</v>
      </c>
      <c r="L187" s="1">
        <v>0.8</v>
      </c>
      <c r="M187" s="1">
        <f t="shared" si="27"/>
        <v>122.69999999999999</v>
      </c>
      <c r="N187" s="1">
        <v>3.2</v>
      </c>
      <c r="O187" s="1">
        <v>122.1</v>
      </c>
      <c r="P187" s="1">
        <v>140</v>
      </c>
      <c r="Q187" s="1">
        <v>1</v>
      </c>
      <c r="R187" s="9">
        <f t="shared" si="23"/>
        <v>0.8</v>
      </c>
      <c r="S187" s="9">
        <f t="shared" si="24"/>
        <v>3.2</v>
      </c>
      <c r="T187" s="9">
        <f t="shared" si="28"/>
        <v>122.1</v>
      </c>
      <c r="V187" s="1">
        <v>141.30000000000001</v>
      </c>
      <c r="X187" s="1">
        <f t="shared" si="29"/>
        <v>59255.6</v>
      </c>
      <c r="Y187" s="1">
        <f t="shared" si="21"/>
        <v>5403</v>
      </c>
      <c r="AA187" s="1">
        <v>9.4166316508751091</v>
      </c>
    </row>
    <row r="188" spans="1:27" s="1" customFormat="1" x14ac:dyDescent="0.25">
      <c r="A188" s="49"/>
      <c r="B188" s="7"/>
      <c r="C188" s="3">
        <v>41304</v>
      </c>
      <c r="D188" s="1">
        <v>10.6</v>
      </c>
      <c r="E188" s="1">
        <v>6.9</v>
      </c>
      <c r="F188" s="1">
        <v>15.2</v>
      </c>
      <c r="G188" s="1">
        <f t="shared" si="25"/>
        <v>1051.8</v>
      </c>
      <c r="H188" s="1">
        <f t="shared" si="20"/>
        <v>48.6</v>
      </c>
      <c r="J188" s="1">
        <v>1.9</v>
      </c>
      <c r="K188" s="1">
        <f t="shared" si="26"/>
        <v>410.99999999999977</v>
      </c>
      <c r="L188" s="1">
        <v>1.2</v>
      </c>
      <c r="M188" s="1">
        <f t="shared" si="27"/>
        <v>123.89999999999999</v>
      </c>
      <c r="N188" s="1">
        <v>0.7</v>
      </c>
      <c r="O188" s="1">
        <v>122.1</v>
      </c>
      <c r="P188" s="1">
        <v>141</v>
      </c>
      <c r="Q188" s="1">
        <v>1</v>
      </c>
      <c r="R188" s="9">
        <f t="shared" si="23"/>
        <v>1.2</v>
      </c>
      <c r="S188" s="9">
        <f t="shared" si="24"/>
        <v>0.7</v>
      </c>
      <c r="T188" s="9">
        <f t="shared" si="28"/>
        <v>122.1</v>
      </c>
      <c r="V188" s="1">
        <v>240.5</v>
      </c>
      <c r="X188" s="1">
        <f t="shared" si="29"/>
        <v>59496.1</v>
      </c>
      <c r="Y188" s="1">
        <f t="shared" si="21"/>
        <v>5643.5</v>
      </c>
      <c r="AA188" s="1">
        <v>9.4614978100036105</v>
      </c>
    </row>
    <row r="189" spans="1:27" s="1" customFormat="1" x14ac:dyDescent="0.25">
      <c r="A189" s="49"/>
      <c r="B189" s="7"/>
      <c r="C189" s="3">
        <v>41305</v>
      </c>
      <c r="D189" s="1">
        <v>7.6</v>
      </c>
      <c r="E189" s="1">
        <v>2.8</v>
      </c>
      <c r="F189" s="1">
        <v>10.3</v>
      </c>
      <c r="G189" s="1">
        <f t="shared" si="25"/>
        <v>1059.3999999999999</v>
      </c>
      <c r="H189" s="1">
        <f t="shared" si="20"/>
        <v>56.2</v>
      </c>
      <c r="J189" s="1">
        <v>3.1</v>
      </c>
      <c r="K189" s="1">
        <f t="shared" si="26"/>
        <v>414.0999999999998</v>
      </c>
      <c r="L189" s="1">
        <v>0.3</v>
      </c>
      <c r="M189" s="1">
        <f t="shared" si="27"/>
        <v>124.19999999999999</v>
      </c>
      <c r="N189" s="1">
        <v>2.8000000000000003</v>
      </c>
      <c r="O189" s="1">
        <v>122.1</v>
      </c>
      <c r="P189" s="1">
        <v>142</v>
      </c>
      <c r="Q189" s="1">
        <v>1</v>
      </c>
      <c r="R189" s="9">
        <f t="shared" si="23"/>
        <v>0.3</v>
      </c>
      <c r="S189" s="9">
        <f t="shared" si="24"/>
        <v>2.8000000000000003</v>
      </c>
      <c r="T189" s="9">
        <f t="shared" si="28"/>
        <v>122.1</v>
      </c>
      <c r="V189" s="1">
        <v>259.2</v>
      </c>
      <c r="X189" s="1">
        <f t="shared" si="29"/>
        <v>59755.299999999996</v>
      </c>
      <c r="Y189" s="1">
        <f t="shared" si="21"/>
        <v>5902.7</v>
      </c>
      <c r="AA189" s="1">
        <v>9.5070288008771495</v>
      </c>
    </row>
    <row r="190" spans="1:27" s="1" customFormat="1" x14ac:dyDescent="0.25">
      <c r="A190" s="49"/>
      <c r="B190" s="7"/>
      <c r="C190" s="3">
        <v>41306</v>
      </c>
      <c r="D190" s="1">
        <v>8.1999999999999993</v>
      </c>
      <c r="E190" s="1">
        <v>6.3</v>
      </c>
      <c r="F190" s="1">
        <v>10.3</v>
      </c>
      <c r="G190" s="1">
        <f t="shared" si="25"/>
        <v>1067.5999999999999</v>
      </c>
      <c r="H190" s="1">
        <f t="shared" si="20"/>
        <v>64.400000000000006</v>
      </c>
      <c r="J190" s="1">
        <v>17.8</v>
      </c>
      <c r="K190" s="1">
        <f t="shared" si="26"/>
        <v>431.89999999999981</v>
      </c>
      <c r="L190" s="1">
        <v>0.6</v>
      </c>
      <c r="M190" s="1">
        <f t="shared" si="27"/>
        <v>124.79999999999998</v>
      </c>
      <c r="N190" s="1">
        <v>17.2</v>
      </c>
      <c r="O190" s="1">
        <v>122.1</v>
      </c>
      <c r="P190" s="1">
        <v>143</v>
      </c>
      <c r="Q190" s="1">
        <v>1</v>
      </c>
      <c r="R190" s="9">
        <f t="shared" si="23"/>
        <v>0.6</v>
      </c>
      <c r="S190" s="9">
        <f t="shared" si="24"/>
        <v>17.2</v>
      </c>
      <c r="T190" s="9">
        <f t="shared" si="28"/>
        <v>122.1</v>
      </c>
      <c r="V190" s="1">
        <v>132.19999999999999</v>
      </c>
      <c r="X190" s="1">
        <f t="shared" si="29"/>
        <v>59887.499999999993</v>
      </c>
      <c r="Y190" s="1">
        <f t="shared" si="21"/>
        <v>6034.9</v>
      </c>
      <c r="AA190" s="1">
        <v>9.5531986874805099</v>
      </c>
    </row>
    <row r="191" spans="1:27" s="1" customFormat="1" x14ac:dyDescent="0.25">
      <c r="A191" s="49"/>
      <c r="B191" s="7">
        <v>9</v>
      </c>
      <c r="C191" s="3">
        <v>41307</v>
      </c>
      <c r="D191" s="1">
        <v>4.0999999999999996</v>
      </c>
      <c r="E191" s="1">
        <v>3.5</v>
      </c>
      <c r="F191" s="1">
        <v>5.8</v>
      </c>
      <c r="G191" s="1">
        <f t="shared" si="25"/>
        <v>1071.6999999999998</v>
      </c>
      <c r="H191" s="1">
        <f t="shared" si="20"/>
        <v>68.5</v>
      </c>
      <c r="J191" s="1">
        <v>0.2</v>
      </c>
      <c r="K191" s="1">
        <f t="shared" si="26"/>
        <v>432.0999999999998</v>
      </c>
      <c r="L191" s="1">
        <v>1</v>
      </c>
      <c r="M191" s="1">
        <f t="shared" si="27"/>
        <v>125.79999999999998</v>
      </c>
      <c r="N191" s="1">
        <v>-0.8</v>
      </c>
      <c r="O191" s="1">
        <f>O190+N191</f>
        <v>121.3</v>
      </c>
      <c r="P191" s="1">
        <v>144</v>
      </c>
      <c r="Q191" s="1">
        <v>1</v>
      </c>
      <c r="R191" s="9">
        <f t="shared" si="23"/>
        <v>1</v>
      </c>
      <c r="S191" s="9">
        <f t="shared" si="24"/>
        <v>-0.8</v>
      </c>
      <c r="T191" s="9">
        <f t="shared" si="28"/>
        <v>121.3</v>
      </c>
      <c r="V191" s="1">
        <v>498.3</v>
      </c>
      <c r="X191" s="1">
        <f t="shared" si="29"/>
        <v>60385.799999999996</v>
      </c>
      <c r="Y191" s="1">
        <f t="shared" si="21"/>
        <v>6533.2</v>
      </c>
      <c r="AA191" s="1">
        <v>9.5999820396645195</v>
      </c>
    </row>
    <row r="192" spans="1:27" s="1" customFormat="1" x14ac:dyDescent="0.25">
      <c r="A192" s="49"/>
      <c r="B192" s="7"/>
      <c r="C192" s="3">
        <v>41308</v>
      </c>
      <c r="D192" s="1">
        <v>2.4</v>
      </c>
      <c r="E192" s="1">
        <v>1</v>
      </c>
      <c r="F192" s="1">
        <v>3.9</v>
      </c>
      <c r="G192" s="1">
        <f t="shared" si="25"/>
        <v>1074.0999999999999</v>
      </c>
      <c r="H192" s="1">
        <f t="shared" si="20"/>
        <v>70.900000000000006</v>
      </c>
      <c r="J192" s="1">
        <v>3.1</v>
      </c>
      <c r="K192" s="1">
        <f t="shared" si="26"/>
        <v>435.19999999999982</v>
      </c>
      <c r="L192" s="1">
        <v>0.8</v>
      </c>
      <c r="M192" s="1">
        <f t="shared" si="27"/>
        <v>126.59999999999998</v>
      </c>
      <c r="N192" s="1">
        <v>2.2999999999999998</v>
      </c>
      <c r="O192" s="1">
        <v>122.1</v>
      </c>
      <c r="P192" s="1">
        <v>145</v>
      </c>
      <c r="Q192" s="1">
        <v>1</v>
      </c>
      <c r="R192" s="9">
        <f t="shared" si="23"/>
        <v>0.8</v>
      </c>
      <c r="S192" s="9">
        <f t="shared" si="24"/>
        <v>2.2999999999999998</v>
      </c>
      <c r="T192" s="9">
        <f t="shared" si="28"/>
        <v>122.1</v>
      </c>
      <c r="V192" s="1">
        <v>303.60000000000002</v>
      </c>
      <c r="X192" s="1">
        <f t="shared" si="29"/>
        <v>60689.399999999994</v>
      </c>
      <c r="Y192" s="1">
        <f t="shared" si="21"/>
        <v>6836.8</v>
      </c>
      <c r="AA192" s="1">
        <v>9.6473539563270005</v>
      </c>
    </row>
    <row r="193" spans="1:28" s="1" customFormat="1" x14ac:dyDescent="0.25">
      <c r="A193" s="49"/>
      <c r="B193" s="7"/>
      <c r="C193" s="3">
        <v>41309</v>
      </c>
      <c r="D193" s="1">
        <v>4.3</v>
      </c>
      <c r="E193" s="1">
        <v>1.6</v>
      </c>
      <c r="F193" s="1">
        <v>6.9</v>
      </c>
      <c r="G193" s="1">
        <f t="shared" si="25"/>
        <v>1078.3999999999999</v>
      </c>
      <c r="H193" s="1">
        <f t="shared" si="20"/>
        <v>75.2</v>
      </c>
      <c r="J193" s="59">
        <v>4.4000000000000004</v>
      </c>
      <c r="K193" s="1">
        <f t="shared" si="26"/>
        <v>439.5999999999998</v>
      </c>
      <c r="L193" s="1">
        <v>0.4</v>
      </c>
      <c r="M193" s="1">
        <f t="shared" si="27"/>
        <v>126.99999999999999</v>
      </c>
      <c r="N193" s="1">
        <v>4</v>
      </c>
      <c r="O193" s="1">
        <v>122.1</v>
      </c>
      <c r="P193" s="1">
        <v>146</v>
      </c>
      <c r="Q193" s="1">
        <v>1</v>
      </c>
      <c r="R193" s="9">
        <f t="shared" si="23"/>
        <v>0.4</v>
      </c>
      <c r="S193" s="9">
        <f t="shared" si="24"/>
        <v>4</v>
      </c>
      <c r="T193" s="9">
        <f t="shared" si="28"/>
        <v>122.1</v>
      </c>
      <c r="V193" s="1">
        <v>157.1</v>
      </c>
      <c r="X193" s="1">
        <f t="shared" si="29"/>
        <v>60846.499999999993</v>
      </c>
      <c r="Y193" s="1">
        <f t="shared" si="21"/>
        <v>6993.9000000000005</v>
      </c>
      <c r="AA193" s="1">
        <v>9.6952900854334292</v>
      </c>
      <c r="AB193" s="62" t="s">
        <v>58</v>
      </c>
    </row>
    <row r="194" spans="1:28" s="1" customFormat="1" x14ac:dyDescent="0.25">
      <c r="A194" s="49"/>
      <c r="B194" s="7"/>
      <c r="C194" s="3">
        <v>41310</v>
      </c>
      <c r="D194" s="1">
        <v>5.5</v>
      </c>
      <c r="E194" s="1">
        <v>3.2</v>
      </c>
      <c r="F194" s="1">
        <v>8.8000000000000007</v>
      </c>
      <c r="G194" s="1">
        <f t="shared" si="25"/>
        <v>1083.8999999999999</v>
      </c>
      <c r="H194" s="1">
        <f t="shared" si="20"/>
        <v>80.7</v>
      </c>
      <c r="J194" s="59">
        <v>2.6</v>
      </c>
      <c r="K194" s="1">
        <f t="shared" si="26"/>
        <v>442.19999999999982</v>
      </c>
      <c r="L194" s="1">
        <v>0.9</v>
      </c>
      <c r="M194" s="1">
        <f t="shared" si="27"/>
        <v>127.89999999999999</v>
      </c>
      <c r="N194" s="1">
        <v>1.7000000000000002</v>
      </c>
      <c r="O194" s="1">
        <v>122.1</v>
      </c>
      <c r="P194" s="1">
        <v>147</v>
      </c>
      <c r="Q194" s="1">
        <v>1</v>
      </c>
      <c r="R194" s="9">
        <f t="shared" si="23"/>
        <v>0.9</v>
      </c>
      <c r="S194" s="9">
        <f t="shared" si="24"/>
        <v>1.7000000000000002</v>
      </c>
      <c r="T194" s="9">
        <f t="shared" si="28"/>
        <v>122.1</v>
      </c>
      <c r="V194" s="1">
        <v>620.79999999999995</v>
      </c>
      <c r="X194" s="1">
        <f t="shared" si="29"/>
        <v>61467.299999999996</v>
      </c>
      <c r="Y194" s="1">
        <f t="shared" si="21"/>
        <v>7614.7000000000007</v>
      </c>
      <c r="AA194" s="1">
        <v>9.7437666410030399</v>
      </c>
      <c r="AB194" s="9">
        <f>AVERAGE(T200:T213)</f>
        <v>118.92857142857143</v>
      </c>
    </row>
    <row r="195" spans="1:28" s="1" customFormat="1" x14ac:dyDescent="0.25">
      <c r="A195" s="49"/>
      <c r="B195" s="7"/>
      <c r="C195" s="3">
        <v>41311</v>
      </c>
      <c r="D195" s="1">
        <v>1.5</v>
      </c>
      <c r="E195" s="1">
        <v>0.6</v>
      </c>
      <c r="F195" s="1">
        <v>3.9</v>
      </c>
      <c r="G195" s="1">
        <f t="shared" si="25"/>
        <v>1085.3999999999999</v>
      </c>
      <c r="H195" s="1">
        <f t="shared" si="20"/>
        <v>82.2</v>
      </c>
      <c r="J195" s="59">
        <v>3.5</v>
      </c>
      <c r="K195" s="1">
        <f t="shared" si="26"/>
        <v>445.69999999999982</v>
      </c>
      <c r="L195" s="1">
        <v>0.6</v>
      </c>
      <c r="M195" s="1">
        <f t="shared" si="27"/>
        <v>128.5</v>
      </c>
      <c r="N195" s="1">
        <v>2.9</v>
      </c>
      <c r="O195" s="1">
        <v>122.1</v>
      </c>
      <c r="P195" s="1">
        <v>148</v>
      </c>
      <c r="Q195" s="1">
        <v>1</v>
      </c>
      <c r="R195" s="9">
        <f t="shared" si="23"/>
        <v>0.6</v>
      </c>
      <c r="S195" s="9">
        <f t="shared" si="24"/>
        <v>2.9</v>
      </c>
      <c r="T195" s="9">
        <f t="shared" si="28"/>
        <v>122.1</v>
      </c>
      <c r="V195" s="1">
        <v>110.6</v>
      </c>
      <c r="X195" s="1">
        <f t="shared" si="29"/>
        <v>61577.899999999994</v>
      </c>
      <c r="Y195" s="1">
        <f t="shared" si="21"/>
        <v>7725.3000000000011</v>
      </c>
      <c r="AA195" s="1">
        <v>9.7927604171936604</v>
      </c>
      <c r="AB195" s="62" t="s">
        <v>59</v>
      </c>
    </row>
    <row r="196" spans="1:28" s="1" customFormat="1" x14ac:dyDescent="0.25">
      <c r="A196" s="49"/>
      <c r="B196" s="7" t="s">
        <v>21</v>
      </c>
      <c r="C196" s="3">
        <v>41312</v>
      </c>
      <c r="D196" s="1">
        <v>1</v>
      </c>
      <c r="E196" s="1">
        <v>-0.2</v>
      </c>
      <c r="F196" s="1">
        <v>3.6</v>
      </c>
      <c r="G196" s="1">
        <f t="shared" si="25"/>
        <v>1086.3999999999999</v>
      </c>
      <c r="H196" s="1">
        <f t="shared" si="20"/>
        <v>83.2</v>
      </c>
      <c r="J196" s="59">
        <v>0.1</v>
      </c>
      <c r="K196" s="1">
        <f t="shared" si="26"/>
        <v>445.79999999999984</v>
      </c>
      <c r="L196" s="1">
        <v>0.4</v>
      </c>
      <c r="M196" s="1">
        <f t="shared" si="27"/>
        <v>128.9</v>
      </c>
      <c r="N196" s="1">
        <v>-0.30000000000000004</v>
      </c>
      <c r="O196" s="1">
        <f>O195+N196</f>
        <v>121.8</v>
      </c>
      <c r="P196" s="1">
        <v>149</v>
      </c>
      <c r="Q196" s="1">
        <v>1</v>
      </c>
      <c r="R196" s="9">
        <f t="shared" si="23"/>
        <v>0.4</v>
      </c>
      <c r="S196" s="9">
        <f t="shared" si="24"/>
        <v>-0.30000000000000004</v>
      </c>
      <c r="T196" s="9">
        <f t="shared" si="28"/>
        <v>121.8</v>
      </c>
      <c r="V196" s="1">
        <v>214.9</v>
      </c>
      <c r="X196" s="1">
        <f t="shared" si="29"/>
        <v>61792.799999999996</v>
      </c>
      <c r="Y196" s="1">
        <f t="shared" si="21"/>
        <v>7940.2000000000007</v>
      </c>
      <c r="AA196" s="1">
        <v>9.8422487996238104</v>
      </c>
      <c r="AB196" s="1">
        <v>2</v>
      </c>
    </row>
    <row r="197" spans="1:28" s="1" customFormat="1" x14ac:dyDescent="0.25">
      <c r="A197" s="49"/>
      <c r="B197" s="7"/>
      <c r="C197" s="3">
        <v>41313</v>
      </c>
      <c r="D197" s="1">
        <v>0.1</v>
      </c>
      <c r="E197" s="1">
        <v>-2.2999999999999998</v>
      </c>
      <c r="F197" s="1">
        <v>3</v>
      </c>
      <c r="G197" s="1">
        <f t="shared" si="25"/>
        <v>1086.4999999999998</v>
      </c>
      <c r="H197" s="1">
        <f t="shared" si="20"/>
        <v>83.3</v>
      </c>
      <c r="J197" s="59">
        <v>0</v>
      </c>
      <c r="K197" s="1">
        <f t="shared" si="26"/>
        <v>445.79999999999984</v>
      </c>
      <c r="L197" s="1">
        <v>0.3</v>
      </c>
      <c r="M197" s="1">
        <f t="shared" si="27"/>
        <v>129.20000000000002</v>
      </c>
      <c r="N197" s="1">
        <v>-0.3</v>
      </c>
      <c r="O197" s="1">
        <f>O196+N197</f>
        <v>121.5</v>
      </c>
      <c r="P197" s="1">
        <v>150</v>
      </c>
      <c r="Q197" s="1">
        <v>1</v>
      </c>
      <c r="R197" s="9">
        <f t="shared" si="23"/>
        <v>0.3</v>
      </c>
      <c r="S197" s="9">
        <f t="shared" si="24"/>
        <v>-0.3</v>
      </c>
      <c r="T197" s="9">
        <f t="shared" si="28"/>
        <v>121.5</v>
      </c>
      <c r="V197" s="1">
        <v>515.6</v>
      </c>
      <c r="X197" s="1">
        <f t="shared" si="29"/>
        <v>62308.399999999994</v>
      </c>
      <c r="Y197" s="1">
        <f t="shared" si="21"/>
        <v>8455.8000000000011</v>
      </c>
      <c r="AA197" s="1">
        <v>9.8922097740748303</v>
      </c>
      <c r="AB197" s="62" t="s">
        <v>60</v>
      </c>
    </row>
    <row r="198" spans="1:28" s="1" customFormat="1" x14ac:dyDescent="0.25">
      <c r="A198" s="49"/>
      <c r="B198" s="7">
        <v>10</v>
      </c>
      <c r="C198" s="3">
        <v>41314</v>
      </c>
      <c r="D198" s="1">
        <v>-0.8</v>
      </c>
      <c r="E198" s="1">
        <v>-3.8</v>
      </c>
      <c r="F198" s="1">
        <v>3.7</v>
      </c>
      <c r="G198" s="1">
        <v>1086.5</v>
      </c>
      <c r="H198" s="1">
        <v>83.3</v>
      </c>
      <c r="J198" s="59">
        <v>0</v>
      </c>
      <c r="K198" s="1">
        <f t="shared" si="26"/>
        <v>445.79999999999984</v>
      </c>
      <c r="L198" s="1">
        <v>0.4</v>
      </c>
      <c r="M198" s="1">
        <f t="shared" si="27"/>
        <v>129.60000000000002</v>
      </c>
      <c r="N198" s="1">
        <v>-0.4</v>
      </c>
      <c r="O198" s="1">
        <f>O197+N198</f>
        <v>121.1</v>
      </c>
      <c r="P198" s="1">
        <v>151</v>
      </c>
      <c r="Q198" s="1">
        <v>1</v>
      </c>
      <c r="R198" s="9">
        <f t="shared" si="23"/>
        <v>0.4</v>
      </c>
      <c r="S198" s="9">
        <f t="shared" si="24"/>
        <v>-0.4</v>
      </c>
      <c r="T198" s="9">
        <f t="shared" si="28"/>
        <v>121.1</v>
      </c>
      <c r="V198" s="1">
        <v>569.29999999999995</v>
      </c>
      <c r="X198" s="1">
        <f t="shared" si="29"/>
        <v>62877.7</v>
      </c>
      <c r="Y198" s="1">
        <f t="shared" si="21"/>
        <v>9025.1</v>
      </c>
      <c r="AA198" s="1">
        <v>9.9426219327178096</v>
      </c>
      <c r="AB198" s="1">
        <v>8</v>
      </c>
    </row>
    <row r="199" spans="1:28" s="1" customFormat="1" x14ac:dyDescent="0.25">
      <c r="A199" s="49"/>
      <c r="B199" s="7"/>
      <c r="C199" s="3">
        <v>41315</v>
      </c>
      <c r="D199" s="1">
        <v>-1.7</v>
      </c>
      <c r="E199" s="1">
        <v>-4.5</v>
      </c>
      <c r="F199" s="1">
        <v>1.2</v>
      </c>
      <c r="G199" s="1">
        <v>1086.5</v>
      </c>
      <c r="H199" s="1">
        <v>83.3</v>
      </c>
      <c r="J199" s="59">
        <v>2.1</v>
      </c>
      <c r="K199" s="1">
        <f t="shared" si="26"/>
        <v>447.89999999999986</v>
      </c>
      <c r="L199" s="1">
        <v>0.4</v>
      </c>
      <c r="M199" s="1">
        <f t="shared" si="27"/>
        <v>130.00000000000003</v>
      </c>
      <c r="N199" s="1">
        <v>1.7000000000000002</v>
      </c>
      <c r="O199" s="1">
        <v>122.1</v>
      </c>
      <c r="P199" s="1">
        <v>152</v>
      </c>
      <c r="Q199" s="1">
        <v>1</v>
      </c>
      <c r="R199" s="9">
        <f t="shared" si="23"/>
        <v>0.4</v>
      </c>
      <c r="S199" s="9">
        <f t="shared" si="24"/>
        <v>1.7000000000000002</v>
      </c>
      <c r="T199" s="9">
        <f t="shared" si="28"/>
        <v>122.1</v>
      </c>
      <c r="V199" s="1">
        <v>476.8</v>
      </c>
      <c r="X199" s="1">
        <f t="shared" si="29"/>
        <v>63354.5</v>
      </c>
      <c r="Y199" s="1">
        <f t="shared" si="21"/>
        <v>9501.9</v>
      </c>
      <c r="AA199" s="1">
        <v>9.9934644780112407</v>
      </c>
      <c r="AB199" s="62" t="s">
        <v>61</v>
      </c>
    </row>
    <row r="200" spans="1:28" s="1" customFormat="1" x14ac:dyDescent="0.25">
      <c r="A200" s="49"/>
      <c r="B200" s="7"/>
      <c r="C200" s="3">
        <v>41316</v>
      </c>
      <c r="D200" s="1">
        <v>1.9</v>
      </c>
      <c r="E200" s="1">
        <v>0.3</v>
      </c>
      <c r="F200" s="1">
        <v>2.8</v>
      </c>
      <c r="G200" s="1">
        <f t="shared" si="25"/>
        <v>1088.4000000000001</v>
      </c>
      <c r="H200" s="1">
        <f t="shared" si="20"/>
        <v>85.2</v>
      </c>
      <c r="J200" s="59">
        <v>1.1000000000000001</v>
      </c>
      <c r="K200" s="1">
        <f t="shared" si="26"/>
        <v>448.99999999999989</v>
      </c>
      <c r="L200" s="1">
        <v>0.1</v>
      </c>
      <c r="M200" s="1">
        <f t="shared" si="27"/>
        <v>130.10000000000002</v>
      </c>
      <c r="N200" s="1">
        <v>1</v>
      </c>
      <c r="O200" s="1">
        <v>122.1</v>
      </c>
      <c r="P200" s="1">
        <v>153</v>
      </c>
      <c r="Q200" s="1">
        <v>1</v>
      </c>
      <c r="R200" s="9">
        <f t="shared" si="23"/>
        <v>0.1</v>
      </c>
      <c r="S200" s="9">
        <f t="shared" si="24"/>
        <v>1</v>
      </c>
      <c r="T200" s="60">
        <f t="shared" si="28"/>
        <v>122.1</v>
      </c>
      <c r="V200" s="1">
        <v>163.4</v>
      </c>
      <c r="X200" s="1">
        <f t="shared" si="29"/>
        <v>63517.9</v>
      </c>
      <c r="Y200" s="1">
        <f t="shared" si="21"/>
        <v>9665.2999999999993</v>
      </c>
      <c r="AA200" s="1">
        <v>10.044717224415299</v>
      </c>
      <c r="AB200" s="1">
        <v>0</v>
      </c>
    </row>
    <row r="201" spans="1:28" s="1" customFormat="1" x14ac:dyDescent="0.25">
      <c r="A201" s="49"/>
      <c r="B201" s="7"/>
      <c r="C201" s="3">
        <v>41317</v>
      </c>
      <c r="D201" s="1">
        <v>-0.1</v>
      </c>
      <c r="E201" s="1">
        <v>-0.8</v>
      </c>
      <c r="F201" s="1">
        <v>0.5</v>
      </c>
      <c r="G201" s="1">
        <v>1088.4000000000001</v>
      </c>
      <c r="H201" s="1">
        <v>85.2</v>
      </c>
      <c r="J201" s="59">
        <v>0</v>
      </c>
      <c r="K201" s="1">
        <f t="shared" si="26"/>
        <v>448.99999999999989</v>
      </c>
      <c r="L201" s="1">
        <v>0.3</v>
      </c>
      <c r="M201" s="1">
        <f t="shared" si="27"/>
        <v>130.40000000000003</v>
      </c>
      <c r="N201" s="1">
        <v>-0.3</v>
      </c>
      <c r="O201" s="1">
        <f t="shared" ref="O201:O233" si="30">O200+N201</f>
        <v>121.8</v>
      </c>
      <c r="P201" s="1">
        <v>154</v>
      </c>
      <c r="Q201" s="1">
        <v>1</v>
      </c>
      <c r="R201" s="9">
        <f t="shared" si="23"/>
        <v>0.3</v>
      </c>
      <c r="S201" s="9">
        <f t="shared" si="24"/>
        <v>-0.3</v>
      </c>
      <c r="T201" s="60">
        <f t="shared" si="28"/>
        <v>121.8</v>
      </c>
      <c r="V201" s="1">
        <v>145</v>
      </c>
      <c r="X201" s="1">
        <f t="shared" si="29"/>
        <v>63662.9</v>
      </c>
      <c r="Y201" s="1">
        <f t="shared" si="21"/>
        <v>9810.2999999999993</v>
      </c>
      <c r="AA201" s="1">
        <v>10.0963605980666</v>
      </c>
      <c r="AB201" s="62" t="s">
        <v>62</v>
      </c>
    </row>
    <row r="202" spans="1:28" s="1" customFormat="1" x14ac:dyDescent="0.25">
      <c r="A202" s="49"/>
      <c r="B202" s="7"/>
      <c r="C202" s="3">
        <v>41318</v>
      </c>
      <c r="D202" s="1">
        <v>-1.4</v>
      </c>
      <c r="E202" s="1">
        <v>-1.8</v>
      </c>
      <c r="F202" s="1">
        <v>-0.4</v>
      </c>
      <c r="G202" s="1">
        <v>1088.4000000000001</v>
      </c>
      <c r="H202" s="1">
        <v>85.2</v>
      </c>
      <c r="J202" s="59">
        <v>0</v>
      </c>
      <c r="K202" s="1">
        <f t="shared" si="26"/>
        <v>448.99999999999989</v>
      </c>
      <c r="L202" s="1">
        <v>0.8</v>
      </c>
      <c r="M202" s="1">
        <f t="shared" si="27"/>
        <v>131.20000000000005</v>
      </c>
      <c r="N202" s="1">
        <v>-0.8</v>
      </c>
      <c r="O202" s="1">
        <f t="shared" si="30"/>
        <v>121</v>
      </c>
      <c r="P202" s="1">
        <v>155</v>
      </c>
      <c r="Q202" s="1">
        <v>1</v>
      </c>
      <c r="R202" s="9">
        <f t="shared" si="23"/>
        <v>0.8</v>
      </c>
      <c r="S202" s="9">
        <f t="shared" si="24"/>
        <v>-0.8</v>
      </c>
      <c r="T202" s="60">
        <f t="shared" si="28"/>
        <v>121</v>
      </c>
      <c r="V202" s="1">
        <v>441</v>
      </c>
      <c r="X202" s="1">
        <f t="shared" si="29"/>
        <v>64103.9</v>
      </c>
      <c r="Y202" s="1">
        <f t="shared" si="21"/>
        <v>10251.299999999999</v>
      </c>
      <c r="AA202" s="1">
        <v>10.148375634556899</v>
      </c>
      <c r="AB202" s="1">
        <f>SUM(J204:J213)</f>
        <v>0.30000000000000004</v>
      </c>
    </row>
    <row r="203" spans="1:28" s="56" customFormat="1" x14ac:dyDescent="0.25">
      <c r="A203" s="49"/>
      <c r="B203" s="54" t="s">
        <v>63</v>
      </c>
      <c r="C203" s="55">
        <v>41319</v>
      </c>
      <c r="D203" s="56">
        <v>-1.7</v>
      </c>
      <c r="E203" s="56">
        <v>-5.0999999999999996</v>
      </c>
      <c r="F203" s="56">
        <v>0.6</v>
      </c>
      <c r="G203" s="56">
        <v>1088.4000000000001</v>
      </c>
      <c r="H203" s="56">
        <v>85.2</v>
      </c>
      <c r="J203" s="56">
        <v>1.1000000000000001</v>
      </c>
      <c r="K203" s="56">
        <f t="shared" si="26"/>
        <v>450.09999999999991</v>
      </c>
      <c r="L203" s="56">
        <v>0.3</v>
      </c>
      <c r="M203" s="56">
        <f t="shared" si="27"/>
        <v>131.50000000000006</v>
      </c>
      <c r="N203" s="56">
        <v>0.8</v>
      </c>
      <c r="O203" s="56">
        <f t="shared" si="30"/>
        <v>121.8</v>
      </c>
      <c r="P203" s="56">
        <v>156</v>
      </c>
      <c r="Q203" s="56">
        <v>1</v>
      </c>
      <c r="R203" s="57">
        <f t="shared" si="23"/>
        <v>0.3</v>
      </c>
      <c r="S203" s="57">
        <f t="shared" si="24"/>
        <v>0.8</v>
      </c>
      <c r="T203" s="57">
        <f t="shared" si="28"/>
        <v>121.8</v>
      </c>
      <c r="V203" s="56">
        <v>179.4</v>
      </c>
      <c r="X203" s="56">
        <f t="shared" si="29"/>
        <v>64283.3</v>
      </c>
      <c r="Y203" s="56">
        <f t="shared" si="21"/>
        <v>10430.699999999999</v>
      </c>
      <c r="AA203" s="56">
        <v>10.200743974952401</v>
      </c>
    </row>
    <row r="204" spans="1:28" s="1" customFormat="1" x14ac:dyDescent="0.25">
      <c r="A204" s="49"/>
      <c r="B204" s="7"/>
      <c r="C204" s="3">
        <v>41320</v>
      </c>
      <c r="D204" s="1">
        <v>2.7</v>
      </c>
      <c r="E204" s="1">
        <v>-1.1000000000000001</v>
      </c>
      <c r="F204" s="1">
        <v>7.6</v>
      </c>
      <c r="G204" s="1">
        <f t="shared" si="25"/>
        <v>1091.1000000000001</v>
      </c>
      <c r="H204" s="1">
        <f t="shared" si="20"/>
        <v>87.9</v>
      </c>
      <c r="J204" s="59">
        <v>0.2</v>
      </c>
      <c r="K204" s="1">
        <f t="shared" si="26"/>
        <v>450.2999999999999</v>
      </c>
      <c r="L204" s="1">
        <v>0.4</v>
      </c>
      <c r="M204" s="1">
        <f t="shared" si="27"/>
        <v>131.90000000000006</v>
      </c>
      <c r="N204" s="1">
        <v>-0.2</v>
      </c>
      <c r="O204" s="1">
        <f t="shared" si="30"/>
        <v>121.6</v>
      </c>
      <c r="P204" s="1">
        <v>157</v>
      </c>
      <c r="Q204" s="1">
        <v>1</v>
      </c>
      <c r="R204" s="9">
        <f t="shared" si="23"/>
        <v>0.4</v>
      </c>
      <c r="S204" s="9">
        <f t="shared" si="24"/>
        <v>-0.2</v>
      </c>
      <c r="T204" s="60">
        <f t="shared" si="28"/>
        <v>121.6</v>
      </c>
      <c r="V204" s="1">
        <v>283.10000000000002</v>
      </c>
      <c r="X204" s="1">
        <f t="shared" si="29"/>
        <v>64566.400000000001</v>
      </c>
      <c r="Y204" s="1">
        <f t="shared" si="21"/>
        <v>10713.8</v>
      </c>
      <c r="AA204" s="1">
        <v>10.2534478601918</v>
      </c>
    </row>
    <row r="205" spans="1:28" s="1" customFormat="1" x14ac:dyDescent="0.25">
      <c r="A205" s="49"/>
      <c r="B205" s="7"/>
      <c r="C205" s="3">
        <v>41321</v>
      </c>
      <c r="D205" s="1">
        <v>2.4</v>
      </c>
      <c r="E205" s="1">
        <v>-0.5</v>
      </c>
      <c r="F205" s="1">
        <v>7.2</v>
      </c>
      <c r="G205" s="1">
        <f t="shared" si="25"/>
        <v>1093.5000000000002</v>
      </c>
      <c r="H205" s="1">
        <f t="shared" si="20"/>
        <v>90.300000000000011</v>
      </c>
      <c r="J205" s="59">
        <v>0</v>
      </c>
      <c r="K205" s="1">
        <f t="shared" si="26"/>
        <v>450.2999999999999</v>
      </c>
      <c r="L205" s="1">
        <v>0.5</v>
      </c>
      <c r="M205" s="1">
        <f t="shared" si="27"/>
        <v>132.40000000000006</v>
      </c>
      <c r="N205" s="1">
        <v>-0.5</v>
      </c>
      <c r="O205" s="1">
        <f t="shared" si="30"/>
        <v>121.1</v>
      </c>
      <c r="P205" s="1">
        <v>158</v>
      </c>
      <c r="Q205" s="1">
        <v>1</v>
      </c>
      <c r="R205" s="9">
        <f t="shared" si="23"/>
        <v>0.5</v>
      </c>
      <c r="S205" s="9">
        <f t="shared" si="24"/>
        <v>-0.5</v>
      </c>
      <c r="T205" s="60">
        <f t="shared" si="28"/>
        <v>121.1</v>
      </c>
      <c r="V205" s="1">
        <v>591.29999999999995</v>
      </c>
      <c r="X205" s="1">
        <f t="shared" si="29"/>
        <v>65157.700000000004</v>
      </c>
      <c r="Y205" s="1">
        <f t="shared" si="21"/>
        <v>11305.099999999999</v>
      </c>
      <c r="AA205" s="1">
        <v>10.306470123992201</v>
      </c>
    </row>
    <row r="206" spans="1:28" s="1" customFormat="1" x14ac:dyDescent="0.25">
      <c r="A206" s="49"/>
      <c r="B206" s="7"/>
      <c r="C206" s="3">
        <v>41322</v>
      </c>
      <c r="D206" s="1">
        <v>2.2999999999999998</v>
      </c>
      <c r="E206" s="1">
        <v>0.2</v>
      </c>
      <c r="F206" s="1">
        <v>6.9</v>
      </c>
      <c r="G206" s="1">
        <f t="shared" si="25"/>
        <v>1095.8000000000002</v>
      </c>
      <c r="H206" s="1">
        <f t="shared" si="20"/>
        <v>92.600000000000009</v>
      </c>
      <c r="J206" s="59">
        <v>0</v>
      </c>
      <c r="K206" s="1">
        <f t="shared" si="26"/>
        <v>450.2999999999999</v>
      </c>
      <c r="L206" s="1">
        <v>1.1000000000000001</v>
      </c>
      <c r="M206" s="1">
        <f t="shared" si="27"/>
        <v>133.50000000000006</v>
      </c>
      <c r="N206" s="1">
        <v>-1.1000000000000001</v>
      </c>
      <c r="O206" s="1">
        <f t="shared" si="30"/>
        <v>120</v>
      </c>
      <c r="P206" s="1">
        <v>159</v>
      </c>
      <c r="Q206" s="1">
        <v>1</v>
      </c>
      <c r="R206" s="9">
        <f t="shared" si="23"/>
        <v>1.1000000000000001</v>
      </c>
      <c r="S206" s="9">
        <f t="shared" si="24"/>
        <v>-1.1000000000000001</v>
      </c>
      <c r="T206" s="60">
        <f t="shared" si="28"/>
        <v>120</v>
      </c>
      <c r="V206" s="1">
        <v>803.7</v>
      </c>
      <c r="X206" s="1">
        <f t="shared" si="29"/>
        <v>65961.400000000009</v>
      </c>
      <c r="Y206" s="1">
        <f t="shared" si="21"/>
        <v>12108.8</v>
      </c>
      <c r="AA206" s="1">
        <v>10.359794184388701</v>
      </c>
    </row>
    <row r="207" spans="1:28" s="1" customFormat="1" x14ac:dyDescent="0.25">
      <c r="A207" s="49"/>
      <c r="B207" s="7"/>
      <c r="C207" s="3">
        <v>41323</v>
      </c>
      <c r="D207" s="1">
        <v>-1.1000000000000001</v>
      </c>
      <c r="E207" s="1">
        <v>-2.8</v>
      </c>
      <c r="F207" s="1">
        <v>1.7</v>
      </c>
      <c r="G207" s="1">
        <v>1095.8</v>
      </c>
      <c r="H207" s="1">
        <v>92.6</v>
      </c>
      <c r="J207" s="59">
        <v>0</v>
      </c>
      <c r="K207" s="1">
        <f t="shared" si="26"/>
        <v>450.2999999999999</v>
      </c>
      <c r="L207" s="1">
        <v>0.8</v>
      </c>
      <c r="M207" s="1">
        <f t="shared" si="27"/>
        <v>134.30000000000007</v>
      </c>
      <c r="N207" s="1">
        <v>-0.8</v>
      </c>
      <c r="O207" s="1">
        <f t="shared" si="30"/>
        <v>119.2</v>
      </c>
      <c r="P207" s="1">
        <v>160</v>
      </c>
      <c r="Q207" s="1">
        <v>1</v>
      </c>
      <c r="R207" s="9">
        <f t="shared" si="23"/>
        <v>0.8</v>
      </c>
      <c r="S207" s="9">
        <f t="shared" si="24"/>
        <v>-0.8</v>
      </c>
      <c r="T207" s="60">
        <f t="shared" si="28"/>
        <v>119.2</v>
      </c>
      <c r="V207" s="1">
        <v>1097</v>
      </c>
      <c r="X207" s="1">
        <f t="shared" si="29"/>
        <v>67058.400000000009</v>
      </c>
      <c r="Y207" s="1">
        <f t="shared" si="21"/>
        <v>13205.8</v>
      </c>
      <c r="AA207" s="1">
        <v>10.4134040340304</v>
      </c>
    </row>
    <row r="208" spans="1:28" s="1" customFormat="1" x14ac:dyDescent="0.25">
      <c r="A208" s="49"/>
      <c r="B208" s="7"/>
      <c r="C208" s="3">
        <v>41324</v>
      </c>
      <c r="D208" s="1">
        <v>-2.6</v>
      </c>
      <c r="E208" s="1">
        <v>-4.5999999999999996</v>
      </c>
      <c r="F208" s="1">
        <v>-0.8</v>
      </c>
      <c r="G208" s="1">
        <v>1095.8</v>
      </c>
      <c r="H208" s="1">
        <v>92.6</v>
      </c>
      <c r="J208" s="59">
        <v>0</v>
      </c>
      <c r="K208" s="1">
        <f t="shared" si="26"/>
        <v>450.2999999999999</v>
      </c>
      <c r="L208" s="1">
        <v>0.5</v>
      </c>
      <c r="M208" s="1">
        <f t="shared" si="27"/>
        <v>134.80000000000007</v>
      </c>
      <c r="N208" s="1">
        <v>-0.5</v>
      </c>
      <c r="O208" s="1">
        <f t="shared" si="30"/>
        <v>118.7</v>
      </c>
      <c r="P208" s="1">
        <v>161</v>
      </c>
      <c r="Q208" s="1">
        <v>1</v>
      </c>
      <c r="R208" s="9">
        <f t="shared" si="23"/>
        <v>0.5</v>
      </c>
      <c r="S208" s="9">
        <f t="shared" si="24"/>
        <v>-0.5</v>
      </c>
      <c r="T208" s="60">
        <f t="shared" si="28"/>
        <v>118.7</v>
      </c>
      <c r="V208" s="1">
        <v>552.79999999999995</v>
      </c>
      <c r="X208" s="1">
        <f t="shared" si="29"/>
        <v>67611.200000000012</v>
      </c>
      <c r="Y208" s="1">
        <f t="shared" si="21"/>
        <v>13758.599999999999</v>
      </c>
      <c r="AA208" s="1">
        <v>10.4672842293458</v>
      </c>
    </row>
    <row r="209" spans="1:28" s="1" customFormat="1" x14ac:dyDescent="0.25">
      <c r="A209" s="49"/>
      <c r="B209" s="7"/>
      <c r="C209" s="3">
        <v>41325</v>
      </c>
      <c r="D209" s="1">
        <v>1.3</v>
      </c>
      <c r="E209" s="1">
        <v>-1.6</v>
      </c>
      <c r="F209" s="1">
        <v>6.2</v>
      </c>
      <c r="G209" s="1">
        <f t="shared" si="25"/>
        <v>1097.0999999999999</v>
      </c>
      <c r="H209" s="1">
        <f t="shared" si="20"/>
        <v>93.899999999999991</v>
      </c>
      <c r="J209" s="59">
        <v>0</v>
      </c>
      <c r="K209" s="1">
        <f t="shared" si="26"/>
        <v>450.2999999999999</v>
      </c>
      <c r="L209" s="1">
        <v>1</v>
      </c>
      <c r="M209" s="1">
        <f t="shared" si="27"/>
        <v>135.80000000000007</v>
      </c>
      <c r="N209" s="1">
        <v>-1</v>
      </c>
      <c r="O209" s="1">
        <f t="shared" si="30"/>
        <v>117.7</v>
      </c>
      <c r="P209" s="1">
        <v>162</v>
      </c>
      <c r="Q209" s="1">
        <v>1</v>
      </c>
      <c r="R209" s="9">
        <f t="shared" si="23"/>
        <v>1</v>
      </c>
      <c r="S209" s="9">
        <f t="shared" si="24"/>
        <v>-1</v>
      </c>
      <c r="T209" s="60">
        <f t="shared" si="28"/>
        <v>117.7</v>
      </c>
      <c r="V209" s="1">
        <v>731.7</v>
      </c>
      <c r="X209" s="1">
        <f t="shared" si="29"/>
        <v>68342.900000000009</v>
      </c>
      <c r="Y209" s="1">
        <f t="shared" si="21"/>
        <v>14490.3</v>
      </c>
      <c r="AA209" s="1">
        <v>10.5214198786888</v>
      </c>
    </row>
    <row r="210" spans="1:28" s="1" customFormat="1" x14ac:dyDescent="0.25">
      <c r="A210" s="49"/>
      <c r="B210" s="7" t="s">
        <v>22</v>
      </c>
      <c r="C210" s="3">
        <v>41326</v>
      </c>
      <c r="D210" s="1">
        <v>-0.7</v>
      </c>
      <c r="E210" s="1">
        <v>-2.6</v>
      </c>
      <c r="F210" s="1">
        <v>2.7</v>
      </c>
      <c r="G210" s="1">
        <v>1097.0999999999999</v>
      </c>
      <c r="H210" s="1">
        <v>93.9</v>
      </c>
      <c r="J210" s="59">
        <v>0</v>
      </c>
      <c r="K210" s="1">
        <f t="shared" si="26"/>
        <v>450.2999999999999</v>
      </c>
      <c r="L210" s="1">
        <v>1.3</v>
      </c>
      <c r="M210" s="1">
        <f t="shared" si="27"/>
        <v>137.10000000000008</v>
      </c>
      <c r="N210" s="1">
        <v>-1.3</v>
      </c>
      <c r="O210" s="1">
        <f t="shared" si="30"/>
        <v>116.4</v>
      </c>
      <c r="P210" s="1">
        <v>163</v>
      </c>
      <c r="Q210" s="1">
        <v>1</v>
      </c>
      <c r="R210" s="9">
        <f t="shared" si="23"/>
        <v>1.3</v>
      </c>
      <c r="S210" s="9">
        <f t="shared" si="24"/>
        <v>-1.3</v>
      </c>
      <c r="T210" s="60">
        <f t="shared" si="28"/>
        <v>116.4</v>
      </c>
      <c r="V210" s="1">
        <v>814.5</v>
      </c>
      <c r="X210" s="1">
        <f t="shared" si="29"/>
        <v>69157.400000000009</v>
      </c>
      <c r="Y210" s="1">
        <f t="shared" si="21"/>
        <v>15304.8</v>
      </c>
      <c r="AA210" s="1">
        <v>10.575796629568799</v>
      </c>
    </row>
    <row r="211" spans="1:28" s="1" customFormat="1" x14ac:dyDescent="0.25">
      <c r="A211" s="49"/>
      <c r="B211" s="7"/>
      <c r="C211" s="3">
        <v>41327</v>
      </c>
      <c r="D211" s="1">
        <v>-2.6</v>
      </c>
      <c r="E211" s="1">
        <v>-4.5</v>
      </c>
      <c r="F211" s="1">
        <v>-0.3</v>
      </c>
      <c r="G211" s="1">
        <v>1097.0999999999999</v>
      </c>
      <c r="H211" s="1">
        <v>93.9</v>
      </c>
      <c r="J211" s="59">
        <v>0</v>
      </c>
      <c r="K211" s="1">
        <f t="shared" si="26"/>
        <v>450.2999999999999</v>
      </c>
      <c r="L211" s="1">
        <v>1.1000000000000001</v>
      </c>
      <c r="M211" s="1">
        <f t="shared" si="27"/>
        <v>138.20000000000007</v>
      </c>
      <c r="N211" s="1">
        <v>-1.1000000000000001</v>
      </c>
      <c r="O211" s="1">
        <f t="shared" si="30"/>
        <v>115.30000000000001</v>
      </c>
      <c r="P211" s="1">
        <v>164</v>
      </c>
      <c r="Q211" s="1">
        <v>1</v>
      </c>
      <c r="R211" s="9">
        <f t="shared" si="23"/>
        <v>1.1000000000000001</v>
      </c>
      <c r="S211" s="9">
        <f t="shared" si="24"/>
        <v>-1.1000000000000001</v>
      </c>
      <c r="T211" s="60">
        <f t="shared" si="28"/>
        <v>115.30000000000001</v>
      </c>
      <c r="V211" s="1">
        <v>605.1</v>
      </c>
      <c r="X211" s="1">
        <f t="shared" si="29"/>
        <v>69762.500000000015</v>
      </c>
      <c r="Y211" s="1">
        <f t="shared" si="21"/>
        <v>15909.9</v>
      </c>
      <c r="AA211" s="1">
        <v>10.630400655061001</v>
      </c>
    </row>
    <row r="212" spans="1:28" s="1" customFormat="1" x14ac:dyDescent="0.25">
      <c r="A212" s="49"/>
      <c r="B212" s="7"/>
      <c r="C212" s="3">
        <v>41328</v>
      </c>
      <c r="D212" s="1">
        <v>-2.7</v>
      </c>
      <c r="E212" s="1">
        <v>-4.5</v>
      </c>
      <c r="F212" s="1">
        <v>-0.4</v>
      </c>
      <c r="G212" s="1">
        <v>1097.0999999999999</v>
      </c>
      <c r="H212" s="1">
        <v>93.9</v>
      </c>
      <c r="J212" s="59">
        <v>0</v>
      </c>
      <c r="K212" s="1">
        <f t="shared" si="26"/>
        <v>450.2999999999999</v>
      </c>
      <c r="L212" s="1">
        <v>1</v>
      </c>
      <c r="M212" s="1">
        <f t="shared" si="27"/>
        <v>139.20000000000007</v>
      </c>
      <c r="N212" s="1">
        <v>-1</v>
      </c>
      <c r="O212" s="1">
        <f t="shared" si="30"/>
        <v>114.30000000000001</v>
      </c>
      <c r="P212" s="1">
        <v>165</v>
      </c>
      <c r="Q212" s="1">
        <v>1</v>
      </c>
      <c r="R212" s="9">
        <f t="shared" si="23"/>
        <v>1</v>
      </c>
      <c r="S212" s="9">
        <f t="shared" si="24"/>
        <v>-1</v>
      </c>
      <c r="T212" s="60">
        <f t="shared" si="28"/>
        <v>114.30000000000001</v>
      </c>
      <c r="V212" s="1">
        <v>689.9</v>
      </c>
      <c r="X212" s="1">
        <f t="shared" si="29"/>
        <v>70452.400000000009</v>
      </c>
      <c r="Y212" s="1">
        <f t="shared" si="21"/>
        <v>16599.8</v>
      </c>
      <c r="AA212" s="1">
        <v>10.6852186394912</v>
      </c>
    </row>
    <row r="213" spans="1:28" s="1" customFormat="1" x14ac:dyDescent="0.25">
      <c r="A213" s="49"/>
      <c r="B213" s="7"/>
      <c r="C213" s="3">
        <v>41329</v>
      </c>
      <c r="D213" s="1">
        <v>-2.5</v>
      </c>
      <c r="E213" s="1">
        <v>-3.6</v>
      </c>
      <c r="F213" s="1">
        <v>-1.2</v>
      </c>
      <c r="G213" s="1">
        <v>1097.0999999999999</v>
      </c>
      <c r="H213" s="1">
        <v>93.9</v>
      </c>
      <c r="J213" s="59">
        <v>0.1</v>
      </c>
      <c r="K213" s="1">
        <f t="shared" si="26"/>
        <v>450.39999999999992</v>
      </c>
      <c r="L213" s="1">
        <v>0.4</v>
      </c>
      <c r="M213" s="1">
        <f t="shared" si="27"/>
        <v>139.60000000000008</v>
      </c>
      <c r="N213" s="1">
        <v>-0.30000000000000004</v>
      </c>
      <c r="O213" s="1">
        <f t="shared" si="30"/>
        <v>114.00000000000001</v>
      </c>
      <c r="P213" s="1">
        <v>166</v>
      </c>
      <c r="Q213" s="1">
        <v>1</v>
      </c>
      <c r="R213" s="9">
        <f t="shared" si="23"/>
        <v>0.4</v>
      </c>
      <c r="S213" s="9">
        <f t="shared" si="24"/>
        <v>-0.30000000000000004</v>
      </c>
      <c r="T213" s="60">
        <f t="shared" si="28"/>
        <v>114.00000000000001</v>
      </c>
      <c r="V213" s="1">
        <v>247.2</v>
      </c>
      <c r="X213" s="1">
        <f t="shared" si="29"/>
        <v>70699.600000000006</v>
      </c>
      <c r="Y213" s="1">
        <f t="shared" si="21"/>
        <v>16847</v>
      </c>
      <c r="AA213" s="1">
        <v>10.7402377634786</v>
      </c>
    </row>
    <row r="214" spans="1:28" s="1" customFormat="1" x14ac:dyDescent="0.25">
      <c r="A214" s="49"/>
      <c r="B214" s="7"/>
      <c r="C214" s="3">
        <v>41330</v>
      </c>
      <c r="D214" s="1">
        <v>-3</v>
      </c>
      <c r="E214" s="1">
        <v>-4.5</v>
      </c>
      <c r="F214" s="1">
        <v>-1.5</v>
      </c>
      <c r="G214" s="1">
        <v>1097.0999999999999</v>
      </c>
      <c r="H214" s="1">
        <v>93.9</v>
      </c>
      <c r="J214" s="1">
        <v>0</v>
      </c>
      <c r="K214" s="1">
        <f t="shared" si="26"/>
        <v>450.39999999999992</v>
      </c>
      <c r="L214" s="1">
        <v>0.4</v>
      </c>
      <c r="M214" s="1">
        <f t="shared" si="27"/>
        <v>140.00000000000009</v>
      </c>
      <c r="N214" s="1">
        <v>-0.4</v>
      </c>
      <c r="O214" s="1">
        <f t="shared" si="30"/>
        <v>113.60000000000001</v>
      </c>
      <c r="P214" s="1">
        <v>167</v>
      </c>
      <c r="Q214" s="1">
        <v>1</v>
      </c>
      <c r="R214" s="9">
        <f t="shared" si="23"/>
        <v>0.4</v>
      </c>
      <c r="S214" s="9">
        <f t="shared" si="24"/>
        <v>-0.4</v>
      </c>
      <c r="T214" s="9">
        <f t="shared" si="28"/>
        <v>113.60000000000001</v>
      </c>
      <c r="V214" s="1">
        <v>699.5</v>
      </c>
      <c r="X214" s="1">
        <f t="shared" si="29"/>
        <v>71399.100000000006</v>
      </c>
      <c r="Y214" s="1">
        <f t="shared" si="21"/>
        <v>17546.5</v>
      </c>
      <c r="AA214" s="1">
        <v>10.7954456884178</v>
      </c>
    </row>
    <row r="215" spans="1:28" s="1" customFormat="1" x14ac:dyDescent="0.25">
      <c r="A215" s="49"/>
      <c r="B215" s="7"/>
      <c r="C215" s="3">
        <v>41331</v>
      </c>
      <c r="D215" s="1">
        <v>-0.6</v>
      </c>
      <c r="E215" s="1">
        <v>-5.4</v>
      </c>
      <c r="F215" s="1">
        <v>2.7</v>
      </c>
      <c r="G215" s="1">
        <v>1097.0999999999999</v>
      </c>
      <c r="H215" s="1">
        <v>93.9</v>
      </c>
      <c r="J215" s="1">
        <v>0</v>
      </c>
      <c r="K215" s="1">
        <f t="shared" si="26"/>
        <v>450.39999999999992</v>
      </c>
      <c r="L215" s="1">
        <v>0.7</v>
      </c>
      <c r="M215" s="1">
        <f t="shared" si="27"/>
        <v>140.70000000000007</v>
      </c>
      <c r="N215" s="1">
        <v>-0.7</v>
      </c>
      <c r="O215" s="1">
        <f t="shared" si="30"/>
        <v>112.9</v>
      </c>
      <c r="P215" s="1">
        <v>168</v>
      </c>
      <c r="Q215" s="1">
        <v>1</v>
      </c>
      <c r="R215" s="9">
        <f t="shared" si="23"/>
        <v>0.7</v>
      </c>
      <c r="S215" s="9">
        <f t="shared" si="24"/>
        <v>-0.7</v>
      </c>
      <c r="T215" s="9">
        <f t="shared" si="28"/>
        <v>112.9</v>
      </c>
      <c r="V215" s="1">
        <v>949.7</v>
      </c>
      <c r="X215" s="1">
        <f t="shared" si="29"/>
        <v>72348.800000000003</v>
      </c>
      <c r="Y215" s="1">
        <f t="shared" si="21"/>
        <v>18496.2</v>
      </c>
      <c r="AA215" s="1">
        <v>10.850830540473201</v>
      </c>
    </row>
    <row r="216" spans="1:28" s="1" customFormat="1" x14ac:dyDescent="0.25">
      <c r="A216" s="49"/>
      <c r="B216" s="7"/>
      <c r="C216" s="3">
        <v>41332</v>
      </c>
      <c r="D216" s="1">
        <v>2.6</v>
      </c>
      <c r="E216" s="1">
        <v>1</v>
      </c>
      <c r="F216" s="1">
        <v>4</v>
      </c>
      <c r="G216" s="1">
        <f t="shared" si="25"/>
        <v>1099.6999999999998</v>
      </c>
      <c r="H216" s="1">
        <f t="shared" si="20"/>
        <v>96.5</v>
      </c>
      <c r="J216" s="1">
        <v>0</v>
      </c>
      <c r="K216" s="1">
        <f t="shared" si="26"/>
        <v>450.39999999999992</v>
      </c>
      <c r="L216" s="1">
        <v>0.6</v>
      </c>
      <c r="M216" s="1">
        <f t="shared" si="27"/>
        <v>141.30000000000007</v>
      </c>
      <c r="N216" s="1">
        <v>-0.6</v>
      </c>
      <c r="O216" s="1">
        <f t="shared" si="30"/>
        <v>112.30000000000001</v>
      </c>
      <c r="P216" s="1">
        <v>169</v>
      </c>
      <c r="Q216" s="1">
        <v>1</v>
      </c>
      <c r="R216" s="9">
        <f t="shared" si="23"/>
        <v>0.6</v>
      </c>
      <c r="S216" s="9">
        <f t="shared" si="24"/>
        <v>-0.6</v>
      </c>
      <c r="T216" s="9">
        <f t="shared" si="28"/>
        <v>112.30000000000001</v>
      </c>
      <c r="V216" s="1">
        <v>617.20000000000005</v>
      </c>
      <c r="X216" s="1">
        <f t="shared" si="29"/>
        <v>72966</v>
      </c>
      <c r="Y216" s="1">
        <f t="shared" si="21"/>
        <v>19113.400000000001</v>
      </c>
      <c r="AA216" s="1">
        <v>10.9063808941549</v>
      </c>
    </row>
    <row r="217" spans="1:28" s="1" customFormat="1" x14ac:dyDescent="0.25">
      <c r="A217" s="49"/>
      <c r="B217" s="7" t="s">
        <v>23</v>
      </c>
      <c r="C217" s="3">
        <v>41333</v>
      </c>
      <c r="D217" s="1">
        <v>1.6</v>
      </c>
      <c r="E217" s="1">
        <v>1.1000000000000001</v>
      </c>
      <c r="F217" s="1">
        <v>3.1</v>
      </c>
      <c r="G217" s="1">
        <f t="shared" si="25"/>
        <v>1101.2999999999997</v>
      </c>
      <c r="H217" s="1">
        <f t="shared" si="20"/>
        <v>98.1</v>
      </c>
      <c r="J217" s="1">
        <v>0</v>
      </c>
      <c r="K217" s="1">
        <f t="shared" si="26"/>
        <v>450.39999999999992</v>
      </c>
      <c r="L217" s="1">
        <v>0.7</v>
      </c>
      <c r="M217" s="1">
        <f t="shared" si="27"/>
        <v>142.00000000000006</v>
      </c>
      <c r="N217" s="1">
        <v>-0.7</v>
      </c>
      <c r="O217" s="1">
        <f t="shared" si="30"/>
        <v>111.60000000000001</v>
      </c>
      <c r="P217" s="1">
        <v>170</v>
      </c>
      <c r="Q217" s="1">
        <v>1</v>
      </c>
      <c r="R217" s="9">
        <f t="shared" si="23"/>
        <v>0.7</v>
      </c>
      <c r="S217" s="9">
        <f t="shared" si="24"/>
        <v>-0.7</v>
      </c>
      <c r="T217" s="9">
        <f t="shared" si="28"/>
        <v>111.60000000000001</v>
      </c>
      <c r="V217" s="1">
        <v>672.3</v>
      </c>
      <c r="X217" s="1">
        <f t="shared" si="29"/>
        <v>73638.3</v>
      </c>
      <c r="Y217" s="1">
        <f t="shared" si="21"/>
        <v>19785.7</v>
      </c>
      <c r="AA217" s="1">
        <v>10.9620857555387</v>
      </c>
    </row>
    <row r="218" spans="1:28" s="1" customFormat="1" x14ac:dyDescent="0.25">
      <c r="A218" s="49"/>
      <c r="B218" s="7"/>
      <c r="C218" s="3">
        <v>41334</v>
      </c>
      <c r="D218" s="1">
        <v>1.5</v>
      </c>
      <c r="E218" s="1">
        <v>-1.1000000000000001</v>
      </c>
      <c r="F218" s="1">
        <v>4.0999999999999996</v>
      </c>
      <c r="G218" s="1">
        <f t="shared" si="25"/>
        <v>1102.7999999999997</v>
      </c>
      <c r="H218" s="1">
        <f t="shared" si="20"/>
        <v>99.6</v>
      </c>
      <c r="J218" s="1">
        <v>0</v>
      </c>
      <c r="K218" s="1">
        <f t="shared" si="26"/>
        <v>450.39999999999992</v>
      </c>
      <c r="L218" s="1">
        <v>0.9</v>
      </c>
      <c r="M218" s="1">
        <f t="shared" si="27"/>
        <v>142.90000000000006</v>
      </c>
      <c r="N218" s="1">
        <v>-0.9</v>
      </c>
      <c r="O218" s="1">
        <f t="shared" si="30"/>
        <v>110.7</v>
      </c>
      <c r="P218" s="1">
        <v>171</v>
      </c>
      <c r="Q218" s="1">
        <v>1</v>
      </c>
      <c r="R218" s="9">
        <f t="shared" si="23"/>
        <v>0.9</v>
      </c>
      <c r="S218" s="9">
        <f t="shared" si="24"/>
        <v>-0.9</v>
      </c>
      <c r="T218" s="9">
        <f t="shared" si="28"/>
        <v>110.7</v>
      </c>
      <c r="V218" s="1">
        <v>651.4</v>
      </c>
      <c r="X218" s="1">
        <f t="shared" si="29"/>
        <v>74289.7</v>
      </c>
      <c r="Y218" s="1">
        <f t="shared" si="21"/>
        <v>20437.100000000002</v>
      </c>
      <c r="AA218" s="1">
        <v>11.017934545188099</v>
      </c>
    </row>
    <row r="219" spans="1:28" s="1" customFormat="1" x14ac:dyDescent="0.25">
      <c r="A219" s="49"/>
      <c r="B219" s="7"/>
      <c r="C219" s="3">
        <v>41335</v>
      </c>
      <c r="D219" s="1">
        <v>2.2999999999999998</v>
      </c>
      <c r="E219" s="1">
        <v>1.7</v>
      </c>
      <c r="F219" s="1">
        <v>3.3</v>
      </c>
      <c r="G219" s="1">
        <f t="shared" si="25"/>
        <v>1105.0999999999997</v>
      </c>
      <c r="H219" s="1">
        <f t="shared" si="20"/>
        <v>101.89999999999999</v>
      </c>
      <c r="J219" s="1">
        <v>0</v>
      </c>
      <c r="K219" s="1">
        <f t="shared" si="26"/>
        <v>450.39999999999992</v>
      </c>
      <c r="L219" s="1">
        <v>1</v>
      </c>
      <c r="M219" s="1">
        <f t="shared" si="27"/>
        <v>143.90000000000006</v>
      </c>
      <c r="N219" s="1">
        <v>-1</v>
      </c>
      <c r="O219" s="1">
        <f t="shared" si="30"/>
        <v>109.7</v>
      </c>
      <c r="P219" s="1">
        <v>172</v>
      </c>
      <c r="Q219" s="1">
        <v>1</v>
      </c>
      <c r="R219" s="9">
        <f t="shared" si="23"/>
        <v>1</v>
      </c>
      <c r="S219" s="9">
        <f t="shared" si="24"/>
        <v>-1</v>
      </c>
      <c r="T219" s="9">
        <f t="shared" si="28"/>
        <v>109.7</v>
      </c>
      <c r="V219" s="1">
        <v>466.7</v>
      </c>
      <c r="X219" s="1">
        <f t="shared" si="29"/>
        <v>74756.399999999994</v>
      </c>
      <c r="Y219" s="1">
        <f t="shared" si="21"/>
        <v>20903.800000000003</v>
      </c>
      <c r="AA219" s="1">
        <v>11.0739170808304</v>
      </c>
    </row>
    <row r="220" spans="1:28" s="1" customFormat="1" x14ac:dyDescent="0.25">
      <c r="A220" s="49"/>
      <c r="B220" s="7"/>
      <c r="C220" s="3">
        <v>41336</v>
      </c>
      <c r="D220" s="1">
        <v>2.4</v>
      </c>
      <c r="E220" s="1">
        <v>1</v>
      </c>
      <c r="F220" s="1">
        <v>4.7</v>
      </c>
      <c r="G220" s="1">
        <f t="shared" si="25"/>
        <v>1107.4999999999998</v>
      </c>
      <c r="H220" s="1">
        <f t="shared" si="20"/>
        <v>104.3</v>
      </c>
      <c r="J220" s="1">
        <v>0</v>
      </c>
      <c r="K220" s="1">
        <f t="shared" si="26"/>
        <v>450.39999999999992</v>
      </c>
      <c r="L220" s="1">
        <v>1.1000000000000001</v>
      </c>
      <c r="M220" s="1">
        <f t="shared" si="27"/>
        <v>145.00000000000006</v>
      </c>
      <c r="N220" s="1">
        <v>-1.1000000000000001</v>
      </c>
      <c r="O220" s="1">
        <f t="shared" si="30"/>
        <v>108.60000000000001</v>
      </c>
      <c r="P220" s="1">
        <v>173</v>
      </c>
      <c r="Q220" s="1">
        <v>1</v>
      </c>
      <c r="R220" s="9">
        <f t="shared" si="23"/>
        <v>1.1000000000000001</v>
      </c>
      <c r="S220" s="9">
        <f t="shared" si="24"/>
        <v>-1.1000000000000001</v>
      </c>
      <c r="T220" s="9">
        <f t="shared" si="28"/>
        <v>108.60000000000001</v>
      </c>
      <c r="V220" s="1">
        <v>824.7</v>
      </c>
      <c r="X220" s="1">
        <f t="shared" si="29"/>
        <v>75581.099999999991</v>
      </c>
      <c r="Y220" s="1">
        <f t="shared" si="21"/>
        <v>21728.500000000004</v>
      </c>
      <c r="AA220" s="1">
        <v>11.1300235598356</v>
      </c>
    </row>
    <row r="221" spans="1:28" s="1" customFormat="1" x14ac:dyDescent="0.25">
      <c r="A221" s="49"/>
      <c r="B221" s="7"/>
      <c r="C221" s="3">
        <v>41337</v>
      </c>
      <c r="D221" s="1">
        <v>4.3</v>
      </c>
      <c r="E221" s="1">
        <v>-3</v>
      </c>
      <c r="F221" s="1">
        <v>12.3</v>
      </c>
      <c r="G221" s="1">
        <f t="shared" si="25"/>
        <v>1111.7999999999997</v>
      </c>
      <c r="H221" s="1">
        <f t="shared" si="20"/>
        <v>108.6</v>
      </c>
      <c r="J221" s="59">
        <v>0</v>
      </c>
      <c r="K221" s="1">
        <f t="shared" si="26"/>
        <v>450.39999999999992</v>
      </c>
      <c r="L221" s="1">
        <v>1.9</v>
      </c>
      <c r="M221" s="1">
        <f t="shared" si="27"/>
        <v>146.90000000000006</v>
      </c>
      <c r="N221" s="1">
        <v>-1.9</v>
      </c>
      <c r="O221" s="1">
        <f t="shared" si="30"/>
        <v>106.7</v>
      </c>
      <c r="P221" s="1">
        <v>174</v>
      </c>
      <c r="Q221" s="1">
        <v>1</v>
      </c>
      <c r="R221" s="9">
        <f t="shared" si="23"/>
        <v>1.9</v>
      </c>
      <c r="S221" s="9">
        <f t="shared" si="24"/>
        <v>-1.9</v>
      </c>
      <c r="T221" s="9">
        <f t="shared" si="28"/>
        <v>106.7</v>
      </c>
      <c r="V221" s="1">
        <v>1491.9</v>
      </c>
      <c r="X221" s="1">
        <f t="shared" si="29"/>
        <v>77072.999999999985</v>
      </c>
      <c r="Y221" s="1">
        <f t="shared" si="21"/>
        <v>23220.400000000005</v>
      </c>
      <c r="AA221" s="1">
        <v>11.1862445415401</v>
      </c>
      <c r="AB221" s="62" t="s">
        <v>58</v>
      </c>
    </row>
    <row r="222" spans="1:28" s="28" customFormat="1" ht="15.75" thickBot="1" x14ac:dyDescent="0.3">
      <c r="A222" s="49"/>
      <c r="B222" s="26"/>
      <c r="C222" s="27">
        <v>41338</v>
      </c>
      <c r="D222" s="28">
        <v>5.5</v>
      </c>
      <c r="E222" s="28">
        <v>-0.8</v>
      </c>
      <c r="F222" s="28">
        <v>9.6</v>
      </c>
      <c r="G222" s="28">
        <f t="shared" si="25"/>
        <v>1117.2999999999997</v>
      </c>
      <c r="H222" s="28">
        <f t="shared" si="20"/>
        <v>114.1</v>
      </c>
      <c r="J222" s="61">
        <v>0</v>
      </c>
      <c r="K222" s="28">
        <f t="shared" si="26"/>
        <v>450.39999999999992</v>
      </c>
      <c r="L222" s="28">
        <v>1.1000000000000001</v>
      </c>
      <c r="M222" s="28">
        <f t="shared" si="27"/>
        <v>148.00000000000006</v>
      </c>
      <c r="N222" s="28">
        <v>-1.1000000000000001</v>
      </c>
      <c r="O222" s="28">
        <f t="shared" si="30"/>
        <v>105.60000000000001</v>
      </c>
      <c r="P222" s="28">
        <v>175</v>
      </c>
      <c r="Q222" s="28">
        <v>1</v>
      </c>
      <c r="R222" s="29">
        <f t="shared" si="23"/>
        <v>1.1000000000000001</v>
      </c>
      <c r="S222" s="29">
        <f t="shared" si="24"/>
        <v>-1.1000000000000001</v>
      </c>
      <c r="T222" s="29">
        <f t="shared" si="28"/>
        <v>105.60000000000001</v>
      </c>
      <c r="V222" s="28">
        <v>851.5</v>
      </c>
      <c r="X222" s="28">
        <f t="shared" si="29"/>
        <v>77924.499999999985</v>
      </c>
      <c r="Y222" s="28">
        <f t="shared" si="21"/>
        <v>24071.900000000005</v>
      </c>
      <c r="AA222" s="28">
        <v>11.242570929454599</v>
      </c>
      <c r="AB222" s="9">
        <f>AVERAGE(T228:T241)</f>
        <v>116.91387755102042</v>
      </c>
    </row>
    <row r="223" spans="1:28" s="1" customFormat="1" ht="15" customHeight="1" x14ac:dyDescent="0.25">
      <c r="A223" s="50" t="s">
        <v>24</v>
      </c>
      <c r="B223" s="7"/>
      <c r="C223" s="3">
        <v>41339</v>
      </c>
      <c r="D223" s="1">
        <v>9.1</v>
      </c>
      <c r="E223" s="1">
        <v>6.3</v>
      </c>
      <c r="F223" s="1">
        <v>13.7</v>
      </c>
      <c r="G223" s="1">
        <f t="shared" si="25"/>
        <v>1126.3999999999996</v>
      </c>
      <c r="H223" s="1">
        <v>9.1</v>
      </c>
      <c r="I223" s="13" t="s">
        <v>3</v>
      </c>
      <c r="J223" s="59">
        <v>1.9</v>
      </c>
      <c r="K223" s="1">
        <f t="shared" si="26"/>
        <v>452.2999999999999</v>
      </c>
      <c r="L223" s="1">
        <v>1.1000000000000001</v>
      </c>
      <c r="M223" s="1">
        <f t="shared" si="27"/>
        <v>149.10000000000005</v>
      </c>
      <c r="N223" s="1">
        <v>0.79999999999999982</v>
      </c>
      <c r="O223" s="1">
        <f t="shared" si="30"/>
        <v>106.4</v>
      </c>
      <c r="P223" s="1">
        <v>176</v>
      </c>
      <c r="Q223" s="1">
        <f>1+((P223-175)/49)*(1.15-1)</f>
        <v>1.0030612244897958</v>
      </c>
      <c r="R223" s="9">
        <f t="shared" si="23"/>
        <v>1.1033673469387755</v>
      </c>
      <c r="S223" s="9">
        <f t="shared" si="24"/>
        <v>0.79663265306122444</v>
      </c>
      <c r="T223" s="9">
        <f t="shared" si="28"/>
        <v>106.39663265306123</v>
      </c>
      <c r="U223" s="13" t="s">
        <v>4</v>
      </c>
      <c r="V223" s="1">
        <v>206.7</v>
      </c>
      <c r="X223" s="1">
        <f t="shared" si="29"/>
        <v>78131.199999999983</v>
      </c>
      <c r="Y223" s="1">
        <v>206.7</v>
      </c>
      <c r="Z223" s="13" t="s">
        <v>5</v>
      </c>
      <c r="AA223" s="1">
        <v>11.2989939533909</v>
      </c>
      <c r="AB223" s="62" t="s">
        <v>59</v>
      </c>
    </row>
    <row r="224" spans="1:28" s="1" customFormat="1" x14ac:dyDescent="0.25">
      <c r="A224" s="50"/>
      <c r="B224" s="7" t="s">
        <v>25</v>
      </c>
      <c r="C224" s="3">
        <v>41340</v>
      </c>
      <c r="D224" s="1">
        <v>9.5</v>
      </c>
      <c r="E224" s="1">
        <v>5.9</v>
      </c>
      <c r="F224" s="1">
        <v>13</v>
      </c>
      <c r="G224" s="1">
        <f t="shared" si="25"/>
        <v>1135.8999999999996</v>
      </c>
      <c r="H224" s="1">
        <f t="shared" si="20"/>
        <v>18.600000000000001</v>
      </c>
      <c r="I224" s="1">
        <f>MIN(E223:E271)</f>
        <v>-6.3</v>
      </c>
      <c r="J224" s="59">
        <v>0.3</v>
      </c>
      <c r="K224" s="1">
        <f t="shared" si="26"/>
        <v>452.59999999999991</v>
      </c>
      <c r="L224" s="1">
        <v>0.5</v>
      </c>
      <c r="M224" s="1">
        <f t="shared" si="27"/>
        <v>149.60000000000005</v>
      </c>
      <c r="N224" s="1">
        <v>-0.2</v>
      </c>
      <c r="O224" s="1">
        <f t="shared" si="30"/>
        <v>106.2</v>
      </c>
      <c r="P224" s="1">
        <v>177</v>
      </c>
      <c r="Q224" s="1">
        <f t="shared" ref="Q224:Q271" si="31">1+((P224-175)/49)*(1.15-1)</f>
        <v>1.0061224489795919</v>
      </c>
      <c r="R224" s="9">
        <f t="shared" si="23"/>
        <v>0.50306122448979596</v>
      </c>
      <c r="S224" s="9">
        <f t="shared" si="24"/>
        <v>-0.20306122448979597</v>
      </c>
      <c r="T224" s="9">
        <f t="shared" si="28"/>
        <v>106.19357142857143</v>
      </c>
      <c r="U224" s="1">
        <v>32</v>
      </c>
      <c r="V224" s="1">
        <v>268.3</v>
      </c>
      <c r="X224" s="1">
        <f t="shared" si="29"/>
        <v>78399.499999999985</v>
      </c>
      <c r="Y224" s="1">
        <f t="shared" si="21"/>
        <v>475</v>
      </c>
      <c r="Z224" s="1">
        <v>48855.799999999996</v>
      </c>
      <c r="AA224" s="1">
        <v>11.3555051515375</v>
      </c>
      <c r="AB224" s="1">
        <v>2</v>
      </c>
    </row>
    <row r="225" spans="1:29" s="1" customFormat="1" x14ac:dyDescent="0.25">
      <c r="A225" s="50"/>
      <c r="B225" s="7"/>
      <c r="C225" s="3">
        <v>41341</v>
      </c>
      <c r="D225" s="1">
        <v>9.5</v>
      </c>
      <c r="E225" s="1">
        <v>6.6</v>
      </c>
      <c r="F225" s="1">
        <v>14.5</v>
      </c>
      <c r="G225" s="1">
        <f t="shared" si="25"/>
        <v>1145.3999999999996</v>
      </c>
      <c r="H225" s="1">
        <f t="shared" si="20"/>
        <v>28.1</v>
      </c>
      <c r="I225" s="13" t="s">
        <v>6</v>
      </c>
      <c r="J225" s="59">
        <v>1.3</v>
      </c>
      <c r="K225" s="1">
        <f t="shared" si="26"/>
        <v>453.89999999999992</v>
      </c>
      <c r="L225" s="1">
        <v>0.8</v>
      </c>
      <c r="M225" s="1">
        <f t="shared" si="27"/>
        <v>150.40000000000006</v>
      </c>
      <c r="N225" s="1">
        <v>0.5</v>
      </c>
      <c r="O225" s="1">
        <f t="shared" si="30"/>
        <v>106.7</v>
      </c>
      <c r="P225" s="1">
        <v>178</v>
      </c>
      <c r="Q225" s="1">
        <f t="shared" si="31"/>
        <v>1.0091836734693878</v>
      </c>
      <c r="R225" s="9">
        <f t="shared" si="23"/>
        <v>0.80734693877551023</v>
      </c>
      <c r="S225" s="9">
        <f t="shared" si="24"/>
        <v>0.49265306122448982</v>
      </c>
      <c r="T225" s="9">
        <f t="shared" si="28"/>
        <v>106.68622448979592</v>
      </c>
      <c r="U225" s="13" t="s">
        <v>7</v>
      </c>
      <c r="V225" s="1">
        <v>246.4</v>
      </c>
      <c r="X225" s="1">
        <f t="shared" si="29"/>
        <v>78645.89999999998</v>
      </c>
      <c r="Y225" s="1">
        <f t="shared" si="21"/>
        <v>721.4</v>
      </c>
      <c r="Z225" s="13" t="s">
        <v>8</v>
      </c>
      <c r="AA225" s="1">
        <v>11.412096352512201</v>
      </c>
      <c r="AB225" s="62" t="s">
        <v>60</v>
      </c>
    </row>
    <row r="226" spans="1:29" s="1" customFormat="1" x14ac:dyDescent="0.25">
      <c r="A226" s="50"/>
      <c r="B226" s="7"/>
      <c r="C226" s="3">
        <v>41342</v>
      </c>
      <c r="D226" s="1">
        <v>9.1</v>
      </c>
      <c r="E226" s="1">
        <v>5</v>
      </c>
      <c r="F226" s="1">
        <v>15.1</v>
      </c>
      <c r="G226" s="1">
        <f t="shared" si="25"/>
        <v>1154.4999999999995</v>
      </c>
      <c r="H226" s="1">
        <f t="shared" si="20"/>
        <v>37.200000000000003</v>
      </c>
      <c r="I226" s="1">
        <f>MAX(F223:F271)</f>
        <v>24.2</v>
      </c>
      <c r="J226" s="59">
        <v>1.7</v>
      </c>
      <c r="K226" s="1">
        <f t="shared" si="26"/>
        <v>455.59999999999991</v>
      </c>
      <c r="L226" s="1">
        <v>1.2</v>
      </c>
      <c r="M226" s="1">
        <f t="shared" si="27"/>
        <v>151.60000000000005</v>
      </c>
      <c r="N226" s="1">
        <v>0.5</v>
      </c>
      <c r="O226" s="1">
        <f t="shared" si="30"/>
        <v>107.2</v>
      </c>
      <c r="P226" s="1">
        <v>179</v>
      </c>
      <c r="Q226" s="1">
        <f t="shared" si="31"/>
        <v>1.0122448979591836</v>
      </c>
      <c r="R226" s="9">
        <f t="shared" si="23"/>
        <v>1.2146938775510203</v>
      </c>
      <c r="S226" s="9">
        <f t="shared" si="24"/>
        <v>0.48530612244897964</v>
      </c>
      <c r="T226" s="9">
        <f t="shared" si="28"/>
        <v>107.17153061224489</v>
      </c>
      <c r="U226" s="1">
        <v>0</v>
      </c>
      <c r="V226" s="1">
        <v>850.1</v>
      </c>
      <c r="X226" s="1">
        <f t="shared" si="29"/>
        <v>79495.999999999985</v>
      </c>
      <c r="Y226" s="1">
        <f t="shared" si="21"/>
        <v>1571.5</v>
      </c>
      <c r="Z226" s="1">
        <f>(Z224/100)/I236</f>
        <v>1.3035165421558161</v>
      </c>
      <c r="AA226" s="1">
        <v>11.4687596574135</v>
      </c>
      <c r="AB226" s="1">
        <v>4</v>
      </c>
    </row>
    <row r="227" spans="1:29" s="1" customFormat="1" x14ac:dyDescent="0.25">
      <c r="A227" s="50"/>
      <c r="B227" s="7"/>
      <c r="C227" s="3">
        <v>41343</v>
      </c>
      <c r="D227" s="1">
        <v>8.4</v>
      </c>
      <c r="E227" s="1">
        <v>5</v>
      </c>
      <c r="F227" s="1">
        <v>12.3</v>
      </c>
      <c r="G227" s="1">
        <f t="shared" si="25"/>
        <v>1162.8999999999996</v>
      </c>
      <c r="H227" s="1">
        <f t="shared" si="20"/>
        <v>45.6</v>
      </c>
      <c r="I227" s="13" t="s">
        <v>9</v>
      </c>
      <c r="J227" s="59">
        <v>5.8</v>
      </c>
      <c r="K227" s="1">
        <f t="shared" si="26"/>
        <v>461.39999999999992</v>
      </c>
      <c r="L227" s="1">
        <v>0.7</v>
      </c>
      <c r="M227" s="1">
        <f t="shared" si="27"/>
        <v>152.30000000000004</v>
      </c>
      <c r="N227" s="1">
        <v>5.0999999999999996</v>
      </c>
      <c r="O227" s="1">
        <f t="shared" si="30"/>
        <v>112.3</v>
      </c>
      <c r="P227" s="1">
        <v>180</v>
      </c>
      <c r="Q227" s="1">
        <f t="shared" si="31"/>
        <v>1.0153061224489797</v>
      </c>
      <c r="R227" s="9">
        <f t="shared" si="23"/>
        <v>0.71071428571428574</v>
      </c>
      <c r="S227" s="9">
        <f t="shared" si="24"/>
        <v>5.0892857142857144</v>
      </c>
      <c r="T227" s="9">
        <f t="shared" si="28"/>
        <v>112.2608163265306</v>
      </c>
      <c r="U227" s="13" t="s">
        <v>10</v>
      </c>
      <c r="V227" s="1">
        <v>603.4</v>
      </c>
      <c r="X227" s="1">
        <f t="shared" si="29"/>
        <v>80099.39999999998</v>
      </c>
      <c r="Y227" s="1">
        <f t="shared" si="21"/>
        <v>2174.9</v>
      </c>
      <c r="Z227" s="13" t="s">
        <v>11</v>
      </c>
      <c r="AA227" s="1">
        <v>11.525487421893899</v>
      </c>
      <c r="AB227" s="62" t="s">
        <v>61</v>
      </c>
    </row>
    <row r="228" spans="1:29" s="1" customFormat="1" x14ac:dyDescent="0.25">
      <c r="A228" s="50"/>
      <c r="B228" s="7"/>
      <c r="C228" s="3">
        <v>41344</v>
      </c>
      <c r="D228" s="1">
        <v>9.5</v>
      </c>
      <c r="E228" s="1">
        <v>7</v>
      </c>
      <c r="F228" s="1">
        <v>13.2</v>
      </c>
      <c r="G228" s="1">
        <f t="shared" si="25"/>
        <v>1172.3999999999996</v>
      </c>
      <c r="H228" s="1">
        <f t="shared" si="20"/>
        <v>55.1</v>
      </c>
      <c r="I228" s="9">
        <f>AVERAGE(D223:D271)</f>
        <v>7.6326530612244898</v>
      </c>
      <c r="J228" s="59">
        <v>3.1</v>
      </c>
      <c r="K228" s="1">
        <f t="shared" si="26"/>
        <v>464.49999999999994</v>
      </c>
      <c r="L228" s="1">
        <v>1.5</v>
      </c>
      <c r="M228" s="1">
        <f t="shared" si="27"/>
        <v>153.80000000000004</v>
      </c>
      <c r="N228" s="1">
        <v>1.6</v>
      </c>
      <c r="O228" s="1">
        <f t="shared" si="30"/>
        <v>113.89999999999999</v>
      </c>
      <c r="P228" s="1">
        <v>181</v>
      </c>
      <c r="Q228" s="1">
        <f t="shared" si="31"/>
        <v>1.0183673469387755</v>
      </c>
      <c r="R228" s="9">
        <f t="shared" si="23"/>
        <v>1.5275510204081633</v>
      </c>
      <c r="S228" s="9">
        <f t="shared" si="24"/>
        <v>1.5724489795918368</v>
      </c>
      <c r="T228" s="60">
        <f t="shared" si="28"/>
        <v>113.83326530612244</v>
      </c>
      <c r="U228" s="1">
        <v>0</v>
      </c>
      <c r="V228" s="1">
        <v>882.9</v>
      </c>
      <c r="X228" s="1">
        <f t="shared" si="29"/>
        <v>80982.299999999974</v>
      </c>
      <c r="Y228" s="1">
        <f t="shared" si="21"/>
        <v>3057.8</v>
      </c>
      <c r="Z228" s="1">
        <v>22</v>
      </c>
      <c r="AA228" s="1">
        <v>11.5822722382692</v>
      </c>
      <c r="AB228" s="1">
        <v>2</v>
      </c>
    </row>
    <row r="229" spans="1:29" s="1" customFormat="1" x14ac:dyDescent="0.25">
      <c r="A229" s="50"/>
      <c r="B229" s="7"/>
      <c r="C229" s="3">
        <v>41345</v>
      </c>
      <c r="D229" s="1">
        <v>5.8</v>
      </c>
      <c r="E229" s="1">
        <v>3.2</v>
      </c>
      <c r="F229" s="1">
        <v>8.3000000000000007</v>
      </c>
      <c r="G229" s="1">
        <f t="shared" si="25"/>
        <v>1178.1999999999996</v>
      </c>
      <c r="H229" s="1">
        <f t="shared" si="20"/>
        <v>60.9</v>
      </c>
      <c r="I229" s="13" t="s">
        <v>12</v>
      </c>
      <c r="J229" s="59">
        <v>0.2</v>
      </c>
      <c r="K229" s="1">
        <f t="shared" si="26"/>
        <v>464.69999999999993</v>
      </c>
      <c r="L229" s="1">
        <v>0.8</v>
      </c>
      <c r="M229" s="1">
        <f t="shared" si="27"/>
        <v>154.60000000000005</v>
      </c>
      <c r="N229" s="1">
        <v>-0.60000000000000009</v>
      </c>
      <c r="O229" s="1">
        <f t="shared" si="30"/>
        <v>113.3</v>
      </c>
      <c r="P229" s="1">
        <v>182</v>
      </c>
      <c r="Q229" s="1">
        <f t="shared" si="31"/>
        <v>1.0214285714285714</v>
      </c>
      <c r="R229" s="9">
        <f t="shared" si="23"/>
        <v>0.81714285714285717</v>
      </c>
      <c r="S229" s="9">
        <f t="shared" si="24"/>
        <v>-0.61714285714285722</v>
      </c>
      <c r="T229" s="60">
        <f t="shared" si="28"/>
        <v>113.21612244897959</v>
      </c>
      <c r="U229" s="13" t="s">
        <v>13</v>
      </c>
      <c r="V229" s="1">
        <v>349.1</v>
      </c>
      <c r="X229" s="1">
        <f t="shared" si="29"/>
        <v>81331.39999999998</v>
      </c>
      <c r="Y229" s="1">
        <f t="shared" si="21"/>
        <v>3406.9</v>
      </c>
      <c r="AA229" s="1">
        <v>11.6391069176819</v>
      </c>
      <c r="AB229" s="62" t="s">
        <v>62</v>
      </c>
    </row>
    <row r="230" spans="1:29" s="1" customFormat="1" x14ac:dyDescent="0.25">
      <c r="A230" s="50"/>
      <c r="B230" s="7"/>
      <c r="C230" s="3">
        <v>41346</v>
      </c>
      <c r="D230" s="1">
        <v>-0.1</v>
      </c>
      <c r="E230" s="1">
        <v>-0.1</v>
      </c>
      <c r="F230" s="1">
        <v>0.7</v>
      </c>
      <c r="G230" s="1">
        <v>1178.2</v>
      </c>
      <c r="H230" s="1">
        <v>60.9</v>
      </c>
      <c r="I230" s="1">
        <v>6</v>
      </c>
      <c r="J230" s="59">
        <v>0</v>
      </c>
      <c r="K230" s="1">
        <f t="shared" si="26"/>
        <v>464.69999999999993</v>
      </c>
      <c r="L230" s="1">
        <v>0.6</v>
      </c>
      <c r="M230" s="1">
        <f t="shared" si="27"/>
        <v>155.20000000000005</v>
      </c>
      <c r="N230" s="1">
        <v>-0.6</v>
      </c>
      <c r="O230" s="1">
        <f t="shared" si="30"/>
        <v>112.7</v>
      </c>
      <c r="P230" s="1">
        <v>183</v>
      </c>
      <c r="Q230" s="1">
        <f t="shared" si="31"/>
        <v>1.0244897959183674</v>
      </c>
      <c r="R230" s="9">
        <f t="shared" si="23"/>
        <v>0.61469387755102045</v>
      </c>
      <c r="S230" s="9">
        <f t="shared" si="24"/>
        <v>-0.61469387755102045</v>
      </c>
      <c r="T230" s="60">
        <f t="shared" si="28"/>
        <v>112.60142857142857</v>
      </c>
      <c r="U230" s="9">
        <f>MIN(T223:T271)</f>
        <v>94.615000000000009</v>
      </c>
      <c r="V230" s="1">
        <v>563</v>
      </c>
      <c r="X230" s="1">
        <f t="shared" si="29"/>
        <v>81894.39999999998</v>
      </c>
      <c r="Y230" s="1">
        <f t="shared" si="21"/>
        <v>3969.9</v>
      </c>
      <c r="AA230" s="1">
        <v>11.695984472328201</v>
      </c>
      <c r="AB230" s="1">
        <f>SUM(J232:J241)</f>
        <v>24.799999999999994</v>
      </c>
    </row>
    <row r="231" spans="1:29" s="56" customFormat="1" x14ac:dyDescent="0.25">
      <c r="A231" s="50"/>
      <c r="B231" s="54" t="s">
        <v>57</v>
      </c>
      <c r="C231" s="55">
        <v>41347</v>
      </c>
      <c r="D231" s="56">
        <v>-0.4</v>
      </c>
      <c r="E231" s="56">
        <v>-3.9</v>
      </c>
      <c r="F231" s="56">
        <v>3.3</v>
      </c>
      <c r="G231" s="56">
        <v>1178.2</v>
      </c>
      <c r="H231" s="56">
        <v>60.9</v>
      </c>
      <c r="I231" s="58" t="s">
        <v>14</v>
      </c>
      <c r="J231" s="56">
        <v>0</v>
      </c>
      <c r="K231" s="56">
        <f t="shared" si="26"/>
        <v>464.69999999999993</v>
      </c>
      <c r="L231" s="56">
        <v>0.8</v>
      </c>
      <c r="M231" s="56">
        <f t="shared" si="27"/>
        <v>156.00000000000006</v>
      </c>
      <c r="N231" s="56">
        <v>-0.8</v>
      </c>
      <c r="O231" s="56">
        <f t="shared" si="30"/>
        <v>111.9</v>
      </c>
      <c r="P231" s="56">
        <v>184</v>
      </c>
      <c r="Q231" s="56">
        <f t="shared" si="31"/>
        <v>1.0275510204081633</v>
      </c>
      <c r="R231" s="57">
        <f t="shared" si="23"/>
        <v>0.8220408163265307</v>
      </c>
      <c r="S231" s="57">
        <f t="shared" si="24"/>
        <v>-0.8220408163265307</v>
      </c>
      <c r="T231" s="57">
        <f t="shared" si="28"/>
        <v>111.77938775510204</v>
      </c>
      <c r="U231" s="58" t="s">
        <v>15</v>
      </c>
      <c r="V231" s="56">
        <v>559</v>
      </c>
      <c r="X231" s="56">
        <f t="shared" si="29"/>
        <v>82453.39999999998</v>
      </c>
      <c r="Y231" s="56">
        <f t="shared" ref="Y231:Y294" si="32">Y230+V231</f>
        <v>4528.8999999999996</v>
      </c>
      <c r="AA231" s="56">
        <v>11.7528980977609</v>
      </c>
    </row>
    <row r="232" spans="1:29" s="1" customFormat="1" x14ac:dyDescent="0.25">
      <c r="A232" s="50"/>
      <c r="B232" s="7"/>
      <c r="C232" s="3">
        <v>41348</v>
      </c>
      <c r="D232" s="1">
        <v>-0.3</v>
      </c>
      <c r="E232" s="1">
        <v>-4.2</v>
      </c>
      <c r="F232" s="1">
        <v>5</v>
      </c>
      <c r="G232" s="1">
        <v>1178.2</v>
      </c>
      <c r="H232" s="1">
        <v>60.9</v>
      </c>
      <c r="I232" s="1">
        <v>0</v>
      </c>
      <c r="J232" s="59">
        <v>0</v>
      </c>
      <c r="K232" s="1">
        <f t="shared" si="26"/>
        <v>464.69999999999993</v>
      </c>
      <c r="L232" s="1">
        <v>1.8</v>
      </c>
      <c r="M232" s="1">
        <f t="shared" si="27"/>
        <v>157.80000000000007</v>
      </c>
      <c r="N232" s="1">
        <v>-1.8</v>
      </c>
      <c r="O232" s="1">
        <f t="shared" si="30"/>
        <v>110.10000000000001</v>
      </c>
      <c r="P232" s="1">
        <v>185</v>
      </c>
      <c r="Q232" s="1">
        <f t="shared" si="31"/>
        <v>1.0306122448979591</v>
      </c>
      <c r="R232" s="9">
        <f t="shared" si="23"/>
        <v>1.8551020408163263</v>
      </c>
      <c r="S232" s="9">
        <f t="shared" si="24"/>
        <v>-1.8551020408163263</v>
      </c>
      <c r="T232" s="60">
        <f t="shared" si="28"/>
        <v>109.92428571428572</v>
      </c>
      <c r="U232" s="9">
        <f>MAX(T223:T271)</f>
        <v>122.1</v>
      </c>
      <c r="V232" s="1">
        <v>1806.3</v>
      </c>
      <c r="X232" s="1">
        <f t="shared" si="29"/>
        <v>84259.699999999983</v>
      </c>
      <c r="Y232" s="1">
        <f t="shared" si="32"/>
        <v>6335.2</v>
      </c>
      <c r="AA232" s="1">
        <v>11.809841155273601</v>
      </c>
    </row>
    <row r="233" spans="1:29" s="1" customFormat="1" x14ac:dyDescent="0.25">
      <c r="A233" s="50"/>
      <c r="B233" s="7"/>
      <c r="C233" s="3">
        <v>41349</v>
      </c>
      <c r="D233" s="1">
        <v>3.3</v>
      </c>
      <c r="E233" s="1">
        <v>-6.3</v>
      </c>
      <c r="F233" s="1">
        <v>9.6</v>
      </c>
      <c r="G233" s="1">
        <f t="shared" si="25"/>
        <v>1181.5</v>
      </c>
      <c r="H233" s="1">
        <f t="shared" ref="H233:H271" si="33">H232+D233</f>
        <v>64.2</v>
      </c>
      <c r="I233" s="13" t="s">
        <v>16</v>
      </c>
      <c r="J233" s="59">
        <v>4.5999999999999996</v>
      </c>
      <c r="K233" s="1">
        <f t="shared" si="26"/>
        <v>469.29999999999995</v>
      </c>
      <c r="L233" s="1">
        <v>1.5</v>
      </c>
      <c r="M233" s="1">
        <f t="shared" si="27"/>
        <v>159.30000000000007</v>
      </c>
      <c r="N233" s="1">
        <v>3.0999999999999996</v>
      </c>
      <c r="O233" s="1">
        <f t="shared" si="30"/>
        <v>113.2</v>
      </c>
      <c r="P233" s="1">
        <v>186</v>
      </c>
      <c r="Q233" s="1">
        <f t="shared" si="31"/>
        <v>1.0336734693877552</v>
      </c>
      <c r="R233" s="9">
        <f t="shared" si="23"/>
        <v>1.5505102040816328</v>
      </c>
      <c r="S233" s="9">
        <f t="shared" si="24"/>
        <v>3.0494897959183671</v>
      </c>
      <c r="T233" s="60">
        <f t="shared" si="28"/>
        <v>112.97377551020408</v>
      </c>
      <c r="U233" s="13" t="s">
        <v>17</v>
      </c>
      <c r="V233" s="1">
        <v>902.4</v>
      </c>
      <c r="X233" s="1">
        <f t="shared" si="29"/>
        <v>85162.099999999977</v>
      </c>
      <c r="Y233" s="1">
        <f t="shared" si="32"/>
        <v>7237.5999999999995</v>
      </c>
      <c r="AA233" s="1">
        <v>11.8668071543759</v>
      </c>
    </row>
    <row r="234" spans="1:29" s="1" customFormat="1" x14ac:dyDescent="0.25">
      <c r="A234" s="50"/>
      <c r="B234" s="7"/>
      <c r="C234" s="3">
        <v>41350</v>
      </c>
      <c r="D234" s="1">
        <v>6.6</v>
      </c>
      <c r="E234" s="1">
        <v>5</v>
      </c>
      <c r="F234" s="1">
        <v>8.6</v>
      </c>
      <c r="G234" s="1">
        <f t="shared" si="25"/>
        <v>1188.0999999999999</v>
      </c>
      <c r="H234" s="1">
        <f t="shared" si="33"/>
        <v>70.8</v>
      </c>
      <c r="I234" s="1">
        <v>23</v>
      </c>
      <c r="J234" s="59">
        <v>11.1</v>
      </c>
      <c r="K234" s="1">
        <f t="shared" si="26"/>
        <v>480.4</v>
      </c>
      <c r="L234" s="1">
        <v>1.2</v>
      </c>
      <c r="M234" s="1">
        <f t="shared" si="27"/>
        <v>160.50000000000006</v>
      </c>
      <c r="N234" s="1">
        <v>9.9</v>
      </c>
      <c r="O234" s="1">
        <v>122.1</v>
      </c>
      <c r="P234" s="1">
        <v>187</v>
      </c>
      <c r="Q234" s="1">
        <f t="shared" si="31"/>
        <v>1.036734693877551</v>
      </c>
      <c r="R234" s="9">
        <f t="shared" si="23"/>
        <v>1.2440816326530613</v>
      </c>
      <c r="S234" s="9">
        <f t="shared" si="24"/>
        <v>9.8559183673469377</v>
      </c>
      <c r="T234" s="60">
        <f t="shared" si="28"/>
        <v>122.1</v>
      </c>
      <c r="U234" s="20">
        <f>AVERAGE(T223:T271)</f>
        <v>110.48671386922118</v>
      </c>
      <c r="V234" s="1">
        <v>390.7</v>
      </c>
      <c r="X234" s="1">
        <f t="shared" si="29"/>
        <v>85552.799999999974</v>
      </c>
      <c r="Y234" s="1">
        <f t="shared" si="32"/>
        <v>7628.2999999999993</v>
      </c>
      <c r="AA234" s="1">
        <v>11.923789735359501</v>
      </c>
    </row>
    <row r="235" spans="1:29" s="1" customFormat="1" x14ac:dyDescent="0.25">
      <c r="A235" s="50"/>
      <c r="B235" s="7"/>
      <c r="C235" s="3">
        <v>41351</v>
      </c>
      <c r="D235" s="1">
        <v>5.6</v>
      </c>
      <c r="E235" s="1">
        <v>3.4</v>
      </c>
      <c r="F235" s="1">
        <v>9.4</v>
      </c>
      <c r="G235" s="1">
        <f t="shared" si="25"/>
        <v>1193.6999999999998</v>
      </c>
      <c r="H235" s="1">
        <f t="shared" si="33"/>
        <v>76.399999999999991</v>
      </c>
      <c r="I235" s="13" t="s">
        <v>18</v>
      </c>
      <c r="J235" s="59">
        <v>4.5999999999999996</v>
      </c>
      <c r="K235" s="1">
        <f t="shared" si="26"/>
        <v>485</v>
      </c>
      <c r="L235" s="1">
        <v>1.4</v>
      </c>
      <c r="M235" s="1">
        <f t="shared" si="27"/>
        <v>161.90000000000006</v>
      </c>
      <c r="N235" s="1">
        <v>3.1999999999999997</v>
      </c>
      <c r="O235" s="1">
        <v>122.1</v>
      </c>
      <c r="P235" s="1">
        <v>188</v>
      </c>
      <c r="Q235" s="1">
        <f t="shared" si="31"/>
        <v>1.0397959183673469</v>
      </c>
      <c r="R235" s="9">
        <f t="shared" si="23"/>
        <v>1.4557142857142855</v>
      </c>
      <c r="S235" s="9">
        <f t="shared" si="24"/>
        <v>3.1442857142857141</v>
      </c>
      <c r="T235" s="60">
        <f t="shared" si="28"/>
        <v>122.1</v>
      </c>
      <c r="V235" s="1">
        <v>1022.5</v>
      </c>
      <c r="X235" s="1">
        <f t="shared" si="29"/>
        <v>86575.299999999974</v>
      </c>
      <c r="Y235" s="1">
        <f t="shared" si="32"/>
        <v>8650.7999999999993</v>
      </c>
      <c r="AA235" s="1">
        <v>11.980782651963001</v>
      </c>
      <c r="AC235" s="62" t="s">
        <v>58</v>
      </c>
    </row>
    <row r="236" spans="1:29" s="1" customFormat="1" x14ac:dyDescent="0.25">
      <c r="A236" s="50"/>
      <c r="B236" s="7"/>
      <c r="C236" s="3">
        <v>41352</v>
      </c>
      <c r="D236" s="1">
        <v>6.4</v>
      </c>
      <c r="E236" s="1">
        <v>3.1</v>
      </c>
      <c r="F236" s="1">
        <v>10.5</v>
      </c>
      <c r="G236" s="1">
        <f t="shared" si="25"/>
        <v>1200.0999999999999</v>
      </c>
      <c r="H236" s="1">
        <f t="shared" si="33"/>
        <v>82.8</v>
      </c>
      <c r="I236" s="1">
        <v>374.8</v>
      </c>
      <c r="J236" s="59">
        <v>1.2</v>
      </c>
      <c r="K236" s="1">
        <f t="shared" si="26"/>
        <v>486.2</v>
      </c>
      <c r="L236" s="1">
        <v>1.9</v>
      </c>
      <c r="M236" s="1">
        <f t="shared" si="27"/>
        <v>163.80000000000007</v>
      </c>
      <c r="N236" s="1">
        <v>-0.7</v>
      </c>
      <c r="O236" s="1">
        <f t="shared" ref="O236:O258" si="34">O235+N236</f>
        <v>121.39999999999999</v>
      </c>
      <c r="P236" s="1">
        <v>189</v>
      </c>
      <c r="Q236" s="1">
        <f t="shared" si="31"/>
        <v>1.0428571428571429</v>
      </c>
      <c r="R236" s="9">
        <f t="shared" si="23"/>
        <v>1.9814285714285715</v>
      </c>
      <c r="S236" s="9">
        <f t="shared" si="24"/>
        <v>-0.78142857142857158</v>
      </c>
      <c r="T236" s="60">
        <f t="shared" si="28"/>
        <v>121.31857142857142</v>
      </c>
      <c r="U236" s="9">
        <f>(U234*100)/122.1</f>
        <v>90.488709147601298</v>
      </c>
      <c r="V236" s="1">
        <v>1004.4</v>
      </c>
      <c r="X236" s="1">
        <f t="shared" si="29"/>
        <v>87579.699999999968</v>
      </c>
      <c r="Y236" s="1">
        <f t="shared" si="32"/>
        <v>9655.1999999999989</v>
      </c>
      <c r="AA236" s="1">
        <v>12.037779754133</v>
      </c>
      <c r="AC236" s="20">
        <f>(AB194*(60/180))+(AB222*(70/180))+(AB253*(50/180))</f>
        <v>114.75711167800455</v>
      </c>
    </row>
    <row r="237" spans="1:29" s="1" customFormat="1" x14ac:dyDescent="0.25">
      <c r="A237" s="50"/>
      <c r="B237" s="7"/>
      <c r="C237" s="3">
        <v>41353</v>
      </c>
      <c r="D237" s="1">
        <v>6.4</v>
      </c>
      <c r="E237" s="1">
        <v>5.0999999999999996</v>
      </c>
      <c r="F237" s="1">
        <v>9.6</v>
      </c>
      <c r="G237" s="1">
        <f t="shared" si="25"/>
        <v>1206.5</v>
      </c>
      <c r="H237" s="1">
        <f t="shared" si="33"/>
        <v>89.2</v>
      </c>
      <c r="J237" s="59">
        <v>1.9</v>
      </c>
      <c r="K237" s="1">
        <f t="shared" si="26"/>
        <v>488.09999999999997</v>
      </c>
      <c r="L237" s="1">
        <v>1.2</v>
      </c>
      <c r="M237" s="1">
        <f t="shared" si="27"/>
        <v>165.00000000000006</v>
      </c>
      <c r="N237" s="1">
        <v>0.7</v>
      </c>
      <c r="O237" s="1">
        <f t="shared" si="34"/>
        <v>122.1</v>
      </c>
      <c r="P237" s="1">
        <v>190</v>
      </c>
      <c r="Q237" s="1">
        <f t="shared" si="31"/>
        <v>1.0459183673469388</v>
      </c>
      <c r="R237" s="9">
        <f t="shared" si="23"/>
        <v>1.2551020408163265</v>
      </c>
      <c r="S237" s="9">
        <f t="shared" si="24"/>
        <v>0.64489795918367343</v>
      </c>
      <c r="T237" s="60">
        <f t="shared" si="28"/>
        <v>121.9634693877551</v>
      </c>
      <c r="V237" s="1">
        <v>643.79999999999995</v>
      </c>
      <c r="X237" s="1">
        <f t="shared" si="29"/>
        <v>88223.499999999971</v>
      </c>
      <c r="Y237" s="1">
        <f t="shared" si="32"/>
        <v>10298.999999999998</v>
      </c>
      <c r="AA237" s="1">
        <v>12.094774970885499</v>
      </c>
      <c r="AC237" s="62" t="s">
        <v>59</v>
      </c>
    </row>
    <row r="238" spans="1:29" s="1" customFormat="1" x14ac:dyDescent="0.25">
      <c r="A238" s="50"/>
      <c r="B238" s="7" t="s">
        <v>26</v>
      </c>
      <c r="C238" s="3">
        <v>41354</v>
      </c>
      <c r="D238" s="1">
        <v>6.6</v>
      </c>
      <c r="E238" s="1">
        <v>0.6</v>
      </c>
      <c r="F238" s="1">
        <v>12.2</v>
      </c>
      <c r="G238" s="1">
        <f t="shared" si="25"/>
        <v>1213.0999999999999</v>
      </c>
      <c r="H238" s="1">
        <f t="shared" si="33"/>
        <v>95.8</v>
      </c>
      <c r="J238" s="59">
        <v>0</v>
      </c>
      <c r="K238" s="1">
        <f t="shared" si="26"/>
        <v>488.09999999999997</v>
      </c>
      <c r="L238" s="1">
        <v>1.6</v>
      </c>
      <c r="M238" s="1">
        <f t="shared" si="27"/>
        <v>166.60000000000005</v>
      </c>
      <c r="N238" s="1">
        <v>-1.6</v>
      </c>
      <c r="O238" s="1">
        <f t="shared" si="34"/>
        <v>120.5</v>
      </c>
      <c r="P238" s="1">
        <v>191</v>
      </c>
      <c r="Q238" s="1">
        <f t="shared" si="31"/>
        <v>1.0489795918367346</v>
      </c>
      <c r="R238" s="9">
        <f t="shared" si="23"/>
        <v>1.6783673469387754</v>
      </c>
      <c r="S238" s="9">
        <f t="shared" si="24"/>
        <v>-1.6783673469387754</v>
      </c>
      <c r="T238" s="60">
        <f t="shared" si="28"/>
        <v>120.28510204081633</v>
      </c>
      <c r="V238" s="1">
        <v>1300.2</v>
      </c>
      <c r="X238" s="1">
        <f t="shared" si="29"/>
        <v>89523.699999999968</v>
      </c>
      <c r="Y238" s="1">
        <f t="shared" si="32"/>
        <v>11599.199999999999</v>
      </c>
      <c r="AA238" s="1">
        <v>12.151762293265101</v>
      </c>
      <c r="AC238" s="9">
        <f>(AB196*(60/180))+(AB224*(70/180))+(AB255*(50/180))</f>
        <v>2.5555555555555554</v>
      </c>
    </row>
    <row r="239" spans="1:29" s="1" customFormat="1" x14ac:dyDescent="0.25">
      <c r="A239" s="50"/>
      <c r="B239" s="7"/>
      <c r="C239" s="3">
        <v>41355</v>
      </c>
      <c r="D239" s="1">
        <v>8.6999999999999993</v>
      </c>
      <c r="E239" s="1">
        <v>3</v>
      </c>
      <c r="F239" s="1">
        <v>13.2</v>
      </c>
      <c r="G239" s="1">
        <f t="shared" si="25"/>
        <v>1221.8</v>
      </c>
      <c r="H239" s="1">
        <f t="shared" si="33"/>
        <v>104.5</v>
      </c>
      <c r="J239" s="59">
        <v>0</v>
      </c>
      <c r="K239" s="1">
        <f t="shared" si="26"/>
        <v>488.09999999999997</v>
      </c>
      <c r="L239" s="1">
        <v>1.8</v>
      </c>
      <c r="M239" s="1">
        <f t="shared" si="27"/>
        <v>168.40000000000006</v>
      </c>
      <c r="N239" s="1">
        <v>-1.8</v>
      </c>
      <c r="O239" s="1">
        <f t="shared" si="34"/>
        <v>118.7</v>
      </c>
      <c r="P239" s="1">
        <v>192</v>
      </c>
      <c r="Q239" s="1">
        <f t="shared" si="31"/>
        <v>1.0520408163265307</v>
      </c>
      <c r="R239" s="9">
        <f t="shared" si="23"/>
        <v>1.8936734693877553</v>
      </c>
      <c r="S239" s="9">
        <f t="shared" si="24"/>
        <v>-1.8936734693877553</v>
      </c>
      <c r="T239" s="60">
        <f t="shared" si="28"/>
        <v>118.39142857142858</v>
      </c>
      <c r="V239" s="1">
        <v>1280.9000000000001</v>
      </c>
      <c r="X239" s="1">
        <f t="shared" si="29"/>
        <v>90804.599999999962</v>
      </c>
      <c r="Y239" s="1">
        <f t="shared" si="32"/>
        <v>12880.099999999999</v>
      </c>
      <c r="AA239" s="1">
        <v>12.208735757402501</v>
      </c>
      <c r="AC239" s="62" t="s">
        <v>60</v>
      </c>
    </row>
    <row r="240" spans="1:29" s="1" customFormat="1" x14ac:dyDescent="0.25">
      <c r="A240" s="50"/>
      <c r="B240" s="7"/>
      <c r="C240" s="3">
        <v>41356</v>
      </c>
      <c r="D240" s="1">
        <v>8.6</v>
      </c>
      <c r="E240" s="1">
        <v>7.8</v>
      </c>
      <c r="F240" s="1">
        <v>9.9</v>
      </c>
      <c r="G240" s="1">
        <f t="shared" si="25"/>
        <v>1230.3999999999999</v>
      </c>
      <c r="H240" s="1">
        <f t="shared" si="33"/>
        <v>113.1</v>
      </c>
      <c r="J240" s="59">
        <v>1.4</v>
      </c>
      <c r="K240" s="1">
        <f t="shared" si="26"/>
        <v>489.49999999999994</v>
      </c>
      <c r="L240" s="1">
        <v>0.8</v>
      </c>
      <c r="M240" s="1">
        <f t="shared" si="27"/>
        <v>169.20000000000007</v>
      </c>
      <c r="N240" s="1">
        <v>0.59999999999999987</v>
      </c>
      <c r="O240" s="1">
        <f t="shared" si="34"/>
        <v>119.3</v>
      </c>
      <c r="P240" s="1">
        <v>193</v>
      </c>
      <c r="Q240" s="1">
        <f t="shared" si="31"/>
        <v>1.0551020408163265</v>
      </c>
      <c r="R240" s="9">
        <f t="shared" ref="R240:R303" si="35">Q240*L240</f>
        <v>0.84408163265306124</v>
      </c>
      <c r="S240" s="9">
        <f t="shared" ref="S240:S303" si="36">J240-R240</f>
        <v>0.55591836734693867</v>
      </c>
      <c r="T240" s="60">
        <f t="shared" si="28"/>
        <v>118.94734693877551</v>
      </c>
      <c r="V240" s="1">
        <v>429.8</v>
      </c>
      <c r="X240" s="1">
        <f t="shared" si="29"/>
        <v>91234.399999999965</v>
      </c>
      <c r="Y240" s="1">
        <f t="shared" si="32"/>
        <v>13309.899999999998</v>
      </c>
      <c r="AA240" s="1">
        <v>12.265689427668301</v>
      </c>
      <c r="AC240" s="9">
        <f>(AB198*(60/180))+(AB226*(70/180))+(AB257*(50/180))</f>
        <v>6.166666666666667</v>
      </c>
    </row>
    <row r="241" spans="1:29" s="1" customFormat="1" x14ac:dyDescent="0.25">
      <c r="A241" s="50"/>
      <c r="B241" s="7"/>
      <c r="C241" s="3">
        <v>41357</v>
      </c>
      <c r="D241" s="1">
        <v>5.3</v>
      </c>
      <c r="E241" s="1">
        <v>4.5999999999999996</v>
      </c>
      <c r="F241" s="1">
        <v>6.9</v>
      </c>
      <c r="G241" s="1">
        <f t="shared" si="25"/>
        <v>1235.6999999999998</v>
      </c>
      <c r="H241" s="1">
        <f t="shared" si="33"/>
        <v>118.39999999999999</v>
      </c>
      <c r="J241" s="59">
        <v>0</v>
      </c>
      <c r="K241" s="1">
        <f t="shared" si="26"/>
        <v>489.49999999999994</v>
      </c>
      <c r="L241" s="1">
        <v>1.5</v>
      </c>
      <c r="M241" s="1">
        <f t="shared" si="27"/>
        <v>170.70000000000007</v>
      </c>
      <c r="N241" s="1">
        <v>-1.5</v>
      </c>
      <c r="O241" s="1">
        <f t="shared" si="34"/>
        <v>117.8</v>
      </c>
      <c r="P241" s="1">
        <v>194</v>
      </c>
      <c r="Q241" s="1">
        <f t="shared" si="31"/>
        <v>1.0581632653061224</v>
      </c>
      <c r="R241" s="9">
        <f t="shared" si="35"/>
        <v>1.5872448979591836</v>
      </c>
      <c r="S241" s="9">
        <f t="shared" si="36"/>
        <v>-1.5872448979591836</v>
      </c>
      <c r="T241" s="60">
        <f t="shared" si="28"/>
        <v>117.36010204081633</v>
      </c>
      <c r="V241" s="1">
        <v>927.8</v>
      </c>
      <c r="X241" s="1">
        <f t="shared" si="29"/>
        <v>92162.199999999968</v>
      </c>
      <c r="Y241" s="1">
        <f t="shared" si="32"/>
        <v>14237.699999999997</v>
      </c>
      <c r="AA241" s="1">
        <v>12.3226173799212</v>
      </c>
      <c r="AC241" s="62" t="s">
        <v>61</v>
      </c>
    </row>
    <row r="242" spans="1:29" s="1" customFormat="1" x14ac:dyDescent="0.25">
      <c r="A242" s="50"/>
      <c r="B242" s="7"/>
      <c r="C242" s="3">
        <v>41358</v>
      </c>
      <c r="D242" s="1">
        <v>3.9</v>
      </c>
      <c r="E242" s="1">
        <v>1.1000000000000001</v>
      </c>
      <c r="F242" s="1">
        <v>8</v>
      </c>
      <c r="G242" s="1">
        <f t="shared" ref="G242:G305" si="37">G241+D242</f>
        <v>1239.5999999999999</v>
      </c>
      <c r="H242" s="1">
        <f t="shared" si="33"/>
        <v>122.3</v>
      </c>
      <c r="J242" s="1">
        <v>0</v>
      </c>
      <c r="K242" s="1">
        <f t="shared" ref="K242:K305" si="38">K241+J242</f>
        <v>489.49999999999994</v>
      </c>
      <c r="L242" s="1">
        <v>1.9</v>
      </c>
      <c r="M242" s="1">
        <f t="shared" ref="M242:M305" si="39">M241+L242</f>
        <v>172.60000000000008</v>
      </c>
      <c r="N242" s="1">
        <v>-1.9</v>
      </c>
      <c r="O242" s="1">
        <f t="shared" si="34"/>
        <v>115.89999999999999</v>
      </c>
      <c r="P242" s="1">
        <v>195</v>
      </c>
      <c r="Q242" s="1">
        <f t="shared" si="31"/>
        <v>1.0612244897959184</v>
      </c>
      <c r="R242" s="9">
        <f t="shared" si="35"/>
        <v>2.0163265306122451</v>
      </c>
      <c r="S242" s="9">
        <f t="shared" si="36"/>
        <v>-2.0163265306122451</v>
      </c>
      <c r="T242" s="9">
        <f t="shared" ref="T242:T305" si="40">MIN(122.1,(T241+S242))</f>
        <v>115.34377551020408</v>
      </c>
      <c r="V242" s="1">
        <v>1065.7</v>
      </c>
      <c r="X242" s="1">
        <f t="shared" ref="X242:X305" si="41">X241+V242</f>
        <v>93227.899999999965</v>
      </c>
      <c r="Y242" s="1">
        <f t="shared" si="32"/>
        <v>15303.399999999998</v>
      </c>
      <c r="AA242" s="1">
        <v>12.379513684848799</v>
      </c>
      <c r="AC242" s="9">
        <f>(AB200*(60/180))+(AB228*(70/180))+(AB259*(50/180))</f>
        <v>0.77777777777777779</v>
      </c>
    </row>
    <row r="243" spans="1:29" s="1" customFormat="1" x14ac:dyDescent="0.25">
      <c r="A243" s="50"/>
      <c r="B243" s="7"/>
      <c r="C243" s="3">
        <v>41359</v>
      </c>
      <c r="D243" s="1">
        <v>2.5</v>
      </c>
      <c r="E243" s="1">
        <v>0.4</v>
      </c>
      <c r="F243" s="1">
        <v>4.0999999999999996</v>
      </c>
      <c r="G243" s="1">
        <f t="shared" si="37"/>
        <v>1242.0999999999999</v>
      </c>
      <c r="H243" s="1">
        <f t="shared" si="33"/>
        <v>124.8</v>
      </c>
      <c r="J243" s="1">
        <v>0</v>
      </c>
      <c r="K243" s="1">
        <f t="shared" si="38"/>
        <v>489.49999999999994</v>
      </c>
      <c r="L243" s="1">
        <v>0.9</v>
      </c>
      <c r="M243" s="1">
        <f t="shared" si="39"/>
        <v>173.50000000000009</v>
      </c>
      <c r="N243" s="1">
        <v>-0.9</v>
      </c>
      <c r="O243" s="1">
        <f t="shared" si="34"/>
        <v>114.99999999999999</v>
      </c>
      <c r="P243" s="1">
        <v>196</v>
      </c>
      <c r="Q243" s="1">
        <f t="shared" si="31"/>
        <v>1.0642857142857143</v>
      </c>
      <c r="R243" s="9">
        <f t="shared" si="35"/>
        <v>0.95785714285714285</v>
      </c>
      <c r="S243" s="9">
        <f t="shared" si="36"/>
        <v>-0.95785714285714285</v>
      </c>
      <c r="T243" s="9">
        <f t="shared" si="40"/>
        <v>114.38591836734695</v>
      </c>
      <c r="V243" s="1">
        <v>479.4</v>
      </c>
      <c r="X243" s="1">
        <f t="shared" si="41"/>
        <v>93707.299999999959</v>
      </c>
      <c r="Y243" s="1">
        <f t="shared" si="32"/>
        <v>15782.799999999997</v>
      </c>
      <c r="AA243" s="1">
        <v>12.4363723913994</v>
      </c>
      <c r="AC243" s="62" t="s">
        <v>62</v>
      </c>
    </row>
    <row r="244" spans="1:29" s="1" customFormat="1" x14ac:dyDescent="0.25">
      <c r="A244" s="50"/>
      <c r="B244" s="7"/>
      <c r="C244" s="3">
        <v>41360</v>
      </c>
      <c r="D244" s="1">
        <v>2.8</v>
      </c>
      <c r="E244" s="1">
        <v>1.2</v>
      </c>
      <c r="F244" s="1">
        <v>4.5</v>
      </c>
      <c r="G244" s="1">
        <f t="shared" si="37"/>
        <v>1244.8999999999999</v>
      </c>
      <c r="H244" s="1">
        <f t="shared" si="33"/>
        <v>127.6</v>
      </c>
      <c r="J244" s="1">
        <v>0</v>
      </c>
      <c r="K244" s="1">
        <f t="shared" si="38"/>
        <v>489.49999999999994</v>
      </c>
      <c r="L244" s="1">
        <v>1.1000000000000001</v>
      </c>
      <c r="M244" s="1">
        <f t="shared" si="39"/>
        <v>174.60000000000008</v>
      </c>
      <c r="N244" s="1">
        <v>-1.1000000000000001</v>
      </c>
      <c r="O244" s="1">
        <f t="shared" si="34"/>
        <v>113.89999999999999</v>
      </c>
      <c r="P244" s="1">
        <v>197</v>
      </c>
      <c r="Q244" s="1">
        <f t="shared" si="31"/>
        <v>1.0673469387755101</v>
      </c>
      <c r="R244" s="9">
        <f t="shared" si="35"/>
        <v>1.1740816326530612</v>
      </c>
      <c r="S244" s="9">
        <f t="shared" si="36"/>
        <v>-1.1740816326530612</v>
      </c>
      <c r="T244" s="9">
        <f t="shared" si="40"/>
        <v>113.21183673469389</v>
      </c>
      <c r="V244" s="1">
        <v>785.5</v>
      </c>
      <c r="X244" s="1">
        <f t="shared" si="41"/>
        <v>94492.799999999959</v>
      </c>
      <c r="Y244" s="1">
        <f t="shared" si="32"/>
        <v>16568.299999999996</v>
      </c>
      <c r="AA244" s="1">
        <v>12.493187510301199</v>
      </c>
      <c r="AC244" s="9">
        <f>(AB202*(60/180))+(AB230*(70/180))+(AB261*(50/180))</f>
        <v>9.9111111111111079</v>
      </c>
    </row>
    <row r="245" spans="1:29" s="1" customFormat="1" x14ac:dyDescent="0.25">
      <c r="A245" s="50"/>
      <c r="B245" s="7" t="s">
        <v>27</v>
      </c>
      <c r="C245" s="3">
        <v>41361</v>
      </c>
      <c r="D245" s="1">
        <v>2.5</v>
      </c>
      <c r="E245" s="1">
        <v>0</v>
      </c>
      <c r="F245" s="1">
        <v>4.5999999999999996</v>
      </c>
      <c r="G245" s="1">
        <f t="shared" si="37"/>
        <v>1247.3999999999999</v>
      </c>
      <c r="H245" s="1">
        <f t="shared" si="33"/>
        <v>130.1</v>
      </c>
      <c r="J245" s="1">
        <v>0.6</v>
      </c>
      <c r="K245" s="1">
        <f t="shared" si="38"/>
        <v>490.09999999999997</v>
      </c>
      <c r="L245" s="1">
        <v>0.6</v>
      </c>
      <c r="M245" s="1">
        <f t="shared" si="39"/>
        <v>175.20000000000007</v>
      </c>
      <c r="N245" s="1">
        <v>0</v>
      </c>
      <c r="O245" s="1">
        <f t="shared" si="34"/>
        <v>113.89999999999999</v>
      </c>
      <c r="P245" s="1">
        <v>198</v>
      </c>
      <c r="Q245" s="1">
        <f t="shared" si="31"/>
        <v>1.0704081632653062</v>
      </c>
      <c r="R245" s="9">
        <f t="shared" si="35"/>
        <v>0.64224489795918371</v>
      </c>
      <c r="S245" s="9">
        <f t="shared" si="36"/>
        <v>-4.2244897959183736E-2</v>
      </c>
      <c r="T245" s="9">
        <f t="shared" si="40"/>
        <v>113.16959183673471</v>
      </c>
      <c r="V245" s="1">
        <v>571</v>
      </c>
      <c r="X245" s="1">
        <f t="shared" si="41"/>
        <v>95063.799999999959</v>
      </c>
      <c r="Y245" s="1">
        <f t="shared" si="32"/>
        <v>17139.299999999996</v>
      </c>
      <c r="AA245" s="1">
        <v>12.549952997669299</v>
      </c>
    </row>
    <row r="246" spans="1:29" s="1" customFormat="1" x14ac:dyDescent="0.25">
      <c r="A246" s="50"/>
      <c r="B246" s="7"/>
      <c r="C246" s="3">
        <v>41362</v>
      </c>
      <c r="D246" s="1">
        <v>1.9</v>
      </c>
      <c r="E246" s="1">
        <v>-2</v>
      </c>
      <c r="F246" s="1">
        <v>4.8</v>
      </c>
      <c r="G246" s="1">
        <f t="shared" si="37"/>
        <v>1249.3</v>
      </c>
      <c r="H246" s="1">
        <f t="shared" si="33"/>
        <v>132</v>
      </c>
      <c r="J246" s="1">
        <v>1.5</v>
      </c>
      <c r="K246" s="1">
        <f t="shared" si="38"/>
        <v>491.59999999999997</v>
      </c>
      <c r="L246" s="1">
        <v>0.7</v>
      </c>
      <c r="M246" s="1">
        <f t="shared" si="39"/>
        <v>175.90000000000006</v>
      </c>
      <c r="N246" s="1">
        <v>0.8</v>
      </c>
      <c r="O246" s="1">
        <f t="shared" si="34"/>
        <v>114.69999999999999</v>
      </c>
      <c r="P246" s="1">
        <v>199</v>
      </c>
      <c r="Q246" s="1">
        <f t="shared" si="31"/>
        <v>1.073469387755102</v>
      </c>
      <c r="R246" s="9">
        <f t="shared" si="35"/>
        <v>0.75142857142857133</v>
      </c>
      <c r="S246" s="9">
        <f t="shared" si="36"/>
        <v>0.74857142857142867</v>
      </c>
      <c r="T246" s="9">
        <f t="shared" si="40"/>
        <v>113.91816326530613</v>
      </c>
      <c r="V246" s="1">
        <v>707.7</v>
      </c>
      <c r="X246" s="1">
        <f t="shared" si="41"/>
        <v>95771.499999999956</v>
      </c>
      <c r="Y246" s="1">
        <f t="shared" si="32"/>
        <v>17846.999999999996</v>
      </c>
      <c r="AA246" s="1">
        <v>12.6066627386971</v>
      </c>
    </row>
    <row r="247" spans="1:29" s="1" customFormat="1" x14ac:dyDescent="0.25">
      <c r="A247" s="50"/>
      <c r="B247" s="7"/>
      <c r="C247" s="3">
        <v>41363</v>
      </c>
      <c r="D247" s="1">
        <v>5.2</v>
      </c>
      <c r="E247" s="1">
        <v>2.9</v>
      </c>
      <c r="F247" s="1">
        <v>7.7</v>
      </c>
      <c r="G247" s="1">
        <f t="shared" si="37"/>
        <v>1254.5</v>
      </c>
      <c r="H247" s="1">
        <f t="shared" si="33"/>
        <v>137.19999999999999</v>
      </c>
      <c r="J247" s="1">
        <v>2.6</v>
      </c>
      <c r="K247" s="1">
        <f t="shared" si="38"/>
        <v>494.2</v>
      </c>
      <c r="L247" s="1">
        <v>0.9</v>
      </c>
      <c r="M247" s="1">
        <f t="shared" si="39"/>
        <v>176.80000000000007</v>
      </c>
      <c r="N247" s="1">
        <v>1.7000000000000002</v>
      </c>
      <c r="O247" s="1">
        <f t="shared" si="34"/>
        <v>116.39999999999999</v>
      </c>
      <c r="P247" s="1">
        <v>200</v>
      </c>
      <c r="Q247" s="1">
        <f t="shared" si="31"/>
        <v>1.0765306122448979</v>
      </c>
      <c r="R247" s="9">
        <f t="shared" si="35"/>
        <v>0.96887755102040807</v>
      </c>
      <c r="S247" s="9">
        <f t="shared" si="36"/>
        <v>1.6311224489795921</v>
      </c>
      <c r="T247" s="9">
        <f t="shared" si="40"/>
        <v>115.54928571428573</v>
      </c>
      <c r="V247" s="1">
        <v>644.5</v>
      </c>
      <c r="X247" s="1">
        <f t="shared" si="41"/>
        <v>96415.999999999956</v>
      </c>
      <c r="Y247" s="1">
        <f t="shared" si="32"/>
        <v>18491.499999999996</v>
      </c>
      <c r="AA247" s="1">
        <v>12.6633105314329</v>
      </c>
    </row>
    <row r="248" spans="1:29" s="1" customFormat="1" x14ac:dyDescent="0.25">
      <c r="A248" s="50"/>
      <c r="B248" s="7"/>
      <c r="C248" s="3">
        <v>41364</v>
      </c>
      <c r="D248" s="1">
        <v>3.2</v>
      </c>
      <c r="E248" s="1">
        <v>0</v>
      </c>
      <c r="F248" s="1">
        <v>6.9</v>
      </c>
      <c r="G248" s="1">
        <f t="shared" si="37"/>
        <v>1257.7</v>
      </c>
      <c r="H248" s="1">
        <f t="shared" si="33"/>
        <v>140.39999999999998</v>
      </c>
      <c r="J248" s="1">
        <v>0</v>
      </c>
      <c r="K248" s="1">
        <f t="shared" si="38"/>
        <v>494.2</v>
      </c>
      <c r="L248" s="1">
        <v>1.8</v>
      </c>
      <c r="M248" s="1">
        <f t="shared" si="39"/>
        <v>178.60000000000008</v>
      </c>
      <c r="N248" s="1">
        <v>-1.8</v>
      </c>
      <c r="O248" s="1">
        <f t="shared" si="34"/>
        <v>114.6</v>
      </c>
      <c r="P248" s="1">
        <v>201</v>
      </c>
      <c r="Q248" s="1">
        <f t="shared" si="31"/>
        <v>1.0795918367346937</v>
      </c>
      <c r="R248" s="9">
        <f t="shared" si="35"/>
        <v>1.9432653061224487</v>
      </c>
      <c r="S248" s="9">
        <f t="shared" si="36"/>
        <v>-1.9432653061224487</v>
      </c>
      <c r="T248" s="9">
        <f t="shared" si="40"/>
        <v>113.60602040816327</v>
      </c>
      <c r="V248" s="1">
        <v>1385.3</v>
      </c>
      <c r="X248" s="1">
        <f t="shared" si="41"/>
        <v>97801.299999999959</v>
      </c>
      <c r="Y248" s="1">
        <f t="shared" si="32"/>
        <v>19876.799999999996</v>
      </c>
      <c r="AA248" s="1">
        <v>12.719890070641</v>
      </c>
    </row>
    <row r="249" spans="1:29" s="1" customFormat="1" x14ac:dyDescent="0.25">
      <c r="A249" s="50"/>
      <c r="B249" s="7"/>
      <c r="C249" s="3">
        <v>41365</v>
      </c>
      <c r="D249" s="1">
        <v>4.9000000000000004</v>
      </c>
      <c r="E249" s="1">
        <v>-1.6</v>
      </c>
      <c r="F249" s="1">
        <v>11.2</v>
      </c>
      <c r="G249" s="1">
        <f t="shared" si="37"/>
        <v>1262.6000000000001</v>
      </c>
      <c r="H249" s="1">
        <f t="shared" si="33"/>
        <v>145.29999999999998</v>
      </c>
      <c r="J249" s="1">
        <v>0</v>
      </c>
      <c r="K249" s="1">
        <f t="shared" si="38"/>
        <v>494.2</v>
      </c>
      <c r="L249" s="1">
        <v>2.6</v>
      </c>
      <c r="M249" s="1">
        <f t="shared" si="39"/>
        <v>181.20000000000007</v>
      </c>
      <c r="N249" s="1">
        <v>-2.6</v>
      </c>
      <c r="O249" s="1">
        <f t="shared" si="34"/>
        <v>112</v>
      </c>
      <c r="P249" s="1">
        <v>202</v>
      </c>
      <c r="Q249" s="1">
        <f t="shared" si="31"/>
        <v>1.0826530612244898</v>
      </c>
      <c r="R249" s="9">
        <f t="shared" si="35"/>
        <v>2.8148979591836736</v>
      </c>
      <c r="S249" s="9">
        <f t="shared" si="36"/>
        <v>-2.8148979591836736</v>
      </c>
      <c r="T249" s="9">
        <f t="shared" si="40"/>
        <v>110.79112244897961</v>
      </c>
      <c r="V249" s="1">
        <v>2095.4</v>
      </c>
      <c r="X249" s="1">
        <f t="shared" si="41"/>
        <v>99896.699999999953</v>
      </c>
      <c r="Y249" s="1">
        <f t="shared" si="32"/>
        <v>21972.199999999997</v>
      </c>
      <c r="AA249" s="1">
        <v>12.7763949317472</v>
      </c>
    </row>
    <row r="250" spans="1:29" s="1" customFormat="1" x14ac:dyDescent="0.25">
      <c r="A250" s="50"/>
      <c r="B250" s="7"/>
      <c r="C250" s="3">
        <v>41366</v>
      </c>
      <c r="D250" s="1">
        <v>6</v>
      </c>
      <c r="E250" s="1">
        <v>0.2</v>
      </c>
      <c r="F250" s="1">
        <v>12</v>
      </c>
      <c r="G250" s="1">
        <f t="shared" si="37"/>
        <v>1268.6000000000001</v>
      </c>
      <c r="H250" s="1">
        <f t="shared" si="33"/>
        <v>151.29999999999998</v>
      </c>
      <c r="J250" s="1">
        <v>0</v>
      </c>
      <c r="K250" s="1">
        <f t="shared" si="38"/>
        <v>494.2</v>
      </c>
      <c r="L250" s="1">
        <v>2.2999999999999998</v>
      </c>
      <c r="M250" s="1">
        <f t="shared" si="39"/>
        <v>183.50000000000009</v>
      </c>
      <c r="N250" s="1">
        <v>-2.2999999999999998</v>
      </c>
      <c r="O250" s="1">
        <f t="shared" si="34"/>
        <v>109.7</v>
      </c>
      <c r="P250" s="1">
        <v>203</v>
      </c>
      <c r="Q250" s="1">
        <f t="shared" si="31"/>
        <v>1.0857142857142856</v>
      </c>
      <c r="R250" s="9">
        <f t="shared" si="35"/>
        <v>2.4971428571428569</v>
      </c>
      <c r="S250" s="9">
        <f t="shared" si="36"/>
        <v>-2.4971428571428569</v>
      </c>
      <c r="T250" s="9">
        <f t="shared" si="40"/>
        <v>108.29397959183675</v>
      </c>
      <c r="V250" s="1">
        <v>1687.8</v>
      </c>
      <c r="X250" s="1">
        <f t="shared" si="41"/>
        <v>101584.49999999996</v>
      </c>
      <c r="Y250" s="1">
        <f t="shared" si="32"/>
        <v>23659.999999999996</v>
      </c>
      <c r="AA250" s="1">
        <v>12.832818554872</v>
      </c>
    </row>
    <row r="251" spans="1:29" s="1" customFormat="1" x14ac:dyDescent="0.25">
      <c r="A251" s="50"/>
      <c r="B251" s="7"/>
      <c r="C251" s="3">
        <v>41367</v>
      </c>
      <c r="D251" s="1">
        <v>6.1</v>
      </c>
      <c r="E251" s="1">
        <v>1</v>
      </c>
      <c r="F251" s="1">
        <v>12.4</v>
      </c>
      <c r="G251" s="1">
        <f t="shared" si="37"/>
        <v>1274.7</v>
      </c>
      <c r="H251" s="1">
        <f t="shared" si="33"/>
        <v>157.39999999999998</v>
      </c>
      <c r="J251" s="1">
        <v>0</v>
      </c>
      <c r="K251" s="1">
        <f t="shared" si="38"/>
        <v>494.2</v>
      </c>
      <c r="L251" s="1">
        <v>2.2999999999999998</v>
      </c>
      <c r="M251" s="1">
        <f t="shared" si="39"/>
        <v>185.8000000000001</v>
      </c>
      <c r="N251" s="1">
        <v>-2.2999999999999998</v>
      </c>
      <c r="O251" s="1">
        <f t="shared" si="34"/>
        <v>107.4</v>
      </c>
      <c r="P251" s="1">
        <v>204</v>
      </c>
      <c r="Q251" s="1">
        <f t="shared" si="31"/>
        <v>1.0887755102040815</v>
      </c>
      <c r="R251" s="9">
        <f t="shared" si="35"/>
        <v>2.5041836734693872</v>
      </c>
      <c r="S251" s="9">
        <f t="shared" si="36"/>
        <v>-2.5041836734693872</v>
      </c>
      <c r="T251" s="9">
        <f t="shared" si="40"/>
        <v>105.78979591836736</v>
      </c>
      <c r="V251" s="1">
        <v>1571</v>
      </c>
      <c r="X251" s="1">
        <f t="shared" si="41"/>
        <v>103155.49999999996</v>
      </c>
      <c r="Y251" s="1">
        <f t="shared" si="32"/>
        <v>25230.999999999996</v>
      </c>
      <c r="AA251" s="1">
        <v>12.889154228953201</v>
      </c>
    </row>
    <row r="252" spans="1:29" s="1" customFormat="1" x14ac:dyDescent="0.25">
      <c r="A252" s="50"/>
      <c r="B252" s="7"/>
      <c r="C252" s="3">
        <v>41368</v>
      </c>
      <c r="D252" s="1">
        <v>9</v>
      </c>
      <c r="E252" s="1">
        <v>2.6</v>
      </c>
      <c r="F252" s="1">
        <v>16</v>
      </c>
      <c r="G252" s="1">
        <f t="shared" si="37"/>
        <v>1283.7</v>
      </c>
      <c r="H252" s="1">
        <f t="shared" si="33"/>
        <v>166.39999999999998</v>
      </c>
      <c r="J252" s="59">
        <v>0</v>
      </c>
      <c r="K252" s="1">
        <f t="shared" si="38"/>
        <v>494.2</v>
      </c>
      <c r="L252" s="1">
        <v>2.5</v>
      </c>
      <c r="M252" s="1">
        <f t="shared" si="39"/>
        <v>188.3000000000001</v>
      </c>
      <c r="N252" s="1">
        <v>-2.5</v>
      </c>
      <c r="O252" s="1">
        <f t="shared" si="34"/>
        <v>104.9</v>
      </c>
      <c r="P252" s="1">
        <v>205</v>
      </c>
      <c r="Q252" s="1">
        <f t="shared" si="31"/>
        <v>1.0918367346938775</v>
      </c>
      <c r="R252" s="9">
        <f t="shared" si="35"/>
        <v>2.7295918367346941</v>
      </c>
      <c r="S252" s="9">
        <f t="shared" si="36"/>
        <v>-2.7295918367346941</v>
      </c>
      <c r="T252" s="9">
        <f t="shared" si="40"/>
        <v>103.06020408163266</v>
      </c>
      <c r="V252" s="1">
        <v>1687.4</v>
      </c>
      <c r="X252" s="1">
        <f t="shared" si="41"/>
        <v>104842.89999999995</v>
      </c>
      <c r="Y252" s="1">
        <f t="shared" si="32"/>
        <v>26918.399999999998</v>
      </c>
      <c r="AA252" s="1">
        <v>12.9453950759628</v>
      </c>
      <c r="AB252" s="62" t="s">
        <v>58</v>
      </c>
    </row>
    <row r="253" spans="1:29" s="1" customFormat="1" x14ac:dyDescent="0.25">
      <c r="A253" s="50"/>
      <c r="B253" s="7"/>
      <c r="C253" s="3">
        <v>41369</v>
      </c>
      <c r="D253" s="1">
        <v>7.7</v>
      </c>
      <c r="E253" s="1">
        <v>5.0999999999999996</v>
      </c>
      <c r="F253" s="1">
        <v>11.4</v>
      </c>
      <c r="G253" s="1">
        <f t="shared" si="37"/>
        <v>1291.4000000000001</v>
      </c>
      <c r="H253" s="1">
        <f t="shared" si="33"/>
        <v>174.09999999999997</v>
      </c>
      <c r="J253" s="59">
        <v>0</v>
      </c>
      <c r="K253" s="1">
        <f t="shared" si="38"/>
        <v>494.2</v>
      </c>
      <c r="L253" s="1">
        <v>1.8</v>
      </c>
      <c r="M253" s="1">
        <f t="shared" si="39"/>
        <v>190.10000000000011</v>
      </c>
      <c r="N253" s="1">
        <v>-1.8</v>
      </c>
      <c r="O253" s="1">
        <f t="shared" si="34"/>
        <v>103.10000000000001</v>
      </c>
      <c r="P253" s="1">
        <v>206</v>
      </c>
      <c r="Q253" s="1">
        <f t="shared" si="31"/>
        <v>1.0948979591836734</v>
      </c>
      <c r="R253" s="9">
        <f t="shared" si="35"/>
        <v>1.9708163265306122</v>
      </c>
      <c r="S253" s="9">
        <f t="shared" si="36"/>
        <v>-1.9708163265306122</v>
      </c>
      <c r="T253" s="9">
        <f t="shared" si="40"/>
        <v>101.08938775510205</v>
      </c>
      <c r="V253" s="1">
        <v>919.9</v>
      </c>
      <c r="X253" s="1">
        <f t="shared" si="41"/>
        <v>105762.79999999994</v>
      </c>
      <c r="Y253" s="1">
        <f t="shared" si="32"/>
        <v>27838.3</v>
      </c>
      <c r="AA253" s="1">
        <v>13.001534035222701</v>
      </c>
      <c r="AB253" s="9">
        <f>AVERAGE(T259:T272)</f>
        <v>106.73188775510202</v>
      </c>
    </row>
    <row r="254" spans="1:29" s="1" customFormat="1" x14ac:dyDescent="0.25">
      <c r="A254" s="50"/>
      <c r="B254" s="7"/>
      <c r="C254" s="3">
        <v>41370</v>
      </c>
      <c r="D254" s="1">
        <v>5.9</v>
      </c>
      <c r="E254" s="1">
        <v>2.2999999999999998</v>
      </c>
      <c r="F254" s="1">
        <v>10.5</v>
      </c>
      <c r="G254" s="1">
        <f t="shared" si="37"/>
        <v>1297.3000000000002</v>
      </c>
      <c r="H254" s="1">
        <f t="shared" si="33"/>
        <v>179.99999999999997</v>
      </c>
      <c r="J254" s="59">
        <v>0</v>
      </c>
      <c r="K254" s="1">
        <f t="shared" si="38"/>
        <v>494.2</v>
      </c>
      <c r="L254" s="1">
        <v>2.5</v>
      </c>
      <c r="M254" s="1">
        <f t="shared" si="39"/>
        <v>192.60000000000011</v>
      </c>
      <c r="N254" s="1">
        <v>-2.5</v>
      </c>
      <c r="O254" s="1">
        <f t="shared" si="34"/>
        <v>100.60000000000001</v>
      </c>
      <c r="P254" s="1">
        <v>207</v>
      </c>
      <c r="Q254" s="1">
        <f t="shared" si="31"/>
        <v>1.0979591836734692</v>
      </c>
      <c r="R254" s="9">
        <f t="shared" si="35"/>
        <v>2.7448979591836729</v>
      </c>
      <c r="S254" s="9">
        <f t="shared" si="36"/>
        <v>-2.7448979591836729</v>
      </c>
      <c r="T254" s="9">
        <f t="shared" si="40"/>
        <v>98.344489795918378</v>
      </c>
      <c r="V254" s="1">
        <v>1489.8</v>
      </c>
      <c r="X254" s="1">
        <f t="shared" si="41"/>
        <v>107252.59999999995</v>
      </c>
      <c r="Y254" s="1">
        <f t="shared" si="32"/>
        <v>29328.1</v>
      </c>
      <c r="AA254" s="1">
        <v>13.0575638478277</v>
      </c>
      <c r="AB254" s="62" t="s">
        <v>59</v>
      </c>
    </row>
    <row r="255" spans="1:29" s="1" customFormat="1" x14ac:dyDescent="0.25">
      <c r="A255" s="50"/>
      <c r="B255" s="7"/>
      <c r="C255" s="3">
        <v>41371</v>
      </c>
      <c r="D255" s="1">
        <v>5.8</v>
      </c>
      <c r="E255" s="1">
        <v>3.6</v>
      </c>
      <c r="F255" s="1">
        <v>9.1</v>
      </c>
      <c r="G255" s="1">
        <f t="shared" si="37"/>
        <v>1303.1000000000001</v>
      </c>
      <c r="H255" s="1">
        <f t="shared" si="33"/>
        <v>185.79999999999998</v>
      </c>
      <c r="J255" s="59">
        <v>0</v>
      </c>
      <c r="K255" s="1">
        <f t="shared" si="38"/>
        <v>494.2</v>
      </c>
      <c r="L255" s="1">
        <v>2.5</v>
      </c>
      <c r="M255" s="1">
        <f t="shared" si="39"/>
        <v>195.10000000000011</v>
      </c>
      <c r="N255" s="1">
        <v>-2.5</v>
      </c>
      <c r="O255" s="1">
        <f t="shared" si="34"/>
        <v>98.100000000000009</v>
      </c>
      <c r="P255" s="1">
        <v>208</v>
      </c>
      <c r="Q255" s="1">
        <f t="shared" si="31"/>
        <v>1.1010204081632653</v>
      </c>
      <c r="R255" s="9">
        <f t="shared" si="35"/>
        <v>2.7525510204081631</v>
      </c>
      <c r="S255" s="9">
        <f t="shared" si="36"/>
        <v>-2.7525510204081631</v>
      </c>
      <c r="T255" s="9">
        <f t="shared" si="40"/>
        <v>95.591938775510215</v>
      </c>
      <c r="V255" s="1">
        <v>1782.9</v>
      </c>
      <c r="X255" s="1">
        <f t="shared" si="41"/>
        <v>109035.49999999994</v>
      </c>
      <c r="Y255" s="1">
        <f t="shared" si="32"/>
        <v>31111</v>
      </c>
      <c r="AA255" s="1">
        <v>13.113477041184099</v>
      </c>
      <c r="AB255" s="1">
        <v>4</v>
      </c>
    </row>
    <row r="256" spans="1:29" s="1" customFormat="1" x14ac:dyDescent="0.25">
      <c r="A256" s="50"/>
      <c r="B256" s="7"/>
      <c r="C256" s="3">
        <v>41372</v>
      </c>
      <c r="D256" s="1">
        <v>5.2</v>
      </c>
      <c r="E256" s="1">
        <v>2.2000000000000002</v>
      </c>
      <c r="F256" s="1">
        <v>7.4</v>
      </c>
      <c r="G256" s="1">
        <f t="shared" si="37"/>
        <v>1308.3000000000002</v>
      </c>
      <c r="H256" s="1">
        <f t="shared" si="33"/>
        <v>190.99999999999997</v>
      </c>
      <c r="J256" s="59">
        <v>4.2</v>
      </c>
      <c r="K256" s="1">
        <f t="shared" si="38"/>
        <v>498.4</v>
      </c>
      <c r="L256" s="1">
        <v>0.6</v>
      </c>
      <c r="M256" s="1">
        <f t="shared" si="39"/>
        <v>195.7000000000001</v>
      </c>
      <c r="N256" s="1">
        <v>3.6</v>
      </c>
      <c r="O256" s="1">
        <f t="shared" si="34"/>
        <v>101.7</v>
      </c>
      <c r="P256" s="1">
        <v>209</v>
      </c>
      <c r="Q256" s="1">
        <f t="shared" si="31"/>
        <v>1.1040816326530611</v>
      </c>
      <c r="R256" s="9">
        <f t="shared" si="35"/>
        <v>0.66244897959183668</v>
      </c>
      <c r="S256" s="9">
        <f t="shared" si="36"/>
        <v>3.5375510204081637</v>
      </c>
      <c r="T256" s="9">
        <f t="shared" si="40"/>
        <v>99.129489795918374</v>
      </c>
      <c r="V256" s="1">
        <v>555.1</v>
      </c>
      <c r="X256" s="1">
        <f t="shared" si="41"/>
        <v>109590.59999999995</v>
      </c>
      <c r="Y256" s="1">
        <f t="shared" si="32"/>
        <v>31666.1</v>
      </c>
      <c r="AA256" s="1">
        <v>13.169265913674099</v>
      </c>
      <c r="AB256" s="62" t="s">
        <v>60</v>
      </c>
    </row>
    <row r="257" spans="1:28" s="1" customFormat="1" x14ac:dyDescent="0.25">
      <c r="A257" s="50"/>
      <c r="B257" s="7"/>
      <c r="C257" s="3">
        <v>41373</v>
      </c>
      <c r="D257" s="1">
        <v>8.1999999999999993</v>
      </c>
      <c r="E257" s="1">
        <v>4.5</v>
      </c>
      <c r="F257" s="1">
        <v>11.9</v>
      </c>
      <c r="G257" s="1">
        <f t="shared" si="37"/>
        <v>1316.5000000000002</v>
      </c>
      <c r="H257" s="1">
        <f t="shared" si="33"/>
        <v>199.19999999999996</v>
      </c>
      <c r="J257" s="59">
        <v>5.8</v>
      </c>
      <c r="K257" s="1">
        <f t="shared" si="38"/>
        <v>504.2</v>
      </c>
      <c r="L257" s="1">
        <v>1.2</v>
      </c>
      <c r="M257" s="1">
        <f t="shared" si="39"/>
        <v>196.90000000000009</v>
      </c>
      <c r="N257" s="1">
        <v>4.5999999999999996</v>
      </c>
      <c r="O257" s="1">
        <f t="shared" si="34"/>
        <v>106.3</v>
      </c>
      <c r="P257" s="1">
        <v>210</v>
      </c>
      <c r="Q257" s="1">
        <f t="shared" si="31"/>
        <v>1.107142857142857</v>
      </c>
      <c r="R257" s="9">
        <f t="shared" si="35"/>
        <v>1.3285714285714283</v>
      </c>
      <c r="S257" s="9">
        <f t="shared" si="36"/>
        <v>4.4714285714285715</v>
      </c>
      <c r="T257" s="9">
        <f t="shared" si="40"/>
        <v>103.60091836734695</v>
      </c>
      <c r="V257" s="1">
        <v>700.4</v>
      </c>
      <c r="X257" s="1">
        <f t="shared" si="41"/>
        <v>110290.99999999994</v>
      </c>
      <c r="Y257" s="1">
        <f t="shared" si="32"/>
        <v>32366.5</v>
      </c>
      <c r="AA257" s="1">
        <v>13.2249225194602</v>
      </c>
      <c r="AB257" s="1">
        <v>7</v>
      </c>
    </row>
    <row r="258" spans="1:28" s="1" customFormat="1" x14ac:dyDescent="0.25">
      <c r="A258" s="50"/>
      <c r="B258" s="7"/>
      <c r="C258" s="3">
        <v>41374</v>
      </c>
      <c r="D258" s="1">
        <v>10.4</v>
      </c>
      <c r="E258" s="1">
        <v>7.3</v>
      </c>
      <c r="F258" s="1">
        <v>13</v>
      </c>
      <c r="G258" s="1">
        <f t="shared" si="37"/>
        <v>1326.9000000000003</v>
      </c>
      <c r="H258" s="1">
        <f t="shared" si="33"/>
        <v>209.59999999999997</v>
      </c>
      <c r="J258" s="59">
        <v>8.1</v>
      </c>
      <c r="K258" s="1">
        <f t="shared" si="38"/>
        <v>512.29999999999995</v>
      </c>
      <c r="L258" s="1">
        <v>1.7</v>
      </c>
      <c r="M258" s="1">
        <f t="shared" si="39"/>
        <v>198.60000000000008</v>
      </c>
      <c r="N258" s="1">
        <v>6.3999999999999995</v>
      </c>
      <c r="O258" s="1">
        <f t="shared" si="34"/>
        <v>112.7</v>
      </c>
      <c r="P258" s="1">
        <v>211</v>
      </c>
      <c r="Q258" s="1">
        <f t="shared" si="31"/>
        <v>1.1102040816326531</v>
      </c>
      <c r="R258" s="9">
        <f t="shared" si="35"/>
        <v>1.8873469387755102</v>
      </c>
      <c r="S258" s="9">
        <f t="shared" si="36"/>
        <v>6.2126530612244899</v>
      </c>
      <c r="T258" s="9">
        <f t="shared" si="40"/>
        <v>109.81357142857144</v>
      </c>
      <c r="V258" s="1">
        <v>1059.5999999999999</v>
      </c>
      <c r="X258" s="1">
        <f t="shared" si="41"/>
        <v>111350.59999999995</v>
      </c>
      <c r="Y258" s="1">
        <f t="shared" si="32"/>
        <v>33426.1</v>
      </c>
      <c r="AA258" s="1">
        <v>13.280438653442699</v>
      </c>
      <c r="AB258" s="62" t="s">
        <v>61</v>
      </c>
    </row>
    <row r="259" spans="1:28" s="1" customFormat="1" x14ac:dyDescent="0.25">
      <c r="A259" s="50"/>
      <c r="B259" s="7"/>
      <c r="C259" s="3">
        <v>41375</v>
      </c>
      <c r="D259" s="1">
        <v>11.5</v>
      </c>
      <c r="E259" s="1">
        <v>9.8000000000000007</v>
      </c>
      <c r="F259" s="1">
        <v>13.5</v>
      </c>
      <c r="G259" s="1">
        <f t="shared" si="37"/>
        <v>1338.4000000000003</v>
      </c>
      <c r="H259" s="1">
        <f t="shared" si="33"/>
        <v>221.09999999999997</v>
      </c>
      <c r="J259" s="59">
        <v>15.6</v>
      </c>
      <c r="K259" s="1">
        <f t="shared" si="38"/>
        <v>527.9</v>
      </c>
      <c r="L259" s="1">
        <v>1.3</v>
      </c>
      <c r="M259" s="1">
        <f t="shared" si="39"/>
        <v>199.90000000000009</v>
      </c>
      <c r="N259" s="1">
        <v>14.299999999999999</v>
      </c>
      <c r="O259" s="1">
        <v>122.1</v>
      </c>
      <c r="P259" s="1">
        <v>212</v>
      </c>
      <c r="Q259" s="1">
        <f t="shared" si="31"/>
        <v>1.1132653061224489</v>
      </c>
      <c r="R259" s="9">
        <f t="shared" si="35"/>
        <v>1.4472448979591837</v>
      </c>
      <c r="S259" s="9">
        <f t="shared" si="36"/>
        <v>14.152755102040816</v>
      </c>
      <c r="T259" s="60">
        <f t="shared" si="40"/>
        <v>122.1</v>
      </c>
      <c r="V259" s="1">
        <v>479.7</v>
      </c>
      <c r="X259" s="1">
        <f t="shared" si="41"/>
        <v>111830.29999999994</v>
      </c>
      <c r="Y259" s="1">
        <f t="shared" si="32"/>
        <v>33905.799999999996</v>
      </c>
      <c r="AA259" s="1">
        <v>13.335805836389699</v>
      </c>
      <c r="AB259" s="1">
        <v>0</v>
      </c>
    </row>
    <row r="260" spans="1:28" s="1" customFormat="1" x14ac:dyDescent="0.25">
      <c r="A260" s="50"/>
      <c r="B260" s="7"/>
      <c r="C260" s="3">
        <v>41376</v>
      </c>
      <c r="D260" s="1">
        <v>9.3000000000000007</v>
      </c>
      <c r="E260" s="1">
        <v>9.1</v>
      </c>
      <c r="F260" s="1">
        <v>10.199999999999999</v>
      </c>
      <c r="G260" s="1">
        <f t="shared" si="37"/>
        <v>1347.7000000000003</v>
      </c>
      <c r="H260" s="1">
        <f t="shared" si="33"/>
        <v>230.39999999999998</v>
      </c>
      <c r="J260" s="59">
        <v>5.5</v>
      </c>
      <c r="K260" s="1">
        <f t="shared" si="38"/>
        <v>533.4</v>
      </c>
      <c r="L260" s="1">
        <v>1.3</v>
      </c>
      <c r="M260" s="1">
        <f t="shared" si="39"/>
        <v>201.2000000000001</v>
      </c>
      <c r="N260" s="1">
        <v>4.2</v>
      </c>
      <c r="O260" s="1">
        <v>122.1</v>
      </c>
      <c r="P260" s="1">
        <v>213</v>
      </c>
      <c r="Q260" s="1">
        <f t="shared" si="31"/>
        <v>1.1163265306122447</v>
      </c>
      <c r="R260" s="9">
        <f t="shared" si="35"/>
        <v>1.4512244897959181</v>
      </c>
      <c r="S260" s="9">
        <f t="shared" si="36"/>
        <v>4.0487755102040817</v>
      </c>
      <c r="T260" s="60">
        <f t="shared" si="40"/>
        <v>122.1</v>
      </c>
      <c r="V260" s="1">
        <v>939</v>
      </c>
      <c r="X260" s="1">
        <f t="shared" si="41"/>
        <v>112769.29999999994</v>
      </c>
      <c r="Y260" s="1">
        <f t="shared" si="32"/>
        <v>34844.799999999996</v>
      </c>
      <c r="AA260" s="1">
        <v>13.391015300257701</v>
      </c>
      <c r="AB260" s="62" t="s">
        <v>62</v>
      </c>
    </row>
    <row r="261" spans="1:28" s="1" customFormat="1" x14ac:dyDescent="0.25">
      <c r="A261" s="50"/>
      <c r="B261" s="7"/>
      <c r="C261" s="3">
        <v>41377</v>
      </c>
      <c r="D261" s="1">
        <v>12</v>
      </c>
      <c r="E261" s="1">
        <v>7.8</v>
      </c>
      <c r="F261" s="1">
        <v>15.8</v>
      </c>
      <c r="G261" s="1">
        <f t="shared" si="37"/>
        <v>1359.7000000000003</v>
      </c>
      <c r="H261" s="1">
        <f t="shared" si="33"/>
        <v>242.39999999999998</v>
      </c>
      <c r="J261" s="59">
        <v>0</v>
      </c>
      <c r="K261" s="1">
        <f t="shared" si="38"/>
        <v>533.4</v>
      </c>
      <c r="L261" s="1">
        <v>1.8</v>
      </c>
      <c r="M261" s="1">
        <f t="shared" si="39"/>
        <v>203.00000000000011</v>
      </c>
      <c r="N261" s="1">
        <v>-1.8</v>
      </c>
      <c r="O261" s="1">
        <f t="shared" ref="O261:O273" si="42">O260+N261</f>
        <v>120.3</v>
      </c>
      <c r="P261" s="1">
        <v>214</v>
      </c>
      <c r="Q261" s="1">
        <f t="shared" si="31"/>
        <v>1.1193877551020408</v>
      </c>
      <c r="R261" s="9">
        <f t="shared" si="35"/>
        <v>2.0148979591836733</v>
      </c>
      <c r="S261" s="9">
        <f t="shared" si="36"/>
        <v>-2.0148979591836733</v>
      </c>
      <c r="T261" s="60">
        <f t="shared" si="40"/>
        <v>120.08510204081632</v>
      </c>
      <c r="V261" s="1">
        <v>1069.2</v>
      </c>
      <c r="X261" s="1">
        <f t="shared" si="41"/>
        <v>113838.49999999994</v>
      </c>
      <c r="Y261" s="1">
        <f t="shared" si="32"/>
        <v>35913.999999999993</v>
      </c>
      <c r="AA261" s="1">
        <v>13.4460579737258</v>
      </c>
      <c r="AB261" s="1">
        <f>SUM(J263:J272)</f>
        <v>0.6</v>
      </c>
    </row>
    <row r="262" spans="1:28" s="56" customFormat="1" x14ac:dyDescent="0.25">
      <c r="A262" s="50"/>
      <c r="B262" s="54" t="s">
        <v>56</v>
      </c>
      <c r="C262" s="55">
        <v>41378</v>
      </c>
      <c r="D262" s="56">
        <v>16.100000000000001</v>
      </c>
      <c r="E262" s="56">
        <v>8.5</v>
      </c>
      <c r="F262" s="56">
        <v>24.2</v>
      </c>
      <c r="G262" s="56">
        <f t="shared" si="37"/>
        <v>1375.8000000000002</v>
      </c>
      <c r="H262" s="56">
        <f t="shared" si="33"/>
        <v>258.5</v>
      </c>
      <c r="J262" s="56">
        <v>0</v>
      </c>
      <c r="K262" s="56">
        <f t="shared" si="38"/>
        <v>533.4</v>
      </c>
      <c r="L262" s="56">
        <v>4.2</v>
      </c>
      <c r="M262" s="56">
        <f t="shared" si="39"/>
        <v>207.2000000000001</v>
      </c>
      <c r="N262" s="56">
        <v>-4.2</v>
      </c>
      <c r="O262" s="56">
        <f t="shared" si="42"/>
        <v>116.1</v>
      </c>
      <c r="P262" s="56">
        <v>215</v>
      </c>
      <c r="Q262" s="56">
        <f t="shared" si="31"/>
        <v>1.1224489795918366</v>
      </c>
      <c r="R262" s="57">
        <f t="shared" si="35"/>
        <v>4.7142857142857144</v>
      </c>
      <c r="S262" s="57">
        <f t="shared" si="36"/>
        <v>-4.7142857142857144</v>
      </c>
      <c r="T262" s="57">
        <f t="shared" si="40"/>
        <v>115.37081632653062</v>
      </c>
      <c r="V262" s="56">
        <v>2047.4</v>
      </c>
      <c r="W262" s="63"/>
      <c r="X262" s="63">
        <f t="shared" si="41"/>
        <v>115885.89999999994</v>
      </c>
      <c r="Y262" s="56">
        <f t="shared" si="32"/>
        <v>37961.399999999994</v>
      </c>
      <c r="AA262" s="56">
        <v>13.500924467969201</v>
      </c>
    </row>
    <row r="263" spans="1:28" s="1" customFormat="1" ht="15" customHeight="1" x14ac:dyDescent="0.25">
      <c r="A263" s="50"/>
      <c r="B263" s="7"/>
      <c r="C263" s="3">
        <v>41379</v>
      </c>
      <c r="D263" s="1">
        <v>16.399999999999999</v>
      </c>
      <c r="E263" s="1">
        <v>11.2</v>
      </c>
      <c r="F263" s="1">
        <v>20.8</v>
      </c>
      <c r="G263" s="1">
        <f t="shared" si="37"/>
        <v>1392.2000000000003</v>
      </c>
      <c r="H263" s="1">
        <f t="shared" si="33"/>
        <v>274.89999999999998</v>
      </c>
      <c r="J263" s="59">
        <v>0.4</v>
      </c>
      <c r="K263" s="1">
        <f t="shared" si="38"/>
        <v>533.79999999999995</v>
      </c>
      <c r="L263" s="1">
        <v>2.2999999999999998</v>
      </c>
      <c r="M263" s="1">
        <f t="shared" si="39"/>
        <v>209.50000000000011</v>
      </c>
      <c r="N263" s="1">
        <v>-1.9</v>
      </c>
      <c r="O263" s="1">
        <f t="shared" si="42"/>
        <v>114.19999999999999</v>
      </c>
      <c r="P263" s="1">
        <v>216</v>
      </c>
      <c r="Q263" s="1">
        <f t="shared" si="31"/>
        <v>1.1255102040816325</v>
      </c>
      <c r="R263" s="9">
        <f t="shared" si="35"/>
        <v>2.5886734693877544</v>
      </c>
      <c r="S263" s="9">
        <f t="shared" si="36"/>
        <v>-2.1886734693877545</v>
      </c>
      <c r="T263" s="60">
        <f t="shared" si="40"/>
        <v>113.18214285714286</v>
      </c>
      <c r="U263" s="15"/>
      <c r="V263" s="1">
        <v>1202.8</v>
      </c>
      <c r="X263" s="1">
        <f t="shared" si="41"/>
        <v>117088.69999999994</v>
      </c>
      <c r="Y263" s="1">
        <f t="shared" si="32"/>
        <v>39164.199999999997</v>
      </c>
      <c r="AA263" s="1">
        <v>13.555605062698699</v>
      </c>
    </row>
    <row r="264" spans="1:28" s="1" customFormat="1" x14ac:dyDescent="0.25">
      <c r="A264" s="50"/>
      <c r="B264" s="7"/>
      <c r="C264" s="3">
        <v>41380</v>
      </c>
      <c r="D264" s="1">
        <v>16.5</v>
      </c>
      <c r="E264" s="1">
        <v>10.5</v>
      </c>
      <c r="F264" s="1">
        <v>22.6</v>
      </c>
      <c r="G264" s="1">
        <f t="shared" si="37"/>
        <v>1408.7000000000003</v>
      </c>
      <c r="H264" s="1">
        <f t="shared" si="33"/>
        <v>291.39999999999998</v>
      </c>
      <c r="J264" s="59">
        <v>0</v>
      </c>
      <c r="K264" s="1">
        <f t="shared" si="38"/>
        <v>533.79999999999995</v>
      </c>
      <c r="L264" s="1">
        <v>2.5</v>
      </c>
      <c r="M264" s="1">
        <f t="shared" si="39"/>
        <v>212.00000000000011</v>
      </c>
      <c r="N264" s="1">
        <v>-2.5</v>
      </c>
      <c r="O264" s="1">
        <f t="shared" si="42"/>
        <v>111.69999999999999</v>
      </c>
      <c r="P264" s="1">
        <v>217</v>
      </c>
      <c r="Q264" s="1">
        <f t="shared" si="31"/>
        <v>1.1285714285714286</v>
      </c>
      <c r="R264" s="9">
        <f t="shared" si="35"/>
        <v>2.8214285714285712</v>
      </c>
      <c r="S264" s="9">
        <f t="shared" si="36"/>
        <v>-2.8214285714285712</v>
      </c>
      <c r="T264" s="60">
        <f t="shared" si="40"/>
        <v>110.36071428571429</v>
      </c>
      <c r="V264" s="1">
        <v>1393.4</v>
      </c>
      <c r="X264" s="1">
        <f t="shared" si="41"/>
        <v>118482.09999999993</v>
      </c>
      <c r="Y264" s="1">
        <f t="shared" si="32"/>
        <v>40557.599999999999</v>
      </c>
      <c r="AA264" s="1">
        <v>13.610089692498899</v>
      </c>
    </row>
    <row r="265" spans="1:28" s="1" customFormat="1" x14ac:dyDescent="0.25">
      <c r="A265" s="50"/>
      <c r="B265" s="7"/>
      <c r="C265" s="3">
        <v>41381</v>
      </c>
      <c r="D265" s="1">
        <v>16.8</v>
      </c>
      <c r="E265" s="1">
        <v>9.6999999999999993</v>
      </c>
      <c r="F265" s="1">
        <v>23</v>
      </c>
      <c r="G265" s="1">
        <f t="shared" si="37"/>
        <v>1425.5000000000002</v>
      </c>
      <c r="H265" s="1">
        <f t="shared" si="33"/>
        <v>308.2</v>
      </c>
      <c r="J265" s="59">
        <v>0</v>
      </c>
      <c r="K265" s="1">
        <f t="shared" si="38"/>
        <v>533.79999999999995</v>
      </c>
      <c r="L265" s="1">
        <v>3.6</v>
      </c>
      <c r="M265" s="1">
        <f t="shared" si="39"/>
        <v>215.60000000000011</v>
      </c>
      <c r="N265" s="1">
        <v>-3.6</v>
      </c>
      <c r="O265" s="1">
        <f t="shared" si="42"/>
        <v>108.1</v>
      </c>
      <c r="P265" s="1">
        <v>218</v>
      </c>
      <c r="Q265" s="1">
        <f t="shared" si="31"/>
        <v>1.1316326530612244</v>
      </c>
      <c r="R265" s="9">
        <f t="shared" si="35"/>
        <v>4.0738775510204084</v>
      </c>
      <c r="S265" s="9">
        <f t="shared" si="36"/>
        <v>-4.0738775510204084</v>
      </c>
      <c r="T265" s="60">
        <f t="shared" si="40"/>
        <v>106.28683673469389</v>
      </c>
      <c r="V265" s="1">
        <v>1989</v>
      </c>
      <c r="X265" s="1">
        <f t="shared" si="41"/>
        <v>120471.09999999993</v>
      </c>
      <c r="Y265" s="1">
        <f t="shared" si="32"/>
        <v>42546.6</v>
      </c>
      <c r="AA265" s="1">
        <v>13.6643679334979</v>
      </c>
    </row>
    <row r="266" spans="1:28" s="1" customFormat="1" x14ac:dyDescent="0.25">
      <c r="A266" s="50"/>
      <c r="B266" s="7"/>
      <c r="C266" s="3">
        <v>41382</v>
      </c>
      <c r="D266" s="1">
        <v>15</v>
      </c>
      <c r="E266" s="1">
        <v>13.2</v>
      </c>
      <c r="F266" s="1">
        <v>17.5</v>
      </c>
      <c r="G266" s="1">
        <f t="shared" si="37"/>
        <v>1440.5000000000002</v>
      </c>
      <c r="H266" s="1">
        <f t="shared" si="33"/>
        <v>323.2</v>
      </c>
      <c r="J266" s="59">
        <v>0.1</v>
      </c>
      <c r="K266" s="1">
        <f t="shared" si="38"/>
        <v>533.9</v>
      </c>
      <c r="L266" s="1">
        <v>2.4</v>
      </c>
      <c r="M266" s="1">
        <f t="shared" si="39"/>
        <v>218.00000000000011</v>
      </c>
      <c r="N266" s="1">
        <v>-2.2999999999999998</v>
      </c>
      <c r="O266" s="1">
        <f t="shared" si="42"/>
        <v>105.8</v>
      </c>
      <c r="P266" s="1">
        <v>219</v>
      </c>
      <c r="Q266" s="1">
        <f t="shared" si="31"/>
        <v>1.1346938775510202</v>
      </c>
      <c r="R266" s="9">
        <f t="shared" si="35"/>
        <v>2.7232653061224483</v>
      </c>
      <c r="S266" s="9">
        <f t="shared" si="36"/>
        <v>-2.6232653061224482</v>
      </c>
      <c r="T266" s="60">
        <f t="shared" si="40"/>
        <v>103.66357142857144</v>
      </c>
      <c r="V266" s="1">
        <v>1211.0999999999999</v>
      </c>
      <c r="X266" s="1">
        <f t="shared" si="41"/>
        <v>121682.19999999994</v>
      </c>
      <c r="Y266" s="1">
        <f t="shared" si="32"/>
        <v>43757.7</v>
      </c>
      <c r="AA266" s="1">
        <v>13.718428990406901</v>
      </c>
    </row>
    <row r="267" spans="1:28" s="1" customFormat="1" x14ac:dyDescent="0.25">
      <c r="A267" s="50"/>
      <c r="B267" s="7"/>
      <c r="C267" s="3">
        <v>41383</v>
      </c>
      <c r="D267" s="1">
        <v>10.8</v>
      </c>
      <c r="E267" s="1">
        <v>7.4</v>
      </c>
      <c r="F267" s="1">
        <v>12.2</v>
      </c>
      <c r="G267" s="1">
        <f t="shared" si="37"/>
        <v>1451.3000000000002</v>
      </c>
      <c r="H267" s="1">
        <f t="shared" si="33"/>
        <v>334</v>
      </c>
      <c r="J267" s="59">
        <v>0.1</v>
      </c>
      <c r="K267" s="1">
        <f t="shared" si="38"/>
        <v>534</v>
      </c>
      <c r="L267" s="1">
        <v>1.8</v>
      </c>
      <c r="M267" s="1">
        <f t="shared" si="39"/>
        <v>219.80000000000013</v>
      </c>
      <c r="N267" s="1">
        <v>-1.7</v>
      </c>
      <c r="O267" s="1">
        <f t="shared" si="42"/>
        <v>104.1</v>
      </c>
      <c r="P267" s="1">
        <v>220</v>
      </c>
      <c r="Q267" s="1">
        <f t="shared" si="31"/>
        <v>1.1377551020408163</v>
      </c>
      <c r="R267" s="9">
        <f t="shared" si="35"/>
        <v>2.0479591836734694</v>
      </c>
      <c r="S267" s="9">
        <f t="shared" si="36"/>
        <v>-1.9479591836734693</v>
      </c>
      <c r="T267" s="60">
        <f t="shared" si="40"/>
        <v>101.71561224489797</v>
      </c>
      <c r="V267" s="1">
        <v>1094.8</v>
      </c>
      <c r="X267" s="1">
        <f t="shared" si="41"/>
        <v>122776.99999999994</v>
      </c>
      <c r="Y267" s="1">
        <f t="shared" si="32"/>
        <v>44852.5</v>
      </c>
      <c r="AA267" s="1">
        <v>13.7722616839705</v>
      </c>
    </row>
    <row r="268" spans="1:28" s="1" customFormat="1" x14ac:dyDescent="0.25">
      <c r="A268" s="50"/>
      <c r="B268" s="7"/>
      <c r="C268" s="3">
        <v>41384</v>
      </c>
      <c r="D268" s="1">
        <v>8.6999999999999993</v>
      </c>
      <c r="E268" s="1">
        <v>7.1</v>
      </c>
      <c r="F268" s="1">
        <v>9.5</v>
      </c>
      <c r="G268" s="1">
        <f t="shared" si="37"/>
        <v>1460.0000000000002</v>
      </c>
      <c r="H268" s="1">
        <f t="shared" si="33"/>
        <v>342.7</v>
      </c>
      <c r="J268" s="59">
        <v>0</v>
      </c>
      <c r="K268" s="1">
        <f t="shared" si="38"/>
        <v>534</v>
      </c>
      <c r="L268" s="1">
        <v>1.6</v>
      </c>
      <c r="M268" s="1">
        <f t="shared" si="39"/>
        <v>221.40000000000012</v>
      </c>
      <c r="N268" s="1">
        <v>-1.6</v>
      </c>
      <c r="O268" s="1">
        <f t="shared" si="42"/>
        <v>102.5</v>
      </c>
      <c r="P268" s="1">
        <v>221</v>
      </c>
      <c r="Q268" s="1">
        <f t="shared" si="31"/>
        <v>1.1408163265306122</v>
      </c>
      <c r="R268" s="9">
        <f t="shared" si="35"/>
        <v>1.8253061224489795</v>
      </c>
      <c r="S268" s="9">
        <f t="shared" si="36"/>
        <v>-1.8253061224489795</v>
      </c>
      <c r="T268" s="60">
        <f t="shared" si="40"/>
        <v>99.89030612244899</v>
      </c>
      <c r="V268" s="1">
        <v>711.6</v>
      </c>
      <c r="X268" s="1">
        <f t="shared" si="41"/>
        <v>123488.59999999995</v>
      </c>
      <c r="Y268" s="1">
        <f t="shared" si="32"/>
        <v>45564.1</v>
      </c>
      <c r="AA268" s="1">
        <v>13.8258544388717</v>
      </c>
    </row>
    <row r="269" spans="1:28" s="1" customFormat="1" x14ac:dyDescent="0.25">
      <c r="A269" s="50"/>
      <c r="B269" s="7"/>
      <c r="C269" s="3">
        <v>41385</v>
      </c>
      <c r="D269" s="1">
        <v>10</v>
      </c>
      <c r="E269" s="1">
        <v>8.1999999999999993</v>
      </c>
      <c r="F269" s="1">
        <v>12.3</v>
      </c>
      <c r="G269" s="1">
        <f t="shared" si="37"/>
        <v>1470.0000000000002</v>
      </c>
      <c r="H269" s="1">
        <f t="shared" si="33"/>
        <v>352.7</v>
      </c>
      <c r="J269" s="59">
        <v>0</v>
      </c>
      <c r="K269" s="1">
        <f t="shared" si="38"/>
        <v>534</v>
      </c>
      <c r="L269" s="1">
        <v>1.8</v>
      </c>
      <c r="M269" s="1">
        <f t="shared" si="39"/>
        <v>223.20000000000013</v>
      </c>
      <c r="N269" s="1">
        <v>-1.8</v>
      </c>
      <c r="O269" s="1">
        <f t="shared" si="42"/>
        <v>100.7</v>
      </c>
      <c r="P269" s="1">
        <v>222</v>
      </c>
      <c r="Q269" s="1">
        <f t="shared" si="31"/>
        <v>1.143877551020408</v>
      </c>
      <c r="R269" s="9">
        <f t="shared" si="35"/>
        <v>2.0589795918367346</v>
      </c>
      <c r="S269" s="9">
        <f t="shared" si="36"/>
        <v>-2.0589795918367346</v>
      </c>
      <c r="T269" s="60">
        <f t="shared" si="40"/>
        <v>97.831326530612259</v>
      </c>
      <c r="V269" s="1">
        <v>1282.7</v>
      </c>
      <c r="X269" s="1">
        <f t="shared" si="41"/>
        <v>124771.29999999994</v>
      </c>
      <c r="Y269" s="1">
        <f t="shared" si="32"/>
        <v>46846.799999999996</v>
      </c>
      <c r="AA269" s="1">
        <v>13.879195272139601</v>
      </c>
    </row>
    <row r="270" spans="1:28" s="1" customFormat="1" x14ac:dyDescent="0.25">
      <c r="A270" s="50"/>
      <c r="B270" s="7"/>
      <c r="C270" s="3">
        <v>41386</v>
      </c>
      <c r="D270" s="1">
        <v>10.8</v>
      </c>
      <c r="E270" s="1">
        <v>7.7</v>
      </c>
      <c r="F270" s="1">
        <v>15.9</v>
      </c>
      <c r="G270" s="1">
        <f t="shared" si="37"/>
        <v>1480.8000000000002</v>
      </c>
      <c r="H270" s="1">
        <f t="shared" si="33"/>
        <v>363.5</v>
      </c>
      <c r="J270" s="59">
        <v>0</v>
      </c>
      <c r="K270" s="1">
        <f t="shared" si="38"/>
        <v>534</v>
      </c>
      <c r="L270" s="1">
        <v>1.2</v>
      </c>
      <c r="M270" s="1">
        <f t="shared" si="39"/>
        <v>224.40000000000012</v>
      </c>
      <c r="N270" s="1">
        <v>-1.2</v>
      </c>
      <c r="O270" s="1">
        <f t="shared" si="42"/>
        <v>99.5</v>
      </c>
      <c r="P270" s="1">
        <v>223</v>
      </c>
      <c r="Q270" s="1">
        <f t="shared" si="31"/>
        <v>1.1469387755102041</v>
      </c>
      <c r="R270" s="9">
        <f t="shared" si="35"/>
        <v>1.3763265306122447</v>
      </c>
      <c r="S270" s="9">
        <f t="shared" si="36"/>
        <v>-1.3763265306122447</v>
      </c>
      <c r="T270" s="60">
        <f t="shared" si="40"/>
        <v>96.455000000000013</v>
      </c>
      <c r="V270" s="1">
        <v>698.8</v>
      </c>
      <c r="X270" s="1">
        <f t="shared" si="41"/>
        <v>125470.09999999995</v>
      </c>
      <c r="Y270" s="1">
        <f t="shared" si="32"/>
        <v>47545.599999999999</v>
      </c>
      <c r="AA270" s="1">
        <v>13.9322717821123</v>
      </c>
    </row>
    <row r="271" spans="1:28" s="28" customFormat="1" ht="15.75" thickBot="1" x14ac:dyDescent="0.3">
      <c r="A271" s="50"/>
      <c r="B271" s="26"/>
      <c r="C271" s="27">
        <v>41387</v>
      </c>
      <c r="D271" s="28">
        <v>11.3</v>
      </c>
      <c r="E271" s="28">
        <v>4.4000000000000004</v>
      </c>
      <c r="F271" s="28">
        <v>17</v>
      </c>
      <c r="G271" s="28">
        <f t="shared" si="37"/>
        <v>1492.1000000000001</v>
      </c>
      <c r="H271" s="28">
        <f t="shared" si="33"/>
        <v>374.8</v>
      </c>
      <c r="J271" s="61">
        <v>0</v>
      </c>
      <c r="K271" s="28">
        <f t="shared" si="38"/>
        <v>534</v>
      </c>
      <c r="L271" s="28">
        <v>1.6</v>
      </c>
      <c r="M271" s="28">
        <f t="shared" si="39"/>
        <v>226.00000000000011</v>
      </c>
      <c r="N271" s="28">
        <v>-1.6</v>
      </c>
      <c r="O271" s="28">
        <f t="shared" si="42"/>
        <v>97.9</v>
      </c>
      <c r="P271" s="28">
        <v>224</v>
      </c>
      <c r="Q271" s="28">
        <f t="shared" si="31"/>
        <v>1.1499999999999999</v>
      </c>
      <c r="R271" s="29">
        <f t="shared" si="35"/>
        <v>1.8399999999999999</v>
      </c>
      <c r="S271" s="29">
        <f t="shared" si="36"/>
        <v>-1.8399999999999999</v>
      </c>
      <c r="T271" s="64">
        <f t="shared" si="40"/>
        <v>94.615000000000009</v>
      </c>
      <c r="V271" s="28">
        <v>1310.2</v>
      </c>
      <c r="X271" s="28">
        <f t="shared" si="41"/>
        <v>126780.29999999994</v>
      </c>
      <c r="Y271" s="28">
        <f t="shared" si="32"/>
        <v>48855.799999999996</v>
      </c>
      <c r="AA271" s="28">
        <v>13.985071138008999</v>
      </c>
    </row>
    <row r="272" spans="1:28" s="1" customFormat="1" x14ac:dyDescent="0.25">
      <c r="A272" s="16" t="s">
        <v>28</v>
      </c>
      <c r="B272" s="2"/>
      <c r="C272" s="3">
        <v>41388</v>
      </c>
      <c r="D272" s="1">
        <v>13.9</v>
      </c>
      <c r="E272" s="1">
        <v>7.4</v>
      </c>
      <c r="F272" s="1">
        <v>20.5</v>
      </c>
      <c r="G272" s="1">
        <f t="shared" si="37"/>
        <v>1506.0000000000002</v>
      </c>
      <c r="H272" s="1">
        <v>13.9</v>
      </c>
      <c r="I272" s="17" t="s">
        <v>3</v>
      </c>
      <c r="J272" s="59">
        <v>0</v>
      </c>
      <c r="K272" s="1">
        <f t="shared" si="38"/>
        <v>534</v>
      </c>
      <c r="L272" s="1">
        <v>3.5</v>
      </c>
      <c r="M272" s="1">
        <f t="shared" si="39"/>
        <v>229.50000000000011</v>
      </c>
      <c r="N272" s="1">
        <v>-3.5</v>
      </c>
      <c r="O272" s="1">
        <f t="shared" si="42"/>
        <v>94.4</v>
      </c>
      <c r="P272" s="1">
        <v>225</v>
      </c>
      <c r="Q272" s="1">
        <v>1.1499999999999999</v>
      </c>
      <c r="R272" s="9">
        <f t="shared" si="35"/>
        <v>4.0249999999999995</v>
      </c>
      <c r="S272" s="9">
        <f t="shared" si="36"/>
        <v>-4.0249999999999995</v>
      </c>
      <c r="T272" s="60">
        <f t="shared" si="40"/>
        <v>90.59</v>
      </c>
      <c r="U272" s="17" t="s">
        <v>4</v>
      </c>
      <c r="V272" s="1">
        <v>2223.1999999999998</v>
      </c>
      <c r="W272" s="14"/>
      <c r="X272" s="14">
        <f t="shared" si="41"/>
        <v>129003.49999999994</v>
      </c>
      <c r="Y272" s="1">
        <v>2223.1999999999998</v>
      </c>
      <c r="Z272" s="17" t="s">
        <v>5</v>
      </c>
      <c r="AA272" s="1">
        <v>14.0375800701713</v>
      </c>
    </row>
    <row r="273" spans="1:27" s="1" customFormat="1" ht="15" customHeight="1" x14ac:dyDescent="0.25">
      <c r="A273" s="16"/>
      <c r="B273" s="2"/>
      <c r="C273" s="3">
        <v>41389</v>
      </c>
      <c r="D273" s="1">
        <v>16.600000000000001</v>
      </c>
      <c r="E273" s="1">
        <v>9.1</v>
      </c>
      <c r="F273" s="1">
        <v>23.6</v>
      </c>
      <c r="G273" s="1">
        <f t="shared" si="37"/>
        <v>1522.6000000000001</v>
      </c>
      <c r="H273" s="1">
        <f t="shared" ref="H273:H336" si="43">H272+D273</f>
        <v>30.5</v>
      </c>
      <c r="I273" s="1">
        <f>MIN(E272:E292)</f>
        <v>4.7</v>
      </c>
      <c r="J273" s="1">
        <v>0</v>
      </c>
      <c r="K273" s="1">
        <f t="shared" si="38"/>
        <v>534</v>
      </c>
      <c r="L273" s="1">
        <v>4.5</v>
      </c>
      <c r="M273" s="1">
        <f t="shared" si="39"/>
        <v>234.00000000000011</v>
      </c>
      <c r="N273" s="1">
        <v>-4.5</v>
      </c>
      <c r="O273" s="1">
        <f t="shared" si="42"/>
        <v>89.9</v>
      </c>
      <c r="P273" s="1">
        <v>226</v>
      </c>
      <c r="Q273" s="1">
        <v>1.1499999999999999</v>
      </c>
      <c r="R273" s="9">
        <f t="shared" si="35"/>
        <v>5.1749999999999998</v>
      </c>
      <c r="S273" s="9">
        <f t="shared" si="36"/>
        <v>-5.1749999999999998</v>
      </c>
      <c r="T273" s="9">
        <f t="shared" si="40"/>
        <v>85.415000000000006</v>
      </c>
      <c r="U273" s="1">
        <v>12</v>
      </c>
      <c r="V273" s="1">
        <v>2468.4</v>
      </c>
      <c r="X273" s="1">
        <f t="shared" si="41"/>
        <v>131471.89999999994</v>
      </c>
      <c r="Y273" s="1">
        <f t="shared" si="32"/>
        <v>4691.6000000000004</v>
      </c>
      <c r="Z273" s="1">
        <v>24888.399999999998</v>
      </c>
      <c r="AA273" s="1">
        <v>14.0897848610359</v>
      </c>
    </row>
    <row r="274" spans="1:27" s="1" customFormat="1" x14ac:dyDescent="0.25">
      <c r="A274" s="16"/>
      <c r="B274" s="2"/>
      <c r="C274" s="3">
        <v>41390</v>
      </c>
      <c r="D274" s="1">
        <v>13.7</v>
      </c>
      <c r="E274" s="1">
        <v>12.5</v>
      </c>
      <c r="F274" s="1">
        <v>16.5</v>
      </c>
      <c r="G274" s="1">
        <f t="shared" si="37"/>
        <v>1536.3000000000002</v>
      </c>
      <c r="H274" s="1">
        <f t="shared" si="43"/>
        <v>44.2</v>
      </c>
      <c r="I274" s="17" t="s">
        <v>6</v>
      </c>
      <c r="J274" s="1">
        <v>35.9</v>
      </c>
      <c r="K274" s="1">
        <f t="shared" si="38"/>
        <v>569.9</v>
      </c>
      <c r="L274" s="1">
        <v>1.2</v>
      </c>
      <c r="M274" s="1">
        <f t="shared" si="39"/>
        <v>235.2000000000001</v>
      </c>
      <c r="N274" s="1">
        <v>34.699999999999996</v>
      </c>
      <c r="O274" s="1">
        <v>122.1</v>
      </c>
      <c r="P274" s="1">
        <v>227</v>
      </c>
      <c r="Q274" s="1">
        <v>1.1499999999999999</v>
      </c>
      <c r="R274" s="9">
        <f t="shared" si="35"/>
        <v>1.38</v>
      </c>
      <c r="S274" s="9">
        <f t="shared" si="36"/>
        <v>34.519999999999996</v>
      </c>
      <c r="T274" s="9">
        <f t="shared" si="40"/>
        <v>119.935</v>
      </c>
      <c r="U274" s="17" t="s">
        <v>7</v>
      </c>
      <c r="V274" s="1">
        <v>590.9</v>
      </c>
      <c r="X274" s="1">
        <f t="shared" si="41"/>
        <v>132062.79999999993</v>
      </c>
      <c r="Y274" s="1">
        <f t="shared" si="32"/>
        <v>5282.5</v>
      </c>
      <c r="Z274" s="17" t="s">
        <v>8</v>
      </c>
      <c r="AA274" s="1">
        <v>14.141671336905899</v>
      </c>
    </row>
    <row r="275" spans="1:27" s="1" customFormat="1" x14ac:dyDescent="0.25">
      <c r="A275" s="16"/>
      <c r="B275" s="2"/>
      <c r="C275" s="3">
        <v>41391</v>
      </c>
      <c r="D275" s="1">
        <v>5.5</v>
      </c>
      <c r="E275" s="1">
        <v>4.8</v>
      </c>
      <c r="F275" s="1">
        <v>5.6</v>
      </c>
      <c r="G275" s="1">
        <f t="shared" si="37"/>
        <v>1541.8000000000002</v>
      </c>
      <c r="H275" s="1">
        <f t="shared" si="43"/>
        <v>49.7</v>
      </c>
      <c r="I275" s="1">
        <f>MAX(F272:F292)</f>
        <v>23.6</v>
      </c>
      <c r="J275" s="1">
        <v>22.4</v>
      </c>
      <c r="K275" s="1">
        <f t="shared" si="38"/>
        <v>592.29999999999995</v>
      </c>
      <c r="L275" s="1">
        <v>0.7</v>
      </c>
      <c r="M275" s="1">
        <f t="shared" si="39"/>
        <v>235.90000000000009</v>
      </c>
      <c r="N275" s="1">
        <v>21.7</v>
      </c>
      <c r="O275" s="1">
        <v>122.1</v>
      </c>
      <c r="P275" s="1">
        <v>228</v>
      </c>
      <c r="Q275" s="1">
        <v>1.1499999999999999</v>
      </c>
      <c r="R275" s="9">
        <f t="shared" si="35"/>
        <v>0.80499999999999994</v>
      </c>
      <c r="S275" s="9">
        <f t="shared" si="36"/>
        <v>21.594999999999999</v>
      </c>
      <c r="T275" s="9">
        <f t="shared" si="40"/>
        <v>122.1</v>
      </c>
      <c r="U275" s="1">
        <v>0</v>
      </c>
      <c r="V275" s="1">
        <v>494.8</v>
      </c>
      <c r="X275" s="1">
        <f t="shared" si="41"/>
        <v>132557.59999999992</v>
      </c>
      <c r="Y275" s="1">
        <f t="shared" si="32"/>
        <v>5777.3</v>
      </c>
      <c r="Z275" s="20">
        <f>(Z273/100)/I285</f>
        <v>0.95030164184803367</v>
      </c>
      <c r="AA275" s="1">
        <v>14.1932248605896</v>
      </c>
    </row>
    <row r="276" spans="1:27" s="1" customFormat="1" x14ac:dyDescent="0.25">
      <c r="A276" s="16"/>
      <c r="B276" s="2"/>
      <c r="C276" s="3">
        <v>41392</v>
      </c>
      <c r="D276" s="1">
        <v>6.8</v>
      </c>
      <c r="E276" s="1">
        <v>4.7</v>
      </c>
      <c r="F276" s="1">
        <v>8.6999999999999993</v>
      </c>
      <c r="G276" s="1">
        <f t="shared" si="37"/>
        <v>1548.6000000000001</v>
      </c>
      <c r="H276" s="1">
        <f t="shared" si="43"/>
        <v>56.5</v>
      </c>
      <c r="I276" s="17" t="s">
        <v>9</v>
      </c>
      <c r="J276" s="1">
        <v>3.6</v>
      </c>
      <c r="K276" s="1">
        <f t="shared" si="38"/>
        <v>595.9</v>
      </c>
      <c r="L276" s="1">
        <v>0.6</v>
      </c>
      <c r="M276" s="1">
        <f t="shared" si="39"/>
        <v>236.50000000000009</v>
      </c>
      <c r="N276" s="1">
        <v>3</v>
      </c>
      <c r="O276" s="1">
        <v>122.1</v>
      </c>
      <c r="P276" s="1">
        <v>229</v>
      </c>
      <c r="Q276" s="1">
        <v>1.1499999999999999</v>
      </c>
      <c r="R276" s="9">
        <f t="shared" si="35"/>
        <v>0.69</v>
      </c>
      <c r="S276" s="9">
        <f t="shared" si="36"/>
        <v>2.91</v>
      </c>
      <c r="T276" s="9">
        <f t="shared" si="40"/>
        <v>122.1</v>
      </c>
      <c r="U276" s="17" t="s">
        <v>10</v>
      </c>
      <c r="V276" s="1">
        <v>559.1</v>
      </c>
      <c r="X276" s="1">
        <f t="shared" si="41"/>
        <v>133116.69999999992</v>
      </c>
      <c r="Y276" s="1">
        <f t="shared" si="32"/>
        <v>6336.4000000000005</v>
      </c>
      <c r="Z276" s="17" t="s">
        <v>11</v>
      </c>
      <c r="AA276" s="1">
        <v>14.2444303249817</v>
      </c>
    </row>
    <row r="277" spans="1:27" s="1" customFormat="1" x14ac:dyDescent="0.25">
      <c r="A277" s="16"/>
      <c r="B277" s="2"/>
      <c r="C277" s="3">
        <v>41393</v>
      </c>
      <c r="D277" s="1">
        <v>9.6</v>
      </c>
      <c r="E277" s="1">
        <v>6.6</v>
      </c>
      <c r="F277" s="1">
        <v>12.7</v>
      </c>
      <c r="G277" s="1">
        <f t="shared" si="37"/>
        <v>1558.2</v>
      </c>
      <c r="H277" s="1">
        <f t="shared" si="43"/>
        <v>66.099999999999994</v>
      </c>
      <c r="I277" s="9">
        <f>AVERAGE(D272:D292)</f>
        <v>12.47142857142857</v>
      </c>
      <c r="J277" s="1">
        <v>4.3</v>
      </c>
      <c r="K277" s="1">
        <f t="shared" si="38"/>
        <v>600.19999999999993</v>
      </c>
      <c r="L277" s="1">
        <v>0.9</v>
      </c>
      <c r="M277" s="1">
        <f t="shared" si="39"/>
        <v>237.40000000000009</v>
      </c>
      <c r="N277" s="1">
        <v>3.4</v>
      </c>
      <c r="O277" s="1">
        <v>122.1</v>
      </c>
      <c r="P277" s="1">
        <v>230</v>
      </c>
      <c r="Q277" s="1">
        <v>1.1499999999999999</v>
      </c>
      <c r="R277" s="9">
        <f t="shared" si="35"/>
        <v>1.0349999999999999</v>
      </c>
      <c r="S277" s="9">
        <f t="shared" si="36"/>
        <v>3.2649999999999997</v>
      </c>
      <c r="T277" s="9">
        <f t="shared" si="40"/>
        <v>122.1</v>
      </c>
      <c r="U277" s="1">
        <v>0</v>
      </c>
      <c r="V277" s="1">
        <v>516.9</v>
      </c>
      <c r="X277" s="1">
        <f t="shared" si="41"/>
        <v>133633.59999999992</v>
      </c>
      <c r="Y277" s="1">
        <f t="shared" si="32"/>
        <v>6853.3</v>
      </c>
      <c r="Z277" s="1">
        <v>8</v>
      </c>
      <c r="AA277" s="1">
        <v>14.295272147663599</v>
      </c>
    </row>
    <row r="278" spans="1:27" s="1" customFormat="1" x14ac:dyDescent="0.25">
      <c r="A278" s="16"/>
      <c r="B278" s="2"/>
      <c r="C278" s="3">
        <v>41394</v>
      </c>
      <c r="D278" s="1">
        <v>10.8</v>
      </c>
      <c r="E278" s="1">
        <v>8.8000000000000007</v>
      </c>
      <c r="F278" s="1">
        <v>12.5</v>
      </c>
      <c r="G278" s="1">
        <f t="shared" si="37"/>
        <v>1569</v>
      </c>
      <c r="H278" s="1">
        <f t="shared" si="43"/>
        <v>76.899999999999991</v>
      </c>
      <c r="I278" s="17" t="s">
        <v>12</v>
      </c>
      <c r="J278" s="1">
        <v>13.8</v>
      </c>
      <c r="K278" s="1">
        <f t="shared" si="38"/>
        <v>613.99999999999989</v>
      </c>
      <c r="L278" s="1">
        <v>0.9</v>
      </c>
      <c r="M278" s="1">
        <f t="shared" si="39"/>
        <v>238.3000000000001</v>
      </c>
      <c r="N278" s="1">
        <v>12.9</v>
      </c>
      <c r="O278" s="1">
        <v>122.1</v>
      </c>
      <c r="P278" s="1">
        <v>231</v>
      </c>
      <c r="Q278" s="1">
        <v>1.1499999999999999</v>
      </c>
      <c r="R278" s="9">
        <f t="shared" si="35"/>
        <v>1.0349999999999999</v>
      </c>
      <c r="S278" s="9">
        <f t="shared" si="36"/>
        <v>12.765000000000001</v>
      </c>
      <c r="T278" s="9">
        <f t="shared" si="40"/>
        <v>122.1</v>
      </c>
      <c r="U278" s="17" t="s">
        <v>13</v>
      </c>
      <c r="V278" s="1">
        <v>484.3</v>
      </c>
      <c r="X278" s="1">
        <f t="shared" si="41"/>
        <v>134117.89999999991</v>
      </c>
      <c r="Y278" s="1">
        <f t="shared" si="32"/>
        <v>7337.6</v>
      </c>
      <c r="AA278" s="1">
        <v>14.345734266602699</v>
      </c>
    </row>
    <row r="279" spans="1:27" s="1" customFormat="1" x14ac:dyDescent="0.25">
      <c r="A279" s="16"/>
      <c r="B279" s="2"/>
      <c r="C279" s="3">
        <v>41395</v>
      </c>
      <c r="D279" s="1">
        <v>12.6</v>
      </c>
      <c r="E279" s="1">
        <v>10.3</v>
      </c>
      <c r="F279" s="1">
        <v>15.8</v>
      </c>
      <c r="G279" s="1">
        <f t="shared" si="37"/>
        <v>1581.6</v>
      </c>
      <c r="H279" s="1">
        <f t="shared" si="43"/>
        <v>89.499999999999986</v>
      </c>
      <c r="I279" s="1">
        <v>0</v>
      </c>
      <c r="J279" s="1">
        <v>1.1000000000000001</v>
      </c>
      <c r="K279" s="1">
        <f t="shared" si="38"/>
        <v>615.09999999999991</v>
      </c>
      <c r="L279" s="1">
        <v>1.5</v>
      </c>
      <c r="M279" s="1">
        <f t="shared" si="39"/>
        <v>239.8000000000001</v>
      </c>
      <c r="N279" s="1">
        <v>-0.39999999999999991</v>
      </c>
      <c r="O279" s="1">
        <f>O278+N279</f>
        <v>121.69999999999999</v>
      </c>
      <c r="P279" s="1">
        <v>232</v>
      </c>
      <c r="Q279" s="1">
        <v>1.1499999999999999</v>
      </c>
      <c r="R279" s="9">
        <f t="shared" si="35"/>
        <v>1.7249999999999999</v>
      </c>
      <c r="S279" s="9">
        <f t="shared" si="36"/>
        <v>-0.62499999999999978</v>
      </c>
      <c r="T279" s="9">
        <f t="shared" si="40"/>
        <v>121.47499999999999</v>
      </c>
      <c r="U279" s="9">
        <f>MIN(T272:T292)</f>
        <v>85.415000000000006</v>
      </c>
      <c r="V279" s="1">
        <v>1070</v>
      </c>
      <c r="X279" s="1">
        <f t="shared" si="41"/>
        <v>135187.89999999991</v>
      </c>
      <c r="Y279" s="1">
        <f t="shared" si="32"/>
        <v>8407.6</v>
      </c>
      <c r="AA279" s="1">
        <v>14.3958001370346</v>
      </c>
    </row>
    <row r="280" spans="1:27" s="1" customFormat="1" x14ac:dyDescent="0.25">
      <c r="A280" s="16"/>
      <c r="B280" s="2"/>
      <c r="C280" s="3">
        <v>41396</v>
      </c>
      <c r="D280" s="1">
        <v>13.1</v>
      </c>
      <c r="E280" s="1">
        <v>8.3000000000000007</v>
      </c>
      <c r="F280" s="1">
        <v>18.899999999999999</v>
      </c>
      <c r="G280" s="1">
        <f t="shared" si="37"/>
        <v>1594.6999999999998</v>
      </c>
      <c r="H280" s="1">
        <f t="shared" si="43"/>
        <v>102.59999999999998</v>
      </c>
      <c r="I280" s="17" t="s">
        <v>14</v>
      </c>
      <c r="J280" s="1">
        <v>35.5</v>
      </c>
      <c r="K280" s="1">
        <f t="shared" si="38"/>
        <v>650.59999999999991</v>
      </c>
      <c r="L280" s="1">
        <v>3.2</v>
      </c>
      <c r="M280" s="1">
        <f t="shared" si="39"/>
        <v>243.00000000000009</v>
      </c>
      <c r="N280" s="1">
        <v>32.299999999999997</v>
      </c>
      <c r="O280" s="1">
        <v>122.1</v>
      </c>
      <c r="P280" s="1">
        <v>233</v>
      </c>
      <c r="Q280" s="1">
        <v>1.1499999999999999</v>
      </c>
      <c r="R280" s="9">
        <f t="shared" si="35"/>
        <v>3.6799999999999997</v>
      </c>
      <c r="S280" s="9">
        <f t="shared" si="36"/>
        <v>31.82</v>
      </c>
      <c r="T280" s="9">
        <f t="shared" si="40"/>
        <v>122.1</v>
      </c>
      <c r="U280" s="17" t="s">
        <v>15</v>
      </c>
      <c r="V280" s="1">
        <v>2036.1</v>
      </c>
      <c r="X280" s="1">
        <f t="shared" si="41"/>
        <v>137223.99999999991</v>
      </c>
      <c r="Y280" s="1">
        <f t="shared" si="32"/>
        <v>10443.700000000001</v>
      </c>
      <c r="AA280" s="1">
        <v>14.4454527296138</v>
      </c>
    </row>
    <row r="281" spans="1:27" s="1" customFormat="1" x14ac:dyDescent="0.25">
      <c r="A281" s="16"/>
      <c r="B281" s="2"/>
      <c r="C281" s="3">
        <v>41397</v>
      </c>
      <c r="D281" s="1">
        <v>11.6</v>
      </c>
      <c r="E281" s="1">
        <v>11.1</v>
      </c>
      <c r="F281" s="1">
        <v>11.8</v>
      </c>
      <c r="G281" s="1">
        <f t="shared" si="37"/>
        <v>1606.2999999999997</v>
      </c>
      <c r="H281" s="1">
        <f t="shared" si="43"/>
        <v>114.19999999999997</v>
      </c>
      <c r="I281" s="1">
        <v>0</v>
      </c>
      <c r="J281" s="1">
        <v>18.2</v>
      </c>
      <c r="K281" s="1">
        <f t="shared" si="38"/>
        <v>668.8</v>
      </c>
      <c r="L281" s="1">
        <v>0.9</v>
      </c>
      <c r="M281" s="1">
        <f t="shared" si="39"/>
        <v>243.90000000000009</v>
      </c>
      <c r="N281" s="1">
        <v>17.3</v>
      </c>
      <c r="O281" s="1">
        <v>122.1</v>
      </c>
      <c r="P281" s="1">
        <v>234</v>
      </c>
      <c r="Q281" s="1">
        <v>1.1499999999999999</v>
      </c>
      <c r="R281" s="9">
        <f t="shared" si="35"/>
        <v>1.0349999999999999</v>
      </c>
      <c r="S281" s="9">
        <f t="shared" si="36"/>
        <v>17.164999999999999</v>
      </c>
      <c r="T281" s="9">
        <f t="shared" si="40"/>
        <v>122.1</v>
      </c>
      <c r="U281" s="9">
        <f>MAX(T272:T292)</f>
        <v>122.1</v>
      </c>
      <c r="V281" s="1">
        <v>458</v>
      </c>
      <c r="X281" s="1">
        <f t="shared" si="41"/>
        <v>137681.99999999991</v>
      </c>
      <c r="Y281" s="1">
        <f t="shared" si="32"/>
        <v>10901.7</v>
      </c>
      <c r="AA281" s="1">
        <v>14.494674529923</v>
      </c>
    </row>
    <row r="282" spans="1:27" s="1" customFormat="1" x14ac:dyDescent="0.25">
      <c r="A282" s="16"/>
      <c r="B282" s="2"/>
      <c r="C282" s="3">
        <v>41398</v>
      </c>
      <c r="D282" s="1">
        <v>12.7</v>
      </c>
      <c r="E282" s="1">
        <v>10.3</v>
      </c>
      <c r="F282" s="1">
        <v>15.6</v>
      </c>
      <c r="G282" s="1">
        <f t="shared" si="37"/>
        <v>1618.9999999999998</v>
      </c>
      <c r="H282" s="1">
        <f t="shared" si="43"/>
        <v>126.89999999999998</v>
      </c>
      <c r="I282" s="17" t="s">
        <v>16</v>
      </c>
      <c r="J282" s="1">
        <v>0.4</v>
      </c>
      <c r="K282" s="1">
        <f t="shared" si="38"/>
        <v>669.19999999999993</v>
      </c>
      <c r="L282" s="1">
        <v>2.4</v>
      </c>
      <c r="M282" s="1">
        <f t="shared" si="39"/>
        <v>246.3000000000001</v>
      </c>
      <c r="N282" s="1">
        <v>-2</v>
      </c>
      <c r="O282" s="1">
        <f t="shared" ref="O282:O292" si="44">O281+N282</f>
        <v>120.1</v>
      </c>
      <c r="P282" s="1">
        <v>235</v>
      </c>
      <c r="Q282" s="1">
        <v>1.1499999999999999</v>
      </c>
      <c r="R282" s="9">
        <f t="shared" si="35"/>
        <v>2.76</v>
      </c>
      <c r="S282" s="9">
        <f t="shared" si="36"/>
        <v>-2.36</v>
      </c>
      <c r="T282" s="9">
        <f t="shared" si="40"/>
        <v>119.74</v>
      </c>
      <c r="U282" s="17" t="s">
        <v>17</v>
      </c>
      <c r="V282" s="1">
        <v>1762.1</v>
      </c>
      <c r="X282" s="1">
        <f t="shared" si="41"/>
        <v>139444.09999999992</v>
      </c>
      <c r="Y282" s="1">
        <f t="shared" si="32"/>
        <v>12663.800000000001</v>
      </c>
      <c r="AA282" s="1">
        <v>14.543447539428399</v>
      </c>
    </row>
    <row r="283" spans="1:27" s="1" customFormat="1" x14ac:dyDescent="0.25">
      <c r="A283" s="16"/>
      <c r="B283" s="2"/>
      <c r="C283" s="3">
        <v>41399</v>
      </c>
      <c r="D283" s="1">
        <v>14.9</v>
      </c>
      <c r="E283" s="1">
        <v>8.3000000000000007</v>
      </c>
      <c r="F283" s="1">
        <v>20.7</v>
      </c>
      <c r="G283" s="1">
        <f t="shared" si="37"/>
        <v>1633.8999999999999</v>
      </c>
      <c r="H283" s="1">
        <f t="shared" si="43"/>
        <v>141.79999999999998</v>
      </c>
      <c r="I283" s="1">
        <v>2</v>
      </c>
      <c r="J283" s="1">
        <v>0</v>
      </c>
      <c r="K283" s="1">
        <f t="shared" si="38"/>
        <v>669.19999999999993</v>
      </c>
      <c r="L283" s="1">
        <v>3.3</v>
      </c>
      <c r="M283" s="1">
        <f t="shared" si="39"/>
        <v>249.60000000000011</v>
      </c>
      <c r="N283" s="1">
        <v>-3.3</v>
      </c>
      <c r="O283" s="1">
        <f t="shared" si="44"/>
        <v>116.8</v>
      </c>
      <c r="P283" s="1">
        <v>236</v>
      </c>
      <c r="Q283" s="1">
        <v>1.1499999999999999</v>
      </c>
      <c r="R283" s="9">
        <f t="shared" si="35"/>
        <v>3.7949999999999995</v>
      </c>
      <c r="S283" s="9">
        <f t="shared" si="36"/>
        <v>-3.7949999999999995</v>
      </c>
      <c r="T283" s="9">
        <f t="shared" si="40"/>
        <v>115.94499999999999</v>
      </c>
      <c r="U283" s="20">
        <f>AVERAGE(T272:T292)</f>
        <v>113.74166666666666</v>
      </c>
      <c r="V283" s="1">
        <v>1965.1</v>
      </c>
      <c r="X283" s="1">
        <f t="shared" si="41"/>
        <v>141409.19999999992</v>
      </c>
      <c r="Y283" s="1">
        <f t="shared" si="32"/>
        <v>14628.900000000001</v>
      </c>
      <c r="AA283" s="1">
        <v>14.591753277977</v>
      </c>
    </row>
    <row r="284" spans="1:27" s="1" customFormat="1" x14ac:dyDescent="0.25">
      <c r="A284" s="16"/>
      <c r="B284" s="2"/>
      <c r="C284" s="3">
        <v>41400</v>
      </c>
      <c r="D284" s="1">
        <v>14.7</v>
      </c>
      <c r="E284" s="1">
        <v>12.8</v>
      </c>
      <c r="F284" s="1">
        <v>17.3</v>
      </c>
      <c r="G284" s="1">
        <f t="shared" si="37"/>
        <v>1648.6</v>
      </c>
      <c r="H284" s="1">
        <f t="shared" si="43"/>
        <v>156.49999999999997</v>
      </c>
      <c r="I284" s="17" t="s">
        <v>18</v>
      </c>
      <c r="J284" s="1">
        <v>0.1</v>
      </c>
      <c r="K284" s="1">
        <f t="shared" si="38"/>
        <v>669.3</v>
      </c>
      <c r="L284" s="1">
        <v>1.3</v>
      </c>
      <c r="M284" s="1">
        <f t="shared" si="39"/>
        <v>250.90000000000012</v>
      </c>
      <c r="N284" s="1">
        <v>-1.2</v>
      </c>
      <c r="O284" s="1">
        <f t="shared" si="44"/>
        <v>115.6</v>
      </c>
      <c r="P284" s="1">
        <v>237</v>
      </c>
      <c r="Q284" s="1">
        <v>1.1499999999999999</v>
      </c>
      <c r="R284" s="9">
        <f t="shared" si="35"/>
        <v>1.4949999999999999</v>
      </c>
      <c r="S284" s="9">
        <f t="shared" si="36"/>
        <v>-1.3949999999999998</v>
      </c>
      <c r="T284" s="9">
        <f t="shared" si="40"/>
        <v>114.55</v>
      </c>
      <c r="V284" s="1">
        <v>469.1</v>
      </c>
      <c r="X284" s="1">
        <f t="shared" si="41"/>
        <v>141878.29999999993</v>
      </c>
      <c r="Y284" s="1">
        <f t="shared" si="32"/>
        <v>15098.000000000002</v>
      </c>
      <c r="AA284" s="1">
        <v>14.639572787926101</v>
      </c>
    </row>
    <row r="285" spans="1:27" s="1" customFormat="1" x14ac:dyDescent="0.25">
      <c r="A285" s="16"/>
      <c r="B285" s="2"/>
      <c r="C285" s="3">
        <v>41401</v>
      </c>
      <c r="D285" s="1">
        <v>14.1</v>
      </c>
      <c r="E285" s="1">
        <v>9.9</v>
      </c>
      <c r="F285" s="1">
        <v>19.899999999999999</v>
      </c>
      <c r="G285" s="1">
        <f t="shared" si="37"/>
        <v>1662.6999999999998</v>
      </c>
      <c r="H285" s="1">
        <f t="shared" si="43"/>
        <v>170.59999999999997</v>
      </c>
      <c r="I285" s="1">
        <v>261.89999999999998</v>
      </c>
      <c r="J285" s="1">
        <v>0</v>
      </c>
      <c r="K285" s="1">
        <f t="shared" si="38"/>
        <v>669.3</v>
      </c>
      <c r="L285" s="1">
        <v>3.9</v>
      </c>
      <c r="M285" s="1">
        <f t="shared" si="39"/>
        <v>254.80000000000013</v>
      </c>
      <c r="N285" s="1">
        <v>-3.9</v>
      </c>
      <c r="O285" s="1">
        <f t="shared" si="44"/>
        <v>111.69999999999999</v>
      </c>
      <c r="P285" s="1">
        <v>238</v>
      </c>
      <c r="Q285" s="1">
        <v>1.1499999999999999</v>
      </c>
      <c r="R285" s="9">
        <f t="shared" si="35"/>
        <v>4.4849999999999994</v>
      </c>
      <c r="S285" s="9">
        <f t="shared" si="36"/>
        <v>-4.4849999999999994</v>
      </c>
      <c r="T285" s="9">
        <f t="shared" si="40"/>
        <v>110.065</v>
      </c>
      <c r="U285" s="9">
        <f>(U283*100)/122.1</f>
        <v>93.154518154518158</v>
      </c>
      <c r="V285" s="1">
        <v>2552.6</v>
      </c>
      <c r="X285" s="1">
        <f t="shared" si="41"/>
        <v>144430.89999999994</v>
      </c>
      <c r="Y285" s="1">
        <f t="shared" si="32"/>
        <v>17650.600000000002</v>
      </c>
      <c r="AA285" s="1">
        <v>14.6868866400001</v>
      </c>
    </row>
    <row r="286" spans="1:27" s="1" customFormat="1" x14ac:dyDescent="0.25">
      <c r="A286" s="16"/>
      <c r="B286" s="2"/>
      <c r="C286" s="3">
        <v>41402</v>
      </c>
      <c r="D286" s="1">
        <v>15.4</v>
      </c>
      <c r="E286" s="1">
        <v>8.4</v>
      </c>
      <c r="F286" s="1">
        <v>19.600000000000001</v>
      </c>
      <c r="G286" s="1">
        <f t="shared" si="37"/>
        <v>1678.1</v>
      </c>
      <c r="H286" s="1">
        <f t="shared" si="43"/>
        <v>185.99999999999997</v>
      </c>
      <c r="J286" s="1">
        <v>0.9</v>
      </c>
      <c r="K286" s="1">
        <f t="shared" si="38"/>
        <v>670.19999999999993</v>
      </c>
      <c r="L286" s="1">
        <v>1.3</v>
      </c>
      <c r="M286" s="1">
        <f t="shared" si="39"/>
        <v>256.10000000000014</v>
      </c>
      <c r="N286" s="1">
        <v>-0.4</v>
      </c>
      <c r="O286" s="1">
        <f t="shared" si="44"/>
        <v>111.29999999999998</v>
      </c>
      <c r="P286" s="1">
        <v>239</v>
      </c>
      <c r="Q286" s="1">
        <v>1.1499999999999999</v>
      </c>
      <c r="R286" s="9">
        <f t="shared" si="35"/>
        <v>1.4949999999999999</v>
      </c>
      <c r="S286" s="9">
        <f t="shared" si="36"/>
        <v>-0.59499999999999986</v>
      </c>
      <c r="T286" s="9">
        <f t="shared" si="40"/>
        <v>109.47</v>
      </c>
      <c r="V286" s="1">
        <v>987.1</v>
      </c>
      <c r="X286" s="1">
        <f t="shared" si="41"/>
        <v>145417.99999999994</v>
      </c>
      <c r="Y286" s="1">
        <f t="shared" si="32"/>
        <v>18637.7</v>
      </c>
      <c r="AA286" s="1">
        <v>14.733674940966999</v>
      </c>
    </row>
    <row r="287" spans="1:27" s="1" customFormat="1" x14ac:dyDescent="0.25">
      <c r="A287" s="16"/>
      <c r="B287" s="2"/>
      <c r="C287" s="3">
        <v>41403</v>
      </c>
      <c r="D287" s="1">
        <v>15.6</v>
      </c>
      <c r="E287" s="1">
        <v>13.4</v>
      </c>
      <c r="F287" s="1">
        <v>19.3</v>
      </c>
      <c r="G287" s="1">
        <f t="shared" si="37"/>
        <v>1693.6999999999998</v>
      </c>
      <c r="H287" s="1">
        <f t="shared" si="43"/>
        <v>201.59999999999997</v>
      </c>
      <c r="J287" s="1">
        <v>6.5</v>
      </c>
      <c r="K287" s="1">
        <f t="shared" si="38"/>
        <v>676.69999999999993</v>
      </c>
      <c r="L287" s="1">
        <v>1.7</v>
      </c>
      <c r="M287" s="1">
        <f t="shared" si="39"/>
        <v>257.80000000000013</v>
      </c>
      <c r="N287" s="1">
        <v>4.8</v>
      </c>
      <c r="O287" s="1">
        <f t="shared" si="44"/>
        <v>116.09999999999998</v>
      </c>
      <c r="P287" s="1">
        <v>240</v>
      </c>
      <c r="Q287" s="1">
        <v>1.1499999999999999</v>
      </c>
      <c r="R287" s="9">
        <f t="shared" si="35"/>
        <v>1.9549999999999998</v>
      </c>
      <c r="S287" s="9">
        <f t="shared" si="36"/>
        <v>4.5449999999999999</v>
      </c>
      <c r="T287" s="9">
        <f t="shared" si="40"/>
        <v>114.015</v>
      </c>
      <c r="V287" s="1">
        <v>901.1</v>
      </c>
      <c r="X287" s="1">
        <f t="shared" si="41"/>
        <v>146319.09999999995</v>
      </c>
      <c r="Y287" s="1">
        <f t="shared" si="32"/>
        <v>19538.8</v>
      </c>
      <c r="AA287" s="1">
        <v>14.779917343228499</v>
      </c>
    </row>
    <row r="288" spans="1:27" s="1" customFormat="1" x14ac:dyDescent="0.25">
      <c r="A288" s="16"/>
      <c r="B288" s="2"/>
      <c r="C288" s="3">
        <v>41404</v>
      </c>
      <c r="D288" s="1">
        <v>12.1</v>
      </c>
      <c r="E288" s="1">
        <v>9.6</v>
      </c>
      <c r="F288" s="1">
        <v>13.4</v>
      </c>
      <c r="G288" s="1">
        <f t="shared" si="37"/>
        <v>1705.7999999999997</v>
      </c>
      <c r="H288" s="1">
        <f t="shared" si="43"/>
        <v>213.69999999999996</v>
      </c>
      <c r="J288" s="1">
        <v>0</v>
      </c>
      <c r="K288" s="1">
        <f t="shared" si="38"/>
        <v>676.69999999999993</v>
      </c>
      <c r="L288" s="1">
        <v>1.8</v>
      </c>
      <c r="M288" s="1">
        <f t="shared" si="39"/>
        <v>259.60000000000014</v>
      </c>
      <c r="N288" s="1">
        <v>-1.8</v>
      </c>
      <c r="O288" s="1">
        <f t="shared" si="44"/>
        <v>114.29999999999998</v>
      </c>
      <c r="P288" s="1">
        <v>241</v>
      </c>
      <c r="Q288" s="1">
        <v>1.1499999999999999</v>
      </c>
      <c r="R288" s="9">
        <f t="shared" si="35"/>
        <v>2.0699999999999998</v>
      </c>
      <c r="S288" s="9">
        <f t="shared" si="36"/>
        <v>-2.0699999999999998</v>
      </c>
      <c r="T288" s="9">
        <f t="shared" si="40"/>
        <v>111.94500000000001</v>
      </c>
      <c r="V288" s="1">
        <v>1184</v>
      </c>
      <c r="X288" s="1">
        <f t="shared" si="41"/>
        <v>147503.09999999995</v>
      </c>
      <c r="Y288" s="1">
        <f t="shared" si="32"/>
        <v>20722.8</v>
      </c>
      <c r="AA288" s="1">
        <v>14.825593056412499</v>
      </c>
    </row>
    <row r="289" spans="1:27" s="1" customFormat="1" x14ac:dyDescent="0.25">
      <c r="A289" s="16"/>
      <c r="B289" s="2"/>
      <c r="C289" s="3">
        <v>41405</v>
      </c>
      <c r="D289" s="1">
        <v>12.1</v>
      </c>
      <c r="E289" s="1">
        <v>10.199999999999999</v>
      </c>
      <c r="F289" s="1">
        <v>14.5</v>
      </c>
      <c r="G289" s="1">
        <f t="shared" si="37"/>
        <v>1717.8999999999996</v>
      </c>
      <c r="H289" s="1">
        <f t="shared" si="43"/>
        <v>225.79999999999995</v>
      </c>
      <c r="J289" s="1">
        <v>2.6</v>
      </c>
      <c r="K289" s="1">
        <f t="shared" si="38"/>
        <v>679.3</v>
      </c>
      <c r="L289" s="1">
        <v>1.4</v>
      </c>
      <c r="M289" s="1">
        <f t="shared" si="39"/>
        <v>261.00000000000011</v>
      </c>
      <c r="N289" s="1">
        <v>1.2000000000000002</v>
      </c>
      <c r="O289" s="1">
        <f t="shared" si="44"/>
        <v>115.49999999999999</v>
      </c>
      <c r="P289" s="1">
        <v>242</v>
      </c>
      <c r="Q289" s="1">
        <v>1.1499999999999999</v>
      </c>
      <c r="R289" s="9">
        <f t="shared" si="35"/>
        <v>1.6099999999999999</v>
      </c>
      <c r="S289" s="9">
        <f t="shared" si="36"/>
        <v>0.99000000000000021</v>
      </c>
      <c r="T289" s="9">
        <f t="shared" si="40"/>
        <v>112.935</v>
      </c>
      <c r="V289" s="1">
        <v>983.2</v>
      </c>
      <c r="X289" s="1">
        <f t="shared" si="41"/>
        <v>148486.29999999996</v>
      </c>
      <c r="Y289" s="1">
        <f t="shared" si="32"/>
        <v>21706</v>
      </c>
      <c r="AA289" s="1">
        <v>14.870680861057499</v>
      </c>
    </row>
    <row r="290" spans="1:27" s="1" customFormat="1" x14ac:dyDescent="0.25">
      <c r="A290" s="16"/>
      <c r="B290" s="2"/>
      <c r="C290" s="3">
        <v>41406</v>
      </c>
      <c r="D290" s="1">
        <v>10.8</v>
      </c>
      <c r="E290" s="1">
        <v>8</v>
      </c>
      <c r="F290" s="1">
        <v>13.7</v>
      </c>
      <c r="G290" s="1">
        <f t="shared" si="37"/>
        <v>1728.6999999999996</v>
      </c>
      <c r="H290" s="1">
        <f t="shared" si="43"/>
        <v>236.59999999999997</v>
      </c>
      <c r="J290" s="1">
        <v>0.4</v>
      </c>
      <c r="K290" s="1">
        <f t="shared" si="38"/>
        <v>679.69999999999993</v>
      </c>
      <c r="L290" s="1">
        <v>1.7</v>
      </c>
      <c r="M290" s="1">
        <f t="shared" si="39"/>
        <v>262.7000000000001</v>
      </c>
      <c r="N290" s="1">
        <v>-1.2999999999999998</v>
      </c>
      <c r="O290" s="1">
        <f t="shared" si="44"/>
        <v>114.19999999999999</v>
      </c>
      <c r="P290" s="1">
        <v>243</v>
      </c>
      <c r="Q290" s="1">
        <v>1.1499999999999999</v>
      </c>
      <c r="R290" s="9">
        <f t="shared" si="35"/>
        <v>1.9549999999999998</v>
      </c>
      <c r="S290" s="9">
        <f t="shared" si="36"/>
        <v>-1.5549999999999997</v>
      </c>
      <c r="T290" s="9">
        <f t="shared" si="40"/>
        <v>111.38</v>
      </c>
      <c r="V290" s="1">
        <v>1086.5999999999999</v>
      </c>
      <c r="X290" s="1">
        <f t="shared" si="41"/>
        <v>149572.89999999997</v>
      </c>
      <c r="Y290" s="1">
        <f t="shared" si="32"/>
        <v>22792.6</v>
      </c>
      <c r="AA290" s="1">
        <v>14.915159124471201</v>
      </c>
    </row>
    <row r="291" spans="1:27" s="1" customFormat="1" x14ac:dyDescent="0.25">
      <c r="A291" s="16"/>
      <c r="B291" s="2"/>
      <c r="C291" s="3">
        <v>41407</v>
      </c>
      <c r="D291" s="1">
        <v>11</v>
      </c>
      <c r="E291" s="1">
        <v>6.3</v>
      </c>
      <c r="F291" s="1">
        <v>14</v>
      </c>
      <c r="G291" s="1">
        <f t="shared" si="37"/>
        <v>1739.6999999999996</v>
      </c>
      <c r="H291" s="1">
        <f t="shared" si="43"/>
        <v>247.59999999999997</v>
      </c>
      <c r="J291" s="1">
        <v>0</v>
      </c>
      <c r="K291" s="1">
        <f t="shared" si="38"/>
        <v>679.69999999999993</v>
      </c>
      <c r="L291" s="1">
        <v>0.9</v>
      </c>
      <c r="M291" s="1">
        <f t="shared" si="39"/>
        <v>263.60000000000008</v>
      </c>
      <c r="N291" s="1">
        <v>-0.9</v>
      </c>
      <c r="O291" s="1">
        <f t="shared" si="44"/>
        <v>113.29999999999998</v>
      </c>
      <c r="P291" s="1">
        <v>244</v>
      </c>
      <c r="Q291" s="1">
        <v>1.1499999999999999</v>
      </c>
      <c r="R291" s="9">
        <f t="shared" si="35"/>
        <v>1.0349999999999999</v>
      </c>
      <c r="S291" s="9">
        <f t="shared" si="36"/>
        <v>-1.0349999999999999</v>
      </c>
      <c r="T291" s="9">
        <f t="shared" si="40"/>
        <v>110.345</v>
      </c>
      <c r="V291" s="1">
        <v>582.70000000000005</v>
      </c>
      <c r="X291" s="1">
        <f t="shared" si="41"/>
        <v>150155.59999999998</v>
      </c>
      <c r="Y291" s="1">
        <f t="shared" si="32"/>
        <v>23375.3</v>
      </c>
      <c r="AA291" s="1">
        <v>14.959005818845</v>
      </c>
    </row>
    <row r="292" spans="1:27" s="28" customFormat="1" ht="15.75" thickBot="1" x14ac:dyDescent="0.3">
      <c r="A292" s="33" t="s">
        <v>29</v>
      </c>
      <c r="B292" s="34"/>
      <c r="C292" s="27">
        <v>41408</v>
      </c>
      <c r="D292" s="28">
        <v>14.3</v>
      </c>
      <c r="E292" s="28">
        <v>9.6</v>
      </c>
      <c r="F292" s="28">
        <v>18.399999999999999</v>
      </c>
      <c r="G292" s="28">
        <f t="shared" si="37"/>
        <v>1753.9999999999995</v>
      </c>
      <c r="H292" s="28">
        <f t="shared" si="43"/>
        <v>261.89999999999998</v>
      </c>
      <c r="J292" s="28">
        <v>0.7</v>
      </c>
      <c r="K292" s="28">
        <f t="shared" si="38"/>
        <v>680.4</v>
      </c>
      <c r="L292" s="28">
        <v>2.5</v>
      </c>
      <c r="M292" s="28">
        <f t="shared" si="39"/>
        <v>266.10000000000008</v>
      </c>
      <c r="N292" s="28">
        <v>-1.8</v>
      </c>
      <c r="O292" s="28">
        <f t="shared" si="44"/>
        <v>111.49999999999999</v>
      </c>
      <c r="P292" s="28">
        <v>245</v>
      </c>
      <c r="Q292" s="28">
        <v>1.1499999999999999</v>
      </c>
      <c r="R292" s="29">
        <f t="shared" si="35"/>
        <v>2.875</v>
      </c>
      <c r="S292" s="29">
        <f t="shared" si="36"/>
        <v>-2.1749999999999998</v>
      </c>
      <c r="T292" s="29">
        <f t="shared" si="40"/>
        <v>108.17</v>
      </c>
      <c r="V292" s="28">
        <v>1513.1</v>
      </c>
      <c r="X292" s="28">
        <f t="shared" si="41"/>
        <v>151668.69999999998</v>
      </c>
      <c r="Y292" s="28">
        <f t="shared" si="32"/>
        <v>24888.399999999998</v>
      </c>
      <c r="AA292" s="28">
        <v>15.0021985416956</v>
      </c>
    </row>
    <row r="293" spans="1:27" s="1" customFormat="1" x14ac:dyDescent="0.25">
      <c r="A293" s="51">
        <v>300</v>
      </c>
      <c r="B293" s="7"/>
      <c r="C293" s="3">
        <v>41409</v>
      </c>
      <c r="D293" s="1">
        <v>12.3</v>
      </c>
      <c r="E293" s="1">
        <v>11.9</v>
      </c>
      <c r="F293" s="1">
        <v>14</v>
      </c>
      <c r="G293" s="1">
        <f t="shared" si="37"/>
        <v>1766.2999999999995</v>
      </c>
      <c r="H293" s="1">
        <v>12.3</v>
      </c>
      <c r="I293" s="18" t="s">
        <v>3</v>
      </c>
      <c r="J293" s="1">
        <v>20.3</v>
      </c>
      <c r="K293" s="1">
        <f t="shared" si="38"/>
        <v>700.69999999999993</v>
      </c>
      <c r="L293" s="1">
        <v>1.2</v>
      </c>
      <c r="M293" s="1">
        <f t="shared" si="39"/>
        <v>267.30000000000007</v>
      </c>
      <c r="N293" s="1">
        <v>19.100000000000001</v>
      </c>
      <c r="O293" s="1">
        <v>122.1</v>
      </c>
      <c r="P293" s="1">
        <v>246</v>
      </c>
      <c r="Q293" s="1">
        <v>1.1499999999999999</v>
      </c>
      <c r="R293" s="9">
        <f t="shared" si="35"/>
        <v>1.38</v>
      </c>
      <c r="S293" s="9">
        <f t="shared" si="36"/>
        <v>18.920000000000002</v>
      </c>
      <c r="T293" s="9">
        <f t="shared" si="40"/>
        <v>122.1</v>
      </c>
      <c r="U293" s="18" t="s">
        <v>4</v>
      </c>
      <c r="V293" s="1">
        <v>643.9</v>
      </c>
      <c r="X293" s="1">
        <f t="shared" si="41"/>
        <v>152312.59999999998</v>
      </c>
      <c r="Y293" s="1">
        <v>643.9</v>
      </c>
      <c r="Z293" s="18" t="s">
        <v>5</v>
      </c>
      <c r="AA293" s="1">
        <v>15.044714538702101</v>
      </c>
    </row>
    <row r="294" spans="1:27" s="1" customFormat="1" x14ac:dyDescent="0.25">
      <c r="A294" s="51"/>
      <c r="B294" s="7"/>
      <c r="C294" s="3">
        <v>41410</v>
      </c>
      <c r="D294" s="1">
        <v>9.5</v>
      </c>
      <c r="E294" s="1">
        <v>8</v>
      </c>
      <c r="F294" s="1">
        <v>10.7</v>
      </c>
      <c r="G294" s="1">
        <f t="shared" si="37"/>
        <v>1775.7999999999995</v>
      </c>
      <c r="H294" s="1">
        <f t="shared" si="43"/>
        <v>21.8</v>
      </c>
      <c r="I294" s="1">
        <f>MIN(E293:E317)</f>
        <v>3.7</v>
      </c>
      <c r="J294" s="1">
        <v>10.7</v>
      </c>
      <c r="K294" s="1">
        <f t="shared" si="38"/>
        <v>711.4</v>
      </c>
      <c r="L294" s="1">
        <v>1</v>
      </c>
      <c r="M294" s="1">
        <f t="shared" si="39"/>
        <v>268.30000000000007</v>
      </c>
      <c r="N294" s="1">
        <v>9.6999999999999993</v>
      </c>
      <c r="O294" s="1">
        <v>122.1</v>
      </c>
      <c r="P294" s="1">
        <v>247</v>
      </c>
      <c r="Q294" s="1">
        <v>1.1499999999999999</v>
      </c>
      <c r="R294" s="9">
        <f t="shared" si="35"/>
        <v>1.1499999999999999</v>
      </c>
      <c r="S294" s="9">
        <f t="shared" si="36"/>
        <v>9.5499999999999989</v>
      </c>
      <c r="T294" s="9">
        <f t="shared" si="40"/>
        <v>122.1</v>
      </c>
      <c r="U294" s="1">
        <v>11</v>
      </c>
      <c r="V294" s="1">
        <v>490.5</v>
      </c>
      <c r="X294" s="1">
        <f t="shared" si="41"/>
        <v>152803.09999999998</v>
      </c>
      <c r="Y294" s="1">
        <f t="shared" si="32"/>
        <v>1134.4000000000001</v>
      </c>
      <c r="Z294" s="1">
        <f>Y317</f>
        <v>36215.4</v>
      </c>
      <c r="AA294" s="1">
        <v>15.0865307289948</v>
      </c>
    </row>
    <row r="295" spans="1:27" s="1" customFormat="1" x14ac:dyDescent="0.25">
      <c r="A295" s="51"/>
      <c r="B295" s="7"/>
      <c r="C295" s="3">
        <v>41411</v>
      </c>
      <c r="D295" s="1">
        <v>10.9</v>
      </c>
      <c r="E295" s="1">
        <v>9.1</v>
      </c>
      <c r="F295" s="1">
        <v>13.3</v>
      </c>
      <c r="G295" s="1">
        <f t="shared" si="37"/>
        <v>1786.6999999999996</v>
      </c>
      <c r="H295" s="1">
        <f t="shared" si="43"/>
        <v>32.700000000000003</v>
      </c>
      <c r="I295" s="18" t="s">
        <v>6</v>
      </c>
      <c r="J295" s="1">
        <v>0.2</v>
      </c>
      <c r="K295" s="1">
        <f t="shared" si="38"/>
        <v>711.6</v>
      </c>
      <c r="L295" s="1">
        <v>0.8</v>
      </c>
      <c r="M295" s="1">
        <f t="shared" si="39"/>
        <v>269.10000000000008</v>
      </c>
      <c r="N295" s="1">
        <v>-0.60000000000000009</v>
      </c>
      <c r="O295" s="1">
        <f>O294+N295</f>
        <v>121.5</v>
      </c>
      <c r="P295" s="1">
        <v>248</v>
      </c>
      <c r="Q295" s="1">
        <v>1.1499999999999999</v>
      </c>
      <c r="R295" s="9">
        <f t="shared" si="35"/>
        <v>0.91999999999999993</v>
      </c>
      <c r="S295" s="9">
        <f t="shared" si="36"/>
        <v>-0.72</v>
      </c>
      <c r="T295" s="9">
        <f t="shared" si="40"/>
        <v>121.38</v>
      </c>
      <c r="U295" s="18" t="s">
        <v>7</v>
      </c>
      <c r="V295" s="1">
        <v>744.4</v>
      </c>
      <c r="X295" s="1">
        <f t="shared" si="41"/>
        <v>153547.49999999997</v>
      </c>
      <c r="Y295" s="1">
        <f t="shared" ref="Y295:Y358" si="45">Y294+V295</f>
        <v>1878.8000000000002</v>
      </c>
      <c r="Z295" s="18" t="s">
        <v>8</v>
      </c>
      <c r="AA295" s="1">
        <v>15.127623732945301</v>
      </c>
    </row>
    <row r="296" spans="1:27" s="1" customFormat="1" x14ac:dyDescent="0.25">
      <c r="A296" s="51"/>
      <c r="B296" s="7"/>
      <c r="C296" s="3">
        <v>41412</v>
      </c>
      <c r="D296" s="1">
        <v>11.6</v>
      </c>
      <c r="E296" s="1">
        <v>8.1</v>
      </c>
      <c r="F296" s="1">
        <v>16.7</v>
      </c>
      <c r="G296" s="1">
        <f t="shared" si="37"/>
        <v>1798.2999999999995</v>
      </c>
      <c r="H296" s="1">
        <f t="shared" si="43"/>
        <v>44.300000000000004</v>
      </c>
      <c r="I296" s="1">
        <f>MAX(F293:F317)</f>
        <v>25.5</v>
      </c>
      <c r="J296" s="1">
        <v>9.6</v>
      </c>
      <c r="K296" s="1">
        <f t="shared" si="38"/>
        <v>721.2</v>
      </c>
      <c r="L296" s="1">
        <v>2.1</v>
      </c>
      <c r="M296" s="1">
        <f t="shared" si="39"/>
        <v>271.2000000000001</v>
      </c>
      <c r="N296" s="1">
        <v>7.5</v>
      </c>
      <c r="O296" s="1">
        <v>122.1</v>
      </c>
      <c r="P296" s="1">
        <v>249</v>
      </c>
      <c r="Q296" s="1">
        <v>1.1499999999999999</v>
      </c>
      <c r="R296" s="9">
        <f t="shared" si="35"/>
        <v>2.415</v>
      </c>
      <c r="S296" s="9">
        <f t="shared" si="36"/>
        <v>7.1849999999999996</v>
      </c>
      <c r="T296" s="9">
        <f t="shared" si="40"/>
        <v>122.1</v>
      </c>
      <c r="U296" s="1">
        <v>0</v>
      </c>
      <c r="V296" s="1">
        <v>1248.5999999999999</v>
      </c>
      <c r="X296" s="1">
        <f t="shared" si="41"/>
        <v>154796.09999999998</v>
      </c>
      <c r="Y296" s="1">
        <f t="shared" si="45"/>
        <v>3127.4</v>
      </c>
      <c r="Z296" s="1">
        <f>(Z294/100)/I306</f>
        <v>1.1979953688389018</v>
      </c>
      <c r="AA296" s="1">
        <v>15.167969902495001</v>
      </c>
    </row>
    <row r="297" spans="1:27" s="1" customFormat="1" x14ac:dyDescent="0.25">
      <c r="A297" s="51"/>
      <c r="B297" s="7"/>
      <c r="C297" s="3">
        <v>41413</v>
      </c>
      <c r="D297" s="1">
        <v>10.199999999999999</v>
      </c>
      <c r="E297" s="1">
        <v>7.5</v>
      </c>
      <c r="F297" s="1">
        <v>12.9</v>
      </c>
      <c r="G297" s="1">
        <f t="shared" si="37"/>
        <v>1808.4999999999995</v>
      </c>
      <c r="H297" s="1">
        <f t="shared" si="43"/>
        <v>54.5</v>
      </c>
      <c r="I297" s="18" t="s">
        <v>9</v>
      </c>
      <c r="J297" s="1">
        <v>3.1</v>
      </c>
      <c r="K297" s="1">
        <f t="shared" si="38"/>
        <v>724.30000000000007</v>
      </c>
      <c r="L297" s="1">
        <v>1.2</v>
      </c>
      <c r="M297" s="1">
        <f t="shared" si="39"/>
        <v>272.40000000000009</v>
      </c>
      <c r="N297" s="1">
        <v>1.9000000000000001</v>
      </c>
      <c r="O297" s="1">
        <v>122.1</v>
      </c>
      <c r="P297" s="1">
        <v>250</v>
      </c>
      <c r="Q297" s="1">
        <v>1.1499999999999999</v>
      </c>
      <c r="R297" s="9">
        <f t="shared" si="35"/>
        <v>1.38</v>
      </c>
      <c r="S297" s="9">
        <f t="shared" si="36"/>
        <v>1.7200000000000002</v>
      </c>
      <c r="T297" s="9">
        <f t="shared" si="40"/>
        <v>122.1</v>
      </c>
      <c r="U297" s="18" t="s">
        <v>10</v>
      </c>
      <c r="V297" s="1">
        <v>924.3</v>
      </c>
      <c r="W297" s="14"/>
      <c r="X297" s="14">
        <f t="shared" si="41"/>
        <v>155720.39999999997</v>
      </c>
      <c r="Y297" s="1">
        <f t="shared" si="45"/>
        <v>4051.7</v>
      </c>
      <c r="Z297" s="18" t="s">
        <v>11</v>
      </c>
      <c r="AA297" s="1">
        <v>15.207545354046101</v>
      </c>
    </row>
    <row r="298" spans="1:27" s="1" customFormat="1" ht="15" customHeight="1" x14ac:dyDescent="0.25">
      <c r="A298" s="51"/>
      <c r="B298" s="7"/>
      <c r="C298" s="3">
        <v>41414</v>
      </c>
      <c r="D298" s="1">
        <v>9.6</v>
      </c>
      <c r="E298" s="1">
        <v>9.1</v>
      </c>
      <c r="F298" s="1">
        <v>10.199999999999999</v>
      </c>
      <c r="G298" s="1">
        <f t="shared" si="37"/>
        <v>1818.0999999999995</v>
      </c>
      <c r="H298" s="1">
        <f t="shared" si="43"/>
        <v>64.099999999999994</v>
      </c>
      <c r="I298" s="9">
        <f>AVERAGE(D293:D317)</f>
        <v>12.091999999999999</v>
      </c>
      <c r="J298" s="1">
        <v>19.100000000000001</v>
      </c>
      <c r="K298" s="1">
        <f t="shared" si="38"/>
        <v>743.40000000000009</v>
      </c>
      <c r="L298" s="1">
        <v>1.1000000000000001</v>
      </c>
      <c r="M298" s="1">
        <f t="shared" si="39"/>
        <v>273.50000000000011</v>
      </c>
      <c r="N298" s="1">
        <v>18</v>
      </c>
      <c r="O298" s="1">
        <v>122.1</v>
      </c>
      <c r="P298" s="1">
        <v>251</v>
      </c>
      <c r="Q298" s="1">
        <v>1.1499999999999999</v>
      </c>
      <c r="R298" s="9">
        <f t="shared" si="35"/>
        <v>1.2649999999999999</v>
      </c>
      <c r="S298" s="9">
        <f t="shared" si="36"/>
        <v>17.835000000000001</v>
      </c>
      <c r="T298" s="9">
        <f t="shared" si="40"/>
        <v>122.1</v>
      </c>
      <c r="U298" s="1">
        <v>0</v>
      </c>
      <c r="V298" s="1">
        <v>555.6</v>
      </c>
      <c r="X298" s="1">
        <f t="shared" si="41"/>
        <v>156275.99999999997</v>
      </c>
      <c r="Y298" s="1">
        <f t="shared" si="45"/>
        <v>4607.3</v>
      </c>
      <c r="Z298" s="1">
        <v>9</v>
      </c>
      <c r="AA298" s="1">
        <v>15.246326003927299</v>
      </c>
    </row>
    <row r="299" spans="1:27" s="1" customFormat="1" x14ac:dyDescent="0.25">
      <c r="A299" s="51"/>
      <c r="B299" s="7"/>
      <c r="C299" s="3">
        <v>41415</v>
      </c>
      <c r="D299" s="1">
        <v>10.3</v>
      </c>
      <c r="E299" s="1">
        <v>9.4</v>
      </c>
      <c r="F299" s="1">
        <v>11.2</v>
      </c>
      <c r="G299" s="1">
        <f t="shared" si="37"/>
        <v>1828.3999999999994</v>
      </c>
      <c r="H299" s="1">
        <f t="shared" si="43"/>
        <v>74.399999999999991</v>
      </c>
      <c r="I299" s="18" t="s">
        <v>12</v>
      </c>
      <c r="J299" s="1">
        <v>5.4</v>
      </c>
      <c r="K299" s="1">
        <f t="shared" si="38"/>
        <v>748.80000000000007</v>
      </c>
      <c r="L299" s="1">
        <v>0.9</v>
      </c>
      <c r="M299" s="1">
        <f t="shared" si="39"/>
        <v>274.40000000000009</v>
      </c>
      <c r="N299" s="1">
        <v>4.5</v>
      </c>
      <c r="O299" s="1">
        <v>122.1</v>
      </c>
      <c r="P299" s="1">
        <v>252</v>
      </c>
      <c r="Q299" s="1">
        <v>1.1499999999999999</v>
      </c>
      <c r="R299" s="9">
        <f t="shared" si="35"/>
        <v>1.0349999999999999</v>
      </c>
      <c r="S299" s="9">
        <f t="shared" si="36"/>
        <v>4.3650000000000002</v>
      </c>
      <c r="T299" s="9">
        <f t="shared" si="40"/>
        <v>122.1</v>
      </c>
      <c r="U299" s="18" t="s">
        <v>13</v>
      </c>
      <c r="V299" s="1">
        <v>492.1</v>
      </c>
      <c r="X299" s="1">
        <f t="shared" si="41"/>
        <v>156768.09999999998</v>
      </c>
      <c r="Y299" s="1">
        <f t="shared" si="45"/>
        <v>5099.4000000000005</v>
      </c>
      <c r="AA299" s="1">
        <v>15.284287606429199</v>
      </c>
    </row>
    <row r="300" spans="1:27" s="1" customFormat="1" x14ac:dyDescent="0.25">
      <c r="A300" s="51"/>
      <c r="B300" s="7"/>
      <c r="C300" s="3">
        <v>41416</v>
      </c>
      <c r="D300" s="1">
        <v>9.3000000000000007</v>
      </c>
      <c r="E300" s="1">
        <v>9.1</v>
      </c>
      <c r="F300" s="1">
        <v>10.199999999999999</v>
      </c>
      <c r="G300" s="1">
        <f t="shared" si="37"/>
        <v>1837.6999999999994</v>
      </c>
      <c r="H300" s="1">
        <f t="shared" si="43"/>
        <v>83.699999999999989</v>
      </c>
      <c r="I300" s="1">
        <v>0</v>
      </c>
      <c r="J300" s="1">
        <v>0.2</v>
      </c>
      <c r="K300" s="1">
        <f t="shared" si="38"/>
        <v>749.00000000000011</v>
      </c>
      <c r="L300" s="1">
        <v>0.9</v>
      </c>
      <c r="M300" s="1">
        <f t="shared" si="39"/>
        <v>275.30000000000007</v>
      </c>
      <c r="N300" s="1">
        <v>-0.7</v>
      </c>
      <c r="O300" s="1">
        <f>O299+N300</f>
        <v>121.39999999999999</v>
      </c>
      <c r="P300" s="1">
        <v>253</v>
      </c>
      <c r="Q300" s="1">
        <v>1.1499999999999999</v>
      </c>
      <c r="R300" s="9">
        <f t="shared" si="35"/>
        <v>1.0349999999999999</v>
      </c>
      <c r="S300" s="9">
        <f t="shared" si="36"/>
        <v>-0.83499999999999996</v>
      </c>
      <c r="T300" s="9">
        <f t="shared" si="40"/>
        <v>121.265</v>
      </c>
      <c r="U300" s="9">
        <f>MIN(T293:T317)</f>
        <v>86.78</v>
      </c>
      <c r="V300" s="1">
        <v>553.1</v>
      </c>
      <c r="X300" s="1">
        <f t="shared" si="41"/>
        <v>157321.19999999998</v>
      </c>
      <c r="Y300" s="1">
        <f t="shared" si="45"/>
        <v>5652.5000000000009</v>
      </c>
      <c r="AA300" s="1">
        <v>15.321405794388999</v>
      </c>
    </row>
    <row r="301" spans="1:27" s="1" customFormat="1" x14ac:dyDescent="0.25">
      <c r="A301" s="51"/>
      <c r="B301" s="7"/>
      <c r="C301" s="3">
        <v>41417</v>
      </c>
      <c r="D301" s="1">
        <v>6.7</v>
      </c>
      <c r="E301" s="1">
        <v>6.1</v>
      </c>
      <c r="F301" s="1">
        <v>7.7</v>
      </c>
      <c r="G301" s="1">
        <f t="shared" si="37"/>
        <v>1844.3999999999994</v>
      </c>
      <c r="H301" s="1">
        <f t="shared" si="43"/>
        <v>90.399999999999991</v>
      </c>
      <c r="I301" s="18" t="s">
        <v>14</v>
      </c>
      <c r="J301" s="1">
        <v>3.8</v>
      </c>
      <c r="K301" s="1">
        <f t="shared" si="38"/>
        <v>752.80000000000007</v>
      </c>
      <c r="L301" s="1">
        <v>0.8</v>
      </c>
      <c r="M301" s="1">
        <f t="shared" si="39"/>
        <v>276.10000000000008</v>
      </c>
      <c r="N301" s="1">
        <v>3</v>
      </c>
      <c r="O301" s="1">
        <v>122.1</v>
      </c>
      <c r="P301" s="1">
        <v>254</v>
      </c>
      <c r="Q301" s="1">
        <v>1.1499999999999999</v>
      </c>
      <c r="R301" s="9">
        <f t="shared" si="35"/>
        <v>0.91999999999999993</v>
      </c>
      <c r="S301" s="9">
        <f t="shared" si="36"/>
        <v>2.88</v>
      </c>
      <c r="T301" s="9">
        <f t="shared" si="40"/>
        <v>122.1</v>
      </c>
      <c r="U301" s="18" t="s">
        <v>15</v>
      </c>
      <c r="V301" s="1">
        <v>753.3</v>
      </c>
      <c r="X301" s="1">
        <f t="shared" si="41"/>
        <v>158074.49999999997</v>
      </c>
      <c r="Y301" s="1">
        <f t="shared" si="45"/>
        <v>6405.8000000000011</v>
      </c>
      <c r="AA301" s="1">
        <v>15.3576561222857</v>
      </c>
    </row>
    <row r="302" spans="1:27" s="1" customFormat="1" x14ac:dyDescent="0.25">
      <c r="A302" s="51"/>
      <c r="B302" s="7"/>
      <c r="C302" s="3">
        <v>41418</v>
      </c>
      <c r="D302" s="1">
        <v>7.2</v>
      </c>
      <c r="E302" s="1">
        <v>3.7</v>
      </c>
      <c r="F302" s="1">
        <v>11.8</v>
      </c>
      <c r="G302" s="1">
        <f t="shared" si="37"/>
        <v>1851.5999999999995</v>
      </c>
      <c r="H302" s="1">
        <f t="shared" si="43"/>
        <v>97.6</v>
      </c>
      <c r="I302" s="1">
        <v>2</v>
      </c>
      <c r="J302" s="1">
        <v>6.4</v>
      </c>
      <c r="K302" s="1">
        <f t="shared" si="38"/>
        <v>759.2</v>
      </c>
      <c r="L302" s="1">
        <v>1.6</v>
      </c>
      <c r="M302" s="1">
        <f t="shared" si="39"/>
        <v>277.7000000000001</v>
      </c>
      <c r="N302" s="1">
        <v>4.8000000000000007</v>
      </c>
      <c r="O302" s="1">
        <v>122.1</v>
      </c>
      <c r="P302" s="1">
        <v>255</v>
      </c>
      <c r="Q302" s="1">
        <v>1.1499999999999999</v>
      </c>
      <c r="R302" s="9">
        <f t="shared" si="35"/>
        <v>1.8399999999999999</v>
      </c>
      <c r="S302" s="9">
        <f t="shared" si="36"/>
        <v>4.5600000000000005</v>
      </c>
      <c r="T302" s="9">
        <f t="shared" si="40"/>
        <v>122.1</v>
      </c>
      <c r="U302" s="1">
        <v>122.1</v>
      </c>
      <c r="V302" s="1">
        <v>1270.0999999999999</v>
      </c>
      <c r="X302" s="1">
        <f t="shared" si="41"/>
        <v>159344.59999999998</v>
      </c>
      <c r="Y302" s="1">
        <f t="shared" si="45"/>
        <v>7675.9000000000015</v>
      </c>
      <c r="AA302" s="1">
        <v>15.3930141117888</v>
      </c>
    </row>
    <row r="303" spans="1:27" s="1" customFormat="1" x14ac:dyDescent="0.25">
      <c r="A303" s="51"/>
      <c r="B303" s="7"/>
      <c r="C303" s="3">
        <v>41419</v>
      </c>
      <c r="D303" s="1">
        <v>7.8</v>
      </c>
      <c r="E303" s="1">
        <v>4.9000000000000004</v>
      </c>
      <c r="F303" s="1">
        <v>11.3</v>
      </c>
      <c r="G303" s="1">
        <f t="shared" si="37"/>
        <v>1859.3999999999994</v>
      </c>
      <c r="H303" s="1">
        <f t="shared" si="43"/>
        <v>105.39999999999999</v>
      </c>
      <c r="I303" s="18" t="s">
        <v>16</v>
      </c>
      <c r="J303" s="1">
        <v>2.9</v>
      </c>
      <c r="K303" s="1">
        <f t="shared" si="38"/>
        <v>762.1</v>
      </c>
      <c r="L303" s="1">
        <v>1.3</v>
      </c>
      <c r="M303" s="1">
        <f t="shared" si="39"/>
        <v>279.00000000000011</v>
      </c>
      <c r="N303" s="1">
        <v>1.5999999999999999</v>
      </c>
      <c r="O303" s="1">
        <v>122.1</v>
      </c>
      <c r="P303" s="1">
        <v>256</v>
      </c>
      <c r="Q303" s="1">
        <v>1.1499999999999999</v>
      </c>
      <c r="R303" s="9">
        <f t="shared" si="35"/>
        <v>1.4949999999999999</v>
      </c>
      <c r="S303" s="9">
        <f t="shared" si="36"/>
        <v>1.405</v>
      </c>
      <c r="T303" s="9">
        <f t="shared" si="40"/>
        <v>122.1</v>
      </c>
      <c r="U303" s="18" t="s">
        <v>17</v>
      </c>
      <c r="V303" s="1">
        <v>977.4</v>
      </c>
      <c r="X303" s="1">
        <f t="shared" si="41"/>
        <v>160321.99999999997</v>
      </c>
      <c r="Y303" s="1">
        <f t="shared" si="45"/>
        <v>8653.3000000000011</v>
      </c>
      <c r="AA303" s="1">
        <v>15.4274552996818</v>
      </c>
    </row>
    <row r="304" spans="1:27" s="1" customFormat="1" x14ac:dyDescent="0.25">
      <c r="A304" s="51"/>
      <c r="B304" s="7"/>
      <c r="C304" s="3">
        <v>41420</v>
      </c>
      <c r="D304" s="1">
        <v>9</v>
      </c>
      <c r="E304" s="1">
        <v>6.4</v>
      </c>
      <c r="F304" s="1">
        <v>11.1</v>
      </c>
      <c r="G304" s="1">
        <f t="shared" si="37"/>
        <v>1868.3999999999994</v>
      </c>
      <c r="H304" s="1">
        <f t="shared" si="43"/>
        <v>114.39999999999999</v>
      </c>
      <c r="I304" s="1">
        <v>2</v>
      </c>
      <c r="J304" s="1">
        <v>0</v>
      </c>
      <c r="K304" s="1">
        <f t="shared" si="38"/>
        <v>762.1</v>
      </c>
      <c r="L304" s="1">
        <v>2.2000000000000002</v>
      </c>
      <c r="M304" s="1">
        <f t="shared" si="39"/>
        <v>281.2000000000001</v>
      </c>
      <c r="N304" s="1">
        <v>-2.2000000000000002</v>
      </c>
      <c r="O304" s="1">
        <f>O303+N304</f>
        <v>119.89999999999999</v>
      </c>
      <c r="P304" s="1">
        <v>257</v>
      </c>
      <c r="Q304" s="1">
        <v>1.1499999999999999</v>
      </c>
      <c r="R304" s="9">
        <f t="shared" ref="R304:R367" si="46">Q304*L304</f>
        <v>2.5299999999999998</v>
      </c>
      <c r="S304" s="9">
        <f t="shared" ref="S304:S367" si="47">J304-R304</f>
        <v>-2.5299999999999998</v>
      </c>
      <c r="T304" s="9">
        <f t="shared" si="40"/>
        <v>119.57</v>
      </c>
      <c r="U304" s="20">
        <f>AVERAGE(T293:T317)</f>
        <v>115.23859999999996</v>
      </c>
      <c r="V304" s="1">
        <v>1746.3</v>
      </c>
      <c r="X304" s="1">
        <f t="shared" si="41"/>
        <v>162068.29999999996</v>
      </c>
      <c r="Y304" s="1">
        <f t="shared" si="45"/>
        <v>10399.6</v>
      </c>
      <c r="AA304" s="1">
        <v>15.460955288061101</v>
      </c>
    </row>
    <row r="305" spans="1:27" s="1" customFormat="1" x14ac:dyDescent="0.25">
      <c r="A305" s="51"/>
      <c r="B305" s="7"/>
      <c r="C305" s="3">
        <v>41421</v>
      </c>
      <c r="D305" s="1">
        <v>12.5</v>
      </c>
      <c r="E305" s="1">
        <v>7</v>
      </c>
      <c r="F305" s="1">
        <v>17.600000000000001</v>
      </c>
      <c r="G305" s="1">
        <f t="shared" si="37"/>
        <v>1880.8999999999994</v>
      </c>
      <c r="H305" s="1">
        <f t="shared" si="43"/>
        <v>126.89999999999999</v>
      </c>
      <c r="I305" s="18" t="s">
        <v>18</v>
      </c>
      <c r="J305" s="1">
        <v>0</v>
      </c>
      <c r="K305" s="1">
        <f t="shared" si="38"/>
        <v>762.1</v>
      </c>
      <c r="L305" s="1">
        <v>3.5</v>
      </c>
      <c r="M305" s="1">
        <f t="shared" si="39"/>
        <v>284.7000000000001</v>
      </c>
      <c r="N305" s="1">
        <v>-3.5</v>
      </c>
      <c r="O305" s="1">
        <f>O304+N305</f>
        <v>116.39999999999999</v>
      </c>
      <c r="P305" s="1">
        <v>258</v>
      </c>
      <c r="Q305" s="1">
        <v>1.1499999999999999</v>
      </c>
      <c r="R305" s="9">
        <f t="shared" si="46"/>
        <v>4.0249999999999995</v>
      </c>
      <c r="S305" s="9">
        <f t="shared" si="47"/>
        <v>-4.0249999999999995</v>
      </c>
      <c r="T305" s="9">
        <f t="shared" si="40"/>
        <v>115.54499999999999</v>
      </c>
      <c r="V305" s="1">
        <v>2532.1999999999998</v>
      </c>
      <c r="X305" s="1">
        <f t="shared" si="41"/>
        <v>164600.49999999997</v>
      </c>
      <c r="Y305" s="1">
        <f t="shared" si="45"/>
        <v>12931.8</v>
      </c>
      <c r="AA305" s="1">
        <v>15.4934897966899</v>
      </c>
    </row>
    <row r="306" spans="1:27" s="1" customFormat="1" x14ac:dyDescent="0.25">
      <c r="A306" s="51"/>
      <c r="B306" s="7"/>
      <c r="C306" s="3">
        <v>41422</v>
      </c>
      <c r="D306" s="1">
        <v>10.8</v>
      </c>
      <c r="E306" s="1">
        <v>7.4</v>
      </c>
      <c r="F306" s="1">
        <v>13.1</v>
      </c>
      <c r="G306" s="1">
        <f t="shared" ref="G306:G369" si="48">G305+D306</f>
        <v>1891.6999999999994</v>
      </c>
      <c r="H306" s="1">
        <f t="shared" si="43"/>
        <v>137.69999999999999</v>
      </c>
      <c r="I306" s="1">
        <v>302.3</v>
      </c>
      <c r="J306" s="1">
        <v>2.6</v>
      </c>
      <c r="K306" s="1">
        <f t="shared" ref="K306:K369" si="49">K305+J306</f>
        <v>764.7</v>
      </c>
      <c r="L306" s="1">
        <v>1.2</v>
      </c>
      <c r="M306" s="1">
        <f t="shared" ref="M306:M369" si="50">M305+L306</f>
        <v>285.90000000000009</v>
      </c>
      <c r="N306" s="1">
        <v>1.4000000000000001</v>
      </c>
      <c r="O306" s="1">
        <f>O305+N306</f>
        <v>117.8</v>
      </c>
      <c r="P306" s="1">
        <v>259</v>
      </c>
      <c r="Q306" s="1">
        <v>1.1499999999999999</v>
      </c>
      <c r="R306" s="9">
        <f t="shared" si="46"/>
        <v>1.38</v>
      </c>
      <c r="S306" s="9">
        <f t="shared" si="47"/>
        <v>1.2200000000000002</v>
      </c>
      <c r="T306" s="9">
        <f t="shared" ref="T306:T369" si="51">MIN(122.1,(T305+S306))</f>
        <v>116.76499999999999</v>
      </c>
      <c r="U306" s="9">
        <f>(U304*100)/122.1</f>
        <v>94.380507780507756</v>
      </c>
      <c r="V306" s="1">
        <v>986.4</v>
      </c>
      <c r="X306" s="1">
        <f t="shared" ref="X306:X369" si="52">X305+V306</f>
        <v>165586.89999999997</v>
      </c>
      <c r="Y306" s="1">
        <f t="shared" si="45"/>
        <v>13918.199999999999</v>
      </c>
      <c r="AA306" s="1">
        <v>15.525034717362599</v>
      </c>
    </row>
    <row r="307" spans="1:27" s="1" customFormat="1" x14ac:dyDescent="0.25">
      <c r="A307" s="51"/>
      <c r="B307" s="7"/>
      <c r="C307" s="3">
        <v>41423</v>
      </c>
      <c r="D307" s="1">
        <v>9.5</v>
      </c>
      <c r="E307" s="1">
        <v>7.8</v>
      </c>
      <c r="F307" s="1">
        <v>12.6</v>
      </c>
      <c r="G307" s="1">
        <f t="shared" si="48"/>
        <v>1901.1999999999994</v>
      </c>
      <c r="H307" s="1">
        <f t="shared" si="43"/>
        <v>147.19999999999999</v>
      </c>
      <c r="J307" s="1">
        <v>5.5</v>
      </c>
      <c r="K307" s="1">
        <f t="shared" si="49"/>
        <v>770.2</v>
      </c>
      <c r="L307" s="1">
        <v>1.6</v>
      </c>
      <c r="M307" s="1">
        <f t="shared" si="50"/>
        <v>287.50000000000011</v>
      </c>
      <c r="N307" s="1">
        <v>3.9</v>
      </c>
      <c r="O307" s="1">
        <f>O306+N307</f>
        <v>121.7</v>
      </c>
      <c r="P307" s="1">
        <v>260</v>
      </c>
      <c r="Q307" s="1">
        <v>1.1499999999999999</v>
      </c>
      <c r="R307" s="9">
        <f t="shared" si="46"/>
        <v>1.8399999999999999</v>
      </c>
      <c r="S307" s="9">
        <f t="shared" si="47"/>
        <v>3.66</v>
      </c>
      <c r="T307" s="9">
        <f t="shared" si="51"/>
        <v>120.42499999999998</v>
      </c>
      <c r="V307" s="1">
        <v>1185.5999999999999</v>
      </c>
      <c r="X307" s="1">
        <f t="shared" si="52"/>
        <v>166772.49999999997</v>
      </c>
      <c r="Y307" s="1">
        <f t="shared" si="45"/>
        <v>15103.8</v>
      </c>
      <c r="AA307" s="1">
        <v>15.555566170111399</v>
      </c>
    </row>
    <row r="308" spans="1:27" s="1" customFormat="1" x14ac:dyDescent="0.25">
      <c r="A308" s="51"/>
      <c r="B308" s="7"/>
      <c r="C308" s="3">
        <v>41424</v>
      </c>
      <c r="D308" s="1">
        <v>10</v>
      </c>
      <c r="E308" s="1">
        <v>5.7</v>
      </c>
      <c r="F308" s="1">
        <v>12.3</v>
      </c>
      <c r="G308" s="1">
        <f t="shared" si="48"/>
        <v>1911.1999999999994</v>
      </c>
      <c r="H308" s="1">
        <f t="shared" si="43"/>
        <v>157.19999999999999</v>
      </c>
      <c r="J308" s="1">
        <v>3</v>
      </c>
      <c r="K308" s="1">
        <f t="shared" si="49"/>
        <v>773.2</v>
      </c>
      <c r="L308" s="1">
        <v>0.7</v>
      </c>
      <c r="M308" s="1">
        <f t="shared" si="50"/>
        <v>288.2000000000001</v>
      </c>
      <c r="N308" s="1">
        <v>2.2999999999999998</v>
      </c>
      <c r="O308" s="1">
        <v>122.1</v>
      </c>
      <c r="P308" s="1">
        <v>261</v>
      </c>
      <c r="Q308" s="1">
        <v>1.1499999999999999</v>
      </c>
      <c r="R308" s="9">
        <f t="shared" si="46"/>
        <v>0.80499999999999994</v>
      </c>
      <c r="S308" s="9">
        <f t="shared" si="47"/>
        <v>2.1950000000000003</v>
      </c>
      <c r="T308" s="9">
        <f t="shared" si="51"/>
        <v>122.1</v>
      </c>
      <c r="V308" s="1">
        <v>692.8</v>
      </c>
      <c r="X308" s="1">
        <f t="shared" si="52"/>
        <v>167465.29999999996</v>
      </c>
      <c r="Y308" s="1">
        <f t="shared" si="45"/>
        <v>15796.599999999999</v>
      </c>
      <c r="AA308" s="1">
        <v>15.5850605610659</v>
      </c>
    </row>
    <row r="309" spans="1:27" s="1" customFormat="1" x14ac:dyDescent="0.25">
      <c r="A309" s="51"/>
      <c r="B309" s="7"/>
      <c r="C309" s="3">
        <v>41425</v>
      </c>
      <c r="D309" s="1">
        <v>11.7</v>
      </c>
      <c r="E309" s="1">
        <v>8.9</v>
      </c>
      <c r="F309" s="1">
        <v>13.4</v>
      </c>
      <c r="G309" s="1">
        <f t="shared" si="48"/>
        <v>1922.8999999999994</v>
      </c>
      <c r="H309" s="1">
        <f t="shared" si="43"/>
        <v>168.89999999999998</v>
      </c>
      <c r="J309" s="1">
        <v>10.1</v>
      </c>
      <c r="K309" s="1">
        <f t="shared" si="49"/>
        <v>783.30000000000007</v>
      </c>
      <c r="L309" s="1">
        <v>1</v>
      </c>
      <c r="M309" s="1">
        <f t="shared" si="50"/>
        <v>289.2000000000001</v>
      </c>
      <c r="N309" s="1">
        <v>9.1</v>
      </c>
      <c r="O309" s="1">
        <v>122.1</v>
      </c>
      <c r="P309" s="1">
        <v>262</v>
      </c>
      <c r="Q309" s="1">
        <v>1.1499999999999999</v>
      </c>
      <c r="R309" s="9">
        <f t="shared" si="46"/>
        <v>1.1499999999999999</v>
      </c>
      <c r="S309" s="9">
        <f t="shared" si="47"/>
        <v>8.9499999999999993</v>
      </c>
      <c r="T309" s="9">
        <f t="shared" si="51"/>
        <v>122.1</v>
      </c>
      <c r="V309" s="1">
        <v>654.4</v>
      </c>
      <c r="X309" s="1">
        <f t="shared" si="52"/>
        <v>168119.69999999995</v>
      </c>
      <c r="Y309" s="1">
        <f t="shared" si="45"/>
        <v>16451</v>
      </c>
      <c r="AA309" s="1">
        <v>15.613494641750499</v>
      </c>
    </row>
    <row r="310" spans="1:27" s="1" customFormat="1" x14ac:dyDescent="0.25">
      <c r="A310" s="51"/>
      <c r="B310" s="7"/>
      <c r="C310" s="3">
        <v>41426</v>
      </c>
      <c r="D310" s="1">
        <v>13.7</v>
      </c>
      <c r="E310" s="1">
        <v>11.6</v>
      </c>
      <c r="F310" s="1">
        <v>16.5</v>
      </c>
      <c r="G310" s="1">
        <f t="shared" si="48"/>
        <v>1936.5999999999995</v>
      </c>
      <c r="H310" s="1">
        <f t="shared" si="43"/>
        <v>182.59999999999997</v>
      </c>
      <c r="J310" s="1">
        <v>0.1</v>
      </c>
      <c r="K310" s="1">
        <f t="shared" si="49"/>
        <v>783.40000000000009</v>
      </c>
      <c r="L310" s="1">
        <v>2.2000000000000002</v>
      </c>
      <c r="M310" s="1">
        <f t="shared" si="50"/>
        <v>291.40000000000009</v>
      </c>
      <c r="N310" s="1">
        <v>-2.1</v>
      </c>
      <c r="O310" s="1">
        <f t="shared" ref="O310:O327" si="53">O309+N310</f>
        <v>120</v>
      </c>
      <c r="P310" s="1">
        <v>263</v>
      </c>
      <c r="Q310" s="1">
        <v>1.1499999999999999</v>
      </c>
      <c r="R310" s="9">
        <f t="shared" si="46"/>
        <v>2.5299999999999998</v>
      </c>
      <c r="S310" s="9">
        <f t="shared" si="47"/>
        <v>-2.4299999999999997</v>
      </c>
      <c r="T310" s="9">
        <f t="shared" si="51"/>
        <v>119.66999999999999</v>
      </c>
      <c r="V310" s="1">
        <v>1489.1</v>
      </c>
      <c r="X310" s="1">
        <f t="shared" si="52"/>
        <v>169608.79999999996</v>
      </c>
      <c r="Y310" s="1">
        <f t="shared" si="45"/>
        <v>17940.099999999999</v>
      </c>
      <c r="AA310" s="1">
        <v>15.6408455695819</v>
      </c>
    </row>
    <row r="311" spans="1:27" s="1" customFormat="1" x14ac:dyDescent="0.25">
      <c r="A311" s="51"/>
      <c r="B311" s="7"/>
      <c r="C311" s="3">
        <v>41427</v>
      </c>
      <c r="D311" s="1">
        <v>13.9</v>
      </c>
      <c r="E311" s="1">
        <v>10.5</v>
      </c>
      <c r="F311" s="1">
        <v>17.8</v>
      </c>
      <c r="G311" s="1">
        <f t="shared" si="48"/>
        <v>1950.4999999999995</v>
      </c>
      <c r="H311" s="1">
        <f t="shared" si="43"/>
        <v>196.49999999999997</v>
      </c>
      <c r="J311" s="1">
        <v>0</v>
      </c>
      <c r="K311" s="1">
        <f t="shared" si="49"/>
        <v>783.40000000000009</v>
      </c>
      <c r="L311" s="1">
        <v>2.8</v>
      </c>
      <c r="M311" s="1">
        <f t="shared" si="50"/>
        <v>294.2000000000001</v>
      </c>
      <c r="N311" s="1">
        <v>-2.8</v>
      </c>
      <c r="O311" s="1">
        <f t="shared" si="53"/>
        <v>117.2</v>
      </c>
      <c r="P311" s="1">
        <v>264</v>
      </c>
      <c r="Q311" s="1">
        <v>1.1499999999999999</v>
      </c>
      <c r="R311" s="9">
        <f t="shared" si="46"/>
        <v>3.2199999999999998</v>
      </c>
      <c r="S311" s="9">
        <f t="shared" si="47"/>
        <v>-3.2199999999999998</v>
      </c>
      <c r="T311" s="9">
        <f t="shared" si="51"/>
        <v>116.44999999999999</v>
      </c>
      <c r="V311" s="1">
        <v>1223</v>
      </c>
      <c r="X311" s="1">
        <f t="shared" si="52"/>
        <v>170831.79999999996</v>
      </c>
      <c r="Y311" s="1">
        <f t="shared" si="45"/>
        <v>19163.099999999999</v>
      </c>
      <c r="AA311" s="1">
        <v>15.667090969309101</v>
      </c>
    </row>
    <row r="312" spans="1:27" s="1" customFormat="1" x14ac:dyDescent="0.25">
      <c r="A312" s="51"/>
      <c r="B312" s="7"/>
      <c r="C312" s="3">
        <v>41428</v>
      </c>
      <c r="D312" s="1">
        <v>13.2</v>
      </c>
      <c r="E312" s="1">
        <v>10.5</v>
      </c>
      <c r="F312" s="1">
        <v>16.899999999999999</v>
      </c>
      <c r="G312" s="1">
        <f t="shared" si="48"/>
        <v>1963.6999999999996</v>
      </c>
      <c r="H312" s="1">
        <f t="shared" si="43"/>
        <v>209.69999999999996</v>
      </c>
      <c r="J312" s="1">
        <v>0</v>
      </c>
      <c r="K312" s="1">
        <f t="shared" si="49"/>
        <v>783.40000000000009</v>
      </c>
      <c r="L312" s="1">
        <v>4.5999999999999996</v>
      </c>
      <c r="M312" s="1">
        <f t="shared" si="50"/>
        <v>298.80000000000013</v>
      </c>
      <c r="N312" s="1">
        <v>-4.5999999999999996</v>
      </c>
      <c r="O312" s="1">
        <f t="shared" si="53"/>
        <v>112.60000000000001</v>
      </c>
      <c r="P312" s="1">
        <v>265</v>
      </c>
      <c r="Q312" s="1">
        <v>1.1499999999999999</v>
      </c>
      <c r="R312" s="9">
        <f t="shared" si="46"/>
        <v>5.2899999999999991</v>
      </c>
      <c r="S312" s="9">
        <f t="shared" si="47"/>
        <v>-5.2899999999999991</v>
      </c>
      <c r="T312" s="9">
        <f t="shared" si="51"/>
        <v>111.16</v>
      </c>
      <c r="V312" s="1">
        <v>2497.8000000000002</v>
      </c>
      <c r="X312" s="1">
        <f t="shared" si="52"/>
        <v>173329.59999999995</v>
      </c>
      <c r="Y312" s="1">
        <f t="shared" si="45"/>
        <v>21660.899999999998</v>
      </c>
      <c r="AA312" s="1">
        <v>15.6922089951128</v>
      </c>
    </row>
    <row r="313" spans="1:27" s="1" customFormat="1" x14ac:dyDescent="0.25">
      <c r="A313" s="51"/>
      <c r="B313" s="7"/>
      <c r="C313" s="3">
        <v>41429</v>
      </c>
      <c r="D313" s="1">
        <v>15</v>
      </c>
      <c r="E313" s="1">
        <v>9.1</v>
      </c>
      <c r="F313" s="1">
        <v>19.100000000000001</v>
      </c>
      <c r="G313" s="1">
        <f t="shared" si="48"/>
        <v>1978.6999999999996</v>
      </c>
      <c r="H313" s="1">
        <f t="shared" si="43"/>
        <v>224.69999999999996</v>
      </c>
      <c r="J313" s="1">
        <v>0</v>
      </c>
      <c r="K313" s="1">
        <f t="shared" si="49"/>
        <v>783.40000000000009</v>
      </c>
      <c r="L313" s="1">
        <v>4.5999999999999996</v>
      </c>
      <c r="M313" s="1">
        <f t="shared" si="50"/>
        <v>303.40000000000015</v>
      </c>
      <c r="N313" s="1">
        <v>-4.5999999999999996</v>
      </c>
      <c r="O313" s="1">
        <f t="shared" si="53"/>
        <v>108.00000000000001</v>
      </c>
      <c r="P313" s="1">
        <v>266</v>
      </c>
      <c r="Q313" s="1">
        <v>1.1499999999999999</v>
      </c>
      <c r="R313" s="9">
        <f t="shared" si="46"/>
        <v>5.2899999999999991</v>
      </c>
      <c r="S313" s="9">
        <f t="shared" si="47"/>
        <v>-5.2899999999999991</v>
      </c>
      <c r="T313" s="9">
        <f t="shared" si="51"/>
        <v>105.87</v>
      </c>
      <c r="V313" s="1">
        <v>2934.8</v>
      </c>
      <c r="X313" s="1">
        <f t="shared" si="52"/>
        <v>176264.39999999994</v>
      </c>
      <c r="Y313" s="1">
        <f t="shared" si="45"/>
        <v>24595.699999999997</v>
      </c>
      <c r="AA313" s="1">
        <v>15.716178393065301</v>
      </c>
    </row>
    <row r="314" spans="1:27" s="1" customFormat="1" x14ac:dyDescent="0.25">
      <c r="A314" s="51"/>
      <c r="B314" s="7"/>
      <c r="C314" s="3">
        <v>41430</v>
      </c>
      <c r="D314" s="1">
        <v>18.399999999999999</v>
      </c>
      <c r="E314" s="1">
        <v>12.6</v>
      </c>
      <c r="F314" s="1">
        <v>23.5</v>
      </c>
      <c r="G314" s="1">
        <f t="shared" si="48"/>
        <v>1997.0999999999997</v>
      </c>
      <c r="H314" s="1">
        <f t="shared" si="43"/>
        <v>243.09999999999997</v>
      </c>
      <c r="J314" s="1">
        <v>0</v>
      </c>
      <c r="K314" s="1">
        <f t="shared" si="49"/>
        <v>783.40000000000009</v>
      </c>
      <c r="L314" s="1">
        <v>5.6</v>
      </c>
      <c r="M314" s="1">
        <f t="shared" si="50"/>
        <v>309.00000000000017</v>
      </c>
      <c r="N314" s="1">
        <v>-5.6</v>
      </c>
      <c r="O314" s="1">
        <f t="shared" si="53"/>
        <v>102.40000000000002</v>
      </c>
      <c r="P314" s="1">
        <v>267</v>
      </c>
      <c r="Q314" s="1">
        <v>1.1499999999999999</v>
      </c>
      <c r="R314" s="9">
        <f t="shared" si="46"/>
        <v>6.4399999999999995</v>
      </c>
      <c r="S314" s="9">
        <f t="shared" si="47"/>
        <v>-6.4399999999999995</v>
      </c>
      <c r="T314" s="9">
        <f t="shared" si="51"/>
        <v>99.43</v>
      </c>
      <c r="V314" s="1">
        <v>3241.7</v>
      </c>
      <c r="X314" s="1">
        <f t="shared" si="52"/>
        <v>179506.09999999995</v>
      </c>
      <c r="Y314" s="1">
        <f t="shared" si="45"/>
        <v>27837.399999999998</v>
      </c>
      <c r="AA314" s="1">
        <v>15.7389785636304</v>
      </c>
    </row>
    <row r="315" spans="1:27" s="1" customFormat="1" x14ac:dyDescent="0.25">
      <c r="A315" s="51"/>
      <c r="B315" s="7"/>
      <c r="C315" s="3">
        <v>41431</v>
      </c>
      <c r="D315" s="1">
        <v>19.5</v>
      </c>
      <c r="E315" s="1">
        <v>13.7</v>
      </c>
      <c r="F315" s="1">
        <v>24.8</v>
      </c>
      <c r="G315" s="1">
        <f t="shared" si="48"/>
        <v>2016.5999999999997</v>
      </c>
      <c r="H315" s="1">
        <f t="shared" si="43"/>
        <v>262.59999999999997</v>
      </c>
      <c r="J315" s="1">
        <v>0</v>
      </c>
      <c r="K315" s="1">
        <f t="shared" si="49"/>
        <v>783.40000000000009</v>
      </c>
      <c r="L315" s="1">
        <v>5.3</v>
      </c>
      <c r="M315" s="1">
        <f t="shared" si="50"/>
        <v>314.30000000000018</v>
      </c>
      <c r="N315" s="1">
        <v>-5.3</v>
      </c>
      <c r="O315" s="1">
        <f t="shared" si="53"/>
        <v>97.100000000000023</v>
      </c>
      <c r="P315" s="1">
        <v>268</v>
      </c>
      <c r="Q315" s="1">
        <v>1.1499999999999999</v>
      </c>
      <c r="R315" s="9">
        <f t="shared" si="46"/>
        <v>6.0949999999999998</v>
      </c>
      <c r="S315" s="9">
        <f t="shared" si="47"/>
        <v>-6.0949999999999998</v>
      </c>
      <c r="T315" s="9">
        <f t="shared" si="51"/>
        <v>93.335000000000008</v>
      </c>
      <c r="V315" s="1">
        <v>2971.2</v>
      </c>
      <c r="X315" s="1">
        <f t="shared" si="52"/>
        <v>182477.29999999996</v>
      </c>
      <c r="Y315" s="1">
        <f t="shared" si="45"/>
        <v>30808.6</v>
      </c>
      <c r="AA315" s="1">
        <v>15.7605896238698</v>
      </c>
    </row>
    <row r="316" spans="1:27" s="1" customFormat="1" x14ac:dyDescent="0.25">
      <c r="A316" s="51"/>
      <c r="B316" s="7"/>
      <c r="C316" s="3">
        <v>41432</v>
      </c>
      <c r="D316" s="1">
        <v>20.2</v>
      </c>
      <c r="E316" s="1">
        <v>14.5</v>
      </c>
      <c r="F316" s="1">
        <v>25.5</v>
      </c>
      <c r="G316" s="1">
        <f t="shared" si="48"/>
        <v>2036.7999999999997</v>
      </c>
      <c r="H316" s="1">
        <f t="shared" si="43"/>
        <v>282.79999999999995</v>
      </c>
      <c r="J316" s="1">
        <v>0</v>
      </c>
      <c r="K316" s="1">
        <f t="shared" si="49"/>
        <v>783.40000000000009</v>
      </c>
      <c r="L316" s="1">
        <v>5.7</v>
      </c>
      <c r="M316" s="1">
        <f t="shared" si="50"/>
        <v>320.00000000000017</v>
      </c>
      <c r="N316" s="1">
        <v>-5.7</v>
      </c>
      <c r="O316" s="1">
        <f t="shared" si="53"/>
        <v>91.40000000000002</v>
      </c>
      <c r="P316" s="1">
        <v>269</v>
      </c>
      <c r="Q316" s="1">
        <v>1.1499999999999999</v>
      </c>
      <c r="R316" s="9">
        <f t="shared" si="46"/>
        <v>6.5549999999999997</v>
      </c>
      <c r="S316" s="9">
        <f t="shared" si="47"/>
        <v>-6.5549999999999997</v>
      </c>
      <c r="T316" s="9">
        <f t="shared" si="51"/>
        <v>86.78</v>
      </c>
      <c r="V316" s="1">
        <v>3016.8</v>
      </c>
      <c r="X316" s="1">
        <f t="shared" si="52"/>
        <v>185494.09999999995</v>
      </c>
      <c r="Y316" s="1">
        <f t="shared" si="45"/>
        <v>33825.4</v>
      </c>
      <c r="AA316" s="1">
        <v>15.780992469005801</v>
      </c>
    </row>
    <row r="317" spans="1:27" s="28" customFormat="1" ht="15.75" thickBot="1" x14ac:dyDescent="0.3">
      <c r="A317" s="51"/>
      <c r="B317" s="26">
        <v>300</v>
      </c>
      <c r="C317" s="27">
        <v>41433</v>
      </c>
      <c r="D317" s="28">
        <v>19.5</v>
      </c>
      <c r="E317" s="28">
        <v>14.8</v>
      </c>
      <c r="F317" s="28">
        <v>25.4</v>
      </c>
      <c r="G317" s="28">
        <f t="shared" si="48"/>
        <v>2056.2999999999997</v>
      </c>
      <c r="H317" s="28">
        <f t="shared" si="43"/>
        <v>302.29999999999995</v>
      </c>
      <c r="J317" s="28">
        <v>8.5</v>
      </c>
      <c r="K317" s="28">
        <f t="shared" si="49"/>
        <v>791.90000000000009</v>
      </c>
      <c r="L317" s="28">
        <v>4.4000000000000004</v>
      </c>
      <c r="M317" s="28">
        <f t="shared" si="50"/>
        <v>324.40000000000015</v>
      </c>
      <c r="N317" s="28">
        <v>4.0999999999999996</v>
      </c>
      <c r="O317" s="28">
        <f t="shared" si="53"/>
        <v>95.500000000000014</v>
      </c>
      <c r="P317" s="28">
        <v>270</v>
      </c>
      <c r="Q317" s="28">
        <v>1.1499999999999999</v>
      </c>
      <c r="R317" s="29">
        <f t="shared" si="46"/>
        <v>5.0599999999999996</v>
      </c>
      <c r="S317" s="29">
        <f t="shared" si="47"/>
        <v>3.4400000000000004</v>
      </c>
      <c r="T317" s="29">
        <f t="shared" si="51"/>
        <v>90.22</v>
      </c>
      <c r="V317" s="28">
        <v>2390</v>
      </c>
      <c r="X317" s="28">
        <f t="shared" si="52"/>
        <v>187884.09999999995</v>
      </c>
      <c r="Y317" s="28">
        <f t="shared" si="45"/>
        <v>36215.4</v>
      </c>
      <c r="AA317" s="28">
        <v>15.8001688329819</v>
      </c>
    </row>
    <row r="318" spans="1:27" s="1" customFormat="1" x14ac:dyDescent="0.25">
      <c r="A318" s="52">
        <v>600</v>
      </c>
      <c r="B318" s="7"/>
      <c r="C318" s="3">
        <v>41434</v>
      </c>
      <c r="D318" s="1">
        <v>16.5</v>
      </c>
      <c r="E318" s="1">
        <v>13.9</v>
      </c>
      <c r="F318" s="1">
        <v>21.7</v>
      </c>
      <c r="G318" s="1">
        <f t="shared" si="48"/>
        <v>2072.7999999999997</v>
      </c>
      <c r="H318" s="1">
        <v>16.5</v>
      </c>
      <c r="I318" s="19" t="s">
        <v>3</v>
      </c>
      <c r="J318" s="1">
        <v>0</v>
      </c>
      <c r="K318" s="1">
        <f t="shared" si="49"/>
        <v>791.90000000000009</v>
      </c>
      <c r="L318" s="1">
        <v>3.3</v>
      </c>
      <c r="M318" s="1">
        <f t="shared" si="50"/>
        <v>327.70000000000016</v>
      </c>
      <c r="N318" s="1">
        <v>-3.3</v>
      </c>
      <c r="O318" s="1">
        <f t="shared" si="53"/>
        <v>92.200000000000017</v>
      </c>
      <c r="P318" s="1">
        <v>271</v>
      </c>
      <c r="Q318" s="20">
        <f>1.15+((P318-270)/58)*(0.35-1.15)</f>
        <v>1.136206896551724</v>
      </c>
      <c r="R318" s="9">
        <f t="shared" si="46"/>
        <v>3.7494827586206889</v>
      </c>
      <c r="S318" s="9">
        <f t="shared" si="47"/>
        <v>-3.7494827586206889</v>
      </c>
      <c r="T318" s="9">
        <f t="shared" si="51"/>
        <v>86.470517241379312</v>
      </c>
      <c r="U318" s="19" t="s">
        <v>4</v>
      </c>
      <c r="V318" s="1">
        <v>1817.5</v>
      </c>
      <c r="X318" s="1">
        <f t="shared" si="52"/>
        <v>189701.59999999995</v>
      </c>
      <c r="Y318" s="1">
        <v>1817.5</v>
      </c>
      <c r="Z318" s="19" t="s">
        <v>5</v>
      </c>
      <c r="AA318" s="1">
        <v>15.8181013476534</v>
      </c>
    </row>
    <row r="319" spans="1:27" s="1" customFormat="1" x14ac:dyDescent="0.25">
      <c r="A319" s="52"/>
      <c r="B319" s="7"/>
      <c r="C319" s="3">
        <v>41435</v>
      </c>
      <c r="D319" s="1">
        <v>16.399999999999999</v>
      </c>
      <c r="E319" s="1">
        <v>13.6</v>
      </c>
      <c r="F319" s="1">
        <v>19.5</v>
      </c>
      <c r="G319" s="1">
        <f t="shared" si="48"/>
        <v>2089.1999999999998</v>
      </c>
      <c r="H319" s="1">
        <f t="shared" si="43"/>
        <v>32.9</v>
      </c>
      <c r="I319" s="1">
        <f>MIN(E318:E334)</f>
        <v>10.3</v>
      </c>
      <c r="J319" s="1">
        <v>0.8</v>
      </c>
      <c r="K319" s="1">
        <f t="shared" si="49"/>
        <v>792.7</v>
      </c>
      <c r="L319" s="1">
        <v>2.2999999999999998</v>
      </c>
      <c r="M319" s="1">
        <f t="shared" si="50"/>
        <v>330.00000000000017</v>
      </c>
      <c r="N319" s="1">
        <v>-1.4999999999999998</v>
      </c>
      <c r="O319" s="1">
        <f t="shared" si="53"/>
        <v>90.700000000000017</v>
      </c>
      <c r="P319" s="1">
        <v>272</v>
      </c>
      <c r="Q319" s="20">
        <f t="shared" ref="Q319:Q375" si="54">1.15+((P319-270)/58)*(0.35-1.15)</f>
        <v>1.1224137931034481</v>
      </c>
      <c r="R319" s="9">
        <f t="shared" si="46"/>
        <v>2.5815517241379307</v>
      </c>
      <c r="S319" s="9">
        <f t="shared" si="47"/>
        <v>-1.7815517241379306</v>
      </c>
      <c r="T319" s="9">
        <f t="shared" si="51"/>
        <v>84.688965517241385</v>
      </c>
      <c r="U319" s="1">
        <v>14</v>
      </c>
      <c r="V319" s="1">
        <v>1567</v>
      </c>
      <c r="X319" s="1">
        <f t="shared" si="52"/>
        <v>191268.59999999995</v>
      </c>
      <c r="Y319" s="1">
        <f t="shared" si="45"/>
        <v>3384.5</v>
      </c>
      <c r="Z319" s="1">
        <f>Y334</f>
        <v>31646.399999999998</v>
      </c>
      <c r="AA319" s="1">
        <v>15.834773600236</v>
      </c>
    </row>
    <row r="320" spans="1:27" s="1" customFormat="1" x14ac:dyDescent="0.25">
      <c r="A320" s="52"/>
      <c r="B320" s="7"/>
      <c r="C320" s="3">
        <v>41436</v>
      </c>
      <c r="D320" s="1">
        <v>17.3</v>
      </c>
      <c r="E320" s="1">
        <v>14.4</v>
      </c>
      <c r="F320" s="1">
        <v>20.9</v>
      </c>
      <c r="G320" s="1">
        <f t="shared" si="48"/>
        <v>2106.5</v>
      </c>
      <c r="H320" s="1">
        <f t="shared" si="43"/>
        <v>50.2</v>
      </c>
      <c r="I320" s="19" t="s">
        <v>6</v>
      </c>
      <c r="J320" s="1">
        <v>0</v>
      </c>
      <c r="K320" s="1">
        <f t="shared" si="49"/>
        <v>792.7</v>
      </c>
      <c r="L320" s="1">
        <v>3.4</v>
      </c>
      <c r="M320" s="1">
        <f t="shared" si="50"/>
        <v>333.40000000000015</v>
      </c>
      <c r="N320" s="1">
        <v>-3.4</v>
      </c>
      <c r="O320" s="1">
        <f t="shared" si="53"/>
        <v>87.300000000000011</v>
      </c>
      <c r="P320" s="1">
        <v>273</v>
      </c>
      <c r="Q320" s="20">
        <f t="shared" si="54"/>
        <v>1.1086206896551722</v>
      </c>
      <c r="R320" s="9">
        <f t="shared" si="46"/>
        <v>3.7693103448275855</v>
      </c>
      <c r="S320" s="9">
        <f t="shared" si="47"/>
        <v>-3.7693103448275855</v>
      </c>
      <c r="T320" s="9">
        <f t="shared" si="51"/>
        <v>80.919655172413798</v>
      </c>
      <c r="U320" s="19" t="s">
        <v>7</v>
      </c>
      <c r="V320" s="1">
        <v>1897.3</v>
      </c>
      <c r="X320" s="1">
        <f t="shared" si="52"/>
        <v>193165.89999999994</v>
      </c>
      <c r="Y320" s="1">
        <f t="shared" si="45"/>
        <v>5281.8</v>
      </c>
      <c r="Z320" s="19" t="s">
        <v>8</v>
      </c>
      <c r="AA320" s="1">
        <v>15.850170188640201</v>
      </c>
    </row>
    <row r="321" spans="1:27" s="1" customFormat="1" x14ac:dyDescent="0.25">
      <c r="A321" s="52"/>
      <c r="B321" s="7"/>
      <c r="C321" s="3">
        <v>41437</v>
      </c>
      <c r="D321" s="1">
        <v>19.100000000000001</v>
      </c>
      <c r="E321" s="1">
        <v>14.4</v>
      </c>
      <c r="F321" s="1">
        <v>23.8</v>
      </c>
      <c r="G321" s="1">
        <f t="shared" si="48"/>
        <v>2125.6</v>
      </c>
      <c r="H321" s="1">
        <f t="shared" si="43"/>
        <v>69.300000000000011</v>
      </c>
      <c r="I321" s="1">
        <f>MAX(F318:F334)</f>
        <v>31.8</v>
      </c>
      <c r="J321" s="1">
        <v>0</v>
      </c>
      <c r="K321" s="1">
        <f t="shared" si="49"/>
        <v>792.7</v>
      </c>
      <c r="L321" s="1">
        <v>1.8</v>
      </c>
      <c r="M321" s="1">
        <f t="shared" si="50"/>
        <v>335.20000000000016</v>
      </c>
      <c r="N321" s="1">
        <v>-1.8</v>
      </c>
      <c r="O321" s="1">
        <f t="shared" si="53"/>
        <v>85.500000000000014</v>
      </c>
      <c r="P321" s="1">
        <v>274</v>
      </c>
      <c r="Q321" s="20">
        <f t="shared" si="54"/>
        <v>1.0948275862068966</v>
      </c>
      <c r="R321" s="9">
        <f t="shared" si="46"/>
        <v>1.9706896551724138</v>
      </c>
      <c r="S321" s="9">
        <f t="shared" si="47"/>
        <v>-1.9706896551724138</v>
      </c>
      <c r="T321" s="9">
        <f t="shared" si="51"/>
        <v>78.94896551724139</v>
      </c>
      <c r="U321" s="1">
        <v>0</v>
      </c>
      <c r="V321" s="1">
        <v>1040.2</v>
      </c>
      <c r="W321" s="14"/>
      <c r="X321" s="14">
        <f t="shared" si="52"/>
        <v>194206.09999999995</v>
      </c>
      <c r="Y321" s="1">
        <f t="shared" si="45"/>
        <v>6322</v>
      </c>
      <c r="Z321" s="1">
        <f>(Z319/100)/I331</f>
        <v>1.0201934235976788</v>
      </c>
      <c r="AA321" s="1">
        <v>15.8642767743228</v>
      </c>
    </row>
    <row r="322" spans="1:27" s="1" customFormat="1" ht="15" customHeight="1" x14ac:dyDescent="0.25">
      <c r="A322" s="52"/>
      <c r="B322" s="7"/>
      <c r="C322" s="3">
        <v>41438</v>
      </c>
      <c r="D322" s="1">
        <v>17.2</v>
      </c>
      <c r="E322" s="1">
        <v>13</v>
      </c>
      <c r="F322" s="1">
        <v>26.9</v>
      </c>
      <c r="G322" s="1">
        <f t="shared" si="48"/>
        <v>2142.7999999999997</v>
      </c>
      <c r="H322" s="1">
        <f t="shared" si="43"/>
        <v>86.500000000000014</v>
      </c>
      <c r="I322" s="19" t="s">
        <v>9</v>
      </c>
      <c r="J322" s="1">
        <v>19.7</v>
      </c>
      <c r="K322" s="1">
        <f t="shared" si="49"/>
        <v>812.40000000000009</v>
      </c>
      <c r="L322" s="1">
        <v>5.2</v>
      </c>
      <c r="M322" s="1">
        <f t="shared" si="50"/>
        <v>340.40000000000015</v>
      </c>
      <c r="N322" s="1">
        <v>14.5</v>
      </c>
      <c r="O322" s="1">
        <f t="shared" si="53"/>
        <v>100.00000000000001</v>
      </c>
      <c r="P322" s="1">
        <v>275</v>
      </c>
      <c r="Q322" s="20">
        <f t="shared" si="54"/>
        <v>1.0810344827586207</v>
      </c>
      <c r="R322" s="9">
        <f t="shared" si="46"/>
        <v>5.6213793103448282</v>
      </c>
      <c r="S322" s="9">
        <f t="shared" si="47"/>
        <v>14.078620689655171</v>
      </c>
      <c r="T322" s="9">
        <f t="shared" si="51"/>
        <v>93.027586206896558</v>
      </c>
      <c r="U322" s="19" t="s">
        <v>10</v>
      </c>
      <c r="V322" s="1">
        <v>2664</v>
      </c>
      <c r="X322" s="1">
        <f t="shared" si="52"/>
        <v>196870.09999999995</v>
      </c>
      <c r="Y322" s="1">
        <f t="shared" si="45"/>
        <v>8986</v>
      </c>
      <c r="Z322" s="19" t="s">
        <v>11</v>
      </c>
      <c r="AA322" s="1">
        <v>15.877080132290899</v>
      </c>
    </row>
    <row r="323" spans="1:27" s="1" customFormat="1" x14ac:dyDescent="0.25">
      <c r="A323" s="52"/>
      <c r="B323" s="7"/>
      <c r="C323" s="3">
        <v>41439</v>
      </c>
      <c r="D323" s="1">
        <v>14.7</v>
      </c>
      <c r="E323" s="1">
        <v>10.3</v>
      </c>
      <c r="F323" s="1">
        <v>18.7</v>
      </c>
      <c r="G323" s="1">
        <f t="shared" si="48"/>
        <v>2157.4999999999995</v>
      </c>
      <c r="H323" s="1">
        <f t="shared" si="43"/>
        <v>101.20000000000002</v>
      </c>
      <c r="I323" s="9">
        <f>AVERAGE(D318:D334)</f>
        <v>18.247058823529414</v>
      </c>
      <c r="J323" s="1">
        <v>0</v>
      </c>
      <c r="K323" s="1">
        <f t="shared" si="49"/>
        <v>812.40000000000009</v>
      </c>
      <c r="L323" s="1">
        <v>2.7</v>
      </c>
      <c r="M323" s="1">
        <f t="shared" si="50"/>
        <v>343.10000000000014</v>
      </c>
      <c r="N323" s="1">
        <v>-2.7</v>
      </c>
      <c r="O323" s="1">
        <f t="shared" si="53"/>
        <v>97.300000000000011</v>
      </c>
      <c r="P323" s="1">
        <v>276</v>
      </c>
      <c r="Q323" s="20">
        <f t="shared" si="54"/>
        <v>1.0672413793103448</v>
      </c>
      <c r="R323" s="9">
        <f t="shared" si="46"/>
        <v>2.8815517241379309</v>
      </c>
      <c r="S323" s="9">
        <f t="shared" si="47"/>
        <v>-2.8815517241379309</v>
      </c>
      <c r="T323" s="9">
        <f t="shared" si="51"/>
        <v>90.146034482758623</v>
      </c>
      <c r="U323" s="1">
        <v>0</v>
      </c>
      <c r="V323" s="1">
        <v>1871.9</v>
      </c>
      <c r="X323" s="1">
        <f t="shared" si="52"/>
        <v>198741.99999999994</v>
      </c>
      <c r="Y323" s="1">
        <f t="shared" si="45"/>
        <v>10857.9</v>
      </c>
      <c r="Z323" s="1">
        <v>1</v>
      </c>
      <c r="AA323" s="1">
        <v>15.8885681979102</v>
      </c>
    </row>
    <row r="324" spans="1:27" s="1" customFormat="1" x14ac:dyDescent="0.25">
      <c r="A324" s="52"/>
      <c r="B324" s="7"/>
      <c r="C324" s="3">
        <v>41440</v>
      </c>
      <c r="D324" s="1">
        <v>17.8</v>
      </c>
      <c r="E324" s="1">
        <v>11.6</v>
      </c>
      <c r="F324" s="1">
        <v>23.8</v>
      </c>
      <c r="G324" s="1">
        <f t="shared" si="48"/>
        <v>2175.2999999999997</v>
      </c>
      <c r="H324" s="1">
        <f t="shared" si="43"/>
        <v>119.00000000000001</v>
      </c>
      <c r="I324" s="19" t="s">
        <v>12</v>
      </c>
      <c r="J324" s="1">
        <v>0</v>
      </c>
      <c r="K324" s="1">
        <f t="shared" si="49"/>
        <v>812.40000000000009</v>
      </c>
      <c r="L324" s="1">
        <v>3.6</v>
      </c>
      <c r="M324" s="1">
        <f t="shared" si="50"/>
        <v>346.70000000000016</v>
      </c>
      <c r="N324" s="1">
        <v>-3.6</v>
      </c>
      <c r="O324" s="1">
        <f t="shared" si="53"/>
        <v>93.700000000000017</v>
      </c>
      <c r="P324" s="1">
        <v>277</v>
      </c>
      <c r="Q324" s="20">
        <f t="shared" si="54"/>
        <v>1.0534482758620689</v>
      </c>
      <c r="R324" s="9">
        <f t="shared" si="46"/>
        <v>3.7924137931034481</v>
      </c>
      <c r="S324" s="9">
        <f t="shared" si="47"/>
        <v>-3.7924137931034481</v>
      </c>
      <c r="T324" s="9">
        <f t="shared" si="51"/>
        <v>86.353620689655173</v>
      </c>
      <c r="U324" s="19" t="s">
        <v>13</v>
      </c>
      <c r="V324" s="1">
        <v>2044.9</v>
      </c>
      <c r="X324" s="1">
        <f t="shared" si="52"/>
        <v>200786.89999999994</v>
      </c>
      <c r="Y324" s="1">
        <f t="shared" si="45"/>
        <v>12902.8</v>
      </c>
      <c r="AA324" s="1">
        <v>15.898730110178001</v>
      </c>
    </row>
    <row r="325" spans="1:27" s="1" customFormat="1" x14ac:dyDescent="0.25">
      <c r="A325" s="52"/>
      <c r="B325" s="7"/>
      <c r="C325" s="3">
        <v>41441</v>
      </c>
      <c r="D325" s="1">
        <v>20.9</v>
      </c>
      <c r="E325" s="1">
        <v>13.1</v>
      </c>
      <c r="F325" s="1">
        <v>26.7</v>
      </c>
      <c r="G325" s="1">
        <f t="shared" si="48"/>
        <v>2196.1999999999998</v>
      </c>
      <c r="H325" s="1">
        <f t="shared" si="43"/>
        <v>139.9</v>
      </c>
      <c r="I325" s="1">
        <v>0</v>
      </c>
      <c r="J325" s="1">
        <v>0</v>
      </c>
      <c r="K325" s="1">
        <f t="shared" si="49"/>
        <v>812.40000000000009</v>
      </c>
      <c r="L325" s="1">
        <v>4.7</v>
      </c>
      <c r="M325" s="1">
        <f t="shared" si="50"/>
        <v>351.40000000000015</v>
      </c>
      <c r="N325" s="1">
        <v>-4.7</v>
      </c>
      <c r="O325" s="1">
        <f t="shared" si="53"/>
        <v>89.000000000000014</v>
      </c>
      <c r="P325" s="1">
        <v>278</v>
      </c>
      <c r="Q325" s="20">
        <f t="shared" si="54"/>
        <v>1.039655172413793</v>
      </c>
      <c r="R325" s="9">
        <f t="shared" si="46"/>
        <v>4.886379310344827</v>
      </c>
      <c r="S325" s="9">
        <f t="shared" si="47"/>
        <v>-4.886379310344827</v>
      </c>
      <c r="T325" s="9">
        <f t="shared" si="51"/>
        <v>81.467241379310352</v>
      </c>
      <c r="U325" s="9">
        <f>MIN(T318:T334)</f>
        <v>68.818965517241395</v>
      </c>
      <c r="V325" s="1">
        <v>2665.4</v>
      </c>
      <c r="X325" s="1">
        <f t="shared" si="52"/>
        <v>203452.29999999993</v>
      </c>
      <c r="Y325" s="1">
        <f t="shared" si="45"/>
        <v>15568.199999999999</v>
      </c>
      <c r="AA325" s="1">
        <v>15.907556251147501</v>
      </c>
    </row>
    <row r="326" spans="1:27" s="1" customFormat="1" x14ac:dyDescent="0.25">
      <c r="A326" s="52"/>
      <c r="B326" s="7"/>
      <c r="C326" s="3">
        <v>41442</v>
      </c>
      <c r="D326" s="1">
        <v>24.1</v>
      </c>
      <c r="E326" s="1">
        <v>18.2</v>
      </c>
      <c r="F326" s="1">
        <v>30</v>
      </c>
      <c r="G326" s="1">
        <f t="shared" si="48"/>
        <v>2220.2999999999997</v>
      </c>
      <c r="H326" s="1">
        <f t="shared" si="43"/>
        <v>164</v>
      </c>
      <c r="I326" s="19" t="s">
        <v>14</v>
      </c>
      <c r="J326" s="1">
        <v>0</v>
      </c>
      <c r="K326" s="1">
        <f t="shared" si="49"/>
        <v>812.40000000000009</v>
      </c>
      <c r="L326" s="1">
        <v>6.8</v>
      </c>
      <c r="M326" s="1">
        <f t="shared" si="50"/>
        <v>358.20000000000016</v>
      </c>
      <c r="N326" s="1">
        <v>-6.8</v>
      </c>
      <c r="O326" s="1">
        <f t="shared" si="53"/>
        <v>82.200000000000017</v>
      </c>
      <c r="P326" s="1">
        <v>279</v>
      </c>
      <c r="Q326" s="20">
        <f t="shared" si="54"/>
        <v>1.0258620689655171</v>
      </c>
      <c r="R326" s="9">
        <f t="shared" si="46"/>
        <v>6.9758620689655162</v>
      </c>
      <c r="S326" s="9">
        <f t="shared" si="47"/>
        <v>-6.9758620689655162</v>
      </c>
      <c r="T326" s="9">
        <f t="shared" si="51"/>
        <v>74.49137931034484</v>
      </c>
      <c r="U326" s="19" t="s">
        <v>15</v>
      </c>
      <c r="V326" s="1">
        <v>2841.8</v>
      </c>
      <c r="X326" s="1">
        <f t="shared" si="52"/>
        <v>206294.09999999992</v>
      </c>
      <c r="Y326" s="1">
        <f t="shared" si="45"/>
        <v>18410</v>
      </c>
      <c r="AA326" s="1">
        <v>15.915038281206501</v>
      </c>
    </row>
    <row r="327" spans="1:27" s="1" customFormat="1" x14ac:dyDescent="0.25">
      <c r="A327" s="52"/>
      <c r="B327" s="7"/>
      <c r="C327" s="3">
        <v>41443</v>
      </c>
      <c r="D327" s="1">
        <v>26.1</v>
      </c>
      <c r="E327" s="1">
        <v>19.8</v>
      </c>
      <c r="F327" s="1">
        <v>31.8</v>
      </c>
      <c r="G327" s="1">
        <f t="shared" si="48"/>
        <v>2246.3999999999996</v>
      </c>
      <c r="H327" s="1">
        <f t="shared" si="43"/>
        <v>190.1</v>
      </c>
      <c r="I327" s="1">
        <v>5</v>
      </c>
      <c r="J327" s="1">
        <v>0.4</v>
      </c>
      <c r="K327" s="1">
        <f t="shared" si="49"/>
        <v>812.80000000000007</v>
      </c>
      <c r="L327" s="1">
        <v>6</v>
      </c>
      <c r="M327" s="1">
        <f t="shared" si="50"/>
        <v>364.20000000000016</v>
      </c>
      <c r="N327" s="1">
        <v>-5.6</v>
      </c>
      <c r="O327" s="1">
        <f t="shared" si="53"/>
        <v>76.600000000000023</v>
      </c>
      <c r="P327" s="1">
        <v>280</v>
      </c>
      <c r="Q327" s="20">
        <f t="shared" si="54"/>
        <v>1.0120689655172412</v>
      </c>
      <c r="R327" s="9">
        <f t="shared" si="46"/>
        <v>6.072413793103447</v>
      </c>
      <c r="S327" s="9">
        <f t="shared" si="47"/>
        <v>-5.6724137931034466</v>
      </c>
      <c r="T327" s="9">
        <f t="shared" si="51"/>
        <v>68.818965517241395</v>
      </c>
      <c r="U327" s="9">
        <f>MAX(T318:T334)</f>
        <v>119.15120689655174</v>
      </c>
      <c r="V327" s="1">
        <v>2737.6</v>
      </c>
      <c r="X327" s="1">
        <f t="shared" si="52"/>
        <v>209031.69999999992</v>
      </c>
      <c r="Y327" s="1">
        <f t="shared" si="45"/>
        <v>21147.599999999999</v>
      </c>
      <c r="AA327" s="1">
        <v>15.9211691699458</v>
      </c>
    </row>
    <row r="328" spans="1:27" s="1" customFormat="1" x14ac:dyDescent="0.25">
      <c r="A328" s="52"/>
      <c r="B328" s="7"/>
      <c r="C328" s="3">
        <v>41444</v>
      </c>
      <c r="D328" s="1">
        <v>24.6</v>
      </c>
      <c r="E328" s="1">
        <v>20.8</v>
      </c>
      <c r="F328" s="1">
        <v>29.4</v>
      </c>
      <c r="G328" s="1">
        <f t="shared" si="48"/>
        <v>2270.9999999999995</v>
      </c>
      <c r="H328" s="1">
        <f t="shared" si="43"/>
        <v>214.7</v>
      </c>
      <c r="I328" s="19" t="s">
        <v>16</v>
      </c>
      <c r="J328" s="1">
        <v>50.6</v>
      </c>
      <c r="K328" s="1">
        <f t="shared" si="49"/>
        <v>863.40000000000009</v>
      </c>
      <c r="L328" s="1">
        <v>3.4</v>
      </c>
      <c r="M328" s="1">
        <f t="shared" si="50"/>
        <v>367.60000000000014</v>
      </c>
      <c r="N328" s="1">
        <v>47.2</v>
      </c>
      <c r="O328" s="1">
        <v>122.1</v>
      </c>
      <c r="P328" s="1">
        <v>281</v>
      </c>
      <c r="Q328" s="20">
        <f t="shared" si="54"/>
        <v>0.99827586206896546</v>
      </c>
      <c r="R328" s="9">
        <f t="shared" si="46"/>
        <v>3.3941379310344826</v>
      </c>
      <c r="S328" s="9">
        <f t="shared" si="47"/>
        <v>47.205862068965516</v>
      </c>
      <c r="T328" s="9">
        <f t="shared" si="51"/>
        <v>116.02482758620691</v>
      </c>
      <c r="U328" s="19" t="s">
        <v>17</v>
      </c>
      <c r="V328" s="1">
        <v>1686.7</v>
      </c>
      <c r="X328" s="1">
        <f t="shared" si="52"/>
        <v>210718.39999999994</v>
      </c>
      <c r="Y328" s="1">
        <f t="shared" si="45"/>
        <v>22834.3</v>
      </c>
      <c r="AA328" s="1">
        <v>15.9259432223794</v>
      </c>
    </row>
    <row r="329" spans="1:27" s="1" customFormat="1" x14ac:dyDescent="0.25">
      <c r="A329" s="52"/>
      <c r="B329" s="7"/>
      <c r="C329" s="3">
        <v>41445</v>
      </c>
      <c r="D329" s="1">
        <v>18</v>
      </c>
      <c r="E329" s="1">
        <v>16</v>
      </c>
      <c r="F329" s="1">
        <v>19.600000000000001</v>
      </c>
      <c r="G329" s="1">
        <f t="shared" si="48"/>
        <v>2288.9999999999995</v>
      </c>
      <c r="H329" s="1">
        <f t="shared" si="43"/>
        <v>232.7</v>
      </c>
      <c r="I329" s="1">
        <v>0</v>
      </c>
      <c r="J329" s="1">
        <v>4.8</v>
      </c>
      <c r="K329" s="1">
        <f t="shared" si="49"/>
        <v>868.2</v>
      </c>
      <c r="L329" s="1">
        <v>1.7</v>
      </c>
      <c r="M329" s="1">
        <f t="shared" si="50"/>
        <v>369.30000000000013</v>
      </c>
      <c r="N329" s="1">
        <v>3.0999999999999996</v>
      </c>
      <c r="O329" s="1">
        <v>122.1</v>
      </c>
      <c r="P329" s="1">
        <v>282</v>
      </c>
      <c r="Q329" s="20">
        <f t="shared" si="54"/>
        <v>0.98448275862068957</v>
      </c>
      <c r="R329" s="9">
        <f t="shared" si="46"/>
        <v>1.6736206896551722</v>
      </c>
      <c r="S329" s="9">
        <f t="shared" si="47"/>
        <v>3.1263793103448276</v>
      </c>
      <c r="T329" s="9">
        <f t="shared" si="51"/>
        <v>119.15120689655174</v>
      </c>
      <c r="U329" s="20">
        <f>AVERAGE(T318:T334)</f>
        <v>95.118073022312387</v>
      </c>
      <c r="V329" s="1">
        <v>872.1</v>
      </c>
      <c r="X329" s="1">
        <f t="shared" si="52"/>
        <v>211590.49999999994</v>
      </c>
      <c r="Y329" s="1">
        <f t="shared" si="45"/>
        <v>23706.399999999998</v>
      </c>
      <c r="AA329" s="1">
        <v>15.9293561003129</v>
      </c>
    </row>
    <row r="330" spans="1:27" s="1" customFormat="1" x14ac:dyDescent="0.25">
      <c r="A330" s="52"/>
      <c r="B330" s="7"/>
      <c r="C330" s="3">
        <v>41446</v>
      </c>
      <c r="D330" s="1">
        <v>17.2</v>
      </c>
      <c r="E330" s="1">
        <v>14.7</v>
      </c>
      <c r="F330" s="1">
        <v>19.899999999999999</v>
      </c>
      <c r="G330" s="1">
        <f t="shared" si="48"/>
        <v>2306.1999999999994</v>
      </c>
      <c r="H330" s="1">
        <f t="shared" si="43"/>
        <v>249.89999999999998</v>
      </c>
      <c r="I330" s="19" t="s">
        <v>18</v>
      </c>
      <c r="J330" s="1">
        <v>0</v>
      </c>
      <c r="K330" s="1">
        <f t="shared" si="49"/>
        <v>868.2</v>
      </c>
      <c r="L330" s="1">
        <v>2.8</v>
      </c>
      <c r="M330" s="1">
        <f t="shared" si="50"/>
        <v>372.10000000000014</v>
      </c>
      <c r="N330" s="1">
        <v>-2.8</v>
      </c>
      <c r="O330" s="1">
        <f t="shared" ref="O330:O375" si="55">O329+N330</f>
        <v>119.3</v>
      </c>
      <c r="P330" s="1">
        <v>283</v>
      </c>
      <c r="Q330" s="20">
        <f t="shared" si="54"/>
        <v>0.97068965517241368</v>
      </c>
      <c r="R330" s="9">
        <f t="shared" si="46"/>
        <v>2.7179310344827581</v>
      </c>
      <c r="S330" s="9">
        <f t="shared" si="47"/>
        <v>-2.7179310344827581</v>
      </c>
      <c r="T330" s="9">
        <f t="shared" si="51"/>
        <v>116.43327586206898</v>
      </c>
      <c r="V330" s="1">
        <v>1517.7</v>
      </c>
      <c r="X330" s="1">
        <f t="shared" si="52"/>
        <v>213108.19999999995</v>
      </c>
      <c r="Y330" s="1">
        <f t="shared" si="45"/>
        <v>25224.1</v>
      </c>
      <c r="AA330" s="1">
        <v>15.9314048386947</v>
      </c>
    </row>
    <row r="331" spans="1:27" s="1" customFormat="1" x14ac:dyDescent="0.25">
      <c r="A331" s="52"/>
      <c r="B331" s="7"/>
      <c r="C331" s="3">
        <v>41447</v>
      </c>
      <c r="D331" s="1">
        <v>17.5</v>
      </c>
      <c r="E331" s="1">
        <v>12.2</v>
      </c>
      <c r="F331" s="1">
        <v>21.8</v>
      </c>
      <c r="G331" s="1">
        <f t="shared" si="48"/>
        <v>2323.6999999999994</v>
      </c>
      <c r="H331" s="1">
        <f t="shared" si="43"/>
        <v>267.39999999999998</v>
      </c>
      <c r="I331" s="1">
        <v>310.2</v>
      </c>
      <c r="J331" s="1">
        <v>0</v>
      </c>
      <c r="K331" s="1">
        <f t="shared" si="49"/>
        <v>868.2</v>
      </c>
      <c r="L331" s="1">
        <v>3.3</v>
      </c>
      <c r="M331" s="1">
        <f t="shared" si="50"/>
        <v>375.40000000000015</v>
      </c>
      <c r="N331" s="1">
        <v>-3.3</v>
      </c>
      <c r="O331" s="1">
        <f t="shared" si="55"/>
        <v>116</v>
      </c>
      <c r="P331" s="1">
        <v>284</v>
      </c>
      <c r="Q331" s="20">
        <f t="shared" si="54"/>
        <v>0.9568965517241379</v>
      </c>
      <c r="R331" s="9">
        <f t="shared" si="46"/>
        <v>3.1577586206896551</v>
      </c>
      <c r="S331" s="9">
        <f t="shared" si="47"/>
        <v>-3.1577586206896551</v>
      </c>
      <c r="T331" s="9">
        <f t="shared" si="51"/>
        <v>113.27551724137933</v>
      </c>
      <c r="U331" s="9">
        <f>(U329*100)/122.1</f>
        <v>77.901779707053549</v>
      </c>
      <c r="V331" s="1">
        <v>1733.6</v>
      </c>
      <c r="X331" s="1">
        <f t="shared" si="52"/>
        <v>214841.79999999996</v>
      </c>
      <c r="Y331" s="1">
        <f t="shared" si="45"/>
        <v>26957.699999999997</v>
      </c>
      <c r="AA331" s="1">
        <v>15.9320878568184</v>
      </c>
    </row>
    <row r="332" spans="1:27" s="1" customFormat="1" x14ac:dyDescent="0.25">
      <c r="A332" s="52"/>
      <c r="B332" s="7"/>
      <c r="C332" s="3">
        <v>41448</v>
      </c>
      <c r="D332" s="1">
        <v>15.6</v>
      </c>
      <c r="E332" s="1">
        <v>15.1</v>
      </c>
      <c r="F332" s="1">
        <v>17</v>
      </c>
      <c r="G332" s="1">
        <f t="shared" si="48"/>
        <v>2339.2999999999993</v>
      </c>
      <c r="H332" s="1">
        <f t="shared" si="43"/>
        <v>283</v>
      </c>
      <c r="J332" s="1">
        <v>1.3</v>
      </c>
      <c r="K332" s="1">
        <f t="shared" si="49"/>
        <v>869.5</v>
      </c>
      <c r="L332" s="1">
        <v>4.2</v>
      </c>
      <c r="M332" s="1">
        <f t="shared" si="50"/>
        <v>379.60000000000014</v>
      </c>
      <c r="N332" s="1">
        <v>-2.9000000000000004</v>
      </c>
      <c r="O332" s="1">
        <f t="shared" si="55"/>
        <v>113.1</v>
      </c>
      <c r="P332" s="1">
        <v>285</v>
      </c>
      <c r="Q332" s="20">
        <f t="shared" si="54"/>
        <v>0.94310344827586201</v>
      </c>
      <c r="R332" s="9">
        <f t="shared" si="46"/>
        <v>3.9610344827586208</v>
      </c>
      <c r="S332" s="9">
        <f t="shared" si="47"/>
        <v>-2.6610344827586205</v>
      </c>
      <c r="T332" s="9">
        <f t="shared" si="51"/>
        <v>110.61448275862071</v>
      </c>
      <c r="V332" s="1">
        <v>2278.3000000000002</v>
      </c>
      <c r="X332" s="1">
        <f t="shared" si="52"/>
        <v>217120.09999999995</v>
      </c>
      <c r="Y332" s="1">
        <f t="shared" si="45"/>
        <v>29235.999999999996</v>
      </c>
      <c r="AA332" s="1">
        <v>15.9314049642899</v>
      </c>
    </row>
    <row r="333" spans="1:27" s="1" customFormat="1" x14ac:dyDescent="0.25">
      <c r="A333" s="52"/>
      <c r="B333" s="7"/>
      <c r="C333" s="3">
        <v>41449</v>
      </c>
      <c r="D333" s="1">
        <v>13.6</v>
      </c>
      <c r="E333" s="1">
        <v>12.7</v>
      </c>
      <c r="F333" s="1">
        <v>14.9</v>
      </c>
      <c r="G333" s="1">
        <f t="shared" si="48"/>
        <v>2352.8999999999992</v>
      </c>
      <c r="H333" s="1">
        <f t="shared" si="43"/>
        <v>296.60000000000002</v>
      </c>
      <c r="J333" s="1">
        <v>0.2</v>
      </c>
      <c r="K333" s="1">
        <f t="shared" si="49"/>
        <v>869.7</v>
      </c>
      <c r="L333" s="1">
        <v>1.9</v>
      </c>
      <c r="M333" s="1">
        <f t="shared" si="50"/>
        <v>381.50000000000011</v>
      </c>
      <c r="N333" s="1">
        <v>-1.7</v>
      </c>
      <c r="O333" s="1">
        <f t="shared" si="55"/>
        <v>111.39999999999999</v>
      </c>
      <c r="P333" s="1">
        <v>286</v>
      </c>
      <c r="Q333" s="20">
        <f t="shared" si="54"/>
        <v>0.92931034482758612</v>
      </c>
      <c r="R333" s="9">
        <f t="shared" si="46"/>
        <v>1.7656896551724135</v>
      </c>
      <c r="S333" s="9">
        <f t="shared" si="47"/>
        <v>-1.5656896551724135</v>
      </c>
      <c r="T333" s="9">
        <f t="shared" si="51"/>
        <v>109.04879310344829</v>
      </c>
      <c r="V333" s="1">
        <v>1086.2</v>
      </c>
      <c r="X333" s="1">
        <f t="shared" si="52"/>
        <v>218206.29999999996</v>
      </c>
      <c r="Y333" s="1">
        <f t="shared" si="45"/>
        <v>30322.199999999997</v>
      </c>
      <c r="AA333" s="1">
        <v>15.9293573617103</v>
      </c>
    </row>
    <row r="334" spans="1:27" s="28" customFormat="1" ht="15.75" thickBot="1" x14ac:dyDescent="0.3">
      <c r="A334" s="52"/>
      <c r="B334" s="26">
        <v>600</v>
      </c>
      <c r="C334" s="27">
        <v>41450</v>
      </c>
      <c r="D334" s="28">
        <v>13.6</v>
      </c>
      <c r="E334" s="28">
        <v>11.2</v>
      </c>
      <c r="F334" s="28">
        <v>16</v>
      </c>
      <c r="G334" s="28">
        <f t="shared" si="48"/>
        <v>2366.4999999999991</v>
      </c>
      <c r="H334" s="28">
        <f t="shared" si="43"/>
        <v>310.20000000000005</v>
      </c>
      <c r="J334" s="28">
        <v>0</v>
      </c>
      <c r="K334" s="28">
        <f t="shared" si="49"/>
        <v>869.7</v>
      </c>
      <c r="L334" s="28">
        <v>2.1</v>
      </c>
      <c r="M334" s="28">
        <f t="shared" si="50"/>
        <v>383.60000000000014</v>
      </c>
      <c r="N334" s="28">
        <v>-2.1</v>
      </c>
      <c r="O334" s="28">
        <f t="shared" si="55"/>
        <v>109.3</v>
      </c>
      <c r="P334" s="28">
        <v>287</v>
      </c>
      <c r="Q334" s="35">
        <f t="shared" si="54"/>
        <v>0.91551724137931023</v>
      </c>
      <c r="R334" s="29">
        <f t="shared" si="46"/>
        <v>1.9225862068965516</v>
      </c>
      <c r="S334" s="29">
        <f t="shared" si="47"/>
        <v>-1.9225862068965516</v>
      </c>
      <c r="T334" s="29">
        <f t="shared" si="51"/>
        <v>107.12620689655174</v>
      </c>
      <c r="V334" s="28">
        <v>1324.2</v>
      </c>
      <c r="X334" s="28">
        <f t="shared" si="52"/>
        <v>219530.49999999997</v>
      </c>
      <c r="Y334" s="28">
        <f t="shared" si="45"/>
        <v>31646.399999999998</v>
      </c>
      <c r="AA334" s="28">
        <v>15.9259476360702</v>
      </c>
    </row>
    <row r="335" spans="1:27" s="1" customFormat="1" x14ac:dyDescent="0.25">
      <c r="A335" s="43">
        <v>1000</v>
      </c>
      <c r="B335" s="7"/>
      <c r="C335" s="3">
        <v>41451</v>
      </c>
      <c r="D335" s="1">
        <v>14.6</v>
      </c>
      <c r="E335" s="1">
        <v>10.3</v>
      </c>
      <c r="F335" s="1">
        <v>18.600000000000001</v>
      </c>
      <c r="G335" s="1">
        <f t="shared" si="48"/>
        <v>2381.099999999999</v>
      </c>
      <c r="H335" s="1">
        <v>14.6</v>
      </c>
      <c r="I335" s="21" t="s">
        <v>3</v>
      </c>
      <c r="J335" s="1">
        <v>0</v>
      </c>
      <c r="K335" s="1">
        <f t="shared" si="49"/>
        <v>869.7</v>
      </c>
      <c r="L335" s="1">
        <v>3.6</v>
      </c>
      <c r="M335" s="1">
        <f t="shared" si="50"/>
        <v>387.20000000000016</v>
      </c>
      <c r="N335" s="1">
        <v>-3.6</v>
      </c>
      <c r="O335" s="1">
        <f t="shared" si="55"/>
        <v>105.7</v>
      </c>
      <c r="P335" s="1">
        <v>288</v>
      </c>
      <c r="Q335" s="20">
        <f t="shared" si="54"/>
        <v>0.90172413793103434</v>
      </c>
      <c r="R335" s="9">
        <f t="shared" si="46"/>
        <v>3.2462068965517239</v>
      </c>
      <c r="S335" s="9">
        <f t="shared" si="47"/>
        <v>-3.2462068965517239</v>
      </c>
      <c r="T335" s="9">
        <f t="shared" si="51"/>
        <v>103.88000000000001</v>
      </c>
      <c r="U335" s="21" t="s">
        <v>4</v>
      </c>
      <c r="V335" s="1">
        <v>2303.3000000000002</v>
      </c>
      <c r="X335" s="1">
        <f t="shared" si="52"/>
        <v>221833.79999999996</v>
      </c>
      <c r="Y335" s="1">
        <v>2303.3000000000002</v>
      </c>
      <c r="Z335" s="21" t="s">
        <v>5</v>
      </c>
      <c r="AA335" s="1">
        <v>15.921179750890801</v>
      </c>
    </row>
    <row r="336" spans="1:27" s="1" customFormat="1" x14ac:dyDescent="0.25">
      <c r="A336" s="43"/>
      <c r="B336" s="7"/>
      <c r="C336" s="3">
        <v>41452</v>
      </c>
      <c r="D336" s="1">
        <v>13.6</v>
      </c>
      <c r="E336" s="1">
        <v>9.5</v>
      </c>
      <c r="F336" s="1">
        <v>18.7</v>
      </c>
      <c r="G336" s="1">
        <f t="shared" si="48"/>
        <v>2394.6999999999989</v>
      </c>
      <c r="H336" s="1">
        <f t="shared" si="43"/>
        <v>28.2</v>
      </c>
      <c r="I336" s="1">
        <f>MIN(E335:E355)</f>
        <v>9.5</v>
      </c>
      <c r="J336" s="1">
        <v>2.2999999999999998</v>
      </c>
      <c r="K336" s="1">
        <f t="shared" si="49"/>
        <v>872</v>
      </c>
      <c r="L336" s="1">
        <v>2.6</v>
      </c>
      <c r="M336" s="1">
        <f t="shared" si="50"/>
        <v>389.80000000000018</v>
      </c>
      <c r="N336" s="1">
        <v>-0.30000000000000027</v>
      </c>
      <c r="O336" s="1">
        <f t="shared" si="55"/>
        <v>105.4</v>
      </c>
      <c r="P336" s="1">
        <v>289</v>
      </c>
      <c r="Q336" s="20">
        <f t="shared" si="54"/>
        <v>0.88793103448275856</v>
      </c>
      <c r="R336" s="9">
        <f t="shared" si="46"/>
        <v>2.3086206896551724</v>
      </c>
      <c r="S336" s="9">
        <f t="shared" si="47"/>
        <v>-8.6206896551725976E-3</v>
      </c>
      <c r="T336" s="9">
        <f t="shared" si="51"/>
        <v>103.87137931034484</v>
      </c>
      <c r="U336" s="1">
        <v>17</v>
      </c>
      <c r="V336" s="1">
        <v>1783</v>
      </c>
      <c r="X336" s="1">
        <f t="shared" si="52"/>
        <v>223616.79999999996</v>
      </c>
      <c r="Y336" s="1">
        <f t="shared" si="45"/>
        <v>4086.3</v>
      </c>
      <c r="Z336" s="1">
        <f>Y355</f>
        <v>49686.299999999988</v>
      </c>
      <c r="AA336" s="1">
        <v>15.915059031190699</v>
      </c>
    </row>
    <row r="337" spans="1:27" s="1" customFormat="1" x14ac:dyDescent="0.25">
      <c r="A337" s="43"/>
      <c r="B337" s="7"/>
      <c r="C337" s="3">
        <v>41453</v>
      </c>
      <c r="D337" s="1">
        <v>13</v>
      </c>
      <c r="E337" s="1">
        <v>9.5</v>
      </c>
      <c r="F337" s="1">
        <v>15.9</v>
      </c>
      <c r="G337" s="1">
        <f t="shared" si="48"/>
        <v>2407.6999999999989</v>
      </c>
      <c r="H337" s="1">
        <f t="shared" ref="H337:H375" si="56">H336+D337</f>
        <v>41.2</v>
      </c>
      <c r="I337" s="21" t="s">
        <v>6</v>
      </c>
      <c r="J337" s="1">
        <v>5.3</v>
      </c>
      <c r="K337" s="1">
        <f t="shared" si="49"/>
        <v>877.3</v>
      </c>
      <c r="L337" s="1">
        <v>2.6</v>
      </c>
      <c r="M337" s="1">
        <f t="shared" si="50"/>
        <v>392.4000000000002</v>
      </c>
      <c r="N337" s="1">
        <v>2.6999999999999997</v>
      </c>
      <c r="O337" s="1">
        <f t="shared" si="55"/>
        <v>108.10000000000001</v>
      </c>
      <c r="P337" s="1">
        <v>290</v>
      </c>
      <c r="Q337" s="20">
        <f t="shared" si="54"/>
        <v>0.87413793103448267</v>
      </c>
      <c r="R337" s="9">
        <f t="shared" si="46"/>
        <v>2.2727586206896548</v>
      </c>
      <c r="S337" s="9">
        <f t="shared" si="47"/>
        <v>3.027241379310345</v>
      </c>
      <c r="T337" s="9">
        <f t="shared" si="51"/>
        <v>106.89862068965517</v>
      </c>
      <c r="U337" s="21" t="s">
        <v>7</v>
      </c>
      <c r="V337" s="1">
        <v>1793.6</v>
      </c>
      <c r="X337" s="1">
        <f t="shared" si="52"/>
        <v>225410.39999999997</v>
      </c>
      <c r="Y337" s="1">
        <f t="shared" si="45"/>
        <v>5879.9</v>
      </c>
      <c r="Z337" s="21" t="s">
        <v>8</v>
      </c>
      <c r="AA337" s="1">
        <v>15.9075921433968</v>
      </c>
    </row>
    <row r="338" spans="1:27" s="1" customFormat="1" x14ac:dyDescent="0.25">
      <c r="A338" s="43"/>
      <c r="B338" s="7"/>
      <c r="C338" s="3">
        <v>41454</v>
      </c>
      <c r="D338" s="1">
        <v>15.4</v>
      </c>
      <c r="E338" s="1">
        <v>13.3</v>
      </c>
      <c r="F338" s="1">
        <v>18.7</v>
      </c>
      <c r="G338" s="1">
        <f t="shared" si="48"/>
        <v>2423.099999999999</v>
      </c>
      <c r="H338" s="1">
        <f t="shared" si="56"/>
        <v>56.6</v>
      </c>
      <c r="I338" s="1">
        <f>MAX(F335:F355)</f>
        <v>29.2</v>
      </c>
      <c r="J338" s="1">
        <v>2.4</v>
      </c>
      <c r="K338" s="1">
        <f t="shared" si="49"/>
        <v>879.69999999999993</v>
      </c>
      <c r="L338" s="1">
        <v>1.1000000000000001</v>
      </c>
      <c r="M338" s="1">
        <f t="shared" si="50"/>
        <v>393.50000000000023</v>
      </c>
      <c r="N338" s="1">
        <v>1.2999999999999998</v>
      </c>
      <c r="O338" s="1">
        <f t="shared" si="55"/>
        <v>109.4</v>
      </c>
      <c r="P338" s="1">
        <v>291</v>
      </c>
      <c r="Q338" s="20">
        <f t="shared" si="54"/>
        <v>0.8603448275862069</v>
      </c>
      <c r="R338" s="9">
        <f t="shared" si="46"/>
        <v>0.9463793103448277</v>
      </c>
      <c r="S338" s="9">
        <f t="shared" si="47"/>
        <v>1.4536206896551722</v>
      </c>
      <c r="T338" s="9">
        <f t="shared" si="51"/>
        <v>108.35224137931034</v>
      </c>
      <c r="U338" s="1">
        <v>0</v>
      </c>
      <c r="V338" s="1">
        <v>661.7</v>
      </c>
      <c r="X338" s="1">
        <f t="shared" si="52"/>
        <v>226072.09999999998</v>
      </c>
      <c r="Y338" s="1">
        <f t="shared" si="45"/>
        <v>6541.5999999999995</v>
      </c>
      <c r="Z338" s="1">
        <f>(Z336/100)/I348</f>
        <v>1.20276688453159</v>
      </c>
      <c r="AA338" s="1">
        <v>15.8987870703568</v>
      </c>
    </row>
    <row r="339" spans="1:27" s="1" customFormat="1" x14ac:dyDescent="0.25">
      <c r="A339" s="43"/>
      <c r="B339" s="7"/>
      <c r="C339" s="3">
        <v>41455</v>
      </c>
      <c r="D339" s="1">
        <v>16.3</v>
      </c>
      <c r="E339" s="1">
        <v>11.1</v>
      </c>
      <c r="F339" s="1">
        <v>21.2</v>
      </c>
      <c r="G339" s="1">
        <f t="shared" si="48"/>
        <v>2439.3999999999992</v>
      </c>
      <c r="H339" s="1">
        <f t="shared" si="56"/>
        <v>72.900000000000006</v>
      </c>
      <c r="I339" s="21" t="s">
        <v>9</v>
      </c>
      <c r="J339" s="1">
        <v>0</v>
      </c>
      <c r="K339" s="1">
        <f t="shared" si="49"/>
        <v>879.69999999999993</v>
      </c>
      <c r="L339" s="1">
        <v>4.2</v>
      </c>
      <c r="M339" s="1">
        <f t="shared" si="50"/>
        <v>397.70000000000022</v>
      </c>
      <c r="N339" s="1">
        <v>-4.2</v>
      </c>
      <c r="O339" s="1">
        <f t="shared" si="55"/>
        <v>105.2</v>
      </c>
      <c r="P339" s="1">
        <v>292</v>
      </c>
      <c r="Q339" s="20">
        <f t="shared" si="54"/>
        <v>0.84655172413793101</v>
      </c>
      <c r="R339" s="9">
        <f t="shared" si="46"/>
        <v>3.5555172413793104</v>
      </c>
      <c r="S339" s="9">
        <f t="shared" si="47"/>
        <v>-3.5555172413793104</v>
      </c>
      <c r="T339" s="9">
        <f t="shared" si="51"/>
        <v>104.79672413793104</v>
      </c>
      <c r="U339" s="21" t="s">
        <v>10</v>
      </c>
      <c r="V339" s="1">
        <v>2535.1</v>
      </c>
      <c r="X339" s="1">
        <f t="shared" si="52"/>
        <v>228607.19999999998</v>
      </c>
      <c r="Y339" s="1">
        <f t="shared" si="45"/>
        <v>9076.6999999999989</v>
      </c>
      <c r="Z339" s="21" t="s">
        <v>11</v>
      </c>
      <c r="AA339" s="1">
        <v>15.8886530816473</v>
      </c>
    </row>
    <row r="340" spans="1:27" s="1" customFormat="1" x14ac:dyDescent="0.25">
      <c r="A340" s="43"/>
      <c r="B340" s="7"/>
      <c r="C340" s="3">
        <v>41456</v>
      </c>
      <c r="D340" s="1">
        <v>18.5</v>
      </c>
      <c r="E340" s="1">
        <v>11.3</v>
      </c>
      <c r="F340" s="1">
        <v>23.8</v>
      </c>
      <c r="G340" s="1">
        <f t="shared" si="48"/>
        <v>2457.8999999999992</v>
      </c>
      <c r="H340" s="1">
        <f t="shared" si="56"/>
        <v>91.4</v>
      </c>
      <c r="I340" s="9">
        <f>AVERAGE(D335:D355)</f>
        <v>19.671428571428578</v>
      </c>
      <c r="J340" s="1">
        <v>0</v>
      </c>
      <c r="K340" s="1">
        <f t="shared" si="49"/>
        <v>879.69999999999993</v>
      </c>
      <c r="L340" s="1">
        <v>4.7</v>
      </c>
      <c r="M340" s="1">
        <f t="shared" si="50"/>
        <v>402.4000000000002</v>
      </c>
      <c r="N340" s="1">
        <v>-4.7</v>
      </c>
      <c r="O340" s="1">
        <f t="shared" si="55"/>
        <v>100.5</v>
      </c>
      <c r="P340" s="1">
        <v>293</v>
      </c>
      <c r="Q340" s="20">
        <f t="shared" si="54"/>
        <v>0.83275862068965512</v>
      </c>
      <c r="R340" s="9">
        <f t="shared" si="46"/>
        <v>3.9139655172413792</v>
      </c>
      <c r="S340" s="9">
        <f t="shared" si="47"/>
        <v>-3.9139655172413792</v>
      </c>
      <c r="T340" s="9">
        <f t="shared" si="51"/>
        <v>100.88275862068966</v>
      </c>
      <c r="U340" s="1">
        <v>0</v>
      </c>
      <c r="V340" s="1">
        <v>2942.4</v>
      </c>
      <c r="X340" s="1">
        <f t="shared" si="52"/>
        <v>231549.59999999998</v>
      </c>
      <c r="Y340" s="1">
        <f t="shared" si="45"/>
        <v>12019.099999999999</v>
      </c>
      <c r="Z340" s="1">
        <v>2</v>
      </c>
      <c r="AA340" s="1">
        <v>15.877200699406099</v>
      </c>
    </row>
    <row r="341" spans="1:27" s="1" customFormat="1" x14ac:dyDescent="0.25">
      <c r="A341" s="43"/>
      <c r="B341" s="7"/>
      <c r="C341" s="3">
        <v>41457</v>
      </c>
      <c r="D341" s="1">
        <v>20</v>
      </c>
      <c r="E341" s="1">
        <v>14.6</v>
      </c>
      <c r="F341" s="1">
        <v>26</v>
      </c>
      <c r="G341" s="1">
        <f t="shared" si="48"/>
        <v>2477.8999999999992</v>
      </c>
      <c r="H341" s="1">
        <f t="shared" si="56"/>
        <v>111.4</v>
      </c>
      <c r="I341" s="21" t="s">
        <v>12</v>
      </c>
      <c r="J341" s="1">
        <v>20.399999999999999</v>
      </c>
      <c r="K341" s="1">
        <f t="shared" si="49"/>
        <v>900.09999999999991</v>
      </c>
      <c r="L341" s="1">
        <v>4.8</v>
      </c>
      <c r="M341" s="1">
        <f t="shared" si="50"/>
        <v>407.20000000000022</v>
      </c>
      <c r="N341" s="1">
        <v>15.599999999999998</v>
      </c>
      <c r="O341" s="1">
        <f t="shared" si="55"/>
        <v>116.1</v>
      </c>
      <c r="P341" s="1">
        <v>294</v>
      </c>
      <c r="Q341" s="20">
        <f t="shared" si="54"/>
        <v>0.81896551724137923</v>
      </c>
      <c r="R341" s="9">
        <f t="shared" si="46"/>
        <v>3.9310344827586201</v>
      </c>
      <c r="S341" s="9">
        <f t="shared" si="47"/>
        <v>16.468965517241379</v>
      </c>
      <c r="T341" s="9">
        <f t="shared" si="51"/>
        <v>117.35172413793103</v>
      </c>
      <c r="U341" s="21" t="s">
        <v>13</v>
      </c>
      <c r="V341" s="1">
        <v>2551.8000000000002</v>
      </c>
      <c r="X341" s="1">
        <f t="shared" si="52"/>
        <v>234101.39999999997</v>
      </c>
      <c r="Y341" s="1">
        <f t="shared" si="45"/>
        <v>14570.899999999998</v>
      </c>
      <c r="AA341" s="1">
        <v>15.864441659948399</v>
      </c>
    </row>
    <row r="342" spans="1:27" s="1" customFormat="1" x14ac:dyDescent="0.25">
      <c r="A342" s="43"/>
      <c r="B342" s="7"/>
      <c r="C342" s="3">
        <v>41458</v>
      </c>
      <c r="D342" s="1">
        <v>17.2</v>
      </c>
      <c r="E342" s="1">
        <v>14.9</v>
      </c>
      <c r="F342" s="1">
        <v>19.100000000000001</v>
      </c>
      <c r="G342" s="1">
        <f t="shared" si="48"/>
        <v>2495.099999999999</v>
      </c>
      <c r="H342" s="1">
        <f t="shared" si="56"/>
        <v>128.6</v>
      </c>
      <c r="I342" s="1">
        <v>0</v>
      </c>
      <c r="J342" s="1">
        <v>3.8</v>
      </c>
      <c r="K342" s="1">
        <f t="shared" si="49"/>
        <v>903.89999999999986</v>
      </c>
      <c r="L342" s="1">
        <v>1.1000000000000001</v>
      </c>
      <c r="M342" s="1">
        <f t="shared" si="50"/>
        <v>408.30000000000024</v>
      </c>
      <c r="N342" s="1">
        <v>2.6999999999999997</v>
      </c>
      <c r="O342" s="1">
        <f t="shared" si="55"/>
        <v>118.8</v>
      </c>
      <c r="P342" s="1">
        <v>295</v>
      </c>
      <c r="Q342" s="20">
        <f t="shared" si="54"/>
        <v>0.80517241379310334</v>
      </c>
      <c r="R342" s="9">
        <f t="shared" si="46"/>
        <v>0.88568965517241371</v>
      </c>
      <c r="S342" s="9">
        <f t="shared" si="47"/>
        <v>2.914310344827586</v>
      </c>
      <c r="T342" s="9">
        <f t="shared" si="51"/>
        <v>120.26603448275861</v>
      </c>
      <c r="U342" s="9">
        <f>MIN(T335:T355)</f>
        <v>68.213448275862049</v>
      </c>
      <c r="V342" s="1">
        <v>518.9</v>
      </c>
      <c r="X342" s="1">
        <f t="shared" si="52"/>
        <v>234620.29999999996</v>
      </c>
      <c r="Y342" s="1">
        <f t="shared" si="45"/>
        <v>15089.799999999997</v>
      </c>
      <c r="AA342" s="1">
        <v>15.8503888714531</v>
      </c>
    </row>
    <row r="343" spans="1:27" s="1" customFormat="1" x14ac:dyDescent="0.25">
      <c r="A343" s="43"/>
      <c r="B343" s="7"/>
      <c r="C343" s="3">
        <v>41459</v>
      </c>
      <c r="D343" s="1">
        <v>18.3</v>
      </c>
      <c r="E343" s="1">
        <v>15.8</v>
      </c>
      <c r="F343" s="1">
        <v>20.8</v>
      </c>
      <c r="G343" s="1">
        <f t="shared" si="48"/>
        <v>2513.3999999999992</v>
      </c>
      <c r="H343" s="1">
        <f t="shared" si="56"/>
        <v>146.9</v>
      </c>
      <c r="I343" s="21" t="s">
        <v>14</v>
      </c>
      <c r="J343" s="1">
        <v>0.2</v>
      </c>
      <c r="K343" s="1">
        <f t="shared" si="49"/>
        <v>904.09999999999991</v>
      </c>
      <c r="L343" s="1">
        <v>2</v>
      </c>
      <c r="M343" s="1">
        <f t="shared" si="50"/>
        <v>410.30000000000024</v>
      </c>
      <c r="N343" s="1">
        <v>-1.8</v>
      </c>
      <c r="O343" s="1">
        <f t="shared" si="55"/>
        <v>117</v>
      </c>
      <c r="P343" s="1">
        <v>296</v>
      </c>
      <c r="Q343" s="20">
        <f t="shared" si="54"/>
        <v>0.79137931034482745</v>
      </c>
      <c r="R343" s="9">
        <f t="shared" si="46"/>
        <v>1.5827586206896549</v>
      </c>
      <c r="S343" s="9">
        <f t="shared" si="47"/>
        <v>-1.3827586206896549</v>
      </c>
      <c r="T343" s="9">
        <f t="shared" si="51"/>
        <v>118.88327586206896</v>
      </c>
      <c r="U343" s="21" t="s">
        <v>15</v>
      </c>
      <c r="V343" s="1">
        <v>958.2</v>
      </c>
      <c r="X343" s="1">
        <f t="shared" si="52"/>
        <v>235578.49999999997</v>
      </c>
      <c r="Y343" s="1">
        <f t="shared" si="45"/>
        <v>16047.999999999998</v>
      </c>
      <c r="AA343" s="1">
        <v>15.8350563680323</v>
      </c>
    </row>
    <row r="344" spans="1:27" s="1" customFormat="1" x14ac:dyDescent="0.25">
      <c r="A344" s="43"/>
      <c r="B344" s="7"/>
      <c r="C344" s="3">
        <v>41460</v>
      </c>
      <c r="D344" s="1">
        <v>19.600000000000001</v>
      </c>
      <c r="E344" s="1">
        <v>17.100000000000001</v>
      </c>
      <c r="F344" s="1">
        <v>22.5</v>
      </c>
      <c r="G344" s="1">
        <f t="shared" si="48"/>
        <v>2532.9999999999991</v>
      </c>
      <c r="H344" s="1">
        <f t="shared" si="56"/>
        <v>166.5</v>
      </c>
      <c r="I344" s="1">
        <v>11</v>
      </c>
      <c r="J344" s="1">
        <v>0</v>
      </c>
      <c r="K344" s="1">
        <f t="shared" si="49"/>
        <v>904.09999999999991</v>
      </c>
      <c r="L344" s="1">
        <v>2.5</v>
      </c>
      <c r="M344" s="1">
        <f t="shared" si="50"/>
        <v>412.80000000000024</v>
      </c>
      <c r="N344" s="1">
        <v>-2.5</v>
      </c>
      <c r="O344" s="1">
        <f t="shared" si="55"/>
        <v>114.5</v>
      </c>
      <c r="P344" s="1">
        <v>297</v>
      </c>
      <c r="Q344" s="20">
        <f t="shared" si="54"/>
        <v>0.77758620689655167</v>
      </c>
      <c r="R344" s="9">
        <f t="shared" si="46"/>
        <v>1.9439655172413792</v>
      </c>
      <c r="S344" s="9">
        <f t="shared" si="47"/>
        <v>-1.9439655172413792</v>
      </c>
      <c r="T344" s="9">
        <f t="shared" si="51"/>
        <v>116.93931034482758</v>
      </c>
      <c r="U344" s="9">
        <f>MAX(T335:T355)</f>
        <v>120.26603448275861</v>
      </c>
      <c r="V344" s="1">
        <v>1057.9000000000001</v>
      </c>
      <c r="W344" s="14"/>
      <c r="X344" s="14">
        <f t="shared" si="52"/>
        <v>236636.39999999997</v>
      </c>
      <c r="Y344" s="1">
        <f t="shared" si="45"/>
        <v>17105.899999999998</v>
      </c>
      <c r="AA344" s="1">
        <v>15.8184592605141</v>
      </c>
    </row>
    <row r="345" spans="1:27" s="1" customFormat="1" ht="15" customHeight="1" x14ac:dyDescent="0.25">
      <c r="A345" s="43"/>
      <c r="B345" s="22"/>
      <c r="C345" s="3">
        <v>41461</v>
      </c>
      <c r="D345" s="1">
        <v>21.8</v>
      </c>
      <c r="E345" s="1">
        <v>15.7</v>
      </c>
      <c r="F345" s="1">
        <v>26.5</v>
      </c>
      <c r="G345" s="1">
        <f t="shared" si="48"/>
        <v>2554.7999999999993</v>
      </c>
      <c r="H345" s="1">
        <f t="shared" si="56"/>
        <v>188.3</v>
      </c>
      <c r="I345" s="21" t="s">
        <v>16</v>
      </c>
      <c r="J345" s="1">
        <v>0</v>
      </c>
      <c r="K345" s="1">
        <f t="shared" si="49"/>
        <v>904.09999999999991</v>
      </c>
      <c r="L345" s="1">
        <v>5.6</v>
      </c>
      <c r="M345" s="1">
        <f t="shared" si="50"/>
        <v>418.40000000000026</v>
      </c>
      <c r="N345" s="1">
        <v>-5.6</v>
      </c>
      <c r="O345" s="1">
        <f t="shared" si="55"/>
        <v>108.9</v>
      </c>
      <c r="P345" s="1">
        <v>298</v>
      </c>
      <c r="Q345" s="20">
        <f t="shared" si="54"/>
        <v>0.76379310344827578</v>
      </c>
      <c r="R345" s="9">
        <f t="shared" si="46"/>
        <v>4.2772413793103441</v>
      </c>
      <c r="S345" s="9">
        <f t="shared" si="47"/>
        <v>-4.2772413793103441</v>
      </c>
      <c r="T345" s="9">
        <f t="shared" si="51"/>
        <v>112.66206896551724</v>
      </c>
      <c r="U345" s="21" t="s">
        <v>17</v>
      </c>
      <c r="V345" s="1">
        <v>3013</v>
      </c>
      <c r="X345" s="1">
        <f t="shared" si="52"/>
        <v>239649.39999999997</v>
      </c>
      <c r="Y345" s="1">
        <f t="shared" si="45"/>
        <v>20118.899999999998</v>
      </c>
      <c r="AA345" s="1">
        <v>15.8006136842875</v>
      </c>
    </row>
    <row r="346" spans="1:27" s="1" customFormat="1" x14ac:dyDescent="0.25">
      <c r="A346" s="43"/>
      <c r="B346" s="22"/>
      <c r="C346" s="3">
        <v>41462</v>
      </c>
      <c r="D346" s="1">
        <v>23</v>
      </c>
      <c r="E346" s="1">
        <v>17.399999999999999</v>
      </c>
      <c r="F346" s="1">
        <v>27.4</v>
      </c>
      <c r="G346" s="1">
        <f t="shared" si="48"/>
        <v>2577.7999999999993</v>
      </c>
      <c r="H346" s="1">
        <f t="shared" si="56"/>
        <v>211.3</v>
      </c>
      <c r="I346" s="1">
        <v>0</v>
      </c>
      <c r="J346" s="1">
        <v>0</v>
      </c>
      <c r="K346" s="1">
        <f t="shared" si="49"/>
        <v>904.09999999999991</v>
      </c>
      <c r="L346" s="1">
        <v>6.1</v>
      </c>
      <c r="M346" s="1">
        <f t="shared" si="50"/>
        <v>424.50000000000028</v>
      </c>
      <c r="N346" s="1">
        <v>-6.1</v>
      </c>
      <c r="O346" s="1">
        <f t="shared" si="55"/>
        <v>102.80000000000001</v>
      </c>
      <c r="P346" s="1">
        <v>299</v>
      </c>
      <c r="Q346" s="20">
        <f t="shared" si="54"/>
        <v>0.75</v>
      </c>
      <c r="R346" s="9">
        <f t="shared" si="46"/>
        <v>4.5749999999999993</v>
      </c>
      <c r="S346" s="9">
        <f t="shared" si="47"/>
        <v>-4.5749999999999993</v>
      </c>
      <c r="T346" s="9">
        <f t="shared" si="51"/>
        <v>108.08706896551723</v>
      </c>
      <c r="U346" s="20">
        <f>AVERAGE(T335:T355)</f>
        <v>99.492865353037743</v>
      </c>
      <c r="V346" s="1">
        <v>2882.1</v>
      </c>
      <c r="X346" s="1">
        <f t="shared" si="52"/>
        <v>242531.49999999997</v>
      </c>
      <c r="Y346" s="1">
        <f t="shared" si="45"/>
        <v>23000.999999999996</v>
      </c>
      <c r="AA346" s="1">
        <v>15.7815367445688</v>
      </c>
    </row>
    <row r="347" spans="1:27" s="1" customFormat="1" x14ac:dyDescent="0.25">
      <c r="A347" s="43"/>
      <c r="B347" s="22"/>
      <c r="C347" s="3">
        <v>41463</v>
      </c>
      <c r="D347" s="1">
        <v>23.3</v>
      </c>
      <c r="E347" s="1">
        <v>19.399999999999999</v>
      </c>
      <c r="F347" s="1">
        <v>27.8</v>
      </c>
      <c r="G347" s="1">
        <f t="shared" si="48"/>
        <v>2601.0999999999995</v>
      </c>
      <c r="H347" s="1">
        <f t="shared" si="56"/>
        <v>234.60000000000002</v>
      </c>
      <c r="I347" s="21" t="s">
        <v>18</v>
      </c>
      <c r="J347" s="1">
        <v>0</v>
      </c>
      <c r="K347" s="1">
        <f t="shared" si="49"/>
        <v>904.09999999999991</v>
      </c>
      <c r="L347" s="1">
        <v>7.4</v>
      </c>
      <c r="M347" s="1">
        <f t="shared" si="50"/>
        <v>431.90000000000026</v>
      </c>
      <c r="N347" s="1">
        <v>-7.4</v>
      </c>
      <c r="O347" s="1">
        <f t="shared" si="55"/>
        <v>95.4</v>
      </c>
      <c r="P347" s="1">
        <v>300</v>
      </c>
      <c r="Q347" s="20">
        <f t="shared" si="54"/>
        <v>0.73620689655172411</v>
      </c>
      <c r="R347" s="9">
        <f t="shared" si="46"/>
        <v>5.4479310344827585</v>
      </c>
      <c r="S347" s="9">
        <f t="shared" si="47"/>
        <v>-5.4479310344827585</v>
      </c>
      <c r="T347" s="9">
        <f t="shared" si="51"/>
        <v>102.63913793103447</v>
      </c>
      <c r="V347" s="1">
        <v>3196.8</v>
      </c>
      <c r="X347" s="1">
        <f t="shared" si="52"/>
        <v>245728.29999999996</v>
      </c>
      <c r="Y347" s="1">
        <f t="shared" si="45"/>
        <v>26197.799999999996</v>
      </c>
      <c r="AA347" s="1">
        <v>15.761246459458899</v>
      </c>
    </row>
    <row r="348" spans="1:27" s="1" customFormat="1" x14ac:dyDescent="0.25">
      <c r="A348" s="43"/>
      <c r="B348" s="22"/>
      <c r="C348" s="3">
        <v>41464</v>
      </c>
      <c r="D348" s="1">
        <v>23.3</v>
      </c>
      <c r="E348" s="1">
        <v>17.7</v>
      </c>
      <c r="F348" s="1">
        <v>27.7</v>
      </c>
      <c r="G348" s="1">
        <f t="shared" si="48"/>
        <v>2624.3999999999996</v>
      </c>
      <c r="H348" s="1">
        <f t="shared" si="56"/>
        <v>257.90000000000003</v>
      </c>
      <c r="I348" s="1">
        <v>413.1</v>
      </c>
      <c r="J348" s="1">
        <v>0</v>
      </c>
      <c r="K348" s="1">
        <f t="shared" si="49"/>
        <v>904.09999999999991</v>
      </c>
      <c r="L348" s="1">
        <v>5.3</v>
      </c>
      <c r="M348" s="1">
        <f t="shared" si="50"/>
        <v>437.20000000000027</v>
      </c>
      <c r="N348" s="1">
        <v>-5.3</v>
      </c>
      <c r="O348" s="1">
        <f t="shared" si="55"/>
        <v>90.100000000000009</v>
      </c>
      <c r="P348" s="1">
        <v>301</v>
      </c>
      <c r="Q348" s="20">
        <f t="shared" si="54"/>
        <v>0.72241379310344822</v>
      </c>
      <c r="R348" s="9">
        <f t="shared" si="46"/>
        <v>3.8287931034482754</v>
      </c>
      <c r="S348" s="9">
        <f t="shared" si="47"/>
        <v>-3.8287931034482754</v>
      </c>
      <c r="T348" s="9">
        <f t="shared" si="51"/>
        <v>98.810344827586192</v>
      </c>
      <c r="U348" s="9">
        <f>(U346*100)/122.1</f>
        <v>81.484738208876124</v>
      </c>
      <c r="V348" s="1">
        <v>2624.6</v>
      </c>
      <c r="X348" s="1">
        <f t="shared" si="52"/>
        <v>248352.89999999997</v>
      </c>
      <c r="Y348" s="1">
        <f t="shared" si="45"/>
        <v>28822.399999999994</v>
      </c>
      <c r="AA348" s="1">
        <v>15.7397617011619</v>
      </c>
    </row>
    <row r="349" spans="1:27" s="1" customFormat="1" x14ac:dyDescent="0.25">
      <c r="A349" s="43"/>
      <c r="B349" s="22"/>
      <c r="C349" s="3">
        <v>41465</v>
      </c>
      <c r="D349" s="1">
        <v>24.1</v>
      </c>
      <c r="E349" s="1">
        <v>19.899999999999999</v>
      </c>
      <c r="F349" s="1">
        <v>29.2</v>
      </c>
      <c r="G349" s="1">
        <f t="shared" si="48"/>
        <v>2648.4999999999995</v>
      </c>
      <c r="H349" s="1">
        <f t="shared" si="56"/>
        <v>282.00000000000006</v>
      </c>
      <c r="J349" s="1">
        <v>0</v>
      </c>
      <c r="K349" s="1">
        <f t="shared" si="49"/>
        <v>904.09999999999991</v>
      </c>
      <c r="L349" s="1">
        <v>6.7</v>
      </c>
      <c r="M349" s="1">
        <f t="shared" si="50"/>
        <v>443.90000000000026</v>
      </c>
      <c r="N349" s="1">
        <v>-6.7</v>
      </c>
      <c r="O349" s="1">
        <f t="shared" si="55"/>
        <v>83.4</v>
      </c>
      <c r="P349" s="1">
        <v>302</v>
      </c>
      <c r="Q349" s="20">
        <f t="shared" si="54"/>
        <v>0.70862068965517233</v>
      </c>
      <c r="R349" s="9">
        <f t="shared" si="46"/>
        <v>4.7477586206896545</v>
      </c>
      <c r="S349" s="9">
        <f t="shared" si="47"/>
        <v>-4.7477586206896545</v>
      </c>
      <c r="T349" s="9">
        <f t="shared" si="51"/>
        <v>94.06258620689654</v>
      </c>
      <c r="V349" s="1">
        <v>2666.1</v>
      </c>
      <c r="X349" s="1">
        <f t="shared" si="52"/>
        <v>251018.99999999997</v>
      </c>
      <c r="Y349" s="1">
        <f t="shared" si="45"/>
        <v>31488.499999999993</v>
      </c>
      <c r="AA349" s="1">
        <v>15.717102135739101</v>
      </c>
    </row>
    <row r="350" spans="1:27" s="1" customFormat="1" x14ac:dyDescent="0.25">
      <c r="A350" s="43"/>
      <c r="B350" s="22"/>
      <c r="C350" s="3">
        <v>41466</v>
      </c>
      <c r="D350" s="1">
        <v>20.7</v>
      </c>
      <c r="E350" s="1">
        <v>15.9</v>
      </c>
      <c r="F350" s="1">
        <v>24.7</v>
      </c>
      <c r="G350" s="1">
        <f t="shared" si="48"/>
        <v>2669.1999999999994</v>
      </c>
      <c r="H350" s="1">
        <f t="shared" si="56"/>
        <v>302.70000000000005</v>
      </c>
      <c r="J350" s="1">
        <v>0</v>
      </c>
      <c r="K350" s="1">
        <f t="shared" si="49"/>
        <v>904.09999999999991</v>
      </c>
      <c r="L350" s="1">
        <v>6.3</v>
      </c>
      <c r="M350" s="1">
        <f t="shared" si="50"/>
        <v>450.20000000000027</v>
      </c>
      <c r="N350" s="1">
        <v>-6.3</v>
      </c>
      <c r="O350" s="1">
        <f t="shared" si="55"/>
        <v>77.100000000000009</v>
      </c>
      <c r="P350" s="1">
        <v>303</v>
      </c>
      <c r="Q350" s="20">
        <f t="shared" si="54"/>
        <v>0.69482758620689644</v>
      </c>
      <c r="R350" s="9">
        <f t="shared" si="46"/>
        <v>4.3774137931034476</v>
      </c>
      <c r="S350" s="9">
        <f t="shared" si="47"/>
        <v>-4.3774137931034476</v>
      </c>
      <c r="T350" s="9">
        <f t="shared" si="51"/>
        <v>89.685172413793097</v>
      </c>
      <c r="V350" s="1">
        <v>3266.1</v>
      </c>
      <c r="X350" s="1">
        <f t="shared" si="52"/>
        <v>254285.09999999998</v>
      </c>
      <c r="Y350" s="1">
        <f t="shared" si="45"/>
        <v>34754.599999999991</v>
      </c>
      <c r="AA350" s="1">
        <v>15.693288161766899</v>
      </c>
    </row>
    <row r="351" spans="1:27" s="1" customFormat="1" x14ac:dyDescent="0.25">
      <c r="A351" s="43"/>
      <c r="B351" s="22"/>
      <c r="C351" s="3">
        <v>41467</v>
      </c>
      <c r="D351" s="1">
        <v>20.6</v>
      </c>
      <c r="E351" s="1">
        <v>15.5</v>
      </c>
      <c r="F351" s="1">
        <v>25.7</v>
      </c>
      <c r="G351" s="1">
        <f t="shared" si="48"/>
        <v>2689.7999999999993</v>
      </c>
      <c r="H351" s="1">
        <f t="shared" si="56"/>
        <v>323.30000000000007</v>
      </c>
      <c r="J351" s="1">
        <v>0</v>
      </c>
      <c r="K351" s="1">
        <f t="shared" si="49"/>
        <v>904.09999999999991</v>
      </c>
      <c r="L351" s="1">
        <v>6.9</v>
      </c>
      <c r="M351" s="1">
        <f t="shared" si="50"/>
        <v>457.10000000000025</v>
      </c>
      <c r="N351" s="1">
        <v>-6.9</v>
      </c>
      <c r="O351" s="1">
        <f t="shared" si="55"/>
        <v>70.2</v>
      </c>
      <c r="P351" s="1">
        <v>304</v>
      </c>
      <c r="Q351" s="20">
        <f t="shared" si="54"/>
        <v>0.68103448275862066</v>
      </c>
      <c r="R351" s="9">
        <f t="shared" si="46"/>
        <v>4.6991379310344827</v>
      </c>
      <c r="S351" s="9">
        <f t="shared" si="47"/>
        <v>-4.6991379310344827</v>
      </c>
      <c r="T351" s="9">
        <f t="shared" si="51"/>
        <v>84.986034482758612</v>
      </c>
      <c r="V351" s="1">
        <v>3259.3</v>
      </c>
      <c r="X351" s="1">
        <f t="shared" si="52"/>
        <v>257544.39999999997</v>
      </c>
      <c r="Y351" s="1">
        <f t="shared" si="45"/>
        <v>38013.899999999994</v>
      </c>
      <c r="AA351" s="1">
        <v>15.66834084826</v>
      </c>
    </row>
    <row r="352" spans="1:27" s="1" customFormat="1" x14ac:dyDescent="0.25">
      <c r="A352" s="43"/>
      <c r="B352" s="22"/>
      <c r="C352" s="3">
        <v>41468</v>
      </c>
      <c r="D352" s="1">
        <v>21.5</v>
      </c>
      <c r="E352" s="1">
        <v>16.7</v>
      </c>
      <c r="F352" s="1">
        <v>27.4</v>
      </c>
      <c r="G352" s="1">
        <f t="shared" si="48"/>
        <v>2711.2999999999993</v>
      </c>
      <c r="H352" s="1">
        <f t="shared" si="56"/>
        <v>344.80000000000007</v>
      </c>
      <c r="J352" s="1">
        <v>0</v>
      </c>
      <c r="K352" s="1">
        <f t="shared" si="49"/>
        <v>904.09999999999991</v>
      </c>
      <c r="L352" s="1">
        <v>7.2</v>
      </c>
      <c r="M352" s="1">
        <f t="shared" si="50"/>
        <v>464.30000000000024</v>
      </c>
      <c r="N352" s="1">
        <v>-7.2</v>
      </c>
      <c r="O352" s="1">
        <f t="shared" si="55"/>
        <v>63</v>
      </c>
      <c r="P352" s="1">
        <v>305</v>
      </c>
      <c r="Q352" s="20">
        <f t="shared" si="54"/>
        <v>0.66724137931034477</v>
      </c>
      <c r="R352" s="9">
        <f t="shared" si="46"/>
        <v>4.8041379310344823</v>
      </c>
      <c r="S352" s="9">
        <f t="shared" si="47"/>
        <v>-4.8041379310344823</v>
      </c>
      <c r="T352" s="9">
        <f t="shared" si="51"/>
        <v>80.181896551724122</v>
      </c>
      <c r="V352" s="1">
        <v>3253</v>
      </c>
      <c r="X352" s="1">
        <f t="shared" si="52"/>
        <v>260797.39999999997</v>
      </c>
      <c r="Y352" s="1">
        <f t="shared" si="45"/>
        <v>41266.899999999994</v>
      </c>
      <c r="AA352" s="1">
        <v>15.642281872212299</v>
      </c>
    </row>
    <row r="353" spans="1:27" s="1" customFormat="1" x14ac:dyDescent="0.25">
      <c r="A353" s="43"/>
      <c r="B353" s="22"/>
      <c r="C353" s="3">
        <v>41469</v>
      </c>
      <c r="D353" s="1">
        <v>22.1</v>
      </c>
      <c r="E353" s="1">
        <v>16.5</v>
      </c>
      <c r="F353" s="1">
        <v>27.1</v>
      </c>
      <c r="G353" s="1">
        <f t="shared" si="48"/>
        <v>2733.3999999999992</v>
      </c>
      <c r="H353" s="1">
        <f t="shared" si="56"/>
        <v>366.90000000000009</v>
      </c>
      <c r="J353" s="1">
        <v>0</v>
      </c>
      <c r="K353" s="1">
        <f t="shared" si="49"/>
        <v>904.09999999999991</v>
      </c>
      <c r="L353" s="1">
        <v>6.6</v>
      </c>
      <c r="M353" s="1">
        <f t="shared" si="50"/>
        <v>470.90000000000026</v>
      </c>
      <c r="N353" s="1">
        <v>-6.6</v>
      </c>
      <c r="O353" s="1">
        <f t="shared" si="55"/>
        <v>56.4</v>
      </c>
      <c r="P353" s="1">
        <v>306</v>
      </c>
      <c r="Q353" s="20">
        <f t="shared" si="54"/>
        <v>0.65344827586206888</v>
      </c>
      <c r="R353" s="9">
        <f t="shared" si="46"/>
        <v>4.312758620689654</v>
      </c>
      <c r="S353" s="9">
        <f t="shared" si="47"/>
        <v>-4.312758620689654</v>
      </c>
      <c r="T353" s="9">
        <f t="shared" si="51"/>
        <v>75.869137931034473</v>
      </c>
      <c r="V353" s="1">
        <v>2948.6</v>
      </c>
      <c r="X353" s="1">
        <f t="shared" si="52"/>
        <v>263745.99999999994</v>
      </c>
      <c r="Y353" s="1">
        <f t="shared" si="45"/>
        <v>44215.499999999993</v>
      </c>
      <c r="AA353" s="1">
        <v>15.6151334560947</v>
      </c>
    </row>
    <row r="354" spans="1:27" s="1" customFormat="1" x14ac:dyDescent="0.25">
      <c r="A354" s="43"/>
      <c r="B354" s="22"/>
      <c r="C354" s="3">
        <v>41470</v>
      </c>
      <c r="D354" s="1">
        <v>22.6</v>
      </c>
      <c r="E354" s="1">
        <v>17.399999999999999</v>
      </c>
      <c r="F354" s="1">
        <v>27.6</v>
      </c>
      <c r="G354" s="1">
        <f t="shared" si="48"/>
        <v>2755.9999999999991</v>
      </c>
      <c r="H354" s="1">
        <f t="shared" si="56"/>
        <v>389.50000000000011</v>
      </c>
      <c r="J354" s="1">
        <v>0</v>
      </c>
      <c r="K354" s="1">
        <f t="shared" si="49"/>
        <v>904.09999999999991</v>
      </c>
      <c r="L354" s="1">
        <v>6</v>
      </c>
      <c r="M354" s="1">
        <f t="shared" si="50"/>
        <v>476.90000000000026</v>
      </c>
      <c r="N354" s="1">
        <v>-6</v>
      </c>
      <c r="O354" s="1">
        <f t="shared" si="55"/>
        <v>50.4</v>
      </c>
      <c r="P354" s="1">
        <v>307</v>
      </c>
      <c r="Q354" s="20">
        <f t="shared" si="54"/>
        <v>0.63965517241379299</v>
      </c>
      <c r="R354" s="9">
        <f t="shared" si="46"/>
        <v>3.8379310344827582</v>
      </c>
      <c r="S354" s="9">
        <f t="shared" si="47"/>
        <v>-3.8379310344827582</v>
      </c>
      <c r="T354" s="9">
        <f t="shared" si="51"/>
        <v>72.031206896551708</v>
      </c>
      <c r="V354" s="1">
        <v>2688.2</v>
      </c>
      <c r="X354" s="1">
        <f t="shared" si="52"/>
        <v>266434.19999999995</v>
      </c>
      <c r="Y354" s="1">
        <f t="shared" si="45"/>
        <v>46903.69999999999</v>
      </c>
      <c r="AA354" s="1">
        <v>15.586918305632601</v>
      </c>
    </row>
    <row r="355" spans="1:27" s="28" customFormat="1" ht="15.75" thickBot="1" x14ac:dyDescent="0.3">
      <c r="A355" s="43"/>
      <c r="B355" s="36">
        <v>1000</v>
      </c>
      <c r="C355" s="27">
        <v>41471</v>
      </c>
      <c r="D355" s="28">
        <v>23.6</v>
      </c>
      <c r="E355" s="28">
        <v>17.5</v>
      </c>
      <c r="F355" s="28">
        <v>28.7</v>
      </c>
      <c r="G355" s="28">
        <f t="shared" si="48"/>
        <v>2779.599999999999</v>
      </c>
      <c r="H355" s="28">
        <f t="shared" si="56"/>
        <v>413.10000000000014</v>
      </c>
      <c r="J355" s="28">
        <v>0</v>
      </c>
      <c r="K355" s="28">
        <f t="shared" si="49"/>
        <v>904.09999999999991</v>
      </c>
      <c r="L355" s="28">
        <v>6.1</v>
      </c>
      <c r="M355" s="28">
        <f t="shared" si="50"/>
        <v>483.00000000000028</v>
      </c>
      <c r="N355" s="28">
        <v>-6.1</v>
      </c>
      <c r="O355" s="28">
        <f t="shared" si="55"/>
        <v>44.3</v>
      </c>
      <c r="P355" s="28">
        <v>308</v>
      </c>
      <c r="Q355" s="35">
        <f t="shared" si="54"/>
        <v>0.62586206896551722</v>
      </c>
      <c r="R355" s="29">
        <f t="shared" si="46"/>
        <v>3.8177586206896548</v>
      </c>
      <c r="S355" s="29">
        <f t="shared" si="47"/>
        <v>-3.8177586206896548</v>
      </c>
      <c r="T355" s="29">
        <f t="shared" si="51"/>
        <v>68.213448275862049</v>
      </c>
      <c r="V355" s="28">
        <v>2782.6</v>
      </c>
      <c r="X355" s="28">
        <f t="shared" si="52"/>
        <v>269216.79999999993</v>
      </c>
      <c r="Y355" s="28">
        <f t="shared" si="45"/>
        <v>49686.299999999988</v>
      </c>
      <c r="AA355" s="28">
        <v>15.557659548168299</v>
      </c>
    </row>
    <row r="356" spans="1:27" s="1" customFormat="1" x14ac:dyDescent="0.25">
      <c r="A356" s="23"/>
      <c r="B356" s="22"/>
      <c r="C356" s="3">
        <v>41472</v>
      </c>
      <c r="D356" s="1">
        <v>24.3</v>
      </c>
      <c r="E356" s="1">
        <v>18.600000000000001</v>
      </c>
      <c r="F356" s="1">
        <v>29.8</v>
      </c>
      <c r="G356" s="1">
        <f t="shared" si="48"/>
        <v>2803.8999999999992</v>
      </c>
      <c r="H356" s="1">
        <v>24.3</v>
      </c>
      <c r="J356" s="1">
        <v>0.5</v>
      </c>
      <c r="K356" s="1">
        <f t="shared" si="49"/>
        <v>904.59999999999991</v>
      </c>
      <c r="L356" s="1">
        <v>3.8</v>
      </c>
      <c r="M356" s="1">
        <f t="shared" si="50"/>
        <v>486.8000000000003</v>
      </c>
      <c r="N356" s="1">
        <v>-3.3</v>
      </c>
      <c r="O356" s="1">
        <f t="shared" si="55"/>
        <v>41</v>
      </c>
      <c r="P356" s="1">
        <v>309</v>
      </c>
      <c r="Q356" s="20">
        <f t="shared" si="54"/>
        <v>0.61206896551724133</v>
      </c>
      <c r="R356" s="9">
        <f t="shared" si="46"/>
        <v>2.3258620689655167</v>
      </c>
      <c r="S356" s="9">
        <f t="shared" si="47"/>
        <v>-1.8258620689655167</v>
      </c>
      <c r="T356" s="9">
        <f t="shared" si="51"/>
        <v>66.387586206896529</v>
      </c>
      <c r="V356" s="1">
        <v>1386.6</v>
      </c>
      <c r="X356" s="1">
        <f t="shared" si="52"/>
        <v>270603.39999999991</v>
      </c>
      <c r="Y356" s="1">
        <v>1386.6</v>
      </c>
      <c r="AA356" s="1">
        <v>15.5273806718955</v>
      </c>
    </row>
    <row r="357" spans="1:27" s="1" customFormat="1" x14ac:dyDescent="0.25">
      <c r="A357" s="23"/>
      <c r="B357" s="22"/>
      <c r="C357" s="3">
        <v>41473</v>
      </c>
      <c r="D357" s="1">
        <v>23.4</v>
      </c>
      <c r="E357" s="1">
        <v>20.6</v>
      </c>
      <c r="F357" s="1">
        <v>29.3</v>
      </c>
      <c r="G357" s="1">
        <f t="shared" si="48"/>
        <v>2827.2999999999993</v>
      </c>
      <c r="H357" s="1">
        <f t="shared" si="56"/>
        <v>47.7</v>
      </c>
      <c r="J357" s="1">
        <v>8.3000000000000007</v>
      </c>
      <c r="K357" s="1">
        <f t="shared" si="49"/>
        <v>912.89999999999986</v>
      </c>
      <c r="L357" s="1">
        <v>3.1</v>
      </c>
      <c r="M357" s="1">
        <f t="shared" si="50"/>
        <v>489.90000000000032</v>
      </c>
      <c r="N357" s="1">
        <v>5.2000000000000011</v>
      </c>
      <c r="O357" s="1">
        <f t="shared" si="55"/>
        <v>46.2</v>
      </c>
      <c r="P357" s="1">
        <v>310</v>
      </c>
      <c r="Q357" s="20">
        <f t="shared" si="54"/>
        <v>0.59827586206896544</v>
      </c>
      <c r="R357" s="9">
        <f t="shared" si="46"/>
        <v>1.854655172413793</v>
      </c>
      <c r="S357" s="9">
        <f t="shared" si="47"/>
        <v>6.445344827586208</v>
      </c>
      <c r="T357" s="9">
        <f t="shared" si="51"/>
        <v>72.832931034482741</v>
      </c>
      <c r="V357" s="1">
        <v>1259.8</v>
      </c>
      <c r="X357" s="1">
        <f t="shared" si="52"/>
        <v>271863.1999999999</v>
      </c>
      <c r="Y357" s="1">
        <f t="shared" si="45"/>
        <v>2646.3999999999996</v>
      </c>
      <c r="AA357" s="1">
        <v>15.496105466229601</v>
      </c>
    </row>
    <row r="358" spans="1:27" s="1" customFormat="1" x14ac:dyDescent="0.25">
      <c r="A358" s="23"/>
      <c r="B358" s="22"/>
      <c r="C358" s="3">
        <v>41474</v>
      </c>
      <c r="D358" s="1">
        <v>22.4</v>
      </c>
      <c r="E358" s="1">
        <v>18.399999999999999</v>
      </c>
      <c r="F358" s="1">
        <v>28.2</v>
      </c>
      <c r="G358" s="1">
        <f t="shared" si="48"/>
        <v>2849.6999999999994</v>
      </c>
      <c r="H358" s="1">
        <f t="shared" si="56"/>
        <v>70.099999999999994</v>
      </c>
      <c r="J358" s="1">
        <v>0.6</v>
      </c>
      <c r="K358" s="1">
        <f t="shared" si="49"/>
        <v>913.49999999999989</v>
      </c>
      <c r="L358" s="1">
        <v>3.2</v>
      </c>
      <c r="M358" s="1">
        <f t="shared" si="50"/>
        <v>493.10000000000031</v>
      </c>
      <c r="N358" s="1">
        <v>-2.6</v>
      </c>
      <c r="O358" s="1">
        <f t="shared" si="55"/>
        <v>43.6</v>
      </c>
      <c r="P358" s="1">
        <v>311</v>
      </c>
      <c r="Q358" s="20">
        <f t="shared" si="54"/>
        <v>0.58448275862068966</v>
      </c>
      <c r="R358" s="9">
        <f t="shared" si="46"/>
        <v>1.8703448275862069</v>
      </c>
      <c r="S358" s="9">
        <f t="shared" si="47"/>
        <v>-1.2703448275862068</v>
      </c>
      <c r="T358" s="9">
        <f t="shared" si="51"/>
        <v>71.56258620689654</v>
      </c>
      <c r="V358" s="1">
        <v>1398.8</v>
      </c>
      <c r="X358" s="1">
        <f t="shared" si="52"/>
        <v>273261.99999999988</v>
      </c>
      <c r="Y358" s="1">
        <f t="shared" si="45"/>
        <v>4045.2</v>
      </c>
      <c r="AA358" s="1">
        <v>15.463857963557301</v>
      </c>
    </row>
    <row r="359" spans="1:27" s="1" customFormat="1" x14ac:dyDescent="0.25">
      <c r="A359" s="23"/>
      <c r="B359" s="22"/>
      <c r="C359" s="3">
        <v>41475</v>
      </c>
      <c r="D359" s="1">
        <v>24.4</v>
      </c>
      <c r="E359" s="1">
        <v>20.3</v>
      </c>
      <c r="F359" s="1">
        <v>28.8</v>
      </c>
      <c r="G359" s="1">
        <f t="shared" si="48"/>
        <v>2874.0999999999995</v>
      </c>
      <c r="H359" s="1">
        <f t="shared" si="56"/>
        <v>94.5</v>
      </c>
      <c r="J359" s="1">
        <v>0</v>
      </c>
      <c r="K359" s="1">
        <f t="shared" si="49"/>
        <v>913.49999999999989</v>
      </c>
      <c r="L359" s="1">
        <v>6.2</v>
      </c>
      <c r="M359" s="1">
        <f t="shared" si="50"/>
        <v>499.3000000000003</v>
      </c>
      <c r="N359" s="1">
        <v>-6.2</v>
      </c>
      <c r="O359" s="1">
        <f t="shared" si="55"/>
        <v>37.4</v>
      </c>
      <c r="P359" s="1">
        <v>312</v>
      </c>
      <c r="Q359" s="20">
        <f t="shared" si="54"/>
        <v>0.57068965517241377</v>
      </c>
      <c r="R359" s="9">
        <f t="shared" si="46"/>
        <v>3.5382758620689656</v>
      </c>
      <c r="S359" s="9">
        <f t="shared" si="47"/>
        <v>-3.5382758620689656</v>
      </c>
      <c r="T359" s="9">
        <f t="shared" si="51"/>
        <v>68.024310344827569</v>
      </c>
      <c r="V359" s="1">
        <v>2875.4</v>
      </c>
      <c r="X359" s="1">
        <f t="shared" si="52"/>
        <v>276137.39999999991</v>
      </c>
      <c r="Y359" s="1">
        <f t="shared" ref="Y359:Y375" si="57">Y358+V359</f>
        <v>6920.6</v>
      </c>
      <c r="AA359" s="1">
        <v>15.4306623825854</v>
      </c>
    </row>
    <row r="360" spans="1:27" s="1" customFormat="1" x14ac:dyDescent="0.25">
      <c r="A360" s="23"/>
      <c r="B360" s="22"/>
      <c r="C360" s="3">
        <v>41476</v>
      </c>
      <c r="D360" s="1">
        <v>25.9</v>
      </c>
      <c r="E360" s="1">
        <v>20.5</v>
      </c>
      <c r="F360" s="1">
        <v>31.5</v>
      </c>
      <c r="G360" s="1">
        <f t="shared" si="48"/>
        <v>2899.9999999999995</v>
      </c>
      <c r="H360" s="1">
        <f t="shared" si="56"/>
        <v>120.4</v>
      </c>
      <c r="J360" s="1">
        <v>0</v>
      </c>
      <c r="K360" s="1">
        <f t="shared" si="49"/>
        <v>913.49999999999989</v>
      </c>
      <c r="L360" s="1">
        <v>6.7</v>
      </c>
      <c r="M360" s="1">
        <f t="shared" si="50"/>
        <v>506.00000000000028</v>
      </c>
      <c r="N360" s="1">
        <v>-6.7</v>
      </c>
      <c r="O360" s="1">
        <f t="shared" si="55"/>
        <v>30.7</v>
      </c>
      <c r="P360" s="1">
        <v>313</v>
      </c>
      <c r="Q360" s="20">
        <f t="shared" si="54"/>
        <v>0.55689655172413788</v>
      </c>
      <c r="R360" s="9">
        <f t="shared" si="46"/>
        <v>3.7312068965517238</v>
      </c>
      <c r="S360" s="9">
        <f t="shared" si="47"/>
        <v>-3.7312068965517238</v>
      </c>
      <c r="T360" s="9">
        <f t="shared" si="51"/>
        <v>64.293103448275843</v>
      </c>
      <c r="V360" s="1">
        <v>3030.3</v>
      </c>
      <c r="X360" s="1">
        <f t="shared" si="52"/>
        <v>279167.6999999999</v>
      </c>
      <c r="Y360" s="1">
        <f t="shared" si="57"/>
        <v>9950.9000000000015</v>
      </c>
      <c r="AA360" s="1">
        <v>15.3965430734845</v>
      </c>
    </row>
    <row r="361" spans="1:27" s="1" customFormat="1" x14ac:dyDescent="0.25">
      <c r="A361" s="23"/>
      <c r="B361" s="22"/>
      <c r="C361" s="3">
        <v>41477</v>
      </c>
      <c r="D361" s="1">
        <v>26</v>
      </c>
      <c r="E361" s="1">
        <v>20.100000000000001</v>
      </c>
      <c r="F361" s="1">
        <v>32.4</v>
      </c>
      <c r="G361" s="1">
        <f t="shared" si="48"/>
        <v>2925.9999999999995</v>
      </c>
      <c r="H361" s="1">
        <f t="shared" si="56"/>
        <v>146.4</v>
      </c>
      <c r="J361" s="1">
        <v>0</v>
      </c>
      <c r="K361" s="1">
        <f t="shared" si="49"/>
        <v>913.49999999999989</v>
      </c>
      <c r="L361" s="1">
        <v>5.9</v>
      </c>
      <c r="M361" s="1">
        <f t="shared" si="50"/>
        <v>511.90000000000026</v>
      </c>
      <c r="N361" s="1">
        <v>-5.9</v>
      </c>
      <c r="O361" s="1">
        <f t="shared" si="55"/>
        <v>24.799999999999997</v>
      </c>
      <c r="P361" s="1">
        <v>314</v>
      </c>
      <c r="Q361" s="20">
        <f t="shared" si="54"/>
        <v>0.5431034482758621</v>
      </c>
      <c r="R361" s="9">
        <f t="shared" si="46"/>
        <v>3.2043103448275865</v>
      </c>
      <c r="S361" s="9">
        <f t="shared" si="47"/>
        <v>-3.2043103448275865</v>
      </c>
      <c r="T361" s="9">
        <f t="shared" si="51"/>
        <v>61.088793103448253</v>
      </c>
      <c r="V361" s="1">
        <v>2543.1</v>
      </c>
      <c r="X361" s="1">
        <f t="shared" si="52"/>
        <v>281710.79999999987</v>
      </c>
      <c r="Y361" s="1">
        <f t="shared" si="57"/>
        <v>12494.000000000002</v>
      </c>
      <c r="AA361" s="1">
        <v>15.3615244650017</v>
      </c>
    </row>
    <row r="362" spans="1:27" s="1" customFormat="1" x14ac:dyDescent="0.25">
      <c r="A362" s="23"/>
      <c r="B362" s="22"/>
      <c r="C362" s="3">
        <v>41478</v>
      </c>
      <c r="D362" s="1">
        <v>24.2</v>
      </c>
      <c r="E362" s="1">
        <v>20.5</v>
      </c>
      <c r="F362" s="1">
        <v>30.6</v>
      </c>
      <c r="G362" s="1">
        <f t="shared" si="48"/>
        <v>2950.1999999999994</v>
      </c>
      <c r="H362" s="1">
        <f t="shared" si="56"/>
        <v>170.6</v>
      </c>
      <c r="J362" s="1">
        <v>1.4</v>
      </c>
      <c r="K362" s="1">
        <f t="shared" si="49"/>
        <v>914.89999999999986</v>
      </c>
      <c r="L362" s="1">
        <v>4.3</v>
      </c>
      <c r="M362" s="1">
        <f t="shared" si="50"/>
        <v>516.20000000000027</v>
      </c>
      <c r="N362" s="1">
        <v>-2.9</v>
      </c>
      <c r="O362" s="1">
        <f t="shared" si="55"/>
        <v>21.9</v>
      </c>
      <c r="P362" s="1">
        <v>315</v>
      </c>
      <c r="Q362" s="20">
        <f t="shared" si="54"/>
        <v>0.52931034482758621</v>
      </c>
      <c r="R362" s="9">
        <f t="shared" si="46"/>
        <v>2.2760344827586207</v>
      </c>
      <c r="S362" s="9">
        <f t="shared" si="47"/>
        <v>-0.87603448275862084</v>
      </c>
      <c r="T362" s="9">
        <f t="shared" si="51"/>
        <v>60.212758620689634</v>
      </c>
      <c r="V362" s="1">
        <v>2008.7</v>
      </c>
      <c r="X362" s="1">
        <f t="shared" si="52"/>
        <v>283719.49999999988</v>
      </c>
      <c r="Y362" s="1">
        <f t="shared" si="57"/>
        <v>14502.700000000003</v>
      </c>
      <c r="AA362" s="1">
        <v>15.325631013691099</v>
      </c>
    </row>
    <row r="363" spans="1:27" s="1" customFormat="1" x14ac:dyDescent="0.25">
      <c r="A363" s="23"/>
      <c r="B363" s="22"/>
      <c r="C363" s="3">
        <v>41479</v>
      </c>
      <c r="D363" s="1">
        <v>24.1</v>
      </c>
      <c r="E363" s="1">
        <v>17.8</v>
      </c>
      <c r="F363" s="1">
        <v>28.8</v>
      </c>
      <c r="G363" s="1">
        <f t="shared" si="48"/>
        <v>2974.2999999999993</v>
      </c>
      <c r="H363" s="1">
        <f t="shared" si="56"/>
        <v>194.7</v>
      </c>
      <c r="J363" s="1">
        <v>0</v>
      </c>
      <c r="K363" s="1">
        <f t="shared" si="49"/>
        <v>914.89999999999986</v>
      </c>
      <c r="L363" s="1">
        <v>4.4000000000000004</v>
      </c>
      <c r="M363" s="1">
        <f t="shared" si="50"/>
        <v>520.60000000000025</v>
      </c>
      <c r="N363" s="1">
        <v>-4.4000000000000004</v>
      </c>
      <c r="O363" s="1">
        <f t="shared" si="55"/>
        <v>17.5</v>
      </c>
      <c r="P363" s="1">
        <v>316</v>
      </c>
      <c r="Q363" s="20">
        <f t="shared" si="54"/>
        <v>0.51551724137931032</v>
      </c>
      <c r="R363" s="9">
        <f t="shared" si="46"/>
        <v>2.2682758620689656</v>
      </c>
      <c r="S363" s="9">
        <f t="shared" si="47"/>
        <v>-2.2682758620689656</v>
      </c>
      <c r="T363" s="9">
        <f t="shared" si="51"/>
        <v>57.944482758620666</v>
      </c>
      <c r="V363" s="1">
        <v>1862.5</v>
      </c>
      <c r="X363" s="1">
        <f t="shared" si="52"/>
        <v>285581.99999999988</v>
      </c>
      <c r="Y363" s="1">
        <f t="shared" si="57"/>
        <v>16365.200000000003</v>
      </c>
      <c r="AA363" s="1">
        <v>15.288887155388901</v>
      </c>
    </row>
    <row r="364" spans="1:27" s="1" customFormat="1" x14ac:dyDescent="0.25">
      <c r="A364" s="23"/>
      <c r="B364" s="22"/>
      <c r="C364" s="3">
        <v>41480</v>
      </c>
      <c r="D364" s="1">
        <v>25.7</v>
      </c>
      <c r="E364" s="1">
        <v>21.3</v>
      </c>
      <c r="F364" s="1">
        <v>30.1</v>
      </c>
      <c r="G364" s="1">
        <f t="shared" si="48"/>
        <v>2999.9999999999991</v>
      </c>
      <c r="H364" s="1">
        <f t="shared" si="56"/>
        <v>220.39999999999998</v>
      </c>
      <c r="J364" s="1">
        <v>0</v>
      </c>
      <c r="K364" s="1">
        <f t="shared" si="49"/>
        <v>914.89999999999986</v>
      </c>
      <c r="L364" s="1">
        <v>5</v>
      </c>
      <c r="M364" s="1">
        <f t="shared" si="50"/>
        <v>525.60000000000025</v>
      </c>
      <c r="N364" s="1">
        <v>-5</v>
      </c>
      <c r="O364" s="1">
        <f t="shared" si="55"/>
        <v>12.5</v>
      </c>
      <c r="P364" s="1">
        <v>317</v>
      </c>
      <c r="Q364" s="20">
        <f t="shared" si="54"/>
        <v>0.50172413793103443</v>
      </c>
      <c r="R364" s="9">
        <f t="shared" si="46"/>
        <v>2.5086206896551722</v>
      </c>
      <c r="S364" s="9">
        <f t="shared" si="47"/>
        <v>-2.5086206896551722</v>
      </c>
      <c r="T364" s="9">
        <f t="shared" si="51"/>
        <v>55.435862068965491</v>
      </c>
      <c r="V364" s="1">
        <v>2203.9</v>
      </c>
      <c r="X364" s="1">
        <f t="shared" si="52"/>
        <v>287785.89999999991</v>
      </c>
      <c r="Y364" s="1">
        <f t="shared" si="57"/>
        <v>18569.100000000002</v>
      </c>
      <c r="AA364" s="1">
        <v>15.2513172590373</v>
      </c>
    </row>
    <row r="365" spans="1:27" s="1" customFormat="1" x14ac:dyDescent="0.25">
      <c r="A365" s="23"/>
      <c r="B365" s="22"/>
      <c r="C365" s="3">
        <v>41481</v>
      </c>
      <c r="D365" s="1">
        <v>26.1</v>
      </c>
      <c r="E365" s="1">
        <v>20.2</v>
      </c>
      <c r="F365" s="1">
        <v>31.7</v>
      </c>
      <c r="G365" s="1">
        <f t="shared" si="48"/>
        <v>3026.099999999999</v>
      </c>
      <c r="H365" s="1">
        <f t="shared" si="56"/>
        <v>246.49999999999997</v>
      </c>
      <c r="J365" s="1">
        <v>0.1</v>
      </c>
      <c r="K365" s="1">
        <f t="shared" si="49"/>
        <v>914.99999999999989</v>
      </c>
      <c r="L365" s="1">
        <v>2.5</v>
      </c>
      <c r="M365" s="1">
        <f t="shared" si="50"/>
        <v>528.10000000000025</v>
      </c>
      <c r="N365" s="1">
        <v>-2.4</v>
      </c>
      <c r="O365" s="1">
        <f t="shared" si="55"/>
        <v>10.1</v>
      </c>
      <c r="P365" s="1">
        <v>318</v>
      </c>
      <c r="Q365" s="20">
        <f t="shared" si="54"/>
        <v>0.48793103448275854</v>
      </c>
      <c r="R365" s="9">
        <f t="shared" si="46"/>
        <v>1.2198275862068964</v>
      </c>
      <c r="S365" s="9">
        <f t="shared" si="47"/>
        <v>-1.1198275862068963</v>
      </c>
      <c r="T365" s="9">
        <f t="shared" si="51"/>
        <v>54.316034482758596</v>
      </c>
      <c r="V365" s="1">
        <v>949</v>
      </c>
      <c r="X365" s="1">
        <f t="shared" si="52"/>
        <v>288734.89999999991</v>
      </c>
      <c r="Y365" s="1">
        <f t="shared" si="57"/>
        <v>19518.100000000002</v>
      </c>
      <c r="AA365" s="1">
        <v>15.212945582940399</v>
      </c>
    </row>
    <row r="366" spans="1:27" s="1" customFormat="1" x14ac:dyDescent="0.25">
      <c r="A366" s="23"/>
      <c r="B366" s="22"/>
      <c r="C366" s="3">
        <v>41482</v>
      </c>
      <c r="D366" s="1">
        <v>27.7</v>
      </c>
      <c r="E366" s="1">
        <v>21.7</v>
      </c>
      <c r="F366" s="1">
        <v>34.700000000000003</v>
      </c>
      <c r="G366" s="1">
        <f t="shared" si="48"/>
        <v>3053.7999999999988</v>
      </c>
      <c r="H366" s="1">
        <f t="shared" si="56"/>
        <v>274.2</v>
      </c>
      <c r="J366" s="1">
        <v>0.6</v>
      </c>
      <c r="K366" s="1">
        <f t="shared" si="49"/>
        <v>915.59999999999991</v>
      </c>
      <c r="L366" s="1">
        <v>8</v>
      </c>
      <c r="M366" s="1">
        <f t="shared" si="50"/>
        <v>536.10000000000025</v>
      </c>
      <c r="N366" s="1">
        <v>-7.4</v>
      </c>
      <c r="O366" s="1">
        <f t="shared" si="55"/>
        <v>2.6999999999999993</v>
      </c>
      <c r="P366" s="1">
        <v>319</v>
      </c>
      <c r="Q366" s="20">
        <f t="shared" si="54"/>
        <v>0.47413793103448276</v>
      </c>
      <c r="R366" s="9">
        <f t="shared" si="46"/>
        <v>3.7931034482758621</v>
      </c>
      <c r="S366" s="9">
        <f t="shared" si="47"/>
        <v>-3.193103448275862</v>
      </c>
      <c r="T366" s="9">
        <f t="shared" si="51"/>
        <v>51.122931034482733</v>
      </c>
      <c r="V366" s="1">
        <v>2332.1</v>
      </c>
      <c r="X366" s="1">
        <f t="shared" si="52"/>
        <v>291066.99999999988</v>
      </c>
      <c r="Y366" s="1">
        <f t="shared" si="57"/>
        <v>21850.2</v>
      </c>
      <c r="AA366" s="1">
        <v>15.173796233513601</v>
      </c>
    </row>
    <row r="367" spans="1:27" s="1" customFormat="1" x14ac:dyDescent="0.25">
      <c r="A367" s="23"/>
      <c r="B367" s="22"/>
      <c r="C367" s="3">
        <v>41483</v>
      </c>
      <c r="D367" s="1">
        <v>19.600000000000001</v>
      </c>
      <c r="E367" s="1">
        <v>18.5</v>
      </c>
      <c r="F367" s="1">
        <v>20.100000000000001</v>
      </c>
      <c r="G367" s="1">
        <f t="shared" si="48"/>
        <v>3073.3999999999987</v>
      </c>
      <c r="H367" s="1">
        <f t="shared" si="56"/>
        <v>293.8</v>
      </c>
      <c r="J367" s="1">
        <v>59.3</v>
      </c>
      <c r="K367" s="1">
        <f t="shared" si="49"/>
        <v>974.89999999999986</v>
      </c>
      <c r="L367" s="1">
        <v>1.4</v>
      </c>
      <c r="M367" s="1">
        <f t="shared" si="50"/>
        <v>537.50000000000023</v>
      </c>
      <c r="N367" s="1">
        <v>57.9</v>
      </c>
      <c r="O367" s="1">
        <f t="shared" si="55"/>
        <v>60.599999999999994</v>
      </c>
      <c r="P367" s="1">
        <v>320</v>
      </c>
      <c r="Q367" s="20">
        <f t="shared" si="54"/>
        <v>0.46034482758620687</v>
      </c>
      <c r="R367" s="9">
        <f t="shared" si="46"/>
        <v>0.6444827586206896</v>
      </c>
      <c r="S367" s="9">
        <f t="shared" si="47"/>
        <v>58.655517241379307</v>
      </c>
      <c r="T367" s="9">
        <f t="shared" si="51"/>
        <v>109.77844827586205</v>
      </c>
      <c r="V367" s="1">
        <v>596.70000000000005</v>
      </c>
      <c r="X367" s="1">
        <f t="shared" si="52"/>
        <v>291663.6999999999</v>
      </c>
      <c r="Y367" s="1">
        <f t="shared" si="57"/>
        <v>22446.9</v>
      </c>
      <c r="AA367" s="1">
        <v>15.133893126569101</v>
      </c>
    </row>
    <row r="368" spans="1:27" s="1" customFormat="1" x14ac:dyDescent="0.25">
      <c r="A368" s="23"/>
      <c r="B368" s="22"/>
      <c r="C368" s="3">
        <v>41484</v>
      </c>
      <c r="D368" s="1">
        <v>19.399999999999999</v>
      </c>
      <c r="E368" s="1">
        <v>17.3</v>
      </c>
      <c r="F368" s="1">
        <v>22.8</v>
      </c>
      <c r="G368" s="1">
        <f t="shared" si="48"/>
        <v>3092.7999999999988</v>
      </c>
      <c r="H368" s="1">
        <f t="shared" si="56"/>
        <v>313.2</v>
      </c>
      <c r="J368" s="1">
        <v>2.5</v>
      </c>
      <c r="K368" s="1">
        <f t="shared" si="49"/>
        <v>977.39999999999986</v>
      </c>
      <c r="L368" s="1">
        <v>3.1</v>
      </c>
      <c r="M368" s="1">
        <f t="shared" si="50"/>
        <v>540.60000000000025</v>
      </c>
      <c r="N368" s="1">
        <v>-0.60000000000000009</v>
      </c>
      <c r="O368" s="1">
        <f t="shared" si="55"/>
        <v>59.999999999999993</v>
      </c>
      <c r="P368" s="1">
        <v>321</v>
      </c>
      <c r="Q368" s="20">
        <f t="shared" si="54"/>
        <v>0.44655172413793098</v>
      </c>
      <c r="R368" s="9">
        <f t="shared" ref="R368:R375" si="58">Q368*L368</f>
        <v>1.3843103448275862</v>
      </c>
      <c r="S368" s="9">
        <f t="shared" ref="S368:S375" si="59">J368-R368</f>
        <v>1.1156896551724138</v>
      </c>
      <c r="T368" s="9">
        <f t="shared" si="51"/>
        <v>110.89413793103446</v>
      </c>
      <c r="V368" s="1">
        <v>1516.9</v>
      </c>
      <c r="X368" s="1">
        <f t="shared" si="52"/>
        <v>293180.59999999992</v>
      </c>
      <c r="Y368" s="1">
        <f t="shared" si="57"/>
        <v>23963.800000000003</v>
      </c>
      <c r="AA368" s="1">
        <v>15.093259951163301</v>
      </c>
    </row>
    <row r="369" spans="1:27" s="1" customFormat="1" x14ac:dyDescent="0.25">
      <c r="A369" s="23"/>
      <c r="B369" s="22"/>
      <c r="C369" s="3">
        <v>41485</v>
      </c>
      <c r="D369" s="1">
        <v>20.3</v>
      </c>
      <c r="E369" s="1">
        <v>16.399999999999999</v>
      </c>
      <c r="F369" s="1">
        <v>23.7</v>
      </c>
      <c r="G369" s="1">
        <f t="shared" si="48"/>
        <v>3113.099999999999</v>
      </c>
      <c r="H369" s="1">
        <f t="shared" si="56"/>
        <v>333.5</v>
      </c>
      <c r="J369" s="1">
        <v>0.2</v>
      </c>
      <c r="K369" s="1">
        <f t="shared" si="49"/>
        <v>977.59999999999991</v>
      </c>
      <c r="L369" s="1">
        <v>3.3</v>
      </c>
      <c r="M369" s="1">
        <f t="shared" si="50"/>
        <v>543.9000000000002</v>
      </c>
      <c r="N369" s="1">
        <v>-3.0999999999999996</v>
      </c>
      <c r="O369" s="1">
        <f t="shared" si="55"/>
        <v>56.899999999999991</v>
      </c>
      <c r="P369" s="1">
        <v>322</v>
      </c>
      <c r="Q369" s="20">
        <f t="shared" si="54"/>
        <v>0.43275862068965509</v>
      </c>
      <c r="R369" s="9">
        <f t="shared" si="58"/>
        <v>1.4281034482758617</v>
      </c>
      <c r="S369" s="9">
        <f t="shared" si="59"/>
        <v>-1.2281034482758617</v>
      </c>
      <c r="T369" s="9">
        <f t="shared" si="51"/>
        <v>109.6660344827586</v>
      </c>
      <c r="V369" s="1">
        <v>1533.6</v>
      </c>
      <c r="X369" s="1">
        <f t="shared" si="52"/>
        <v>294714.1999999999</v>
      </c>
      <c r="Y369" s="1">
        <f t="shared" si="57"/>
        <v>25497.4</v>
      </c>
      <c r="AA369" s="1">
        <v>15.051920136011599</v>
      </c>
    </row>
    <row r="370" spans="1:27" s="1" customFormat="1" x14ac:dyDescent="0.25">
      <c r="A370" s="23"/>
      <c r="B370" s="22"/>
      <c r="C370" s="3">
        <v>41486</v>
      </c>
      <c r="D370" s="1">
        <v>22.8</v>
      </c>
      <c r="E370" s="1">
        <v>17.7</v>
      </c>
      <c r="F370" s="1">
        <v>27.2</v>
      </c>
      <c r="G370" s="1">
        <f t="shared" ref="G370:G375" si="60">G369+D370</f>
        <v>3135.8999999999992</v>
      </c>
      <c r="H370" s="1">
        <f t="shared" si="56"/>
        <v>356.3</v>
      </c>
      <c r="J370" s="1">
        <v>0</v>
      </c>
      <c r="K370" s="1">
        <f t="shared" ref="K370:K375" si="61">K369+J370</f>
        <v>977.59999999999991</v>
      </c>
      <c r="L370" s="1">
        <v>4.4000000000000004</v>
      </c>
      <c r="M370" s="1">
        <f t="shared" ref="M370:M375" si="62">M369+L370</f>
        <v>548.30000000000018</v>
      </c>
      <c r="N370" s="1">
        <v>-4.4000000000000004</v>
      </c>
      <c r="O370" s="1">
        <f t="shared" si="55"/>
        <v>52.499999999999993</v>
      </c>
      <c r="P370" s="1">
        <v>323</v>
      </c>
      <c r="Q370" s="20">
        <f t="shared" si="54"/>
        <v>0.4189655172413792</v>
      </c>
      <c r="R370" s="9">
        <f t="shared" si="58"/>
        <v>1.8434482758620687</v>
      </c>
      <c r="S370" s="9">
        <f t="shared" si="59"/>
        <v>-1.8434482758620687</v>
      </c>
      <c r="T370" s="9">
        <f t="shared" ref="T370:T375" si="63">MIN(122.1,(T369+S370))</f>
        <v>107.82258620689653</v>
      </c>
      <c r="V370" s="1">
        <v>2224.6</v>
      </c>
      <c r="X370" s="1">
        <f t="shared" ref="X370:X375" si="64">X369+V370</f>
        <v>296938.79999999987</v>
      </c>
      <c r="Y370" s="1">
        <f t="shared" si="57"/>
        <v>27722</v>
      </c>
      <c r="AA370" s="1">
        <v>15.0098968184643</v>
      </c>
    </row>
    <row r="371" spans="1:27" s="1" customFormat="1" x14ac:dyDescent="0.25">
      <c r="A371" s="23"/>
      <c r="B371" s="22"/>
      <c r="C371" s="3">
        <v>41487</v>
      </c>
      <c r="D371" s="1">
        <v>25.1</v>
      </c>
      <c r="E371" s="1">
        <v>16.5</v>
      </c>
      <c r="F371" s="1">
        <v>30.8</v>
      </c>
      <c r="G371" s="1">
        <f t="shared" si="60"/>
        <v>3160.9999999999991</v>
      </c>
      <c r="H371" s="1">
        <f t="shared" si="56"/>
        <v>381.40000000000003</v>
      </c>
      <c r="J371" s="1">
        <v>0</v>
      </c>
      <c r="K371" s="1">
        <f t="shared" si="61"/>
        <v>977.59999999999991</v>
      </c>
      <c r="L371" s="1">
        <v>6.3</v>
      </c>
      <c r="M371" s="1">
        <f t="shared" si="62"/>
        <v>554.60000000000014</v>
      </c>
      <c r="N371" s="1">
        <v>-6.3</v>
      </c>
      <c r="O371" s="1">
        <f t="shared" si="55"/>
        <v>46.199999999999996</v>
      </c>
      <c r="P371" s="1">
        <v>324</v>
      </c>
      <c r="Q371" s="20">
        <f t="shared" si="54"/>
        <v>0.40517241379310343</v>
      </c>
      <c r="R371" s="9">
        <f t="shared" si="58"/>
        <v>2.5525862068965517</v>
      </c>
      <c r="S371" s="9">
        <f t="shared" si="59"/>
        <v>-2.5525862068965517</v>
      </c>
      <c r="T371" s="9">
        <f t="shared" si="63"/>
        <v>105.26999999999998</v>
      </c>
      <c r="V371" s="1">
        <v>2880.6</v>
      </c>
      <c r="X371" s="1">
        <f t="shared" si="64"/>
        <v>299819.39999999985</v>
      </c>
      <c r="Y371" s="1">
        <f t="shared" si="57"/>
        <v>30602.6</v>
      </c>
      <c r="AA371" s="1">
        <v>14.967212816020499</v>
      </c>
    </row>
    <row r="372" spans="1:27" s="1" customFormat="1" x14ac:dyDescent="0.25">
      <c r="A372" s="23"/>
      <c r="B372" s="22"/>
      <c r="C372" s="3">
        <v>41488</v>
      </c>
      <c r="D372" s="1">
        <v>26</v>
      </c>
      <c r="E372" s="1">
        <v>20</v>
      </c>
      <c r="F372" s="1">
        <v>31.8</v>
      </c>
      <c r="G372" s="1">
        <f t="shared" si="60"/>
        <v>3186.9999999999991</v>
      </c>
      <c r="H372" s="1">
        <f t="shared" si="56"/>
        <v>407.40000000000003</v>
      </c>
      <c r="J372" s="1">
        <v>0</v>
      </c>
      <c r="K372" s="1">
        <f t="shared" si="61"/>
        <v>977.59999999999991</v>
      </c>
      <c r="L372" s="1">
        <v>6.7</v>
      </c>
      <c r="M372" s="1">
        <f t="shared" si="62"/>
        <v>561.30000000000018</v>
      </c>
      <c r="N372" s="1">
        <v>-6.7</v>
      </c>
      <c r="O372" s="1">
        <f t="shared" si="55"/>
        <v>39.499999999999993</v>
      </c>
      <c r="P372" s="1">
        <v>325</v>
      </c>
      <c r="Q372" s="20">
        <f t="shared" si="54"/>
        <v>0.39137931034482754</v>
      </c>
      <c r="R372" s="9">
        <f t="shared" si="58"/>
        <v>2.6222413793103447</v>
      </c>
      <c r="S372" s="9">
        <f t="shared" si="59"/>
        <v>-2.6222413793103447</v>
      </c>
      <c r="T372" s="9">
        <f t="shared" si="63"/>
        <v>102.64775862068964</v>
      </c>
      <c r="V372" s="1">
        <v>2540.9</v>
      </c>
      <c r="X372" s="1">
        <f t="shared" si="64"/>
        <v>302360.29999999987</v>
      </c>
      <c r="Y372" s="1">
        <f t="shared" si="57"/>
        <v>33143.5</v>
      </c>
      <c r="AA372" s="1">
        <v>14.9238906003454</v>
      </c>
    </row>
    <row r="373" spans="1:27" s="1" customFormat="1" x14ac:dyDescent="0.25">
      <c r="A373" s="23"/>
      <c r="B373" s="22"/>
      <c r="C373" s="3">
        <v>41489</v>
      </c>
      <c r="D373" s="1">
        <v>23.6</v>
      </c>
      <c r="E373" s="1">
        <v>21.5</v>
      </c>
      <c r="F373" s="1">
        <v>26.8</v>
      </c>
      <c r="G373" s="1">
        <f t="shared" si="60"/>
        <v>3210.599999999999</v>
      </c>
      <c r="H373" s="1">
        <f t="shared" si="56"/>
        <v>431.00000000000006</v>
      </c>
      <c r="J373" s="1">
        <v>0.4</v>
      </c>
      <c r="K373" s="1">
        <f t="shared" si="61"/>
        <v>977.99999999999989</v>
      </c>
      <c r="L373" s="1">
        <v>3.6</v>
      </c>
      <c r="M373" s="1">
        <f t="shared" si="62"/>
        <v>564.9000000000002</v>
      </c>
      <c r="N373" s="1">
        <v>-3.2</v>
      </c>
      <c r="O373" s="1">
        <f t="shared" si="55"/>
        <v>36.29999999999999</v>
      </c>
      <c r="P373" s="1">
        <v>326</v>
      </c>
      <c r="Q373" s="20">
        <f t="shared" si="54"/>
        <v>0.37758620689655165</v>
      </c>
      <c r="R373" s="9">
        <f t="shared" si="58"/>
        <v>1.3593103448275861</v>
      </c>
      <c r="S373" s="9">
        <f t="shared" si="59"/>
        <v>-0.95931034482758604</v>
      </c>
      <c r="T373" s="9">
        <f t="shared" si="63"/>
        <v>101.68844827586206</v>
      </c>
      <c r="V373" s="1">
        <v>1334.3</v>
      </c>
      <c r="X373" s="1">
        <f t="shared" si="64"/>
        <v>303694.59999999986</v>
      </c>
      <c r="Y373" s="1">
        <f t="shared" si="57"/>
        <v>34477.800000000003</v>
      </c>
      <c r="AA373" s="1">
        <v>14.8799522737445</v>
      </c>
    </row>
    <row r="374" spans="1:27" s="1" customFormat="1" x14ac:dyDescent="0.25">
      <c r="A374" s="23"/>
      <c r="B374" s="22"/>
      <c r="C374" s="3">
        <v>41490</v>
      </c>
      <c r="D374" s="1">
        <v>23</v>
      </c>
      <c r="E374" s="1">
        <v>19</v>
      </c>
      <c r="F374" s="1">
        <v>26.7</v>
      </c>
      <c r="G374" s="1">
        <f t="shared" si="60"/>
        <v>3233.599999999999</v>
      </c>
      <c r="H374" s="1">
        <f t="shared" si="56"/>
        <v>454.00000000000006</v>
      </c>
      <c r="J374" s="1">
        <v>0.1</v>
      </c>
      <c r="K374" s="1">
        <f t="shared" si="61"/>
        <v>978.09999999999991</v>
      </c>
      <c r="L374" s="1">
        <v>4.4000000000000004</v>
      </c>
      <c r="M374" s="1">
        <f t="shared" si="62"/>
        <v>569.30000000000018</v>
      </c>
      <c r="N374" s="1">
        <v>-4.3000000000000007</v>
      </c>
      <c r="O374" s="1">
        <f t="shared" si="55"/>
        <v>31.999999999999989</v>
      </c>
      <c r="P374" s="1">
        <v>327</v>
      </c>
      <c r="Q374" s="20">
        <f t="shared" si="54"/>
        <v>0.36379310344827587</v>
      </c>
      <c r="R374" s="9">
        <f t="shared" si="58"/>
        <v>1.6006896551724139</v>
      </c>
      <c r="S374" s="9">
        <f t="shared" si="59"/>
        <v>-1.5006896551724138</v>
      </c>
      <c r="T374" s="9">
        <f t="shared" si="63"/>
        <v>100.18775862068965</v>
      </c>
      <c r="V374" s="1">
        <v>1964.5</v>
      </c>
      <c r="X374" s="1">
        <f t="shared" si="64"/>
        <v>305659.09999999986</v>
      </c>
      <c r="Y374" s="1">
        <f t="shared" si="57"/>
        <v>36442.300000000003</v>
      </c>
      <c r="AA374" s="1">
        <v>14.8354195480385</v>
      </c>
    </row>
    <row r="375" spans="1:27" s="1" customFormat="1" x14ac:dyDescent="0.25">
      <c r="A375" s="23"/>
      <c r="B375" s="22"/>
      <c r="C375" s="3">
        <v>41491</v>
      </c>
      <c r="D375" s="1">
        <v>24.7</v>
      </c>
      <c r="E375" s="1">
        <v>19.100000000000001</v>
      </c>
      <c r="F375" s="1">
        <v>30.3</v>
      </c>
      <c r="G375" s="1">
        <f t="shared" si="60"/>
        <v>3258.2999999999988</v>
      </c>
      <c r="H375" s="1">
        <f t="shared" si="56"/>
        <v>478.70000000000005</v>
      </c>
      <c r="J375" s="1">
        <v>0.2</v>
      </c>
      <c r="K375" s="1">
        <f t="shared" si="61"/>
        <v>978.3</v>
      </c>
      <c r="L375" s="1">
        <v>5</v>
      </c>
      <c r="M375" s="1">
        <f t="shared" si="62"/>
        <v>574.30000000000018</v>
      </c>
      <c r="N375" s="1">
        <v>-4.8</v>
      </c>
      <c r="O375" s="1">
        <f t="shared" si="55"/>
        <v>27.199999999999989</v>
      </c>
      <c r="P375" s="1">
        <v>328</v>
      </c>
      <c r="Q375" s="20">
        <f t="shared" si="54"/>
        <v>0.35</v>
      </c>
      <c r="R375" s="9">
        <f t="shared" si="58"/>
        <v>1.75</v>
      </c>
      <c r="S375" s="9">
        <f t="shared" si="59"/>
        <v>-1.55</v>
      </c>
      <c r="T375" s="9">
        <f t="shared" si="63"/>
        <v>98.637758620689652</v>
      </c>
      <c r="V375" s="1">
        <v>2258.5</v>
      </c>
      <c r="X375" s="1">
        <f t="shared" si="64"/>
        <v>307917.59999999986</v>
      </c>
      <c r="Y375" s="1">
        <f t="shared" si="57"/>
        <v>38700.800000000003</v>
      </c>
      <c r="AA375" s="1">
        <v>14.790313725772901</v>
      </c>
    </row>
    <row r="376" spans="1:27" s="1" customFormat="1" x14ac:dyDescent="0.25">
      <c r="A376" s="44" t="s">
        <v>30</v>
      </c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</sheetData>
  <mergeCells count="14">
    <mergeCell ref="A335:A355"/>
    <mergeCell ref="A376:Z376"/>
    <mergeCell ref="D1:I2"/>
    <mergeCell ref="J1:U2"/>
    <mergeCell ref="V1:Z2"/>
    <mergeCell ref="P3:T3"/>
    <mergeCell ref="G4:H4"/>
    <mergeCell ref="X4:Y4"/>
    <mergeCell ref="A47:Z47"/>
    <mergeCell ref="A48:A164"/>
    <mergeCell ref="A165:A222"/>
    <mergeCell ref="A223:A271"/>
    <mergeCell ref="A293:A317"/>
    <mergeCell ref="A318:A334"/>
  </mergeCells>
  <conditionalFormatting sqref="D5:F46 D48:F375 I55 I57 I59 I61 I178 I174 I172 I176 I230 I232 I234 I236 I279 I281 I283 I285 I300 I302 I304 I306 I325 I327 I329 I331 I342 I344 I346 I348">
    <cfRule type="cellIs" dxfId="19" priority="8" operator="greaterThanOrEqual">
      <formula>25</formula>
    </cfRule>
    <cfRule type="cellIs" priority="9" operator="greaterThanOrEqual">
      <formula>25</formula>
    </cfRule>
    <cfRule type="cellIs" dxfId="18" priority="10" operator="between">
      <formula>0</formula>
      <formula>5</formula>
    </cfRule>
    <cfRule type="cellIs" dxfId="17" priority="11" operator="lessThan">
      <formula>0</formula>
    </cfRule>
  </conditionalFormatting>
  <conditionalFormatting sqref="N5:N46 N48:N375">
    <cfRule type="cellIs" dxfId="16" priority="7" operator="lessThanOrEqual">
      <formula>0</formula>
    </cfRule>
  </conditionalFormatting>
  <conditionalFormatting sqref="V48:V375">
    <cfRule type="cellIs" dxfId="15" priority="6" operator="lessThan">
      <formula>900</formula>
    </cfRule>
  </conditionalFormatting>
  <conditionalFormatting sqref="S48:S375">
    <cfRule type="cellIs" dxfId="14" priority="5" operator="lessThanOrEqual">
      <formula>0</formula>
    </cfRule>
  </conditionalFormatting>
  <conditionalFormatting sqref="T5:T376">
    <cfRule type="cellIs" dxfId="13" priority="3" operator="equal">
      <formula>0</formula>
    </cfRule>
    <cfRule type="cellIs" dxfId="12" priority="4" operator="lessThanOrEqual">
      <formula>40.7</formula>
    </cfRule>
  </conditionalFormatting>
  <conditionalFormatting sqref="T1:T4">
    <cfRule type="cellIs" dxfId="11" priority="1" operator="equal">
      <formula>0</formula>
    </cfRule>
    <cfRule type="cellIs" dxfId="10" priority="2" operator="lessThanOrEqual">
      <formula>40.7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76"/>
  <sheetViews>
    <sheetView zoomScale="80" zoomScaleNormal="80" workbookViewId="0">
      <pane xSplit="3" ySplit="4" topLeftCell="D202" activePane="bottomRight" state="frozen"/>
      <selection pane="topRight" activeCell="D1" sqref="D1"/>
      <selection pane="bottomLeft" activeCell="A5" sqref="A5"/>
      <selection pane="bottomRight" activeCell="Y238" sqref="Y238"/>
    </sheetView>
  </sheetViews>
  <sheetFormatPr baseColWidth="10" defaultRowHeight="15" x14ac:dyDescent="0.25"/>
  <sheetData>
    <row r="1" spans="1:26" x14ac:dyDescent="0.25">
      <c r="B1" s="24"/>
      <c r="D1" s="45" t="s">
        <v>31</v>
      </c>
      <c r="E1" s="45"/>
      <c r="F1" s="45"/>
      <c r="G1" s="45"/>
      <c r="H1" s="45"/>
      <c r="I1" s="45"/>
      <c r="J1" s="45" t="s">
        <v>32</v>
      </c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 t="s">
        <v>33</v>
      </c>
      <c r="W1" s="45"/>
      <c r="X1" s="45"/>
      <c r="Y1" s="45"/>
      <c r="Z1" s="45"/>
    </row>
    <row r="2" spans="1:26" x14ac:dyDescent="0.25">
      <c r="B2" s="24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x14ac:dyDescent="0.25">
      <c r="B3" s="24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45" t="s">
        <v>34</v>
      </c>
      <c r="Q3" s="45"/>
      <c r="R3" s="45"/>
      <c r="S3" s="45"/>
      <c r="T3" s="45"/>
      <c r="U3" s="25"/>
      <c r="V3" s="25"/>
      <c r="W3" s="25"/>
      <c r="X3" s="25"/>
      <c r="Y3" s="25"/>
      <c r="Z3" s="25"/>
    </row>
    <row r="4" spans="1:26" x14ac:dyDescent="0.25">
      <c r="A4" t="s">
        <v>35</v>
      </c>
      <c r="B4" s="24">
        <v>5</v>
      </c>
      <c r="C4" t="s">
        <v>36</v>
      </c>
      <c r="D4" t="s">
        <v>37</v>
      </c>
      <c r="E4" t="s">
        <v>38</v>
      </c>
      <c r="F4" t="s">
        <v>39</v>
      </c>
      <c r="G4" s="46" t="s">
        <v>40</v>
      </c>
      <c r="H4" s="46"/>
      <c r="I4" t="s">
        <v>41</v>
      </c>
      <c r="J4" t="s">
        <v>42</v>
      </c>
      <c r="K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48</v>
      </c>
      <c r="Q4" t="s">
        <v>49</v>
      </c>
      <c r="R4" t="s">
        <v>50</v>
      </c>
      <c r="S4" t="s">
        <v>51</v>
      </c>
      <c r="T4" t="s">
        <v>52</v>
      </c>
      <c r="U4" t="s">
        <v>41</v>
      </c>
      <c r="V4" t="s">
        <v>53</v>
      </c>
      <c r="W4" t="s">
        <v>54</v>
      </c>
      <c r="X4" s="46" t="s">
        <v>55</v>
      </c>
      <c r="Y4" s="46"/>
      <c r="Z4" t="s">
        <v>41</v>
      </c>
    </row>
    <row r="5" spans="1:26" s="1" customFormat="1" x14ac:dyDescent="0.25">
      <c r="B5" s="2"/>
      <c r="C5" s="3">
        <v>41122</v>
      </c>
      <c r="D5" s="1">
        <v>22.7</v>
      </c>
      <c r="E5" s="1">
        <v>15.7</v>
      </c>
      <c r="F5" s="1">
        <v>28.1</v>
      </c>
      <c r="J5" s="1">
        <v>3.1</v>
      </c>
      <c r="L5" s="1">
        <v>3.4</v>
      </c>
      <c r="N5" s="1">
        <v>-0.29999999999999982</v>
      </c>
      <c r="O5" s="1">
        <v>0</v>
      </c>
      <c r="V5" s="1">
        <v>1519</v>
      </c>
    </row>
    <row r="6" spans="1:26" s="1" customFormat="1" x14ac:dyDescent="0.25">
      <c r="B6" s="2"/>
      <c r="C6" s="3">
        <v>41123</v>
      </c>
      <c r="D6" s="1">
        <v>21.2</v>
      </c>
      <c r="E6" s="1">
        <v>18.100000000000001</v>
      </c>
      <c r="F6" s="1">
        <v>24.8</v>
      </c>
      <c r="J6" s="1">
        <v>0</v>
      </c>
      <c r="L6" s="1">
        <v>3.8</v>
      </c>
      <c r="N6" s="1">
        <v>-3.8</v>
      </c>
      <c r="O6" s="1">
        <v>0</v>
      </c>
      <c r="V6" s="1">
        <v>1754.9</v>
      </c>
    </row>
    <row r="7" spans="1:26" s="1" customFormat="1" x14ac:dyDescent="0.25">
      <c r="B7" s="2"/>
      <c r="C7" s="3">
        <v>41124</v>
      </c>
      <c r="D7" s="1">
        <v>21</v>
      </c>
      <c r="E7" s="1">
        <v>16</v>
      </c>
      <c r="F7" s="1">
        <v>25</v>
      </c>
      <c r="J7" s="1">
        <v>0</v>
      </c>
      <c r="L7" s="1">
        <v>2.9</v>
      </c>
      <c r="N7" s="1">
        <v>-2.9</v>
      </c>
      <c r="O7" s="1">
        <v>0</v>
      </c>
      <c r="V7" s="1">
        <v>1476.6</v>
      </c>
    </row>
    <row r="8" spans="1:26" s="1" customFormat="1" x14ac:dyDescent="0.25">
      <c r="B8" s="2"/>
      <c r="C8" s="3">
        <v>41125</v>
      </c>
      <c r="D8" s="1">
        <v>21.6</v>
      </c>
      <c r="E8" s="1">
        <v>16.7</v>
      </c>
      <c r="F8" s="1">
        <v>27</v>
      </c>
      <c r="J8" s="1">
        <v>0.1</v>
      </c>
      <c r="L8" s="1">
        <v>3.1</v>
      </c>
      <c r="N8" s="1">
        <v>-3</v>
      </c>
      <c r="O8" s="1">
        <v>0</v>
      </c>
      <c r="V8" s="1">
        <v>1546.1</v>
      </c>
    </row>
    <row r="9" spans="1:26" s="1" customFormat="1" x14ac:dyDescent="0.25">
      <c r="B9" s="2"/>
      <c r="C9" s="3">
        <v>41126</v>
      </c>
      <c r="D9" s="1">
        <v>20.6</v>
      </c>
      <c r="E9" s="1">
        <v>16.5</v>
      </c>
      <c r="F9" s="1">
        <v>25</v>
      </c>
      <c r="J9" s="1">
        <v>7.5</v>
      </c>
      <c r="L9" s="1">
        <v>2.5</v>
      </c>
      <c r="N9" s="1">
        <v>5</v>
      </c>
      <c r="O9" s="1">
        <f>O8+N9</f>
        <v>5</v>
      </c>
      <c r="V9" s="1">
        <v>1230.0999999999999</v>
      </c>
    </row>
    <row r="10" spans="1:26" s="1" customFormat="1" x14ac:dyDescent="0.25">
      <c r="B10" s="2"/>
      <c r="C10" s="3">
        <v>41127</v>
      </c>
      <c r="D10" s="1">
        <v>18.100000000000001</v>
      </c>
      <c r="E10" s="1">
        <v>14.9</v>
      </c>
      <c r="F10" s="1">
        <v>20.5</v>
      </c>
      <c r="J10" s="1">
        <v>1</v>
      </c>
      <c r="L10" s="1">
        <v>2.4</v>
      </c>
      <c r="N10" s="1">
        <v>-1.4</v>
      </c>
      <c r="O10" s="1">
        <f>O9+N10</f>
        <v>3.6</v>
      </c>
      <c r="V10" s="1">
        <v>1313.4</v>
      </c>
    </row>
    <row r="11" spans="1:26" s="1" customFormat="1" x14ac:dyDescent="0.25">
      <c r="B11" s="2"/>
      <c r="C11" s="3">
        <v>41128</v>
      </c>
      <c r="D11" s="1">
        <v>18.2</v>
      </c>
      <c r="E11" s="1">
        <v>13.9</v>
      </c>
      <c r="F11" s="1">
        <v>22.7</v>
      </c>
      <c r="J11" s="1">
        <v>0</v>
      </c>
      <c r="L11" s="1">
        <v>4.3</v>
      </c>
      <c r="N11" s="1">
        <v>-4.3</v>
      </c>
      <c r="O11" s="1">
        <v>0</v>
      </c>
      <c r="V11" s="1">
        <v>2417.1</v>
      </c>
    </row>
    <row r="12" spans="1:26" s="1" customFormat="1" x14ac:dyDescent="0.25">
      <c r="B12" s="2"/>
      <c r="C12" s="3">
        <v>41129</v>
      </c>
      <c r="D12" s="1">
        <v>19.5</v>
      </c>
      <c r="E12" s="1">
        <v>13.6</v>
      </c>
      <c r="F12" s="1">
        <v>25</v>
      </c>
      <c r="J12" s="1">
        <v>0</v>
      </c>
      <c r="L12" s="1">
        <v>4.7</v>
      </c>
      <c r="N12" s="1">
        <v>-4.7</v>
      </c>
      <c r="O12" s="1">
        <v>0</v>
      </c>
      <c r="V12" s="1">
        <v>2489</v>
      </c>
    </row>
    <row r="13" spans="1:26" s="1" customFormat="1" x14ac:dyDescent="0.25">
      <c r="B13" s="2"/>
      <c r="C13" s="3">
        <v>41130</v>
      </c>
      <c r="D13" s="1">
        <v>21.4</v>
      </c>
      <c r="E13" s="1">
        <v>16</v>
      </c>
      <c r="F13" s="1">
        <v>27.2</v>
      </c>
      <c r="J13" s="1">
        <v>0</v>
      </c>
      <c r="L13" s="1">
        <v>5.4</v>
      </c>
      <c r="N13" s="1">
        <v>-5.4</v>
      </c>
      <c r="O13" s="1">
        <v>0</v>
      </c>
      <c r="V13" s="1">
        <v>2561.6999999999998</v>
      </c>
    </row>
    <row r="14" spans="1:26" s="1" customFormat="1" x14ac:dyDescent="0.25">
      <c r="B14" s="2"/>
      <c r="C14" s="3">
        <v>41131</v>
      </c>
      <c r="D14" s="1">
        <v>21.5</v>
      </c>
      <c r="E14" s="1">
        <v>16.8</v>
      </c>
      <c r="F14" s="1">
        <v>27.3</v>
      </c>
      <c r="J14" s="1">
        <v>0</v>
      </c>
      <c r="L14" s="1">
        <v>6.6</v>
      </c>
      <c r="N14" s="1">
        <v>-6.6</v>
      </c>
      <c r="O14" s="1">
        <v>0</v>
      </c>
      <c r="V14" s="1">
        <v>2875.6</v>
      </c>
    </row>
    <row r="15" spans="1:26" s="1" customFormat="1" x14ac:dyDescent="0.25">
      <c r="B15" s="2"/>
      <c r="C15" s="3">
        <v>41132</v>
      </c>
      <c r="D15" s="1">
        <v>21.3</v>
      </c>
      <c r="E15" s="1">
        <v>14.4</v>
      </c>
      <c r="F15" s="1">
        <v>27.9</v>
      </c>
      <c r="J15" s="1">
        <v>0</v>
      </c>
      <c r="L15" s="1">
        <v>6.3</v>
      </c>
      <c r="N15" s="1">
        <v>-6.3</v>
      </c>
      <c r="O15" s="1">
        <v>0</v>
      </c>
      <c r="V15" s="1">
        <v>2861.1</v>
      </c>
    </row>
    <row r="16" spans="1:26" s="1" customFormat="1" x14ac:dyDescent="0.25">
      <c r="B16" s="2"/>
      <c r="C16" s="3">
        <v>41133</v>
      </c>
      <c r="D16" s="1">
        <v>19.600000000000001</v>
      </c>
      <c r="E16" s="1">
        <v>13.3</v>
      </c>
      <c r="F16" s="1">
        <v>25.6</v>
      </c>
      <c r="J16" s="1">
        <v>0.2</v>
      </c>
      <c r="L16" s="1">
        <v>3.2</v>
      </c>
      <c r="N16" s="1">
        <v>-3</v>
      </c>
      <c r="O16" s="1">
        <v>0</v>
      </c>
      <c r="V16" s="1">
        <v>1770.3</v>
      </c>
    </row>
    <row r="17" spans="2:22" s="1" customFormat="1" x14ac:dyDescent="0.25">
      <c r="B17" s="2"/>
      <c r="C17" s="3">
        <v>41134</v>
      </c>
      <c r="D17" s="1">
        <v>20.7</v>
      </c>
      <c r="E17" s="1">
        <v>14</v>
      </c>
      <c r="F17" s="1">
        <v>27</v>
      </c>
      <c r="J17" s="1">
        <v>0</v>
      </c>
      <c r="L17" s="1">
        <v>2.2999999999999998</v>
      </c>
      <c r="N17" s="1">
        <v>-2.2999999999999998</v>
      </c>
      <c r="O17" s="1">
        <v>0</v>
      </c>
      <c r="V17" s="1">
        <v>1430.9</v>
      </c>
    </row>
    <row r="18" spans="2:22" s="1" customFormat="1" x14ac:dyDescent="0.25">
      <c r="B18" s="2"/>
      <c r="C18" s="3">
        <v>41135</v>
      </c>
      <c r="D18" s="1">
        <v>22.8</v>
      </c>
      <c r="E18" s="1">
        <v>15.1</v>
      </c>
      <c r="F18" s="1">
        <v>28.1</v>
      </c>
      <c r="J18" s="1">
        <v>0</v>
      </c>
      <c r="L18" s="1">
        <v>2</v>
      </c>
      <c r="N18" s="1">
        <v>-2</v>
      </c>
      <c r="O18" s="1">
        <v>0</v>
      </c>
      <c r="V18" s="1">
        <v>1098.5</v>
      </c>
    </row>
    <row r="19" spans="2:22" s="1" customFormat="1" x14ac:dyDescent="0.25">
      <c r="B19" s="2"/>
      <c r="C19" s="3">
        <v>41136</v>
      </c>
      <c r="D19" s="1">
        <v>21.8</v>
      </c>
      <c r="E19" s="1">
        <v>17</v>
      </c>
      <c r="F19" s="1">
        <v>30.8</v>
      </c>
      <c r="J19" s="1">
        <v>15.7</v>
      </c>
      <c r="L19" s="1">
        <v>4.8</v>
      </c>
      <c r="N19" s="1">
        <v>10.899999999999999</v>
      </c>
      <c r="O19" s="1">
        <f>O18+N19</f>
        <v>10.899999999999999</v>
      </c>
      <c r="V19" s="1">
        <v>1694</v>
      </c>
    </row>
    <row r="20" spans="2:22" s="1" customFormat="1" x14ac:dyDescent="0.25">
      <c r="B20" s="2"/>
      <c r="C20" s="3">
        <v>41137</v>
      </c>
      <c r="D20" s="1">
        <v>19.5</v>
      </c>
      <c r="E20" s="1">
        <v>15.8</v>
      </c>
      <c r="F20" s="1">
        <v>23.7</v>
      </c>
      <c r="J20" s="1">
        <v>0</v>
      </c>
      <c r="L20" s="1">
        <v>4.0999999999999996</v>
      </c>
      <c r="N20" s="1">
        <v>-4.0999999999999996</v>
      </c>
      <c r="O20" s="1">
        <f>O19+N20</f>
        <v>6.7999999999999989</v>
      </c>
      <c r="V20" s="1">
        <v>2368.1</v>
      </c>
    </row>
    <row r="21" spans="2:22" s="1" customFormat="1" x14ac:dyDescent="0.25">
      <c r="B21" s="2"/>
      <c r="C21" s="3">
        <v>41138</v>
      </c>
      <c r="D21" s="1">
        <v>21.3</v>
      </c>
      <c r="E21" s="1">
        <v>14.2</v>
      </c>
      <c r="F21" s="1">
        <v>27.4</v>
      </c>
      <c r="J21" s="1">
        <v>0</v>
      </c>
      <c r="L21" s="1">
        <v>4.3</v>
      </c>
      <c r="N21" s="1">
        <v>-4.3</v>
      </c>
      <c r="O21" s="1">
        <f>O20+N21</f>
        <v>2.4999999999999991</v>
      </c>
      <c r="V21" s="1">
        <v>2315.6999999999998</v>
      </c>
    </row>
    <row r="22" spans="2:22" s="1" customFormat="1" x14ac:dyDescent="0.25">
      <c r="B22" s="2"/>
      <c r="C22" s="3">
        <v>41139</v>
      </c>
      <c r="D22" s="1">
        <v>24.1</v>
      </c>
      <c r="E22" s="1">
        <v>17.2</v>
      </c>
      <c r="F22" s="1">
        <v>30.8</v>
      </c>
      <c r="J22" s="1">
        <v>0</v>
      </c>
      <c r="L22" s="1">
        <v>5.7</v>
      </c>
      <c r="N22" s="1">
        <v>-5.7</v>
      </c>
      <c r="O22" s="1">
        <v>0</v>
      </c>
      <c r="V22" s="1">
        <v>2631.8</v>
      </c>
    </row>
    <row r="23" spans="2:22" s="1" customFormat="1" x14ac:dyDescent="0.25">
      <c r="B23" s="2"/>
      <c r="C23" s="3">
        <v>41140</v>
      </c>
      <c r="D23" s="1">
        <v>25.7</v>
      </c>
      <c r="E23" s="1">
        <v>18.3</v>
      </c>
      <c r="F23" s="1">
        <v>34.5</v>
      </c>
      <c r="J23" s="1">
        <v>0</v>
      </c>
      <c r="L23" s="1">
        <v>6.2</v>
      </c>
      <c r="N23" s="1">
        <v>-6.2</v>
      </c>
      <c r="O23" s="1">
        <v>0</v>
      </c>
      <c r="V23" s="1">
        <v>2522.6999999999998</v>
      </c>
    </row>
    <row r="24" spans="2:22" s="1" customFormat="1" x14ac:dyDescent="0.25">
      <c r="B24" s="2"/>
      <c r="C24" s="3">
        <v>41141</v>
      </c>
      <c r="D24" s="1">
        <v>22.8</v>
      </c>
      <c r="E24" s="1">
        <v>19.899999999999999</v>
      </c>
      <c r="F24" s="1">
        <v>26.5</v>
      </c>
      <c r="J24" s="1">
        <v>1</v>
      </c>
      <c r="L24" s="1">
        <v>1.4</v>
      </c>
      <c r="N24" s="1">
        <v>-0.39999999999999991</v>
      </c>
      <c r="O24" s="1">
        <v>0</v>
      </c>
      <c r="V24" s="1">
        <v>890</v>
      </c>
    </row>
    <row r="25" spans="2:22" s="1" customFormat="1" x14ac:dyDescent="0.25">
      <c r="B25" s="2"/>
      <c r="C25" s="3">
        <v>41142</v>
      </c>
      <c r="D25" s="1">
        <v>24.2</v>
      </c>
      <c r="E25" s="1">
        <v>17.8</v>
      </c>
      <c r="F25" s="1">
        <v>31.5</v>
      </c>
      <c r="J25" s="1">
        <v>0</v>
      </c>
      <c r="L25" s="1">
        <v>4.3</v>
      </c>
      <c r="N25" s="1">
        <v>-4.3</v>
      </c>
      <c r="O25" s="1">
        <v>0</v>
      </c>
      <c r="V25" s="1">
        <v>1852.9</v>
      </c>
    </row>
    <row r="26" spans="2:22" s="1" customFormat="1" x14ac:dyDescent="0.25">
      <c r="B26" s="2"/>
      <c r="C26" s="3">
        <v>41143</v>
      </c>
      <c r="D26" s="1">
        <v>22.7</v>
      </c>
      <c r="E26" s="1">
        <v>18.899999999999999</v>
      </c>
      <c r="F26" s="1">
        <v>27.9</v>
      </c>
      <c r="J26" s="1">
        <v>0</v>
      </c>
      <c r="L26" s="1">
        <v>4.0999999999999996</v>
      </c>
      <c r="N26" s="1">
        <v>-4.0999999999999996</v>
      </c>
      <c r="O26" s="1">
        <v>0</v>
      </c>
      <c r="V26" s="1">
        <v>1575.9</v>
      </c>
    </row>
    <row r="27" spans="2:22" s="1" customFormat="1" x14ac:dyDescent="0.25">
      <c r="B27" s="2"/>
      <c r="C27" s="3">
        <v>41144</v>
      </c>
      <c r="D27" s="1">
        <v>22.2</v>
      </c>
      <c r="E27" s="1">
        <v>17.399999999999999</v>
      </c>
      <c r="F27" s="1">
        <v>27.9</v>
      </c>
      <c r="J27" s="1">
        <v>5.3</v>
      </c>
      <c r="L27" s="1">
        <v>3.8</v>
      </c>
      <c r="N27" s="1">
        <v>1.5</v>
      </c>
      <c r="O27" s="1">
        <f>O26+N27</f>
        <v>1.5</v>
      </c>
      <c r="V27" s="1">
        <v>1183.5</v>
      </c>
    </row>
    <row r="28" spans="2:22" s="1" customFormat="1" x14ac:dyDescent="0.25">
      <c r="B28" s="2"/>
      <c r="C28" s="3">
        <v>41145</v>
      </c>
      <c r="D28" s="1">
        <v>19</v>
      </c>
      <c r="E28" s="1">
        <v>19.3</v>
      </c>
      <c r="F28" s="1">
        <v>19.5</v>
      </c>
      <c r="J28" s="1">
        <v>6.3</v>
      </c>
      <c r="L28" s="1">
        <v>1.3</v>
      </c>
      <c r="N28" s="1">
        <v>5</v>
      </c>
      <c r="O28" s="1">
        <f>O27+N28</f>
        <v>6.5</v>
      </c>
      <c r="V28" s="1">
        <v>471.3</v>
      </c>
    </row>
    <row r="29" spans="2:22" s="1" customFormat="1" x14ac:dyDescent="0.25">
      <c r="B29" s="2"/>
      <c r="C29" s="3">
        <v>41146</v>
      </c>
      <c r="D29" s="1">
        <v>17.600000000000001</v>
      </c>
      <c r="E29" s="1">
        <v>16.8</v>
      </c>
      <c r="F29" s="1">
        <v>20</v>
      </c>
      <c r="J29" s="1">
        <v>1.6</v>
      </c>
      <c r="L29" s="1">
        <v>2.7</v>
      </c>
      <c r="N29" s="1">
        <v>-1.1000000000000001</v>
      </c>
      <c r="O29" s="1">
        <f>O28+N29</f>
        <v>5.4</v>
      </c>
      <c r="V29" s="1">
        <v>1448.3</v>
      </c>
    </row>
    <row r="30" spans="2:22" s="1" customFormat="1" x14ac:dyDescent="0.25">
      <c r="B30" s="2"/>
      <c r="C30" s="3">
        <v>41147</v>
      </c>
      <c r="D30" s="1">
        <v>16.2</v>
      </c>
      <c r="E30" s="1">
        <v>13.4</v>
      </c>
      <c r="F30" s="1">
        <v>19.2</v>
      </c>
      <c r="J30" s="1">
        <v>0.1</v>
      </c>
      <c r="L30" s="1">
        <v>1.9</v>
      </c>
      <c r="N30" s="1">
        <v>-1.7999999999999998</v>
      </c>
      <c r="O30" s="1">
        <f>O29+N30</f>
        <v>3.6000000000000005</v>
      </c>
      <c r="V30" s="1">
        <v>933.3</v>
      </c>
    </row>
    <row r="31" spans="2:22" s="1" customFormat="1" x14ac:dyDescent="0.25">
      <c r="B31" s="2"/>
      <c r="C31" s="3">
        <v>41148</v>
      </c>
      <c r="D31" s="1">
        <v>17.399999999999999</v>
      </c>
      <c r="E31" s="1">
        <v>11.4</v>
      </c>
      <c r="F31" s="1">
        <v>25.5</v>
      </c>
      <c r="J31" s="1">
        <v>0</v>
      </c>
      <c r="L31" s="1">
        <v>3.9</v>
      </c>
      <c r="N31" s="1">
        <v>-3.9</v>
      </c>
      <c r="O31" s="1">
        <v>0</v>
      </c>
      <c r="V31" s="1">
        <v>2167.9</v>
      </c>
    </row>
    <row r="32" spans="2:22" s="1" customFormat="1" x14ac:dyDescent="0.25">
      <c r="B32" s="2"/>
      <c r="C32" s="3">
        <v>41149</v>
      </c>
      <c r="D32" s="1">
        <v>17</v>
      </c>
      <c r="E32" s="1">
        <v>13</v>
      </c>
      <c r="F32" s="1">
        <v>21.3</v>
      </c>
      <c r="J32" s="1">
        <v>1.7</v>
      </c>
      <c r="L32" s="1">
        <v>1.6</v>
      </c>
      <c r="N32" s="1">
        <v>9.9999999999999867E-2</v>
      </c>
      <c r="O32" s="1">
        <f>O31+N32</f>
        <v>9.9999999999999867E-2</v>
      </c>
      <c r="V32" s="1">
        <v>1060.7</v>
      </c>
    </row>
    <row r="33" spans="1:27" s="1" customFormat="1" x14ac:dyDescent="0.25">
      <c r="B33" s="2"/>
      <c r="C33" s="3">
        <v>41150</v>
      </c>
      <c r="D33" s="1">
        <v>20.3</v>
      </c>
      <c r="E33" s="1">
        <v>14.5</v>
      </c>
      <c r="F33" s="1">
        <v>26.7</v>
      </c>
      <c r="J33" s="1">
        <v>6.6</v>
      </c>
      <c r="L33" s="1">
        <v>3.3</v>
      </c>
      <c r="N33" s="1">
        <v>3.3</v>
      </c>
      <c r="O33" s="1">
        <f>O32+N33</f>
        <v>3.3999999999999995</v>
      </c>
      <c r="V33" s="1">
        <v>1595.3</v>
      </c>
    </row>
    <row r="34" spans="1:27" s="1" customFormat="1" x14ac:dyDescent="0.25">
      <c r="B34" s="2"/>
      <c r="C34" s="3">
        <v>41151</v>
      </c>
      <c r="D34" s="1">
        <v>18.8</v>
      </c>
      <c r="E34" s="1">
        <v>17.600000000000001</v>
      </c>
      <c r="F34" s="1">
        <v>22.4</v>
      </c>
      <c r="J34" s="1">
        <v>0.2</v>
      </c>
      <c r="L34" s="1">
        <v>2.2999999999999998</v>
      </c>
      <c r="N34" s="1">
        <v>-2.0999999999999996</v>
      </c>
      <c r="O34" s="1">
        <f>O33+N34</f>
        <v>1.2999999999999998</v>
      </c>
      <c r="V34" s="1">
        <v>1032.2</v>
      </c>
    </row>
    <row r="35" spans="1:27" s="1" customFormat="1" x14ac:dyDescent="0.25">
      <c r="B35" s="2"/>
      <c r="C35" s="3">
        <v>41152</v>
      </c>
      <c r="D35" s="1">
        <v>14.3</v>
      </c>
      <c r="E35" s="1">
        <v>12.5</v>
      </c>
      <c r="F35" s="1">
        <v>15.5</v>
      </c>
      <c r="J35" s="1">
        <v>0.4</v>
      </c>
      <c r="L35" s="1">
        <v>1.7</v>
      </c>
      <c r="N35" s="1">
        <v>-1.2999999999999998</v>
      </c>
      <c r="O35" s="1">
        <f>O34+N35</f>
        <v>0</v>
      </c>
      <c r="V35" s="1">
        <v>892.4</v>
      </c>
    </row>
    <row r="36" spans="1:27" s="1" customFormat="1" x14ac:dyDescent="0.25">
      <c r="B36" s="2"/>
      <c r="C36" s="3">
        <v>41153</v>
      </c>
      <c r="D36" s="1">
        <v>13.8</v>
      </c>
      <c r="E36" s="1">
        <v>9.9</v>
      </c>
      <c r="F36" s="1">
        <v>16.5</v>
      </c>
      <c r="J36" s="1">
        <v>0</v>
      </c>
      <c r="L36" s="1">
        <v>2.1</v>
      </c>
      <c r="N36" s="1">
        <v>-2.1</v>
      </c>
      <c r="O36" s="1">
        <v>0</v>
      </c>
      <c r="V36" s="1">
        <v>965.1</v>
      </c>
    </row>
    <row r="37" spans="1:27" s="1" customFormat="1" x14ac:dyDescent="0.25">
      <c r="B37" s="2"/>
      <c r="C37" s="3">
        <v>41154</v>
      </c>
      <c r="D37" s="1">
        <v>17.899999999999999</v>
      </c>
      <c r="E37" s="1">
        <v>14.2</v>
      </c>
      <c r="F37" s="1">
        <v>22.5</v>
      </c>
      <c r="J37" s="1">
        <v>0</v>
      </c>
      <c r="L37" s="1">
        <v>2.9</v>
      </c>
      <c r="N37" s="1">
        <v>-2.9</v>
      </c>
      <c r="O37" s="1">
        <v>0</v>
      </c>
      <c r="V37" s="1">
        <v>822.2</v>
      </c>
    </row>
    <row r="38" spans="1:27" s="1" customFormat="1" x14ac:dyDescent="0.25">
      <c r="A38" s="4"/>
      <c r="B38" s="5"/>
      <c r="C38" s="6">
        <v>41155</v>
      </c>
      <c r="D38" s="1">
        <v>20.2</v>
      </c>
      <c r="E38" s="1">
        <v>15.3</v>
      </c>
      <c r="F38" s="1">
        <v>24.8</v>
      </c>
      <c r="J38" s="1">
        <v>0</v>
      </c>
      <c r="L38" s="1">
        <v>4.5999999999999996</v>
      </c>
      <c r="N38" s="1">
        <v>-4.5999999999999996</v>
      </c>
      <c r="O38" s="1">
        <v>0</v>
      </c>
      <c r="P38" s="4"/>
      <c r="Q38" s="4"/>
      <c r="R38" s="4"/>
      <c r="S38" s="4"/>
      <c r="T38" s="1">
        <v>0</v>
      </c>
      <c r="U38" s="1" t="s">
        <v>0</v>
      </c>
      <c r="V38" s="1">
        <v>1506.5</v>
      </c>
    </row>
    <row r="39" spans="1:27" s="1" customFormat="1" x14ac:dyDescent="0.25">
      <c r="B39" s="2"/>
      <c r="C39" s="3">
        <v>41156</v>
      </c>
      <c r="D39" s="1">
        <v>21.3</v>
      </c>
      <c r="E39" s="1">
        <v>15.8</v>
      </c>
      <c r="F39" s="1">
        <v>27.1</v>
      </c>
      <c r="J39" s="1">
        <v>0</v>
      </c>
      <c r="L39" s="1">
        <v>5</v>
      </c>
      <c r="N39" s="1">
        <v>-5</v>
      </c>
      <c r="O39" s="1">
        <v>0</v>
      </c>
      <c r="T39" s="1">
        <v>0</v>
      </c>
      <c r="V39" s="1">
        <v>1720.1</v>
      </c>
    </row>
    <row r="40" spans="1:27" s="1" customFormat="1" x14ac:dyDescent="0.25">
      <c r="B40" s="2"/>
      <c r="C40" s="3">
        <v>41157</v>
      </c>
      <c r="D40" s="1">
        <v>20.8</v>
      </c>
      <c r="E40" s="1">
        <v>15.9</v>
      </c>
      <c r="F40" s="1">
        <v>26.6</v>
      </c>
      <c r="J40" s="1">
        <v>0</v>
      </c>
      <c r="L40" s="1">
        <v>4.3</v>
      </c>
      <c r="N40" s="1">
        <v>-4.3</v>
      </c>
      <c r="O40" s="1">
        <v>0</v>
      </c>
      <c r="T40" s="1">
        <v>0</v>
      </c>
      <c r="V40" s="1">
        <v>1625.7</v>
      </c>
    </row>
    <row r="41" spans="1:27" s="1" customFormat="1" x14ac:dyDescent="0.25">
      <c r="B41" s="2"/>
      <c r="C41" s="3">
        <v>41158</v>
      </c>
      <c r="D41" s="1">
        <v>18.899999999999999</v>
      </c>
      <c r="E41" s="1">
        <v>13.8</v>
      </c>
      <c r="F41" s="1">
        <v>24.7</v>
      </c>
      <c r="J41" s="1">
        <v>0</v>
      </c>
      <c r="L41" s="1">
        <v>4.8</v>
      </c>
      <c r="N41" s="1">
        <v>-4.8</v>
      </c>
      <c r="O41" s="1">
        <v>0</v>
      </c>
      <c r="T41" s="1">
        <v>0</v>
      </c>
      <c r="V41" s="1">
        <v>2272.6999999999998</v>
      </c>
    </row>
    <row r="42" spans="1:27" s="1" customFormat="1" x14ac:dyDescent="0.25">
      <c r="B42" s="2"/>
      <c r="C42" s="3">
        <v>41159</v>
      </c>
      <c r="D42" s="1">
        <v>17.8</v>
      </c>
      <c r="E42" s="1">
        <v>10.6</v>
      </c>
      <c r="F42" s="1">
        <v>25.5</v>
      </c>
      <c r="J42" s="1">
        <v>0</v>
      </c>
      <c r="L42" s="1">
        <v>4.3</v>
      </c>
      <c r="N42" s="1">
        <v>-4.3</v>
      </c>
      <c r="O42" s="1">
        <v>0</v>
      </c>
      <c r="T42" s="1">
        <v>0</v>
      </c>
      <c r="V42" s="1">
        <v>2096.9</v>
      </c>
    </row>
    <row r="43" spans="1:27" s="1" customFormat="1" x14ac:dyDescent="0.25">
      <c r="B43" s="2"/>
      <c r="C43" s="3">
        <v>41160</v>
      </c>
      <c r="D43" s="1">
        <v>18.5</v>
      </c>
      <c r="E43" s="1">
        <v>10.4</v>
      </c>
      <c r="F43" s="1">
        <v>26.8</v>
      </c>
      <c r="J43" s="1">
        <v>0</v>
      </c>
      <c r="L43" s="1">
        <v>4.2</v>
      </c>
      <c r="N43" s="1">
        <v>-4.2</v>
      </c>
      <c r="O43" s="1">
        <v>0</v>
      </c>
      <c r="T43" s="1">
        <v>0</v>
      </c>
      <c r="V43" s="1">
        <v>2245.1999999999998</v>
      </c>
    </row>
    <row r="44" spans="1:27" s="1" customFormat="1" x14ac:dyDescent="0.25">
      <c r="B44" s="2"/>
      <c r="C44" s="3">
        <v>41161</v>
      </c>
      <c r="D44" s="1">
        <v>20.100000000000001</v>
      </c>
      <c r="E44" s="1">
        <v>12.7</v>
      </c>
      <c r="F44" s="1">
        <v>29.9</v>
      </c>
      <c r="J44" s="1">
        <v>0</v>
      </c>
      <c r="L44" s="1">
        <v>4.8</v>
      </c>
      <c r="N44" s="1">
        <v>-4.8</v>
      </c>
      <c r="O44" s="1">
        <v>0</v>
      </c>
      <c r="T44" s="1">
        <v>0</v>
      </c>
      <c r="V44" s="1">
        <v>2167.1999999999998</v>
      </c>
    </row>
    <row r="45" spans="1:27" s="1" customFormat="1" x14ac:dyDescent="0.25">
      <c r="B45" s="2"/>
      <c r="C45" s="3">
        <v>41162</v>
      </c>
      <c r="D45" s="1">
        <v>20</v>
      </c>
      <c r="E45" s="1">
        <v>12.2</v>
      </c>
      <c r="F45" s="1">
        <v>27.5</v>
      </c>
      <c r="J45" s="1">
        <v>0</v>
      </c>
      <c r="L45" s="1">
        <v>3.2</v>
      </c>
      <c r="N45" s="1">
        <v>-3.2</v>
      </c>
      <c r="O45" s="1">
        <v>0</v>
      </c>
      <c r="T45" s="1">
        <v>0</v>
      </c>
      <c r="V45" s="1">
        <v>1747.8</v>
      </c>
    </row>
    <row r="46" spans="1:27" s="1" customFormat="1" x14ac:dyDescent="0.25">
      <c r="B46" s="2"/>
      <c r="C46" s="3">
        <v>41163</v>
      </c>
      <c r="D46" s="1">
        <v>20</v>
      </c>
      <c r="E46" s="1">
        <v>16.8</v>
      </c>
      <c r="F46" s="1">
        <v>25.6</v>
      </c>
      <c r="J46" s="1">
        <v>2.1</v>
      </c>
      <c r="L46" s="1">
        <v>2.6</v>
      </c>
      <c r="N46" s="1">
        <v>-0.5</v>
      </c>
      <c r="O46" s="1">
        <v>0</v>
      </c>
      <c r="T46" s="1">
        <v>0</v>
      </c>
      <c r="V46" s="1">
        <v>810</v>
      </c>
    </row>
    <row r="47" spans="1:27" s="1" customFormat="1" x14ac:dyDescent="0.25">
      <c r="A47" s="47" t="s">
        <v>1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7" s="1" customFormat="1" ht="15" customHeight="1" x14ac:dyDescent="0.25">
      <c r="A48" s="48" t="s">
        <v>2</v>
      </c>
      <c r="B48" s="7"/>
      <c r="C48" s="3">
        <v>41164</v>
      </c>
      <c r="D48" s="1">
        <v>13.5</v>
      </c>
      <c r="E48" s="1">
        <v>12.6</v>
      </c>
      <c r="F48" s="1">
        <v>15.7</v>
      </c>
      <c r="G48" s="1">
        <f>D48</f>
        <v>13.5</v>
      </c>
      <c r="I48" s="8" t="s">
        <v>3</v>
      </c>
      <c r="J48" s="1">
        <v>1.6</v>
      </c>
      <c r="K48" s="1">
        <f>J48</f>
        <v>1.6</v>
      </c>
      <c r="L48" s="1">
        <v>1.2</v>
      </c>
      <c r="M48" s="1">
        <f>L48</f>
        <v>1.2</v>
      </c>
      <c r="N48" s="1">
        <v>0.40000000000000013</v>
      </c>
      <c r="O48" s="1">
        <f>O46+N48</f>
        <v>0.40000000000000013</v>
      </c>
      <c r="P48" s="1">
        <v>1</v>
      </c>
      <c r="Q48" s="1">
        <v>0.35</v>
      </c>
      <c r="R48" s="9">
        <f t="shared" ref="R48:R111" si="0">Q48*L48</f>
        <v>0.42</v>
      </c>
      <c r="S48" s="9">
        <f t="shared" ref="S48:S111" si="1">J48-R48</f>
        <v>1.1800000000000002</v>
      </c>
      <c r="T48" s="9">
        <f>T46+S48</f>
        <v>1.1800000000000002</v>
      </c>
      <c r="U48" s="8" t="s">
        <v>4</v>
      </c>
      <c r="V48" s="1">
        <v>689.3</v>
      </c>
      <c r="X48" s="1">
        <f>V48</f>
        <v>689.3</v>
      </c>
      <c r="Z48" s="8" t="s">
        <v>5</v>
      </c>
      <c r="AA48" s="1">
        <v>12.815666442770899</v>
      </c>
    </row>
    <row r="49" spans="1:27" s="1" customFormat="1" x14ac:dyDescent="0.25">
      <c r="A49" s="48"/>
      <c r="B49" s="7"/>
      <c r="C49" s="3">
        <v>41165</v>
      </c>
      <c r="D49" s="1">
        <v>12.6</v>
      </c>
      <c r="E49" s="1">
        <v>9.1</v>
      </c>
      <c r="F49" s="1">
        <v>16.8</v>
      </c>
      <c r="G49" s="1">
        <f>G48+D49</f>
        <v>26.1</v>
      </c>
      <c r="I49" s="1">
        <f>MIN(E48:E164)</f>
        <v>-6.5</v>
      </c>
      <c r="J49" s="1">
        <v>0.8</v>
      </c>
      <c r="K49" s="1">
        <f>K48+J49</f>
        <v>2.4000000000000004</v>
      </c>
      <c r="L49" s="1">
        <v>1.2</v>
      </c>
      <c r="M49" s="1">
        <f>M48+L49</f>
        <v>2.4</v>
      </c>
      <c r="N49" s="1">
        <v>-0.39999999999999991</v>
      </c>
      <c r="O49" s="1">
        <f>O48+N49</f>
        <v>0</v>
      </c>
      <c r="P49" s="1">
        <v>2</v>
      </c>
      <c r="Q49" s="1">
        <v>0.35</v>
      </c>
      <c r="R49" s="9">
        <f t="shared" si="0"/>
        <v>0.42</v>
      </c>
      <c r="S49" s="9">
        <f t="shared" si="1"/>
        <v>0.38000000000000006</v>
      </c>
      <c r="T49" s="9">
        <f>MIN(122.1,(T48+S49))</f>
        <v>1.5600000000000003</v>
      </c>
      <c r="U49" s="1">
        <v>61</v>
      </c>
      <c r="V49" s="1">
        <v>728.1</v>
      </c>
      <c r="X49" s="1">
        <f>X48+V49</f>
        <v>1417.4</v>
      </c>
      <c r="Z49" s="1">
        <v>53852.599999999991</v>
      </c>
      <c r="AA49" s="1">
        <v>12.760012022418</v>
      </c>
    </row>
    <row r="50" spans="1:27" s="1" customFormat="1" x14ac:dyDescent="0.25">
      <c r="A50" s="48"/>
      <c r="B50" s="7"/>
      <c r="C50" s="3">
        <v>41166</v>
      </c>
      <c r="D50" s="1">
        <v>14.6</v>
      </c>
      <c r="E50" s="1">
        <v>9.8000000000000007</v>
      </c>
      <c r="F50" s="1">
        <v>19.8</v>
      </c>
      <c r="G50" s="1">
        <f t="shared" ref="G50:G113" si="2">G49+D50</f>
        <v>40.700000000000003</v>
      </c>
      <c r="I50" s="8" t="s">
        <v>6</v>
      </c>
      <c r="J50" s="1">
        <v>0</v>
      </c>
      <c r="K50" s="1">
        <f t="shared" ref="K50:K113" si="3">K49+J50</f>
        <v>2.4000000000000004</v>
      </c>
      <c r="L50" s="1">
        <v>2.6</v>
      </c>
      <c r="M50" s="1">
        <f t="shared" ref="M50:M113" si="4">M49+L50</f>
        <v>5</v>
      </c>
      <c r="N50" s="1">
        <v>-2.6</v>
      </c>
      <c r="O50" s="1">
        <v>0</v>
      </c>
      <c r="P50" s="1">
        <v>3</v>
      </c>
      <c r="Q50" s="1">
        <v>0.35</v>
      </c>
      <c r="R50" s="9">
        <f t="shared" si="0"/>
        <v>0.90999999999999992</v>
      </c>
      <c r="S50" s="9">
        <f t="shared" si="1"/>
        <v>-0.90999999999999992</v>
      </c>
      <c r="T50" s="9">
        <f t="shared" ref="T50:T113" si="5">MIN(122.1,(T49+S50))</f>
        <v>0.65000000000000036</v>
      </c>
      <c r="U50" s="8" t="s">
        <v>7</v>
      </c>
      <c r="V50" s="1">
        <v>1637</v>
      </c>
      <c r="X50" s="1">
        <f t="shared" ref="X50:X113" si="6">X49+V50</f>
        <v>3054.4</v>
      </c>
      <c r="Z50" s="8" t="s">
        <v>8</v>
      </c>
      <c r="AA50" s="1">
        <v>12.7042825302381</v>
      </c>
    </row>
    <row r="51" spans="1:27" s="1" customFormat="1" x14ac:dyDescent="0.25">
      <c r="A51" s="48"/>
      <c r="B51" s="7"/>
      <c r="C51" s="3">
        <v>41167</v>
      </c>
      <c r="D51" s="1">
        <v>14.7</v>
      </c>
      <c r="E51" s="1">
        <v>10.7</v>
      </c>
      <c r="F51" s="1">
        <v>20.2</v>
      </c>
      <c r="G51" s="1">
        <f t="shared" si="2"/>
        <v>55.400000000000006</v>
      </c>
      <c r="I51" s="1">
        <f>MAX(F48:F164)</f>
        <v>25.1</v>
      </c>
      <c r="J51" s="1">
        <v>0</v>
      </c>
      <c r="K51" s="1">
        <f t="shared" si="3"/>
        <v>2.4000000000000004</v>
      </c>
      <c r="L51" s="1">
        <v>2.2000000000000002</v>
      </c>
      <c r="M51" s="1">
        <f t="shared" si="4"/>
        <v>7.2</v>
      </c>
      <c r="N51" s="1">
        <v>-2.2000000000000002</v>
      </c>
      <c r="O51" s="1">
        <v>0</v>
      </c>
      <c r="P51" s="1">
        <v>4</v>
      </c>
      <c r="Q51" s="1">
        <v>0.35</v>
      </c>
      <c r="R51" s="9">
        <f t="shared" si="0"/>
        <v>0.77</v>
      </c>
      <c r="S51" s="9">
        <f t="shared" si="1"/>
        <v>-0.77</v>
      </c>
      <c r="T51" s="9">
        <v>0</v>
      </c>
      <c r="U51" s="1">
        <v>6</v>
      </c>
      <c r="V51" s="1">
        <v>1266.5</v>
      </c>
      <c r="X51" s="1">
        <f t="shared" si="6"/>
        <v>4320.8999999999996</v>
      </c>
      <c r="Z51" s="1">
        <f>(Z49/100)/I61</f>
        <v>0.53680821371610843</v>
      </c>
      <c r="AA51" s="1">
        <v>12.648483990867801</v>
      </c>
    </row>
    <row r="52" spans="1:27" s="1" customFormat="1" x14ac:dyDescent="0.25">
      <c r="A52" s="48"/>
      <c r="B52" s="7"/>
      <c r="C52" s="3">
        <v>41168</v>
      </c>
      <c r="D52" s="1">
        <v>15.1</v>
      </c>
      <c r="E52" s="1">
        <v>8.6999999999999993</v>
      </c>
      <c r="F52" s="1">
        <v>22.8</v>
      </c>
      <c r="G52" s="1">
        <f t="shared" si="2"/>
        <v>70.5</v>
      </c>
      <c r="I52" s="8" t="s">
        <v>9</v>
      </c>
      <c r="J52" s="1">
        <v>0</v>
      </c>
      <c r="K52" s="1">
        <f t="shared" si="3"/>
        <v>2.4000000000000004</v>
      </c>
      <c r="L52" s="1">
        <v>2.8</v>
      </c>
      <c r="M52" s="1">
        <f t="shared" si="4"/>
        <v>10</v>
      </c>
      <c r="N52" s="1">
        <v>-2.8</v>
      </c>
      <c r="O52" s="1">
        <v>0</v>
      </c>
      <c r="P52" s="1">
        <v>5</v>
      </c>
      <c r="Q52" s="1">
        <v>0.35</v>
      </c>
      <c r="R52" s="9">
        <f t="shared" si="0"/>
        <v>0.97999999999999987</v>
      </c>
      <c r="S52" s="9">
        <f t="shared" si="1"/>
        <v>-0.97999999999999987</v>
      </c>
      <c r="T52" s="9">
        <v>0</v>
      </c>
      <c r="U52" s="8" t="s">
        <v>10</v>
      </c>
      <c r="V52" s="1">
        <v>1723.1</v>
      </c>
      <c r="X52" s="1">
        <f t="shared" si="6"/>
        <v>6044</v>
      </c>
      <c r="Z52" s="8" t="s">
        <v>11</v>
      </c>
      <c r="AA52" s="1">
        <v>12.592622302409101</v>
      </c>
    </row>
    <row r="53" spans="1:27" s="1" customFormat="1" x14ac:dyDescent="0.25">
      <c r="A53" s="48"/>
      <c r="B53" s="7"/>
      <c r="C53" s="3">
        <v>41169</v>
      </c>
      <c r="D53" s="1">
        <v>16.600000000000001</v>
      </c>
      <c r="E53" s="1">
        <v>10.7</v>
      </c>
      <c r="F53" s="1">
        <v>25.1</v>
      </c>
      <c r="G53" s="1">
        <f t="shared" si="2"/>
        <v>87.1</v>
      </c>
      <c r="I53" s="9">
        <f>AVERAGE(D48:D164)</f>
        <v>8.5367521367521348</v>
      </c>
      <c r="J53" s="1">
        <v>0</v>
      </c>
      <c r="K53" s="1">
        <f t="shared" si="3"/>
        <v>2.4000000000000004</v>
      </c>
      <c r="L53" s="1">
        <v>1.7</v>
      </c>
      <c r="M53" s="1">
        <f t="shared" si="4"/>
        <v>11.7</v>
      </c>
      <c r="N53" s="1">
        <v>-1.7</v>
      </c>
      <c r="O53" s="1">
        <v>0</v>
      </c>
      <c r="P53" s="1">
        <v>6</v>
      </c>
      <c r="Q53" s="1">
        <v>0.35</v>
      </c>
      <c r="R53" s="9">
        <f t="shared" si="0"/>
        <v>0.59499999999999997</v>
      </c>
      <c r="S53" s="9">
        <f t="shared" si="1"/>
        <v>-0.59499999999999997</v>
      </c>
      <c r="T53" s="9">
        <v>0</v>
      </c>
      <c r="U53" s="1">
        <v>7</v>
      </c>
      <c r="V53" s="1">
        <v>999.5</v>
      </c>
      <c r="X53" s="1">
        <f t="shared" si="6"/>
        <v>7043.5</v>
      </c>
      <c r="Z53" s="1">
        <v>97</v>
      </c>
      <c r="AA53" s="1">
        <v>12.5367032516716</v>
      </c>
    </row>
    <row r="54" spans="1:27" s="1" customFormat="1" x14ac:dyDescent="0.25">
      <c r="A54" s="48"/>
      <c r="B54" s="7"/>
      <c r="C54" s="3">
        <v>41170</v>
      </c>
      <c r="D54" s="1">
        <v>16.2</v>
      </c>
      <c r="E54" s="1">
        <v>10.1</v>
      </c>
      <c r="F54" s="1">
        <v>23.1</v>
      </c>
      <c r="G54" s="1">
        <f t="shared" si="2"/>
        <v>103.3</v>
      </c>
      <c r="I54" s="8" t="s">
        <v>12</v>
      </c>
      <c r="J54" s="1">
        <v>0.7</v>
      </c>
      <c r="K54" s="1">
        <f t="shared" si="3"/>
        <v>3.1000000000000005</v>
      </c>
      <c r="L54" s="1">
        <v>2</v>
      </c>
      <c r="M54" s="1">
        <f t="shared" si="4"/>
        <v>13.7</v>
      </c>
      <c r="N54" s="1">
        <v>-1.3</v>
      </c>
      <c r="O54" s="1">
        <v>0</v>
      </c>
      <c r="P54" s="1">
        <v>7</v>
      </c>
      <c r="Q54" s="1">
        <v>0.35</v>
      </c>
      <c r="R54" s="9">
        <f t="shared" si="0"/>
        <v>0.7</v>
      </c>
      <c r="S54" s="9">
        <f t="shared" si="1"/>
        <v>0</v>
      </c>
      <c r="T54" s="9">
        <v>0</v>
      </c>
      <c r="U54" s="8" t="s">
        <v>13</v>
      </c>
      <c r="V54" s="1">
        <v>952.4</v>
      </c>
      <c r="X54" s="1">
        <f t="shared" si="6"/>
        <v>7995.9</v>
      </c>
      <c r="AA54" s="1">
        <v>12.4807325294801</v>
      </c>
    </row>
    <row r="55" spans="1:27" s="1" customFormat="1" x14ac:dyDescent="0.25">
      <c r="A55" s="48"/>
      <c r="B55" s="7"/>
      <c r="C55" s="3">
        <v>41171</v>
      </c>
      <c r="D55" s="1">
        <v>13.5</v>
      </c>
      <c r="E55" s="1">
        <v>10.6</v>
      </c>
      <c r="F55" s="1">
        <v>18</v>
      </c>
      <c r="G55" s="1">
        <f t="shared" si="2"/>
        <v>116.8</v>
      </c>
      <c r="I55" s="1">
        <v>12</v>
      </c>
      <c r="J55" s="1">
        <v>0</v>
      </c>
      <c r="K55" s="1">
        <f t="shared" si="3"/>
        <v>3.1000000000000005</v>
      </c>
      <c r="L55" s="1">
        <v>3</v>
      </c>
      <c r="M55" s="1">
        <f t="shared" si="4"/>
        <v>16.7</v>
      </c>
      <c r="N55" s="1">
        <v>-3</v>
      </c>
      <c r="O55" s="1">
        <v>0</v>
      </c>
      <c r="P55" s="1">
        <v>8</v>
      </c>
      <c r="Q55" s="1">
        <v>0.35</v>
      </c>
      <c r="R55" s="9">
        <f t="shared" si="0"/>
        <v>1.0499999999999998</v>
      </c>
      <c r="S55" s="9">
        <f t="shared" si="1"/>
        <v>-1.0499999999999998</v>
      </c>
      <c r="T55" s="9">
        <v>0</v>
      </c>
      <c r="U55" s="1">
        <v>0</v>
      </c>
      <c r="V55" s="1">
        <v>1353.3</v>
      </c>
      <c r="X55" s="1">
        <f t="shared" si="6"/>
        <v>9349.1999999999989</v>
      </c>
      <c r="AA55" s="1">
        <v>12.4247157460469</v>
      </c>
    </row>
    <row r="56" spans="1:27" s="1" customFormat="1" x14ac:dyDescent="0.25">
      <c r="A56" s="48"/>
      <c r="B56" s="7"/>
      <c r="C56" s="3">
        <v>41172</v>
      </c>
      <c r="D56" s="1">
        <v>11.3</v>
      </c>
      <c r="E56" s="1">
        <v>5.5</v>
      </c>
      <c r="F56" s="1">
        <v>19.100000000000001</v>
      </c>
      <c r="G56" s="1">
        <f t="shared" si="2"/>
        <v>128.1</v>
      </c>
      <c r="I56" s="8" t="s">
        <v>14</v>
      </c>
      <c r="J56" s="1">
        <v>0</v>
      </c>
      <c r="K56" s="1">
        <f t="shared" si="3"/>
        <v>3.1000000000000005</v>
      </c>
      <c r="L56" s="1">
        <v>2.6</v>
      </c>
      <c r="M56" s="1">
        <f t="shared" si="4"/>
        <v>19.3</v>
      </c>
      <c r="N56" s="1">
        <v>-2.6</v>
      </c>
      <c r="O56" s="1">
        <v>0</v>
      </c>
      <c r="P56" s="1">
        <v>9</v>
      </c>
      <c r="Q56" s="1">
        <v>0.35</v>
      </c>
      <c r="R56" s="9">
        <f t="shared" si="0"/>
        <v>0.90999999999999992</v>
      </c>
      <c r="S56" s="9">
        <f t="shared" si="1"/>
        <v>-0.90999999999999992</v>
      </c>
      <c r="T56" s="9">
        <v>0</v>
      </c>
      <c r="U56" s="8" t="s">
        <v>15</v>
      </c>
      <c r="V56" s="1">
        <v>1410.9</v>
      </c>
      <c r="X56" s="1">
        <f t="shared" si="6"/>
        <v>10760.099999999999</v>
      </c>
      <c r="AA56" s="1">
        <v>12.368658446412599</v>
      </c>
    </row>
    <row r="57" spans="1:27" s="1" customFormat="1" x14ac:dyDescent="0.25">
      <c r="A57" s="48"/>
      <c r="B57" s="7"/>
      <c r="C57" s="3">
        <v>41173</v>
      </c>
      <c r="D57" s="1">
        <v>14.1</v>
      </c>
      <c r="E57" s="1">
        <v>4.7</v>
      </c>
      <c r="F57" s="1">
        <v>23</v>
      </c>
      <c r="G57" s="1">
        <f t="shared" si="2"/>
        <v>142.19999999999999</v>
      </c>
      <c r="I57" s="1">
        <v>1</v>
      </c>
      <c r="J57" s="1">
        <v>21.2</v>
      </c>
      <c r="K57" s="1">
        <f t="shared" si="3"/>
        <v>24.3</v>
      </c>
      <c r="L57" s="1">
        <v>2.6</v>
      </c>
      <c r="M57" s="1">
        <f t="shared" si="4"/>
        <v>21.900000000000002</v>
      </c>
      <c r="N57" s="1">
        <v>18.599999999999998</v>
      </c>
      <c r="O57" s="1">
        <f t="shared" ref="O57:O98" si="7">O56+N57</f>
        <v>18.599999999999998</v>
      </c>
      <c r="P57" s="1">
        <v>10</v>
      </c>
      <c r="Q57" s="1">
        <v>0.35</v>
      </c>
      <c r="R57" s="9">
        <f t="shared" si="0"/>
        <v>0.90999999999999992</v>
      </c>
      <c r="S57" s="9">
        <f t="shared" si="1"/>
        <v>20.29</v>
      </c>
      <c r="T57" s="9">
        <f t="shared" si="5"/>
        <v>20.29</v>
      </c>
      <c r="U57" s="9">
        <f>MAX(T48:T164)</f>
        <v>122.1</v>
      </c>
      <c r="V57" s="1">
        <v>1484.6</v>
      </c>
      <c r="X57" s="1">
        <f t="shared" si="6"/>
        <v>12244.699999999999</v>
      </c>
      <c r="AA57" s="1">
        <v>12.3125661259556</v>
      </c>
    </row>
    <row r="58" spans="1:27" s="1" customFormat="1" x14ac:dyDescent="0.25">
      <c r="A58" s="48"/>
      <c r="B58" s="7"/>
      <c r="C58" s="3">
        <v>41174</v>
      </c>
      <c r="D58" s="1">
        <v>13.6</v>
      </c>
      <c r="E58" s="1">
        <v>12.6</v>
      </c>
      <c r="F58" s="1">
        <v>15</v>
      </c>
      <c r="G58" s="1">
        <f t="shared" si="2"/>
        <v>155.79999999999998</v>
      </c>
      <c r="I58" s="8" t="s">
        <v>16</v>
      </c>
      <c r="J58" s="1">
        <v>1.8</v>
      </c>
      <c r="K58" s="1">
        <f t="shared" si="3"/>
        <v>26.1</v>
      </c>
      <c r="L58" s="1">
        <v>0.5</v>
      </c>
      <c r="M58" s="1">
        <f t="shared" si="4"/>
        <v>22.400000000000002</v>
      </c>
      <c r="N58" s="1">
        <v>1.3</v>
      </c>
      <c r="O58" s="1">
        <f t="shared" si="7"/>
        <v>19.899999999999999</v>
      </c>
      <c r="P58" s="1">
        <v>11</v>
      </c>
      <c r="Q58" s="1">
        <f>0.35+((P58-10)/107)*(1-0.35)</f>
        <v>0.35607476635514018</v>
      </c>
      <c r="R58" s="9">
        <f t="shared" si="0"/>
        <v>0.17803738317757009</v>
      </c>
      <c r="S58" s="9">
        <f t="shared" si="1"/>
        <v>1.6219626168224299</v>
      </c>
      <c r="T58" s="9">
        <f t="shared" si="5"/>
        <v>21.911962616822429</v>
      </c>
      <c r="U58" s="8" t="s">
        <v>17</v>
      </c>
      <c r="V58" s="1">
        <v>397.8</v>
      </c>
      <c r="X58" s="1">
        <f t="shared" si="6"/>
        <v>12642.499999999998</v>
      </c>
      <c r="AA58" s="1">
        <v>12.2564442459744</v>
      </c>
    </row>
    <row r="59" spans="1:27" s="1" customFormat="1" x14ac:dyDescent="0.25">
      <c r="A59" s="48"/>
      <c r="B59" s="7"/>
      <c r="C59" s="3">
        <v>41175</v>
      </c>
      <c r="D59" s="1">
        <v>16.399999999999999</v>
      </c>
      <c r="E59" s="1">
        <v>11.2</v>
      </c>
      <c r="F59" s="1">
        <v>20.8</v>
      </c>
      <c r="G59" s="1">
        <f t="shared" si="2"/>
        <v>172.2</v>
      </c>
      <c r="I59" s="1">
        <v>39</v>
      </c>
      <c r="J59" s="1">
        <v>9.1999999999999993</v>
      </c>
      <c r="K59" s="1">
        <f t="shared" si="3"/>
        <v>35.299999999999997</v>
      </c>
      <c r="L59" s="1">
        <v>1</v>
      </c>
      <c r="M59" s="1">
        <f t="shared" si="4"/>
        <v>23.400000000000002</v>
      </c>
      <c r="N59" s="1">
        <v>8.1999999999999993</v>
      </c>
      <c r="O59" s="1">
        <f t="shared" si="7"/>
        <v>28.099999999999998</v>
      </c>
      <c r="P59" s="1">
        <v>12</v>
      </c>
      <c r="Q59" s="1">
        <f t="shared" ref="Q59:Q122" si="8">0.35+((P59-10)/107)*(1-0.35)</f>
        <v>0.36214953271028033</v>
      </c>
      <c r="R59" s="9">
        <f t="shared" si="0"/>
        <v>0.36214953271028033</v>
      </c>
      <c r="S59" s="9">
        <f t="shared" si="1"/>
        <v>8.8378504672897193</v>
      </c>
      <c r="T59" s="9">
        <f t="shared" si="5"/>
        <v>30.749813084112148</v>
      </c>
      <c r="U59" s="20">
        <f>AVERAGE(T48:T164)</f>
        <v>103.49657880022377</v>
      </c>
      <c r="V59" s="1">
        <v>584.5</v>
      </c>
      <c r="X59" s="1">
        <f t="shared" si="6"/>
        <v>13226.999999999998</v>
      </c>
      <c r="AA59" s="1">
        <v>12.200298249345501</v>
      </c>
    </row>
    <row r="60" spans="1:27" s="1" customFormat="1" x14ac:dyDescent="0.25">
      <c r="A60" s="48"/>
      <c r="B60" s="7"/>
      <c r="C60" s="3">
        <v>41176</v>
      </c>
      <c r="D60" s="1">
        <v>16.600000000000001</v>
      </c>
      <c r="E60" s="1">
        <v>14.8</v>
      </c>
      <c r="F60" s="1">
        <v>18.899999999999999</v>
      </c>
      <c r="G60" s="1">
        <f t="shared" si="2"/>
        <v>188.79999999999998</v>
      </c>
      <c r="I60" s="8" t="s">
        <v>18</v>
      </c>
      <c r="J60" s="1">
        <v>3.4</v>
      </c>
      <c r="K60" s="1">
        <f t="shared" si="3"/>
        <v>38.699999999999996</v>
      </c>
      <c r="L60" s="1">
        <v>2.1</v>
      </c>
      <c r="M60" s="1">
        <f t="shared" si="4"/>
        <v>25.500000000000004</v>
      </c>
      <c r="N60" s="1">
        <v>1.2999999999999998</v>
      </c>
      <c r="O60" s="1">
        <f t="shared" si="7"/>
        <v>29.4</v>
      </c>
      <c r="P60" s="1">
        <v>13</v>
      </c>
      <c r="Q60" s="1">
        <f t="shared" si="8"/>
        <v>0.36822429906542054</v>
      </c>
      <c r="R60" s="9">
        <f t="shared" si="0"/>
        <v>0.77327102803738312</v>
      </c>
      <c r="S60" s="9">
        <f t="shared" si="1"/>
        <v>2.626728971962617</v>
      </c>
      <c r="T60" s="9">
        <f t="shared" si="5"/>
        <v>33.376542056074769</v>
      </c>
      <c r="V60" s="1">
        <v>758</v>
      </c>
      <c r="X60" s="1">
        <f t="shared" si="6"/>
        <v>13984.999999999998</v>
      </c>
      <c r="AA60" s="1">
        <v>12.144133576261</v>
      </c>
    </row>
    <row r="61" spans="1:27" s="1" customFormat="1" x14ac:dyDescent="0.25">
      <c r="A61" s="48"/>
      <c r="B61" s="7"/>
      <c r="C61" s="3">
        <v>41177</v>
      </c>
      <c r="D61" s="1">
        <v>14.1</v>
      </c>
      <c r="E61" s="1">
        <v>13.6</v>
      </c>
      <c r="F61" s="1">
        <v>15</v>
      </c>
      <c r="G61" s="1">
        <f t="shared" si="2"/>
        <v>202.89999999999998</v>
      </c>
      <c r="I61" s="1">
        <v>1003.2</v>
      </c>
      <c r="J61" s="1">
        <v>22</v>
      </c>
      <c r="K61" s="1">
        <f t="shared" si="3"/>
        <v>60.699999999999996</v>
      </c>
      <c r="L61" s="1">
        <v>1.1000000000000001</v>
      </c>
      <c r="M61" s="1">
        <f t="shared" si="4"/>
        <v>26.600000000000005</v>
      </c>
      <c r="N61" s="1">
        <v>20.9</v>
      </c>
      <c r="O61" s="1">
        <f t="shared" si="7"/>
        <v>50.3</v>
      </c>
      <c r="P61" s="1">
        <v>14</v>
      </c>
      <c r="Q61" s="1">
        <f t="shared" si="8"/>
        <v>0.37429906542056074</v>
      </c>
      <c r="R61" s="9">
        <f t="shared" si="0"/>
        <v>0.41172897196261682</v>
      </c>
      <c r="S61" s="9">
        <f t="shared" si="1"/>
        <v>21.588271028037383</v>
      </c>
      <c r="T61" s="9">
        <f t="shared" si="5"/>
        <v>54.964813084112151</v>
      </c>
      <c r="U61" s="9">
        <f>(U59*100)/122.1</f>
        <v>84.763782801166073</v>
      </c>
      <c r="V61" s="1">
        <v>327.8</v>
      </c>
      <c r="X61" s="1">
        <f t="shared" si="6"/>
        <v>14312.799999999997</v>
      </c>
      <c r="AA61" s="1">
        <v>12.087955680049401</v>
      </c>
    </row>
    <row r="62" spans="1:27" s="1" customFormat="1" x14ac:dyDescent="0.25">
      <c r="A62" s="48"/>
      <c r="B62" s="7"/>
      <c r="C62" s="3">
        <v>41178</v>
      </c>
      <c r="D62" s="1">
        <v>11.3</v>
      </c>
      <c r="E62" s="1">
        <v>10.9</v>
      </c>
      <c r="F62" s="1">
        <v>11.9</v>
      </c>
      <c r="G62" s="1">
        <f t="shared" si="2"/>
        <v>214.2</v>
      </c>
      <c r="J62" s="1">
        <v>23.2</v>
      </c>
      <c r="K62" s="1">
        <f t="shared" si="3"/>
        <v>83.899999999999991</v>
      </c>
      <c r="L62" s="1">
        <v>0.7</v>
      </c>
      <c r="M62" s="1">
        <f t="shared" si="4"/>
        <v>27.300000000000004</v>
      </c>
      <c r="N62" s="1">
        <v>22.5</v>
      </c>
      <c r="O62" s="1">
        <f t="shared" si="7"/>
        <v>72.8</v>
      </c>
      <c r="P62" s="1">
        <v>15</v>
      </c>
      <c r="Q62" s="1">
        <f t="shared" si="8"/>
        <v>0.38037383177570089</v>
      </c>
      <c r="R62" s="9">
        <f t="shared" si="0"/>
        <v>0.26626168224299063</v>
      </c>
      <c r="S62" s="9">
        <f t="shared" si="1"/>
        <v>22.933738317757008</v>
      </c>
      <c r="T62" s="9">
        <f t="shared" si="5"/>
        <v>77.898551401869156</v>
      </c>
      <c r="V62" s="1">
        <v>303.2</v>
      </c>
      <c r="X62" s="1">
        <f t="shared" si="6"/>
        <v>14615.999999999998</v>
      </c>
      <c r="AA62" s="1">
        <v>12.031770043084601</v>
      </c>
    </row>
    <row r="63" spans="1:27" s="1" customFormat="1" x14ac:dyDescent="0.25">
      <c r="A63" s="48"/>
      <c r="B63" s="7"/>
      <c r="C63" s="3">
        <v>41179</v>
      </c>
      <c r="D63" s="1">
        <v>11.9</v>
      </c>
      <c r="E63" s="1">
        <v>10.199999999999999</v>
      </c>
      <c r="F63" s="1">
        <v>14.9</v>
      </c>
      <c r="G63" s="1">
        <f t="shared" si="2"/>
        <v>226.1</v>
      </c>
      <c r="J63" s="1">
        <v>2.5</v>
      </c>
      <c r="K63" s="1">
        <f t="shared" si="3"/>
        <v>86.399999999999991</v>
      </c>
      <c r="L63" s="1">
        <v>2</v>
      </c>
      <c r="M63" s="1">
        <f t="shared" si="4"/>
        <v>29.300000000000004</v>
      </c>
      <c r="N63" s="1">
        <v>0.5</v>
      </c>
      <c r="O63" s="1">
        <f t="shared" si="7"/>
        <v>73.3</v>
      </c>
      <c r="P63" s="1">
        <v>16</v>
      </c>
      <c r="Q63" s="1">
        <f t="shared" si="8"/>
        <v>0.38644859813084109</v>
      </c>
      <c r="R63" s="9">
        <f t="shared" si="0"/>
        <v>0.77289719626168218</v>
      </c>
      <c r="S63" s="9">
        <f t="shared" si="1"/>
        <v>1.7271028037383178</v>
      </c>
      <c r="T63" s="9">
        <f t="shared" si="5"/>
        <v>79.625654205607475</v>
      </c>
      <c r="V63" s="1">
        <v>1139.4000000000001</v>
      </c>
      <c r="X63" s="1">
        <f t="shared" si="6"/>
        <v>15755.399999999998</v>
      </c>
      <c r="AA63" s="1">
        <v>11.9755821927857</v>
      </c>
    </row>
    <row r="64" spans="1:27" s="1" customFormat="1" x14ac:dyDescent="0.25">
      <c r="A64" s="48"/>
      <c r="B64" s="7"/>
      <c r="C64" s="3">
        <v>41180</v>
      </c>
      <c r="D64" s="1">
        <v>12.5</v>
      </c>
      <c r="E64" s="1">
        <v>6.6</v>
      </c>
      <c r="F64" s="1">
        <v>20.399999999999999</v>
      </c>
      <c r="G64" s="1">
        <f t="shared" si="2"/>
        <v>238.6</v>
      </c>
      <c r="J64" s="1">
        <v>0</v>
      </c>
      <c r="K64" s="1">
        <f t="shared" si="3"/>
        <v>86.399999999999991</v>
      </c>
      <c r="L64" s="1">
        <v>2.2999999999999998</v>
      </c>
      <c r="M64" s="1">
        <f t="shared" si="4"/>
        <v>31.600000000000005</v>
      </c>
      <c r="N64" s="1">
        <v>-2.2999999999999998</v>
      </c>
      <c r="O64" s="1">
        <f t="shared" si="7"/>
        <v>71</v>
      </c>
      <c r="P64" s="1">
        <v>17</v>
      </c>
      <c r="Q64" s="1">
        <f t="shared" si="8"/>
        <v>0.3925233644859813</v>
      </c>
      <c r="R64" s="9">
        <f t="shared" si="0"/>
        <v>0.90280373831775695</v>
      </c>
      <c r="S64" s="9">
        <f t="shared" si="1"/>
        <v>-0.90280373831775695</v>
      </c>
      <c r="T64" s="9">
        <f t="shared" si="5"/>
        <v>78.722850467289717</v>
      </c>
      <c r="V64" s="1">
        <v>1535.3</v>
      </c>
      <c r="X64" s="1">
        <f t="shared" si="6"/>
        <v>17290.699999999997</v>
      </c>
      <c r="AA64" s="1">
        <v>11.919397717712201</v>
      </c>
    </row>
    <row r="65" spans="1:27" s="1" customFormat="1" x14ac:dyDescent="0.25">
      <c r="A65" s="48"/>
      <c r="B65" s="7"/>
      <c r="C65" s="3">
        <v>41181</v>
      </c>
      <c r="D65" s="1">
        <v>12.3</v>
      </c>
      <c r="E65" s="1">
        <v>8</v>
      </c>
      <c r="F65" s="1">
        <v>18.399999999999999</v>
      </c>
      <c r="G65" s="1">
        <f t="shared" si="2"/>
        <v>250.9</v>
      </c>
      <c r="J65" s="1">
        <v>0</v>
      </c>
      <c r="K65" s="1">
        <f t="shared" si="3"/>
        <v>86.399999999999991</v>
      </c>
      <c r="L65" s="1">
        <v>1.5</v>
      </c>
      <c r="M65" s="1">
        <f t="shared" si="4"/>
        <v>33.100000000000009</v>
      </c>
      <c r="N65" s="1">
        <v>-1.5</v>
      </c>
      <c r="O65" s="1">
        <f t="shared" si="7"/>
        <v>69.5</v>
      </c>
      <c r="P65" s="1">
        <v>18</v>
      </c>
      <c r="Q65" s="1">
        <f t="shared" si="8"/>
        <v>0.3985981308411215</v>
      </c>
      <c r="R65" s="9">
        <f t="shared" si="0"/>
        <v>0.59789719626168225</v>
      </c>
      <c r="S65" s="9">
        <f t="shared" si="1"/>
        <v>-0.59789719626168225</v>
      </c>
      <c r="T65" s="9">
        <f t="shared" si="5"/>
        <v>78.124953271028033</v>
      </c>
      <c r="V65" s="1">
        <v>1006.6</v>
      </c>
      <c r="X65" s="1">
        <f t="shared" si="6"/>
        <v>18297.299999999996</v>
      </c>
      <c r="AA65" s="1">
        <v>11.8632222837584</v>
      </c>
    </row>
    <row r="66" spans="1:27" s="1" customFormat="1" x14ac:dyDescent="0.25">
      <c r="A66" s="48"/>
      <c r="B66" s="7"/>
      <c r="C66" s="3">
        <v>41182</v>
      </c>
      <c r="D66" s="1">
        <v>12.6</v>
      </c>
      <c r="E66" s="1">
        <v>9</v>
      </c>
      <c r="F66" s="1">
        <v>17.399999999999999</v>
      </c>
      <c r="G66" s="1">
        <f t="shared" si="2"/>
        <v>263.5</v>
      </c>
      <c r="J66" s="1">
        <v>0</v>
      </c>
      <c r="K66" s="1">
        <f t="shared" si="3"/>
        <v>86.399999999999991</v>
      </c>
      <c r="L66" s="1">
        <v>1.7</v>
      </c>
      <c r="M66" s="1">
        <f t="shared" si="4"/>
        <v>34.800000000000011</v>
      </c>
      <c r="N66" s="1">
        <v>-1.7</v>
      </c>
      <c r="O66" s="1">
        <f t="shared" si="7"/>
        <v>67.8</v>
      </c>
      <c r="P66" s="1">
        <v>19</v>
      </c>
      <c r="Q66" s="1">
        <f t="shared" si="8"/>
        <v>0.40467289719626165</v>
      </c>
      <c r="R66" s="9">
        <f t="shared" si="0"/>
        <v>0.68794392523364478</v>
      </c>
      <c r="S66" s="9">
        <f t="shared" si="1"/>
        <v>-0.68794392523364478</v>
      </c>
      <c r="T66" s="9">
        <f t="shared" si="5"/>
        <v>77.437009345794394</v>
      </c>
      <c r="V66" s="1">
        <v>1065.3</v>
      </c>
      <c r="X66" s="1">
        <f t="shared" si="6"/>
        <v>19362.599999999995</v>
      </c>
      <c r="AA66" s="1">
        <v>11.8070616504488</v>
      </c>
    </row>
    <row r="67" spans="1:27" s="1" customFormat="1" x14ac:dyDescent="0.25">
      <c r="A67" s="48"/>
      <c r="B67" s="7"/>
      <c r="C67" s="3">
        <v>41183</v>
      </c>
      <c r="D67" s="1">
        <v>12.3</v>
      </c>
      <c r="E67" s="1">
        <v>7.5</v>
      </c>
      <c r="F67" s="1">
        <v>19.5</v>
      </c>
      <c r="G67" s="1">
        <f t="shared" si="2"/>
        <v>275.8</v>
      </c>
      <c r="J67" s="1">
        <v>0</v>
      </c>
      <c r="K67" s="1">
        <f t="shared" si="3"/>
        <v>86.399999999999991</v>
      </c>
      <c r="L67" s="1">
        <v>1.6</v>
      </c>
      <c r="M67" s="1">
        <f t="shared" si="4"/>
        <v>36.400000000000013</v>
      </c>
      <c r="N67" s="1">
        <v>-1.6</v>
      </c>
      <c r="O67" s="1">
        <f t="shared" si="7"/>
        <v>66.2</v>
      </c>
      <c r="P67" s="1">
        <v>20</v>
      </c>
      <c r="Q67" s="1">
        <f t="shared" si="8"/>
        <v>0.41074766355140185</v>
      </c>
      <c r="R67" s="9">
        <f t="shared" si="0"/>
        <v>0.65719626168224299</v>
      </c>
      <c r="S67" s="9">
        <f t="shared" si="1"/>
        <v>-0.65719626168224299</v>
      </c>
      <c r="T67" s="9">
        <f t="shared" si="5"/>
        <v>76.779813084112149</v>
      </c>
      <c r="V67" s="1">
        <v>1069.5</v>
      </c>
      <c r="X67" s="1">
        <f t="shared" si="6"/>
        <v>20432.099999999995</v>
      </c>
      <c r="AA67" s="1">
        <v>11.750921687338</v>
      </c>
    </row>
    <row r="68" spans="1:27" s="1" customFormat="1" x14ac:dyDescent="0.25">
      <c r="A68" s="48"/>
      <c r="B68" s="7"/>
      <c r="C68" s="3">
        <v>41184</v>
      </c>
      <c r="D68" s="1">
        <v>13.1</v>
      </c>
      <c r="E68" s="1">
        <v>7.2</v>
      </c>
      <c r="F68" s="1">
        <v>18.8</v>
      </c>
      <c r="G68" s="1">
        <f t="shared" si="2"/>
        <v>288.90000000000003</v>
      </c>
      <c r="J68" s="1">
        <v>1.6</v>
      </c>
      <c r="K68" s="1">
        <f t="shared" si="3"/>
        <v>87.999999999999986</v>
      </c>
      <c r="L68" s="1">
        <v>1.9</v>
      </c>
      <c r="M68" s="1">
        <f t="shared" si="4"/>
        <v>38.300000000000011</v>
      </c>
      <c r="N68" s="1">
        <v>-0.29999999999999982</v>
      </c>
      <c r="O68" s="1">
        <f t="shared" si="7"/>
        <v>65.900000000000006</v>
      </c>
      <c r="P68" s="1">
        <v>21</v>
      </c>
      <c r="Q68" s="1">
        <f t="shared" si="8"/>
        <v>0.41682242990654206</v>
      </c>
      <c r="R68" s="9">
        <f t="shared" si="0"/>
        <v>0.79196261682242985</v>
      </c>
      <c r="S68" s="9">
        <f t="shared" si="1"/>
        <v>0.80803738317757023</v>
      </c>
      <c r="T68" s="9">
        <f t="shared" si="5"/>
        <v>77.587850467289712</v>
      </c>
      <c r="V68" s="1">
        <v>1192.7</v>
      </c>
      <c r="X68" s="1">
        <f t="shared" si="6"/>
        <v>21624.799999999996</v>
      </c>
      <c r="AA68" s="1">
        <v>11.694808390515799</v>
      </c>
    </row>
    <row r="69" spans="1:27" s="1" customFormat="1" x14ac:dyDescent="0.25">
      <c r="A69" s="48"/>
      <c r="B69" s="7"/>
      <c r="C69" s="3">
        <v>41185</v>
      </c>
      <c r="D69" s="1">
        <v>15.7</v>
      </c>
      <c r="E69" s="1">
        <v>12.1</v>
      </c>
      <c r="F69" s="1">
        <v>20.100000000000001</v>
      </c>
      <c r="G69" s="1">
        <f t="shared" si="2"/>
        <v>304.60000000000002</v>
      </c>
      <c r="J69" s="1">
        <v>0</v>
      </c>
      <c r="K69" s="1">
        <f t="shared" si="3"/>
        <v>87.999999999999986</v>
      </c>
      <c r="L69" s="1">
        <v>1.7</v>
      </c>
      <c r="M69" s="1">
        <f t="shared" si="4"/>
        <v>40.000000000000014</v>
      </c>
      <c r="N69" s="1">
        <v>-1.7</v>
      </c>
      <c r="O69" s="1">
        <f t="shared" si="7"/>
        <v>64.2</v>
      </c>
      <c r="P69" s="1">
        <v>22</v>
      </c>
      <c r="Q69" s="1">
        <f t="shared" si="8"/>
        <v>0.42289719626168221</v>
      </c>
      <c r="R69" s="9">
        <f t="shared" si="0"/>
        <v>0.71892523364485972</v>
      </c>
      <c r="S69" s="9">
        <f t="shared" si="1"/>
        <v>-0.71892523364485972</v>
      </c>
      <c r="T69" s="9">
        <f t="shared" si="5"/>
        <v>76.868925233644859</v>
      </c>
      <c r="V69" s="1">
        <v>747.8</v>
      </c>
      <c r="X69" s="1">
        <f t="shared" si="6"/>
        <v>22372.599999999995</v>
      </c>
      <c r="AA69" s="1">
        <v>11.638727899218701</v>
      </c>
    </row>
    <row r="70" spans="1:27" s="1" customFormat="1" x14ac:dyDescent="0.25">
      <c r="A70" s="48"/>
      <c r="B70" s="7"/>
      <c r="C70" s="3">
        <v>41186</v>
      </c>
      <c r="D70" s="1">
        <v>15.2</v>
      </c>
      <c r="E70" s="1">
        <v>14</v>
      </c>
      <c r="F70" s="1">
        <v>17.8</v>
      </c>
      <c r="G70" s="1">
        <f t="shared" si="2"/>
        <v>319.8</v>
      </c>
      <c r="J70" s="1">
        <v>0.8</v>
      </c>
      <c r="K70" s="1">
        <f t="shared" si="3"/>
        <v>88.799999999999983</v>
      </c>
      <c r="L70" s="1">
        <v>1.7</v>
      </c>
      <c r="M70" s="1">
        <f t="shared" si="4"/>
        <v>41.700000000000017</v>
      </c>
      <c r="N70" s="1">
        <v>-0.89999999999999991</v>
      </c>
      <c r="O70" s="1">
        <f t="shared" si="7"/>
        <v>63.300000000000004</v>
      </c>
      <c r="P70" s="1">
        <v>23</v>
      </c>
      <c r="Q70" s="1">
        <f t="shared" si="8"/>
        <v>0.42897196261682241</v>
      </c>
      <c r="R70" s="9">
        <f t="shared" si="0"/>
        <v>0.7292523364485981</v>
      </c>
      <c r="S70" s="9">
        <f t="shared" si="1"/>
        <v>7.074766355140194E-2</v>
      </c>
      <c r="T70" s="9">
        <f t="shared" si="5"/>
        <v>76.93967289719626</v>
      </c>
      <c r="V70" s="1">
        <v>301.2</v>
      </c>
      <c r="X70" s="1">
        <f t="shared" si="6"/>
        <v>22673.799999999996</v>
      </c>
      <c r="AA70" s="1">
        <v>11.5826865125461</v>
      </c>
    </row>
    <row r="71" spans="1:27" s="1" customFormat="1" x14ac:dyDescent="0.25">
      <c r="A71" s="48"/>
      <c r="B71" s="7"/>
      <c r="C71" s="3">
        <v>41187</v>
      </c>
      <c r="D71" s="1">
        <v>15</v>
      </c>
      <c r="E71" s="1">
        <v>10</v>
      </c>
      <c r="F71" s="1">
        <v>21.5</v>
      </c>
      <c r="G71" s="1">
        <f t="shared" si="2"/>
        <v>334.8</v>
      </c>
      <c r="J71" s="1">
        <v>0.1</v>
      </c>
      <c r="K71" s="1">
        <f t="shared" si="3"/>
        <v>88.899999999999977</v>
      </c>
      <c r="L71" s="1">
        <v>2.1</v>
      </c>
      <c r="M71" s="1">
        <f t="shared" si="4"/>
        <v>43.800000000000018</v>
      </c>
      <c r="N71" s="1">
        <v>-2</v>
      </c>
      <c r="O71" s="1">
        <f t="shared" si="7"/>
        <v>61.300000000000004</v>
      </c>
      <c r="P71" s="1">
        <v>24</v>
      </c>
      <c r="Q71" s="1">
        <f t="shared" si="8"/>
        <v>0.43504672897196262</v>
      </c>
      <c r="R71" s="9">
        <f t="shared" si="0"/>
        <v>0.91359813084112151</v>
      </c>
      <c r="S71" s="9">
        <f t="shared" si="1"/>
        <v>-0.81359813084112154</v>
      </c>
      <c r="T71" s="9">
        <f t="shared" si="5"/>
        <v>76.126074766355146</v>
      </c>
      <c r="V71" s="1">
        <v>1160.5999999999999</v>
      </c>
      <c r="X71" s="1">
        <f t="shared" si="6"/>
        <v>23834.399999999994</v>
      </c>
      <c r="AA71" s="1">
        <v>11.5266907062811</v>
      </c>
    </row>
    <row r="72" spans="1:27" s="1" customFormat="1" x14ac:dyDescent="0.25">
      <c r="A72" s="48"/>
      <c r="B72" s="7"/>
      <c r="C72" s="3">
        <v>41188</v>
      </c>
      <c r="D72" s="1">
        <v>16.899999999999999</v>
      </c>
      <c r="E72" s="1">
        <v>9.8000000000000007</v>
      </c>
      <c r="F72" s="1">
        <v>23.6</v>
      </c>
      <c r="G72" s="1">
        <f t="shared" si="2"/>
        <v>351.7</v>
      </c>
      <c r="J72" s="1">
        <v>8.4</v>
      </c>
      <c r="K72" s="1">
        <f t="shared" si="3"/>
        <v>97.299999999999983</v>
      </c>
      <c r="L72" s="1">
        <v>1.8</v>
      </c>
      <c r="M72" s="1">
        <f t="shared" si="4"/>
        <v>45.600000000000016</v>
      </c>
      <c r="N72" s="1">
        <v>6.6000000000000005</v>
      </c>
      <c r="O72" s="1">
        <f t="shared" si="7"/>
        <v>67.900000000000006</v>
      </c>
      <c r="P72" s="1">
        <v>25</v>
      </c>
      <c r="Q72" s="1">
        <f t="shared" si="8"/>
        <v>0.44112149532710276</v>
      </c>
      <c r="R72" s="9">
        <f t="shared" si="0"/>
        <v>0.79401869158878502</v>
      </c>
      <c r="S72" s="9">
        <f t="shared" si="1"/>
        <v>7.6059813084112156</v>
      </c>
      <c r="T72" s="9">
        <f t="shared" si="5"/>
        <v>83.732056074766362</v>
      </c>
      <c r="V72" s="1">
        <v>983.9</v>
      </c>
      <c r="X72" s="1">
        <f t="shared" si="6"/>
        <v>24818.299999999996</v>
      </c>
      <c r="AA72" s="1">
        <v>11.470747149810901</v>
      </c>
    </row>
    <row r="73" spans="1:27" s="1" customFormat="1" x14ac:dyDescent="0.25">
      <c r="A73" s="48"/>
      <c r="B73" s="7"/>
      <c r="C73" s="3">
        <v>41189</v>
      </c>
      <c r="D73" s="1">
        <v>15</v>
      </c>
      <c r="E73" s="1">
        <v>13.8</v>
      </c>
      <c r="F73" s="1">
        <v>18.399999999999999</v>
      </c>
      <c r="G73" s="1">
        <f t="shared" si="2"/>
        <v>366.7</v>
      </c>
      <c r="J73" s="1">
        <v>1</v>
      </c>
      <c r="K73" s="1">
        <f t="shared" si="3"/>
        <v>98.299999999999983</v>
      </c>
      <c r="L73" s="1">
        <v>1.1000000000000001</v>
      </c>
      <c r="M73" s="1">
        <f t="shared" si="4"/>
        <v>46.700000000000017</v>
      </c>
      <c r="N73" s="1">
        <v>-0.10000000000000009</v>
      </c>
      <c r="O73" s="1">
        <f t="shared" si="7"/>
        <v>67.800000000000011</v>
      </c>
      <c r="P73" s="1">
        <v>26</v>
      </c>
      <c r="Q73" s="1">
        <f t="shared" si="8"/>
        <v>0.44719626168224297</v>
      </c>
      <c r="R73" s="9">
        <f t="shared" si="0"/>
        <v>0.4919158878504673</v>
      </c>
      <c r="S73" s="9">
        <f t="shared" si="1"/>
        <v>0.50808411214953275</v>
      </c>
      <c r="T73" s="9">
        <f t="shared" si="5"/>
        <v>84.240140186915895</v>
      </c>
      <c r="V73" s="1">
        <v>586.9</v>
      </c>
      <c r="X73" s="1">
        <f t="shared" si="6"/>
        <v>25405.199999999997</v>
      </c>
      <c r="AA73" s="1">
        <v>11.414862723142701</v>
      </c>
    </row>
    <row r="74" spans="1:27" s="1" customFormat="1" x14ac:dyDescent="0.25">
      <c r="A74" s="48"/>
      <c r="B74" s="7"/>
      <c r="C74" s="3">
        <v>41190</v>
      </c>
      <c r="D74" s="1">
        <v>12.4</v>
      </c>
      <c r="E74" s="1">
        <v>9.6999999999999993</v>
      </c>
      <c r="F74" s="1">
        <v>16.3</v>
      </c>
      <c r="G74" s="1">
        <f t="shared" si="2"/>
        <v>379.09999999999997</v>
      </c>
      <c r="J74" s="1">
        <v>23.4</v>
      </c>
      <c r="K74" s="1">
        <f t="shared" si="3"/>
        <v>121.69999999999999</v>
      </c>
      <c r="L74" s="1">
        <v>0.8</v>
      </c>
      <c r="M74" s="1">
        <f t="shared" si="4"/>
        <v>47.500000000000014</v>
      </c>
      <c r="N74" s="1">
        <v>22.599999999999998</v>
      </c>
      <c r="O74" s="1">
        <f t="shared" si="7"/>
        <v>90.4</v>
      </c>
      <c r="P74" s="1">
        <v>27</v>
      </c>
      <c r="Q74" s="1">
        <f t="shared" si="8"/>
        <v>0.45327102803738317</v>
      </c>
      <c r="R74" s="9">
        <f t="shared" si="0"/>
        <v>0.36261682242990656</v>
      </c>
      <c r="S74" s="9">
        <f t="shared" si="1"/>
        <v>23.037383177570092</v>
      </c>
      <c r="T74" s="9">
        <f t="shared" si="5"/>
        <v>107.27752336448599</v>
      </c>
      <c r="V74" s="1">
        <v>304.3</v>
      </c>
      <c r="X74" s="1">
        <f t="shared" si="6"/>
        <v>25709.499999999996</v>
      </c>
      <c r="AA74" s="1">
        <v>11.3590445340079</v>
      </c>
    </row>
    <row r="75" spans="1:27" s="1" customFormat="1" x14ac:dyDescent="0.25">
      <c r="A75" s="48"/>
      <c r="B75" s="7"/>
      <c r="C75" s="3">
        <v>41191</v>
      </c>
      <c r="D75" s="1">
        <v>16.899999999999999</v>
      </c>
      <c r="E75" s="1">
        <v>14</v>
      </c>
      <c r="F75" s="1">
        <v>19.2</v>
      </c>
      <c r="G75" s="1">
        <f t="shared" si="2"/>
        <v>395.99999999999994</v>
      </c>
      <c r="J75" s="1">
        <v>8.8000000000000007</v>
      </c>
      <c r="K75" s="1">
        <f t="shared" si="3"/>
        <v>130.5</v>
      </c>
      <c r="L75" s="1">
        <v>0.8</v>
      </c>
      <c r="M75" s="1">
        <f t="shared" si="4"/>
        <v>48.300000000000011</v>
      </c>
      <c r="N75" s="1">
        <v>8</v>
      </c>
      <c r="O75" s="1">
        <f t="shared" si="7"/>
        <v>98.4</v>
      </c>
      <c r="P75" s="1">
        <v>28</v>
      </c>
      <c r="Q75" s="1">
        <f t="shared" si="8"/>
        <v>0.45934579439252332</v>
      </c>
      <c r="R75" s="9">
        <f t="shared" si="0"/>
        <v>0.36747663551401866</v>
      </c>
      <c r="S75" s="9">
        <f t="shared" si="1"/>
        <v>8.4325233644859825</v>
      </c>
      <c r="T75" s="9">
        <f t="shared" si="5"/>
        <v>115.71004672897197</v>
      </c>
      <c r="V75" s="1">
        <v>402.3</v>
      </c>
      <c r="X75" s="1">
        <f t="shared" si="6"/>
        <v>26111.799999999996</v>
      </c>
      <c r="AA75" s="1">
        <v>11.3032999350458</v>
      </c>
    </row>
    <row r="76" spans="1:27" s="1" customFormat="1" x14ac:dyDescent="0.25">
      <c r="A76" s="48"/>
      <c r="B76" s="7"/>
      <c r="C76" s="3">
        <v>41192</v>
      </c>
      <c r="D76" s="1">
        <v>16.600000000000001</v>
      </c>
      <c r="E76" s="1">
        <v>15.2</v>
      </c>
      <c r="F76" s="1">
        <v>20.2</v>
      </c>
      <c r="G76" s="1">
        <f t="shared" si="2"/>
        <v>412.59999999999997</v>
      </c>
      <c r="J76" s="1">
        <v>4.5</v>
      </c>
      <c r="K76" s="1">
        <f t="shared" si="3"/>
        <v>135</v>
      </c>
      <c r="L76" s="1">
        <v>1.7</v>
      </c>
      <c r="M76" s="1">
        <f t="shared" si="4"/>
        <v>50.000000000000014</v>
      </c>
      <c r="N76" s="1">
        <v>2.8</v>
      </c>
      <c r="O76" s="1">
        <f t="shared" si="7"/>
        <v>101.2</v>
      </c>
      <c r="P76" s="1">
        <v>29</v>
      </c>
      <c r="Q76" s="1">
        <f t="shared" si="8"/>
        <v>0.46542056074766353</v>
      </c>
      <c r="R76" s="9">
        <f t="shared" si="0"/>
        <v>0.79121495327102798</v>
      </c>
      <c r="S76" s="9">
        <f t="shared" si="1"/>
        <v>3.708785046728972</v>
      </c>
      <c r="T76" s="9">
        <f t="shared" si="5"/>
        <v>119.41883177570095</v>
      </c>
      <c r="V76" s="1">
        <v>909.6</v>
      </c>
      <c r="X76" s="1">
        <f t="shared" si="6"/>
        <v>27021.399999999994</v>
      </c>
      <c r="AA76" s="1">
        <v>11.2476365410563</v>
      </c>
    </row>
    <row r="77" spans="1:27" s="1" customFormat="1" x14ac:dyDescent="0.25">
      <c r="A77" s="48"/>
      <c r="B77" s="7"/>
      <c r="C77" s="3">
        <v>41193</v>
      </c>
      <c r="D77" s="1">
        <v>15.2</v>
      </c>
      <c r="E77" s="1">
        <v>14</v>
      </c>
      <c r="F77" s="1">
        <v>16.7</v>
      </c>
      <c r="G77" s="1">
        <f t="shared" si="2"/>
        <v>427.79999999999995</v>
      </c>
      <c r="J77" s="1">
        <v>4.5</v>
      </c>
      <c r="K77" s="1">
        <f t="shared" si="3"/>
        <v>139.5</v>
      </c>
      <c r="L77" s="1">
        <v>0.6</v>
      </c>
      <c r="M77" s="1">
        <f t="shared" si="4"/>
        <v>50.600000000000016</v>
      </c>
      <c r="N77" s="1">
        <v>3.9</v>
      </c>
      <c r="O77" s="1">
        <f t="shared" si="7"/>
        <v>105.10000000000001</v>
      </c>
      <c r="P77" s="1">
        <v>30</v>
      </c>
      <c r="Q77" s="1">
        <f t="shared" si="8"/>
        <v>0.47149532710280373</v>
      </c>
      <c r="R77" s="9">
        <f t="shared" si="0"/>
        <v>0.28289719626168225</v>
      </c>
      <c r="S77" s="9">
        <f t="shared" si="1"/>
        <v>4.2171028037383174</v>
      </c>
      <c r="T77" s="9">
        <f t="shared" si="5"/>
        <v>122.1</v>
      </c>
      <c r="V77" s="1">
        <v>221.3</v>
      </c>
      <c r="X77" s="1">
        <f t="shared" si="6"/>
        <v>27242.699999999993</v>
      </c>
      <c r="AA77" s="1">
        <v>11.192062246306</v>
      </c>
    </row>
    <row r="78" spans="1:27" s="1" customFormat="1" x14ac:dyDescent="0.25">
      <c r="A78" s="48"/>
      <c r="B78" s="7"/>
      <c r="C78" s="3">
        <v>41194</v>
      </c>
      <c r="D78" s="1">
        <v>12.4</v>
      </c>
      <c r="E78" s="1">
        <v>10.7</v>
      </c>
      <c r="F78" s="1">
        <v>14.6</v>
      </c>
      <c r="G78" s="1">
        <f t="shared" si="2"/>
        <v>440.19999999999993</v>
      </c>
      <c r="J78" s="1">
        <v>0.5</v>
      </c>
      <c r="K78" s="1">
        <f t="shared" si="3"/>
        <v>140</v>
      </c>
      <c r="L78" s="1">
        <v>0.9</v>
      </c>
      <c r="M78" s="1">
        <f t="shared" si="4"/>
        <v>51.500000000000014</v>
      </c>
      <c r="N78" s="1">
        <v>-0.4</v>
      </c>
      <c r="O78" s="1">
        <f t="shared" si="7"/>
        <v>104.7</v>
      </c>
      <c r="P78" s="1">
        <v>31</v>
      </c>
      <c r="Q78" s="1">
        <f t="shared" si="8"/>
        <v>0.47757009345794388</v>
      </c>
      <c r="R78" s="9">
        <f t="shared" si="0"/>
        <v>0.42981308411214952</v>
      </c>
      <c r="S78" s="9">
        <f t="shared" si="1"/>
        <v>7.0186915887850476E-2</v>
      </c>
      <c r="T78" s="9">
        <f t="shared" si="5"/>
        <v>122.1</v>
      </c>
      <c r="V78" s="1">
        <v>717.1</v>
      </c>
      <c r="X78" s="1">
        <f t="shared" si="6"/>
        <v>27959.799999999992</v>
      </c>
      <c r="AA78" s="1">
        <v>11.136585241874</v>
      </c>
    </row>
    <row r="79" spans="1:27" s="1" customFormat="1" x14ac:dyDescent="0.25">
      <c r="A79" s="48"/>
      <c r="B79" s="7"/>
      <c r="C79" s="3">
        <v>41195</v>
      </c>
      <c r="D79" s="1">
        <v>9.3000000000000007</v>
      </c>
      <c r="E79" s="1">
        <v>3.2</v>
      </c>
      <c r="F79" s="1">
        <v>15.1</v>
      </c>
      <c r="G79" s="1">
        <f t="shared" si="2"/>
        <v>449.49999999999994</v>
      </c>
      <c r="J79" s="1">
        <v>5.2</v>
      </c>
      <c r="K79" s="1">
        <f t="shared" si="3"/>
        <v>145.19999999999999</v>
      </c>
      <c r="L79" s="1">
        <v>0.8</v>
      </c>
      <c r="M79" s="1">
        <f t="shared" si="4"/>
        <v>52.300000000000011</v>
      </c>
      <c r="N79" s="1">
        <v>4.4000000000000004</v>
      </c>
      <c r="O79" s="1">
        <f t="shared" si="7"/>
        <v>109.10000000000001</v>
      </c>
      <c r="P79" s="1">
        <v>32</v>
      </c>
      <c r="Q79" s="1">
        <f t="shared" si="8"/>
        <v>0.48364485981308408</v>
      </c>
      <c r="R79" s="9">
        <f t="shared" si="0"/>
        <v>0.38691588785046727</v>
      </c>
      <c r="S79" s="9">
        <f t="shared" si="1"/>
        <v>4.8130841121495331</v>
      </c>
      <c r="T79" s="9">
        <f t="shared" si="5"/>
        <v>122.1</v>
      </c>
      <c r="V79" s="1">
        <v>734.2</v>
      </c>
      <c r="X79" s="1">
        <f t="shared" si="6"/>
        <v>28693.999999999993</v>
      </c>
      <c r="AA79" s="1">
        <v>11.0812140330164</v>
      </c>
    </row>
    <row r="80" spans="1:27" s="1" customFormat="1" x14ac:dyDescent="0.25">
      <c r="A80" s="48"/>
      <c r="B80" s="7"/>
      <c r="C80" s="3">
        <v>41196</v>
      </c>
      <c r="D80" s="1">
        <v>10.7</v>
      </c>
      <c r="E80" s="1">
        <v>9.5</v>
      </c>
      <c r="F80" s="1">
        <v>13.6</v>
      </c>
      <c r="G80" s="1">
        <f t="shared" si="2"/>
        <v>460.19999999999993</v>
      </c>
      <c r="J80" s="1">
        <v>5.6</v>
      </c>
      <c r="K80" s="1">
        <f t="shared" si="3"/>
        <v>150.79999999999998</v>
      </c>
      <c r="L80" s="1">
        <v>1.1000000000000001</v>
      </c>
      <c r="M80" s="1">
        <f t="shared" si="4"/>
        <v>53.400000000000013</v>
      </c>
      <c r="N80" s="1">
        <v>4.5</v>
      </c>
      <c r="O80" s="1">
        <f t="shared" si="7"/>
        <v>113.60000000000001</v>
      </c>
      <c r="P80" s="1">
        <v>33</v>
      </c>
      <c r="Q80" s="1">
        <f t="shared" si="8"/>
        <v>0.48971962616822429</v>
      </c>
      <c r="R80" s="9">
        <f t="shared" si="0"/>
        <v>0.53869158878504675</v>
      </c>
      <c r="S80" s="9">
        <f t="shared" si="1"/>
        <v>5.0613084112149531</v>
      </c>
      <c r="T80" s="9">
        <f t="shared" si="5"/>
        <v>122.1</v>
      </c>
      <c r="V80" s="1">
        <v>203.9</v>
      </c>
      <c r="X80" s="1">
        <f t="shared" si="6"/>
        <v>28897.899999999994</v>
      </c>
      <c r="AA80" s="1">
        <v>11.0259574565276</v>
      </c>
    </row>
    <row r="81" spans="1:27" s="1" customFormat="1" x14ac:dyDescent="0.25">
      <c r="A81" s="48"/>
      <c r="B81" s="7"/>
      <c r="C81" s="3">
        <v>41197</v>
      </c>
      <c r="D81" s="1">
        <v>7.1</v>
      </c>
      <c r="E81" s="1">
        <v>4.2</v>
      </c>
      <c r="F81" s="1">
        <v>11.9</v>
      </c>
      <c r="G81" s="1">
        <f t="shared" si="2"/>
        <v>467.29999999999995</v>
      </c>
      <c r="J81" s="1">
        <v>0</v>
      </c>
      <c r="K81" s="1">
        <f t="shared" si="3"/>
        <v>150.79999999999998</v>
      </c>
      <c r="L81" s="1">
        <v>0.9</v>
      </c>
      <c r="M81" s="1">
        <f t="shared" si="4"/>
        <v>54.300000000000011</v>
      </c>
      <c r="N81" s="1">
        <v>-0.9</v>
      </c>
      <c r="O81" s="1">
        <f t="shared" si="7"/>
        <v>112.7</v>
      </c>
      <c r="P81" s="1">
        <v>34</v>
      </c>
      <c r="Q81" s="1">
        <f t="shared" si="8"/>
        <v>0.49579439252336444</v>
      </c>
      <c r="R81" s="9">
        <f t="shared" si="0"/>
        <v>0.446214953271028</v>
      </c>
      <c r="S81" s="9">
        <f t="shared" si="1"/>
        <v>-0.446214953271028</v>
      </c>
      <c r="T81" s="9">
        <f t="shared" si="5"/>
        <v>121.65378504672897</v>
      </c>
      <c r="V81" s="1">
        <v>480.3</v>
      </c>
      <c r="X81" s="1">
        <f t="shared" si="6"/>
        <v>29378.199999999993</v>
      </c>
      <c r="AA81" s="1">
        <v>10.9708246980731</v>
      </c>
    </row>
    <row r="82" spans="1:27" s="1" customFormat="1" x14ac:dyDescent="0.25">
      <c r="A82" s="48"/>
      <c r="B82" s="7"/>
      <c r="C82" s="3">
        <v>41198</v>
      </c>
      <c r="D82" s="1">
        <v>5.9</v>
      </c>
      <c r="E82" s="1">
        <v>1</v>
      </c>
      <c r="F82" s="1">
        <v>9.1999999999999993</v>
      </c>
      <c r="G82" s="1">
        <f t="shared" si="2"/>
        <v>473.19999999999993</v>
      </c>
      <c r="J82" s="1">
        <v>1.2</v>
      </c>
      <c r="K82" s="1">
        <f t="shared" si="3"/>
        <v>151.99999999999997</v>
      </c>
      <c r="L82" s="1">
        <v>0.2</v>
      </c>
      <c r="M82" s="1">
        <f t="shared" si="4"/>
        <v>54.500000000000014</v>
      </c>
      <c r="N82" s="1">
        <v>1</v>
      </c>
      <c r="O82" s="1">
        <f t="shared" si="7"/>
        <v>113.7</v>
      </c>
      <c r="P82" s="1">
        <v>35</v>
      </c>
      <c r="Q82" s="1">
        <f t="shared" si="8"/>
        <v>0.5018691588785047</v>
      </c>
      <c r="R82" s="9">
        <f t="shared" si="0"/>
        <v>0.10037383177570094</v>
      </c>
      <c r="S82" s="9">
        <f t="shared" si="1"/>
        <v>1.0996261682242989</v>
      </c>
      <c r="T82" s="9">
        <f t="shared" si="5"/>
        <v>122.1</v>
      </c>
      <c r="V82" s="1">
        <v>295.8</v>
      </c>
      <c r="X82" s="1">
        <f t="shared" si="6"/>
        <v>29673.999999999993</v>
      </c>
      <c r="AA82" s="1">
        <v>10.9158253094635</v>
      </c>
    </row>
    <row r="83" spans="1:27" s="1" customFormat="1" x14ac:dyDescent="0.25">
      <c r="A83" s="48"/>
      <c r="B83" s="7"/>
      <c r="C83" s="3">
        <v>41199</v>
      </c>
      <c r="D83" s="1">
        <v>14.6</v>
      </c>
      <c r="E83" s="1">
        <v>6.8</v>
      </c>
      <c r="F83" s="1">
        <v>19</v>
      </c>
      <c r="G83" s="1">
        <f t="shared" si="2"/>
        <v>487.79999999999995</v>
      </c>
      <c r="J83" s="1">
        <v>0</v>
      </c>
      <c r="K83" s="1">
        <f t="shared" si="3"/>
        <v>151.99999999999997</v>
      </c>
      <c r="L83" s="1">
        <v>1.2</v>
      </c>
      <c r="M83" s="1">
        <f t="shared" si="4"/>
        <v>55.700000000000017</v>
      </c>
      <c r="N83" s="1">
        <v>-1.2</v>
      </c>
      <c r="O83" s="1">
        <f t="shared" si="7"/>
        <v>112.5</v>
      </c>
      <c r="P83" s="1">
        <v>36</v>
      </c>
      <c r="Q83" s="1">
        <f t="shared" si="8"/>
        <v>0.50794392523364484</v>
      </c>
      <c r="R83" s="9">
        <f t="shared" si="0"/>
        <v>0.60953271028037381</v>
      </c>
      <c r="S83" s="9">
        <f t="shared" si="1"/>
        <v>-0.60953271028037381</v>
      </c>
      <c r="T83" s="9">
        <f t="shared" si="5"/>
        <v>121.49046728971962</v>
      </c>
      <c r="V83" s="1">
        <v>510.4</v>
      </c>
      <c r="X83" s="1">
        <f t="shared" si="6"/>
        <v>30184.399999999994</v>
      </c>
      <c r="AA83" s="1">
        <v>10.860969225838</v>
      </c>
    </row>
    <row r="84" spans="1:27" s="1" customFormat="1" x14ac:dyDescent="0.25">
      <c r="A84" s="48"/>
      <c r="B84" s="7"/>
      <c r="C84" s="3">
        <v>41200</v>
      </c>
      <c r="D84" s="1">
        <v>18</v>
      </c>
      <c r="E84" s="1">
        <v>16.600000000000001</v>
      </c>
      <c r="F84" s="1">
        <v>22.1</v>
      </c>
      <c r="G84" s="1">
        <f t="shared" si="2"/>
        <v>505.79999999999995</v>
      </c>
      <c r="J84" s="1">
        <v>0</v>
      </c>
      <c r="K84" s="1">
        <f t="shared" si="3"/>
        <v>151.99999999999997</v>
      </c>
      <c r="L84" s="1">
        <v>4</v>
      </c>
      <c r="M84" s="1">
        <f t="shared" si="4"/>
        <v>59.700000000000017</v>
      </c>
      <c r="N84" s="1">
        <v>-4</v>
      </c>
      <c r="O84" s="1">
        <f t="shared" si="7"/>
        <v>108.5</v>
      </c>
      <c r="P84" s="1">
        <v>37</v>
      </c>
      <c r="Q84" s="1">
        <f t="shared" si="8"/>
        <v>0.51401869158878499</v>
      </c>
      <c r="R84" s="9">
        <f t="shared" si="0"/>
        <v>2.05607476635514</v>
      </c>
      <c r="S84" s="9">
        <f t="shared" si="1"/>
        <v>-2.05607476635514</v>
      </c>
      <c r="T84" s="9">
        <f t="shared" si="5"/>
        <v>119.43439252336448</v>
      </c>
      <c r="V84" s="1">
        <v>944.9</v>
      </c>
      <c r="X84" s="1">
        <f t="shared" si="6"/>
        <v>31129.299999999996</v>
      </c>
      <c r="AA84" s="1">
        <v>10.8062667827186</v>
      </c>
    </row>
    <row r="85" spans="1:27" s="1" customFormat="1" x14ac:dyDescent="0.25">
      <c r="A85" s="48"/>
      <c r="B85" s="7"/>
      <c r="C85" s="3">
        <v>41201</v>
      </c>
      <c r="D85" s="1">
        <v>16.8</v>
      </c>
      <c r="E85" s="1">
        <v>14.6</v>
      </c>
      <c r="F85" s="1">
        <v>22.3</v>
      </c>
      <c r="G85" s="1">
        <f t="shared" si="2"/>
        <v>522.59999999999991</v>
      </c>
      <c r="J85" s="1">
        <v>0</v>
      </c>
      <c r="K85" s="1">
        <f t="shared" si="3"/>
        <v>151.99999999999997</v>
      </c>
      <c r="L85" s="1">
        <v>2.5</v>
      </c>
      <c r="M85" s="1">
        <f t="shared" si="4"/>
        <v>62.200000000000017</v>
      </c>
      <c r="N85" s="1">
        <v>-2.5</v>
      </c>
      <c r="O85" s="1">
        <f t="shared" si="7"/>
        <v>106</v>
      </c>
      <c r="P85" s="1">
        <v>38</v>
      </c>
      <c r="Q85" s="1">
        <f t="shared" si="8"/>
        <v>0.52009345794392514</v>
      </c>
      <c r="R85" s="9">
        <f t="shared" si="0"/>
        <v>1.3002336448598129</v>
      </c>
      <c r="S85" s="9">
        <f t="shared" si="1"/>
        <v>-1.3002336448598129</v>
      </c>
      <c r="T85" s="9">
        <f t="shared" si="5"/>
        <v>118.13415887850466</v>
      </c>
      <c r="V85" s="1">
        <v>631.70000000000005</v>
      </c>
      <c r="X85" s="1">
        <f t="shared" si="6"/>
        <v>31760.999999999996</v>
      </c>
      <c r="AA85" s="1">
        <v>10.7517287328947</v>
      </c>
    </row>
    <row r="86" spans="1:27" s="1" customFormat="1" x14ac:dyDescent="0.25">
      <c r="A86" s="48"/>
      <c r="B86" s="7"/>
      <c r="C86" s="3">
        <v>41202</v>
      </c>
      <c r="D86" s="1">
        <v>15.8</v>
      </c>
      <c r="E86" s="1">
        <v>11.2</v>
      </c>
      <c r="F86" s="1">
        <v>21.5</v>
      </c>
      <c r="G86" s="1">
        <f t="shared" si="2"/>
        <v>538.39999999999986</v>
      </c>
      <c r="J86" s="1">
        <v>0</v>
      </c>
      <c r="K86" s="1">
        <f t="shared" si="3"/>
        <v>151.99999999999997</v>
      </c>
      <c r="L86" s="1">
        <v>1</v>
      </c>
      <c r="M86" s="1">
        <f t="shared" si="4"/>
        <v>63.200000000000017</v>
      </c>
      <c r="N86" s="1">
        <v>-1</v>
      </c>
      <c r="O86" s="1">
        <f t="shared" si="7"/>
        <v>105</v>
      </c>
      <c r="P86" s="1">
        <v>39</v>
      </c>
      <c r="Q86" s="1">
        <f t="shared" si="8"/>
        <v>0.5261682242990654</v>
      </c>
      <c r="R86" s="9">
        <f t="shared" si="0"/>
        <v>0.5261682242990654</v>
      </c>
      <c r="S86" s="9">
        <f t="shared" si="1"/>
        <v>-0.5261682242990654</v>
      </c>
      <c r="T86" s="9">
        <f t="shared" si="5"/>
        <v>117.60799065420559</v>
      </c>
      <c r="V86" s="1">
        <v>268.8</v>
      </c>
      <c r="X86" s="1">
        <f t="shared" si="6"/>
        <v>32029.799999999996</v>
      </c>
      <c r="AA86" s="1">
        <v>10.697366263090901</v>
      </c>
    </row>
    <row r="87" spans="1:27" s="1" customFormat="1" x14ac:dyDescent="0.25">
      <c r="A87" s="48"/>
      <c r="B87" s="7"/>
      <c r="C87" s="3">
        <v>41203</v>
      </c>
      <c r="D87" s="1">
        <v>15.8</v>
      </c>
      <c r="E87" s="1">
        <v>11.7</v>
      </c>
      <c r="F87" s="1">
        <v>21.2</v>
      </c>
      <c r="G87" s="1">
        <f t="shared" si="2"/>
        <v>554.19999999999982</v>
      </c>
      <c r="J87" s="1">
        <v>0</v>
      </c>
      <c r="K87" s="1">
        <f t="shared" si="3"/>
        <v>151.99999999999997</v>
      </c>
      <c r="L87" s="1">
        <v>1</v>
      </c>
      <c r="M87" s="1">
        <f t="shared" si="4"/>
        <v>64.200000000000017</v>
      </c>
      <c r="N87" s="1">
        <v>-1</v>
      </c>
      <c r="O87" s="1">
        <f t="shared" si="7"/>
        <v>104</v>
      </c>
      <c r="P87" s="1">
        <v>40</v>
      </c>
      <c r="Q87" s="1">
        <f t="shared" si="8"/>
        <v>0.53224299065420555</v>
      </c>
      <c r="R87" s="9">
        <f t="shared" si="0"/>
        <v>0.53224299065420555</v>
      </c>
      <c r="S87" s="9">
        <f t="shared" si="1"/>
        <v>-0.53224299065420555</v>
      </c>
      <c r="T87" s="9">
        <f t="shared" si="5"/>
        <v>117.07574766355138</v>
      </c>
      <c r="V87" s="1">
        <v>426.9</v>
      </c>
      <c r="X87" s="1">
        <f t="shared" si="6"/>
        <v>32456.699999999997</v>
      </c>
      <c r="AA87" s="1">
        <v>10.6431910103682</v>
      </c>
    </row>
    <row r="88" spans="1:27" s="1" customFormat="1" x14ac:dyDescent="0.25">
      <c r="A88" s="48"/>
      <c r="B88" s="7"/>
      <c r="C88" s="3">
        <v>41204</v>
      </c>
      <c r="D88" s="1">
        <v>15.8</v>
      </c>
      <c r="E88" s="1">
        <v>10.8</v>
      </c>
      <c r="F88" s="1">
        <v>22.8</v>
      </c>
      <c r="G88" s="1">
        <f t="shared" si="2"/>
        <v>569.99999999999977</v>
      </c>
      <c r="J88" s="1">
        <v>0</v>
      </c>
      <c r="K88" s="1">
        <f t="shared" si="3"/>
        <v>151.99999999999997</v>
      </c>
      <c r="L88" s="1">
        <v>1.3</v>
      </c>
      <c r="M88" s="1">
        <f t="shared" si="4"/>
        <v>65.500000000000014</v>
      </c>
      <c r="N88" s="1">
        <v>-1.3</v>
      </c>
      <c r="O88" s="1">
        <f t="shared" si="7"/>
        <v>102.7</v>
      </c>
      <c r="P88" s="1">
        <v>41</v>
      </c>
      <c r="Q88" s="1">
        <f t="shared" si="8"/>
        <v>0.53831775700934581</v>
      </c>
      <c r="R88" s="9">
        <f t="shared" si="0"/>
        <v>0.6998130841121496</v>
      </c>
      <c r="S88" s="9">
        <f t="shared" si="1"/>
        <v>-0.6998130841121496</v>
      </c>
      <c r="T88" s="9">
        <f t="shared" si="5"/>
        <v>116.37593457943923</v>
      </c>
      <c r="V88" s="1">
        <v>864.1</v>
      </c>
      <c r="X88" s="1">
        <f t="shared" si="6"/>
        <v>33320.799999999996</v>
      </c>
      <c r="AA88" s="1">
        <v>10.5892150782014</v>
      </c>
    </row>
    <row r="89" spans="1:27" s="1" customFormat="1" x14ac:dyDescent="0.25">
      <c r="A89" s="48"/>
      <c r="B89" s="7"/>
      <c r="C89" s="3">
        <v>41205</v>
      </c>
      <c r="D89" s="1">
        <v>11.2</v>
      </c>
      <c r="E89" s="1">
        <v>10.8</v>
      </c>
      <c r="F89" s="1">
        <v>11.3</v>
      </c>
      <c r="G89" s="1">
        <f t="shared" si="2"/>
        <v>581.19999999999982</v>
      </c>
      <c r="J89" s="1">
        <v>0.1</v>
      </c>
      <c r="K89" s="1">
        <f t="shared" si="3"/>
        <v>152.09999999999997</v>
      </c>
      <c r="L89" s="1">
        <v>0.7</v>
      </c>
      <c r="M89" s="1">
        <f t="shared" si="4"/>
        <v>66.200000000000017</v>
      </c>
      <c r="N89" s="1">
        <v>-0.6</v>
      </c>
      <c r="O89" s="1">
        <f t="shared" si="7"/>
        <v>102.10000000000001</v>
      </c>
      <c r="P89" s="1">
        <v>42</v>
      </c>
      <c r="Q89" s="1">
        <f t="shared" si="8"/>
        <v>0.54439252336448596</v>
      </c>
      <c r="R89" s="9">
        <f t="shared" si="0"/>
        <v>0.38107476635514015</v>
      </c>
      <c r="S89" s="9">
        <f t="shared" si="1"/>
        <v>-0.28107476635514017</v>
      </c>
      <c r="T89" s="9">
        <f t="shared" si="5"/>
        <v>116.09485981308408</v>
      </c>
      <c r="V89" s="1">
        <v>293.8</v>
      </c>
      <c r="X89" s="1">
        <f t="shared" si="6"/>
        <v>33614.6</v>
      </c>
      <c r="AA89" s="1">
        <v>10.535451052172499</v>
      </c>
    </row>
    <row r="90" spans="1:27" s="1" customFormat="1" x14ac:dyDescent="0.25">
      <c r="A90" s="48"/>
      <c r="B90" s="7"/>
      <c r="C90" s="3">
        <v>41206</v>
      </c>
      <c r="D90" s="1">
        <v>10.9</v>
      </c>
      <c r="E90" s="1">
        <v>9.8000000000000007</v>
      </c>
      <c r="F90" s="1">
        <v>12.4</v>
      </c>
      <c r="G90" s="1">
        <f t="shared" si="2"/>
        <v>592.0999999999998</v>
      </c>
      <c r="J90" s="1">
        <v>0</v>
      </c>
      <c r="K90" s="1">
        <f t="shared" si="3"/>
        <v>152.09999999999997</v>
      </c>
      <c r="L90" s="1">
        <v>0.6</v>
      </c>
      <c r="M90" s="1">
        <f t="shared" si="4"/>
        <v>66.800000000000011</v>
      </c>
      <c r="N90" s="1">
        <v>-0.6</v>
      </c>
      <c r="O90" s="1">
        <f t="shared" si="7"/>
        <v>101.50000000000001</v>
      </c>
      <c r="P90" s="1">
        <v>43</v>
      </c>
      <c r="Q90" s="1">
        <f t="shared" si="8"/>
        <v>0.55046728971962611</v>
      </c>
      <c r="R90" s="9">
        <f t="shared" si="0"/>
        <v>0.33028037383177566</v>
      </c>
      <c r="S90" s="9">
        <f t="shared" si="1"/>
        <v>-0.33028037383177566</v>
      </c>
      <c r="T90" s="9">
        <f t="shared" si="5"/>
        <v>115.76457943925232</v>
      </c>
      <c r="V90" s="1">
        <v>218.3</v>
      </c>
      <c r="X90" s="1">
        <f t="shared" si="6"/>
        <v>33832.9</v>
      </c>
      <c r="AA90" s="1">
        <v>10.4819120152137</v>
      </c>
    </row>
    <row r="91" spans="1:27" s="1" customFormat="1" x14ac:dyDescent="0.25">
      <c r="A91" s="48"/>
      <c r="B91" s="7"/>
      <c r="C91" s="3">
        <v>41207</v>
      </c>
      <c r="D91" s="1">
        <v>11.2</v>
      </c>
      <c r="E91" s="1">
        <v>9.4</v>
      </c>
      <c r="F91" s="1">
        <v>15.3</v>
      </c>
      <c r="G91" s="1">
        <f t="shared" si="2"/>
        <v>603.29999999999984</v>
      </c>
      <c r="J91" s="1">
        <v>0</v>
      </c>
      <c r="K91" s="1">
        <f t="shared" si="3"/>
        <v>152.09999999999997</v>
      </c>
      <c r="L91" s="1">
        <v>1.1000000000000001</v>
      </c>
      <c r="M91" s="1">
        <f t="shared" si="4"/>
        <v>67.900000000000006</v>
      </c>
      <c r="N91" s="1">
        <v>-1.1000000000000001</v>
      </c>
      <c r="O91" s="1">
        <f t="shared" si="7"/>
        <v>100.40000000000002</v>
      </c>
      <c r="P91" s="1">
        <v>44</v>
      </c>
      <c r="Q91" s="1">
        <f t="shared" si="8"/>
        <v>0.55654205607476637</v>
      </c>
      <c r="R91" s="9">
        <f t="shared" si="0"/>
        <v>0.61219626168224306</v>
      </c>
      <c r="S91" s="9">
        <f t="shared" si="1"/>
        <v>-0.61219626168224306</v>
      </c>
      <c r="T91" s="9">
        <f t="shared" si="5"/>
        <v>115.15238317757007</v>
      </c>
      <c r="V91" s="1">
        <v>462.5</v>
      </c>
      <c r="X91" s="1">
        <f t="shared" si="6"/>
        <v>34295.4</v>
      </c>
      <c r="AA91" s="1">
        <v>10.428611562326401</v>
      </c>
    </row>
    <row r="92" spans="1:27" s="1" customFormat="1" x14ac:dyDescent="0.25">
      <c r="A92" s="48"/>
      <c r="B92" s="7"/>
      <c r="C92" s="3">
        <v>41208</v>
      </c>
      <c r="D92" s="1">
        <v>9.6999999999999993</v>
      </c>
      <c r="E92" s="1">
        <v>8.1</v>
      </c>
      <c r="F92" s="1">
        <v>11.2</v>
      </c>
      <c r="G92" s="1">
        <f t="shared" si="2"/>
        <v>612.99999999999989</v>
      </c>
      <c r="J92" s="1">
        <v>17.899999999999999</v>
      </c>
      <c r="K92" s="1">
        <f t="shared" si="3"/>
        <v>169.99999999999997</v>
      </c>
      <c r="L92" s="1">
        <v>0.4</v>
      </c>
      <c r="M92" s="1">
        <f t="shared" si="4"/>
        <v>68.300000000000011</v>
      </c>
      <c r="N92" s="1">
        <v>17.5</v>
      </c>
      <c r="O92" s="1">
        <f t="shared" si="7"/>
        <v>117.90000000000002</v>
      </c>
      <c r="P92" s="1">
        <v>45</v>
      </c>
      <c r="Q92" s="1">
        <f t="shared" si="8"/>
        <v>0.56261682242990652</v>
      </c>
      <c r="R92" s="9">
        <f t="shared" si="0"/>
        <v>0.22504672897196262</v>
      </c>
      <c r="S92" s="9">
        <f t="shared" si="1"/>
        <v>17.674953271028038</v>
      </c>
      <c r="T92" s="9">
        <f t="shared" si="5"/>
        <v>122.1</v>
      </c>
      <c r="V92" s="1">
        <v>138</v>
      </c>
      <c r="X92" s="1">
        <f t="shared" si="6"/>
        <v>34433.4</v>
      </c>
      <c r="AA92" s="1">
        <v>10.375563814700399</v>
      </c>
    </row>
    <row r="93" spans="1:27" s="1" customFormat="1" x14ac:dyDescent="0.25">
      <c r="A93" s="48"/>
      <c r="B93" s="7"/>
      <c r="C93" s="3">
        <v>41209</v>
      </c>
      <c r="D93" s="1">
        <v>4.0999999999999996</v>
      </c>
      <c r="E93" s="1">
        <v>3.1</v>
      </c>
      <c r="F93" s="1">
        <v>5.2</v>
      </c>
      <c r="G93" s="1">
        <f t="shared" si="2"/>
        <v>617.09999999999991</v>
      </c>
      <c r="J93" s="1">
        <v>0.3</v>
      </c>
      <c r="K93" s="1">
        <f t="shared" si="3"/>
        <v>170.29999999999998</v>
      </c>
      <c r="L93" s="1">
        <v>0.8</v>
      </c>
      <c r="M93" s="1">
        <f t="shared" si="4"/>
        <v>69.100000000000009</v>
      </c>
      <c r="N93" s="1">
        <v>-0.5</v>
      </c>
      <c r="O93" s="1">
        <f t="shared" si="7"/>
        <v>117.40000000000002</v>
      </c>
      <c r="P93" s="1">
        <v>46</v>
      </c>
      <c r="Q93" s="1">
        <f t="shared" si="8"/>
        <v>0.56869158878504666</v>
      </c>
      <c r="R93" s="9">
        <f t="shared" si="0"/>
        <v>0.45495327102803734</v>
      </c>
      <c r="S93" s="9">
        <f t="shared" si="1"/>
        <v>-0.15495327102803735</v>
      </c>
      <c r="T93" s="9">
        <f t="shared" si="5"/>
        <v>121.94504672897196</v>
      </c>
      <c r="V93" s="1">
        <v>199.6</v>
      </c>
      <c r="X93" s="1">
        <f t="shared" si="6"/>
        <v>34633</v>
      </c>
      <c r="AA93" s="1">
        <v>10.3227834331477</v>
      </c>
    </row>
    <row r="94" spans="1:27" s="1" customFormat="1" x14ac:dyDescent="0.25">
      <c r="A94" s="48"/>
      <c r="B94" s="7"/>
      <c r="C94" s="3">
        <v>41210</v>
      </c>
      <c r="D94" s="1">
        <v>2.2000000000000002</v>
      </c>
      <c r="E94" s="1">
        <v>0.8</v>
      </c>
      <c r="F94" s="1">
        <v>6.1</v>
      </c>
      <c r="G94" s="1">
        <f t="shared" si="2"/>
        <v>619.29999999999995</v>
      </c>
      <c r="J94" s="1">
        <v>0</v>
      </c>
      <c r="K94" s="1">
        <f t="shared" si="3"/>
        <v>170.29999999999998</v>
      </c>
      <c r="L94" s="1">
        <v>1.8</v>
      </c>
      <c r="M94" s="1">
        <f t="shared" si="4"/>
        <v>70.900000000000006</v>
      </c>
      <c r="N94" s="1">
        <v>-1.8</v>
      </c>
      <c r="O94" s="1">
        <f t="shared" si="7"/>
        <v>115.60000000000002</v>
      </c>
      <c r="P94" s="1">
        <v>47</v>
      </c>
      <c r="Q94" s="1">
        <f t="shared" si="8"/>
        <v>0.57476635514018692</v>
      </c>
      <c r="R94" s="9">
        <f t="shared" si="0"/>
        <v>1.0345794392523364</v>
      </c>
      <c r="S94" s="9">
        <f t="shared" si="1"/>
        <v>-1.0345794392523364</v>
      </c>
      <c r="T94" s="9">
        <f t="shared" si="5"/>
        <v>120.91046728971962</v>
      </c>
      <c r="V94" s="1">
        <v>636.9</v>
      </c>
      <c r="X94" s="1">
        <f t="shared" si="6"/>
        <v>35269.9</v>
      </c>
      <c r="AA94" s="1">
        <v>10.2702856307623</v>
      </c>
    </row>
    <row r="95" spans="1:27" s="1" customFormat="1" x14ac:dyDescent="0.25">
      <c r="A95" s="48"/>
      <c r="B95" s="7"/>
      <c r="C95" s="3">
        <v>41211</v>
      </c>
      <c r="D95" s="1">
        <v>1</v>
      </c>
      <c r="E95" s="1">
        <v>-4.0999999999999996</v>
      </c>
      <c r="F95" s="1">
        <v>7.8</v>
      </c>
      <c r="G95" s="1">
        <f t="shared" si="2"/>
        <v>620.29999999999995</v>
      </c>
      <c r="J95" s="1">
        <v>0</v>
      </c>
      <c r="K95" s="1">
        <f t="shared" si="3"/>
        <v>170.29999999999998</v>
      </c>
      <c r="L95" s="1">
        <v>0.6</v>
      </c>
      <c r="M95" s="1">
        <f t="shared" si="4"/>
        <v>71.5</v>
      </c>
      <c r="N95" s="1">
        <v>-0.6</v>
      </c>
      <c r="O95" s="1">
        <f t="shared" si="7"/>
        <v>115.00000000000003</v>
      </c>
      <c r="P95" s="1">
        <v>48</v>
      </c>
      <c r="Q95" s="1">
        <f t="shared" si="8"/>
        <v>0.58084112149532707</v>
      </c>
      <c r="R95" s="9">
        <f t="shared" si="0"/>
        <v>0.34850467289719622</v>
      </c>
      <c r="S95" s="9">
        <f t="shared" si="1"/>
        <v>-0.34850467289719622</v>
      </c>
      <c r="T95" s="9">
        <f t="shared" si="5"/>
        <v>120.56196261682243</v>
      </c>
      <c r="V95" s="1">
        <v>544.5</v>
      </c>
      <c r="X95" s="1">
        <f t="shared" si="6"/>
        <v>35814.400000000001</v>
      </c>
      <c r="AA95" s="1">
        <v>10.218086184709801</v>
      </c>
    </row>
    <row r="96" spans="1:27" s="1" customFormat="1" x14ac:dyDescent="0.25">
      <c r="A96" s="48"/>
      <c r="B96" s="7"/>
      <c r="C96" s="3">
        <v>41212</v>
      </c>
      <c r="D96" s="1">
        <v>2.2999999999999998</v>
      </c>
      <c r="E96" s="1">
        <v>-1.9</v>
      </c>
      <c r="F96" s="1">
        <v>10.1</v>
      </c>
      <c r="G96" s="1">
        <f t="shared" si="2"/>
        <v>622.59999999999991</v>
      </c>
      <c r="J96" s="1">
        <v>0</v>
      </c>
      <c r="K96" s="1">
        <f t="shared" si="3"/>
        <v>170.29999999999998</v>
      </c>
      <c r="L96" s="1">
        <v>1.1000000000000001</v>
      </c>
      <c r="M96" s="1">
        <f t="shared" si="4"/>
        <v>72.599999999999994</v>
      </c>
      <c r="N96" s="1">
        <v>-1.1000000000000001</v>
      </c>
      <c r="O96" s="1">
        <f t="shared" si="7"/>
        <v>113.90000000000003</v>
      </c>
      <c r="P96" s="1">
        <v>49</v>
      </c>
      <c r="Q96" s="1">
        <f t="shared" si="8"/>
        <v>0.58691588785046722</v>
      </c>
      <c r="R96" s="9">
        <f t="shared" si="0"/>
        <v>0.64560747663551399</v>
      </c>
      <c r="S96" s="9">
        <f t="shared" si="1"/>
        <v>-0.64560747663551399</v>
      </c>
      <c r="T96" s="9">
        <f t="shared" si="5"/>
        <v>119.91635514018691</v>
      </c>
      <c r="V96" s="1">
        <v>976</v>
      </c>
      <c r="X96" s="1">
        <f t="shared" si="6"/>
        <v>36790.400000000001</v>
      </c>
      <c r="AA96" s="1">
        <v>10.166201447045999</v>
      </c>
    </row>
    <row r="97" spans="1:27" s="1" customFormat="1" x14ac:dyDescent="0.25">
      <c r="A97" s="48"/>
      <c r="B97" s="7"/>
      <c r="C97" s="3">
        <v>41213</v>
      </c>
      <c r="D97" s="1">
        <v>2.8</v>
      </c>
      <c r="E97" s="1">
        <v>-2.8</v>
      </c>
      <c r="F97" s="1">
        <v>8.3000000000000007</v>
      </c>
      <c r="G97" s="1">
        <f t="shared" si="2"/>
        <v>625.39999999999986</v>
      </c>
      <c r="J97" s="1">
        <v>0</v>
      </c>
      <c r="K97" s="1">
        <f t="shared" si="3"/>
        <v>170.29999999999998</v>
      </c>
      <c r="L97" s="1">
        <v>0.5</v>
      </c>
      <c r="M97" s="1">
        <f t="shared" si="4"/>
        <v>73.099999999999994</v>
      </c>
      <c r="N97" s="1">
        <v>-0.5</v>
      </c>
      <c r="O97" s="1">
        <f t="shared" si="7"/>
        <v>113.40000000000003</v>
      </c>
      <c r="P97" s="1">
        <v>50</v>
      </c>
      <c r="Q97" s="1">
        <f t="shared" si="8"/>
        <v>0.59299065420560748</v>
      </c>
      <c r="R97" s="9">
        <f t="shared" si="0"/>
        <v>0.29649532710280374</v>
      </c>
      <c r="S97" s="9">
        <f t="shared" si="1"/>
        <v>-0.29649532710280374</v>
      </c>
      <c r="T97" s="9">
        <f t="shared" si="5"/>
        <v>119.6198598130841</v>
      </c>
      <c r="V97" s="1">
        <v>545.6</v>
      </c>
      <c r="X97" s="1">
        <f t="shared" si="6"/>
        <v>37336</v>
      </c>
      <c r="AA97" s="1">
        <v>10.114648354455101</v>
      </c>
    </row>
    <row r="98" spans="1:27" s="1" customFormat="1" x14ac:dyDescent="0.25">
      <c r="A98" s="48"/>
      <c r="B98" s="7"/>
      <c r="C98" s="3">
        <v>41214</v>
      </c>
      <c r="D98" s="1">
        <v>6</v>
      </c>
      <c r="E98" s="1">
        <v>2.2999999999999998</v>
      </c>
      <c r="F98" s="1">
        <v>9</v>
      </c>
      <c r="G98" s="1">
        <f t="shared" si="2"/>
        <v>631.39999999999986</v>
      </c>
      <c r="J98" s="1">
        <v>3.2</v>
      </c>
      <c r="K98" s="1">
        <f t="shared" si="3"/>
        <v>173.49999999999997</v>
      </c>
      <c r="L98" s="1">
        <v>0.5</v>
      </c>
      <c r="M98" s="1">
        <f t="shared" si="4"/>
        <v>73.599999999999994</v>
      </c>
      <c r="N98" s="1">
        <v>2.7</v>
      </c>
      <c r="O98" s="1">
        <f t="shared" si="7"/>
        <v>116.10000000000004</v>
      </c>
      <c r="P98" s="1">
        <v>51</v>
      </c>
      <c r="Q98" s="1">
        <f t="shared" si="8"/>
        <v>0.59906542056074763</v>
      </c>
      <c r="R98" s="9">
        <f t="shared" si="0"/>
        <v>0.29953271028037382</v>
      </c>
      <c r="S98" s="9">
        <f t="shared" si="1"/>
        <v>2.9004672897196264</v>
      </c>
      <c r="T98" s="9">
        <f t="shared" si="5"/>
        <v>122.1</v>
      </c>
      <c r="V98" s="1">
        <v>165.3</v>
      </c>
      <c r="X98" s="1">
        <f t="shared" si="6"/>
        <v>37501.300000000003</v>
      </c>
      <c r="AA98" s="1">
        <v>10.0634444367965</v>
      </c>
    </row>
    <row r="99" spans="1:27" s="1" customFormat="1" x14ac:dyDescent="0.25">
      <c r="A99" s="48"/>
      <c r="B99" s="7"/>
      <c r="C99" s="3">
        <v>41215</v>
      </c>
      <c r="D99" s="1">
        <v>9.8000000000000007</v>
      </c>
      <c r="E99" s="1">
        <v>6.7</v>
      </c>
      <c r="F99" s="1">
        <v>12.3</v>
      </c>
      <c r="G99" s="1">
        <f t="shared" si="2"/>
        <v>641.19999999999982</v>
      </c>
      <c r="J99" s="1">
        <v>12.2</v>
      </c>
      <c r="K99" s="1">
        <f t="shared" si="3"/>
        <v>185.69999999999996</v>
      </c>
      <c r="L99" s="1">
        <v>1.4</v>
      </c>
      <c r="M99" s="1">
        <f t="shared" si="4"/>
        <v>75</v>
      </c>
      <c r="N99" s="1">
        <v>10.799999999999999</v>
      </c>
      <c r="O99" s="1">
        <v>122.1</v>
      </c>
      <c r="P99" s="1">
        <v>52</v>
      </c>
      <c r="Q99" s="1">
        <f t="shared" si="8"/>
        <v>0.60514018691588789</v>
      </c>
      <c r="R99" s="9">
        <f t="shared" si="0"/>
        <v>0.84719626168224305</v>
      </c>
      <c r="S99" s="9">
        <f t="shared" si="1"/>
        <v>11.352803738317757</v>
      </c>
      <c r="T99" s="9">
        <f t="shared" si="5"/>
        <v>122.1</v>
      </c>
      <c r="V99" s="1">
        <v>205.2</v>
      </c>
      <c r="X99" s="1">
        <f t="shared" si="6"/>
        <v>37706.5</v>
      </c>
      <c r="AA99" s="1">
        <v>10.0126078243393</v>
      </c>
    </row>
    <row r="100" spans="1:27" s="1" customFormat="1" x14ac:dyDescent="0.25">
      <c r="A100" s="48"/>
      <c r="B100" s="7"/>
      <c r="C100" s="3">
        <v>41216</v>
      </c>
      <c r="D100" s="1">
        <v>13.5</v>
      </c>
      <c r="E100" s="1">
        <v>10</v>
      </c>
      <c r="F100" s="1">
        <v>17.2</v>
      </c>
      <c r="G100" s="1">
        <f t="shared" si="2"/>
        <v>654.69999999999982</v>
      </c>
      <c r="J100" s="1">
        <v>7.7</v>
      </c>
      <c r="K100" s="1">
        <f t="shared" si="3"/>
        <v>193.39999999999995</v>
      </c>
      <c r="L100" s="1">
        <v>2</v>
      </c>
      <c r="M100" s="1">
        <f t="shared" si="4"/>
        <v>77</v>
      </c>
      <c r="N100" s="1">
        <v>5.7</v>
      </c>
      <c r="O100" s="1">
        <v>122.1</v>
      </c>
      <c r="P100" s="1">
        <v>53</v>
      </c>
      <c r="Q100" s="1">
        <f t="shared" si="8"/>
        <v>0.61121495327102804</v>
      </c>
      <c r="R100" s="9">
        <f t="shared" si="0"/>
        <v>1.2224299065420561</v>
      </c>
      <c r="S100" s="9">
        <f t="shared" si="1"/>
        <v>6.4775700934579437</v>
      </c>
      <c r="T100" s="9">
        <f t="shared" si="5"/>
        <v>122.1</v>
      </c>
      <c r="V100" s="1">
        <v>183.1</v>
      </c>
      <c r="X100" s="1">
        <f t="shared" si="6"/>
        <v>37889.599999999999</v>
      </c>
      <c r="AA100" s="1">
        <v>9.9621572535609193</v>
      </c>
    </row>
    <row r="101" spans="1:27" s="1" customFormat="1" x14ac:dyDescent="0.25">
      <c r="A101" s="48"/>
      <c r="B101" s="7"/>
      <c r="C101" s="3">
        <v>41217</v>
      </c>
      <c r="D101" s="1">
        <v>10.5</v>
      </c>
      <c r="E101" s="1">
        <v>8.6999999999999993</v>
      </c>
      <c r="F101" s="1">
        <v>13.9</v>
      </c>
      <c r="G101" s="1">
        <f t="shared" si="2"/>
        <v>665.19999999999982</v>
      </c>
      <c r="J101" s="1">
        <v>8.5</v>
      </c>
      <c r="K101" s="1">
        <f t="shared" si="3"/>
        <v>201.89999999999995</v>
      </c>
      <c r="L101" s="1">
        <v>0.6</v>
      </c>
      <c r="M101" s="1">
        <f t="shared" si="4"/>
        <v>77.599999999999994</v>
      </c>
      <c r="N101" s="1">
        <v>7.9</v>
      </c>
      <c r="O101" s="1">
        <v>122.1</v>
      </c>
      <c r="P101" s="1">
        <v>54</v>
      </c>
      <c r="Q101" s="1">
        <f t="shared" si="8"/>
        <v>0.61728971962616819</v>
      </c>
      <c r="R101" s="9">
        <f t="shared" si="0"/>
        <v>0.37037383177570088</v>
      </c>
      <c r="S101" s="9">
        <f t="shared" si="1"/>
        <v>8.1296261682242985</v>
      </c>
      <c r="T101" s="9">
        <f t="shared" si="5"/>
        <v>122.1</v>
      </c>
      <c r="V101" s="1">
        <v>270.8</v>
      </c>
      <c r="X101" s="1">
        <f t="shared" si="6"/>
        <v>38160.400000000001</v>
      </c>
      <c r="AA101" s="1">
        <v>9.9121120713802107</v>
      </c>
    </row>
    <row r="102" spans="1:27" s="1" customFormat="1" x14ac:dyDescent="0.25">
      <c r="A102" s="48"/>
      <c r="B102" s="7"/>
      <c r="C102" s="3">
        <v>41218</v>
      </c>
      <c r="D102" s="1">
        <v>7.9</v>
      </c>
      <c r="E102" s="1">
        <v>5.9</v>
      </c>
      <c r="F102" s="1">
        <v>10.3</v>
      </c>
      <c r="G102" s="1">
        <f t="shared" si="2"/>
        <v>673.0999999999998</v>
      </c>
      <c r="J102" s="1">
        <v>4.2</v>
      </c>
      <c r="K102" s="1">
        <f t="shared" si="3"/>
        <v>206.09999999999994</v>
      </c>
      <c r="L102" s="1">
        <v>0.5</v>
      </c>
      <c r="M102" s="1">
        <f t="shared" si="4"/>
        <v>78.099999999999994</v>
      </c>
      <c r="N102" s="1">
        <v>3.7</v>
      </c>
      <c r="O102" s="1">
        <v>122.1</v>
      </c>
      <c r="P102" s="1">
        <v>55</v>
      </c>
      <c r="Q102" s="1">
        <f t="shared" si="8"/>
        <v>0.62336448598130834</v>
      </c>
      <c r="R102" s="9">
        <f t="shared" si="0"/>
        <v>0.31168224299065417</v>
      </c>
      <c r="S102" s="9">
        <f t="shared" si="1"/>
        <v>3.8883177570093461</v>
      </c>
      <c r="T102" s="9">
        <f t="shared" si="5"/>
        <v>122.1</v>
      </c>
      <c r="V102" s="1">
        <v>161.6</v>
      </c>
      <c r="X102" s="1">
        <f t="shared" si="6"/>
        <v>38322</v>
      </c>
      <c r="AA102" s="1">
        <v>9.8624922376918391</v>
      </c>
    </row>
    <row r="103" spans="1:27" s="1" customFormat="1" x14ac:dyDescent="0.25">
      <c r="A103" s="48"/>
      <c r="B103" s="7"/>
      <c r="C103" s="3">
        <v>41219</v>
      </c>
      <c r="D103" s="1">
        <v>5.7</v>
      </c>
      <c r="E103" s="1">
        <v>4.7</v>
      </c>
      <c r="F103" s="1">
        <v>9.3000000000000007</v>
      </c>
      <c r="G103" s="1">
        <f t="shared" si="2"/>
        <v>678.79999999999984</v>
      </c>
      <c r="J103" s="1">
        <v>0.2</v>
      </c>
      <c r="K103" s="1">
        <f t="shared" si="3"/>
        <v>206.29999999999993</v>
      </c>
      <c r="L103" s="1">
        <v>0.5</v>
      </c>
      <c r="M103" s="1">
        <f t="shared" si="4"/>
        <v>78.599999999999994</v>
      </c>
      <c r="N103" s="1">
        <v>-0.3</v>
      </c>
      <c r="O103" s="1">
        <f>O102+N103</f>
        <v>121.8</v>
      </c>
      <c r="P103" s="1">
        <v>56</v>
      </c>
      <c r="Q103" s="1">
        <f t="shared" si="8"/>
        <v>0.6294392523364486</v>
      </c>
      <c r="R103" s="9">
        <f t="shared" si="0"/>
        <v>0.3147196261682243</v>
      </c>
      <c r="S103" s="9">
        <f t="shared" si="1"/>
        <v>-0.11471962616822429</v>
      </c>
      <c r="T103" s="9">
        <f t="shared" si="5"/>
        <v>121.98528037383177</v>
      </c>
      <c r="V103" s="1">
        <v>450.5</v>
      </c>
      <c r="X103" s="1">
        <f t="shared" si="6"/>
        <v>38772.5</v>
      </c>
      <c r="AA103" s="1">
        <v>9.8133183260629799</v>
      </c>
    </row>
    <row r="104" spans="1:27" s="1" customFormat="1" x14ac:dyDescent="0.25">
      <c r="A104" s="48"/>
      <c r="B104" s="7"/>
      <c r="C104" s="3">
        <v>41220</v>
      </c>
      <c r="D104" s="1">
        <v>4.9000000000000004</v>
      </c>
      <c r="E104" s="1">
        <v>1.6</v>
      </c>
      <c r="F104" s="1">
        <v>8.5</v>
      </c>
      <c r="G104" s="1">
        <f t="shared" si="2"/>
        <v>683.69999999999982</v>
      </c>
      <c r="J104" s="1">
        <v>0</v>
      </c>
      <c r="K104" s="1">
        <f t="shared" si="3"/>
        <v>206.29999999999993</v>
      </c>
      <c r="L104" s="1">
        <v>0.3</v>
      </c>
      <c r="M104" s="1">
        <f t="shared" si="4"/>
        <v>78.899999999999991</v>
      </c>
      <c r="N104" s="1">
        <v>-0.3</v>
      </c>
      <c r="O104" s="1">
        <f>O103+N104</f>
        <v>121.5</v>
      </c>
      <c r="P104" s="1">
        <v>57</v>
      </c>
      <c r="Q104" s="1">
        <f t="shared" si="8"/>
        <v>0.63551401869158874</v>
      </c>
      <c r="R104" s="9">
        <f t="shared" si="0"/>
        <v>0.19065420560747662</v>
      </c>
      <c r="S104" s="9">
        <f t="shared" si="1"/>
        <v>-0.19065420560747662</v>
      </c>
      <c r="T104" s="9">
        <f t="shared" si="5"/>
        <v>121.7946261682243</v>
      </c>
      <c r="V104" s="1">
        <v>178.7</v>
      </c>
      <c r="X104" s="1">
        <f t="shared" si="6"/>
        <v>38951.199999999997</v>
      </c>
      <c r="AA104" s="1">
        <v>9.7646115224518102</v>
      </c>
    </row>
    <row r="105" spans="1:27" s="1" customFormat="1" x14ac:dyDescent="0.25">
      <c r="A105" s="48"/>
      <c r="B105" s="7"/>
      <c r="C105" s="3">
        <v>41221</v>
      </c>
      <c r="D105" s="1">
        <v>4</v>
      </c>
      <c r="E105" s="1">
        <v>1.7</v>
      </c>
      <c r="F105" s="1">
        <v>6.4</v>
      </c>
      <c r="G105" s="1">
        <f t="shared" si="2"/>
        <v>687.69999999999982</v>
      </c>
      <c r="J105" s="1">
        <v>0</v>
      </c>
      <c r="K105" s="1">
        <f t="shared" si="3"/>
        <v>206.29999999999993</v>
      </c>
      <c r="L105" s="1">
        <v>0.3</v>
      </c>
      <c r="M105" s="1">
        <f t="shared" si="4"/>
        <v>79.199999999999989</v>
      </c>
      <c r="N105" s="1">
        <v>-0.3</v>
      </c>
      <c r="O105" s="1">
        <f>O104+N105</f>
        <v>121.2</v>
      </c>
      <c r="P105" s="1">
        <v>58</v>
      </c>
      <c r="Q105" s="1">
        <f t="shared" si="8"/>
        <v>0.641588785046729</v>
      </c>
      <c r="R105" s="9">
        <f t="shared" si="0"/>
        <v>0.1924766355140187</v>
      </c>
      <c r="S105" s="9">
        <f t="shared" si="1"/>
        <v>-0.1924766355140187</v>
      </c>
      <c r="T105" s="9">
        <f t="shared" si="5"/>
        <v>121.60214953271029</v>
      </c>
      <c r="V105" s="1">
        <v>259.89999999999998</v>
      </c>
      <c r="X105" s="1">
        <f t="shared" si="6"/>
        <v>39211.1</v>
      </c>
      <c r="AA105" s="1">
        <v>9.7163936218036895</v>
      </c>
    </row>
    <row r="106" spans="1:27" s="1" customFormat="1" x14ac:dyDescent="0.25">
      <c r="A106" s="48"/>
      <c r="B106" s="7"/>
      <c r="C106" s="3">
        <v>41222</v>
      </c>
      <c r="D106" s="1">
        <v>4.5999999999999996</v>
      </c>
      <c r="E106" s="1">
        <v>0.7</v>
      </c>
      <c r="F106" s="1">
        <v>10.6</v>
      </c>
      <c r="G106" s="1">
        <f t="shared" si="2"/>
        <v>692.29999999999984</v>
      </c>
      <c r="J106" s="1">
        <v>6.5</v>
      </c>
      <c r="K106" s="1">
        <f t="shared" si="3"/>
        <v>212.79999999999993</v>
      </c>
      <c r="L106" s="1">
        <v>0.7</v>
      </c>
      <c r="M106" s="1">
        <f t="shared" si="4"/>
        <v>79.899999999999991</v>
      </c>
      <c r="N106" s="1">
        <v>5.8</v>
      </c>
      <c r="O106" s="1">
        <v>122.1</v>
      </c>
      <c r="P106" s="1">
        <v>59</v>
      </c>
      <c r="Q106" s="1">
        <f t="shared" si="8"/>
        <v>0.64766355140186915</v>
      </c>
      <c r="R106" s="9">
        <f t="shared" si="0"/>
        <v>0.45336448598130835</v>
      </c>
      <c r="S106" s="9">
        <f t="shared" si="1"/>
        <v>6.0466355140186918</v>
      </c>
      <c r="T106" s="9">
        <f t="shared" si="5"/>
        <v>122.1</v>
      </c>
      <c r="V106" s="1">
        <v>392.2</v>
      </c>
      <c r="X106" s="1">
        <f t="shared" si="6"/>
        <v>39603.299999999996</v>
      </c>
      <c r="AA106" s="1">
        <v>9.6686870223797605</v>
      </c>
    </row>
    <row r="107" spans="1:27" s="1" customFormat="1" x14ac:dyDescent="0.25">
      <c r="A107" s="48"/>
      <c r="B107" s="7"/>
      <c r="C107" s="3">
        <v>41223</v>
      </c>
      <c r="D107" s="1">
        <v>10.9</v>
      </c>
      <c r="E107" s="1">
        <v>7.2</v>
      </c>
      <c r="F107" s="1">
        <v>12.1</v>
      </c>
      <c r="G107" s="1">
        <f t="shared" si="2"/>
        <v>703.19999999999982</v>
      </c>
      <c r="J107" s="1">
        <v>12.1</v>
      </c>
      <c r="K107" s="1">
        <f t="shared" si="3"/>
        <v>224.89999999999992</v>
      </c>
      <c r="L107" s="1">
        <v>0.2</v>
      </c>
      <c r="M107" s="1">
        <f t="shared" si="4"/>
        <v>80.099999999999994</v>
      </c>
      <c r="N107" s="1">
        <v>11.9</v>
      </c>
      <c r="O107" s="1">
        <v>122.1</v>
      </c>
      <c r="P107" s="1">
        <v>60</v>
      </c>
      <c r="Q107" s="1">
        <f t="shared" si="8"/>
        <v>0.6537383177570093</v>
      </c>
      <c r="R107" s="9">
        <f t="shared" si="0"/>
        <v>0.13074766355140185</v>
      </c>
      <c r="S107" s="9">
        <f t="shared" si="1"/>
        <v>11.969252336448598</v>
      </c>
      <c r="T107" s="9">
        <f t="shared" si="5"/>
        <v>122.1</v>
      </c>
      <c r="V107" s="1">
        <v>123.2</v>
      </c>
      <c r="X107" s="1">
        <f t="shared" si="6"/>
        <v>39726.499999999993</v>
      </c>
      <c r="AA107" s="1">
        <v>9.6215147176715501</v>
      </c>
    </row>
    <row r="108" spans="1:27" s="1" customFormat="1" x14ac:dyDescent="0.25">
      <c r="A108" s="48"/>
      <c r="B108" s="7"/>
      <c r="C108" s="3">
        <v>41224</v>
      </c>
      <c r="D108" s="1">
        <v>8.6999999999999993</v>
      </c>
      <c r="E108" s="1">
        <v>7.3</v>
      </c>
      <c r="F108" s="1">
        <v>10.4</v>
      </c>
      <c r="G108" s="1">
        <f t="shared" si="2"/>
        <v>711.89999999999986</v>
      </c>
      <c r="J108" s="1">
        <v>0</v>
      </c>
      <c r="K108" s="1">
        <f t="shared" si="3"/>
        <v>224.89999999999992</v>
      </c>
      <c r="L108" s="1">
        <v>0.4</v>
      </c>
      <c r="M108" s="1">
        <f t="shared" si="4"/>
        <v>80.5</v>
      </c>
      <c r="N108" s="1">
        <v>-0.4</v>
      </c>
      <c r="O108" s="1">
        <f t="shared" ref="O108:O121" si="9">O107+N108</f>
        <v>121.69999999999999</v>
      </c>
      <c r="P108" s="1">
        <v>61</v>
      </c>
      <c r="Q108" s="1">
        <f t="shared" si="8"/>
        <v>0.65981308411214945</v>
      </c>
      <c r="R108" s="9">
        <f t="shared" si="0"/>
        <v>0.26392523364485981</v>
      </c>
      <c r="S108" s="9">
        <f t="shared" si="1"/>
        <v>-0.26392523364485981</v>
      </c>
      <c r="T108" s="9">
        <f t="shared" si="5"/>
        <v>121.83607476635514</v>
      </c>
      <c r="V108" s="1">
        <v>482.1</v>
      </c>
      <c r="X108" s="1">
        <f t="shared" si="6"/>
        <v>40208.599999999991</v>
      </c>
      <c r="AA108" s="1">
        <v>9.5749002857564101</v>
      </c>
    </row>
    <row r="109" spans="1:27" s="1" customFormat="1" x14ac:dyDescent="0.25">
      <c r="A109" s="48"/>
      <c r="B109" s="7"/>
      <c r="C109" s="3">
        <v>41225</v>
      </c>
      <c r="D109" s="1">
        <v>4.7</v>
      </c>
      <c r="E109" s="1">
        <v>1.7</v>
      </c>
      <c r="F109" s="1">
        <v>7.4</v>
      </c>
      <c r="G109" s="1">
        <f t="shared" si="2"/>
        <v>716.59999999999991</v>
      </c>
      <c r="J109" s="1">
        <v>0</v>
      </c>
      <c r="K109" s="1">
        <f t="shared" si="3"/>
        <v>224.89999999999992</v>
      </c>
      <c r="L109" s="1">
        <v>0.2</v>
      </c>
      <c r="M109" s="1">
        <f t="shared" si="4"/>
        <v>80.7</v>
      </c>
      <c r="N109" s="1">
        <v>-0.2</v>
      </c>
      <c r="O109" s="1">
        <f t="shared" si="9"/>
        <v>121.49999999999999</v>
      </c>
      <c r="P109" s="1">
        <v>62</v>
      </c>
      <c r="Q109" s="1">
        <f t="shared" si="8"/>
        <v>0.66588785046728971</v>
      </c>
      <c r="R109" s="9">
        <f t="shared" si="0"/>
        <v>0.13317757009345796</v>
      </c>
      <c r="S109" s="9">
        <f t="shared" si="1"/>
        <v>-0.13317757009345796</v>
      </c>
      <c r="T109" s="9">
        <f t="shared" si="5"/>
        <v>121.70289719626169</v>
      </c>
      <c r="V109" s="1">
        <v>314</v>
      </c>
      <c r="X109" s="1">
        <f t="shared" si="6"/>
        <v>40522.599999999991</v>
      </c>
      <c r="AA109" s="1">
        <v>9.52886787594983</v>
      </c>
    </row>
    <row r="110" spans="1:27" s="1" customFormat="1" x14ac:dyDescent="0.25">
      <c r="A110" s="48"/>
      <c r="B110" s="7"/>
      <c r="C110" s="3">
        <v>41226</v>
      </c>
      <c r="D110" s="1">
        <v>5.3</v>
      </c>
      <c r="E110" s="1">
        <v>2.7</v>
      </c>
      <c r="F110" s="1">
        <v>7.9</v>
      </c>
      <c r="G110" s="1">
        <f t="shared" si="2"/>
        <v>721.89999999999986</v>
      </c>
      <c r="J110" s="1">
        <v>0</v>
      </c>
      <c r="K110" s="1">
        <f t="shared" si="3"/>
        <v>224.89999999999992</v>
      </c>
      <c r="L110" s="1">
        <v>0.6</v>
      </c>
      <c r="M110" s="1">
        <f t="shared" si="4"/>
        <v>81.3</v>
      </c>
      <c r="N110" s="1">
        <v>-0.6</v>
      </c>
      <c r="O110" s="1">
        <f t="shared" si="9"/>
        <v>120.89999999999999</v>
      </c>
      <c r="P110" s="1">
        <v>63</v>
      </c>
      <c r="Q110" s="1">
        <f t="shared" si="8"/>
        <v>0.67196261682242997</v>
      </c>
      <c r="R110" s="9">
        <f t="shared" si="0"/>
        <v>0.40317757009345795</v>
      </c>
      <c r="S110" s="9">
        <f t="shared" si="1"/>
        <v>-0.40317757009345795</v>
      </c>
      <c r="T110" s="9">
        <f t="shared" si="5"/>
        <v>121.29971962616823</v>
      </c>
      <c r="V110" s="1">
        <v>430.3</v>
      </c>
      <c r="X110" s="1">
        <f t="shared" si="6"/>
        <v>40952.899999999994</v>
      </c>
      <c r="AA110" s="1">
        <v>9.4834421926144294</v>
      </c>
    </row>
    <row r="111" spans="1:27" s="1" customFormat="1" x14ac:dyDescent="0.25">
      <c r="A111" s="48"/>
      <c r="B111" s="7"/>
      <c r="C111" s="3">
        <v>41227</v>
      </c>
      <c r="D111" s="1">
        <v>4.7</v>
      </c>
      <c r="E111" s="1">
        <v>4.3</v>
      </c>
      <c r="F111" s="1">
        <v>5</v>
      </c>
      <c r="G111" s="1">
        <f t="shared" si="2"/>
        <v>726.59999999999991</v>
      </c>
      <c r="J111" s="1">
        <v>0</v>
      </c>
      <c r="K111" s="1">
        <f t="shared" si="3"/>
        <v>224.89999999999992</v>
      </c>
      <c r="L111" s="1">
        <v>0.7</v>
      </c>
      <c r="M111" s="1">
        <f t="shared" si="4"/>
        <v>82</v>
      </c>
      <c r="N111" s="1">
        <v>-0.7</v>
      </c>
      <c r="O111" s="1">
        <f t="shared" si="9"/>
        <v>120.19999999999999</v>
      </c>
      <c r="P111" s="1">
        <v>64</v>
      </c>
      <c r="Q111" s="1">
        <f t="shared" si="8"/>
        <v>0.67803738317757012</v>
      </c>
      <c r="R111" s="9">
        <f t="shared" si="0"/>
        <v>0.47462616822429904</v>
      </c>
      <c r="S111" s="9">
        <f t="shared" si="1"/>
        <v>-0.47462616822429904</v>
      </c>
      <c r="T111" s="9">
        <f t="shared" si="5"/>
        <v>120.82509345794392</v>
      </c>
      <c r="V111" s="1">
        <v>293.2</v>
      </c>
      <c r="X111" s="1">
        <f t="shared" si="6"/>
        <v>41246.099999999991</v>
      </c>
      <c r="AA111" s="1">
        <v>9.4386484759901403</v>
      </c>
    </row>
    <row r="112" spans="1:27" s="1" customFormat="1" x14ac:dyDescent="0.25">
      <c r="A112" s="48"/>
      <c r="B112" s="7"/>
      <c r="C112" s="3">
        <v>41228</v>
      </c>
      <c r="D112" s="1">
        <v>4</v>
      </c>
      <c r="E112" s="1">
        <v>3.1</v>
      </c>
      <c r="F112" s="1">
        <v>4.9000000000000004</v>
      </c>
      <c r="G112" s="1">
        <f t="shared" si="2"/>
        <v>730.59999999999991</v>
      </c>
      <c r="J112" s="1">
        <v>0.3</v>
      </c>
      <c r="K112" s="1">
        <f t="shared" si="3"/>
        <v>225.19999999999993</v>
      </c>
      <c r="L112" s="1">
        <v>0.6</v>
      </c>
      <c r="M112" s="1">
        <f t="shared" si="4"/>
        <v>82.6</v>
      </c>
      <c r="N112" s="1">
        <v>-0.3</v>
      </c>
      <c r="O112" s="1">
        <f t="shared" si="9"/>
        <v>119.89999999999999</v>
      </c>
      <c r="P112" s="1">
        <v>65</v>
      </c>
      <c r="Q112" s="1">
        <f t="shared" si="8"/>
        <v>0.68411214953271027</v>
      </c>
      <c r="R112" s="9">
        <f t="shared" ref="R112:R175" si="10">Q112*L112</f>
        <v>0.41046728971962615</v>
      </c>
      <c r="S112" s="9">
        <f t="shared" ref="S112:S175" si="11">J112-R112</f>
        <v>-0.11046728971962616</v>
      </c>
      <c r="T112" s="9">
        <f t="shared" si="5"/>
        <v>120.7146261682243</v>
      </c>
      <c r="V112" s="1">
        <v>191.1</v>
      </c>
      <c r="X112" s="1">
        <f t="shared" si="6"/>
        <v>41437.19999999999</v>
      </c>
      <c r="AA112" s="1">
        <v>9.3945124799168305</v>
      </c>
    </row>
    <row r="113" spans="1:27" s="1" customFormat="1" x14ac:dyDescent="0.25">
      <c r="A113" s="48"/>
      <c r="B113" s="7"/>
      <c r="C113" s="3">
        <v>41229</v>
      </c>
      <c r="D113" s="1">
        <v>4.5</v>
      </c>
      <c r="E113" s="1">
        <v>3.2</v>
      </c>
      <c r="F113" s="1">
        <v>5.9</v>
      </c>
      <c r="G113" s="1">
        <f t="shared" si="2"/>
        <v>735.09999999999991</v>
      </c>
      <c r="J113" s="1">
        <v>0.3</v>
      </c>
      <c r="K113" s="1">
        <f t="shared" si="3"/>
        <v>225.49999999999994</v>
      </c>
      <c r="L113" s="1">
        <v>0.8</v>
      </c>
      <c r="M113" s="1">
        <f t="shared" si="4"/>
        <v>83.399999999999991</v>
      </c>
      <c r="N113" s="1">
        <v>-0.5</v>
      </c>
      <c r="O113" s="1">
        <f t="shared" si="9"/>
        <v>119.39999999999999</v>
      </c>
      <c r="P113" s="1">
        <v>66</v>
      </c>
      <c r="Q113" s="1">
        <f t="shared" si="8"/>
        <v>0.69018691588785042</v>
      </c>
      <c r="R113" s="9">
        <f t="shared" si="10"/>
        <v>0.55214953271028033</v>
      </c>
      <c r="S113" s="9">
        <f t="shared" si="11"/>
        <v>-0.25214953271028034</v>
      </c>
      <c r="T113" s="9">
        <f t="shared" si="5"/>
        <v>120.46247663551402</v>
      </c>
      <c r="V113" s="1">
        <v>356.7</v>
      </c>
      <c r="X113" s="1">
        <f t="shared" si="6"/>
        <v>41793.899999999987</v>
      </c>
      <c r="AA113" s="1">
        <v>9.3510604463292104</v>
      </c>
    </row>
    <row r="114" spans="1:27" s="1" customFormat="1" x14ac:dyDescent="0.25">
      <c r="A114" s="48"/>
      <c r="B114" s="7"/>
      <c r="C114" s="3">
        <v>41230</v>
      </c>
      <c r="D114" s="1">
        <v>6.6</v>
      </c>
      <c r="E114" s="1">
        <v>5.4</v>
      </c>
      <c r="F114" s="1">
        <v>9.9</v>
      </c>
      <c r="G114" s="1">
        <f t="shared" ref="G114:G171" si="12">G113+D114</f>
        <v>741.69999999999993</v>
      </c>
      <c r="J114" s="1">
        <v>0.1</v>
      </c>
      <c r="K114" s="1">
        <f t="shared" ref="K114:K177" si="13">K113+J114</f>
        <v>225.59999999999994</v>
      </c>
      <c r="L114" s="1">
        <v>0.5</v>
      </c>
      <c r="M114" s="1">
        <f t="shared" ref="M114:M177" si="14">M113+L114</f>
        <v>83.899999999999991</v>
      </c>
      <c r="N114" s="1">
        <v>-0.4</v>
      </c>
      <c r="O114" s="1">
        <f t="shared" si="9"/>
        <v>118.99999999999999</v>
      </c>
      <c r="P114" s="1">
        <v>67</v>
      </c>
      <c r="Q114" s="1">
        <f t="shared" si="8"/>
        <v>0.69626168224299056</v>
      </c>
      <c r="R114" s="9">
        <f t="shared" si="10"/>
        <v>0.34813084112149528</v>
      </c>
      <c r="S114" s="9">
        <f t="shared" si="11"/>
        <v>-0.24813084112149528</v>
      </c>
      <c r="T114" s="9">
        <f t="shared" ref="T114:T177" si="15">MIN(122.1,(T113+S114))</f>
        <v>120.21434579439253</v>
      </c>
      <c r="V114" s="1">
        <v>279.5</v>
      </c>
      <c r="X114" s="1">
        <f t="shared" ref="X114:X177" si="16">X113+V114</f>
        <v>42073.399999999987</v>
      </c>
      <c r="AA114" s="1">
        <v>9.30831907641425</v>
      </c>
    </row>
    <row r="115" spans="1:27" s="1" customFormat="1" x14ac:dyDescent="0.25">
      <c r="A115" s="48"/>
      <c r="B115" s="7"/>
      <c r="C115" s="3">
        <v>41231</v>
      </c>
      <c r="D115" s="1">
        <v>7.2</v>
      </c>
      <c r="E115" s="1">
        <v>4.7</v>
      </c>
      <c r="F115" s="1">
        <v>12.6</v>
      </c>
      <c r="G115" s="1">
        <f t="shared" si="12"/>
        <v>748.9</v>
      </c>
      <c r="J115" s="1">
        <v>0</v>
      </c>
      <c r="K115" s="1">
        <f t="shared" si="13"/>
        <v>225.59999999999994</v>
      </c>
      <c r="L115" s="1">
        <v>0.5</v>
      </c>
      <c r="M115" s="1">
        <f t="shared" si="14"/>
        <v>84.399999999999991</v>
      </c>
      <c r="N115" s="1">
        <v>-0.5</v>
      </c>
      <c r="O115" s="1">
        <f t="shared" si="9"/>
        <v>118.49999999999999</v>
      </c>
      <c r="P115" s="1">
        <v>68</v>
      </c>
      <c r="Q115" s="1">
        <f t="shared" si="8"/>
        <v>0.70233644859813082</v>
      </c>
      <c r="R115" s="9">
        <f t="shared" si="10"/>
        <v>0.35116822429906541</v>
      </c>
      <c r="S115" s="9">
        <f t="shared" si="11"/>
        <v>-0.35116822429906541</v>
      </c>
      <c r="T115" s="9">
        <f t="shared" si="15"/>
        <v>119.86317757009347</v>
      </c>
      <c r="V115" s="1">
        <v>344.7</v>
      </c>
      <c r="X115" s="1">
        <f t="shared" si="16"/>
        <v>42418.099999999984</v>
      </c>
      <c r="AA115" s="1">
        <v>9.2663154983341602</v>
      </c>
    </row>
    <row r="116" spans="1:27" s="1" customFormat="1" x14ac:dyDescent="0.25">
      <c r="A116" s="48"/>
      <c r="B116" s="7"/>
      <c r="C116" s="3">
        <v>41232</v>
      </c>
      <c r="D116" s="1">
        <v>4.9000000000000004</v>
      </c>
      <c r="E116" s="1">
        <v>2.2999999999999998</v>
      </c>
      <c r="F116" s="1">
        <v>9.4</v>
      </c>
      <c r="G116" s="1">
        <f t="shared" si="12"/>
        <v>753.8</v>
      </c>
      <c r="J116" s="1">
        <v>0.6</v>
      </c>
      <c r="K116" s="1">
        <f t="shared" si="13"/>
        <v>226.19999999999993</v>
      </c>
      <c r="L116" s="1">
        <v>0.9</v>
      </c>
      <c r="M116" s="1">
        <f t="shared" si="14"/>
        <v>85.3</v>
      </c>
      <c r="N116" s="1">
        <v>-0.30000000000000004</v>
      </c>
      <c r="O116" s="1">
        <f t="shared" si="9"/>
        <v>118.19999999999999</v>
      </c>
      <c r="P116" s="1">
        <v>69</v>
      </c>
      <c r="Q116" s="1">
        <f t="shared" si="8"/>
        <v>0.70841121495327097</v>
      </c>
      <c r="R116" s="9">
        <f t="shared" si="10"/>
        <v>0.63757009345794391</v>
      </c>
      <c r="S116" s="9">
        <f t="shared" si="11"/>
        <v>-3.7570093457943932E-2</v>
      </c>
      <c r="T116" s="9">
        <f t="shared" si="15"/>
        <v>119.82560747663553</v>
      </c>
      <c r="V116" s="1">
        <v>658.3</v>
      </c>
      <c r="X116" s="1">
        <f t="shared" si="16"/>
        <v>43076.399999999987</v>
      </c>
      <c r="AA116" s="1">
        <v>9.2250772314327492</v>
      </c>
    </row>
    <row r="117" spans="1:27" s="1" customFormat="1" x14ac:dyDescent="0.25">
      <c r="A117" s="48"/>
      <c r="B117" s="7"/>
      <c r="C117" s="3">
        <v>41233</v>
      </c>
      <c r="D117" s="1">
        <v>3</v>
      </c>
      <c r="E117" s="1">
        <v>2.8</v>
      </c>
      <c r="F117" s="1">
        <v>3.2</v>
      </c>
      <c r="G117" s="1">
        <f t="shared" si="12"/>
        <v>756.8</v>
      </c>
      <c r="J117" s="1">
        <v>0.2</v>
      </c>
      <c r="K117" s="1">
        <f t="shared" si="13"/>
        <v>226.39999999999992</v>
      </c>
      <c r="L117" s="1">
        <v>0.3</v>
      </c>
      <c r="M117" s="1">
        <f t="shared" si="14"/>
        <v>85.6</v>
      </c>
      <c r="N117" s="1">
        <v>-9.9999999999999978E-2</v>
      </c>
      <c r="O117" s="1">
        <f t="shared" si="9"/>
        <v>118.1</v>
      </c>
      <c r="P117" s="1">
        <v>70</v>
      </c>
      <c r="Q117" s="1">
        <f t="shared" si="8"/>
        <v>0.71448598130841123</v>
      </c>
      <c r="R117" s="9">
        <f t="shared" si="10"/>
        <v>0.21434579439252335</v>
      </c>
      <c r="S117" s="9">
        <f t="shared" si="11"/>
        <v>-1.4345794392523342E-2</v>
      </c>
      <c r="T117" s="9">
        <f t="shared" si="15"/>
        <v>119.811261682243</v>
      </c>
      <c r="V117" s="1">
        <v>262.2</v>
      </c>
      <c r="X117" s="1">
        <f t="shared" si="16"/>
        <v>43338.599999999984</v>
      </c>
      <c r="AA117" s="1">
        <v>9.1846321468602099</v>
      </c>
    </row>
    <row r="118" spans="1:27" s="1" customFormat="1" x14ac:dyDescent="0.25">
      <c r="A118" s="48"/>
      <c r="B118" s="7"/>
      <c r="C118" s="3">
        <v>41234</v>
      </c>
      <c r="D118" s="1">
        <v>4.5999999999999996</v>
      </c>
      <c r="E118" s="1">
        <v>2</v>
      </c>
      <c r="F118" s="1">
        <v>7.3</v>
      </c>
      <c r="G118" s="1">
        <f t="shared" si="12"/>
        <v>761.4</v>
      </c>
      <c r="J118" s="1">
        <v>2</v>
      </c>
      <c r="K118" s="1">
        <f t="shared" si="13"/>
        <v>228.39999999999992</v>
      </c>
      <c r="L118" s="1">
        <v>0.3</v>
      </c>
      <c r="M118" s="1">
        <f t="shared" si="14"/>
        <v>85.899999999999991</v>
      </c>
      <c r="N118" s="1">
        <v>1.7</v>
      </c>
      <c r="O118" s="1">
        <f t="shared" si="9"/>
        <v>119.8</v>
      </c>
      <c r="P118" s="1">
        <v>71</v>
      </c>
      <c r="Q118" s="1">
        <f t="shared" si="8"/>
        <v>0.72056074766355138</v>
      </c>
      <c r="R118" s="9">
        <f t="shared" si="10"/>
        <v>0.2161682242990654</v>
      </c>
      <c r="S118" s="9">
        <f t="shared" si="11"/>
        <v>1.7838317757009345</v>
      </c>
      <c r="T118" s="9">
        <f t="shared" si="15"/>
        <v>121.59509345794393</v>
      </c>
      <c r="V118" s="1">
        <v>185.1</v>
      </c>
      <c r="X118" s="1">
        <f t="shared" si="16"/>
        <v>43523.699999999983</v>
      </c>
      <c r="AA118" s="1">
        <v>9.1450084245708005</v>
      </c>
    </row>
    <row r="119" spans="1:27" s="1" customFormat="1" x14ac:dyDescent="0.25">
      <c r="A119" s="48"/>
      <c r="B119" s="7"/>
      <c r="C119" s="3">
        <v>41235</v>
      </c>
      <c r="D119" s="1">
        <v>5.7</v>
      </c>
      <c r="E119" s="1">
        <v>3.9</v>
      </c>
      <c r="F119" s="1">
        <v>6.9</v>
      </c>
      <c r="G119" s="1">
        <f t="shared" si="12"/>
        <v>767.1</v>
      </c>
      <c r="J119" s="1">
        <v>0.2</v>
      </c>
      <c r="K119" s="1">
        <f t="shared" si="13"/>
        <v>228.59999999999991</v>
      </c>
      <c r="L119" s="1">
        <v>0.2</v>
      </c>
      <c r="M119" s="1">
        <f t="shared" si="14"/>
        <v>86.1</v>
      </c>
      <c r="N119" s="1">
        <v>0</v>
      </c>
      <c r="O119" s="1">
        <f t="shared" si="9"/>
        <v>119.8</v>
      </c>
      <c r="P119" s="1">
        <v>72</v>
      </c>
      <c r="Q119" s="1">
        <f t="shared" si="8"/>
        <v>0.72663551401869153</v>
      </c>
      <c r="R119" s="9">
        <f t="shared" si="10"/>
        <v>0.14532710280373831</v>
      </c>
      <c r="S119" s="9">
        <f t="shared" si="11"/>
        <v>5.4672897196261699E-2</v>
      </c>
      <c r="T119" s="9">
        <f t="shared" si="15"/>
        <v>121.64976635514019</v>
      </c>
      <c r="V119" s="1">
        <v>166.8</v>
      </c>
      <c r="X119" s="1">
        <f t="shared" si="16"/>
        <v>43690.499999999985</v>
      </c>
      <c r="AA119" s="1">
        <v>9.1062345066698303</v>
      </c>
    </row>
    <row r="120" spans="1:27" s="1" customFormat="1" x14ac:dyDescent="0.25">
      <c r="A120" s="48"/>
      <c r="B120" s="7"/>
      <c r="C120" s="3">
        <v>41236</v>
      </c>
      <c r="D120" s="1">
        <v>7.6</v>
      </c>
      <c r="E120" s="1">
        <v>6.4</v>
      </c>
      <c r="F120" s="1">
        <v>10.1</v>
      </c>
      <c r="G120" s="1">
        <f t="shared" si="12"/>
        <v>774.7</v>
      </c>
      <c r="J120" s="1">
        <v>0.2</v>
      </c>
      <c r="K120" s="1">
        <f t="shared" si="13"/>
        <v>228.7999999999999</v>
      </c>
      <c r="L120" s="1">
        <v>0.5</v>
      </c>
      <c r="M120" s="1">
        <f t="shared" si="14"/>
        <v>86.6</v>
      </c>
      <c r="N120" s="1">
        <v>-0.3</v>
      </c>
      <c r="O120" s="1">
        <f t="shared" si="9"/>
        <v>119.5</v>
      </c>
      <c r="P120" s="1">
        <v>73</v>
      </c>
      <c r="Q120" s="1">
        <f t="shared" si="8"/>
        <v>0.73271028037383168</v>
      </c>
      <c r="R120" s="9">
        <f t="shared" si="10"/>
        <v>0.36635514018691584</v>
      </c>
      <c r="S120" s="9">
        <f t="shared" si="11"/>
        <v>-0.16635514018691583</v>
      </c>
      <c r="T120" s="9">
        <f t="shared" si="15"/>
        <v>121.48341121495326</v>
      </c>
      <c r="V120" s="1">
        <v>325.5</v>
      </c>
      <c r="X120" s="1">
        <f t="shared" si="16"/>
        <v>44015.999999999985</v>
      </c>
      <c r="AA120" s="1">
        <v>9.0683390471106495</v>
      </c>
    </row>
    <row r="121" spans="1:27" s="1" customFormat="1" x14ac:dyDescent="0.25">
      <c r="A121" s="48"/>
      <c r="B121" s="7"/>
      <c r="C121" s="3">
        <v>41237</v>
      </c>
      <c r="D121" s="1">
        <v>9.1999999999999993</v>
      </c>
      <c r="E121" s="1">
        <v>3.3</v>
      </c>
      <c r="F121" s="1">
        <v>14.1</v>
      </c>
      <c r="G121" s="1">
        <f t="shared" si="12"/>
        <v>783.90000000000009</v>
      </c>
      <c r="J121" s="1">
        <v>0</v>
      </c>
      <c r="K121" s="1">
        <f t="shared" si="13"/>
        <v>228.7999999999999</v>
      </c>
      <c r="L121" s="1">
        <v>0.4</v>
      </c>
      <c r="M121" s="1">
        <f t="shared" si="14"/>
        <v>87</v>
      </c>
      <c r="N121" s="1">
        <v>-0.4</v>
      </c>
      <c r="O121" s="1">
        <f t="shared" si="9"/>
        <v>119.1</v>
      </c>
      <c r="P121" s="1">
        <v>74</v>
      </c>
      <c r="Q121" s="1">
        <f t="shared" si="8"/>
        <v>0.73878504672897194</v>
      </c>
      <c r="R121" s="9">
        <f t="shared" si="10"/>
        <v>0.29551401869158878</v>
      </c>
      <c r="S121" s="9">
        <f t="shared" si="11"/>
        <v>-0.29551401869158878</v>
      </c>
      <c r="T121" s="9">
        <f t="shared" si="15"/>
        <v>121.18789719626167</v>
      </c>
      <c r="V121" s="1">
        <v>145.4</v>
      </c>
      <c r="X121" s="1">
        <f t="shared" si="16"/>
        <v>44161.399999999987</v>
      </c>
      <c r="AA121" s="1">
        <v>9.0313508577686008</v>
      </c>
    </row>
    <row r="122" spans="1:27" s="1" customFormat="1" x14ac:dyDescent="0.25">
      <c r="A122" s="48"/>
      <c r="B122" s="7"/>
      <c r="C122" s="3">
        <v>41238</v>
      </c>
      <c r="D122" s="1">
        <v>11.3</v>
      </c>
      <c r="E122" s="1">
        <v>9.1999999999999993</v>
      </c>
      <c r="F122" s="1">
        <v>12.8</v>
      </c>
      <c r="G122" s="1">
        <f t="shared" si="12"/>
        <v>795.2</v>
      </c>
      <c r="J122" s="1">
        <v>6.4</v>
      </c>
      <c r="K122" s="1">
        <f t="shared" si="13"/>
        <v>235.1999999999999</v>
      </c>
      <c r="L122" s="1">
        <v>1.1000000000000001</v>
      </c>
      <c r="M122" s="1">
        <f t="shared" si="14"/>
        <v>88.1</v>
      </c>
      <c r="N122" s="1">
        <v>5.3000000000000007</v>
      </c>
      <c r="O122" s="1">
        <v>122.1</v>
      </c>
      <c r="P122" s="1">
        <v>75</v>
      </c>
      <c r="Q122" s="1">
        <f t="shared" si="8"/>
        <v>0.74485981308411209</v>
      </c>
      <c r="R122" s="9">
        <f t="shared" si="10"/>
        <v>0.81934579439252331</v>
      </c>
      <c r="S122" s="9">
        <f t="shared" si="11"/>
        <v>5.5806542056074768</v>
      </c>
      <c r="T122" s="9">
        <f t="shared" si="15"/>
        <v>122.1</v>
      </c>
      <c r="V122" s="1">
        <v>474.7</v>
      </c>
      <c r="X122" s="1">
        <f t="shared" si="16"/>
        <v>44636.099999999984</v>
      </c>
      <c r="AA122" s="10">
        <v>8.9952988509480107</v>
      </c>
    </row>
    <row r="123" spans="1:27" s="1" customFormat="1" x14ac:dyDescent="0.25">
      <c r="A123" s="48"/>
      <c r="B123" s="7"/>
      <c r="C123" s="3">
        <v>41239</v>
      </c>
      <c r="D123" s="1">
        <v>9.4</v>
      </c>
      <c r="E123" s="1">
        <v>8.1999999999999993</v>
      </c>
      <c r="F123" s="1">
        <v>11.5</v>
      </c>
      <c r="G123" s="1">
        <f t="shared" si="12"/>
        <v>804.6</v>
      </c>
      <c r="J123" s="1">
        <v>21.6</v>
      </c>
      <c r="K123" s="1">
        <f t="shared" si="13"/>
        <v>256.7999999999999</v>
      </c>
      <c r="L123" s="1">
        <v>0.5</v>
      </c>
      <c r="M123" s="1">
        <f t="shared" si="14"/>
        <v>88.6</v>
      </c>
      <c r="N123" s="1">
        <v>21.1</v>
      </c>
      <c r="O123" s="1">
        <v>122.1</v>
      </c>
      <c r="P123" s="1">
        <v>76</v>
      </c>
      <c r="Q123" s="1">
        <f t="shared" ref="Q123:Q164" si="17">0.35+((P123-10)/107)*(1-0.35)</f>
        <v>0.75093457943925235</v>
      </c>
      <c r="R123" s="9">
        <f t="shared" si="10"/>
        <v>0.37546728971962617</v>
      </c>
      <c r="S123" s="9">
        <f t="shared" si="11"/>
        <v>21.224532710280375</v>
      </c>
      <c r="T123" s="9">
        <f t="shared" si="15"/>
        <v>122.1</v>
      </c>
      <c r="V123" s="1">
        <v>97.1</v>
      </c>
      <c r="X123" s="1">
        <f t="shared" si="16"/>
        <v>44733.199999999983</v>
      </c>
      <c r="AA123" s="10">
        <v>8.9602119784089105</v>
      </c>
    </row>
    <row r="124" spans="1:27" s="1" customFormat="1" x14ac:dyDescent="0.25">
      <c r="A124" s="48"/>
      <c r="B124" s="7"/>
      <c r="C124" s="3">
        <v>41240</v>
      </c>
      <c r="D124" s="1">
        <v>6.5</v>
      </c>
      <c r="E124" s="1">
        <v>6.2</v>
      </c>
      <c r="F124" s="1">
        <v>7.5</v>
      </c>
      <c r="G124" s="1">
        <f t="shared" si="12"/>
        <v>811.1</v>
      </c>
      <c r="J124" s="1">
        <v>0</v>
      </c>
      <c r="K124" s="1">
        <f t="shared" si="13"/>
        <v>256.7999999999999</v>
      </c>
      <c r="L124" s="1">
        <v>0.3</v>
      </c>
      <c r="M124" s="1">
        <f t="shared" si="14"/>
        <v>88.899999999999991</v>
      </c>
      <c r="N124" s="1">
        <v>-0.3</v>
      </c>
      <c r="O124" s="1">
        <f t="shared" ref="O124:O129" si="18">O123+N124</f>
        <v>121.8</v>
      </c>
      <c r="P124" s="1">
        <v>77</v>
      </c>
      <c r="Q124" s="1">
        <f t="shared" si="17"/>
        <v>0.7570093457943925</v>
      </c>
      <c r="R124" s="9">
        <f t="shared" si="10"/>
        <v>0.22710280373831773</v>
      </c>
      <c r="S124" s="9">
        <f t="shared" si="11"/>
        <v>-0.22710280373831773</v>
      </c>
      <c r="T124" s="9">
        <f t="shared" si="15"/>
        <v>121.87289719626168</v>
      </c>
      <c r="V124" s="1">
        <v>143.6</v>
      </c>
      <c r="X124" s="1">
        <f t="shared" si="16"/>
        <v>44876.799999999981</v>
      </c>
      <c r="AA124" s="10">
        <v>8.9261191670329207</v>
      </c>
    </row>
    <row r="125" spans="1:27" s="1" customFormat="1" x14ac:dyDescent="0.25">
      <c r="A125" s="48"/>
      <c r="B125" s="7"/>
      <c r="C125" s="3">
        <v>41241</v>
      </c>
      <c r="D125" s="1">
        <v>5.9</v>
      </c>
      <c r="E125" s="1">
        <v>5.0999999999999996</v>
      </c>
      <c r="F125" s="1">
        <v>7.3</v>
      </c>
      <c r="G125" s="1">
        <f t="shared" si="12"/>
        <v>817</v>
      </c>
      <c r="J125" s="1">
        <v>0.3</v>
      </c>
      <c r="K125" s="1">
        <f t="shared" si="13"/>
        <v>257.09999999999991</v>
      </c>
      <c r="L125" s="1">
        <v>0.8</v>
      </c>
      <c r="M125" s="1">
        <f t="shared" si="14"/>
        <v>89.699999999999989</v>
      </c>
      <c r="N125" s="1">
        <v>-0.5</v>
      </c>
      <c r="O125" s="1">
        <f t="shared" si="18"/>
        <v>121.3</v>
      </c>
      <c r="P125" s="1">
        <v>78</v>
      </c>
      <c r="Q125" s="1">
        <f t="shared" si="17"/>
        <v>0.76308411214953265</v>
      </c>
      <c r="R125" s="9">
        <f t="shared" si="10"/>
        <v>0.61046728971962616</v>
      </c>
      <c r="S125" s="9">
        <f t="shared" si="11"/>
        <v>-0.31046728971962617</v>
      </c>
      <c r="T125" s="9">
        <f t="shared" si="15"/>
        <v>121.56242990654205</v>
      </c>
      <c r="V125" s="1">
        <v>127.3</v>
      </c>
      <c r="X125" s="1">
        <f t="shared" si="16"/>
        <v>45004.099999999984</v>
      </c>
      <c r="AA125" s="10">
        <v>8.8930492512820791</v>
      </c>
    </row>
    <row r="126" spans="1:27" s="1" customFormat="1" x14ac:dyDescent="0.25">
      <c r="A126" s="48"/>
      <c r="B126" s="11">
        <v>1</v>
      </c>
      <c r="C126" s="3">
        <v>41242</v>
      </c>
      <c r="D126" s="1">
        <v>4.5</v>
      </c>
      <c r="E126" s="1">
        <v>4.3</v>
      </c>
      <c r="F126" s="1">
        <v>5.7</v>
      </c>
      <c r="G126" s="1">
        <f t="shared" si="12"/>
        <v>821.5</v>
      </c>
      <c r="J126" s="1">
        <v>0</v>
      </c>
      <c r="K126" s="1">
        <f t="shared" si="13"/>
        <v>257.09999999999991</v>
      </c>
      <c r="L126" s="1">
        <v>1.1000000000000001</v>
      </c>
      <c r="M126" s="1">
        <f t="shared" si="14"/>
        <v>90.799999999999983</v>
      </c>
      <c r="N126" s="1">
        <v>-1.1000000000000001</v>
      </c>
      <c r="O126" s="1">
        <f t="shared" si="18"/>
        <v>120.2</v>
      </c>
      <c r="P126" s="1">
        <v>79</v>
      </c>
      <c r="Q126" s="1">
        <f t="shared" si="17"/>
        <v>0.76915887850467279</v>
      </c>
      <c r="R126" s="9">
        <f t="shared" si="10"/>
        <v>0.84607476635514012</v>
      </c>
      <c r="S126" s="9">
        <f t="shared" si="11"/>
        <v>-0.84607476635514012</v>
      </c>
      <c r="T126" s="9">
        <f t="shared" si="15"/>
        <v>120.71635514018691</v>
      </c>
      <c r="V126" s="1">
        <v>254</v>
      </c>
      <c r="X126" s="1">
        <f t="shared" si="16"/>
        <v>45258.099999999984</v>
      </c>
      <c r="AA126" s="10">
        <v>8.8610309026402607</v>
      </c>
    </row>
    <row r="127" spans="1:27" s="1" customFormat="1" x14ac:dyDescent="0.25">
      <c r="A127" s="48"/>
      <c r="B127" s="11">
        <v>2</v>
      </c>
      <c r="C127" s="3">
        <v>41243</v>
      </c>
      <c r="D127" s="1">
        <v>1.7</v>
      </c>
      <c r="E127" s="1">
        <v>0.8</v>
      </c>
      <c r="F127" s="1">
        <v>4.9000000000000004</v>
      </c>
      <c r="G127" s="1">
        <f t="shared" si="12"/>
        <v>823.2</v>
      </c>
      <c r="J127" s="1">
        <v>0.2</v>
      </c>
      <c r="K127" s="1">
        <f t="shared" si="13"/>
        <v>257.2999999999999</v>
      </c>
      <c r="L127" s="1">
        <v>1.1000000000000001</v>
      </c>
      <c r="M127" s="1">
        <f t="shared" si="14"/>
        <v>91.899999999999977</v>
      </c>
      <c r="N127" s="1">
        <v>-0.90000000000000013</v>
      </c>
      <c r="O127" s="1">
        <f t="shared" si="18"/>
        <v>119.3</v>
      </c>
      <c r="P127" s="1">
        <v>80</v>
      </c>
      <c r="Q127" s="1">
        <f t="shared" si="17"/>
        <v>0.77523364485981305</v>
      </c>
      <c r="R127" s="9">
        <f t="shared" si="10"/>
        <v>0.85275700934579446</v>
      </c>
      <c r="S127" s="9">
        <f t="shared" si="11"/>
        <v>-0.65275700934579439</v>
      </c>
      <c r="T127" s="9">
        <f t="shared" si="15"/>
        <v>120.06359813084111</v>
      </c>
      <c r="V127" s="1">
        <v>565.29999999999995</v>
      </c>
      <c r="X127" s="1">
        <f t="shared" si="16"/>
        <v>45823.399999999987</v>
      </c>
      <c r="AA127" s="10">
        <v>8.8300925562633292</v>
      </c>
    </row>
    <row r="128" spans="1:27" s="1" customFormat="1" x14ac:dyDescent="0.25">
      <c r="A128" s="48"/>
      <c r="B128" s="11">
        <v>3</v>
      </c>
      <c r="C128" s="3">
        <v>41244</v>
      </c>
      <c r="D128" s="1">
        <v>-0.2</v>
      </c>
      <c r="E128" s="1">
        <v>-1.9</v>
      </c>
      <c r="F128" s="1">
        <v>3.2</v>
      </c>
      <c r="G128" s="1">
        <v>823.2</v>
      </c>
      <c r="J128" s="1">
        <v>0</v>
      </c>
      <c r="K128" s="1">
        <f t="shared" si="13"/>
        <v>257.2999999999999</v>
      </c>
      <c r="L128" s="1">
        <v>0.7</v>
      </c>
      <c r="M128" s="1">
        <f t="shared" si="14"/>
        <v>92.59999999999998</v>
      </c>
      <c r="N128" s="1">
        <v>-0.7</v>
      </c>
      <c r="O128" s="1">
        <f t="shared" si="18"/>
        <v>118.6</v>
      </c>
      <c r="P128" s="1">
        <v>81</v>
      </c>
      <c r="Q128" s="1">
        <f t="shared" si="17"/>
        <v>0.78130841121495331</v>
      </c>
      <c r="R128" s="9">
        <f t="shared" si="10"/>
        <v>0.5469158878504673</v>
      </c>
      <c r="S128" s="9">
        <f t="shared" si="11"/>
        <v>-0.5469158878504673</v>
      </c>
      <c r="T128" s="9">
        <f t="shared" si="15"/>
        <v>119.51668224299064</v>
      </c>
      <c r="V128" s="1">
        <v>610</v>
      </c>
      <c r="X128" s="1">
        <f t="shared" si="16"/>
        <v>46433.399999999987</v>
      </c>
      <c r="AA128" s="10">
        <v>8.80026233510171</v>
      </c>
    </row>
    <row r="129" spans="1:27" s="1" customFormat="1" x14ac:dyDescent="0.25">
      <c r="A129" s="48"/>
      <c r="B129" s="11">
        <v>4</v>
      </c>
      <c r="C129" s="3">
        <v>41245</v>
      </c>
      <c r="D129" s="1">
        <v>-0.2</v>
      </c>
      <c r="E129" s="1">
        <v>-1.7</v>
      </c>
      <c r="F129" s="1">
        <v>3.2</v>
      </c>
      <c r="G129" s="1">
        <v>823.2</v>
      </c>
      <c r="J129" s="1">
        <v>0.4</v>
      </c>
      <c r="K129" s="1">
        <f t="shared" si="13"/>
        <v>257.69999999999987</v>
      </c>
      <c r="L129" s="1">
        <v>0.4</v>
      </c>
      <c r="M129" s="1">
        <f t="shared" si="14"/>
        <v>92.999999999999986</v>
      </c>
      <c r="N129" s="1">
        <v>0</v>
      </c>
      <c r="O129" s="1">
        <f t="shared" si="18"/>
        <v>118.6</v>
      </c>
      <c r="P129" s="1">
        <v>82</v>
      </c>
      <c r="Q129" s="1">
        <f t="shared" si="17"/>
        <v>0.78738317757009346</v>
      </c>
      <c r="R129" s="9">
        <f t="shared" si="10"/>
        <v>0.31495327102803738</v>
      </c>
      <c r="S129" s="9">
        <f t="shared" si="11"/>
        <v>8.5046728971962637E-2</v>
      </c>
      <c r="T129" s="9">
        <f t="shared" si="15"/>
        <v>119.6017289719626</v>
      </c>
      <c r="V129" s="1">
        <v>243.7</v>
      </c>
      <c r="X129" s="1">
        <f t="shared" si="16"/>
        <v>46677.099999999984</v>
      </c>
      <c r="AA129" s="10">
        <v>8.7715679717962995</v>
      </c>
    </row>
    <row r="130" spans="1:27" s="1" customFormat="1" x14ac:dyDescent="0.25">
      <c r="A130" s="48"/>
      <c r="B130" s="11">
        <v>5</v>
      </c>
      <c r="C130" s="3">
        <v>41246</v>
      </c>
      <c r="D130" s="1">
        <v>0.2</v>
      </c>
      <c r="E130" s="1">
        <v>-2.4</v>
      </c>
      <c r="F130" s="1">
        <v>6.1</v>
      </c>
      <c r="G130" s="1">
        <f t="shared" si="12"/>
        <v>823.40000000000009</v>
      </c>
      <c r="J130" s="1">
        <v>17.399999999999999</v>
      </c>
      <c r="K130" s="1">
        <f t="shared" si="13"/>
        <v>275.09999999999985</v>
      </c>
      <c r="L130" s="1">
        <v>0.5</v>
      </c>
      <c r="M130" s="1">
        <f t="shared" si="14"/>
        <v>93.499999999999986</v>
      </c>
      <c r="N130" s="1">
        <v>16.899999999999999</v>
      </c>
      <c r="O130" s="1">
        <v>122.1</v>
      </c>
      <c r="P130" s="1">
        <v>83</v>
      </c>
      <c r="Q130" s="1">
        <f t="shared" si="17"/>
        <v>0.79345794392523361</v>
      </c>
      <c r="R130" s="9">
        <f t="shared" si="10"/>
        <v>0.39672897196261681</v>
      </c>
      <c r="S130" s="9">
        <f t="shared" si="11"/>
        <v>17.003271028037382</v>
      </c>
      <c r="T130" s="9">
        <f t="shared" si="15"/>
        <v>122.1</v>
      </c>
      <c r="V130" s="1">
        <v>75.900000000000006</v>
      </c>
      <c r="X130" s="1">
        <f t="shared" si="16"/>
        <v>46752.999999999985</v>
      </c>
      <c r="AA130" s="10">
        <v>8.74403672868584</v>
      </c>
    </row>
    <row r="131" spans="1:27" s="1" customFormat="1" x14ac:dyDescent="0.25">
      <c r="A131" s="48"/>
      <c r="B131" s="11">
        <v>6</v>
      </c>
      <c r="C131" s="3">
        <v>41247</v>
      </c>
      <c r="D131" s="1">
        <v>5</v>
      </c>
      <c r="E131" s="1">
        <v>2.1</v>
      </c>
      <c r="F131" s="1">
        <v>6.1</v>
      </c>
      <c r="G131" s="1">
        <f t="shared" si="12"/>
        <v>828.40000000000009</v>
      </c>
      <c r="J131" s="1">
        <v>2.2999999999999998</v>
      </c>
      <c r="K131" s="1">
        <f t="shared" si="13"/>
        <v>277.39999999999986</v>
      </c>
      <c r="L131" s="1">
        <v>0.3</v>
      </c>
      <c r="M131" s="1">
        <f t="shared" si="14"/>
        <v>93.799999999999983</v>
      </c>
      <c r="N131" s="1">
        <v>1.9999999999999998</v>
      </c>
      <c r="O131" s="1">
        <v>122.1</v>
      </c>
      <c r="P131" s="1">
        <v>84</v>
      </c>
      <c r="Q131" s="1">
        <f t="shared" si="17"/>
        <v>0.79953271028037376</v>
      </c>
      <c r="R131" s="9">
        <f t="shared" si="10"/>
        <v>0.23985981308411211</v>
      </c>
      <c r="S131" s="9">
        <f t="shared" si="11"/>
        <v>2.0601401869158877</v>
      </c>
      <c r="T131" s="9">
        <f t="shared" si="15"/>
        <v>122.1</v>
      </c>
      <c r="V131" s="1">
        <v>133.80000000000001</v>
      </c>
      <c r="X131" s="1">
        <f t="shared" si="16"/>
        <v>46886.799999999988</v>
      </c>
      <c r="AA131" s="10">
        <v>8.7176953163000395</v>
      </c>
    </row>
    <row r="132" spans="1:27" s="1" customFormat="1" x14ac:dyDescent="0.25">
      <c r="A132" s="48"/>
      <c r="B132" s="11">
        <v>7</v>
      </c>
      <c r="C132" s="3">
        <v>41248</v>
      </c>
      <c r="D132" s="1">
        <v>3.3</v>
      </c>
      <c r="E132" s="1">
        <v>2.2000000000000002</v>
      </c>
      <c r="F132" s="1">
        <v>4.9000000000000004</v>
      </c>
      <c r="G132" s="1">
        <f t="shared" si="12"/>
        <v>831.7</v>
      </c>
      <c r="J132" s="1">
        <v>3.2</v>
      </c>
      <c r="K132" s="1">
        <f t="shared" si="13"/>
        <v>280.59999999999985</v>
      </c>
      <c r="L132" s="1">
        <v>0.5</v>
      </c>
      <c r="M132" s="1">
        <f t="shared" si="14"/>
        <v>94.299999999999983</v>
      </c>
      <c r="N132" s="1">
        <v>2.7</v>
      </c>
      <c r="O132" s="1">
        <v>122.1</v>
      </c>
      <c r="P132" s="1">
        <v>85</v>
      </c>
      <c r="Q132" s="1">
        <f t="shared" si="17"/>
        <v>0.80560747663551391</v>
      </c>
      <c r="R132" s="9">
        <f t="shared" si="10"/>
        <v>0.40280373831775695</v>
      </c>
      <c r="S132" s="9">
        <f t="shared" si="11"/>
        <v>2.7971962616822434</v>
      </c>
      <c r="T132" s="9">
        <f t="shared" si="15"/>
        <v>122.1</v>
      </c>
      <c r="V132" s="1">
        <v>145.9</v>
      </c>
      <c r="X132" s="1">
        <f t="shared" si="16"/>
        <v>47032.69999999999</v>
      </c>
      <c r="AA132" s="10">
        <v>8.6925698107472602</v>
      </c>
    </row>
    <row r="133" spans="1:27" s="1" customFormat="1" x14ac:dyDescent="0.25">
      <c r="A133" s="48"/>
      <c r="B133" s="11">
        <v>8</v>
      </c>
      <c r="C133" s="3">
        <v>41249</v>
      </c>
      <c r="D133" s="1">
        <v>0.9</v>
      </c>
      <c r="E133" s="1">
        <v>-1.2</v>
      </c>
      <c r="F133" s="1">
        <v>3.6</v>
      </c>
      <c r="G133" s="1">
        <f t="shared" si="12"/>
        <v>832.6</v>
      </c>
      <c r="J133" s="1">
        <v>0</v>
      </c>
      <c r="K133" s="1">
        <f t="shared" si="13"/>
        <v>280.59999999999985</v>
      </c>
      <c r="L133" s="1">
        <v>0.5</v>
      </c>
      <c r="M133" s="1">
        <f t="shared" si="14"/>
        <v>94.799999999999983</v>
      </c>
      <c r="N133" s="1">
        <v>-0.5</v>
      </c>
      <c r="O133" s="1">
        <f>O132+N133</f>
        <v>121.6</v>
      </c>
      <c r="P133" s="1">
        <v>86</v>
      </c>
      <c r="Q133" s="1">
        <f t="shared" si="17"/>
        <v>0.81168224299065417</v>
      </c>
      <c r="R133" s="9">
        <f t="shared" si="10"/>
        <v>0.40584112149532708</v>
      </c>
      <c r="S133" s="9">
        <f t="shared" si="11"/>
        <v>-0.40584112149532708</v>
      </c>
      <c r="T133" s="9">
        <f t="shared" si="15"/>
        <v>121.69415887850467</v>
      </c>
      <c r="V133" s="1">
        <v>533.1</v>
      </c>
      <c r="X133" s="1">
        <f t="shared" si="16"/>
        <v>47565.799999999988</v>
      </c>
      <c r="AA133" s="10">
        <v>8.6686855704381607</v>
      </c>
    </row>
    <row r="134" spans="1:27" s="1" customFormat="1" x14ac:dyDescent="0.25">
      <c r="A134" s="48"/>
      <c r="B134" s="11">
        <v>9</v>
      </c>
      <c r="C134" s="3">
        <v>41250</v>
      </c>
      <c r="D134" s="1">
        <v>0.5</v>
      </c>
      <c r="E134" s="1">
        <v>-2</v>
      </c>
      <c r="F134" s="1">
        <v>2.4</v>
      </c>
      <c r="G134" s="1">
        <f t="shared" si="12"/>
        <v>833.1</v>
      </c>
      <c r="J134" s="1">
        <v>3.1</v>
      </c>
      <c r="K134" s="1">
        <f t="shared" si="13"/>
        <v>283.69999999999987</v>
      </c>
      <c r="L134" s="1">
        <v>0.2</v>
      </c>
      <c r="M134" s="1">
        <f t="shared" si="14"/>
        <v>94.999999999999986</v>
      </c>
      <c r="N134" s="1">
        <v>2.9</v>
      </c>
      <c r="O134" s="1">
        <v>122.1</v>
      </c>
      <c r="P134" s="1">
        <v>87</v>
      </c>
      <c r="Q134" s="1">
        <f t="shared" si="17"/>
        <v>0.81775700934579443</v>
      </c>
      <c r="R134" s="9">
        <f t="shared" si="10"/>
        <v>0.1635514018691589</v>
      </c>
      <c r="S134" s="9">
        <f t="shared" si="11"/>
        <v>2.9364485981308412</v>
      </c>
      <c r="T134" s="9">
        <f t="shared" si="15"/>
        <v>122.1</v>
      </c>
      <c r="V134" s="1">
        <v>115.5</v>
      </c>
      <c r="X134" s="1">
        <f t="shared" si="16"/>
        <v>47681.299999999988</v>
      </c>
      <c r="AA134" s="10">
        <v>8.6460671526164301</v>
      </c>
    </row>
    <row r="135" spans="1:27" s="1" customFormat="1" x14ac:dyDescent="0.25">
      <c r="A135" s="48"/>
      <c r="B135" s="11">
        <v>10</v>
      </c>
      <c r="C135" s="3">
        <v>41251</v>
      </c>
      <c r="D135" s="1">
        <v>1.3</v>
      </c>
      <c r="E135" s="1">
        <v>0.7</v>
      </c>
      <c r="F135" s="1">
        <v>2</v>
      </c>
      <c r="G135" s="1">
        <f t="shared" si="12"/>
        <v>834.4</v>
      </c>
      <c r="J135" s="1">
        <v>0</v>
      </c>
      <c r="K135" s="1">
        <f t="shared" si="13"/>
        <v>283.69999999999987</v>
      </c>
      <c r="L135" s="1">
        <v>0.4</v>
      </c>
      <c r="M135" s="1">
        <f t="shared" si="14"/>
        <v>95.399999999999991</v>
      </c>
      <c r="N135" s="1">
        <v>-0.4</v>
      </c>
      <c r="O135" s="1">
        <f>O134+N135</f>
        <v>121.69999999999999</v>
      </c>
      <c r="P135" s="1">
        <v>88</v>
      </c>
      <c r="Q135" s="1">
        <f t="shared" si="17"/>
        <v>0.82383177570093458</v>
      </c>
      <c r="R135" s="9">
        <f t="shared" si="10"/>
        <v>0.32953271028037384</v>
      </c>
      <c r="S135" s="9">
        <f t="shared" si="11"/>
        <v>-0.32953271028037384</v>
      </c>
      <c r="T135" s="9">
        <f t="shared" si="15"/>
        <v>121.77046728971962</v>
      </c>
      <c r="V135" s="1">
        <v>220.7</v>
      </c>
      <c r="X135" s="1">
        <f t="shared" si="16"/>
        <v>47901.999999999985</v>
      </c>
      <c r="AA135" s="10">
        <v>8.6247382301942306</v>
      </c>
    </row>
    <row r="136" spans="1:27" s="1" customFormat="1" x14ac:dyDescent="0.25">
      <c r="A136" s="48"/>
      <c r="B136" s="11">
        <v>11</v>
      </c>
      <c r="C136" s="3">
        <v>41252</v>
      </c>
      <c r="D136" s="1">
        <v>1.6</v>
      </c>
      <c r="E136" s="1">
        <v>-0.6</v>
      </c>
      <c r="F136" s="1">
        <v>3.3</v>
      </c>
      <c r="G136" s="1">
        <f t="shared" si="12"/>
        <v>836</v>
      </c>
      <c r="J136" s="1">
        <v>1.2</v>
      </c>
      <c r="K136" s="1">
        <f t="shared" si="13"/>
        <v>284.89999999999986</v>
      </c>
      <c r="L136" s="1">
        <v>0.5</v>
      </c>
      <c r="M136" s="1">
        <f t="shared" si="14"/>
        <v>95.899999999999991</v>
      </c>
      <c r="N136" s="1">
        <v>0.7</v>
      </c>
      <c r="O136" s="1">
        <v>122.1</v>
      </c>
      <c r="P136" s="1">
        <v>89</v>
      </c>
      <c r="Q136" s="1">
        <f t="shared" si="17"/>
        <v>0.82990654205607473</v>
      </c>
      <c r="R136" s="9">
        <f t="shared" si="10"/>
        <v>0.41495327102803736</v>
      </c>
      <c r="S136" s="9">
        <f t="shared" si="11"/>
        <v>0.78504672897196259</v>
      </c>
      <c r="T136" s="9">
        <f t="shared" si="15"/>
        <v>122.1</v>
      </c>
      <c r="V136" s="1">
        <v>310.5</v>
      </c>
      <c r="X136" s="1">
        <f t="shared" si="16"/>
        <v>48212.499999999985</v>
      </c>
      <c r="AA136" s="10">
        <v>8.6047215094119593</v>
      </c>
    </row>
    <row r="137" spans="1:27" s="1" customFormat="1" x14ac:dyDescent="0.25">
      <c r="A137" s="48"/>
      <c r="B137" s="11">
        <v>12</v>
      </c>
      <c r="C137" s="3">
        <v>41253</v>
      </c>
      <c r="D137" s="1">
        <v>3.3</v>
      </c>
      <c r="E137" s="1">
        <v>2.1</v>
      </c>
      <c r="F137" s="1">
        <v>5.3</v>
      </c>
      <c r="G137" s="1">
        <f t="shared" si="12"/>
        <v>839.3</v>
      </c>
      <c r="J137" s="1">
        <v>0.7</v>
      </c>
      <c r="K137" s="1">
        <f t="shared" si="13"/>
        <v>285.59999999999985</v>
      </c>
      <c r="L137" s="1">
        <v>0.6</v>
      </c>
      <c r="M137" s="1">
        <f t="shared" si="14"/>
        <v>96.499999999999986</v>
      </c>
      <c r="N137" s="1">
        <v>9.9999999999999978E-2</v>
      </c>
      <c r="O137" s="1">
        <v>122.1</v>
      </c>
      <c r="P137" s="1">
        <v>90</v>
      </c>
      <c r="Q137" s="1">
        <f t="shared" si="17"/>
        <v>0.83598130841121487</v>
      </c>
      <c r="R137" s="9">
        <f t="shared" si="10"/>
        <v>0.50158878504672888</v>
      </c>
      <c r="S137" s="9">
        <f t="shared" si="11"/>
        <v>0.19841121495327108</v>
      </c>
      <c r="T137" s="9">
        <f t="shared" si="15"/>
        <v>122.1</v>
      </c>
      <c r="V137" s="1">
        <v>310.10000000000002</v>
      </c>
      <c r="X137" s="1">
        <f t="shared" si="16"/>
        <v>48522.599999999984</v>
      </c>
      <c r="AA137" s="10">
        <v>8.5860386488601499</v>
      </c>
    </row>
    <row r="138" spans="1:27" s="1" customFormat="1" x14ac:dyDescent="0.25">
      <c r="A138" s="48"/>
      <c r="B138" s="11">
        <v>13</v>
      </c>
      <c r="C138" s="3">
        <v>41254</v>
      </c>
      <c r="D138" s="1">
        <v>0.4</v>
      </c>
      <c r="E138" s="1">
        <v>0</v>
      </c>
      <c r="F138" s="1">
        <v>1.3</v>
      </c>
      <c r="G138" s="1">
        <f t="shared" si="12"/>
        <v>839.69999999999993</v>
      </c>
      <c r="J138" s="1">
        <v>0</v>
      </c>
      <c r="K138" s="1">
        <f t="shared" si="13"/>
        <v>285.59999999999985</v>
      </c>
      <c r="L138" s="1">
        <v>0.7</v>
      </c>
      <c r="M138" s="1">
        <f t="shared" si="14"/>
        <v>97.199999999999989</v>
      </c>
      <c r="N138" s="1">
        <v>-0.7</v>
      </c>
      <c r="O138" s="1">
        <f>O137+N138</f>
        <v>121.39999999999999</v>
      </c>
      <c r="P138" s="1">
        <v>91</v>
      </c>
      <c r="Q138" s="1">
        <f t="shared" si="17"/>
        <v>0.84205607476635513</v>
      </c>
      <c r="R138" s="9">
        <f t="shared" si="10"/>
        <v>0.58943925233644856</v>
      </c>
      <c r="S138" s="9">
        <f t="shared" si="11"/>
        <v>-0.58943925233644856</v>
      </c>
      <c r="T138" s="9">
        <f t="shared" si="15"/>
        <v>121.51056074766355</v>
      </c>
      <c r="V138" s="1">
        <v>232.1</v>
      </c>
      <c r="X138" s="1">
        <f t="shared" si="16"/>
        <v>48754.699999999983</v>
      </c>
      <c r="AA138" s="10">
        <v>8.5687101804135093</v>
      </c>
    </row>
    <row r="139" spans="1:27" s="1" customFormat="1" x14ac:dyDescent="0.25">
      <c r="A139" s="48"/>
      <c r="B139" s="11">
        <v>14</v>
      </c>
      <c r="C139" s="3">
        <v>41255</v>
      </c>
      <c r="D139" s="1">
        <v>-3.5</v>
      </c>
      <c r="E139" s="1">
        <v>-4.5</v>
      </c>
      <c r="F139" s="1">
        <v>-1.1000000000000001</v>
      </c>
      <c r="G139" s="1">
        <v>839.7</v>
      </c>
      <c r="J139" s="1">
        <v>0</v>
      </c>
      <c r="K139" s="1">
        <f t="shared" si="13"/>
        <v>285.59999999999985</v>
      </c>
      <c r="L139" s="1">
        <v>0.3</v>
      </c>
      <c r="M139" s="1">
        <f t="shared" si="14"/>
        <v>97.499999999999986</v>
      </c>
      <c r="N139" s="1">
        <v>-0.3</v>
      </c>
      <c r="O139" s="1">
        <f>O138+N139</f>
        <v>121.1</v>
      </c>
      <c r="P139" s="1">
        <v>92</v>
      </c>
      <c r="Q139" s="1">
        <f t="shared" si="17"/>
        <v>0.84813084112149528</v>
      </c>
      <c r="R139" s="9">
        <f t="shared" si="10"/>
        <v>0.2544392523364486</v>
      </c>
      <c r="S139" s="9">
        <f t="shared" si="11"/>
        <v>-0.2544392523364486</v>
      </c>
      <c r="T139" s="9">
        <f t="shared" si="15"/>
        <v>121.25612149532709</v>
      </c>
      <c r="V139" s="1">
        <v>371</v>
      </c>
      <c r="X139" s="1">
        <f t="shared" si="16"/>
        <v>49125.699999999983</v>
      </c>
      <c r="AA139" s="10">
        <v>8.5527554326342106</v>
      </c>
    </row>
    <row r="140" spans="1:27" s="1" customFormat="1" x14ac:dyDescent="0.25">
      <c r="A140" s="48"/>
      <c r="B140" s="11">
        <v>15</v>
      </c>
      <c r="C140" s="3">
        <v>41256</v>
      </c>
      <c r="D140" s="1">
        <v>-0.5</v>
      </c>
      <c r="E140" s="1">
        <v>-6.5</v>
      </c>
      <c r="F140" s="1">
        <v>3.3</v>
      </c>
      <c r="G140" s="1">
        <v>839.7</v>
      </c>
      <c r="J140" s="1">
        <v>3.8</v>
      </c>
      <c r="K140" s="1">
        <f t="shared" si="13"/>
        <v>289.39999999999986</v>
      </c>
      <c r="L140" s="1">
        <v>0.1</v>
      </c>
      <c r="M140" s="1">
        <f t="shared" si="14"/>
        <v>97.59999999999998</v>
      </c>
      <c r="N140" s="1">
        <v>3.6999999999999997</v>
      </c>
      <c r="O140" s="1">
        <v>122.1</v>
      </c>
      <c r="P140" s="1">
        <v>93</v>
      </c>
      <c r="Q140" s="1">
        <f t="shared" si="17"/>
        <v>0.85420560747663554</v>
      </c>
      <c r="R140" s="9">
        <f t="shared" si="10"/>
        <v>8.5420560747663563E-2</v>
      </c>
      <c r="S140" s="9">
        <f t="shared" si="11"/>
        <v>3.7145794392523364</v>
      </c>
      <c r="T140" s="9">
        <f t="shared" si="15"/>
        <v>122.1</v>
      </c>
      <c r="V140" s="1">
        <v>182.3</v>
      </c>
      <c r="X140" s="1">
        <f t="shared" si="16"/>
        <v>49307.999999999985</v>
      </c>
      <c r="AA140" s="10">
        <v>8.5381924572023298</v>
      </c>
    </row>
    <row r="141" spans="1:27" s="1" customFormat="1" x14ac:dyDescent="0.25">
      <c r="A141" s="48"/>
      <c r="B141" s="7"/>
      <c r="C141" s="3">
        <v>41257</v>
      </c>
      <c r="D141" s="1">
        <v>7.2</v>
      </c>
      <c r="E141" s="1">
        <v>2.6</v>
      </c>
      <c r="F141" s="1">
        <v>9.5</v>
      </c>
      <c r="G141" s="1">
        <f t="shared" si="12"/>
        <v>846.90000000000009</v>
      </c>
      <c r="J141" s="1">
        <v>18.899999999999999</v>
      </c>
      <c r="K141" s="1">
        <f t="shared" si="13"/>
        <v>308.29999999999984</v>
      </c>
      <c r="L141" s="1">
        <v>0.3</v>
      </c>
      <c r="M141" s="1">
        <f t="shared" si="14"/>
        <v>97.899999999999977</v>
      </c>
      <c r="N141" s="1">
        <v>18.599999999999998</v>
      </c>
      <c r="O141" s="1">
        <v>122.1</v>
      </c>
      <c r="P141" s="1">
        <v>94</v>
      </c>
      <c r="Q141" s="1">
        <f t="shared" si="17"/>
        <v>0.86028037383177569</v>
      </c>
      <c r="R141" s="9">
        <f t="shared" si="10"/>
        <v>0.2580841121495327</v>
      </c>
      <c r="S141" s="9">
        <f t="shared" si="11"/>
        <v>18.641915887850466</v>
      </c>
      <c r="T141" s="9">
        <f t="shared" si="15"/>
        <v>122.1</v>
      </c>
      <c r="V141" s="1">
        <v>257.10000000000002</v>
      </c>
      <c r="X141" s="1">
        <f t="shared" si="16"/>
        <v>49565.099999999984</v>
      </c>
      <c r="AA141" s="10">
        <v>8.5250379589255907</v>
      </c>
    </row>
    <row r="142" spans="1:27" s="1" customFormat="1" x14ac:dyDescent="0.25">
      <c r="A142" s="48"/>
      <c r="B142" s="7"/>
      <c r="C142" s="3">
        <v>41258</v>
      </c>
      <c r="D142" s="1">
        <v>9.1999999999999993</v>
      </c>
      <c r="E142" s="1">
        <v>8.9</v>
      </c>
      <c r="F142" s="1">
        <v>9.8000000000000007</v>
      </c>
      <c r="G142" s="1">
        <f t="shared" si="12"/>
        <v>856.10000000000014</v>
      </c>
      <c r="J142" s="1">
        <v>2.2000000000000002</v>
      </c>
      <c r="K142" s="1">
        <f t="shared" si="13"/>
        <v>310.49999999999983</v>
      </c>
      <c r="L142" s="1">
        <v>0.8</v>
      </c>
      <c r="M142" s="1">
        <f t="shared" si="14"/>
        <v>98.699999999999974</v>
      </c>
      <c r="N142" s="1">
        <v>1.4000000000000001</v>
      </c>
      <c r="O142" s="1">
        <v>122.1</v>
      </c>
      <c r="P142" s="1">
        <v>95</v>
      </c>
      <c r="Q142" s="1">
        <f t="shared" si="17"/>
        <v>0.86635514018691584</v>
      </c>
      <c r="R142" s="9">
        <f t="shared" si="10"/>
        <v>0.69308411214953269</v>
      </c>
      <c r="S142" s="9">
        <f t="shared" si="11"/>
        <v>1.5069158878504676</v>
      </c>
      <c r="T142" s="9">
        <f t="shared" si="15"/>
        <v>122.1</v>
      </c>
      <c r="V142" s="1">
        <v>87</v>
      </c>
      <c r="X142" s="1">
        <f t="shared" si="16"/>
        <v>49652.099999999984</v>
      </c>
      <c r="AA142" s="10">
        <v>8.5133072298683903</v>
      </c>
    </row>
    <row r="143" spans="1:27" s="1" customFormat="1" x14ac:dyDescent="0.25">
      <c r="A143" s="48"/>
      <c r="B143" s="7"/>
      <c r="C143" s="3">
        <v>41259</v>
      </c>
      <c r="D143" s="1">
        <v>8.6</v>
      </c>
      <c r="E143" s="1">
        <v>8.1999999999999993</v>
      </c>
      <c r="F143" s="1">
        <v>9.9</v>
      </c>
      <c r="G143" s="1">
        <f t="shared" si="12"/>
        <v>864.70000000000016</v>
      </c>
      <c r="J143" s="1">
        <v>3.7</v>
      </c>
      <c r="K143" s="1">
        <f t="shared" si="13"/>
        <v>314.19999999999982</v>
      </c>
      <c r="L143" s="1">
        <v>1.2</v>
      </c>
      <c r="M143" s="1">
        <f t="shared" si="14"/>
        <v>99.899999999999977</v>
      </c>
      <c r="N143" s="1">
        <v>2.5</v>
      </c>
      <c r="O143" s="1">
        <v>122.1</v>
      </c>
      <c r="P143" s="1">
        <v>96</v>
      </c>
      <c r="Q143" s="1">
        <f t="shared" si="17"/>
        <v>0.8724299065420561</v>
      </c>
      <c r="R143" s="9">
        <f t="shared" si="10"/>
        <v>1.0469158878504672</v>
      </c>
      <c r="S143" s="9">
        <f t="shared" si="11"/>
        <v>2.653084112149533</v>
      </c>
      <c r="T143" s="9">
        <f t="shared" si="15"/>
        <v>122.1</v>
      </c>
      <c r="V143" s="1">
        <v>247.5</v>
      </c>
      <c r="X143" s="1">
        <f t="shared" si="16"/>
        <v>49899.599999999984</v>
      </c>
      <c r="AA143" s="10">
        <v>8.5030140881210396</v>
      </c>
    </row>
    <row r="144" spans="1:27" s="1" customFormat="1" x14ac:dyDescent="0.25">
      <c r="A144" s="48"/>
      <c r="B144" s="7"/>
      <c r="C144" s="3">
        <v>41260</v>
      </c>
      <c r="D144" s="1">
        <v>7.1</v>
      </c>
      <c r="E144" s="1">
        <v>6.7</v>
      </c>
      <c r="F144" s="1">
        <v>8</v>
      </c>
      <c r="G144" s="1">
        <f t="shared" si="12"/>
        <v>871.80000000000018</v>
      </c>
      <c r="J144" s="1">
        <v>4.3</v>
      </c>
      <c r="K144" s="1">
        <f t="shared" si="13"/>
        <v>318.49999999999983</v>
      </c>
      <c r="L144" s="1">
        <v>0.6</v>
      </c>
      <c r="M144" s="1">
        <f t="shared" si="14"/>
        <v>100.49999999999997</v>
      </c>
      <c r="N144" s="1">
        <v>3.6999999999999997</v>
      </c>
      <c r="O144" s="1">
        <v>122.1</v>
      </c>
      <c r="P144" s="1">
        <v>97</v>
      </c>
      <c r="Q144" s="1">
        <f t="shared" si="17"/>
        <v>0.87850467289719625</v>
      </c>
      <c r="R144" s="9">
        <f t="shared" si="10"/>
        <v>0.52710280373831775</v>
      </c>
      <c r="S144" s="9">
        <f t="shared" si="11"/>
        <v>3.772897196261682</v>
      </c>
      <c r="T144" s="9">
        <f t="shared" si="15"/>
        <v>122.1</v>
      </c>
      <c r="V144" s="1">
        <v>93.3</v>
      </c>
      <c r="X144" s="1">
        <f t="shared" si="16"/>
        <v>49992.899999999987</v>
      </c>
      <c r="AA144" s="10">
        <v>8.4941708217041594</v>
      </c>
    </row>
    <row r="145" spans="1:27" s="1" customFormat="1" x14ac:dyDescent="0.25">
      <c r="A145" s="48"/>
      <c r="B145" s="7"/>
      <c r="C145" s="3">
        <v>41261</v>
      </c>
      <c r="D145" s="1">
        <v>6.2</v>
      </c>
      <c r="E145" s="1">
        <v>5.5</v>
      </c>
      <c r="F145" s="1">
        <v>8.3000000000000007</v>
      </c>
      <c r="G145" s="1">
        <f t="shared" si="12"/>
        <v>878.00000000000023</v>
      </c>
      <c r="J145" s="1">
        <v>4.4000000000000004</v>
      </c>
      <c r="K145" s="1">
        <f t="shared" si="13"/>
        <v>322.89999999999981</v>
      </c>
      <c r="L145" s="1">
        <v>0.6</v>
      </c>
      <c r="M145" s="1">
        <f t="shared" si="14"/>
        <v>101.09999999999997</v>
      </c>
      <c r="N145" s="1">
        <v>3.8000000000000003</v>
      </c>
      <c r="O145" s="1">
        <v>122.1</v>
      </c>
      <c r="P145" s="1">
        <v>98</v>
      </c>
      <c r="Q145" s="1">
        <f t="shared" si="17"/>
        <v>0.8845794392523364</v>
      </c>
      <c r="R145" s="9">
        <f t="shared" si="10"/>
        <v>0.53074766355140179</v>
      </c>
      <c r="S145" s="9">
        <f t="shared" si="11"/>
        <v>3.8692523364485987</v>
      </c>
      <c r="T145" s="9">
        <f t="shared" si="15"/>
        <v>122.1</v>
      </c>
      <c r="V145" s="1">
        <v>73.3</v>
      </c>
      <c r="X145" s="1">
        <f t="shared" si="16"/>
        <v>50066.19999999999</v>
      </c>
      <c r="AA145" s="10">
        <v>8.48678813807072</v>
      </c>
    </row>
    <row r="146" spans="1:27" s="1" customFormat="1" x14ac:dyDescent="0.25">
      <c r="A146" s="48"/>
      <c r="B146" s="11">
        <v>16</v>
      </c>
      <c r="C146" s="3">
        <v>41262</v>
      </c>
      <c r="D146" s="1">
        <v>3.7</v>
      </c>
      <c r="E146" s="1">
        <v>2.5</v>
      </c>
      <c r="F146" s="1">
        <v>4.2</v>
      </c>
      <c r="G146" s="1">
        <f t="shared" si="12"/>
        <v>881.70000000000027</v>
      </c>
      <c r="J146" s="1">
        <v>0.2</v>
      </c>
      <c r="K146" s="1">
        <f t="shared" si="13"/>
        <v>323.0999999999998</v>
      </c>
      <c r="L146" s="1">
        <v>0.3</v>
      </c>
      <c r="M146" s="1">
        <f t="shared" si="14"/>
        <v>101.39999999999996</v>
      </c>
      <c r="N146" s="1">
        <v>-9.9999999999999978E-2</v>
      </c>
      <c r="O146" s="1">
        <f>O145+N146</f>
        <v>122</v>
      </c>
      <c r="P146" s="1">
        <v>99</v>
      </c>
      <c r="Q146" s="1">
        <f t="shared" si="17"/>
        <v>0.89065420560747666</v>
      </c>
      <c r="R146" s="9">
        <f t="shared" si="10"/>
        <v>0.26719626168224297</v>
      </c>
      <c r="S146" s="9">
        <f t="shared" si="11"/>
        <v>-6.7196261682242964E-2</v>
      </c>
      <c r="T146" s="9">
        <f t="shared" si="15"/>
        <v>122.03280373831775</v>
      </c>
      <c r="V146" s="1">
        <v>386.4</v>
      </c>
      <c r="X146" s="1">
        <f t="shared" si="16"/>
        <v>50452.599999999991</v>
      </c>
      <c r="AA146" s="10">
        <v>8.4808751196294203</v>
      </c>
    </row>
    <row r="147" spans="1:27" s="1" customFormat="1" x14ac:dyDescent="0.25">
      <c r="A147" s="48"/>
      <c r="B147" s="11">
        <v>17</v>
      </c>
      <c r="C147" s="3">
        <v>41263</v>
      </c>
      <c r="D147" s="1">
        <v>4.9000000000000004</v>
      </c>
      <c r="E147" s="1">
        <v>3</v>
      </c>
      <c r="F147" s="1">
        <v>7.4</v>
      </c>
      <c r="G147" s="1">
        <f t="shared" si="12"/>
        <v>886.60000000000025</v>
      </c>
      <c r="J147" s="1">
        <v>10.5</v>
      </c>
      <c r="K147" s="1">
        <f t="shared" si="13"/>
        <v>333.5999999999998</v>
      </c>
      <c r="L147" s="1">
        <v>0.3</v>
      </c>
      <c r="M147" s="1">
        <f t="shared" si="14"/>
        <v>101.69999999999996</v>
      </c>
      <c r="N147" s="1">
        <v>10.199999999999999</v>
      </c>
      <c r="O147" s="1">
        <v>122.1</v>
      </c>
      <c r="P147" s="1">
        <v>100</v>
      </c>
      <c r="Q147" s="1">
        <f t="shared" si="17"/>
        <v>0.89672897196261681</v>
      </c>
      <c r="R147" s="9">
        <f t="shared" si="10"/>
        <v>0.26901869158878505</v>
      </c>
      <c r="S147" s="9">
        <f t="shared" si="11"/>
        <v>10.230981308411215</v>
      </c>
      <c r="T147" s="9">
        <f t="shared" si="15"/>
        <v>122.1</v>
      </c>
      <c r="V147" s="1">
        <v>70</v>
      </c>
      <c r="X147" s="1">
        <f t="shared" si="16"/>
        <v>50522.599999999991</v>
      </c>
      <c r="AA147" s="10">
        <v>8.4764391856680099</v>
      </c>
    </row>
    <row r="148" spans="1:27" s="1" customFormat="1" x14ac:dyDescent="0.25">
      <c r="A148" s="48"/>
      <c r="B148" s="7"/>
      <c r="C148" s="3">
        <v>41264</v>
      </c>
      <c r="D148" s="1">
        <v>6.4</v>
      </c>
      <c r="E148" s="1">
        <v>5.5</v>
      </c>
      <c r="F148" s="1">
        <v>7.4</v>
      </c>
      <c r="G148" s="1">
        <f t="shared" si="12"/>
        <v>893.00000000000023</v>
      </c>
      <c r="J148" s="1">
        <v>1.7</v>
      </c>
      <c r="K148" s="1">
        <f t="shared" si="13"/>
        <v>335.29999999999978</v>
      </c>
      <c r="L148" s="1">
        <v>0.2</v>
      </c>
      <c r="M148" s="1">
        <f t="shared" si="14"/>
        <v>101.89999999999996</v>
      </c>
      <c r="N148" s="1">
        <v>1.5</v>
      </c>
      <c r="O148" s="1">
        <v>122.1</v>
      </c>
      <c r="P148" s="1">
        <v>101</v>
      </c>
      <c r="Q148" s="1">
        <f t="shared" si="17"/>
        <v>0.90280373831775695</v>
      </c>
      <c r="R148" s="9">
        <f t="shared" si="10"/>
        <v>0.1805607476635514</v>
      </c>
      <c r="S148" s="9">
        <f t="shared" si="11"/>
        <v>1.5194392523364486</v>
      </c>
      <c r="T148" s="9">
        <f t="shared" si="15"/>
        <v>122.1</v>
      </c>
      <c r="V148" s="1">
        <v>183.8</v>
      </c>
      <c r="X148" s="1">
        <f t="shared" si="16"/>
        <v>50706.399999999994</v>
      </c>
      <c r="AA148" s="10">
        <v>8.4734860610048504</v>
      </c>
    </row>
    <row r="149" spans="1:27" s="1" customFormat="1" x14ac:dyDescent="0.25">
      <c r="A149" s="48"/>
      <c r="B149" s="7"/>
      <c r="C149" s="3">
        <v>41265</v>
      </c>
      <c r="D149" s="1">
        <v>5.8</v>
      </c>
      <c r="E149" s="1">
        <v>3.2</v>
      </c>
      <c r="F149" s="1">
        <v>10.6</v>
      </c>
      <c r="G149" s="1">
        <f t="shared" si="12"/>
        <v>898.80000000000018</v>
      </c>
      <c r="J149" s="1">
        <v>10.3</v>
      </c>
      <c r="K149" s="1">
        <f t="shared" si="13"/>
        <v>345.5999999999998</v>
      </c>
      <c r="L149" s="1">
        <v>0.7</v>
      </c>
      <c r="M149" s="1">
        <f t="shared" si="14"/>
        <v>102.59999999999997</v>
      </c>
      <c r="N149" s="1">
        <v>9.6000000000000014</v>
      </c>
      <c r="O149" s="1">
        <v>122.1</v>
      </c>
      <c r="P149" s="1">
        <v>102</v>
      </c>
      <c r="Q149" s="1">
        <f t="shared" si="17"/>
        <v>0.90887850467289721</v>
      </c>
      <c r="R149" s="9">
        <f t="shared" si="10"/>
        <v>0.63621495327102806</v>
      </c>
      <c r="S149" s="9">
        <f t="shared" si="11"/>
        <v>9.6637850467289734</v>
      </c>
      <c r="T149" s="9">
        <f t="shared" si="15"/>
        <v>122.1</v>
      </c>
      <c r="V149" s="1">
        <v>101.9</v>
      </c>
      <c r="X149" s="1">
        <f t="shared" si="16"/>
        <v>50808.299999999996</v>
      </c>
      <c r="AA149" s="10">
        <v>8.4720197516420797</v>
      </c>
    </row>
    <row r="150" spans="1:27" s="1" customFormat="1" x14ac:dyDescent="0.25">
      <c r="A150" s="48"/>
      <c r="B150" s="7"/>
      <c r="C150" s="3">
        <v>41266</v>
      </c>
      <c r="D150" s="1">
        <v>10.3</v>
      </c>
      <c r="E150" s="1">
        <v>6.9</v>
      </c>
      <c r="F150" s="1">
        <v>13</v>
      </c>
      <c r="G150" s="1">
        <f t="shared" si="12"/>
        <v>909.10000000000014</v>
      </c>
      <c r="J150" s="1">
        <v>0</v>
      </c>
      <c r="K150" s="1">
        <f t="shared" si="13"/>
        <v>345.5999999999998</v>
      </c>
      <c r="L150" s="1">
        <v>0.7</v>
      </c>
      <c r="M150" s="1">
        <f t="shared" si="14"/>
        <v>103.29999999999997</v>
      </c>
      <c r="N150" s="1">
        <v>-0.7</v>
      </c>
      <c r="O150" s="1">
        <f>O149+N150</f>
        <v>121.39999999999999</v>
      </c>
      <c r="P150" s="1">
        <v>103</v>
      </c>
      <c r="Q150" s="1">
        <f t="shared" si="17"/>
        <v>0.91495327102803736</v>
      </c>
      <c r="R150" s="9">
        <f t="shared" si="10"/>
        <v>0.64046728971962608</v>
      </c>
      <c r="S150" s="9">
        <f t="shared" si="11"/>
        <v>-0.64046728971962608</v>
      </c>
      <c r="T150" s="9">
        <f t="shared" si="15"/>
        <v>121.45953271028037</v>
      </c>
      <c r="V150" s="1">
        <v>223.2</v>
      </c>
      <c r="X150" s="1">
        <f t="shared" si="16"/>
        <v>51031.499999999993</v>
      </c>
      <c r="AA150" s="10">
        <v>8.4720425276340698</v>
      </c>
    </row>
    <row r="151" spans="1:27" s="1" customFormat="1" x14ac:dyDescent="0.25">
      <c r="A151" s="48"/>
      <c r="B151" s="7"/>
      <c r="C151" s="3">
        <v>41267</v>
      </c>
      <c r="D151" s="1">
        <v>8.8000000000000007</v>
      </c>
      <c r="E151" s="1">
        <v>3.1</v>
      </c>
      <c r="F151" s="1">
        <v>12.2</v>
      </c>
      <c r="G151" s="1">
        <f t="shared" si="12"/>
        <v>917.90000000000009</v>
      </c>
      <c r="J151" s="1">
        <v>0</v>
      </c>
      <c r="K151" s="1">
        <f t="shared" si="13"/>
        <v>345.5999999999998</v>
      </c>
      <c r="L151" s="1">
        <v>0.5</v>
      </c>
      <c r="M151" s="1">
        <f t="shared" si="14"/>
        <v>103.79999999999997</v>
      </c>
      <c r="N151" s="1">
        <v>-0.5</v>
      </c>
      <c r="O151" s="1">
        <f>O150+N151</f>
        <v>120.89999999999999</v>
      </c>
      <c r="P151" s="1">
        <v>104</v>
      </c>
      <c r="Q151" s="1">
        <f t="shared" si="17"/>
        <v>0.92102803738317751</v>
      </c>
      <c r="R151" s="9">
        <f t="shared" si="10"/>
        <v>0.46051401869158876</v>
      </c>
      <c r="S151" s="9">
        <f t="shared" si="11"/>
        <v>-0.46051401869158876</v>
      </c>
      <c r="T151" s="9">
        <f t="shared" si="15"/>
        <v>120.99901869158879</v>
      </c>
      <c r="V151" s="1">
        <v>245.7</v>
      </c>
      <c r="X151" s="1">
        <f t="shared" si="16"/>
        <v>51277.19999999999</v>
      </c>
      <c r="AA151" s="10">
        <v>8.4735549133228094</v>
      </c>
    </row>
    <row r="152" spans="1:27" s="1" customFormat="1" x14ac:dyDescent="0.25">
      <c r="A152" s="48"/>
      <c r="B152" s="7"/>
      <c r="C152" s="3">
        <v>41268</v>
      </c>
      <c r="D152" s="1">
        <v>11</v>
      </c>
      <c r="E152" s="1">
        <v>10.1</v>
      </c>
      <c r="F152" s="1">
        <v>12.7</v>
      </c>
      <c r="G152" s="1">
        <f t="shared" si="12"/>
        <v>928.90000000000009</v>
      </c>
      <c r="J152" s="1">
        <v>1.8</v>
      </c>
      <c r="K152" s="1">
        <f t="shared" si="13"/>
        <v>347.39999999999981</v>
      </c>
      <c r="L152" s="1">
        <v>1.9</v>
      </c>
      <c r="M152" s="1">
        <f t="shared" si="14"/>
        <v>105.69999999999997</v>
      </c>
      <c r="N152" s="1">
        <v>-9.9999999999999867E-2</v>
      </c>
      <c r="O152" s="1">
        <f>O151+N152</f>
        <v>120.8</v>
      </c>
      <c r="P152" s="1">
        <v>105</v>
      </c>
      <c r="Q152" s="1">
        <f t="shared" si="17"/>
        <v>0.92710280373831777</v>
      </c>
      <c r="R152" s="9">
        <f t="shared" si="10"/>
        <v>1.7614953271028038</v>
      </c>
      <c r="S152" s="9">
        <f t="shared" si="11"/>
        <v>3.8504672897196279E-2</v>
      </c>
      <c r="T152" s="9">
        <f t="shared" si="15"/>
        <v>121.03752336448598</v>
      </c>
      <c r="V152" s="1">
        <v>143.80000000000001</v>
      </c>
      <c r="X152" s="1">
        <f t="shared" si="16"/>
        <v>51420.999999999993</v>
      </c>
      <c r="AA152" s="10">
        <v>8.4765556850269004</v>
      </c>
    </row>
    <row r="153" spans="1:27" s="1" customFormat="1" x14ac:dyDescent="0.25">
      <c r="A153" s="48"/>
      <c r="B153" s="7"/>
      <c r="C153" s="3">
        <v>41269</v>
      </c>
      <c r="D153" s="1">
        <v>8.1</v>
      </c>
      <c r="E153" s="1">
        <v>7.2</v>
      </c>
      <c r="F153" s="1">
        <v>9.4</v>
      </c>
      <c r="G153" s="1">
        <f t="shared" si="12"/>
        <v>937.00000000000011</v>
      </c>
      <c r="J153" s="1">
        <v>2</v>
      </c>
      <c r="K153" s="1">
        <f t="shared" si="13"/>
        <v>349.39999999999981</v>
      </c>
      <c r="L153" s="1">
        <v>1.1000000000000001</v>
      </c>
      <c r="M153" s="1">
        <f t="shared" si="14"/>
        <v>106.79999999999997</v>
      </c>
      <c r="N153" s="1">
        <v>0.89999999999999991</v>
      </c>
      <c r="O153" s="1">
        <f>O152+N153</f>
        <v>121.7</v>
      </c>
      <c r="P153" s="1">
        <v>106</v>
      </c>
      <c r="Q153" s="1">
        <f t="shared" si="17"/>
        <v>0.93317757009345792</v>
      </c>
      <c r="R153" s="9">
        <f t="shared" si="10"/>
        <v>1.0264953271028039</v>
      </c>
      <c r="S153" s="9">
        <f t="shared" si="11"/>
        <v>0.97350467289719611</v>
      </c>
      <c r="T153" s="9">
        <f t="shared" si="15"/>
        <v>122.01102803738317</v>
      </c>
      <c r="V153" s="1">
        <v>313.60000000000002</v>
      </c>
      <c r="X153" s="1">
        <f t="shared" si="16"/>
        <v>51734.599999999991</v>
      </c>
      <c r="AA153" s="10">
        <v>8.48104187620463</v>
      </c>
    </row>
    <row r="154" spans="1:27" s="1" customFormat="1" x14ac:dyDescent="0.25">
      <c r="A154" s="48"/>
      <c r="B154" s="7"/>
      <c r="C154" s="3">
        <v>41270</v>
      </c>
      <c r="D154" s="1">
        <v>8.6999999999999993</v>
      </c>
      <c r="E154" s="1">
        <v>7.4</v>
      </c>
      <c r="F154" s="1">
        <v>10.3</v>
      </c>
      <c r="G154" s="1">
        <f t="shared" si="12"/>
        <v>945.70000000000016</v>
      </c>
      <c r="J154" s="1">
        <v>9</v>
      </c>
      <c r="K154" s="1">
        <f t="shared" si="13"/>
        <v>358.39999999999981</v>
      </c>
      <c r="L154" s="1">
        <v>1.3</v>
      </c>
      <c r="M154" s="1">
        <f t="shared" si="14"/>
        <v>108.09999999999997</v>
      </c>
      <c r="N154" s="1">
        <v>7.7</v>
      </c>
      <c r="O154" s="1">
        <v>122.1</v>
      </c>
      <c r="P154" s="1">
        <v>107</v>
      </c>
      <c r="Q154" s="1">
        <f t="shared" si="17"/>
        <v>0.93925233644859807</v>
      </c>
      <c r="R154" s="9">
        <f t="shared" si="10"/>
        <v>1.2210280373831774</v>
      </c>
      <c r="S154" s="9">
        <f t="shared" si="11"/>
        <v>7.7789719626168221</v>
      </c>
      <c r="T154" s="9">
        <f t="shared" si="15"/>
        <v>122.1</v>
      </c>
      <c r="V154" s="1">
        <v>105.4</v>
      </c>
      <c r="X154" s="1">
        <f t="shared" si="16"/>
        <v>51839.999999999993</v>
      </c>
      <c r="AA154" s="10">
        <v>8.4870087900457207</v>
      </c>
    </row>
    <row r="155" spans="1:27" s="1" customFormat="1" x14ac:dyDescent="0.25">
      <c r="A155" s="48"/>
      <c r="B155" s="7"/>
      <c r="C155" s="3">
        <v>41271</v>
      </c>
      <c r="D155" s="1">
        <v>6.8</v>
      </c>
      <c r="E155" s="1">
        <v>5.0999999999999996</v>
      </c>
      <c r="F155" s="1">
        <v>7.6</v>
      </c>
      <c r="G155" s="1">
        <f t="shared" si="12"/>
        <v>952.50000000000011</v>
      </c>
      <c r="J155" s="1">
        <v>0.1</v>
      </c>
      <c r="K155" s="1">
        <f t="shared" si="13"/>
        <v>358.49999999999983</v>
      </c>
      <c r="L155" s="1">
        <v>0.4</v>
      </c>
      <c r="M155" s="1">
        <f t="shared" si="14"/>
        <v>108.49999999999997</v>
      </c>
      <c r="N155" s="1">
        <v>-0.30000000000000004</v>
      </c>
      <c r="O155" s="1">
        <f>O154+N155</f>
        <v>121.8</v>
      </c>
      <c r="P155" s="1">
        <v>108</v>
      </c>
      <c r="Q155" s="1">
        <f t="shared" si="17"/>
        <v>0.94532710280373833</v>
      </c>
      <c r="R155" s="9">
        <f t="shared" si="10"/>
        <v>0.37813084112149536</v>
      </c>
      <c r="S155" s="9">
        <f t="shared" si="11"/>
        <v>-0.27813084112149533</v>
      </c>
      <c r="T155" s="9">
        <f t="shared" si="15"/>
        <v>121.8218691588785</v>
      </c>
      <c r="V155" s="1">
        <v>144.69999999999999</v>
      </c>
      <c r="X155" s="1">
        <f t="shared" si="16"/>
        <v>51984.69999999999</v>
      </c>
      <c r="AA155" s="10">
        <v>8.4944500193799701</v>
      </c>
    </row>
    <row r="156" spans="1:27" s="1" customFormat="1" x14ac:dyDescent="0.25">
      <c r="A156" s="48"/>
      <c r="B156" s="7"/>
      <c r="C156" s="3">
        <v>41272</v>
      </c>
      <c r="D156" s="1">
        <v>7.9</v>
      </c>
      <c r="E156" s="1">
        <v>2.7</v>
      </c>
      <c r="F156" s="1">
        <v>10.7</v>
      </c>
      <c r="G156" s="1">
        <f t="shared" si="12"/>
        <v>960.40000000000009</v>
      </c>
      <c r="J156" s="1">
        <v>0</v>
      </c>
      <c r="K156" s="1">
        <f t="shared" si="13"/>
        <v>358.49999999999983</v>
      </c>
      <c r="L156" s="1">
        <v>0.9</v>
      </c>
      <c r="M156" s="1">
        <f t="shared" si="14"/>
        <v>109.39999999999998</v>
      </c>
      <c r="N156" s="1">
        <v>-0.9</v>
      </c>
      <c r="O156" s="1">
        <f>O155+N156</f>
        <v>120.89999999999999</v>
      </c>
      <c r="P156" s="1">
        <v>109</v>
      </c>
      <c r="Q156" s="1">
        <f t="shared" si="17"/>
        <v>0.95140186915887848</v>
      </c>
      <c r="R156" s="9">
        <f t="shared" si="10"/>
        <v>0.8562616822429906</v>
      </c>
      <c r="S156" s="9">
        <f t="shared" si="11"/>
        <v>-0.8562616822429906</v>
      </c>
      <c r="T156" s="9">
        <f t="shared" si="15"/>
        <v>120.96560747663551</v>
      </c>
      <c r="V156" s="1">
        <v>297.89999999999998</v>
      </c>
      <c r="X156" s="1">
        <f t="shared" si="16"/>
        <v>52282.599999999991</v>
      </c>
      <c r="AA156" s="10">
        <v>8.5033574737276094</v>
      </c>
    </row>
    <row r="157" spans="1:27" s="1" customFormat="1" x14ac:dyDescent="0.25">
      <c r="A157" s="48"/>
      <c r="B157" s="7"/>
      <c r="C157" s="3">
        <v>41273</v>
      </c>
      <c r="D157" s="1">
        <v>7.4</v>
      </c>
      <c r="E157" s="1">
        <v>6</v>
      </c>
      <c r="F157" s="1">
        <v>10.4</v>
      </c>
      <c r="G157" s="1">
        <f t="shared" si="12"/>
        <v>967.80000000000007</v>
      </c>
      <c r="J157" s="1">
        <v>0.2</v>
      </c>
      <c r="K157" s="1">
        <f t="shared" si="13"/>
        <v>358.69999999999982</v>
      </c>
      <c r="L157" s="1">
        <v>1.4</v>
      </c>
      <c r="M157" s="1">
        <f t="shared" si="14"/>
        <v>110.79999999999998</v>
      </c>
      <c r="N157" s="1">
        <v>-1.2</v>
      </c>
      <c r="O157" s="1">
        <f>O156+N157</f>
        <v>119.69999999999999</v>
      </c>
      <c r="P157" s="1">
        <v>110</v>
      </c>
      <c r="Q157" s="1">
        <f t="shared" si="17"/>
        <v>0.95747663551401874</v>
      </c>
      <c r="R157" s="9">
        <f t="shared" si="10"/>
        <v>1.3404672897196261</v>
      </c>
      <c r="S157" s="9">
        <f t="shared" si="11"/>
        <v>-1.1404672897196262</v>
      </c>
      <c r="T157" s="9">
        <f t="shared" si="15"/>
        <v>119.82514018691589</v>
      </c>
      <c r="V157" s="1">
        <v>353.2</v>
      </c>
      <c r="X157" s="1">
        <f t="shared" si="16"/>
        <v>52635.799999999988</v>
      </c>
      <c r="AA157" s="10">
        <v>8.5137214132544194</v>
      </c>
    </row>
    <row r="158" spans="1:27" s="1" customFormat="1" x14ac:dyDescent="0.25">
      <c r="A158" s="48"/>
      <c r="B158" s="7"/>
      <c r="C158" s="3">
        <v>41274</v>
      </c>
      <c r="D158" s="1">
        <v>5.6</v>
      </c>
      <c r="E158" s="1">
        <v>3.3</v>
      </c>
      <c r="F158" s="1">
        <v>8.6999999999999993</v>
      </c>
      <c r="G158" s="1">
        <f t="shared" si="12"/>
        <v>973.40000000000009</v>
      </c>
      <c r="J158" s="1">
        <v>3.2</v>
      </c>
      <c r="K158" s="1">
        <f t="shared" si="13"/>
        <v>361.89999999999981</v>
      </c>
      <c r="L158" s="1">
        <v>0.8</v>
      </c>
      <c r="M158" s="1">
        <f t="shared" si="14"/>
        <v>111.59999999999998</v>
      </c>
      <c r="N158" s="1">
        <v>2.4000000000000004</v>
      </c>
      <c r="O158" s="1">
        <f>O157+N158</f>
        <v>122.1</v>
      </c>
      <c r="P158" s="1">
        <v>111</v>
      </c>
      <c r="Q158" s="1">
        <f t="shared" si="17"/>
        <v>0.96355140186915889</v>
      </c>
      <c r="R158" s="9">
        <f t="shared" si="10"/>
        <v>0.77084112149532713</v>
      </c>
      <c r="S158" s="9">
        <f t="shared" si="11"/>
        <v>2.4291588785046732</v>
      </c>
      <c r="T158" s="9">
        <f t="shared" si="15"/>
        <v>122.1</v>
      </c>
      <c r="V158" s="1">
        <v>276.8</v>
      </c>
      <c r="X158" s="1">
        <f t="shared" si="16"/>
        <v>52912.599999999991</v>
      </c>
      <c r="AA158" s="10">
        <v>8.5255304893372497</v>
      </c>
    </row>
    <row r="159" spans="1:27" s="1" customFormat="1" x14ac:dyDescent="0.25">
      <c r="A159" s="48"/>
      <c r="B159" s="7"/>
      <c r="C159" s="3">
        <v>41275</v>
      </c>
      <c r="D159" s="1">
        <v>5.8</v>
      </c>
      <c r="E159" s="1">
        <v>4.2</v>
      </c>
      <c r="F159" s="1">
        <v>7.3</v>
      </c>
      <c r="G159" s="1">
        <f t="shared" si="12"/>
        <v>979.2</v>
      </c>
      <c r="J159" s="1">
        <v>7</v>
      </c>
      <c r="K159" s="1">
        <f t="shared" si="13"/>
        <v>368.89999999999981</v>
      </c>
      <c r="L159" s="1">
        <v>0.3</v>
      </c>
      <c r="M159" s="1">
        <f t="shared" si="14"/>
        <v>111.89999999999998</v>
      </c>
      <c r="N159" s="1">
        <v>6.7</v>
      </c>
      <c r="O159" s="1">
        <v>122.1</v>
      </c>
      <c r="P159" s="1">
        <v>112</v>
      </c>
      <c r="Q159" s="1">
        <f t="shared" si="17"/>
        <v>0.96962616822429903</v>
      </c>
      <c r="R159" s="9">
        <f t="shared" si="10"/>
        <v>0.29088785046728971</v>
      </c>
      <c r="S159" s="9">
        <f t="shared" si="11"/>
        <v>6.70911214953271</v>
      </c>
      <c r="T159" s="9">
        <f t="shared" si="15"/>
        <v>122.1</v>
      </c>
      <c r="V159" s="1">
        <v>88.6</v>
      </c>
      <c r="X159" s="1">
        <f t="shared" si="16"/>
        <v>53001.19999999999</v>
      </c>
      <c r="AA159" s="10">
        <v>8.5430425045266798</v>
      </c>
    </row>
    <row r="160" spans="1:27" s="1" customFormat="1" x14ac:dyDescent="0.25">
      <c r="A160" s="48"/>
      <c r="B160" s="11">
        <v>18</v>
      </c>
      <c r="C160" s="3">
        <v>41276</v>
      </c>
      <c r="D160" s="1">
        <v>2</v>
      </c>
      <c r="E160" s="1">
        <v>0.7</v>
      </c>
      <c r="F160" s="1">
        <v>4.9000000000000004</v>
      </c>
      <c r="G160" s="1">
        <f t="shared" si="12"/>
        <v>981.2</v>
      </c>
      <c r="J160" s="1">
        <v>0</v>
      </c>
      <c r="K160" s="1">
        <f t="shared" si="13"/>
        <v>368.89999999999981</v>
      </c>
      <c r="L160" s="1">
        <v>0.2</v>
      </c>
      <c r="M160" s="1">
        <f t="shared" si="14"/>
        <v>112.09999999999998</v>
      </c>
      <c r="N160" s="1">
        <v>-0.2</v>
      </c>
      <c r="O160" s="1">
        <f t="shared" ref="O160:O166" si="19">O159+N160</f>
        <v>121.89999999999999</v>
      </c>
      <c r="P160" s="1">
        <v>113</v>
      </c>
      <c r="Q160" s="1">
        <f t="shared" si="17"/>
        <v>0.97570093457943929</v>
      </c>
      <c r="R160" s="9">
        <f t="shared" si="10"/>
        <v>0.19514018691588786</v>
      </c>
      <c r="S160" s="9">
        <f t="shared" si="11"/>
        <v>-0.19514018691588786</v>
      </c>
      <c r="T160" s="9">
        <f t="shared" si="15"/>
        <v>121.9048598130841</v>
      </c>
      <c r="V160" s="1">
        <v>218.3</v>
      </c>
      <c r="X160" s="1">
        <f t="shared" si="16"/>
        <v>53219.499999999993</v>
      </c>
      <c r="AA160" s="10">
        <v>8.5581259917503303</v>
      </c>
    </row>
    <row r="161" spans="1:27" s="1" customFormat="1" x14ac:dyDescent="0.25">
      <c r="A161" s="48"/>
      <c r="B161" s="11">
        <v>19</v>
      </c>
      <c r="C161" s="3">
        <v>41277</v>
      </c>
      <c r="D161" s="1">
        <v>2.9</v>
      </c>
      <c r="E161" s="1">
        <v>-1.3</v>
      </c>
      <c r="F161" s="1">
        <v>5</v>
      </c>
      <c r="G161" s="1">
        <f t="shared" si="12"/>
        <v>984.1</v>
      </c>
      <c r="J161" s="1">
        <v>0.4</v>
      </c>
      <c r="K161" s="1">
        <f t="shared" si="13"/>
        <v>369.29999999999978</v>
      </c>
      <c r="L161" s="1">
        <v>0.3</v>
      </c>
      <c r="M161" s="1">
        <f t="shared" si="14"/>
        <v>112.39999999999998</v>
      </c>
      <c r="N161" s="1">
        <v>0.10000000000000003</v>
      </c>
      <c r="O161" s="1">
        <f t="shared" si="19"/>
        <v>121.99999999999999</v>
      </c>
      <c r="P161" s="1">
        <v>114</v>
      </c>
      <c r="Q161" s="1">
        <f t="shared" si="17"/>
        <v>0.98177570093457944</v>
      </c>
      <c r="R161" s="9">
        <f t="shared" si="10"/>
        <v>0.29453271028037381</v>
      </c>
      <c r="S161" s="9">
        <f t="shared" si="11"/>
        <v>0.10546728971962621</v>
      </c>
      <c r="T161" s="9">
        <f t="shared" si="15"/>
        <v>122.01032710280373</v>
      </c>
      <c r="V161" s="1">
        <v>124.1</v>
      </c>
      <c r="X161" s="1">
        <f t="shared" si="16"/>
        <v>53343.599999999991</v>
      </c>
      <c r="AA161" s="10">
        <v>8.5746063541320794</v>
      </c>
    </row>
    <row r="162" spans="1:27" s="1" customFormat="1" x14ac:dyDescent="0.25">
      <c r="A162" s="48"/>
      <c r="B162" s="7"/>
      <c r="C162" s="3">
        <v>41278</v>
      </c>
      <c r="D162" s="1">
        <v>6.4</v>
      </c>
      <c r="E162" s="1">
        <v>4.8</v>
      </c>
      <c r="F162" s="1">
        <v>7.8</v>
      </c>
      <c r="G162" s="1">
        <f t="shared" si="12"/>
        <v>990.5</v>
      </c>
      <c r="J162" s="1">
        <v>0.4</v>
      </c>
      <c r="K162" s="1">
        <f t="shared" si="13"/>
        <v>369.69999999999976</v>
      </c>
      <c r="L162" s="1">
        <v>0.3</v>
      </c>
      <c r="M162" s="1">
        <f t="shared" si="14"/>
        <v>112.69999999999997</v>
      </c>
      <c r="N162" s="1">
        <v>0.10000000000000003</v>
      </c>
      <c r="O162" s="1">
        <f t="shared" si="19"/>
        <v>122.09999999999998</v>
      </c>
      <c r="P162" s="1">
        <v>115</v>
      </c>
      <c r="Q162" s="1">
        <f t="shared" si="17"/>
        <v>0.98785046728971959</v>
      </c>
      <c r="R162" s="9">
        <f t="shared" si="10"/>
        <v>0.29635514018691589</v>
      </c>
      <c r="S162" s="9">
        <f t="shared" si="11"/>
        <v>0.10364485981308413</v>
      </c>
      <c r="T162" s="9">
        <f t="shared" si="15"/>
        <v>122.1</v>
      </c>
      <c r="V162" s="1">
        <v>146.4</v>
      </c>
      <c r="X162" s="1">
        <f t="shared" si="16"/>
        <v>53489.999999999993</v>
      </c>
      <c r="AA162" s="10">
        <v>8.5924659271907196</v>
      </c>
    </row>
    <row r="163" spans="1:27" s="1" customFormat="1" x14ac:dyDescent="0.25">
      <c r="A163" s="48"/>
      <c r="B163" s="7"/>
      <c r="C163" s="3">
        <v>41279</v>
      </c>
      <c r="D163" s="1">
        <v>6.5</v>
      </c>
      <c r="E163" s="1">
        <v>6.3</v>
      </c>
      <c r="F163" s="1">
        <v>6.8</v>
      </c>
      <c r="G163" s="1">
        <f t="shared" si="12"/>
        <v>997</v>
      </c>
      <c r="J163" s="1">
        <v>0</v>
      </c>
      <c r="K163" s="1">
        <f t="shared" si="13"/>
        <v>369.69999999999976</v>
      </c>
      <c r="L163" s="1">
        <v>0.2</v>
      </c>
      <c r="M163" s="1">
        <f t="shared" si="14"/>
        <v>112.89999999999998</v>
      </c>
      <c r="N163" s="1">
        <v>-0.2</v>
      </c>
      <c r="O163" s="1">
        <f t="shared" si="19"/>
        <v>121.89999999999998</v>
      </c>
      <c r="P163" s="1">
        <v>116</v>
      </c>
      <c r="Q163" s="1">
        <f t="shared" si="17"/>
        <v>0.99392523364485985</v>
      </c>
      <c r="R163" s="9">
        <f t="shared" si="10"/>
        <v>0.19878504672897199</v>
      </c>
      <c r="S163" s="9">
        <f t="shared" si="11"/>
        <v>-0.19878504672897199</v>
      </c>
      <c r="T163" s="9">
        <f t="shared" si="15"/>
        <v>121.90121495327102</v>
      </c>
      <c r="V163" s="1">
        <v>127.6</v>
      </c>
      <c r="X163" s="1">
        <f t="shared" si="16"/>
        <v>53617.599999999991</v>
      </c>
      <c r="AA163" s="10">
        <v>8.6116857470365797</v>
      </c>
    </row>
    <row r="164" spans="1:27" s="28" customFormat="1" ht="15.75" thickBot="1" x14ac:dyDescent="0.3">
      <c r="A164" s="48"/>
      <c r="B164" s="26"/>
      <c r="C164" s="27">
        <v>41280</v>
      </c>
      <c r="D164" s="28">
        <v>6.2</v>
      </c>
      <c r="E164" s="28">
        <v>5.8</v>
      </c>
      <c r="F164" s="28">
        <v>7</v>
      </c>
      <c r="G164" s="28">
        <f t="shared" si="12"/>
        <v>1003.2</v>
      </c>
      <c r="J164" s="28">
        <v>0</v>
      </c>
      <c r="K164" s="28">
        <f t="shared" si="13"/>
        <v>369.69999999999976</v>
      </c>
      <c r="L164" s="28">
        <v>0.5</v>
      </c>
      <c r="M164" s="28">
        <f t="shared" si="14"/>
        <v>113.39999999999998</v>
      </c>
      <c r="N164" s="28">
        <v>-0.5</v>
      </c>
      <c r="O164" s="28">
        <f t="shared" si="19"/>
        <v>121.39999999999998</v>
      </c>
      <c r="P164" s="28">
        <v>117</v>
      </c>
      <c r="Q164" s="28">
        <f t="shared" si="17"/>
        <v>1</v>
      </c>
      <c r="R164" s="29">
        <f t="shared" si="10"/>
        <v>0.5</v>
      </c>
      <c r="S164" s="29">
        <f t="shared" si="11"/>
        <v>-0.5</v>
      </c>
      <c r="T164" s="29">
        <f t="shared" si="15"/>
        <v>121.40121495327102</v>
      </c>
      <c r="V164" s="28">
        <v>235</v>
      </c>
      <c r="W164" s="28">
        <f>(X164/100)/G164</f>
        <v>0.53680821371610843</v>
      </c>
      <c r="X164" s="28">
        <f t="shared" si="16"/>
        <v>53852.599999999991</v>
      </c>
      <c r="AA164" s="30">
        <v>8.6322456228808804</v>
      </c>
    </row>
    <row r="165" spans="1:27" s="1" customFormat="1" x14ac:dyDescent="0.25">
      <c r="A165" s="49" t="s">
        <v>19</v>
      </c>
      <c r="B165" s="11">
        <v>20</v>
      </c>
      <c r="C165" s="3">
        <v>41281</v>
      </c>
      <c r="D165" s="1">
        <v>4.7</v>
      </c>
      <c r="E165" s="1">
        <v>4.2</v>
      </c>
      <c r="F165" s="1">
        <v>5.3</v>
      </c>
      <c r="G165" s="1">
        <f t="shared" si="12"/>
        <v>1007.9000000000001</v>
      </c>
      <c r="H165" s="1">
        <f>D165</f>
        <v>4.7</v>
      </c>
      <c r="I165" s="12" t="s">
        <v>3</v>
      </c>
      <c r="J165" s="1">
        <v>0</v>
      </c>
      <c r="K165" s="1">
        <f t="shared" si="13"/>
        <v>369.69999999999976</v>
      </c>
      <c r="L165" s="1">
        <v>0.3</v>
      </c>
      <c r="M165" s="1">
        <f t="shared" si="14"/>
        <v>113.69999999999997</v>
      </c>
      <c r="N165" s="1">
        <v>-0.3</v>
      </c>
      <c r="O165" s="1">
        <f t="shared" si="19"/>
        <v>121.09999999999998</v>
      </c>
      <c r="P165" s="1">
        <v>118</v>
      </c>
      <c r="Q165" s="1">
        <v>1</v>
      </c>
      <c r="R165" s="9">
        <f t="shared" si="10"/>
        <v>0.3</v>
      </c>
      <c r="S165" s="9">
        <f t="shared" si="11"/>
        <v>-0.3</v>
      </c>
      <c r="T165" s="9">
        <f t="shared" si="15"/>
        <v>121.10121495327103</v>
      </c>
      <c r="U165" s="12" t="s">
        <v>4</v>
      </c>
      <c r="V165" s="1">
        <v>179.6</v>
      </c>
      <c r="X165" s="1">
        <f t="shared" si="16"/>
        <v>54032.19999999999</v>
      </c>
      <c r="Y165" s="1">
        <f>V165</f>
        <v>179.6</v>
      </c>
      <c r="Z165" s="12" t="s">
        <v>5</v>
      </c>
      <c r="AA165" s="10">
        <v>8.6541242127502596</v>
      </c>
    </row>
    <row r="166" spans="1:27" s="1" customFormat="1" x14ac:dyDescent="0.25">
      <c r="A166" s="49"/>
      <c r="B166" s="11">
        <v>21</v>
      </c>
      <c r="C166" s="3">
        <v>41282</v>
      </c>
      <c r="D166" s="1">
        <v>2.6</v>
      </c>
      <c r="E166" s="1">
        <v>2.2000000000000002</v>
      </c>
      <c r="F166" s="1">
        <v>3</v>
      </c>
      <c r="G166" s="1">
        <f t="shared" si="12"/>
        <v>1010.5000000000001</v>
      </c>
      <c r="H166" s="1">
        <f>H165+D166</f>
        <v>7.3000000000000007</v>
      </c>
      <c r="I166" s="1">
        <f>MIN(E165:E222)</f>
        <v>-6.2</v>
      </c>
      <c r="J166" s="1">
        <v>0</v>
      </c>
      <c r="K166" s="1">
        <f t="shared" si="13"/>
        <v>369.69999999999976</v>
      </c>
      <c r="L166" s="1">
        <v>0.3</v>
      </c>
      <c r="M166" s="1">
        <f t="shared" si="14"/>
        <v>113.99999999999997</v>
      </c>
      <c r="N166" s="1">
        <v>-0.3</v>
      </c>
      <c r="O166" s="1">
        <f t="shared" si="19"/>
        <v>120.79999999999998</v>
      </c>
      <c r="P166" s="1">
        <v>119</v>
      </c>
      <c r="Q166" s="1">
        <v>1</v>
      </c>
      <c r="R166" s="9">
        <f t="shared" si="10"/>
        <v>0.3</v>
      </c>
      <c r="S166" s="9">
        <f t="shared" si="11"/>
        <v>-0.3</v>
      </c>
      <c r="T166" s="9">
        <f t="shared" si="15"/>
        <v>120.80121495327103</v>
      </c>
      <c r="U166" s="1">
        <v>39</v>
      </c>
      <c r="V166" s="1">
        <v>194</v>
      </c>
      <c r="X166" s="1">
        <f t="shared" si="16"/>
        <v>54226.19999999999</v>
      </c>
      <c r="Y166" s="1">
        <f>Y165+V166</f>
        <v>373.6</v>
      </c>
      <c r="Z166" s="1">
        <v>24071.900000000005</v>
      </c>
      <c r="AA166" s="10">
        <v>8.6772991018493499</v>
      </c>
    </row>
    <row r="167" spans="1:27" s="1" customFormat="1" x14ac:dyDescent="0.25">
      <c r="A167" s="49"/>
      <c r="B167" s="11">
        <v>22</v>
      </c>
      <c r="C167" s="3">
        <v>41283</v>
      </c>
      <c r="D167" s="1">
        <v>0.8</v>
      </c>
      <c r="E167" s="1">
        <v>0.6</v>
      </c>
      <c r="F167" s="1">
        <v>1</v>
      </c>
      <c r="G167" s="1">
        <f t="shared" si="12"/>
        <v>1011.3000000000001</v>
      </c>
      <c r="H167" s="1">
        <f t="shared" ref="H167:H229" si="20">H166+D167</f>
        <v>8.1000000000000014</v>
      </c>
      <c r="I167" s="12" t="s">
        <v>6</v>
      </c>
      <c r="J167" s="1">
        <v>2.1</v>
      </c>
      <c r="K167" s="1">
        <f t="shared" si="13"/>
        <v>371.79999999999978</v>
      </c>
      <c r="L167" s="1">
        <v>0.4</v>
      </c>
      <c r="M167" s="1">
        <f t="shared" si="14"/>
        <v>114.39999999999998</v>
      </c>
      <c r="N167" s="1">
        <v>1.7000000000000002</v>
      </c>
      <c r="O167" s="1">
        <v>122.1</v>
      </c>
      <c r="P167" s="1">
        <v>120</v>
      </c>
      <c r="Q167" s="1">
        <v>1</v>
      </c>
      <c r="R167" s="9">
        <f t="shared" si="10"/>
        <v>0.4</v>
      </c>
      <c r="S167" s="9">
        <f t="shared" si="11"/>
        <v>1.7000000000000002</v>
      </c>
      <c r="T167" s="9">
        <f t="shared" si="15"/>
        <v>122.1</v>
      </c>
      <c r="U167" s="12" t="s">
        <v>7</v>
      </c>
      <c r="V167" s="1">
        <v>113.4</v>
      </c>
      <c r="X167" s="1">
        <f t="shared" si="16"/>
        <v>54339.599999999991</v>
      </c>
      <c r="Y167" s="1">
        <f t="shared" ref="Y167:Y230" si="21">Y166+V167</f>
        <v>487</v>
      </c>
      <c r="Z167" s="12" t="s">
        <v>8</v>
      </c>
      <c r="AA167" s="10">
        <v>8.7017468830134099</v>
      </c>
    </row>
    <row r="168" spans="1:27" s="1" customFormat="1" x14ac:dyDescent="0.25">
      <c r="A168" s="49"/>
      <c r="B168" s="11">
        <v>23</v>
      </c>
      <c r="C168" s="3">
        <v>41284</v>
      </c>
      <c r="D168" s="1">
        <v>2.4</v>
      </c>
      <c r="E168" s="1">
        <v>0.8</v>
      </c>
      <c r="F168" s="1">
        <v>6.1</v>
      </c>
      <c r="G168" s="1">
        <f t="shared" si="12"/>
        <v>1013.7</v>
      </c>
      <c r="H168" s="1">
        <f t="shared" si="20"/>
        <v>10.500000000000002</v>
      </c>
      <c r="I168" s="1">
        <f>MAX(F165:F222)</f>
        <v>15.2</v>
      </c>
      <c r="J168" s="1">
        <v>9.3000000000000007</v>
      </c>
      <c r="K168" s="1">
        <f t="shared" si="13"/>
        <v>381.0999999999998</v>
      </c>
      <c r="L168" s="1">
        <v>0.5</v>
      </c>
      <c r="M168" s="1">
        <f t="shared" si="14"/>
        <v>114.89999999999998</v>
      </c>
      <c r="N168" s="1">
        <v>8.8000000000000007</v>
      </c>
      <c r="O168" s="1">
        <v>122.1</v>
      </c>
      <c r="P168" s="1">
        <v>121</v>
      </c>
      <c r="Q168" s="1">
        <v>1</v>
      </c>
      <c r="R168" s="9">
        <f t="shared" si="10"/>
        <v>0.5</v>
      </c>
      <c r="S168" s="9">
        <f t="shared" si="11"/>
        <v>8.8000000000000007</v>
      </c>
      <c r="T168" s="9">
        <f t="shared" si="15"/>
        <v>122.1</v>
      </c>
      <c r="U168" s="1">
        <v>0</v>
      </c>
      <c r="V168" s="1">
        <v>106.1</v>
      </c>
      <c r="X168" s="1">
        <f t="shared" si="16"/>
        <v>54445.69999999999</v>
      </c>
      <c r="Y168" s="1">
        <f t="shared" si="21"/>
        <v>593.1</v>
      </c>
      <c r="Z168" s="1">
        <f>(Z166/100)/I178</f>
        <v>2.1097195442594221</v>
      </c>
      <c r="AA168" s="10">
        <v>8.7274432386980507</v>
      </c>
    </row>
    <row r="169" spans="1:27" s="1" customFormat="1" x14ac:dyDescent="0.25">
      <c r="A169" s="49"/>
      <c r="B169" s="11">
        <v>24</v>
      </c>
      <c r="C169" s="3">
        <v>41285</v>
      </c>
      <c r="D169" s="1">
        <v>4.5</v>
      </c>
      <c r="E169" s="1">
        <v>3.4</v>
      </c>
      <c r="F169" s="1">
        <v>6</v>
      </c>
      <c r="G169" s="1">
        <f t="shared" si="12"/>
        <v>1018.2</v>
      </c>
      <c r="H169" s="1">
        <f t="shared" si="20"/>
        <v>15.000000000000002</v>
      </c>
      <c r="I169" s="12" t="s">
        <v>9</v>
      </c>
      <c r="J169" s="1">
        <v>0.3</v>
      </c>
      <c r="K169" s="1">
        <f t="shared" si="13"/>
        <v>381.39999999999981</v>
      </c>
      <c r="L169" s="1">
        <v>0.4</v>
      </c>
      <c r="M169" s="1">
        <f t="shared" si="14"/>
        <v>115.29999999999998</v>
      </c>
      <c r="N169" s="1">
        <v>-0.10000000000000003</v>
      </c>
      <c r="O169" s="1">
        <f t="shared" ref="O169:O176" si="22">O168+N169</f>
        <v>122</v>
      </c>
      <c r="P169" s="1">
        <v>122</v>
      </c>
      <c r="Q169" s="1">
        <v>1</v>
      </c>
      <c r="R169" s="9">
        <f t="shared" si="10"/>
        <v>0.4</v>
      </c>
      <c r="S169" s="9">
        <f t="shared" si="11"/>
        <v>-0.10000000000000003</v>
      </c>
      <c r="T169" s="9">
        <f t="shared" si="15"/>
        <v>122</v>
      </c>
      <c r="U169" s="12" t="s">
        <v>10</v>
      </c>
      <c r="V169" s="1">
        <v>126.6</v>
      </c>
      <c r="X169" s="1">
        <f t="shared" si="16"/>
        <v>54572.299999999988</v>
      </c>
      <c r="Y169" s="1">
        <f t="shared" si="21"/>
        <v>719.7</v>
      </c>
      <c r="Z169" s="12" t="s">
        <v>11</v>
      </c>
      <c r="AA169" s="10">
        <v>8.7543630239634904</v>
      </c>
    </row>
    <row r="170" spans="1:27" s="1" customFormat="1" x14ac:dyDescent="0.25">
      <c r="A170" s="49"/>
      <c r="B170" s="11">
        <v>25</v>
      </c>
      <c r="C170" s="3">
        <v>41286</v>
      </c>
      <c r="D170" s="1">
        <v>1.7</v>
      </c>
      <c r="E170" s="1">
        <v>0.3</v>
      </c>
      <c r="F170" s="1">
        <v>2.6</v>
      </c>
      <c r="G170" s="1">
        <f t="shared" si="12"/>
        <v>1019.9000000000001</v>
      </c>
      <c r="H170" s="1">
        <f t="shared" si="20"/>
        <v>16.700000000000003</v>
      </c>
      <c r="I170" s="9">
        <f>AVERAGE(D165:D222)</f>
        <v>1.3120689655172415</v>
      </c>
      <c r="J170" s="1">
        <v>0.3</v>
      </c>
      <c r="K170" s="1">
        <f t="shared" si="13"/>
        <v>381.69999999999982</v>
      </c>
      <c r="L170" s="1">
        <v>0.2</v>
      </c>
      <c r="M170" s="1">
        <f t="shared" si="14"/>
        <v>115.49999999999999</v>
      </c>
      <c r="N170" s="1">
        <v>9.9999999999999978E-2</v>
      </c>
      <c r="O170" s="1">
        <f t="shared" si="22"/>
        <v>122.1</v>
      </c>
      <c r="P170" s="1">
        <v>123</v>
      </c>
      <c r="Q170" s="1">
        <v>1</v>
      </c>
      <c r="R170" s="9">
        <f t="shared" si="10"/>
        <v>0.2</v>
      </c>
      <c r="S170" s="9">
        <f t="shared" si="11"/>
        <v>9.9999999999999978E-2</v>
      </c>
      <c r="T170" s="9">
        <f t="shared" si="15"/>
        <v>122.1</v>
      </c>
      <c r="U170" s="1">
        <v>0</v>
      </c>
      <c r="V170" s="1">
        <v>227.3</v>
      </c>
      <c r="X170" s="1">
        <f t="shared" si="16"/>
        <v>54799.599999999991</v>
      </c>
      <c r="Y170" s="1">
        <f t="shared" si="21"/>
        <v>947</v>
      </c>
      <c r="Z170" s="1">
        <v>55</v>
      </c>
      <c r="AA170" s="10">
        <v>8.7824803499272903</v>
      </c>
    </row>
    <row r="171" spans="1:27" s="1" customFormat="1" x14ac:dyDescent="0.25">
      <c r="A171" s="49"/>
      <c r="B171" s="11">
        <v>26</v>
      </c>
      <c r="C171" s="3">
        <v>41287</v>
      </c>
      <c r="D171" s="1">
        <v>3.1</v>
      </c>
      <c r="E171" s="1">
        <v>2.5</v>
      </c>
      <c r="F171" s="1">
        <v>4</v>
      </c>
      <c r="G171" s="1">
        <f t="shared" si="12"/>
        <v>1023.0000000000001</v>
      </c>
      <c r="H171" s="1">
        <f t="shared" si="20"/>
        <v>19.800000000000004</v>
      </c>
      <c r="I171" s="12" t="s">
        <v>12</v>
      </c>
      <c r="J171" s="1">
        <v>0</v>
      </c>
      <c r="K171" s="1">
        <f t="shared" si="13"/>
        <v>381.69999999999982</v>
      </c>
      <c r="L171" s="1">
        <v>0.2</v>
      </c>
      <c r="M171" s="1">
        <f t="shared" si="14"/>
        <v>115.69999999999999</v>
      </c>
      <c r="N171" s="1">
        <v>-0.2</v>
      </c>
      <c r="O171" s="1">
        <f t="shared" si="22"/>
        <v>121.89999999999999</v>
      </c>
      <c r="P171" s="1">
        <v>124</v>
      </c>
      <c r="Q171" s="1">
        <v>1</v>
      </c>
      <c r="R171" s="9">
        <f t="shared" si="10"/>
        <v>0.2</v>
      </c>
      <c r="S171" s="9">
        <f t="shared" si="11"/>
        <v>-0.2</v>
      </c>
      <c r="T171" s="9">
        <f t="shared" si="15"/>
        <v>121.89999999999999</v>
      </c>
      <c r="U171" s="12" t="s">
        <v>13</v>
      </c>
      <c r="V171" s="1">
        <v>134.19999999999999</v>
      </c>
      <c r="X171" s="1">
        <f t="shared" si="16"/>
        <v>54933.799999999988</v>
      </c>
      <c r="Y171" s="1">
        <f t="shared" si="21"/>
        <v>1081.2</v>
      </c>
      <c r="AA171" s="10">
        <v>8.8117686671801199</v>
      </c>
    </row>
    <row r="172" spans="1:27" s="1" customFormat="1" x14ac:dyDescent="0.25">
      <c r="A172" s="49"/>
      <c r="B172" s="11">
        <v>27</v>
      </c>
      <c r="C172" s="3">
        <v>41288</v>
      </c>
      <c r="D172" s="1">
        <v>-0.1</v>
      </c>
      <c r="E172" s="1">
        <v>-2.2999999999999998</v>
      </c>
      <c r="F172" s="1">
        <v>1.6</v>
      </c>
      <c r="G172" s="1">
        <v>1023</v>
      </c>
      <c r="H172" s="1">
        <v>19.8</v>
      </c>
      <c r="I172" s="1">
        <v>34</v>
      </c>
      <c r="J172" s="1">
        <v>0.2</v>
      </c>
      <c r="K172" s="1">
        <f t="shared" si="13"/>
        <v>381.89999999999981</v>
      </c>
      <c r="L172" s="1">
        <v>0.3</v>
      </c>
      <c r="M172" s="1">
        <f t="shared" si="14"/>
        <v>115.99999999999999</v>
      </c>
      <c r="N172" s="1">
        <v>-9.9999999999999978E-2</v>
      </c>
      <c r="O172" s="1">
        <f t="shared" si="22"/>
        <v>121.8</v>
      </c>
      <c r="P172" s="1">
        <v>125</v>
      </c>
      <c r="Q172" s="1">
        <v>1</v>
      </c>
      <c r="R172" s="9">
        <f t="shared" si="10"/>
        <v>0.3</v>
      </c>
      <c r="S172" s="9">
        <f t="shared" si="11"/>
        <v>-9.9999999999999978E-2</v>
      </c>
      <c r="T172" s="9">
        <f t="shared" si="15"/>
        <v>121.8</v>
      </c>
      <c r="U172" s="9">
        <f>MIN(T165:T222)</f>
        <v>105.60000000000001</v>
      </c>
      <c r="V172" s="1">
        <v>213.2</v>
      </c>
      <c r="X172" s="1">
        <f t="shared" si="16"/>
        <v>55146.999999999985</v>
      </c>
      <c r="Y172" s="1">
        <f t="shared" si="21"/>
        <v>1294.4000000000001</v>
      </c>
      <c r="AA172" s="10">
        <v>8.8422008486841808</v>
      </c>
    </row>
    <row r="173" spans="1:27" s="1" customFormat="1" x14ac:dyDescent="0.25">
      <c r="A173" s="49"/>
      <c r="B173" s="11">
        <v>28</v>
      </c>
      <c r="C173" s="3">
        <v>41289</v>
      </c>
      <c r="D173" s="1">
        <v>-0.8</v>
      </c>
      <c r="E173" s="1">
        <v>-2.8</v>
      </c>
      <c r="F173" s="1">
        <v>0.6</v>
      </c>
      <c r="G173" s="1">
        <v>1023</v>
      </c>
      <c r="H173" s="1">
        <v>19.8</v>
      </c>
      <c r="I173" s="12" t="s">
        <v>14</v>
      </c>
      <c r="J173" s="1">
        <v>0.2</v>
      </c>
      <c r="K173" s="1">
        <f t="shared" si="13"/>
        <v>382.0999999999998</v>
      </c>
      <c r="L173" s="1">
        <v>0.3</v>
      </c>
      <c r="M173" s="1">
        <f t="shared" si="14"/>
        <v>116.29999999999998</v>
      </c>
      <c r="N173" s="1">
        <v>-9.9999999999999978E-2</v>
      </c>
      <c r="O173" s="1">
        <f t="shared" si="22"/>
        <v>121.7</v>
      </c>
      <c r="P173" s="1">
        <v>126</v>
      </c>
      <c r="Q173" s="1">
        <v>1</v>
      </c>
      <c r="R173" s="9">
        <f t="shared" si="10"/>
        <v>0.3</v>
      </c>
      <c r="S173" s="9">
        <f t="shared" si="11"/>
        <v>-9.9999999999999978E-2</v>
      </c>
      <c r="T173" s="9">
        <f t="shared" si="15"/>
        <v>121.7</v>
      </c>
      <c r="U173" s="12" t="s">
        <v>15</v>
      </c>
      <c r="V173" s="1">
        <v>257.89999999999998</v>
      </c>
      <c r="X173" s="1">
        <f t="shared" si="16"/>
        <v>55404.899999999987</v>
      </c>
      <c r="Y173" s="1">
        <f t="shared" si="21"/>
        <v>1552.3000000000002</v>
      </c>
      <c r="AA173" s="10">
        <v>8.8737492717029198</v>
      </c>
    </row>
    <row r="174" spans="1:27" s="1" customFormat="1" x14ac:dyDescent="0.25">
      <c r="A174" s="49"/>
      <c r="B174" s="11">
        <v>29</v>
      </c>
      <c r="C174" s="3">
        <v>41290</v>
      </c>
      <c r="D174" s="1">
        <v>-2.1</v>
      </c>
      <c r="E174" s="1">
        <v>-2.6</v>
      </c>
      <c r="F174" s="1">
        <v>0.5</v>
      </c>
      <c r="G174" s="1">
        <v>1023</v>
      </c>
      <c r="H174" s="1">
        <v>19.8</v>
      </c>
      <c r="I174" s="1">
        <v>0</v>
      </c>
      <c r="J174" s="1">
        <v>0</v>
      </c>
      <c r="K174" s="1">
        <f t="shared" si="13"/>
        <v>382.0999999999998</v>
      </c>
      <c r="L174" s="1">
        <v>0.5</v>
      </c>
      <c r="M174" s="1">
        <f t="shared" si="14"/>
        <v>116.79999999999998</v>
      </c>
      <c r="N174" s="1">
        <v>-0.5</v>
      </c>
      <c r="O174" s="1">
        <f t="shared" si="22"/>
        <v>121.2</v>
      </c>
      <c r="P174" s="1">
        <v>127</v>
      </c>
      <c r="Q174" s="1">
        <v>1</v>
      </c>
      <c r="R174" s="9">
        <f t="shared" si="10"/>
        <v>0.5</v>
      </c>
      <c r="S174" s="9">
        <f t="shared" si="11"/>
        <v>-0.5</v>
      </c>
      <c r="T174" s="9">
        <f t="shared" si="15"/>
        <v>121.2</v>
      </c>
      <c r="U174" s="1">
        <v>122.1</v>
      </c>
      <c r="V174" s="1">
        <v>264</v>
      </c>
      <c r="X174" s="1">
        <f t="shared" si="16"/>
        <v>55668.899999999987</v>
      </c>
      <c r="Y174" s="1">
        <f t="shared" si="21"/>
        <v>1816.3000000000002</v>
      </c>
      <c r="AA174" s="10">
        <v>8.9063858983418207</v>
      </c>
    </row>
    <row r="175" spans="1:27" s="1" customFormat="1" x14ac:dyDescent="0.25">
      <c r="A175" s="49"/>
      <c r="B175" s="11">
        <v>30</v>
      </c>
      <c r="C175" s="3">
        <v>41291</v>
      </c>
      <c r="D175" s="1">
        <v>-3.9</v>
      </c>
      <c r="E175" s="1">
        <v>-6.2</v>
      </c>
      <c r="F175" s="1">
        <v>-2</v>
      </c>
      <c r="G175" s="1">
        <v>1023</v>
      </c>
      <c r="H175" s="1">
        <v>19.8</v>
      </c>
      <c r="I175" s="12" t="s">
        <v>16</v>
      </c>
      <c r="J175" s="1">
        <v>0</v>
      </c>
      <c r="K175" s="1">
        <f t="shared" si="13"/>
        <v>382.0999999999998</v>
      </c>
      <c r="L175" s="1">
        <v>0.4</v>
      </c>
      <c r="M175" s="1">
        <f t="shared" si="14"/>
        <v>117.19999999999999</v>
      </c>
      <c r="N175" s="1">
        <v>-0.4</v>
      </c>
      <c r="O175" s="1">
        <f t="shared" si="22"/>
        <v>120.8</v>
      </c>
      <c r="P175" s="1">
        <v>128</v>
      </c>
      <c r="Q175" s="1">
        <v>1</v>
      </c>
      <c r="R175" s="9">
        <f t="shared" si="10"/>
        <v>0.4</v>
      </c>
      <c r="S175" s="9">
        <f t="shared" si="11"/>
        <v>-0.4</v>
      </c>
      <c r="T175" s="9">
        <f t="shared" si="15"/>
        <v>120.8</v>
      </c>
      <c r="U175" s="12" t="s">
        <v>17</v>
      </c>
      <c r="V175" s="1">
        <v>151.80000000000001</v>
      </c>
      <c r="X175" s="1">
        <f t="shared" si="16"/>
        <v>55820.69999999999</v>
      </c>
      <c r="Y175" s="1">
        <f t="shared" si="21"/>
        <v>1968.1000000000001</v>
      </c>
      <c r="AA175" s="10">
        <v>8.9400823543144607</v>
      </c>
    </row>
    <row r="176" spans="1:27" s="1" customFormat="1" x14ac:dyDescent="0.25">
      <c r="A176" s="49"/>
      <c r="B176" s="11">
        <v>31</v>
      </c>
      <c r="C176" s="3">
        <v>41292</v>
      </c>
      <c r="D176" s="1">
        <v>-3.7</v>
      </c>
      <c r="E176" s="1">
        <v>-4.8</v>
      </c>
      <c r="F176" s="1">
        <v>-2.4</v>
      </c>
      <c r="G176" s="1">
        <v>1023</v>
      </c>
      <c r="H176" s="1">
        <v>19.8</v>
      </c>
      <c r="I176" s="1">
        <v>22</v>
      </c>
      <c r="J176" s="1">
        <v>0</v>
      </c>
      <c r="K176" s="1">
        <f t="shared" si="13"/>
        <v>382.0999999999998</v>
      </c>
      <c r="L176" s="1">
        <v>0.4</v>
      </c>
      <c r="M176" s="1">
        <f t="shared" si="14"/>
        <v>117.6</v>
      </c>
      <c r="N176" s="1">
        <v>-0.4</v>
      </c>
      <c r="O176" s="1">
        <f t="shared" si="22"/>
        <v>120.39999999999999</v>
      </c>
      <c r="P176" s="1">
        <v>129</v>
      </c>
      <c r="Q176" s="1">
        <v>1</v>
      </c>
      <c r="R176" s="9">
        <f t="shared" ref="R176:R239" si="23">Q176*L176</f>
        <v>0.4</v>
      </c>
      <c r="S176" s="9">
        <f t="shared" ref="S176:S239" si="24">J176-R176</f>
        <v>-0.4</v>
      </c>
      <c r="T176" s="9">
        <f t="shared" si="15"/>
        <v>120.39999999999999</v>
      </c>
      <c r="U176" s="20">
        <f>AVERAGE(T165:T222)</f>
        <v>119.16038672252661</v>
      </c>
      <c r="V176" s="1">
        <v>503.7</v>
      </c>
      <c r="X176" s="1">
        <f t="shared" si="16"/>
        <v>56324.399999999987</v>
      </c>
      <c r="Y176" s="1">
        <f t="shared" si="21"/>
        <v>2471.8000000000002</v>
      </c>
      <c r="AA176" s="10">
        <v>8.9748100055834303</v>
      </c>
    </row>
    <row r="177" spans="1:27" s="1" customFormat="1" x14ac:dyDescent="0.25">
      <c r="A177" s="49"/>
      <c r="B177" s="7">
        <v>7</v>
      </c>
      <c r="C177" s="3">
        <v>41293</v>
      </c>
      <c r="D177" s="1">
        <v>-0.7</v>
      </c>
      <c r="E177" s="1">
        <v>-4</v>
      </c>
      <c r="F177" s="1">
        <v>1</v>
      </c>
      <c r="G177" s="1">
        <v>1023</v>
      </c>
      <c r="H177" s="1">
        <v>19.8</v>
      </c>
      <c r="I177" s="12" t="s">
        <v>18</v>
      </c>
      <c r="J177" s="1">
        <v>12.7</v>
      </c>
      <c r="K177" s="1">
        <f t="shared" si="13"/>
        <v>394.79999999999978</v>
      </c>
      <c r="L177" s="1">
        <v>0.2</v>
      </c>
      <c r="M177" s="1">
        <f t="shared" si="14"/>
        <v>117.8</v>
      </c>
      <c r="N177" s="1">
        <v>12.5</v>
      </c>
      <c r="O177" s="1">
        <v>122.1</v>
      </c>
      <c r="P177" s="1">
        <v>130</v>
      </c>
      <c r="Q177" s="1">
        <v>1</v>
      </c>
      <c r="R177" s="9">
        <f t="shared" si="23"/>
        <v>0.2</v>
      </c>
      <c r="S177" s="9">
        <f t="shared" si="24"/>
        <v>12.5</v>
      </c>
      <c r="T177" s="9">
        <f t="shared" si="15"/>
        <v>122.1</v>
      </c>
      <c r="U177" s="12" t="s">
        <v>20</v>
      </c>
      <c r="V177" s="1">
        <v>122.3</v>
      </c>
      <c r="X177" s="1">
        <f t="shared" si="16"/>
        <v>56446.69999999999</v>
      </c>
      <c r="Y177" s="1">
        <f t="shared" si="21"/>
        <v>2594.1000000000004</v>
      </c>
      <c r="AA177" s="1">
        <v>9.0105400325625897</v>
      </c>
    </row>
    <row r="178" spans="1:27" s="1" customFormat="1" x14ac:dyDescent="0.25">
      <c r="A178" s="49"/>
      <c r="B178" s="7"/>
      <c r="C178" s="3">
        <v>41294</v>
      </c>
      <c r="D178" s="1">
        <v>1</v>
      </c>
      <c r="E178" s="1">
        <v>-0.4</v>
      </c>
      <c r="F178" s="1">
        <v>3.3</v>
      </c>
      <c r="G178" s="1">
        <f t="shared" ref="G178:G241" si="25">G177+D178</f>
        <v>1024</v>
      </c>
      <c r="H178" s="1">
        <f t="shared" si="20"/>
        <v>20.8</v>
      </c>
      <c r="I178" s="1">
        <v>114.1</v>
      </c>
      <c r="J178" s="1">
        <v>0.9</v>
      </c>
      <c r="K178" s="1">
        <f t="shared" ref="K178:K241" si="26">K177+J178</f>
        <v>395.69999999999976</v>
      </c>
      <c r="L178" s="1">
        <v>0.5</v>
      </c>
      <c r="M178" s="1">
        <f t="shared" ref="M178:M241" si="27">M177+L178</f>
        <v>118.3</v>
      </c>
      <c r="N178" s="1">
        <v>0.4</v>
      </c>
      <c r="O178" s="1">
        <v>122.1</v>
      </c>
      <c r="P178" s="1">
        <v>131</v>
      </c>
      <c r="Q178" s="1">
        <v>1</v>
      </c>
      <c r="R178" s="9">
        <f t="shared" si="23"/>
        <v>0.5</v>
      </c>
      <c r="S178" s="9">
        <f t="shared" si="24"/>
        <v>0.4</v>
      </c>
      <c r="T178" s="9">
        <f t="shared" ref="T178:T241" si="28">MIN(122.1,(T177+S178))</f>
        <v>122.1</v>
      </c>
      <c r="U178" s="1">
        <v>31</v>
      </c>
      <c r="V178" s="1">
        <v>290</v>
      </c>
      <c r="X178" s="1">
        <f t="shared" ref="X178:X241" si="29">X177+V178</f>
        <v>56736.69999999999</v>
      </c>
      <c r="Y178" s="1">
        <f t="shared" si="21"/>
        <v>2884.1000000000004</v>
      </c>
      <c r="AA178" s="1">
        <v>9.0472435016045605</v>
      </c>
    </row>
    <row r="179" spans="1:27" s="1" customFormat="1" x14ac:dyDescent="0.25">
      <c r="A179" s="49"/>
      <c r="B179" s="7"/>
      <c r="C179" s="3">
        <v>41295</v>
      </c>
      <c r="D179" s="1">
        <v>1.5</v>
      </c>
      <c r="E179" s="1">
        <v>-0.6</v>
      </c>
      <c r="F179" s="1">
        <v>4.7</v>
      </c>
      <c r="G179" s="1">
        <f t="shared" si="25"/>
        <v>1025.5</v>
      </c>
      <c r="H179" s="1">
        <f t="shared" si="20"/>
        <v>22.3</v>
      </c>
      <c r="J179" s="1">
        <v>1.1000000000000001</v>
      </c>
      <c r="K179" s="1">
        <f t="shared" si="26"/>
        <v>396.79999999999978</v>
      </c>
      <c r="L179" s="1">
        <v>0.5</v>
      </c>
      <c r="M179" s="1">
        <f t="shared" si="27"/>
        <v>118.8</v>
      </c>
      <c r="N179" s="1">
        <v>0.60000000000000009</v>
      </c>
      <c r="O179" s="1">
        <v>122.1</v>
      </c>
      <c r="P179" s="1">
        <v>132</v>
      </c>
      <c r="Q179" s="1">
        <v>1</v>
      </c>
      <c r="R179" s="9">
        <f t="shared" si="23"/>
        <v>0.5</v>
      </c>
      <c r="S179" s="9">
        <f t="shared" si="24"/>
        <v>0.60000000000000009</v>
      </c>
      <c r="T179" s="9">
        <f t="shared" si="28"/>
        <v>122.1</v>
      </c>
      <c r="V179" s="1">
        <v>163.4</v>
      </c>
      <c r="X179" s="1">
        <f t="shared" si="29"/>
        <v>56900.099999999991</v>
      </c>
      <c r="Y179" s="1">
        <f t="shared" si="21"/>
        <v>3047.5000000000005</v>
      </c>
      <c r="AA179" s="1">
        <v>9.0848914335344801</v>
      </c>
    </row>
    <row r="180" spans="1:27" s="1" customFormat="1" x14ac:dyDescent="0.25">
      <c r="A180" s="49"/>
      <c r="B180" s="7"/>
      <c r="C180" s="3">
        <v>41296</v>
      </c>
      <c r="D180" s="1">
        <v>2.5</v>
      </c>
      <c r="E180" s="1">
        <v>1.4</v>
      </c>
      <c r="F180" s="1">
        <v>5.8</v>
      </c>
      <c r="G180" s="1">
        <f t="shared" si="25"/>
        <v>1028</v>
      </c>
      <c r="H180" s="1">
        <f t="shared" si="20"/>
        <v>24.8</v>
      </c>
      <c r="J180" s="1">
        <v>0</v>
      </c>
      <c r="K180" s="1">
        <f t="shared" si="26"/>
        <v>396.79999999999978</v>
      </c>
      <c r="L180" s="1">
        <v>0.7</v>
      </c>
      <c r="M180" s="1">
        <f t="shared" si="27"/>
        <v>119.5</v>
      </c>
      <c r="N180" s="1">
        <v>-0.7</v>
      </c>
      <c r="O180" s="1">
        <f>O179+N180</f>
        <v>121.39999999999999</v>
      </c>
      <c r="P180" s="1">
        <v>133</v>
      </c>
      <c r="Q180" s="1">
        <v>1</v>
      </c>
      <c r="R180" s="9">
        <f t="shared" si="23"/>
        <v>0.7</v>
      </c>
      <c r="S180" s="9">
        <f t="shared" si="24"/>
        <v>-0.7</v>
      </c>
      <c r="T180" s="9">
        <f t="shared" si="28"/>
        <v>121.39999999999999</v>
      </c>
      <c r="U180" s="9">
        <f>(U176*100)/122.1</f>
        <v>97.592454318203622</v>
      </c>
      <c r="V180" s="1">
        <v>236.3</v>
      </c>
      <c r="X180" s="1">
        <f t="shared" si="29"/>
        <v>57136.399999999994</v>
      </c>
      <c r="Y180" s="1">
        <f t="shared" si="21"/>
        <v>3283.8000000000006</v>
      </c>
      <c r="AA180" s="1">
        <v>9.1234548690283503</v>
      </c>
    </row>
    <row r="181" spans="1:27" s="1" customFormat="1" x14ac:dyDescent="0.25">
      <c r="A181" s="49"/>
      <c r="B181" s="7"/>
      <c r="C181" s="3">
        <v>41297</v>
      </c>
      <c r="D181" s="1">
        <v>1.1000000000000001</v>
      </c>
      <c r="E181" s="1">
        <v>-1.5</v>
      </c>
      <c r="F181" s="1">
        <v>3.6</v>
      </c>
      <c r="G181" s="1">
        <f t="shared" si="25"/>
        <v>1029.0999999999999</v>
      </c>
      <c r="H181" s="1">
        <f t="shared" si="20"/>
        <v>25.900000000000002</v>
      </c>
      <c r="J181" s="1">
        <v>0</v>
      </c>
      <c r="K181" s="1">
        <f t="shared" si="26"/>
        <v>396.79999999999978</v>
      </c>
      <c r="L181" s="1">
        <v>0.6</v>
      </c>
      <c r="M181" s="1">
        <f t="shared" si="27"/>
        <v>120.1</v>
      </c>
      <c r="N181" s="1">
        <v>-0.6</v>
      </c>
      <c r="O181" s="1">
        <f>O180+N181</f>
        <v>120.8</v>
      </c>
      <c r="P181" s="1">
        <v>134</v>
      </c>
      <c r="Q181" s="1">
        <v>1</v>
      </c>
      <c r="R181" s="9">
        <f t="shared" si="23"/>
        <v>0.6</v>
      </c>
      <c r="S181" s="9">
        <f t="shared" si="24"/>
        <v>-0.6</v>
      </c>
      <c r="T181" s="9">
        <f t="shared" si="28"/>
        <v>120.8</v>
      </c>
      <c r="V181" s="1">
        <v>591.1</v>
      </c>
      <c r="X181" s="1">
        <f t="shared" si="29"/>
        <v>57727.499999999993</v>
      </c>
      <c r="Y181" s="1">
        <f t="shared" si="21"/>
        <v>3874.9000000000005</v>
      </c>
      <c r="AA181" s="1">
        <v>9.1629049306699404</v>
      </c>
    </row>
    <row r="182" spans="1:27" s="1" customFormat="1" x14ac:dyDescent="0.25">
      <c r="A182" s="49"/>
      <c r="B182" s="7"/>
      <c r="C182" s="3">
        <v>41298</v>
      </c>
      <c r="D182" s="1">
        <v>0.4</v>
      </c>
      <c r="E182" s="1">
        <v>-0.5</v>
      </c>
      <c r="F182" s="1">
        <v>1.8</v>
      </c>
      <c r="G182" s="1">
        <f t="shared" si="25"/>
        <v>1029.5</v>
      </c>
      <c r="H182" s="1">
        <f t="shared" si="20"/>
        <v>26.3</v>
      </c>
      <c r="J182" s="1">
        <v>0</v>
      </c>
      <c r="K182" s="1">
        <f t="shared" si="26"/>
        <v>396.79999999999978</v>
      </c>
      <c r="L182" s="1">
        <v>0.6</v>
      </c>
      <c r="M182" s="1">
        <f t="shared" si="27"/>
        <v>120.69999999999999</v>
      </c>
      <c r="N182" s="1">
        <v>-0.6</v>
      </c>
      <c r="O182" s="1">
        <f>O181+N182</f>
        <v>120.2</v>
      </c>
      <c r="P182" s="1">
        <v>135</v>
      </c>
      <c r="Q182" s="1">
        <v>1</v>
      </c>
      <c r="R182" s="9">
        <f t="shared" si="23"/>
        <v>0.6</v>
      </c>
      <c r="S182" s="9">
        <f t="shared" si="24"/>
        <v>-0.6</v>
      </c>
      <c r="T182" s="9">
        <f t="shared" si="28"/>
        <v>120.2</v>
      </c>
      <c r="V182" s="1">
        <v>231</v>
      </c>
      <c r="X182" s="1">
        <f t="shared" si="29"/>
        <v>57958.499999999993</v>
      </c>
      <c r="Y182" s="1">
        <f t="shared" si="21"/>
        <v>4105.9000000000005</v>
      </c>
      <c r="AA182" s="1">
        <v>9.2032128815553307</v>
      </c>
    </row>
    <row r="183" spans="1:27" s="1" customFormat="1" x14ac:dyDescent="0.25">
      <c r="A183" s="49"/>
      <c r="B183" s="7"/>
      <c r="C183" s="3">
        <v>41299</v>
      </c>
      <c r="D183" s="1">
        <v>-3</v>
      </c>
      <c r="E183" s="1">
        <v>-3.4</v>
      </c>
      <c r="F183" s="1">
        <v>-2.1</v>
      </c>
      <c r="G183" s="1">
        <v>1029.5</v>
      </c>
      <c r="H183" s="1">
        <v>26.3</v>
      </c>
      <c r="J183" s="1">
        <v>0</v>
      </c>
      <c r="K183" s="1">
        <f t="shared" si="26"/>
        <v>396.79999999999978</v>
      </c>
      <c r="L183" s="1">
        <v>0.4</v>
      </c>
      <c r="M183" s="1">
        <f t="shared" si="27"/>
        <v>121.1</v>
      </c>
      <c r="N183" s="1">
        <v>-0.4</v>
      </c>
      <c r="O183" s="1">
        <f>O182+N183</f>
        <v>119.8</v>
      </c>
      <c r="P183" s="1">
        <v>136</v>
      </c>
      <c r="Q183" s="1">
        <v>1</v>
      </c>
      <c r="R183" s="9">
        <f t="shared" si="23"/>
        <v>0.4</v>
      </c>
      <c r="S183" s="9">
        <f t="shared" si="24"/>
        <v>-0.4</v>
      </c>
      <c r="T183" s="9">
        <f t="shared" si="28"/>
        <v>119.8</v>
      </c>
      <c r="V183" s="1">
        <v>296.8</v>
      </c>
      <c r="X183" s="1">
        <f t="shared" si="29"/>
        <v>58255.299999999996</v>
      </c>
      <c r="Y183" s="1">
        <f t="shared" si="21"/>
        <v>4402.7000000000007</v>
      </c>
      <c r="AA183" s="1">
        <v>9.2443501803474799</v>
      </c>
    </row>
    <row r="184" spans="1:27" s="1" customFormat="1" x14ac:dyDescent="0.25">
      <c r="A184" s="49"/>
      <c r="B184" s="7">
        <v>8</v>
      </c>
      <c r="C184" s="3">
        <v>41300</v>
      </c>
      <c r="D184" s="1">
        <v>-2.2000000000000002</v>
      </c>
      <c r="E184" s="1">
        <v>-5.9</v>
      </c>
      <c r="F184" s="1">
        <v>0.8</v>
      </c>
      <c r="G184" s="1">
        <v>1029.5</v>
      </c>
      <c r="H184" s="1">
        <v>26.3</v>
      </c>
      <c r="J184" s="1">
        <v>0</v>
      </c>
      <c r="K184" s="1">
        <f t="shared" si="26"/>
        <v>396.79999999999978</v>
      </c>
      <c r="L184" s="1">
        <v>0.5</v>
      </c>
      <c r="M184" s="1">
        <f t="shared" si="27"/>
        <v>121.6</v>
      </c>
      <c r="N184" s="1">
        <v>-0.5</v>
      </c>
      <c r="O184" s="1">
        <f>O183+N184</f>
        <v>119.3</v>
      </c>
      <c r="P184" s="1">
        <v>137</v>
      </c>
      <c r="Q184" s="1">
        <v>1</v>
      </c>
      <c r="R184" s="9">
        <f t="shared" si="23"/>
        <v>0.5</v>
      </c>
      <c r="S184" s="9">
        <f t="shared" si="24"/>
        <v>-0.5</v>
      </c>
      <c r="T184" s="9">
        <f t="shared" si="28"/>
        <v>119.3</v>
      </c>
      <c r="V184" s="1">
        <v>579.4</v>
      </c>
      <c r="X184" s="1">
        <f t="shared" si="29"/>
        <v>58834.7</v>
      </c>
      <c r="Y184" s="1">
        <f t="shared" si="21"/>
        <v>4982.1000000000004</v>
      </c>
      <c r="AA184" s="1">
        <v>9.2862885327142699</v>
      </c>
    </row>
    <row r="185" spans="1:27" s="1" customFormat="1" x14ac:dyDescent="0.25">
      <c r="A185" s="49"/>
      <c r="B185" s="7"/>
      <c r="C185" s="3">
        <v>41301</v>
      </c>
      <c r="D185" s="1">
        <v>2</v>
      </c>
      <c r="E185" s="1">
        <v>-0.2</v>
      </c>
      <c r="F185" s="1">
        <v>3</v>
      </c>
      <c r="G185" s="1">
        <f t="shared" si="25"/>
        <v>1031.5</v>
      </c>
      <c r="H185" s="1">
        <f t="shared" si="20"/>
        <v>28.3</v>
      </c>
      <c r="J185" s="1">
        <v>8.1</v>
      </c>
      <c r="K185" s="1">
        <f t="shared" si="26"/>
        <v>404.89999999999981</v>
      </c>
      <c r="L185" s="1">
        <v>0.2</v>
      </c>
      <c r="M185" s="1">
        <f t="shared" si="27"/>
        <v>121.8</v>
      </c>
      <c r="N185" s="1">
        <v>7.8999999999999995</v>
      </c>
      <c r="O185" s="1">
        <v>122.1</v>
      </c>
      <c r="P185" s="1">
        <v>138</v>
      </c>
      <c r="Q185" s="1">
        <v>1</v>
      </c>
      <c r="R185" s="9">
        <f t="shared" si="23"/>
        <v>0.2</v>
      </c>
      <c r="S185" s="9">
        <f t="shared" si="24"/>
        <v>7.8999999999999995</v>
      </c>
      <c r="T185" s="9">
        <f t="shared" si="28"/>
        <v>122.1</v>
      </c>
      <c r="V185" s="1">
        <v>95.4</v>
      </c>
      <c r="X185" s="1">
        <f t="shared" si="29"/>
        <v>58930.1</v>
      </c>
      <c r="Y185" s="1">
        <f t="shared" si="21"/>
        <v>5077.5</v>
      </c>
      <c r="AA185" s="1">
        <v>9.3289999391134604</v>
      </c>
    </row>
    <row r="186" spans="1:27" s="1" customFormat="1" x14ac:dyDescent="0.25">
      <c r="A186" s="49"/>
      <c r="B186" s="7"/>
      <c r="C186" s="3">
        <v>41302</v>
      </c>
      <c r="D186" s="1">
        <v>3.4</v>
      </c>
      <c r="E186" s="1">
        <v>0.4</v>
      </c>
      <c r="F186" s="1">
        <v>5.7</v>
      </c>
      <c r="G186" s="1">
        <f t="shared" si="25"/>
        <v>1034.9000000000001</v>
      </c>
      <c r="H186" s="1">
        <f t="shared" si="20"/>
        <v>31.7</v>
      </c>
      <c r="J186" s="1">
        <v>0.2</v>
      </c>
      <c r="K186" s="1">
        <f t="shared" si="26"/>
        <v>405.0999999999998</v>
      </c>
      <c r="L186" s="1">
        <v>0.1</v>
      </c>
      <c r="M186" s="1">
        <f t="shared" si="27"/>
        <v>121.89999999999999</v>
      </c>
      <c r="N186" s="1">
        <v>0.1</v>
      </c>
      <c r="O186" s="1">
        <v>122.1</v>
      </c>
      <c r="P186" s="1">
        <v>139</v>
      </c>
      <c r="Q186" s="1">
        <v>1</v>
      </c>
      <c r="R186" s="9">
        <f t="shared" si="23"/>
        <v>0.1</v>
      </c>
      <c r="S186" s="9">
        <f t="shared" si="24"/>
        <v>0.1</v>
      </c>
      <c r="T186" s="9">
        <f t="shared" si="28"/>
        <v>122.1</v>
      </c>
      <c r="V186" s="1">
        <v>184.2</v>
      </c>
      <c r="X186" s="1">
        <f t="shared" si="29"/>
        <v>59114.299999999996</v>
      </c>
      <c r="Y186" s="1">
        <f t="shared" si="21"/>
        <v>5261.7</v>
      </c>
      <c r="AA186" s="1">
        <v>9.3724567389148294</v>
      </c>
    </row>
    <row r="187" spans="1:27" s="1" customFormat="1" x14ac:dyDescent="0.25">
      <c r="A187" s="49"/>
      <c r="B187" s="7"/>
      <c r="C187" s="3">
        <v>41303</v>
      </c>
      <c r="D187" s="1">
        <v>6.3</v>
      </c>
      <c r="E187" s="1">
        <v>4.0999999999999996</v>
      </c>
      <c r="F187" s="1">
        <v>8.8000000000000007</v>
      </c>
      <c r="G187" s="1">
        <f t="shared" si="25"/>
        <v>1041.2</v>
      </c>
      <c r="H187" s="1">
        <f t="shared" si="20"/>
        <v>38</v>
      </c>
      <c r="J187" s="1">
        <v>4</v>
      </c>
      <c r="K187" s="1">
        <f t="shared" si="26"/>
        <v>409.0999999999998</v>
      </c>
      <c r="L187" s="1">
        <v>0.8</v>
      </c>
      <c r="M187" s="1">
        <f t="shared" si="27"/>
        <v>122.69999999999999</v>
      </c>
      <c r="N187" s="1">
        <v>3.2</v>
      </c>
      <c r="O187" s="1">
        <v>122.1</v>
      </c>
      <c r="P187" s="1">
        <v>140</v>
      </c>
      <c r="Q187" s="1">
        <v>1</v>
      </c>
      <c r="R187" s="9">
        <f t="shared" si="23"/>
        <v>0.8</v>
      </c>
      <c r="S187" s="9">
        <f t="shared" si="24"/>
        <v>3.2</v>
      </c>
      <c r="T187" s="9">
        <f t="shared" si="28"/>
        <v>122.1</v>
      </c>
      <c r="V187" s="1">
        <v>141.30000000000001</v>
      </c>
      <c r="X187" s="1">
        <f t="shared" si="29"/>
        <v>59255.6</v>
      </c>
      <c r="Y187" s="1">
        <f t="shared" si="21"/>
        <v>5403</v>
      </c>
      <c r="AA187" s="1">
        <v>9.4166316508751091</v>
      </c>
    </row>
    <row r="188" spans="1:27" s="1" customFormat="1" x14ac:dyDescent="0.25">
      <c r="A188" s="49"/>
      <c r="B188" s="7"/>
      <c r="C188" s="3">
        <v>41304</v>
      </c>
      <c r="D188" s="1">
        <v>10.6</v>
      </c>
      <c r="E188" s="1">
        <v>6.9</v>
      </c>
      <c r="F188" s="1">
        <v>15.2</v>
      </c>
      <c r="G188" s="1">
        <f t="shared" si="25"/>
        <v>1051.8</v>
      </c>
      <c r="H188" s="1">
        <f t="shared" si="20"/>
        <v>48.6</v>
      </c>
      <c r="J188" s="1">
        <v>1.9</v>
      </c>
      <c r="K188" s="1">
        <f t="shared" si="26"/>
        <v>410.99999999999977</v>
      </c>
      <c r="L188" s="1">
        <v>1.2</v>
      </c>
      <c r="M188" s="1">
        <f t="shared" si="27"/>
        <v>123.89999999999999</v>
      </c>
      <c r="N188" s="1">
        <v>0.7</v>
      </c>
      <c r="O188" s="1">
        <v>122.1</v>
      </c>
      <c r="P188" s="1">
        <v>141</v>
      </c>
      <c r="Q188" s="1">
        <v>1</v>
      </c>
      <c r="R188" s="9">
        <f t="shared" si="23"/>
        <v>1.2</v>
      </c>
      <c r="S188" s="9">
        <f t="shared" si="24"/>
        <v>0.7</v>
      </c>
      <c r="T188" s="9">
        <f t="shared" si="28"/>
        <v>122.1</v>
      </c>
      <c r="V188" s="1">
        <v>240.5</v>
      </c>
      <c r="X188" s="1">
        <f t="shared" si="29"/>
        <v>59496.1</v>
      </c>
      <c r="Y188" s="1">
        <f t="shared" si="21"/>
        <v>5643.5</v>
      </c>
      <c r="AA188" s="1">
        <v>9.4614978100036105</v>
      </c>
    </row>
    <row r="189" spans="1:27" s="1" customFormat="1" x14ac:dyDescent="0.25">
      <c r="A189" s="49"/>
      <c r="B189" s="7"/>
      <c r="C189" s="3">
        <v>41305</v>
      </c>
      <c r="D189" s="1">
        <v>7.6</v>
      </c>
      <c r="E189" s="1">
        <v>2.8</v>
      </c>
      <c r="F189" s="1">
        <v>10.3</v>
      </c>
      <c r="G189" s="1">
        <f t="shared" si="25"/>
        <v>1059.3999999999999</v>
      </c>
      <c r="H189" s="1">
        <f t="shared" si="20"/>
        <v>56.2</v>
      </c>
      <c r="J189" s="1">
        <v>3.1</v>
      </c>
      <c r="K189" s="1">
        <f t="shared" si="26"/>
        <v>414.0999999999998</v>
      </c>
      <c r="L189" s="1">
        <v>0.3</v>
      </c>
      <c r="M189" s="1">
        <f t="shared" si="27"/>
        <v>124.19999999999999</v>
      </c>
      <c r="N189" s="1">
        <v>2.8000000000000003</v>
      </c>
      <c r="O189" s="1">
        <v>122.1</v>
      </c>
      <c r="P189" s="1">
        <v>142</v>
      </c>
      <c r="Q189" s="1">
        <v>1</v>
      </c>
      <c r="R189" s="9">
        <f t="shared" si="23"/>
        <v>0.3</v>
      </c>
      <c r="S189" s="9">
        <f t="shared" si="24"/>
        <v>2.8000000000000003</v>
      </c>
      <c r="T189" s="9">
        <f t="shared" si="28"/>
        <v>122.1</v>
      </c>
      <c r="V189" s="1">
        <v>259.2</v>
      </c>
      <c r="X189" s="1">
        <f t="shared" si="29"/>
        <v>59755.299999999996</v>
      </c>
      <c r="Y189" s="1">
        <f t="shared" si="21"/>
        <v>5902.7</v>
      </c>
      <c r="AA189" s="1">
        <v>9.5070288008771495</v>
      </c>
    </row>
    <row r="190" spans="1:27" s="1" customFormat="1" x14ac:dyDescent="0.25">
      <c r="A190" s="49"/>
      <c r="B190" s="7"/>
      <c r="C190" s="3">
        <v>41306</v>
      </c>
      <c r="D190" s="1">
        <v>8.1999999999999993</v>
      </c>
      <c r="E190" s="1">
        <v>6.3</v>
      </c>
      <c r="F190" s="1">
        <v>10.3</v>
      </c>
      <c r="G190" s="1">
        <f t="shared" si="25"/>
        <v>1067.5999999999999</v>
      </c>
      <c r="H190" s="1">
        <f t="shared" si="20"/>
        <v>64.400000000000006</v>
      </c>
      <c r="J190" s="1">
        <v>17.8</v>
      </c>
      <c r="K190" s="1">
        <f t="shared" si="26"/>
        <v>431.89999999999981</v>
      </c>
      <c r="L190" s="1">
        <v>0.6</v>
      </c>
      <c r="M190" s="1">
        <f t="shared" si="27"/>
        <v>124.79999999999998</v>
      </c>
      <c r="N190" s="1">
        <v>17.2</v>
      </c>
      <c r="O190" s="1">
        <v>122.1</v>
      </c>
      <c r="P190" s="1">
        <v>143</v>
      </c>
      <c r="Q190" s="1">
        <v>1</v>
      </c>
      <c r="R190" s="9">
        <f t="shared" si="23"/>
        <v>0.6</v>
      </c>
      <c r="S190" s="9">
        <f t="shared" si="24"/>
        <v>17.2</v>
      </c>
      <c r="T190" s="9">
        <f t="shared" si="28"/>
        <v>122.1</v>
      </c>
      <c r="V190" s="1">
        <v>132.19999999999999</v>
      </c>
      <c r="X190" s="1">
        <f t="shared" si="29"/>
        <v>59887.499999999993</v>
      </c>
      <c r="Y190" s="1">
        <f t="shared" si="21"/>
        <v>6034.9</v>
      </c>
      <c r="AA190" s="1">
        <v>9.5531986874805099</v>
      </c>
    </row>
    <row r="191" spans="1:27" s="1" customFormat="1" x14ac:dyDescent="0.25">
      <c r="A191" s="49"/>
      <c r="B191" s="7">
        <v>9</v>
      </c>
      <c r="C191" s="3">
        <v>41307</v>
      </c>
      <c r="D191" s="1">
        <v>4.0999999999999996</v>
      </c>
      <c r="E191" s="1">
        <v>3.5</v>
      </c>
      <c r="F191" s="1">
        <v>5.8</v>
      </c>
      <c r="G191" s="1">
        <f t="shared" si="25"/>
        <v>1071.6999999999998</v>
      </c>
      <c r="H191" s="1">
        <f t="shared" si="20"/>
        <v>68.5</v>
      </c>
      <c r="J191" s="1">
        <v>0.2</v>
      </c>
      <c r="K191" s="1">
        <f t="shared" si="26"/>
        <v>432.0999999999998</v>
      </c>
      <c r="L191" s="1">
        <v>1</v>
      </c>
      <c r="M191" s="1">
        <f t="shared" si="27"/>
        <v>125.79999999999998</v>
      </c>
      <c r="N191" s="1">
        <v>-0.8</v>
      </c>
      <c r="O191" s="1">
        <f>O190+N191</f>
        <v>121.3</v>
      </c>
      <c r="P191" s="1">
        <v>144</v>
      </c>
      <c r="Q191" s="1">
        <v>1</v>
      </c>
      <c r="R191" s="9">
        <f t="shared" si="23"/>
        <v>1</v>
      </c>
      <c r="S191" s="9">
        <f t="shared" si="24"/>
        <v>-0.8</v>
      </c>
      <c r="T191" s="9">
        <f t="shared" si="28"/>
        <v>121.3</v>
      </c>
      <c r="V191" s="1">
        <v>498.3</v>
      </c>
      <c r="X191" s="1">
        <f t="shared" si="29"/>
        <v>60385.799999999996</v>
      </c>
      <c r="Y191" s="1">
        <f t="shared" si="21"/>
        <v>6533.2</v>
      </c>
      <c r="AA191" s="1">
        <v>9.5999820396645195</v>
      </c>
    </row>
    <row r="192" spans="1:27" s="1" customFormat="1" x14ac:dyDescent="0.25">
      <c r="A192" s="49"/>
      <c r="B192" s="7"/>
      <c r="C192" s="3">
        <v>41308</v>
      </c>
      <c r="D192" s="1">
        <v>2.4</v>
      </c>
      <c r="E192" s="1">
        <v>1</v>
      </c>
      <c r="F192" s="1">
        <v>3.9</v>
      </c>
      <c r="G192" s="1">
        <f t="shared" si="25"/>
        <v>1074.0999999999999</v>
      </c>
      <c r="H192" s="1">
        <f t="shared" si="20"/>
        <v>70.900000000000006</v>
      </c>
      <c r="J192" s="1">
        <v>3.1</v>
      </c>
      <c r="K192" s="1">
        <f t="shared" si="26"/>
        <v>435.19999999999982</v>
      </c>
      <c r="L192" s="1">
        <v>0.8</v>
      </c>
      <c r="M192" s="1">
        <f t="shared" si="27"/>
        <v>126.59999999999998</v>
      </c>
      <c r="N192" s="1">
        <v>2.2999999999999998</v>
      </c>
      <c r="O192" s="1">
        <v>122.1</v>
      </c>
      <c r="P192" s="1">
        <v>145</v>
      </c>
      <c r="Q192" s="1">
        <v>1</v>
      </c>
      <c r="R192" s="9">
        <f t="shared" si="23"/>
        <v>0.8</v>
      </c>
      <c r="S192" s="9">
        <f t="shared" si="24"/>
        <v>2.2999999999999998</v>
      </c>
      <c r="T192" s="9">
        <f t="shared" si="28"/>
        <v>122.1</v>
      </c>
      <c r="V192" s="1">
        <v>303.60000000000002</v>
      </c>
      <c r="X192" s="1">
        <f t="shared" si="29"/>
        <v>60689.399999999994</v>
      </c>
      <c r="Y192" s="1">
        <f t="shared" si="21"/>
        <v>6836.8</v>
      </c>
      <c r="AA192" s="1">
        <v>9.6473539563270005</v>
      </c>
    </row>
    <row r="193" spans="1:29" s="1" customFormat="1" x14ac:dyDescent="0.25">
      <c r="A193" s="49"/>
      <c r="B193" s="7"/>
      <c r="C193" s="3">
        <v>41309</v>
      </c>
      <c r="D193" s="1">
        <v>4.3</v>
      </c>
      <c r="E193" s="1">
        <v>1.6</v>
      </c>
      <c r="F193" s="1">
        <v>6.9</v>
      </c>
      <c r="G193" s="1">
        <f t="shared" si="25"/>
        <v>1078.3999999999999</v>
      </c>
      <c r="H193" s="1">
        <f t="shared" si="20"/>
        <v>75.2</v>
      </c>
      <c r="J193" s="59">
        <v>4.4000000000000004</v>
      </c>
      <c r="K193" s="1">
        <f t="shared" si="26"/>
        <v>439.5999999999998</v>
      </c>
      <c r="L193" s="1">
        <v>0.4</v>
      </c>
      <c r="M193" s="1">
        <f t="shared" si="27"/>
        <v>126.99999999999999</v>
      </c>
      <c r="N193" s="1">
        <v>4</v>
      </c>
      <c r="O193" s="1">
        <v>122.1</v>
      </c>
      <c r="P193" s="1">
        <v>146</v>
      </c>
      <c r="Q193" s="1">
        <v>1</v>
      </c>
      <c r="R193" s="9">
        <f t="shared" si="23"/>
        <v>0.4</v>
      </c>
      <c r="S193" s="9">
        <f t="shared" si="24"/>
        <v>4</v>
      </c>
      <c r="T193" s="9">
        <f t="shared" si="28"/>
        <v>122.1</v>
      </c>
      <c r="V193" s="1">
        <v>157.1</v>
      </c>
      <c r="X193" s="1">
        <f t="shared" si="29"/>
        <v>60846.499999999993</v>
      </c>
      <c r="Y193" s="1">
        <f t="shared" si="21"/>
        <v>6993.9000000000005</v>
      </c>
      <c r="AA193" s="1">
        <v>9.6952900854334292</v>
      </c>
      <c r="AB193" s="62" t="s">
        <v>58</v>
      </c>
    </row>
    <row r="194" spans="1:29" s="1" customFormat="1" x14ac:dyDescent="0.25">
      <c r="A194" s="49"/>
      <c r="B194" s="7"/>
      <c r="C194" s="3">
        <v>41310</v>
      </c>
      <c r="D194" s="1">
        <v>5.5</v>
      </c>
      <c r="E194" s="1">
        <v>3.2</v>
      </c>
      <c r="F194" s="1">
        <v>8.8000000000000007</v>
      </c>
      <c r="G194" s="1">
        <f t="shared" si="25"/>
        <v>1083.8999999999999</v>
      </c>
      <c r="H194" s="1">
        <f t="shared" si="20"/>
        <v>80.7</v>
      </c>
      <c r="J194" s="59">
        <v>2.6</v>
      </c>
      <c r="K194" s="1">
        <f t="shared" si="26"/>
        <v>442.19999999999982</v>
      </c>
      <c r="L194" s="1">
        <v>0.9</v>
      </c>
      <c r="M194" s="1">
        <f t="shared" si="27"/>
        <v>127.89999999999999</v>
      </c>
      <c r="N194" s="1">
        <v>1.7000000000000002</v>
      </c>
      <c r="O194" s="1">
        <v>122.1</v>
      </c>
      <c r="P194" s="1">
        <v>147</v>
      </c>
      <c r="Q194" s="1">
        <v>1</v>
      </c>
      <c r="R194" s="9">
        <f t="shared" si="23"/>
        <v>0.9</v>
      </c>
      <c r="S194" s="9">
        <f t="shared" si="24"/>
        <v>1.7000000000000002</v>
      </c>
      <c r="T194" s="9">
        <f t="shared" si="28"/>
        <v>122.1</v>
      </c>
      <c r="V194" s="1">
        <v>620.79999999999995</v>
      </c>
      <c r="X194" s="1">
        <f t="shared" si="29"/>
        <v>61467.299999999996</v>
      </c>
      <c r="Y194" s="1">
        <f t="shared" si="21"/>
        <v>7614.7000000000007</v>
      </c>
      <c r="AA194" s="1">
        <v>9.7437666410030399</v>
      </c>
      <c r="AB194" s="9">
        <f>AVERAGE(T200:T213)</f>
        <v>118.92857142857143</v>
      </c>
    </row>
    <row r="195" spans="1:29" s="1" customFormat="1" x14ac:dyDescent="0.25">
      <c r="A195" s="49"/>
      <c r="B195" s="7"/>
      <c r="C195" s="3">
        <v>41311</v>
      </c>
      <c r="D195" s="1">
        <v>1.5</v>
      </c>
      <c r="E195" s="1">
        <v>0.6</v>
      </c>
      <c r="F195" s="1">
        <v>3.9</v>
      </c>
      <c r="G195" s="1">
        <f t="shared" si="25"/>
        <v>1085.3999999999999</v>
      </c>
      <c r="H195" s="1">
        <f t="shared" si="20"/>
        <v>82.2</v>
      </c>
      <c r="J195" s="59">
        <v>3.5</v>
      </c>
      <c r="K195" s="1">
        <f t="shared" si="26"/>
        <v>445.69999999999982</v>
      </c>
      <c r="L195" s="1">
        <v>0.6</v>
      </c>
      <c r="M195" s="1">
        <f t="shared" si="27"/>
        <v>128.5</v>
      </c>
      <c r="N195" s="1">
        <v>2.9</v>
      </c>
      <c r="O195" s="1">
        <v>122.1</v>
      </c>
      <c r="P195" s="1">
        <v>148</v>
      </c>
      <c r="Q195" s="1">
        <v>1</v>
      </c>
      <c r="R195" s="9">
        <f t="shared" si="23"/>
        <v>0.6</v>
      </c>
      <c r="S195" s="9">
        <f t="shared" si="24"/>
        <v>2.9</v>
      </c>
      <c r="T195" s="9">
        <f t="shared" si="28"/>
        <v>122.1</v>
      </c>
      <c r="V195" s="1">
        <v>110.6</v>
      </c>
      <c r="X195" s="1">
        <f t="shared" si="29"/>
        <v>61577.899999999994</v>
      </c>
      <c r="Y195" s="1">
        <f t="shared" si="21"/>
        <v>7725.3000000000011</v>
      </c>
      <c r="AA195" s="1">
        <v>9.7927604171936604</v>
      </c>
      <c r="AB195" s="62" t="s">
        <v>59</v>
      </c>
    </row>
    <row r="196" spans="1:29" s="1" customFormat="1" x14ac:dyDescent="0.25">
      <c r="A196" s="49"/>
      <c r="B196" s="7" t="s">
        <v>21</v>
      </c>
      <c r="C196" s="3">
        <v>41312</v>
      </c>
      <c r="D196" s="1">
        <v>1</v>
      </c>
      <c r="E196" s="1">
        <v>-0.2</v>
      </c>
      <c r="F196" s="1">
        <v>3.6</v>
      </c>
      <c r="G196" s="1">
        <f t="shared" si="25"/>
        <v>1086.3999999999999</v>
      </c>
      <c r="H196" s="1">
        <f t="shared" si="20"/>
        <v>83.2</v>
      </c>
      <c r="J196" s="59">
        <v>0.1</v>
      </c>
      <c r="K196" s="1">
        <f t="shared" si="26"/>
        <v>445.79999999999984</v>
      </c>
      <c r="L196" s="1">
        <v>0.4</v>
      </c>
      <c r="M196" s="1">
        <f t="shared" si="27"/>
        <v>128.9</v>
      </c>
      <c r="N196" s="1">
        <v>-0.30000000000000004</v>
      </c>
      <c r="O196" s="1">
        <f>O195+N196</f>
        <v>121.8</v>
      </c>
      <c r="P196" s="1">
        <v>149</v>
      </c>
      <c r="Q196" s="1">
        <v>1</v>
      </c>
      <c r="R196" s="9">
        <f t="shared" si="23"/>
        <v>0.4</v>
      </c>
      <c r="S196" s="9">
        <f t="shared" si="24"/>
        <v>-0.30000000000000004</v>
      </c>
      <c r="T196" s="9">
        <f t="shared" si="28"/>
        <v>121.8</v>
      </c>
      <c r="V196" s="1">
        <v>214.9</v>
      </c>
      <c r="X196" s="1">
        <f t="shared" si="29"/>
        <v>61792.799999999996</v>
      </c>
      <c r="Y196" s="1">
        <f t="shared" si="21"/>
        <v>7940.2000000000007</v>
      </c>
      <c r="AA196" s="1">
        <v>9.8422487996238104</v>
      </c>
      <c r="AB196" s="1">
        <v>2</v>
      </c>
    </row>
    <row r="197" spans="1:29" s="1" customFormat="1" x14ac:dyDescent="0.25">
      <c r="A197" s="49"/>
      <c r="B197" s="7"/>
      <c r="C197" s="3">
        <v>41313</v>
      </c>
      <c r="D197" s="1">
        <v>0.1</v>
      </c>
      <c r="E197" s="1">
        <v>-2.2999999999999998</v>
      </c>
      <c r="F197" s="1">
        <v>3</v>
      </c>
      <c r="G197" s="1">
        <f t="shared" si="25"/>
        <v>1086.4999999999998</v>
      </c>
      <c r="H197" s="1">
        <f t="shared" si="20"/>
        <v>83.3</v>
      </c>
      <c r="J197" s="59">
        <v>0</v>
      </c>
      <c r="K197" s="1">
        <f t="shared" si="26"/>
        <v>445.79999999999984</v>
      </c>
      <c r="L197" s="1">
        <v>0.3</v>
      </c>
      <c r="M197" s="1">
        <f t="shared" si="27"/>
        <v>129.20000000000002</v>
      </c>
      <c r="N197" s="1">
        <v>-0.3</v>
      </c>
      <c r="O197" s="1">
        <f>O196+N197</f>
        <v>121.5</v>
      </c>
      <c r="P197" s="1">
        <v>150</v>
      </c>
      <c r="Q197" s="1">
        <v>1</v>
      </c>
      <c r="R197" s="9">
        <f t="shared" si="23"/>
        <v>0.3</v>
      </c>
      <c r="S197" s="9">
        <f t="shared" si="24"/>
        <v>-0.3</v>
      </c>
      <c r="T197" s="9">
        <f t="shared" si="28"/>
        <v>121.5</v>
      </c>
      <c r="V197" s="1">
        <v>515.6</v>
      </c>
      <c r="X197" s="1">
        <f t="shared" si="29"/>
        <v>62308.399999999994</v>
      </c>
      <c r="Y197" s="1">
        <f t="shared" si="21"/>
        <v>8455.8000000000011</v>
      </c>
      <c r="AA197" s="1">
        <v>9.8922097740748303</v>
      </c>
      <c r="AB197" s="62" t="s">
        <v>60</v>
      </c>
    </row>
    <row r="198" spans="1:29" s="1" customFormat="1" x14ac:dyDescent="0.25">
      <c r="A198" s="49"/>
      <c r="B198" s="7">
        <v>10</v>
      </c>
      <c r="C198" s="3">
        <v>41314</v>
      </c>
      <c r="D198" s="1">
        <v>-0.8</v>
      </c>
      <c r="E198" s="1">
        <v>-3.8</v>
      </c>
      <c r="F198" s="1">
        <v>3.7</v>
      </c>
      <c r="G198" s="1">
        <v>1086.5</v>
      </c>
      <c r="H198" s="1">
        <v>83.3</v>
      </c>
      <c r="J198" s="59">
        <v>0</v>
      </c>
      <c r="K198" s="1">
        <f t="shared" si="26"/>
        <v>445.79999999999984</v>
      </c>
      <c r="L198" s="1">
        <v>0.4</v>
      </c>
      <c r="M198" s="1">
        <f t="shared" si="27"/>
        <v>129.60000000000002</v>
      </c>
      <c r="N198" s="1">
        <v>-0.4</v>
      </c>
      <c r="O198" s="1">
        <f>O197+N198</f>
        <v>121.1</v>
      </c>
      <c r="P198" s="1">
        <v>151</v>
      </c>
      <c r="Q198" s="1">
        <v>1</v>
      </c>
      <c r="R198" s="9">
        <f t="shared" si="23"/>
        <v>0.4</v>
      </c>
      <c r="S198" s="9">
        <f t="shared" si="24"/>
        <v>-0.4</v>
      </c>
      <c r="T198" s="9">
        <f t="shared" si="28"/>
        <v>121.1</v>
      </c>
      <c r="V198" s="1">
        <v>569.29999999999995</v>
      </c>
      <c r="X198" s="1">
        <f t="shared" si="29"/>
        <v>62877.7</v>
      </c>
      <c r="Y198" s="1">
        <f t="shared" si="21"/>
        <v>9025.1</v>
      </c>
      <c r="AA198" s="1">
        <v>9.9426219327178096</v>
      </c>
      <c r="AB198" s="1">
        <v>8</v>
      </c>
    </row>
    <row r="199" spans="1:29" s="1" customFormat="1" x14ac:dyDescent="0.25">
      <c r="A199" s="49"/>
      <c r="B199" s="7"/>
      <c r="C199" s="3">
        <v>41315</v>
      </c>
      <c r="D199" s="1">
        <v>-1.7</v>
      </c>
      <c r="E199" s="1">
        <v>-4.5</v>
      </c>
      <c r="F199" s="1">
        <v>1.2</v>
      </c>
      <c r="G199" s="1">
        <v>1086.5</v>
      </c>
      <c r="H199" s="1">
        <v>83.3</v>
      </c>
      <c r="J199" s="59">
        <v>2.1</v>
      </c>
      <c r="K199" s="1">
        <f t="shared" si="26"/>
        <v>447.89999999999986</v>
      </c>
      <c r="L199" s="1">
        <v>0.4</v>
      </c>
      <c r="M199" s="1">
        <f t="shared" si="27"/>
        <v>130.00000000000003</v>
      </c>
      <c r="N199" s="1">
        <v>1.7000000000000002</v>
      </c>
      <c r="O199" s="1">
        <v>122.1</v>
      </c>
      <c r="P199" s="1">
        <v>152</v>
      </c>
      <c r="Q199" s="1">
        <v>1</v>
      </c>
      <c r="R199" s="9">
        <f t="shared" si="23"/>
        <v>0.4</v>
      </c>
      <c r="S199" s="9">
        <f t="shared" si="24"/>
        <v>1.7000000000000002</v>
      </c>
      <c r="T199" s="9">
        <f t="shared" si="28"/>
        <v>122.1</v>
      </c>
      <c r="V199" s="1">
        <v>476.8</v>
      </c>
      <c r="X199" s="1">
        <f t="shared" si="29"/>
        <v>63354.5</v>
      </c>
      <c r="Y199" s="1">
        <f t="shared" si="21"/>
        <v>9501.9</v>
      </c>
      <c r="AA199" s="1">
        <v>9.9934644780112407</v>
      </c>
      <c r="AB199" s="62" t="s">
        <v>61</v>
      </c>
    </row>
    <row r="200" spans="1:29" s="1" customFormat="1" x14ac:dyDescent="0.25">
      <c r="A200" s="49"/>
      <c r="B200" s="7"/>
      <c r="C200" s="3">
        <v>41316</v>
      </c>
      <c r="D200" s="1">
        <v>1.9</v>
      </c>
      <c r="E200" s="1">
        <v>0.3</v>
      </c>
      <c r="F200" s="1">
        <v>2.8</v>
      </c>
      <c r="G200" s="1">
        <f t="shared" si="25"/>
        <v>1088.4000000000001</v>
      </c>
      <c r="H200" s="1">
        <f t="shared" si="20"/>
        <v>85.2</v>
      </c>
      <c r="J200" s="59">
        <v>1.1000000000000001</v>
      </c>
      <c r="K200" s="1">
        <f t="shared" si="26"/>
        <v>448.99999999999989</v>
      </c>
      <c r="L200" s="1">
        <v>0.1</v>
      </c>
      <c r="M200" s="1">
        <f t="shared" si="27"/>
        <v>130.10000000000002</v>
      </c>
      <c r="N200" s="1">
        <v>1</v>
      </c>
      <c r="O200" s="1">
        <v>122.1</v>
      </c>
      <c r="P200" s="1">
        <v>153</v>
      </c>
      <c r="Q200" s="1">
        <v>1</v>
      </c>
      <c r="R200" s="9">
        <f t="shared" si="23"/>
        <v>0.1</v>
      </c>
      <c r="S200" s="9">
        <f t="shared" si="24"/>
        <v>1</v>
      </c>
      <c r="T200" s="60">
        <f t="shared" si="28"/>
        <v>122.1</v>
      </c>
      <c r="V200" s="1">
        <v>163.4</v>
      </c>
      <c r="X200" s="1">
        <f t="shared" si="29"/>
        <v>63517.9</v>
      </c>
      <c r="Y200" s="1">
        <f t="shared" si="21"/>
        <v>9665.2999999999993</v>
      </c>
      <c r="AA200" s="1">
        <v>10.044717224415299</v>
      </c>
      <c r="AB200" s="1">
        <v>0</v>
      </c>
    </row>
    <row r="201" spans="1:29" s="1" customFormat="1" x14ac:dyDescent="0.25">
      <c r="A201" s="49"/>
      <c r="B201" s="7"/>
      <c r="C201" s="3">
        <v>41317</v>
      </c>
      <c r="D201" s="1">
        <v>-0.1</v>
      </c>
      <c r="E201" s="1">
        <v>-0.8</v>
      </c>
      <c r="F201" s="1">
        <v>0.5</v>
      </c>
      <c r="G201" s="1">
        <v>1088.4000000000001</v>
      </c>
      <c r="H201" s="1">
        <v>85.2</v>
      </c>
      <c r="J201" s="59">
        <v>0</v>
      </c>
      <c r="K201" s="1">
        <f t="shared" si="26"/>
        <v>448.99999999999989</v>
      </c>
      <c r="L201" s="1">
        <v>0.3</v>
      </c>
      <c r="M201" s="1">
        <f t="shared" si="27"/>
        <v>130.40000000000003</v>
      </c>
      <c r="N201" s="1">
        <v>-0.3</v>
      </c>
      <c r="O201" s="1">
        <f t="shared" ref="O201:O233" si="30">O200+N201</f>
        <v>121.8</v>
      </c>
      <c r="P201" s="1">
        <v>154</v>
      </c>
      <c r="Q201" s="1">
        <v>1</v>
      </c>
      <c r="R201" s="9">
        <f t="shared" si="23"/>
        <v>0.3</v>
      </c>
      <c r="S201" s="9">
        <f t="shared" si="24"/>
        <v>-0.3</v>
      </c>
      <c r="T201" s="60">
        <f t="shared" si="28"/>
        <v>121.8</v>
      </c>
      <c r="V201" s="1">
        <v>145</v>
      </c>
      <c r="X201" s="1">
        <f t="shared" si="29"/>
        <v>63662.9</v>
      </c>
      <c r="Y201" s="1">
        <f t="shared" si="21"/>
        <v>9810.2999999999993</v>
      </c>
      <c r="AA201" s="1">
        <v>10.0963605980666</v>
      </c>
      <c r="AB201" s="62" t="s">
        <v>62</v>
      </c>
    </row>
    <row r="202" spans="1:29" s="1" customFormat="1" x14ac:dyDescent="0.25">
      <c r="A202" s="49"/>
      <c r="B202" s="7"/>
      <c r="C202" s="3">
        <v>41318</v>
      </c>
      <c r="D202" s="1">
        <v>-1.4</v>
      </c>
      <c r="E202" s="1">
        <v>-1.8</v>
      </c>
      <c r="F202" s="1">
        <v>-0.4</v>
      </c>
      <c r="G202" s="1">
        <v>1088.4000000000001</v>
      </c>
      <c r="H202" s="1">
        <v>85.2</v>
      </c>
      <c r="J202" s="59">
        <v>0</v>
      </c>
      <c r="K202" s="1">
        <f t="shared" si="26"/>
        <v>448.99999999999989</v>
      </c>
      <c r="L202" s="1">
        <v>0.8</v>
      </c>
      <c r="M202" s="1">
        <f t="shared" si="27"/>
        <v>131.20000000000005</v>
      </c>
      <c r="N202" s="1">
        <v>-0.8</v>
      </c>
      <c r="O202" s="1">
        <f t="shared" si="30"/>
        <v>121</v>
      </c>
      <c r="P202" s="1">
        <v>155</v>
      </c>
      <c r="Q202" s="1">
        <v>1</v>
      </c>
      <c r="R202" s="9">
        <f t="shared" si="23"/>
        <v>0.8</v>
      </c>
      <c r="S202" s="9">
        <f t="shared" si="24"/>
        <v>-0.8</v>
      </c>
      <c r="T202" s="60">
        <f t="shared" si="28"/>
        <v>121</v>
      </c>
      <c r="V202" s="1">
        <v>441</v>
      </c>
      <c r="X202" s="1">
        <f t="shared" si="29"/>
        <v>64103.9</v>
      </c>
      <c r="Y202" s="1">
        <f t="shared" si="21"/>
        <v>10251.299999999999</v>
      </c>
      <c r="AA202" s="1">
        <v>10.148375634556899</v>
      </c>
      <c r="AB202" s="1">
        <f>SUM(J204:J213)</f>
        <v>0.30000000000000004</v>
      </c>
    </row>
    <row r="203" spans="1:29" s="56" customFormat="1" x14ac:dyDescent="0.25">
      <c r="A203" s="49"/>
      <c r="B203" s="54" t="s">
        <v>56</v>
      </c>
      <c r="C203" s="55">
        <v>41319</v>
      </c>
      <c r="D203" s="56">
        <v>-1.7</v>
      </c>
      <c r="E203" s="56">
        <v>-5.0999999999999996</v>
      </c>
      <c r="F203" s="56">
        <v>0.6</v>
      </c>
      <c r="G203" s="56">
        <v>1088.4000000000001</v>
      </c>
      <c r="H203" s="56">
        <v>85.2</v>
      </c>
      <c r="J203" s="56">
        <v>1.1000000000000001</v>
      </c>
      <c r="K203" s="56">
        <f t="shared" si="26"/>
        <v>450.09999999999991</v>
      </c>
      <c r="L203" s="56">
        <v>0.3</v>
      </c>
      <c r="M203" s="56">
        <f t="shared" si="27"/>
        <v>131.50000000000006</v>
      </c>
      <c r="N203" s="56">
        <v>0.8</v>
      </c>
      <c r="O203" s="56">
        <f t="shared" si="30"/>
        <v>121.8</v>
      </c>
      <c r="P203" s="56">
        <v>156</v>
      </c>
      <c r="Q203" s="56">
        <v>1</v>
      </c>
      <c r="R203" s="57">
        <f t="shared" si="23"/>
        <v>0.3</v>
      </c>
      <c r="S203" s="57">
        <f t="shared" si="24"/>
        <v>0.8</v>
      </c>
      <c r="T203" s="57">
        <f t="shared" si="28"/>
        <v>121.8</v>
      </c>
      <c r="V203" s="56">
        <v>179.4</v>
      </c>
      <c r="X203" s="56">
        <f t="shared" si="29"/>
        <v>64283.3</v>
      </c>
      <c r="Y203" s="56">
        <f t="shared" si="21"/>
        <v>10430.699999999999</v>
      </c>
      <c r="AA203" s="56">
        <v>10.200743974952401</v>
      </c>
    </row>
    <row r="204" spans="1:29" s="1" customFormat="1" x14ac:dyDescent="0.25">
      <c r="A204" s="49"/>
      <c r="B204" s="7"/>
      <c r="C204" s="3">
        <v>41320</v>
      </c>
      <c r="D204" s="1">
        <v>2.7</v>
      </c>
      <c r="E204" s="1">
        <v>-1.1000000000000001</v>
      </c>
      <c r="F204" s="1">
        <v>7.6</v>
      </c>
      <c r="G204" s="1">
        <f t="shared" si="25"/>
        <v>1091.1000000000001</v>
      </c>
      <c r="H204" s="1">
        <f t="shared" si="20"/>
        <v>87.9</v>
      </c>
      <c r="J204" s="59">
        <v>0.2</v>
      </c>
      <c r="K204" s="1">
        <f t="shared" si="26"/>
        <v>450.2999999999999</v>
      </c>
      <c r="L204" s="1">
        <v>0.4</v>
      </c>
      <c r="M204" s="1">
        <f t="shared" si="27"/>
        <v>131.90000000000006</v>
      </c>
      <c r="N204" s="1">
        <v>-0.2</v>
      </c>
      <c r="O204" s="1">
        <f t="shared" si="30"/>
        <v>121.6</v>
      </c>
      <c r="P204" s="1">
        <v>157</v>
      </c>
      <c r="Q204" s="1">
        <v>1</v>
      </c>
      <c r="R204" s="9">
        <f t="shared" si="23"/>
        <v>0.4</v>
      </c>
      <c r="S204" s="9">
        <f t="shared" si="24"/>
        <v>-0.2</v>
      </c>
      <c r="T204" s="60">
        <f t="shared" si="28"/>
        <v>121.6</v>
      </c>
      <c r="V204" s="1">
        <v>283.10000000000002</v>
      </c>
      <c r="X204" s="1">
        <f t="shared" si="29"/>
        <v>64566.400000000001</v>
      </c>
      <c r="Y204" s="1">
        <f t="shared" si="21"/>
        <v>10713.8</v>
      </c>
      <c r="AA204" s="1">
        <v>10.2534478601918</v>
      </c>
    </row>
    <row r="205" spans="1:29" s="1" customFormat="1" x14ac:dyDescent="0.25">
      <c r="A205" s="49"/>
      <c r="B205" s="7"/>
      <c r="C205" s="3">
        <v>41321</v>
      </c>
      <c r="D205" s="1">
        <v>2.4</v>
      </c>
      <c r="E205" s="1">
        <v>-0.5</v>
      </c>
      <c r="F205" s="1">
        <v>7.2</v>
      </c>
      <c r="G205" s="1">
        <f t="shared" si="25"/>
        <v>1093.5000000000002</v>
      </c>
      <c r="H205" s="1">
        <f t="shared" si="20"/>
        <v>90.300000000000011</v>
      </c>
      <c r="J205" s="59">
        <v>0</v>
      </c>
      <c r="K205" s="1">
        <f t="shared" si="26"/>
        <v>450.2999999999999</v>
      </c>
      <c r="L205" s="1">
        <v>0.5</v>
      </c>
      <c r="M205" s="1">
        <f t="shared" si="27"/>
        <v>132.40000000000006</v>
      </c>
      <c r="N205" s="1">
        <v>-0.5</v>
      </c>
      <c r="O205" s="1">
        <f t="shared" si="30"/>
        <v>121.1</v>
      </c>
      <c r="P205" s="1">
        <v>158</v>
      </c>
      <c r="Q205" s="1">
        <v>1</v>
      </c>
      <c r="R205" s="9">
        <f t="shared" si="23"/>
        <v>0.5</v>
      </c>
      <c r="S205" s="9">
        <f t="shared" si="24"/>
        <v>-0.5</v>
      </c>
      <c r="T205" s="60">
        <f t="shared" si="28"/>
        <v>121.1</v>
      </c>
      <c r="V205" s="1">
        <v>591.29999999999995</v>
      </c>
      <c r="X205" s="1">
        <f t="shared" si="29"/>
        <v>65157.700000000004</v>
      </c>
      <c r="Y205" s="1">
        <f t="shared" si="21"/>
        <v>11305.099999999999</v>
      </c>
      <c r="AA205" s="1">
        <v>10.306470123992201</v>
      </c>
    </row>
    <row r="206" spans="1:29" s="1" customFormat="1" x14ac:dyDescent="0.25">
      <c r="A206" s="49"/>
      <c r="B206" s="7"/>
      <c r="C206" s="3">
        <v>41322</v>
      </c>
      <c r="D206" s="1">
        <v>2.2999999999999998</v>
      </c>
      <c r="E206" s="1">
        <v>0.2</v>
      </c>
      <c r="F206" s="1">
        <v>6.9</v>
      </c>
      <c r="G206" s="1">
        <f t="shared" si="25"/>
        <v>1095.8000000000002</v>
      </c>
      <c r="H206" s="1">
        <f t="shared" si="20"/>
        <v>92.600000000000009</v>
      </c>
      <c r="J206" s="59">
        <v>0</v>
      </c>
      <c r="K206" s="1">
        <f t="shared" si="26"/>
        <v>450.2999999999999</v>
      </c>
      <c r="L206" s="1">
        <v>1.1000000000000001</v>
      </c>
      <c r="M206" s="1">
        <f t="shared" si="27"/>
        <v>133.50000000000006</v>
      </c>
      <c r="N206" s="1">
        <v>-1.1000000000000001</v>
      </c>
      <c r="O206" s="1">
        <f t="shared" si="30"/>
        <v>120</v>
      </c>
      <c r="P206" s="1">
        <v>159</v>
      </c>
      <c r="Q206" s="1">
        <v>1</v>
      </c>
      <c r="R206" s="9">
        <f t="shared" si="23"/>
        <v>1.1000000000000001</v>
      </c>
      <c r="S206" s="9">
        <f t="shared" si="24"/>
        <v>-1.1000000000000001</v>
      </c>
      <c r="T206" s="60">
        <f t="shared" si="28"/>
        <v>120</v>
      </c>
      <c r="V206" s="1">
        <v>803.7</v>
      </c>
      <c r="X206" s="1">
        <f t="shared" si="29"/>
        <v>65961.400000000009</v>
      </c>
      <c r="Y206" s="1">
        <f t="shared" si="21"/>
        <v>12108.8</v>
      </c>
      <c r="AA206" s="1">
        <v>10.359794184388701</v>
      </c>
    </row>
    <row r="207" spans="1:29" s="1" customFormat="1" x14ac:dyDescent="0.25">
      <c r="A207" s="49"/>
      <c r="B207" s="7"/>
      <c r="C207" s="3">
        <v>41323</v>
      </c>
      <c r="D207" s="1">
        <v>-1.1000000000000001</v>
      </c>
      <c r="E207" s="1">
        <v>-2.8</v>
      </c>
      <c r="F207" s="1">
        <v>1.7</v>
      </c>
      <c r="G207" s="1">
        <v>1095.8</v>
      </c>
      <c r="H207" s="1">
        <v>92.6</v>
      </c>
      <c r="J207" s="59">
        <v>0</v>
      </c>
      <c r="K207" s="1">
        <f t="shared" si="26"/>
        <v>450.2999999999999</v>
      </c>
      <c r="L207" s="1">
        <v>0.8</v>
      </c>
      <c r="M207" s="1">
        <f t="shared" si="27"/>
        <v>134.30000000000007</v>
      </c>
      <c r="N207" s="1">
        <v>-0.8</v>
      </c>
      <c r="O207" s="1">
        <f t="shared" si="30"/>
        <v>119.2</v>
      </c>
      <c r="P207" s="1">
        <v>160</v>
      </c>
      <c r="Q207" s="1">
        <v>1</v>
      </c>
      <c r="R207" s="9">
        <f t="shared" si="23"/>
        <v>0.8</v>
      </c>
      <c r="S207" s="9">
        <f t="shared" si="24"/>
        <v>-0.8</v>
      </c>
      <c r="T207" s="60">
        <f t="shared" si="28"/>
        <v>119.2</v>
      </c>
      <c r="V207" s="1">
        <v>1097</v>
      </c>
      <c r="X207" s="1">
        <f t="shared" si="29"/>
        <v>67058.400000000009</v>
      </c>
      <c r="Y207" s="1">
        <f t="shared" si="21"/>
        <v>13205.8</v>
      </c>
      <c r="AA207" s="1">
        <v>10.4134040340304</v>
      </c>
    </row>
    <row r="208" spans="1:29" s="1" customFormat="1" x14ac:dyDescent="0.25">
      <c r="A208" s="49"/>
      <c r="B208" s="7"/>
      <c r="C208" s="3">
        <v>41324</v>
      </c>
      <c r="D208" s="1">
        <v>-2.6</v>
      </c>
      <c r="E208" s="1">
        <v>-4.5999999999999996</v>
      </c>
      <c r="F208" s="1">
        <v>-0.8</v>
      </c>
      <c r="G208" s="1">
        <v>1095.8</v>
      </c>
      <c r="H208" s="1">
        <v>92.6</v>
      </c>
      <c r="J208" s="59">
        <v>0</v>
      </c>
      <c r="K208" s="1">
        <f t="shared" si="26"/>
        <v>450.2999999999999</v>
      </c>
      <c r="L208" s="1">
        <v>0.5</v>
      </c>
      <c r="M208" s="1">
        <f t="shared" si="27"/>
        <v>134.80000000000007</v>
      </c>
      <c r="N208" s="1">
        <v>-0.5</v>
      </c>
      <c r="O208" s="1">
        <f t="shared" si="30"/>
        <v>118.7</v>
      </c>
      <c r="P208" s="1">
        <v>161</v>
      </c>
      <c r="Q208" s="1">
        <v>1</v>
      </c>
      <c r="R208" s="9">
        <f t="shared" si="23"/>
        <v>0.5</v>
      </c>
      <c r="S208" s="9">
        <f t="shared" si="24"/>
        <v>-0.5</v>
      </c>
      <c r="T208" s="60">
        <f t="shared" si="28"/>
        <v>118.7</v>
      </c>
      <c r="V208" s="1">
        <v>552.79999999999995</v>
      </c>
      <c r="X208" s="1">
        <f t="shared" si="29"/>
        <v>67611.200000000012</v>
      </c>
      <c r="Y208" s="1">
        <f t="shared" si="21"/>
        <v>13758.599999999999</v>
      </c>
      <c r="AA208" s="1">
        <v>10.4672842293458</v>
      </c>
      <c r="AC208" s="62" t="s">
        <v>58</v>
      </c>
    </row>
    <row r="209" spans="1:29" s="1" customFormat="1" x14ac:dyDescent="0.25">
      <c r="A209" s="49"/>
      <c r="B209" s="7"/>
      <c r="C209" s="3">
        <v>41325</v>
      </c>
      <c r="D209" s="1">
        <v>1.3</v>
      </c>
      <c r="E209" s="1">
        <v>-1.6</v>
      </c>
      <c r="F209" s="1">
        <v>6.2</v>
      </c>
      <c r="G209" s="1">
        <f t="shared" si="25"/>
        <v>1097.0999999999999</v>
      </c>
      <c r="H209" s="1">
        <f t="shared" si="20"/>
        <v>93.899999999999991</v>
      </c>
      <c r="J209" s="59">
        <v>0</v>
      </c>
      <c r="K209" s="1">
        <f t="shared" si="26"/>
        <v>450.2999999999999</v>
      </c>
      <c r="L209" s="1">
        <v>1</v>
      </c>
      <c r="M209" s="1">
        <f t="shared" si="27"/>
        <v>135.80000000000007</v>
      </c>
      <c r="N209" s="1">
        <v>-1</v>
      </c>
      <c r="O209" s="1">
        <f t="shared" si="30"/>
        <v>117.7</v>
      </c>
      <c r="P209" s="1">
        <v>162</v>
      </c>
      <c r="Q209" s="1">
        <v>1</v>
      </c>
      <c r="R209" s="9">
        <f t="shared" si="23"/>
        <v>1</v>
      </c>
      <c r="S209" s="9">
        <f t="shared" si="24"/>
        <v>-1</v>
      </c>
      <c r="T209" s="60">
        <f t="shared" si="28"/>
        <v>117.7</v>
      </c>
      <c r="V209" s="1">
        <v>731.7</v>
      </c>
      <c r="X209" s="1">
        <f t="shared" si="29"/>
        <v>68342.900000000009</v>
      </c>
      <c r="Y209" s="1">
        <f t="shared" si="21"/>
        <v>14490.3</v>
      </c>
      <c r="AA209" s="1">
        <v>10.5214198786888</v>
      </c>
      <c r="AC209" s="20">
        <f>(AB194*(50/120))+(AB222*(70/120))</f>
        <v>117.7513318452381</v>
      </c>
    </row>
    <row r="210" spans="1:29" s="1" customFormat="1" x14ac:dyDescent="0.25">
      <c r="A210" s="49"/>
      <c r="B210" s="7" t="s">
        <v>22</v>
      </c>
      <c r="C210" s="3">
        <v>41326</v>
      </c>
      <c r="D210" s="1">
        <v>-0.7</v>
      </c>
      <c r="E210" s="1">
        <v>-2.6</v>
      </c>
      <c r="F210" s="1">
        <v>2.7</v>
      </c>
      <c r="G210" s="1">
        <v>1097.0999999999999</v>
      </c>
      <c r="H210" s="1">
        <v>93.9</v>
      </c>
      <c r="J210" s="59">
        <v>0</v>
      </c>
      <c r="K210" s="1">
        <f t="shared" si="26"/>
        <v>450.2999999999999</v>
      </c>
      <c r="L210" s="1">
        <v>1.3</v>
      </c>
      <c r="M210" s="1">
        <f t="shared" si="27"/>
        <v>137.10000000000008</v>
      </c>
      <c r="N210" s="1">
        <v>-1.3</v>
      </c>
      <c r="O210" s="1">
        <f t="shared" si="30"/>
        <v>116.4</v>
      </c>
      <c r="P210" s="1">
        <v>163</v>
      </c>
      <c r="Q210" s="1">
        <v>1</v>
      </c>
      <c r="R210" s="9">
        <f t="shared" si="23"/>
        <v>1.3</v>
      </c>
      <c r="S210" s="9">
        <f t="shared" si="24"/>
        <v>-1.3</v>
      </c>
      <c r="T210" s="60">
        <f t="shared" si="28"/>
        <v>116.4</v>
      </c>
      <c r="V210" s="1">
        <v>814.5</v>
      </c>
      <c r="X210" s="1">
        <f t="shared" si="29"/>
        <v>69157.400000000009</v>
      </c>
      <c r="Y210" s="1">
        <f t="shared" si="21"/>
        <v>15304.8</v>
      </c>
      <c r="AA210" s="1">
        <v>10.575796629568799</v>
      </c>
      <c r="AC210" s="62" t="s">
        <v>59</v>
      </c>
    </row>
    <row r="211" spans="1:29" s="1" customFormat="1" x14ac:dyDescent="0.25">
      <c r="A211" s="49"/>
      <c r="B211" s="7"/>
      <c r="C211" s="3">
        <v>41327</v>
      </c>
      <c r="D211" s="1">
        <v>-2.6</v>
      </c>
      <c r="E211" s="1">
        <v>-4.5</v>
      </c>
      <c r="F211" s="1">
        <v>-0.3</v>
      </c>
      <c r="G211" s="1">
        <v>1097.0999999999999</v>
      </c>
      <c r="H211" s="1">
        <v>93.9</v>
      </c>
      <c r="J211" s="59">
        <v>0</v>
      </c>
      <c r="K211" s="1">
        <f t="shared" si="26"/>
        <v>450.2999999999999</v>
      </c>
      <c r="L211" s="1">
        <v>1.1000000000000001</v>
      </c>
      <c r="M211" s="1">
        <f t="shared" si="27"/>
        <v>138.20000000000007</v>
      </c>
      <c r="N211" s="1">
        <v>-1.1000000000000001</v>
      </c>
      <c r="O211" s="1">
        <f t="shared" si="30"/>
        <v>115.30000000000001</v>
      </c>
      <c r="P211" s="1">
        <v>164</v>
      </c>
      <c r="Q211" s="1">
        <v>1</v>
      </c>
      <c r="R211" s="9">
        <f t="shared" si="23"/>
        <v>1.1000000000000001</v>
      </c>
      <c r="S211" s="9">
        <f t="shared" si="24"/>
        <v>-1.1000000000000001</v>
      </c>
      <c r="T211" s="60">
        <f t="shared" si="28"/>
        <v>115.30000000000001</v>
      </c>
      <c r="V211" s="1">
        <v>605.1</v>
      </c>
      <c r="X211" s="1">
        <f t="shared" si="29"/>
        <v>69762.500000000015</v>
      </c>
      <c r="Y211" s="1">
        <f t="shared" si="21"/>
        <v>15909.9</v>
      </c>
      <c r="AA211" s="1">
        <v>10.630400655061001</v>
      </c>
      <c r="AC211" s="1">
        <f>(AB196*(50/120))+(AB224*(70/120))</f>
        <v>2</v>
      </c>
    </row>
    <row r="212" spans="1:29" s="1" customFormat="1" x14ac:dyDescent="0.25">
      <c r="A212" s="49"/>
      <c r="B212" s="7"/>
      <c r="C212" s="3">
        <v>41328</v>
      </c>
      <c r="D212" s="1">
        <v>-2.7</v>
      </c>
      <c r="E212" s="1">
        <v>-4.5</v>
      </c>
      <c r="F212" s="1">
        <v>-0.4</v>
      </c>
      <c r="G212" s="1">
        <v>1097.0999999999999</v>
      </c>
      <c r="H212" s="1">
        <v>93.9</v>
      </c>
      <c r="J212" s="59">
        <v>0</v>
      </c>
      <c r="K212" s="1">
        <f t="shared" si="26"/>
        <v>450.2999999999999</v>
      </c>
      <c r="L212" s="1">
        <v>1</v>
      </c>
      <c r="M212" s="1">
        <f t="shared" si="27"/>
        <v>139.20000000000007</v>
      </c>
      <c r="N212" s="1">
        <v>-1</v>
      </c>
      <c r="O212" s="1">
        <f t="shared" si="30"/>
        <v>114.30000000000001</v>
      </c>
      <c r="P212" s="1">
        <v>165</v>
      </c>
      <c r="Q212" s="1">
        <v>1</v>
      </c>
      <c r="R212" s="9">
        <f t="shared" si="23"/>
        <v>1</v>
      </c>
      <c r="S212" s="9">
        <f t="shared" si="24"/>
        <v>-1</v>
      </c>
      <c r="T212" s="60">
        <f t="shared" si="28"/>
        <v>114.30000000000001</v>
      </c>
      <c r="V212" s="1">
        <v>689.9</v>
      </c>
      <c r="X212" s="1">
        <f t="shared" si="29"/>
        <v>70452.400000000009</v>
      </c>
      <c r="Y212" s="1">
        <f t="shared" si="21"/>
        <v>16599.8</v>
      </c>
      <c r="AA212" s="1">
        <v>10.6852186394912</v>
      </c>
      <c r="AC212" s="62" t="s">
        <v>60</v>
      </c>
    </row>
    <row r="213" spans="1:29" s="1" customFormat="1" x14ac:dyDescent="0.25">
      <c r="A213" s="49"/>
      <c r="B213" s="7"/>
      <c r="C213" s="3">
        <v>41329</v>
      </c>
      <c r="D213" s="1">
        <v>-2.5</v>
      </c>
      <c r="E213" s="1">
        <v>-3.6</v>
      </c>
      <c r="F213" s="1">
        <v>-1.2</v>
      </c>
      <c r="G213" s="1">
        <v>1097.0999999999999</v>
      </c>
      <c r="H213" s="1">
        <v>93.9</v>
      </c>
      <c r="J213" s="59">
        <v>0.1</v>
      </c>
      <c r="K213" s="1">
        <f t="shared" si="26"/>
        <v>450.39999999999992</v>
      </c>
      <c r="L213" s="1">
        <v>0.4</v>
      </c>
      <c r="M213" s="1">
        <f t="shared" si="27"/>
        <v>139.60000000000008</v>
      </c>
      <c r="N213" s="1">
        <v>-0.30000000000000004</v>
      </c>
      <c r="O213" s="1">
        <f t="shared" si="30"/>
        <v>114.00000000000001</v>
      </c>
      <c r="P213" s="1">
        <v>166</v>
      </c>
      <c r="Q213" s="1">
        <v>1</v>
      </c>
      <c r="R213" s="9">
        <f t="shared" si="23"/>
        <v>0.4</v>
      </c>
      <c r="S213" s="9">
        <f t="shared" si="24"/>
        <v>-0.30000000000000004</v>
      </c>
      <c r="T213" s="60">
        <f t="shared" si="28"/>
        <v>114.00000000000001</v>
      </c>
      <c r="V213" s="1">
        <v>247.2</v>
      </c>
      <c r="X213" s="1">
        <f t="shared" si="29"/>
        <v>70699.600000000006</v>
      </c>
      <c r="Y213" s="1">
        <f t="shared" si="21"/>
        <v>16847</v>
      </c>
      <c r="AA213" s="1">
        <v>10.7402377634786</v>
      </c>
      <c r="AC213" s="9">
        <f>(AB198*(50/120))+(AB226*(70/120))</f>
        <v>5.666666666666667</v>
      </c>
    </row>
    <row r="214" spans="1:29" s="1" customFormat="1" x14ac:dyDescent="0.25">
      <c r="A214" s="49"/>
      <c r="B214" s="7"/>
      <c r="C214" s="3">
        <v>41330</v>
      </c>
      <c r="D214" s="1">
        <v>-3</v>
      </c>
      <c r="E214" s="1">
        <v>-4.5</v>
      </c>
      <c r="F214" s="1">
        <v>-1.5</v>
      </c>
      <c r="G214" s="1">
        <v>1097.0999999999999</v>
      </c>
      <c r="H214" s="1">
        <v>93.9</v>
      </c>
      <c r="J214" s="1">
        <v>0</v>
      </c>
      <c r="K214" s="1">
        <f t="shared" si="26"/>
        <v>450.39999999999992</v>
      </c>
      <c r="L214" s="1">
        <v>0.4</v>
      </c>
      <c r="M214" s="1">
        <f t="shared" si="27"/>
        <v>140.00000000000009</v>
      </c>
      <c r="N214" s="1">
        <v>-0.4</v>
      </c>
      <c r="O214" s="1">
        <f t="shared" si="30"/>
        <v>113.60000000000001</v>
      </c>
      <c r="P214" s="1">
        <v>167</v>
      </c>
      <c r="Q214" s="1">
        <v>1</v>
      </c>
      <c r="R214" s="9">
        <f t="shared" si="23"/>
        <v>0.4</v>
      </c>
      <c r="S214" s="9">
        <f t="shared" si="24"/>
        <v>-0.4</v>
      </c>
      <c r="T214" s="9">
        <f t="shared" si="28"/>
        <v>113.60000000000001</v>
      </c>
      <c r="V214" s="1">
        <v>699.5</v>
      </c>
      <c r="X214" s="1">
        <f t="shared" si="29"/>
        <v>71399.100000000006</v>
      </c>
      <c r="Y214" s="1">
        <f t="shared" si="21"/>
        <v>17546.5</v>
      </c>
      <c r="AA214" s="1">
        <v>10.7954456884178</v>
      </c>
      <c r="AC214" s="62" t="s">
        <v>61</v>
      </c>
    </row>
    <row r="215" spans="1:29" s="1" customFormat="1" x14ac:dyDescent="0.25">
      <c r="A215" s="49"/>
      <c r="B215" s="7"/>
      <c r="C215" s="3">
        <v>41331</v>
      </c>
      <c r="D215" s="1">
        <v>-0.6</v>
      </c>
      <c r="E215" s="1">
        <v>-5.4</v>
      </c>
      <c r="F215" s="1">
        <v>2.7</v>
      </c>
      <c r="G215" s="1">
        <v>1097.0999999999999</v>
      </c>
      <c r="H215" s="1">
        <v>93.9</v>
      </c>
      <c r="J215" s="1">
        <v>0</v>
      </c>
      <c r="K215" s="1">
        <f t="shared" si="26"/>
        <v>450.39999999999992</v>
      </c>
      <c r="L215" s="1">
        <v>0.7</v>
      </c>
      <c r="M215" s="1">
        <f t="shared" si="27"/>
        <v>140.70000000000007</v>
      </c>
      <c r="N215" s="1">
        <v>-0.7</v>
      </c>
      <c r="O215" s="1">
        <f t="shared" si="30"/>
        <v>112.9</v>
      </c>
      <c r="P215" s="1">
        <v>168</v>
      </c>
      <c r="Q215" s="1">
        <v>1</v>
      </c>
      <c r="R215" s="9">
        <f t="shared" si="23"/>
        <v>0.7</v>
      </c>
      <c r="S215" s="9">
        <f t="shared" si="24"/>
        <v>-0.7</v>
      </c>
      <c r="T215" s="9">
        <f t="shared" si="28"/>
        <v>112.9</v>
      </c>
      <c r="V215" s="1">
        <v>949.7</v>
      </c>
      <c r="X215" s="1">
        <f t="shared" si="29"/>
        <v>72348.800000000003</v>
      </c>
      <c r="Y215" s="1">
        <f t="shared" si="21"/>
        <v>18496.2</v>
      </c>
      <c r="AA215" s="1">
        <v>10.850830540473201</v>
      </c>
      <c r="AC215" s="9">
        <f>(AB200*(50/120))+(AB228*(70/120))</f>
        <v>1.1666666666666667</v>
      </c>
    </row>
    <row r="216" spans="1:29" s="1" customFormat="1" x14ac:dyDescent="0.25">
      <c r="A216" s="49"/>
      <c r="B216" s="7"/>
      <c r="C216" s="3">
        <v>41332</v>
      </c>
      <c r="D216" s="1">
        <v>2.6</v>
      </c>
      <c r="E216" s="1">
        <v>1</v>
      </c>
      <c r="F216" s="1">
        <v>4</v>
      </c>
      <c r="G216" s="1">
        <f t="shared" si="25"/>
        <v>1099.6999999999998</v>
      </c>
      <c r="H216" s="1">
        <f t="shared" si="20"/>
        <v>96.5</v>
      </c>
      <c r="J216" s="1">
        <v>0</v>
      </c>
      <c r="K216" s="1">
        <f t="shared" si="26"/>
        <v>450.39999999999992</v>
      </c>
      <c r="L216" s="1">
        <v>0.6</v>
      </c>
      <c r="M216" s="1">
        <f t="shared" si="27"/>
        <v>141.30000000000007</v>
      </c>
      <c r="N216" s="1">
        <v>-0.6</v>
      </c>
      <c r="O216" s="1">
        <f t="shared" si="30"/>
        <v>112.30000000000001</v>
      </c>
      <c r="P216" s="1">
        <v>169</v>
      </c>
      <c r="Q216" s="1">
        <v>1</v>
      </c>
      <c r="R216" s="9">
        <f t="shared" si="23"/>
        <v>0.6</v>
      </c>
      <c r="S216" s="9">
        <f t="shared" si="24"/>
        <v>-0.6</v>
      </c>
      <c r="T216" s="9">
        <f t="shared" si="28"/>
        <v>112.30000000000001</v>
      </c>
      <c r="V216" s="1">
        <v>617.20000000000005</v>
      </c>
      <c r="X216" s="1">
        <f t="shared" si="29"/>
        <v>72966</v>
      </c>
      <c r="Y216" s="1">
        <f t="shared" si="21"/>
        <v>19113.400000000001</v>
      </c>
      <c r="AA216" s="1">
        <v>10.9063808941549</v>
      </c>
      <c r="AC216" s="62" t="s">
        <v>62</v>
      </c>
    </row>
    <row r="217" spans="1:29" s="1" customFormat="1" x14ac:dyDescent="0.25">
      <c r="A217" s="49"/>
      <c r="B217" s="7" t="s">
        <v>23</v>
      </c>
      <c r="C217" s="3">
        <v>41333</v>
      </c>
      <c r="D217" s="1">
        <v>1.6</v>
      </c>
      <c r="E217" s="1">
        <v>1.1000000000000001</v>
      </c>
      <c r="F217" s="1">
        <v>3.1</v>
      </c>
      <c r="G217" s="1">
        <f t="shared" si="25"/>
        <v>1101.2999999999997</v>
      </c>
      <c r="H217" s="1">
        <f t="shared" si="20"/>
        <v>98.1</v>
      </c>
      <c r="J217" s="1">
        <v>0</v>
      </c>
      <c r="K217" s="1">
        <f t="shared" si="26"/>
        <v>450.39999999999992</v>
      </c>
      <c r="L217" s="1">
        <v>0.7</v>
      </c>
      <c r="M217" s="1">
        <f t="shared" si="27"/>
        <v>142.00000000000006</v>
      </c>
      <c r="N217" s="1">
        <v>-0.7</v>
      </c>
      <c r="O217" s="1">
        <f t="shared" si="30"/>
        <v>111.60000000000001</v>
      </c>
      <c r="P217" s="1">
        <v>170</v>
      </c>
      <c r="Q217" s="1">
        <v>1</v>
      </c>
      <c r="R217" s="9">
        <f t="shared" si="23"/>
        <v>0.7</v>
      </c>
      <c r="S217" s="9">
        <f t="shared" si="24"/>
        <v>-0.7</v>
      </c>
      <c r="T217" s="9">
        <f t="shared" si="28"/>
        <v>111.60000000000001</v>
      </c>
      <c r="V217" s="1">
        <v>672.3</v>
      </c>
      <c r="X217" s="1">
        <f t="shared" si="29"/>
        <v>73638.3</v>
      </c>
      <c r="Y217" s="1">
        <f t="shared" si="21"/>
        <v>19785.7</v>
      </c>
      <c r="AA217" s="1">
        <v>10.9620857555387</v>
      </c>
      <c r="AC217" s="9">
        <f>(AB202*(50/120))+(AB230*(70/120))</f>
        <v>14.591666666666663</v>
      </c>
    </row>
    <row r="218" spans="1:29" s="1" customFormat="1" x14ac:dyDescent="0.25">
      <c r="A218" s="49"/>
      <c r="B218" s="7"/>
      <c r="C218" s="3">
        <v>41334</v>
      </c>
      <c r="D218" s="1">
        <v>1.5</v>
      </c>
      <c r="E218" s="1">
        <v>-1.1000000000000001</v>
      </c>
      <c r="F218" s="1">
        <v>4.0999999999999996</v>
      </c>
      <c r="G218" s="1">
        <f t="shared" si="25"/>
        <v>1102.7999999999997</v>
      </c>
      <c r="H218" s="1">
        <f t="shared" si="20"/>
        <v>99.6</v>
      </c>
      <c r="J218" s="1">
        <v>0</v>
      </c>
      <c r="K218" s="1">
        <f t="shared" si="26"/>
        <v>450.39999999999992</v>
      </c>
      <c r="L218" s="1">
        <v>0.9</v>
      </c>
      <c r="M218" s="1">
        <f t="shared" si="27"/>
        <v>142.90000000000006</v>
      </c>
      <c r="N218" s="1">
        <v>-0.9</v>
      </c>
      <c r="O218" s="1">
        <f t="shared" si="30"/>
        <v>110.7</v>
      </c>
      <c r="P218" s="1">
        <v>171</v>
      </c>
      <c r="Q218" s="1">
        <v>1</v>
      </c>
      <c r="R218" s="9">
        <f t="shared" si="23"/>
        <v>0.9</v>
      </c>
      <c r="S218" s="9">
        <f t="shared" si="24"/>
        <v>-0.9</v>
      </c>
      <c r="T218" s="9">
        <f t="shared" si="28"/>
        <v>110.7</v>
      </c>
      <c r="V218" s="1">
        <v>651.4</v>
      </c>
      <c r="X218" s="1">
        <f t="shared" si="29"/>
        <v>74289.7</v>
      </c>
      <c r="Y218" s="1">
        <f t="shared" si="21"/>
        <v>20437.100000000002</v>
      </c>
      <c r="AA218" s="1">
        <v>11.017934545188099</v>
      </c>
    </row>
    <row r="219" spans="1:29" s="1" customFormat="1" x14ac:dyDescent="0.25">
      <c r="A219" s="49"/>
      <c r="B219" s="7"/>
      <c r="C219" s="3">
        <v>41335</v>
      </c>
      <c r="D219" s="1">
        <v>2.2999999999999998</v>
      </c>
      <c r="E219" s="1">
        <v>1.7</v>
      </c>
      <c r="F219" s="1">
        <v>3.3</v>
      </c>
      <c r="G219" s="1">
        <f t="shared" si="25"/>
        <v>1105.0999999999997</v>
      </c>
      <c r="H219" s="1">
        <f t="shared" si="20"/>
        <v>101.89999999999999</v>
      </c>
      <c r="J219" s="1">
        <v>0</v>
      </c>
      <c r="K219" s="1">
        <f t="shared" si="26"/>
        <v>450.39999999999992</v>
      </c>
      <c r="L219" s="1">
        <v>1</v>
      </c>
      <c r="M219" s="1">
        <f t="shared" si="27"/>
        <v>143.90000000000006</v>
      </c>
      <c r="N219" s="1">
        <v>-1</v>
      </c>
      <c r="O219" s="1">
        <f t="shared" si="30"/>
        <v>109.7</v>
      </c>
      <c r="P219" s="1">
        <v>172</v>
      </c>
      <c r="Q219" s="1">
        <v>1</v>
      </c>
      <c r="R219" s="9">
        <f t="shared" si="23"/>
        <v>1</v>
      </c>
      <c r="S219" s="9">
        <f t="shared" si="24"/>
        <v>-1</v>
      </c>
      <c r="T219" s="9">
        <f t="shared" si="28"/>
        <v>109.7</v>
      </c>
      <c r="V219" s="1">
        <v>466.7</v>
      </c>
      <c r="X219" s="1">
        <f t="shared" si="29"/>
        <v>74756.399999999994</v>
      </c>
      <c r="Y219" s="1">
        <f t="shared" si="21"/>
        <v>20903.800000000003</v>
      </c>
      <c r="AA219" s="1">
        <v>11.0739170808304</v>
      </c>
    </row>
    <row r="220" spans="1:29" s="1" customFormat="1" x14ac:dyDescent="0.25">
      <c r="A220" s="49"/>
      <c r="B220" s="7"/>
      <c r="C220" s="3">
        <v>41336</v>
      </c>
      <c r="D220" s="1">
        <v>2.4</v>
      </c>
      <c r="E220" s="1">
        <v>1</v>
      </c>
      <c r="F220" s="1">
        <v>4.7</v>
      </c>
      <c r="G220" s="1">
        <f t="shared" si="25"/>
        <v>1107.4999999999998</v>
      </c>
      <c r="H220" s="1">
        <f t="shared" si="20"/>
        <v>104.3</v>
      </c>
      <c r="J220" s="1">
        <v>0</v>
      </c>
      <c r="K220" s="1">
        <f t="shared" si="26"/>
        <v>450.39999999999992</v>
      </c>
      <c r="L220" s="1">
        <v>1.1000000000000001</v>
      </c>
      <c r="M220" s="1">
        <f t="shared" si="27"/>
        <v>145.00000000000006</v>
      </c>
      <c r="N220" s="1">
        <v>-1.1000000000000001</v>
      </c>
      <c r="O220" s="1">
        <f t="shared" si="30"/>
        <v>108.60000000000001</v>
      </c>
      <c r="P220" s="1">
        <v>173</v>
      </c>
      <c r="Q220" s="1">
        <v>1</v>
      </c>
      <c r="R220" s="9">
        <f t="shared" si="23"/>
        <v>1.1000000000000001</v>
      </c>
      <c r="S220" s="9">
        <f t="shared" si="24"/>
        <v>-1.1000000000000001</v>
      </c>
      <c r="T220" s="9">
        <f t="shared" si="28"/>
        <v>108.60000000000001</v>
      </c>
      <c r="V220" s="1">
        <v>824.7</v>
      </c>
      <c r="X220" s="1">
        <f t="shared" si="29"/>
        <v>75581.099999999991</v>
      </c>
      <c r="Y220" s="1">
        <f t="shared" si="21"/>
        <v>21728.500000000004</v>
      </c>
      <c r="AA220" s="1">
        <v>11.1300235598356</v>
      </c>
    </row>
    <row r="221" spans="1:29" s="1" customFormat="1" x14ac:dyDescent="0.25">
      <c r="A221" s="49"/>
      <c r="B221" s="7"/>
      <c r="C221" s="3">
        <v>41337</v>
      </c>
      <c r="D221" s="1">
        <v>4.3</v>
      </c>
      <c r="E221" s="1">
        <v>-3</v>
      </c>
      <c r="F221" s="1">
        <v>12.3</v>
      </c>
      <c r="G221" s="1">
        <f t="shared" si="25"/>
        <v>1111.7999999999997</v>
      </c>
      <c r="H221" s="1">
        <f t="shared" si="20"/>
        <v>108.6</v>
      </c>
      <c r="J221" s="59">
        <v>0</v>
      </c>
      <c r="K221" s="1">
        <f t="shared" si="26"/>
        <v>450.39999999999992</v>
      </c>
      <c r="L221" s="1">
        <v>1.9</v>
      </c>
      <c r="M221" s="1">
        <f t="shared" si="27"/>
        <v>146.90000000000006</v>
      </c>
      <c r="N221" s="1">
        <v>-1.9</v>
      </c>
      <c r="O221" s="1">
        <f t="shared" si="30"/>
        <v>106.7</v>
      </c>
      <c r="P221" s="1">
        <v>174</v>
      </c>
      <c r="Q221" s="1">
        <v>1</v>
      </c>
      <c r="R221" s="9">
        <f t="shared" si="23"/>
        <v>1.9</v>
      </c>
      <c r="S221" s="9">
        <f t="shared" si="24"/>
        <v>-1.9</v>
      </c>
      <c r="T221" s="9">
        <f t="shared" si="28"/>
        <v>106.7</v>
      </c>
      <c r="V221" s="1">
        <v>1491.9</v>
      </c>
      <c r="X221" s="1">
        <f t="shared" si="29"/>
        <v>77072.999999999985</v>
      </c>
      <c r="Y221" s="1">
        <f t="shared" si="21"/>
        <v>23220.400000000005</v>
      </c>
      <c r="AA221" s="1">
        <v>11.1862445415401</v>
      </c>
      <c r="AB221" s="62" t="s">
        <v>58</v>
      </c>
    </row>
    <row r="222" spans="1:29" s="28" customFormat="1" ht="15.75" thickBot="1" x14ac:dyDescent="0.3">
      <c r="A222" s="49"/>
      <c r="B222" s="26"/>
      <c r="C222" s="27">
        <v>41338</v>
      </c>
      <c r="D222" s="28">
        <v>5.5</v>
      </c>
      <c r="E222" s="28">
        <v>-0.8</v>
      </c>
      <c r="F222" s="28">
        <v>9.6</v>
      </c>
      <c r="G222" s="28">
        <f t="shared" si="25"/>
        <v>1117.2999999999997</v>
      </c>
      <c r="H222" s="28">
        <f t="shared" si="20"/>
        <v>114.1</v>
      </c>
      <c r="J222" s="61">
        <v>0</v>
      </c>
      <c r="K222" s="28">
        <f t="shared" si="26"/>
        <v>450.39999999999992</v>
      </c>
      <c r="L222" s="28">
        <v>1.1000000000000001</v>
      </c>
      <c r="M222" s="28">
        <f t="shared" si="27"/>
        <v>148.00000000000006</v>
      </c>
      <c r="N222" s="28">
        <v>-1.1000000000000001</v>
      </c>
      <c r="O222" s="28">
        <f t="shared" si="30"/>
        <v>105.60000000000001</v>
      </c>
      <c r="P222" s="28">
        <v>175</v>
      </c>
      <c r="Q222" s="28">
        <v>1</v>
      </c>
      <c r="R222" s="29">
        <f t="shared" si="23"/>
        <v>1.1000000000000001</v>
      </c>
      <c r="S222" s="29">
        <f t="shared" si="24"/>
        <v>-1.1000000000000001</v>
      </c>
      <c r="T222" s="29">
        <f t="shared" si="28"/>
        <v>105.60000000000001</v>
      </c>
      <c r="V222" s="28">
        <v>851.5</v>
      </c>
      <c r="X222" s="28">
        <f t="shared" si="29"/>
        <v>77924.499999999985</v>
      </c>
      <c r="Y222" s="28">
        <f t="shared" si="21"/>
        <v>24071.900000000005</v>
      </c>
      <c r="AA222" s="28">
        <v>11.242570929454599</v>
      </c>
      <c r="AB222" s="9">
        <f>AVERAGE(T228:T241)</f>
        <v>116.91044642857143</v>
      </c>
    </row>
    <row r="223" spans="1:29" s="1" customFormat="1" ht="15" customHeight="1" x14ac:dyDescent="0.25">
      <c r="A223" s="50" t="s">
        <v>24</v>
      </c>
      <c r="B223" s="7"/>
      <c r="C223" s="3">
        <v>41339</v>
      </c>
      <c r="D223" s="1">
        <v>9.1</v>
      </c>
      <c r="E223" s="1">
        <v>6.3</v>
      </c>
      <c r="F223" s="1">
        <v>13.7</v>
      </c>
      <c r="G223" s="1">
        <f t="shared" si="25"/>
        <v>1126.3999999999996</v>
      </c>
      <c r="H223" s="1">
        <v>9.1</v>
      </c>
      <c r="I223" s="13" t="s">
        <v>3</v>
      </c>
      <c r="J223" s="59">
        <v>1.9</v>
      </c>
      <c r="K223" s="1">
        <f t="shared" si="26"/>
        <v>452.2999999999999</v>
      </c>
      <c r="L223" s="1">
        <v>1.1000000000000001</v>
      </c>
      <c r="M223" s="1">
        <f t="shared" si="27"/>
        <v>149.10000000000005</v>
      </c>
      <c r="N223" s="1">
        <v>0.79999999999999982</v>
      </c>
      <c r="O223" s="1">
        <f t="shared" si="30"/>
        <v>106.4</v>
      </c>
      <c r="P223" s="1">
        <v>176</v>
      </c>
      <c r="Q223" s="1">
        <f>1+((P223-175)/48)*(1.15-1)</f>
        <v>1.003125</v>
      </c>
      <c r="R223" s="9">
        <f t="shared" si="23"/>
        <v>1.1034375000000001</v>
      </c>
      <c r="S223" s="9">
        <f t="shared" si="24"/>
        <v>0.79656249999999984</v>
      </c>
      <c r="T223" s="9">
        <f t="shared" si="28"/>
        <v>106.3965625</v>
      </c>
      <c r="U223" s="13" t="s">
        <v>4</v>
      </c>
      <c r="V223" s="1">
        <v>206.7</v>
      </c>
      <c r="X223" s="1">
        <f t="shared" si="29"/>
        <v>78131.199999999983</v>
      </c>
      <c r="Y223" s="1">
        <v>206.7</v>
      </c>
      <c r="Z223" s="13" t="s">
        <v>5</v>
      </c>
      <c r="AA223" s="1">
        <v>11.2989939533909</v>
      </c>
      <c r="AB223" s="62" t="s">
        <v>59</v>
      </c>
    </row>
    <row r="224" spans="1:29" s="1" customFormat="1" x14ac:dyDescent="0.25">
      <c r="A224" s="50"/>
      <c r="B224" s="7" t="s">
        <v>25</v>
      </c>
      <c r="C224" s="3">
        <v>41340</v>
      </c>
      <c r="D224" s="1">
        <v>9.5</v>
      </c>
      <c r="E224" s="1">
        <v>5.9</v>
      </c>
      <c r="F224" s="1">
        <v>13</v>
      </c>
      <c r="G224" s="1">
        <f t="shared" si="25"/>
        <v>1135.8999999999996</v>
      </c>
      <c r="H224" s="1">
        <f t="shared" si="20"/>
        <v>18.600000000000001</v>
      </c>
      <c r="I224" s="1">
        <f>MIN(E223:E270)</f>
        <v>-6.3</v>
      </c>
      <c r="J224" s="59">
        <v>0.3</v>
      </c>
      <c r="K224" s="1">
        <f t="shared" si="26"/>
        <v>452.59999999999991</v>
      </c>
      <c r="L224" s="1">
        <v>0.5</v>
      </c>
      <c r="M224" s="1">
        <f t="shared" si="27"/>
        <v>149.60000000000005</v>
      </c>
      <c r="N224" s="1">
        <v>-0.2</v>
      </c>
      <c r="O224" s="1">
        <f t="shared" si="30"/>
        <v>106.2</v>
      </c>
      <c r="P224" s="1">
        <v>177</v>
      </c>
      <c r="Q224" s="1">
        <f t="shared" ref="Q224:Q270" si="31">1+((P224-175)/48)*(1.15-1)</f>
        <v>1.0062500000000001</v>
      </c>
      <c r="R224" s="9">
        <f t="shared" si="23"/>
        <v>0.50312500000000004</v>
      </c>
      <c r="S224" s="9">
        <f t="shared" si="24"/>
        <v>-0.20312500000000006</v>
      </c>
      <c r="T224" s="9">
        <f t="shared" si="28"/>
        <v>106.1934375</v>
      </c>
      <c r="U224" s="1">
        <v>32</v>
      </c>
      <c r="V224" s="1">
        <v>268.3</v>
      </c>
      <c r="X224" s="1">
        <f t="shared" si="29"/>
        <v>78399.499999999985</v>
      </c>
      <c r="Y224" s="1">
        <f t="shared" si="21"/>
        <v>475</v>
      </c>
      <c r="Z224" s="1">
        <v>47545.599999999999</v>
      </c>
      <c r="AA224" s="1">
        <v>11.3555051515375</v>
      </c>
      <c r="AB224" s="1">
        <v>2</v>
      </c>
    </row>
    <row r="225" spans="1:28" s="1" customFormat="1" x14ac:dyDescent="0.25">
      <c r="A225" s="50"/>
      <c r="B225" s="7"/>
      <c r="C225" s="3">
        <v>41341</v>
      </c>
      <c r="D225" s="1">
        <v>9.5</v>
      </c>
      <c r="E225" s="1">
        <v>6.6</v>
      </c>
      <c r="F225" s="1">
        <v>14.5</v>
      </c>
      <c r="G225" s="1">
        <f t="shared" si="25"/>
        <v>1145.3999999999996</v>
      </c>
      <c r="H225" s="1">
        <f t="shared" si="20"/>
        <v>28.1</v>
      </c>
      <c r="I225" s="13" t="s">
        <v>6</v>
      </c>
      <c r="J225" s="59">
        <v>1.3</v>
      </c>
      <c r="K225" s="1">
        <f t="shared" si="26"/>
        <v>453.89999999999992</v>
      </c>
      <c r="L225" s="1">
        <v>0.8</v>
      </c>
      <c r="M225" s="1">
        <f t="shared" si="27"/>
        <v>150.40000000000006</v>
      </c>
      <c r="N225" s="1">
        <v>0.5</v>
      </c>
      <c r="O225" s="1">
        <f t="shared" si="30"/>
        <v>106.7</v>
      </c>
      <c r="P225" s="1">
        <v>178</v>
      </c>
      <c r="Q225" s="1">
        <f t="shared" si="31"/>
        <v>1.0093749999999999</v>
      </c>
      <c r="R225" s="9">
        <f t="shared" si="23"/>
        <v>0.8075</v>
      </c>
      <c r="S225" s="9">
        <f t="shared" si="24"/>
        <v>0.49250000000000005</v>
      </c>
      <c r="T225" s="9">
        <f t="shared" si="28"/>
        <v>106.68593750000001</v>
      </c>
      <c r="U225" s="13" t="s">
        <v>7</v>
      </c>
      <c r="V225" s="1">
        <v>246.4</v>
      </c>
      <c r="X225" s="1">
        <f t="shared" si="29"/>
        <v>78645.89999999998</v>
      </c>
      <c r="Y225" s="1">
        <f t="shared" si="21"/>
        <v>721.4</v>
      </c>
      <c r="Z225" s="13" t="s">
        <v>8</v>
      </c>
      <c r="AA225" s="1">
        <v>11.412096352512201</v>
      </c>
      <c r="AB225" s="62" t="s">
        <v>60</v>
      </c>
    </row>
    <row r="226" spans="1:28" s="1" customFormat="1" x14ac:dyDescent="0.25">
      <c r="A226" s="50"/>
      <c r="B226" s="7"/>
      <c r="C226" s="3">
        <v>41342</v>
      </c>
      <c r="D226" s="1">
        <v>9.1</v>
      </c>
      <c r="E226" s="1">
        <v>5</v>
      </c>
      <c r="F226" s="1">
        <v>15.1</v>
      </c>
      <c r="G226" s="1">
        <f t="shared" si="25"/>
        <v>1154.4999999999995</v>
      </c>
      <c r="H226" s="1">
        <f t="shared" si="20"/>
        <v>37.200000000000003</v>
      </c>
      <c r="I226" s="1">
        <f>MAX(F223:F270)</f>
        <v>24.2</v>
      </c>
      <c r="J226" s="59">
        <v>1.7</v>
      </c>
      <c r="K226" s="1">
        <f t="shared" si="26"/>
        <v>455.59999999999991</v>
      </c>
      <c r="L226" s="1">
        <v>1.2</v>
      </c>
      <c r="M226" s="1">
        <f t="shared" si="27"/>
        <v>151.60000000000005</v>
      </c>
      <c r="N226" s="1">
        <v>0.5</v>
      </c>
      <c r="O226" s="1">
        <f t="shared" si="30"/>
        <v>107.2</v>
      </c>
      <c r="P226" s="1">
        <v>179</v>
      </c>
      <c r="Q226" s="1">
        <f t="shared" si="31"/>
        <v>1.0125</v>
      </c>
      <c r="R226" s="9">
        <f t="shared" si="23"/>
        <v>1.2149999999999999</v>
      </c>
      <c r="S226" s="9">
        <f t="shared" si="24"/>
        <v>0.4850000000000001</v>
      </c>
      <c r="T226" s="9">
        <f t="shared" si="28"/>
        <v>107.17093750000001</v>
      </c>
      <c r="U226" s="1">
        <v>0</v>
      </c>
      <c r="V226" s="1">
        <v>850.1</v>
      </c>
      <c r="X226" s="1">
        <f t="shared" si="29"/>
        <v>79495.999999999985</v>
      </c>
      <c r="Y226" s="1">
        <f t="shared" si="21"/>
        <v>1571.5</v>
      </c>
      <c r="Z226" s="1">
        <f>(Z224/100)/I236</f>
        <v>1.3079944979367262</v>
      </c>
      <c r="AA226" s="1">
        <v>11.4687596574135</v>
      </c>
      <c r="AB226" s="1">
        <v>4</v>
      </c>
    </row>
    <row r="227" spans="1:28" s="1" customFormat="1" x14ac:dyDescent="0.25">
      <c r="A227" s="50"/>
      <c r="B227" s="7"/>
      <c r="C227" s="3">
        <v>41343</v>
      </c>
      <c r="D227" s="1">
        <v>8.4</v>
      </c>
      <c r="E227" s="1">
        <v>5</v>
      </c>
      <c r="F227" s="1">
        <v>12.3</v>
      </c>
      <c r="G227" s="1">
        <f t="shared" si="25"/>
        <v>1162.8999999999996</v>
      </c>
      <c r="H227" s="1">
        <f t="shared" si="20"/>
        <v>45.6</v>
      </c>
      <c r="I227" s="13" t="s">
        <v>9</v>
      </c>
      <c r="J227" s="59">
        <v>5.8</v>
      </c>
      <c r="K227" s="1">
        <f t="shared" si="26"/>
        <v>461.39999999999992</v>
      </c>
      <c r="L227" s="1">
        <v>0.7</v>
      </c>
      <c r="M227" s="1">
        <f t="shared" si="27"/>
        <v>152.30000000000004</v>
      </c>
      <c r="N227" s="1">
        <v>5.0999999999999996</v>
      </c>
      <c r="O227" s="1">
        <f t="shared" si="30"/>
        <v>112.3</v>
      </c>
      <c r="P227" s="1">
        <v>180</v>
      </c>
      <c r="Q227" s="1">
        <f t="shared" si="31"/>
        <v>1.015625</v>
      </c>
      <c r="R227" s="9">
        <f t="shared" si="23"/>
        <v>0.7109375</v>
      </c>
      <c r="S227" s="9">
        <f t="shared" si="24"/>
        <v>5.0890624999999998</v>
      </c>
      <c r="T227" s="9">
        <f t="shared" si="28"/>
        <v>112.26</v>
      </c>
      <c r="U227" s="13" t="s">
        <v>10</v>
      </c>
      <c r="V227" s="1">
        <v>603.4</v>
      </c>
      <c r="X227" s="1">
        <f t="shared" si="29"/>
        <v>80099.39999999998</v>
      </c>
      <c r="Y227" s="1">
        <f t="shared" si="21"/>
        <v>2174.9</v>
      </c>
      <c r="Z227" s="13" t="s">
        <v>11</v>
      </c>
      <c r="AA227" s="1">
        <v>11.525487421893899</v>
      </c>
      <c r="AB227" s="62" t="s">
        <v>61</v>
      </c>
    </row>
    <row r="228" spans="1:28" s="1" customFormat="1" x14ac:dyDescent="0.25">
      <c r="A228" s="50"/>
      <c r="B228" s="7"/>
      <c r="C228" s="3">
        <v>41344</v>
      </c>
      <c r="D228" s="1">
        <v>9.5</v>
      </c>
      <c r="E228" s="1">
        <v>7</v>
      </c>
      <c r="F228" s="1">
        <v>13.2</v>
      </c>
      <c r="G228" s="1">
        <f t="shared" si="25"/>
        <v>1172.3999999999996</v>
      </c>
      <c r="H228" s="1">
        <f t="shared" si="20"/>
        <v>55.1</v>
      </c>
      <c r="I228" s="9">
        <f>AVERAGE(D223:D270)</f>
        <v>7.5562499999999995</v>
      </c>
      <c r="J228" s="59">
        <v>3.1</v>
      </c>
      <c r="K228" s="1">
        <f t="shared" si="26"/>
        <v>464.49999999999994</v>
      </c>
      <c r="L228" s="1">
        <v>1.5</v>
      </c>
      <c r="M228" s="1">
        <f t="shared" si="27"/>
        <v>153.80000000000004</v>
      </c>
      <c r="N228" s="1">
        <v>1.6</v>
      </c>
      <c r="O228" s="1">
        <f t="shared" si="30"/>
        <v>113.89999999999999</v>
      </c>
      <c r="P228" s="1">
        <v>181</v>
      </c>
      <c r="Q228" s="1">
        <f t="shared" si="31"/>
        <v>1.01875</v>
      </c>
      <c r="R228" s="9">
        <f t="shared" si="23"/>
        <v>1.5281250000000002</v>
      </c>
      <c r="S228" s="9">
        <f t="shared" si="24"/>
        <v>1.5718749999999999</v>
      </c>
      <c r="T228" s="60">
        <f t="shared" si="28"/>
        <v>113.83187500000001</v>
      </c>
      <c r="U228" s="1">
        <v>0</v>
      </c>
      <c r="V228" s="1">
        <v>882.9</v>
      </c>
      <c r="X228" s="1">
        <f t="shared" si="29"/>
        <v>80982.299999999974</v>
      </c>
      <c r="Y228" s="1">
        <f t="shared" si="21"/>
        <v>3057.8</v>
      </c>
      <c r="Z228" s="1">
        <v>22</v>
      </c>
      <c r="AA228" s="1">
        <v>11.5822722382692</v>
      </c>
      <c r="AB228" s="1">
        <v>2</v>
      </c>
    </row>
    <row r="229" spans="1:28" s="1" customFormat="1" x14ac:dyDescent="0.25">
      <c r="A229" s="50"/>
      <c r="B229" s="7"/>
      <c r="C229" s="3">
        <v>41345</v>
      </c>
      <c r="D229" s="1">
        <v>5.8</v>
      </c>
      <c r="E229" s="1">
        <v>3.2</v>
      </c>
      <c r="F229" s="1">
        <v>8.3000000000000007</v>
      </c>
      <c r="G229" s="1">
        <f t="shared" si="25"/>
        <v>1178.1999999999996</v>
      </c>
      <c r="H229" s="1">
        <f t="shared" si="20"/>
        <v>60.9</v>
      </c>
      <c r="I229" s="13" t="s">
        <v>12</v>
      </c>
      <c r="J229" s="59">
        <v>0.2</v>
      </c>
      <c r="K229" s="1">
        <f t="shared" si="26"/>
        <v>464.69999999999993</v>
      </c>
      <c r="L229" s="1">
        <v>0.8</v>
      </c>
      <c r="M229" s="1">
        <f t="shared" si="27"/>
        <v>154.60000000000005</v>
      </c>
      <c r="N229" s="1">
        <v>-0.60000000000000009</v>
      </c>
      <c r="O229" s="1">
        <f t="shared" si="30"/>
        <v>113.3</v>
      </c>
      <c r="P229" s="1">
        <v>182</v>
      </c>
      <c r="Q229" s="1">
        <f t="shared" si="31"/>
        <v>1.0218750000000001</v>
      </c>
      <c r="R229" s="9">
        <f t="shared" si="23"/>
        <v>0.81750000000000012</v>
      </c>
      <c r="S229" s="9">
        <f t="shared" si="24"/>
        <v>-0.61750000000000016</v>
      </c>
      <c r="T229" s="60">
        <f t="shared" si="28"/>
        <v>113.214375</v>
      </c>
      <c r="U229" s="13" t="s">
        <v>13</v>
      </c>
      <c r="V229" s="1">
        <v>349.1</v>
      </c>
      <c r="X229" s="1">
        <f t="shared" si="29"/>
        <v>81331.39999999998</v>
      </c>
      <c r="Y229" s="1">
        <f t="shared" si="21"/>
        <v>3406.9</v>
      </c>
      <c r="AA229" s="1">
        <v>11.6391069176819</v>
      </c>
      <c r="AB229" s="62" t="s">
        <v>62</v>
      </c>
    </row>
    <row r="230" spans="1:28" s="1" customFormat="1" x14ac:dyDescent="0.25">
      <c r="A230" s="50"/>
      <c r="B230" s="7"/>
      <c r="C230" s="3">
        <v>41346</v>
      </c>
      <c r="D230" s="1">
        <v>-0.1</v>
      </c>
      <c r="E230" s="1">
        <v>-0.1</v>
      </c>
      <c r="F230" s="1">
        <v>0.7</v>
      </c>
      <c r="G230" s="1">
        <v>1178.2</v>
      </c>
      <c r="H230" s="1">
        <v>60.9</v>
      </c>
      <c r="I230" s="1">
        <v>6</v>
      </c>
      <c r="J230" s="59">
        <v>0</v>
      </c>
      <c r="K230" s="1">
        <f t="shared" si="26"/>
        <v>464.69999999999993</v>
      </c>
      <c r="L230" s="1">
        <v>0.6</v>
      </c>
      <c r="M230" s="1">
        <f t="shared" si="27"/>
        <v>155.20000000000005</v>
      </c>
      <c r="N230" s="1">
        <v>-0.6</v>
      </c>
      <c r="O230" s="1">
        <f t="shared" si="30"/>
        <v>112.7</v>
      </c>
      <c r="P230" s="1">
        <v>183</v>
      </c>
      <c r="Q230" s="1">
        <f t="shared" si="31"/>
        <v>1.0249999999999999</v>
      </c>
      <c r="R230" s="9">
        <f t="shared" si="23"/>
        <v>0.61499999999999988</v>
      </c>
      <c r="S230" s="9">
        <f t="shared" si="24"/>
        <v>-0.61499999999999988</v>
      </c>
      <c r="T230" s="60">
        <f t="shared" si="28"/>
        <v>112.59937500000001</v>
      </c>
      <c r="U230" s="9">
        <f>MIN(T223:T270)</f>
        <v>95.539687500000014</v>
      </c>
      <c r="V230" s="1">
        <v>563</v>
      </c>
      <c r="X230" s="1">
        <f t="shared" si="29"/>
        <v>81894.39999999998</v>
      </c>
      <c r="Y230" s="1">
        <f t="shared" si="21"/>
        <v>3969.9</v>
      </c>
      <c r="AA230" s="1">
        <v>11.695984472328201</v>
      </c>
      <c r="AB230" s="1">
        <f>SUM(J232:J241)</f>
        <v>24.799999999999994</v>
      </c>
    </row>
    <row r="231" spans="1:28" s="56" customFormat="1" x14ac:dyDescent="0.25">
      <c r="A231" s="50"/>
      <c r="B231" s="54" t="s">
        <v>57</v>
      </c>
      <c r="C231" s="55">
        <v>41347</v>
      </c>
      <c r="D231" s="56">
        <v>-0.4</v>
      </c>
      <c r="E231" s="56">
        <v>-3.9</v>
      </c>
      <c r="F231" s="56">
        <v>3.3</v>
      </c>
      <c r="G231" s="56">
        <v>1178.2</v>
      </c>
      <c r="H231" s="56">
        <v>60.9</v>
      </c>
      <c r="I231" s="58" t="s">
        <v>14</v>
      </c>
      <c r="J231" s="56">
        <v>0</v>
      </c>
      <c r="K231" s="56">
        <f t="shared" si="26"/>
        <v>464.69999999999993</v>
      </c>
      <c r="L231" s="56">
        <v>0.8</v>
      </c>
      <c r="M231" s="56">
        <f t="shared" si="27"/>
        <v>156.00000000000006</v>
      </c>
      <c r="N231" s="56">
        <v>-0.8</v>
      </c>
      <c r="O231" s="56">
        <f t="shared" si="30"/>
        <v>111.9</v>
      </c>
      <c r="P231" s="56">
        <v>184</v>
      </c>
      <c r="Q231" s="56">
        <f t="shared" si="31"/>
        <v>1.028125</v>
      </c>
      <c r="R231" s="57">
        <f t="shared" si="23"/>
        <v>0.82250000000000001</v>
      </c>
      <c r="S231" s="57">
        <f t="shared" si="24"/>
        <v>-0.82250000000000001</v>
      </c>
      <c r="T231" s="57">
        <f t="shared" si="28"/>
        <v>111.776875</v>
      </c>
      <c r="U231" s="58" t="s">
        <v>15</v>
      </c>
      <c r="V231" s="56">
        <v>559</v>
      </c>
      <c r="X231" s="56">
        <f t="shared" si="29"/>
        <v>82453.39999999998</v>
      </c>
      <c r="Y231" s="56">
        <f t="shared" ref="Y231:Y294" si="32">Y230+V231</f>
        <v>4528.8999999999996</v>
      </c>
      <c r="AA231" s="56">
        <v>11.7528980977609</v>
      </c>
    </row>
    <row r="232" spans="1:28" s="1" customFormat="1" x14ac:dyDescent="0.25">
      <c r="A232" s="50"/>
      <c r="B232" s="7"/>
      <c r="C232" s="3">
        <v>41348</v>
      </c>
      <c r="D232" s="1">
        <v>-0.3</v>
      </c>
      <c r="E232" s="1">
        <v>-4.2</v>
      </c>
      <c r="F232" s="1">
        <v>5</v>
      </c>
      <c r="G232" s="1">
        <v>1178.2</v>
      </c>
      <c r="H232" s="1">
        <v>60.9</v>
      </c>
      <c r="I232" s="1">
        <v>0</v>
      </c>
      <c r="J232" s="59">
        <v>0</v>
      </c>
      <c r="K232" s="1">
        <f t="shared" si="26"/>
        <v>464.69999999999993</v>
      </c>
      <c r="L232" s="1">
        <v>1.8</v>
      </c>
      <c r="M232" s="1">
        <f t="shared" si="27"/>
        <v>157.80000000000007</v>
      </c>
      <c r="N232" s="1">
        <v>-1.8</v>
      </c>
      <c r="O232" s="1">
        <f t="shared" si="30"/>
        <v>110.10000000000001</v>
      </c>
      <c r="P232" s="1">
        <v>185</v>
      </c>
      <c r="Q232" s="1">
        <f t="shared" si="31"/>
        <v>1.03125</v>
      </c>
      <c r="R232" s="9">
        <f t="shared" si="23"/>
        <v>1.85625</v>
      </c>
      <c r="S232" s="9">
        <f t="shared" si="24"/>
        <v>-1.85625</v>
      </c>
      <c r="T232" s="60">
        <f t="shared" si="28"/>
        <v>109.920625</v>
      </c>
      <c r="U232" s="9">
        <f>MAX(T223:T270)</f>
        <v>122.1</v>
      </c>
      <c r="V232" s="1">
        <v>1806.3</v>
      </c>
      <c r="X232" s="1">
        <f t="shared" si="29"/>
        <v>84259.699999999983</v>
      </c>
      <c r="Y232" s="1">
        <f t="shared" si="32"/>
        <v>6335.2</v>
      </c>
      <c r="AA232" s="1">
        <v>11.809841155273601</v>
      </c>
    </row>
    <row r="233" spans="1:28" s="1" customFormat="1" x14ac:dyDescent="0.25">
      <c r="A233" s="50"/>
      <c r="B233" s="7"/>
      <c r="C233" s="3">
        <v>41349</v>
      </c>
      <c r="D233" s="1">
        <v>3.3</v>
      </c>
      <c r="E233" s="1">
        <v>-6.3</v>
      </c>
      <c r="F233" s="1">
        <v>9.6</v>
      </c>
      <c r="G233" s="1">
        <f t="shared" si="25"/>
        <v>1181.5</v>
      </c>
      <c r="H233" s="1">
        <f t="shared" ref="H233:H296" si="33">H232+D233</f>
        <v>64.2</v>
      </c>
      <c r="I233" s="13" t="s">
        <v>16</v>
      </c>
      <c r="J233" s="59">
        <v>4.5999999999999996</v>
      </c>
      <c r="K233" s="1">
        <f t="shared" si="26"/>
        <v>469.29999999999995</v>
      </c>
      <c r="L233" s="1">
        <v>1.5</v>
      </c>
      <c r="M233" s="1">
        <f t="shared" si="27"/>
        <v>159.30000000000007</v>
      </c>
      <c r="N233" s="1">
        <v>3.0999999999999996</v>
      </c>
      <c r="O233" s="1">
        <f t="shared" si="30"/>
        <v>113.2</v>
      </c>
      <c r="P233" s="1">
        <v>186</v>
      </c>
      <c r="Q233" s="1">
        <f t="shared" si="31"/>
        <v>1.034375</v>
      </c>
      <c r="R233" s="9">
        <f t="shared" si="23"/>
        <v>1.5515625000000002</v>
      </c>
      <c r="S233" s="9">
        <f t="shared" si="24"/>
        <v>3.0484374999999995</v>
      </c>
      <c r="T233" s="60">
        <f t="shared" si="28"/>
        <v>112.96906250000001</v>
      </c>
      <c r="U233" s="13" t="s">
        <v>17</v>
      </c>
      <c r="V233" s="1">
        <v>902.4</v>
      </c>
      <c r="X233" s="1">
        <f t="shared" si="29"/>
        <v>85162.099999999977</v>
      </c>
      <c r="Y233" s="1">
        <f t="shared" si="32"/>
        <v>7237.5999999999995</v>
      </c>
      <c r="AA233" s="1">
        <v>11.8668071543759</v>
      </c>
    </row>
    <row r="234" spans="1:28" s="1" customFormat="1" x14ac:dyDescent="0.25">
      <c r="A234" s="50"/>
      <c r="B234" s="7"/>
      <c r="C234" s="3">
        <v>41350</v>
      </c>
      <c r="D234" s="1">
        <v>6.6</v>
      </c>
      <c r="E234" s="1">
        <v>5</v>
      </c>
      <c r="F234" s="1">
        <v>8.6</v>
      </c>
      <c r="G234" s="1">
        <f t="shared" si="25"/>
        <v>1188.0999999999999</v>
      </c>
      <c r="H234" s="1">
        <f t="shared" si="33"/>
        <v>70.8</v>
      </c>
      <c r="I234" s="1">
        <v>22</v>
      </c>
      <c r="J234" s="59">
        <v>11.1</v>
      </c>
      <c r="K234" s="1">
        <f t="shared" si="26"/>
        <v>480.4</v>
      </c>
      <c r="L234" s="1">
        <v>1.2</v>
      </c>
      <c r="M234" s="1">
        <f t="shared" si="27"/>
        <v>160.50000000000006</v>
      </c>
      <c r="N234" s="1">
        <v>9.9</v>
      </c>
      <c r="O234" s="1">
        <v>122.1</v>
      </c>
      <c r="P234" s="1">
        <v>187</v>
      </c>
      <c r="Q234" s="1">
        <f t="shared" si="31"/>
        <v>1.0375000000000001</v>
      </c>
      <c r="R234" s="9">
        <f t="shared" si="23"/>
        <v>1.2450000000000001</v>
      </c>
      <c r="S234" s="9">
        <f t="shared" si="24"/>
        <v>9.8550000000000004</v>
      </c>
      <c r="T234" s="60">
        <f t="shared" si="28"/>
        <v>122.1</v>
      </c>
      <c r="U234" s="20">
        <f>AVERAGE(T223:T270)</f>
        <v>110.79707682291665</v>
      </c>
      <c r="V234" s="1">
        <v>390.7</v>
      </c>
      <c r="X234" s="1">
        <f t="shared" si="29"/>
        <v>85552.799999999974</v>
      </c>
      <c r="Y234" s="1">
        <f t="shared" si="32"/>
        <v>7628.2999999999993</v>
      </c>
      <c r="AA234" s="1">
        <v>11.923789735359501</v>
      </c>
    </row>
    <row r="235" spans="1:28" s="1" customFormat="1" x14ac:dyDescent="0.25">
      <c r="A235" s="50"/>
      <c r="B235" s="7"/>
      <c r="C235" s="3">
        <v>41351</v>
      </c>
      <c r="D235" s="1">
        <v>5.6</v>
      </c>
      <c r="E235" s="1">
        <v>3.4</v>
      </c>
      <c r="F235" s="1">
        <v>9.4</v>
      </c>
      <c r="G235" s="1">
        <f t="shared" si="25"/>
        <v>1193.6999999999998</v>
      </c>
      <c r="H235" s="1">
        <f t="shared" si="33"/>
        <v>76.399999999999991</v>
      </c>
      <c r="I235" s="13" t="s">
        <v>18</v>
      </c>
      <c r="J235" s="59">
        <v>4.5999999999999996</v>
      </c>
      <c r="K235" s="1">
        <f t="shared" si="26"/>
        <v>485</v>
      </c>
      <c r="L235" s="1">
        <v>1.4</v>
      </c>
      <c r="M235" s="1">
        <f t="shared" si="27"/>
        <v>161.90000000000006</v>
      </c>
      <c r="N235" s="1">
        <v>3.1999999999999997</v>
      </c>
      <c r="O235" s="1">
        <v>122.1</v>
      </c>
      <c r="P235" s="1">
        <v>188</v>
      </c>
      <c r="Q235" s="1">
        <f t="shared" si="31"/>
        <v>1.0406249999999999</v>
      </c>
      <c r="R235" s="9">
        <f t="shared" si="23"/>
        <v>1.4568749999999997</v>
      </c>
      <c r="S235" s="9">
        <f t="shared" si="24"/>
        <v>3.1431249999999999</v>
      </c>
      <c r="T235" s="60">
        <f t="shared" si="28"/>
        <v>122.1</v>
      </c>
      <c r="V235" s="1">
        <v>1022.5</v>
      </c>
      <c r="X235" s="1">
        <f t="shared" si="29"/>
        <v>86575.299999999974</v>
      </c>
      <c r="Y235" s="1">
        <f t="shared" si="32"/>
        <v>8650.7999999999993</v>
      </c>
      <c r="AA235" s="1">
        <v>11.980782651963001</v>
      </c>
    </row>
    <row r="236" spans="1:28" s="1" customFormat="1" x14ac:dyDescent="0.25">
      <c r="A236" s="50"/>
      <c r="B236" s="7"/>
      <c r="C236" s="3">
        <v>41352</v>
      </c>
      <c r="D236" s="1">
        <v>6.4</v>
      </c>
      <c r="E236" s="1">
        <v>3.1</v>
      </c>
      <c r="F236" s="1">
        <v>10.5</v>
      </c>
      <c r="G236" s="1">
        <f t="shared" si="25"/>
        <v>1200.0999999999999</v>
      </c>
      <c r="H236" s="1">
        <f t="shared" si="33"/>
        <v>82.8</v>
      </c>
      <c r="I236" s="1">
        <v>363.5</v>
      </c>
      <c r="J236" s="59">
        <v>1.2</v>
      </c>
      <c r="K236" s="1">
        <f t="shared" si="26"/>
        <v>486.2</v>
      </c>
      <c r="L236" s="1">
        <v>1.9</v>
      </c>
      <c r="M236" s="1">
        <f t="shared" si="27"/>
        <v>163.80000000000007</v>
      </c>
      <c r="N236" s="1">
        <v>-0.7</v>
      </c>
      <c r="O236" s="1">
        <f t="shared" ref="O236:O258" si="34">O235+N236</f>
        <v>121.39999999999999</v>
      </c>
      <c r="P236" s="1">
        <v>189</v>
      </c>
      <c r="Q236" s="1">
        <f t="shared" si="31"/>
        <v>1.04375</v>
      </c>
      <c r="R236" s="9">
        <f t="shared" si="23"/>
        <v>1.9831249999999998</v>
      </c>
      <c r="S236" s="9">
        <f t="shared" si="24"/>
        <v>-0.78312499999999985</v>
      </c>
      <c r="T236" s="60">
        <f t="shared" si="28"/>
        <v>121.316875</v>
      </c>
      <c r="U236" s="9">
        <f>(U234*100)/122.1</f>
        <v>90.742896660865398</v>
      </c>
      <c r="V236" s="1">
        <v>1004.4</v>
      </c>
      <c r="X236" s="1">
        <f t="shared" si="29"/>
        <v>87579.699999999968</v>
      </c>
      <c r="Y236" s="1">
        <f t="shared" si="32"/>
        <v>9655.1999999999989</v>
      </c>
      <c r="AA236" s="1">
        <v>12.037779754133</v>
      </c>
    </row>
    <row r="237" spans="1:28" s="1" customFormat="1" x14ac:dyDescent="0.25">
      <c r="A237" s="50"/>
      <c r="B237" s="7"/>
      <c r="C237" s="3">
        <v>41353</v>
      </c>
      <c r="D237" s="1">
        <v>6.4</v>
      </c>
      <c r="E237" s="1">
        <v>5.0999999999999996</v>
      </c>
      <c r="F237" s="1">
        <v>9.6</v>
      </c>
      <c r="G237" s="1">
        <f t="shared" si="25"/>
        <v>1206.5</v>
      </c>
      <c r="H237" s="1">
        <f t="shared" si="33"/>
        <v>89.2</v>
      </c>
      <c r="J237" s="59">
        <v>1.9</v>
      </c>
      <c r="K237" s="1">
        <f t="shared" si="26"/>
        <v>488.09999999999997</v>
      </c>
      <c r="L237" s="1">
        <v>1.2</v>
      </c>
      <c r="M237" s="1">
        <f t="shared" si="27"/>
        <v>165.00000000000006</v>
      </c>
      <c r="N237" s="1">
        <v>0.7</v>
      </c>
      <c r="O237" s="1">
        <f t="shared" si="34"/>
        <v>122.1</v>
      </c>
      <c r="P237" s="1">
        <v>190</v>
      </c>
      <c r="Q237" s="1">
        <f t="shared" si="31"/>
        <v>1.046875</v>
      </c>
      <c r="R237" s="9">
        <f t="shared" si="23"/>
        <v>1.2562499999999999</v>
      </c>
      <c r="S237" s="9">
        <f t="shared" si="24"/>
        <v>0.64375000000000004</v>
      </c>
      <c r="T237" s="60">
        <f t="shared" si="28"/>
        <v>121.96062499999999</v>
      </c>
      <c r="V237" s="1">
        <v>643.79999999999995</v>
      </c>
      <c r="X237" s="1">
        <f t="shared" si="29"/>
        <v>88223.499999999971</v>
      </c>
      <c r="Y237" s="1">
        <f t="shared" si="32"/>
        <v>10298.999999999998</v>
      </c>
      <c r="AA237" s="1">
        <v>12.094774970885499</v>
      </c>
    </row>
    <row r="238" spans="1:28" s="1" customFormat="1" x14ac:dyDescent="0.25">
      <c r="A238" s="50"/>
      <c r="B238" s="7" t="s">
        <v>26</v>
      </c>
      <c r="C238" s="3">
        <v>41354</v>
      </c>
      <c r="D238" s="1">
        <v>6.6</v>
      </c>
      <c r="E238" s="1">
        <v>0.6</v>
      </c>
      <c r="F238" s="1">
        <v>12.2</v>
      </c>
      <c r="G238" s="1">
        <f t="shared" si="25"/>
        <v>1213.0999999999999</v>
      </c>
      <c r="H238" s="1">
        <f t="shared" si="33"/>
        <v>95.8</v>
      </c>
      <c r="J238" s="59">
        <v>0</v>
      </c>
      <c r="K238" s="1">
        <f t="shared" si="26"/>
        <v>488.09999999999997</v>
      </c>
      <c r="L238" s="1">
        <v>1.6</v>
      </c>
      <c r="M238" s="1">
        <f t="shared" si="27"/>
        <v>166.60000000000005</v>
      </c>
      <c r="N238" s="1">
        <v>-1.6</v>
      </c>
      <c r="O238" s="1">
        <f t="shared" si="34"/>
        <v>120.5</v>
      </c>
      <c r="P238" s="1">
        <v>191</v>
      </c>
      <c r="Q238" s="1">
        <f t="shared" si="31"/>
        <v>1.05</v>
      </c>
      <c r="R238" s="9">
        <f t="shared" si="23"/>
        <v>1.6800000000000002</v>
      </c>
      <c r="S238" s="9">
        <f t="shared" si="24"/>
        <v>-1.6800000000000002</v>
      </c>
      <c r="T238" s="60">
        <f t="shared" si="28"/>
        <v>120.28062499999999</v>
      </c>
      <c r="V238" s="1">
        <v>1300.2</v>
      </c>
      <c r="X238" s="1">
        <f t="shared" si="29"/>
        <v>89523.699999999968</v>
      </c>
      <c r="Y238" s="1">
        <f t="shared" si="32"/>
        <v>11599.199999999999</v>
      </c>
      <c r="AA238" s="1">
        <v>12.151762293265101</v>
      </c>
    </row>
    <row r="239" spans="1:28" s="1" customFormat="1" x14ac:dyDescent="0.25">
      <c r="A239" s="50"/>
      <c r="B239" s="7"/>
      <c r="C239" s="3">
        <v>41355</v>
      </c>
      <c r="D239" s="1">
        <v>8.6999999999999993</v>
      </c>
      <c r="E239" s="1">
        <v>3</v>
      </c>
      <c r="F239" s="1">
        <v>13.2</v>
      </c>
      <c r="G239" s="1">
        <f t="shared" si="25"/>
        <v>1221.8</v>
      </c>
      <c r="H239" s="1">
        <f t="shared" si="33"/>
        <v>104.5</v>
      </c>
      <c r="J239" s="59">
        <v>0</v>
      </c>
      <c r="K239" s="1">
        <f t="shared" si="26"/>
        <v>488.09999999999997</v>
      </c>
      <c r="L239" s="1">
        <v>1.8</v>
      </c>
      <c r="M239" s="1">
        <f t="shared" si="27"/>
        <v>168.40000000000006</v>
      </c>
      <c r="N239" s="1">
        <v>-1.8</v>
      </c>
      <c r="O239" s="1">
        <f t="shared" si="34"/>
        <v>118.7</v>
      </c>
      <c r="P239" s="1">
        <v>192</v>
      </c>
      <c r="Q239" s="1">
        <f t="shared" si="31"/>
        <v>1.0531249999999999</v>
      </c>
      <c r="R239" s="9">
        <f t="shared" si="23"/>
        <v>1.8956249999999999</v>
      </c>
      <c r="S239" s="9">
        <f t="shared" si="24"/>
        <v>-1.8956249999999999</v>
      </c>
      <c r="T239" s="60">
        <f t="shared" si="28"/>
        <v>118.38499999999999</v>
      </c>
      <c r="V239" s="1">
        <v>1280.9000000000001</v>
      </c>
      <c r="X239" s="1">
        <f t="shared" si="29"/>
        <v>90804.599999999962</v>
      </c>
      <c r="Y239" s="1">
        <f t="shared" si="32"/>
        <v>12880.099999999999</v>
      </c>
      <c r="AA239" s="1">
        <v>12.208735757402501</v>
      </c>
    </row>
    <row r="240" spans="1:28" s="1" customFormat="1" x14ac:dyDescent="0.25">
      <c r="A240" s="50"/>
      <c r="B240" s="7"/>
      <c r="C240" s="3">
        <v>41356</v>
      </c>
      <c r="D240" s="1">
        <v>8.6</v>
      </c>
      <c r="E240" s="1">
        <v>7.8</v>
      </c>
      <c r="F240" s="1">
        <v>9.9</v>
      </c>
      <c r="G240" s="1">
        <f t="shared" si="25"/>
        <v>1230.3999999999999</v>
      </c>
      <c r="H240" s="1">
        <f t="shared" si="33"/>
        <v>113.1</v>
      </c>
      <c r="J240" s="59">
        <v>1.4</v>
      </c>
      <c r="K240" s="1">
        <f t="shared" si="26"/>
        <v>489.49999999999994</v>
      </c>
      <c r="L240" s="1">
        <v>0.8</v>
      </c>
      <c r="M240" s="1">
        <f t="shared" si="27"/>
        <v>169.20000000000007</v>
      </c>
      <c r="N240" s="1">
        <v>0.59999999999999987</v>
      </c>
      <c r="O240" s="1">
        <f t="shared" si="34"/>
        <v>119.3</v>
      </c>
      <c r="P240" s="1">
        <v>193</v>
      </c>
      <c r="Q240" s="1">
        <f t="shared" si="31"/>
        <v>1.0562499999999999</v>
      </c>
      <c r="R240" s="9">
        <f t="shared" ref="R240:R303" si="35">Q240*L240</f>
        <v>0.84499999999999997</v>
      </c>
      <c r="S240" s="9">
        <f t="shared" ref="S240:S303" si="36">J240-R240</f>
        <v>0.55499999999999994</v>
      </c>
      <c r="T240" s="60">
        <f t="shared" si="28"/>
        <v>118.94</v>
      </c>
      <c r="V240" s="1">
        <v>429.8</v>
      </c>
      <c r="X240" s="1">
        <f t="shared" si="29"/>
        <v>91234.399999999965</v>
      </c>
      <c r="Y240" s="1">
        <f t="shared" si="32"/>
        <v>13309.899999999998</v>
      </c>
      <c r="AA240" s="1">
        <v>12.265689427668301</v>
      </c>
    </row>
    <row r="241" spans="1:27" s="1" customFormat="1" x14ac:dyDescent="0.25">
      <c r="A241" s="50"/>
      <c r="B241" s="7"/>
      <c r="C241" s="3">
        <v>41357</v>
      </c>
      <c r="D241" s="1">
        <v>5.3</v>
      </c>
      <c r="E241" s="1">
        <v>4.5999999999999996</v>
      </c>
      <c r="F241" s="1">
        <v>6.9</v>
      </c>
      <c r="G241" s="1">
        <f t="shared" si="25"/>
        <v>1235.6999999999998</v>
      </c>
      <c r="H241" s="1">
        <f t="shared" si="33"/>
        <v>118.39999999999999</v>
      </c>
      <c r="J241" s="59">
        <v>0</v>
      </c>
      <c r="K241" s="1">
        <f t="shared" si="26"/>
        <v>489.49999999999994</v>
      </c>
      <c r="L241" s="1">
        <v>1.5</v>
      </c>
      <c r="M241" s="1">
        <f t="shared" si="27"/>
        <v>170.70000000000007</v>
      </c>
      <c r="N241" s="1">
        <v>-1.5</v>
      </c>
      <c r="O241" s="1">
        <f t="shared" si="34"/>
        <v>117.8</v>
      </c>
      <c r="P241" s="1">
        <v>194</v>
      </c>
      <c r="Q241" s="1">
        <f t="shared" si="31"/>
        <v>1.059375</v>
      </c>
      <c r="R241" s="9">
        <f t="shared" si="35"/>
        <v>1.5890624999999998</v>
      </c>
      <c r="S241" s="9">
        <f t="shared" si="36"/>
        <v>-1.5890624999999998</v>
      </c>
      <c r="T241" s="60">
        <f t="shared" si="28"/>
        <v>117.3509375</v>
      </c>
      <c r="V241" s="1">
        <v>927.8</v>
      </c>
      <c r="X241" s="1">
        <f t="shared" si="29"/>
        <v>92162.199999999968</v>
      </c>
      <c r="Y241" s="1">
        <f t="shared" si="32"/>
        <v>14237.699999999997</v>
      </c>
      <c r="AA241" s="1">
        <v>12.3226173799212</v>
      </c>
    </row>
    <row r="242" spans="1:27" s="1" customFormat="1" x14ac:dyDescent="0.25">
      <c r="A242" s="50"/>
      <c r="B242" s="7"/>
      <c r="C242" s="3">
        <v>41358</v>
      </c>
      <c r="D242" s="1">
        <v>3.9</v>
      </c>
      <c r="E242" s="1">
        <v>1.1000000000000001</v>
      </c>
      <c r="F242" s="1">
        <v>8</v>
      </c>
      <c r="G242" s="1">
        <f t="shared" ref="G242:G305" si="37">G241+D242</f>
        <v>1239.5999999999999</v>
      </c>
      <c r="H242" s="1">
        <f t="shared" si="33"/>
        <v>122.3</v>
      </c>
      <c r="J242" s="1">
        <v>0</v>
      </c>
      <c r="K242" s="1">
        <f t="shared" ref="K242:K305" si="38">K241+J242</f>
        <v>489.49999999999994</v>
      </c>
      <c r="L242" s="1">
        <v>1.9</v>
      </c>
      <c r="M242" s="1">
        <f t="shared" ref="M242:M305" si="39">M241+L242</f>
        <v>172.60000000000008</v>
      </c>
      <c r="N242" s="1">
        <v>-1.9</v>
      </c>
      <c r="O242" s="1">
        <f t="shared" si="34"/>
        <v>115.89999999999999</v>
      </c>
      <c r="P242" s="1">
        <v>195</v>
      </c>
      <c r="Q242" s="1">
        <f t="shared" si="31"/>
        <v>1.0625</v>
      </c>
      <c r="R242" s="9">
        <f t="shared" si="35"/>
        <v>2.0187499999999998</v>
      </c>
      <c r="S242" s="9">
        <f t="shared" si="36"/>
        <v>-2.0187499999999998</v>
      </c>
      <c r="T242" s="9">
        <f t="shared" ref="T242:T305" si="40">MIN(122.1,(T241+S242))</f>
        <v>115.3321875</v>
      </c>
      <c r="V242" s="1">
        <v>1065.7</v>
      </c>
      <c r="X242" s="1">
        <f t="shared" ref="X242:X305" si="41">X241+V242</f>
        <v>93227.899999999965</v>
      </c>
      <c r="Y242" s="1">
        <f t="shared" si="32"/>
        <v>15303.399999999998</v>
      </c>
      <c r="AA242" s="1">
        <v>12.379513684848799</v>
      </c>
    </row>
    <row r="243" spans="1:27" s="1" customFormat="1" x14ac:dyDescent="0.25">
      <c r="A243" s="50"/>
      <c r="B243" s="7"/>
      <c r="C243" s="3">
        <v>41359</v>
      </c>
      <c r="D243" s="1">
        <v>2.5</v>
      </c>
      <c r="E243" s="1">
        <v>0.4</v>
      </c>
      <c r="F243" s="1">
        <v>4.0999999999999996</v>
      </c>
      <c r="G243" s="1">
        <f t="shared" si="37"/>
        <v>1242.0999999999999</v>
      </c>
      <c r="H243" s="1">
        <f t="shared" si="33"/>
        <v>124.8</v>
      </c>
      <c r="J243" s="1">
        <v>0</v>
      </c>
      <c r="K243" s="1">
        <f t="shared" si="38"/>
        <v>489.49999999999994</v>
      </c>
      <c r="L243" s="1">
        <v>0.9</v>
      </c>
      <c r="M243" s="1">
        <f t="shared" si="39"/>
        <v>173.50000000000009</v>
      </c>
      <c r="N243" s="1">
        <v>-0.9</v>
      </c>
      <c r="O243" s="1">
        <f t="shared" si="34"/>
        <v>114.99999999999999</v>
      </c>
      <c r="P243" s="1">
        <v>196</v>
      </c>
      <c r="Q243" s="1">
        <f t="shared" si="31"/>
        <v>1.065625</v>
      </c>
      <c r="R243" s="9">
        <f t="shared" si="35"/>
        <v>0.95906250000000004</v>
      </c>
      <c r="S243" s="9">
        <f t="shared" si="36"/>
        <v>-0.95906250000000004</v>
      </c>
      <c r="T243" s="9">
        <f t="shared" si="40"/>
        <v>114.373125</v>
      </c>
      <c r="V243" s="1">
        <v>479.4</v>
      </c>
      <c r="X243" s="1">
        <f t="shared" si="41"/>
        <v>93707.299999999959</v>
      </c>
      <c r="Y243" s="1">
        <f t="shared" si="32"/>
        <v>15782.799999999997</v>
      </c>
      <c r="AA243" s="1">
        <v>12.4363723913994</v>
      </c>
    </row>
    <row r="244" spans="1:27" s="1" customFormat="1" x14ac:dyDescent="0.25">
      <c r="A244" s="50"/>
      <c r="B244" s="7"/>
      <c r="C244" s="3">
        <v>41360</v>
      </c>
      <c r="D244" s="1">
        <v>2.8</v>
      </c>
      <c r="E244" s="1">
        <v>1.2</v>
      </c>
      <c r="F244" s="1">
        <v>4.5</v>
      </c>
      <c r="G244" s="1">
        <f t="shared" si="37"/>
        <v>1244.8999999999999</v>
      </c>
      <c r="H244" s="1">
        <f t="shared" si="33"/>
        <v>127.6</v>
      </c>
      <c r="J244" s="1">
        <v>0</v>
      </c>
      <c r="K244" s="1">
        <f t="shared" si="38"/>
        <v>489.49999999999994</v>
      </c>
      <c r="L244" s="1">
        <v>1.1000000000000001</v>
      </c>
      <c r="M244" s="1">
        <f t="shared" si="39"/>
        <v>174.60000000000008</v>
      </c>
      <c r="N244" s="1">
        <v>-1.1000000000000001</v>
      </c>
      <c r="O244" s="1">
        <f t="shared" si="34"/>
        <v>113.89999999999999</v>
      </c>
      <c r="P244" s="1">
        <v>197</v>
      </c>
      <c r="Q244" s="1">
        <f t="shared" si="31"/>
        <v>1.0687499999999999</v>
      </c>
      <c r="R244" s="9">
        <f t="shared" si="35"/>
        <v>1.1756249999999999</v>
      </c>
      <c r="S244" s="9">
        <f t="shared" si="36"/>
        <v>-1.1756249999999999</v>
      </c>
      <c r="T244" s="9">
        <f t="shared" si="40"/>
        <v>113.19750000000001</v>
      </c>
      <c r="V244" s="1">
        <v>785.5</v>
      </c>
      <c r="X244" s="1">
        <f t="shared" si="41"/>
        <v>94492.799999999959</v>
      </c>
      <c r="Y244" s="1">
        <f t="shared" si="32"/>
        <v>16568.299999999996</v>
      </c>
      <c r="AA244" s="1">
        <v>12.493187510301199</v>
      </c>
    </row>
    <row r="245" spans="1:27" s="1" customFormat="1" x14ac:dyDescent="0.25">
      <c r="A245" s="50"/>
      <c r="B245" s="7" t="s">
        <v>27</v>
      </c>
      <c r="C245" s="3">
        <v>41361</v>
      </c>
      <c r="D245" s="1">
        <v>2.5</v>
      </c>
      <c r="E245" s="1">
        <v>0</v>
      </c>
      <c r="F245" s="1">
        <v>4.5999999999999996</v>
      </c>
      <c r="G245" s="1">
        <f t="shared" si="37"/>
        <v>1247.3999999999999</v>
      </c>
      <c r="H245" s="1">
        <f t="shared" si="33"/>
        <v>130.1</v>
      </c>
      <c r="J245" s="1">
        <v>0.6</v>
      </c>
      <c r="K245" s="1">
        <f t="shared" si="38"/>
        <v>490.09999999999997</v>
      </c>
      <c r="L245" s="1">
        <v>0.6</v>
      </c>
      <c r="M245" s="1">
        <f t="shared" si="39"/>
        <v>175.20000000000007</v>
      </c>
      <c r="N245" s="1">
        <v>0</v>
      </c>
      <c r="O245" s="1">
        <f t="shared" si="34"/>
        <v>113.89999999999999</v>
      </c>
      <c r="P245" s="1">
        <v>198</v>
      </c>
      <c r="Q245" s="1">
        <f t="shared" si="31"/>
        <v>1.0718749999999999</v>
      </c>
      <c r="R245" s="9">
        <f t="shared" si="35"/>
        <v>0.64312499999999995</v>
      </c>
      <c r="S245" s="9">
        <f t="shared" si="36"/>
        <v>-4.3124999999999969E-2</v>
      </c>
      <c r="T245" s="9">
        <f t="shared" si="40"/>
        <v>113.154375</v>
      </c>
      <c r="V245" s="1">
        <v>571</v>
      </c>
      <c r="X245" s="1">
        <f t="shared" si="41"/>
        <v>95063.799999999959</v>
      </c>
      <c r="Y245" s="1">
        <f t="shared" si="32"/>
        <v>17139.299999999996</v>
      </c>
      <c r="AA245" s="1">
        <v>12.549952997669299</v>
      </c>
    </row>
    <row r="246" spans="1:27" s="1" customFormat="1" x14ac:dyDescent="0.25">
      <c r="A246" s="50"/>
      <c r="B246" s="7"/>
      <c r="C246" s="3">
        <v>41362</v>
      </c>
      <c r="D246" s="1">
        <v>1.9</v>
      </c>
      <c r="E246" s="1">
        <v>-2</v>
      </c>
      <c r="F246" s="1">
        <v>4.8</v>
      </c>
      <c r="G246" s="1">
        <f t="shared" si="37"/>
        <v>1249.3</v>
      </c>
      <c r="H246" s="1">
        <f t="shared" si="33"/>
        <v>132</v>
      </c>
      <c r="J246" s="1">
        <v>1.5</v>
      </c>
      <c r="K246" s="1">
        <f t="shared" si="38"/>
        <v>491.59999999999997</v>
      </c>
      <c r="L246" s="1">
        <v>0.7</v>
      </c>
      <c r="M246" s="1">
        <f t="shared" si="39"/>
        <v>175.90000000000006</v>
      </c>
      <c r="N246" s="1">
        <v>0.8</v>
      </c>
      <c r="O246" s="1">
        <f t="shared" si="34"/>
        <v>114.69999999999999</v>
      </c>
      <c r="P246" s="1">
        <v>199</v>
      </c>
      <c r="Q246" s="1">
        <f t="shared" si="31"/>
        <v>1.075</v>
      </c>
      <c r="R246" s="9">
        <f t="shared" si="35"/>
        <v>0.75249999999999995</v>
      </c>
      <c r="S246" s="9">
        <f t="shared" si="36"/>
        <v>0.74750000000000005</v>
      </c>
      <c r="T246" s="9">
        <f t="shared" si="40"/>
        <v>113.901875</v>
      </c>
      <c r="V246" s="1">
        <v>707.7</v>
      </c>
      <c r="X246" s="1">
        <f t="shared" si="41"/>
        <v>95771.499999999956</v>
      </c>
      <c r="Y246" s="1">
        <f t="shared" si="32"/>
        <v>17846.999999999996</v>
      </c>
      <c r="AA246" s="1">
        <v>12.6066627386971</v>
      </c>
    </row>
    <row r="247" spans="1:27" s="1" customFormat="1" x14ac:dyDescent="0.25">
      <c r="A247" s="50"/>
      <c r="B247" s="7"/>
      <c r="C247" s="3">
        <v>41363</v>
      </c>
      <c r="D247" s="1">
        <v>5.2</v>
      </c>
      <c r="E247" s="1">
        <v>2.9</v>
      </c>
      <c r="F247" s="1">
        <v>7.7</v>
      </c>
      <c r="G247" s="1">
        <f t="shared" si="37"/>
        <v>1254.5</v>
      </c>
      <c r="H247" s="1">
        <f t="shared" si="33"/>
        <v>137.19999999999999</v>
      </c>
      <c r="J247" s="1">
        <v>2.6</v>
      </c>
      <c r="K247" s="1">
        <f t="shared" si="38"/>
        <v>494.2</v>
      </c>
      <c r="L247" s="1">
        <v>0.9</v>
      </c>
      <c r="M247" s="1">
        <f t="shared" si="39"/>
        <v>176.80000000000007</v>
      </c>
      <c r="N247" s="1">
        <v>1.7000000000000002</v>
      </c>
      <c r="O247" s="1">
        <f t="shared" si="34"/>
        <v>116.39999999999999</v>
      </c>
      <c r="P247" s="1">
        <v>200</v>
      </c>
      <c r="Q247" s="1">
        <f t="shared" si="31"/>
        <v>1.078125</v>
      </c>
      <c r="R247" s="9">
        <f t="shared" si="35"/>
        <v>0.97031250000000002</v>
      </c>
      <c r="S247" s="9">
        <f t="shared" si="36"/>
        <v>1.6296875000000002</v>
      </c>
      <c r="T247" s="9">
        <f t="shared" si="40"/>
        <v>115.53156250000001</v>
      </c>
      <c r="V247" s="1">
        <v>644.5</v>
      </c>
      <c r="X247" s="1">
        <f t="shared" si="41"/>
        <v>96415.999999999956</v>
      </c>
      <c r="Y247" s="1">
        <f t="shared" si="32"/>
        <v>18491.499999999996</v>
      </c>
      <c r="AA247" s="1">
        <v>12.6633105314329</v>
      </c>
    </row>
    <row r="248" spans="1:27" s="1" customFormat="1" x14ac:dyDescent="0.25">
      <c r="A248" s="50"/>
      <c r="B248" s="7"/>
      <c r="C248" s="3">
        <v>41364</v>
      </c>
      <c r="D248" s="1">
        <v>3.2</v>
      </c>
      <c r="E248" s="1">
        <v>0</v>
      </c>
      <c r="F248" s="1">
        <v>6.9</v>
      </c>
      <c r="G248" s="1">
        <f t="shared" si="37"/>
        <v>1257.7</v>
      </c>
      <c r="H248" s="1">
        <f t="shared" si="33"/>
        <v>140.39999999999998</v>
      </c>
      <c r="J248" s="1">
        <v>0</v>
      </c>
      <c r="K248" s="1">
        <f t="shared" si="38"/>
        <v>494.2</v>
      </c>
      <c r="L248" s="1">
        <v>1.8</v>
      </c>
      <c r="M248" s="1">
        <f t="shared" si="39"/>
        <v>178.60000000000008</v>
      </c>
      <c r="N248" s="1">
        <v>-1.8</v>
      </c>
      <c r="O248" s="1">
        <f t="shared" si="34"/>
        <v>114.6</v>
      </c>
      <c r="P248" s="1">
        <v>201</v>
      </c>
      <c r="Q248" s="1">
        <f t="shared" si="31"/>
        <v>1.08125</v>
      </c>
      <c r="R248" s="9">
        <f t="shared" si="35"/>
        <v>1.94625</v>
      </c>
      <c r="S248" s="9">
        <f t="shared" si="36"/>
        <v>-1.94625</v>
      </c>
      <c r="T248" s="9">
        <f t="shared" si="40"/>
        <v>113.5853125</v>
      </c>
      <c r="V248" s="1">
        <v>1385.3</v>
      </c>
      <c r="X248" s="1">
        <f t="shared" si="41"/>
        <v>97801.299999999959</v>
      </c>
      <c r="Y248" s="1">
        <f t="shared" si="32"/>
        <v>19876.799999999996</v>
      </c>
      <c r="AA248" s="1">
        <v>12.719890070641</v>
      </c>
    </row>
    <row r="249" spans="1:27" s="1" customFormat="1" x14ac:dyDescent="0.25">
      <c r="A249" s="50"/>
      <c r="B249" s="7"/>
      <c r="C249" s="3">
        <v>41365</v>
      </c>
      <c r="D249" s="1">
        <v>4.9000000000000004</v>
      </c>
      <c r="E249" s="1">
        <v>-1.6</v>
      </c>
      <c r="F249" s="1">
        <v>11.2</v>
      </c>
      <c r="G249" s="1">
        <f t="shared" si="37"/>
        <v>1262.6000000000001</v>
      </c>
      <c r="H249" s="1">
        <f t="shared" si="33"/>
        <v>145.29999999999998</v>
      </c>
      <c r="J249" s="1">
        <v>0</v>
      </c>
      <c r="K249" s="1">
        <f t="shared" si="38"/>
        <v>494.2</v>
      </c>
      <c r="L249" s="1">
        <v>2.6</v>
      </c>
      <c r="M249" s="1">
        <f t="shared" si="39"/>
        <v>181.20000000000007</v>
      </c>
      <c r="N249" s="1">
        <v>-2.6</v>
      </c>
      <c r="O249" s="1">
        <f t="shared" si="34"/>
        <v>112</v>
      </c>
      <c r="P249" s="1">
        <v>202</v>
      </c>
      <c r="Q249" s="1">
        <f t="shared" si="31"/>
        <v>1.0843749999999999</v>
      </c>
      <c r="R249" s="9">
        <f t="shared" si="35"/>
        <v>2.819375</v>
      </c>
      <c r="S249" s="9">
        <f t="shared" si="36"/>
        <v>-2.819375</v>
      </c>
      <c r="T249" s="9">
        <f t="shared" si="40"/>
        <v>110.76593750000001</v>
      </c>
      <c r="V249" s="1">
        <v>2095.4</v>
      </c>
      <c r="X249" s="1">
        <f t="shared" si="41"/>
        <v>99896.699999999953</v>
      </c>
      <c r="Y249" s="1">
        <f t="shared" si="32"/>
        <v>21972.199999999997</v>
      </c>
      <c r="AA249" s="1">
        <v>12.7763949317472</v>
      </c>
    </row>
    <row r="250" spans="1:27" s="1" customFormat="1" x14ac:dyDescent="0.25">
      <c r="A250" s="50"/>
      <c r="B250" s="7"/>
      <c r="C250" s="3">
        <v>41366</v>
      </c>
      <c r="D250" s="1">
        <v>6</v>
      </c>
      <c r="E250" s="1">
        <v>0.2</v>
      </c>
      <c r="F250" s="1">
        <v>12</v>
      </c>
      <c r="G250" s="1">
        <f t="shared" si="37"/>
        <v>1268.6000000000001</v>
      </c>
      <c r="H250" s="1">
        <f t="shared" si="33"/>
        <v>151.29999999999998</v>
      </c>
      <c r="J250" s="1">
        <v>0</v>
      </c>
      <c r="K250" s="1">
        <f t="shared" si="38"/>
        <v>494.2</v>
      </c>
      <c r="L250" s="1">
        <v>2.2999999999999998</v>
      </c>
      <c r="M250" s="1">
        <f t="shared" si="39"/>
        <v>183.50000000000009</v>
      </c>
      <c r="N250" s="1">
        <v>-2.2999999999999998</v>
      </c>
      <c r="O250" s="1">
        <f t="shared" si="34"/>
        <v>109.7</v>
      </c>
      <c r="P250" s="1">
        <v>203</v>
      </c>
      <c r="Q250" s="1">
        <f t="shared" si="31"/>
        <v>1.0874999999999999</v>
      </c>
      <c r="R250" s="9">
        <f t="shared" si="35"/>
        <v>2.5012499999999998</v>
      </c>
      <c r="S250" s="9">
        <f t="shared" si="36"/>
        <v>-2.5012499999999998</v>
      </c>
      <c r="T250" s="9">
        <f t="shared" si="40"/>
        <v>108.26468750000001</v>
      </c>
      <c r="V250" s="1">
        <v>1687.8</v>
      </c>
      <c r="X250" s="1">
        <f t="shared" si="41"/>
        <v>101584.49999999996</v>
      </c>
      <c r="Y250" s="1">
        <f t="shared" si="32"/>
        <v>23659.999999999996</v>
      </c>
      <c r="AA250" s="1">
        <v>12.832818554872</v>
      </c>
    </row>
    <row r="251" spans="1:27" s="1" customFormat="1" x14ac:dyDescent="0.25">
      <c r="A251" s="50"/>
      <c r="B251" s="7"/>
      <c r="C251" s="3">
        <v>41367</v>
      </c>
      <c r="D251" s="1">
        <v>6.1</v>
      </c>
      <c r="E251" s="1">
        <v>1</v>
      </c>
      <c r="F251" s="1">
        <v>12.4</v>
      </c>
      <c r="G251" s="1">
        <f t="shared" si="37"/>
        <v>1274.7</v>
      </c>
      <c r="H251" s="1">
        <f t="shared" si="33"/>
        <v>157.39999999999998</v>
      </c>
      <c r="J251" s="1">
        <v>0</v>
      </c>
      <c r="K251" s="1">
        <f t="shared" si="38"/>
        <v>494.2</v>
      </c>
      <c r="L251" s="1">
        <v>2.2999999999999998</v>
      </c>
      <c r="M251" s="1">
        <f t="shared" si="39"/>
        <v>185.8000000000001</v>
      </c>
      <c r="N251" s="1">
        <v>-2.2999999999999998</v>
      </c>
      <c r="O251" s="1">
        <f t="shared" si="34"/>
        <v>107.4</v>
      </c>
      <c r="P251" s="1">
        <v>204</v>
      </c>
      <c r="Q251" s="1">
        <f t="shared" si="31"/>
        <v>1.090625</v>
      </c>
      <c r="R251" s="9">
        <f t="shared" si="35"/>
        <v>2.5084374999999999</v>
      </c>
      <c r="S251" s="9">
        <f t="shared" si="36"/>
        <v>-2.5084374999999999</v>
      </c>
      <c r="T251" s="9">
        <f t="shared" si="40"/>
        <v>105.75625000000001</v>
      </c>
      <c r="V251" s="1">
        <v>1571</v>
      </c>
      <c r="X251" s="1">
        <f t="shared" si="41"/>
        <v>103155.49999999996</v>
      </c>
      <c r="Y251" s="1">
        <f t="shared" si="32"/>
        <v>25230.999999999996</v>
      </c>
      <c r="AA251" s="1">
        <v>12.889154228953201</v>
      </c>
    </row>
    <row r="252" spans="1:27" s="1" customFormat="1" x14ac:dyDescent="0.25">
      <c r="A252" s="50"/>
      <c r="B252" s="7"/>
      <c r="C252" s="3">
        <v>41368</v>
      </c>
      <c r="D252" s="1">
        <v>9</v>
      </c>
      <c r="E252" s="1">
        <v>2.6</v>
      </c>
      <c r="F252" s="1">
        <v>16</v>
      </c>
      <c r="G252" s="1">
        <f t="shared" si="37"/>
        <v>1283.7</v>
      </c>
      <c r="H252" s="1">
        <f t="shared" si="33"/>
        <v>166.39999999999998</v>
      </c>
      <c r="J252" s="1">
        <v>0</v>
      </c>
      <c r="K252" s="1">
        <f t="shared" si="38"/>
        <v>494.2</v>
      </c>
      <c r="L252" s="1">
        <v>2.5</v>
      </c>
      <c r="M252" s="1">
        <f t="shared" si="39"/>
        <v>188.3000000000001</v>
      </c>
      <c r="N252" s="1">
        <v>-2.5</v>
      </c>
      <c r="O252" s="1">
        <f t="shared" si="34"/>
        <v>104.9</v>
      </c>
      <c r="P252" s="1">
        <v>205</v>
      </c>
      <c r="Q252" s="1">
        <f t="shared" si="31"/>
        <v>1.09375</v>
      </c>
      <c r="R252" s="9">
        <f t="shared" si="35"/>
        <v>2.734375</v>
      </c>
      <c r="S252" s="9">
        <f t="shared" si="36"/>
        <v>-2.734375</v>
      </c>
      <c r="T252" s="9">
        <f t="shared" si="40"/>
        <v>103.02187500000001</v>
      </c>
      <c r="V252" s="1">
        <v>1687.4</v>
      </c>
      <c r="X252" s="1">
        <f t="shared" si="41"/>
        <v>104842.89999999995</v>
      </c>
      <c r="Y252" s="1">
        <f t="shared" si="32"/>
        <v>26918.399999999998</v>
      </c>
      <c r="AA252" s="1">
        <v>12.9453950759628</v>
      </c>
    </row>
    <row r="253" spans="1:27" s="1" customFormat="1" x14ac:dyDescent="0.25">
      <c r="A253" s="50"/>
      <c r="B253" s="7"/>
      <c r="C253" s="3">
        <v>41369</v>
      </c>
      <c r="D253" s="1">
        <v>7.7</v>
      </c>
      <c r="E253" s="1">
        <v>5.0999999999999996</v>
      </c>
      <c r="F253" s="1">
        <v>11.4</v>
      </c>
      <c r="G253" s="1">
        <f t="shared" si="37"/>
        <v>1291.4000000000001</v>
      </c>
      <c r="H253" s="1">
        <f t="shared" si="33"/>
        <v>174.09999999999997</v>
      </c>
      <c r="J253" s="1">
        <v>0</v>
      </c>
      <c r="K253" s="1">
        <f t="shared" si="38"/>
        <v>494.2</v>
      </c>
      <c r="L253" s="1">
        <v>1.8</v>
      </c>
      <c r="M253" s="1">
        <f t="shared" si="39"/>
        <v>190.10000000000011</v>
      </c>
      <c r="N253" s="1">
        <v>-1.8</v>
      </c>
      <c r="O253" s="1">
        <f t="shared" si="34"/>
        <v>103.10000000000001</v>
      </c>
      <c r="P253" s="1">
        <v>206</v>
      </c>
      <c r="Q253" s="1">
        <f t="shared" si="31"/>
        <v>1.096875</v>
      </c>
      <c r="R253" s="9">
        <f t="shared" si="35"/>
        <v>1.9743750000000002</v>
      </c>
      <c r="S253" s="9">
        <f t="shared" si="36"/>
        <v>-1.9743750000000002</v>
      </c>
      <c r="T253" s="9">
        <f t="shared" si="40"/>
        <v>101.04750000000001</v>
      </c>
      <c r="V253" s="1">
        <v>919.9</v>
      </c>
      <c r="X253" s="1">
        <f t="shared" si="41"/>
        <v>105762.79999999994</v>
      </c>
      <c r="Y253" s="1">
        <f t="shared" si="32"/>
        <v>27838.3</v>
      </c>
      <c r="AA253" s="1">
        <v>13.001534035222701</v>
      </c>
    </row>
    <row r="254" spans="1:27" s="1" customFormat="1" x14ac:dyDescent="0.25">
      <c r="A254" s="50"/>
      <c r="B254" s="7"/>
      <c r="C254" s="3">
        <v>41370</v>
      </c>
      <c r="D254" s="1">
        <v>5.9</v>
      </c>
      <c r="E254" s="1">
        <v>2.2999999999999998</v>
      </c>
      <c r="F254" s="1">
        <v>10.5</v>
      </c>
      <c r="G254" s="1">
        <f t="shared" si="37"/>
        <v>1297.3000000000002</v>
      </c>
      <c r="H254" s="1">
        <f t="shared" si="33"/>
        <v>179.99999999999997</v>
      </c>
      <c r="J254" s="1">
        <v>0</v>
      </c>
      <c r="K254" s="1">
        <f t="shared" si="38"/>
        <v>494.2</v>
      </c>
      <c r="L254" s="1">
        <v>2.5</v>
      </c>
      <c r="M254" s="1">
        <f t="shared" si="39"/>
        <v>192.60000000000011</v>
      </c>
      <c r="N254" s="1">
        <v>-2.5</v>
      </c>
      <c r="O254" s="1">
        <f t="shared" si="34"/>
        <v>100.60000000000001</v>
      </c>
      <c r="P254" s="1">
        <v>207</v>
      </c>
      <c r="Q254" s="1">
        <f t="shared" si="31"/>
        <v>1.0999999999999999</v>
      </c>
      <c r="R254" s="9">
        <f t="shared" si="35"/>
        <v>2.7499999999999996</v>
      </c>
      <c r="S254" s="9">
        <f t="shared" si="36"/>
        <v>-2.7499999999999996</v>
      </c>
      <c r="T254" s="9">
        <f t="shared" si="40"/>
        <v>98.297500000000014</v>
      </c>
      <c r="V254" s="1">
        <v>1489.8</v>
      </c>
      <c r="X254" s="1">
        <f t="shared" si="41"/>
        <v>107252.59999999995</v>
      </c>
      <c r="Y254" s="1">
        <f t="shared" si="32"/>
        <v>29328.1</v>
      </c>
      <c r="AA254" s="1">
        <v>13.0575638478277</v>
      </c>
    </row>
    <row r="255" spans="1:27" s="1" customFormat="1" x14ac:dyDescent="0.25">
      <c r="A255" s="50"/>
      <c r="B255" s="7"/>
      <c r="C255" s="3">
        <v>41371</v>
      </c>
      <c r="D255" s="1">
        <v>5.8</v>
      </c>
      <c r="E255" s="1">
        <v>3.6</v>
      </c>
      <c r="F255" s="1">
        <v>9.1</v>
      </c>
      <c r="G255" s="1">
        <f t="shared" si="37"/>
        <v>1303.1000000000001</v>
      </c>
      <c r="H255" s="1">
        <f t="shared" si="33"/>
        <v>185.79999999999998</v>
      </c>
      <c r="J255" s="1">
        <v>0</v>
      </c>
      <c r="K255" s="1">
        <f t="shared" si="38"/>
        <v>494.2</v>
      </c>
      <c r="L255" s="1">
        <v>2.5</v>
      </c>
      <c r="M255" s="1">
        <f t="shared" si="39"/>
        <v>195.10000000000011</v>
      </c>
      <c r="N255" s="1">
        <v>-2.5</v>
      </c>
      <c r="O255" s="1">
        <f t="shared" si="34"/>
        <v>98.100000000000009</v>
      </c>
      <c r="P255" s="1">
        <v>208</v>
      </c>
      <c r="Q255" s="1">
        <f t="shared" si="31"/>
        <v>1.1031249999999999</v>
      </c>
      <c r="R255" s="9">
        <f t="shared" si="35"/>
        <v>2.7578125</v>
      </c>
      <c r="S255" s="9">
        <f t="shared" si="36"/>
        <v>-2.7578125</v>
      </c>
      <c r="T255" s="9">
        <f t="shared" si="40"/>
        <v>95.539687500000014</v>
      </c>
      <c r="V255" s="1">
        <v>1782.9</v>
      </c>
      <c r="X255" s="1">
        <f t="shared" si="41"/>
        <v>109035.49999999994</v>
      </c>
      <c r="Y255" s="1">
        <f t="shared" si="32"/>
        <v>31111</v>
      </c>
      <c r="AA255" s="1">
        <v>13.113477041184099</v>
      </c>
    </row>
    <row r="256" spans="1:27" s="1" customFormat="1" x14ac:dyDescent="0.25">
      <c r="A256" s="50"/>
      <c r="B256" s="7"/>
      <c r="C256" s="3">
        <v>41372</v>
      </c>
      <c r="D256" s="1">
        <v>5.2</v>
      </c>
      <c r="E256" s="1">
        <v>2.2000000000000002</v>
      </c>
      <c r="F256" s="1">
        <v>7.4</v>
      </c>
      <c r="G256" s="1">
        <f t="shared" si="37"/>
        <v>1308.3000000000002</v>
      </c>
      <c r="H256" s="1">
        <f t="shared" si="33"/>
        <v>190.99999999999997</v>
      </c>
      <c r="J256" s="1">
        <v>4.2</v>
      </c>
      <c r="K256" s="1">
        <f t="shared" si="38"/>
        <v>498.4</v>
      </c>
      <c r="L256" s="1">
        <v>0.6</v>
      </c>
      <c r="M256" s="1">
        <f t="shared" si="39"/>
        <v>195.7000000000001</v>
      </c>
      <c r="N256" s="1">
        <v>3.6</v>
      </c>
      <c r="O256" s="1">
        <f t="shared" si="34"/>
        <v>101.7</v>
      </c>
      <c r="P256" s="1">
        <v>209</v>
      </c>
      <c r="Q256" s="1">
        <f t="shared" si="31"/>
        <v>1.10625</v>
      </c>
      <c r="R256" s="9">
        <f t="shared" si="35"/>
        <v>0.66374999999999995</v>
      </c>
      <c r="S256" s="9">
        <f t="shared" si="36"/>
        <v>3.5362500000000003</v>
      </c>
      <c r="T256" s="9">
        <f t="shared" si="40"/>
        <v>99.075937500000009</v>
      </c>
      <c r="V256" s="1">
        <v>555.1</v>
      </c>
      <c r="X256" s="1">
        <f t="shared" si="41"/>
        <v>109590.59999999995</v>
      </c>
      <c r="Y256" s="1">
        <f t="shared" si="32"/>
        <v>31666.1</v>
      </c>
      <c r="AA256" s="1">
        <v>13.169265913674099</v>
      </c>
    </row>
    <row r="257" spans="1:27" s="1" customFormat="1" x14ac:dyDescent="0.25">
      <c r="A257" s="50"/>
      <c r="B257" s="7"/>
      <c r="C257" s="3">
        <v>41373</v>
      </c>
      <c r="D257" s="1">
        <v>8.1999999999999993</v>
      </c>
      <c r="E257" s="1">
        <v>4.5</v>
      </c>
      <c r="F257" s="1">
        <v>11.9</v>
      </c>
      <c r="G257" s="1">
        <f t="shared" si="37"/>
        <v>1316.5000000000002</v>
      </c>
      <c r="H257" s="1">
        <f t="shared" si="33"/>
        <v>199.19999999999996</v>
      </c>
      <c r="J257" s="1">
        <v>5.8</v>
      </c>
      <c r="K257" s="1">
        <f t="shared" si="38"/>
        <v>504.2</v>
      </c>
      <c r="L257" s="1">
        <v>1.2</v>
      </c>
      <c r="M257" s="1">
        <f t="shared" si="39"/>
        <v>196.90000000000009</v>
      </c>
      <c r="N257" s="1">
        <v>4.5999999999999996</v>
      </c>
      <c r="O257" s="1">
        <f t="shared" si="34"/>
        <v>106.3</v>
      </c>
      <c r="P257" s="1">
        <v>210</v>
      </c>
      <c r="Q257" s="1">
        <f t="shared" si="31"/>
        <v>1.109375</v>
      </c>
      <c r="R257" s="9">
        <f t="shared" si="35"/>
        <v>1.33125</v>
      </c>
      <c r="S257" s="9">
        <f t="shared" si="36"/>
        <v>4.46875</v>
      </c>
      <c r="T257" s="9">
        <f t="shared" si="40"/>
        <v>103.54468750000001</v>
      </c>
      <c r="V257" s="1">
        <v>700.4</v>
      </c>
      <c r="X257" s="1">
        <f t="shared" si="41"/>
        <v>110290.99999999994</v>
      </c>
      <c r="Y257" s="1">
        <f t="shared" si="32"/>
        <v>32366.5</v>
      </c>
      <c r="AA257" s="1">
        <v>13.2249225194602</v>
      </c>
    </row>
    <row r="258" spans="1:27" s="1" customFormat="1" x14ac:dyDescent="0.25">
      <c r="A258" s="50"/>
      <c r="B258" s="7"/>
      <c r="C258" s="3">
        <v>41374</v>
      </c>
      <c r="D258" s="1">
        <v>10.4</v>
      </c>
      <c r="E258" s="1">
        <v>7.3</v>
      </c>
      <c r="F258" s="1">
        <v>13</v>
      </c>
      <c r="G258" s="1">
        <f t="shared" si="37"/>
        <v>1326.9000000000003</v>
      </c>
      <c r="H258" s="1">
        <f t="shared" si="33"/>
        <v>209.59999999999997</v>
      </c>
      <c r="J258" s="1">
        <v>8.1</v>
      </c>
      <c r="K258" s="1">
        <f t="shared" si="38"/>
        <v>512.29999999999995</v>
      </c>
      <c r="L258" s="1">
        <v>1.7</v>
      </c>
      <c r="M258" s="1">
        <f t="shared" si="39"/>
        <v>198.60000000000008</v>
      </c>
      <c r="N258" s="1">
        <v>6.3999999999999995</v>
      </c>
      <c r="O258" s="1">
        <f t="shared" si="34"/>
        <v>112.7</v>
      </c>
      <c r="P258" s="1">
        <v>211</v>
      </c>
      <c r="Q258" s="1">
        <f t="shared" si="31"/>
        <v>1.1124999999999998</v>
      </c>
      <c r="R258" s="9">
        <f t="shared" si="35"/>
        <v>1.8912499999999997</v>
      </c>
      <c r="S258" s="9">
        <f t="shared" si="36"/>
        <v>6.2087500000000002</v>
      </c>
      <c r="T258" s="9">
        <f t="shared" si="40"/>
        <v>109.7534375</v>
      </c>
      <c r="V258" s="1">
        <v>1059.5999999999999</v>
      </c>
      <c r="X258" s="1">
        <f t="shared" si="41"/>
        <v>111350.59999999995</v>
      </c>
      <c r="Y258" s="1">
        <f t="shared" si="32"/>
        <v>33426.1</v>
      </c>
      <c r="AA258" s="1">
        <v>13.280438653442699</v>
      </c>
    </row>
    <row r="259" spans="1:27" s="1" customFormat="1" x14ac:dyDescent="0.25">
      <c r="A259" s="50"/>
      <c r="B259" s="7"/>
      <c r="C259" s="3">
        <v>41375</v>
      </c>
      <c r="D259" s="1">
        <v>11.5</v>
      </c>
      <c r="E259" s="1">
        <v>9.8000000000000007</v>
      </c>
      <c r="F259" s="1">
        <v>13.5</v>
      </c>
      <c r="G259" s="1">
        <f t="shared" si="37"/>
        <v>1338.4000000000003</v>
      </c>
      <c r="H259" s="1">
        <f t="shared" si="33"/>
        <v>221.09999999999997</v>
      </c>
      <c r="J259" s="1">
        <v>15.6</v>
      </c>
      <c r="K259" s="1">
        <f t="shared" si="38"/>
        <v>527.9</v>
      </c>
      <c r="L259" s="1">
        <v>1.3</v>
      </c>
      <c r="M259" s="1">
        <f t="shared" si="39"/>
        <v>199.90000000000009</v>
      </c>
      <c r="N259" s="1">
        <v>14.299999999999999</v>
      </c>
      <c r="O259" s="1">
        <v>122.1</v>
      </c>
      <c r="P259" s="1">
        <v>212</v>
      </c>
      <c r="Q259" s="1">
        <f t="shared" si="31"/>
        <v>1.1156249999999999</v>
      </c>
      <c r="R259" s="9">
        <f t="shared" si="35"/>
        <v>1.4503124999999999</v>
      </c>
      <c r="S259" s="9">
        <f t="shared" si="36"/>
        <v>14.149687499999999</v>
      </c>
      <c r="T259" s="9">
        <f t="shared" si="40"/>
        <v>122.1</v>
      </c>
      <c r="V259" s="1">
        <v>479.7</v>
      </c>
      <c r="X259" s="1">
        <f t="shared" si="41"/>
        <v>111830.29999999994</v>
      </c>
      <c r="Y259" s="1">
        <f t="shared" si="32"/>
        <v>33905.799999999996</v>
      </c>
      <c r="AA259" s="1">
        <v>13.335805836389699</v>
      </c>
    </row>
    <row r="260" spans="1:27" s="1" customFormat="1" x14ac:dyDescent="0.25">
      <c r="A260" s="50"/>
      <c r="B260" s="7"/>
      <c r="C260" s="3">
        <v>41376</v>
      </c>
      <c r="D260" s="1">
        <v>9.3000000000000007</v>
      </c>
      <c r="E260" s="1">
        <v>9.1</v>
      </c>
      <c r="F260" s="1">
        <v>10.199999999999999</v>
      </c>
      <c r="G260" s="1">
        <f t="shared" si="37"/>
        <v>1347.7000000000003</v>
      </c>
      <c r="H260" s="1">
        <f t="shared" si="33"/>
        <v>230.39999999999998</v>
      </c>
      <c r="J260" s="1">
        <v>5.5</v>
      </c>
      <c r="K260" s="1">
        <f t="shared" si="38"/>
        <v>533.4</v>
      </c>
      <c r="L260" s="1">
        <v>1.3</v>
      </c>
      <c r="M260" s="1">
        <f t="shared" si="39"/>
        <v>201.2000000000001</v>
      </c>
      <c r="N260" s="1">
        <v>4.2</v>
      </c>
      <c r="O260" s="1">
        <v>122.1</v>
      </c>
      <c r="P260" s="1">
        <v>213</v>
      </c>
      <c r="Q260" s="1">
        <f t="shared" si="31"/>
        <v>1.1187499999999999</v>
      </c>
      <c r="R260" s="9">
        <f t="shared" si="35"/>
        <v>1.454375</v>
      </c>
      <c r="S260" s="9">
        <f t="shared" si="36"/>
        <v>4.0456250000000002</v>
      </c>
      <c r="T260" s="9">
        <f t="shared" si="40"/>
        <v>122.1</v>
      </c>
      <c r="V260" s="1">
        <v>939</v>
      </c>
      <c r="X260" s="1">
        <f t="shared" si="41"/>
        <v>112769.29999999994</v>
      </c>
      <c r="Y260" s="1">
        <f t="shared" si="32"/>
        <v>34844.799999999996</v>
      </c>
      <c r="AA260" s="1">
        <v>13.391015300257701</v>
      </c>
    </row>
    <row r="261" spans="1:27" s="1" customFormat="1" x14ac:dyDescent="0.25">
      <c r="A261" s="50"/>
      <c r="B261" s="7"/>
      <c r="C261" s="3">
        <v>41377</v>
      </c>
      <c r="D261" s="1">
        <v>12</v>
      </c>
      <c r="E261" s="1">
        <v>7.8</v>
      </c>
      <c r="F261" s="1">
        <v>15.8</v>
      </c>
      <c r="G261" s="1">
        <f t="shared" si="37"/>
        <v>1359.7000000000003</v>
      </c>
      <c r="H261" s="1">
        <f t="shared" si="33"/>
        <v>242.39999999999998</v>
      </c>
      <c r="J261" s="1">
        <v>0</v>
      </c>
      <c r="K261" s="1">
        <f t="shared" si="38"/>
        <v>533.4</v>
      </c>
      <c r="L261" s="1">
        <v>1.8</v>
      </c>
      <c r="M261" s="1">
        <f t="shared" si="39"/>
        <v>203.00000000000011</v>
      </c>
      <c r="N261" s="1">
        <v>-1.8</v>
      </c>
      <c r="O261" s="1">
        <f t="shared" ref="O261:O273" si="42">O260+N261</f>
        <v>120.3</v>
      </c>
      <c r="P261" s="1">
        <v>214</v>
      </c>
      <c r="Q261" s="1">
        <f t="shared" si="31"/>
        <v>1.121875</v>
      </c>
      <c r="R261" s="9">
        <f t="shared" si="35"/>
        <v>2.0193750000000001</v>
      </c>
      <c r="S261" s="9">
        <f t="shared" si="36"/>
        <v>-2.0193750000000001</v>
      </c>
      <c r="T261" s="9">
        <f t="shared" si="40"/>
        <v>120.080625</v>
      </c>
      <c r="V261" s="1">
        <v>1069.2</v>
      </c>
      <c r="X261" s="1">
        <f t="shared" si="41"/>
        <v>113838.49999999994</v>
      </c>
      <c r="Y261" s="1">
        <f t="shared" si="32"/>
        <v>35913.999999999993</v>
      </c>
      <c r="AA261" s="1">
        <v>13.4460579737258</v>
      </c>
    </row>
    <row r="262" spans="1:27" s="1" customFormat="1" x14ac:dyDescent="0.25">
      <c r="A262" s="50"/>
      <c r="B262" s="7"/>
      <c r="C262" s="3">
        <v>41378</v>
      </c>
      <c r="D262" s="1">
        <v>16.100000000000001</v>
      </c>
      <c r="E262" s="1">
        <v>8.5</v>
      </c>
      <c r="F262" s="1">
        <v>24.2</v>
      </c>
      <c r="G262" s="1">
        <f t="shared" si="37"/>
        <v>1375.8000000000002</v>
      </c>
      <c r="H262" s="1">
        <f t="shared" si="33"/>
        <v>258.5</v>
      </c>
      <c r="J262" s="1">
        <v>0</v>
      </c>
      <c r="K262" s="1">
        <f t="shared" si="38"/>
        <v>533.4</v>
      </c>
      <c r="L262" s="1">
        <v>4.2</v>
      </c>
      <c r="M262" s="1">
        <f t="shared" si="39"/>
        <v>207.2000000000001</v>
      </c>
      <c r="N262" s="1">
        <v>-4.2</v>
      </c>
      <c r="O262" s="1">
        <f t="shared" si="42"/>
        <v>116.1</v>
      </c>
      <c r="P262" s="1">
        <v>215</v>
      </c>
      <c r="Q262" s="1">
        <f t="shared" si="31"/>
        <v>1.125</v>
      </c>
      <c r="R262" s="9">
        <f t="shared" si="35"/>
        <v>4.7250000000000005</v>
      </c>
      <c r="S262" s="9">
        <f t="shared" si="36"/>
        <v>-4.7250000000000005</v>
      </c>
      <c r="T262" s="9">
        <f t="shared" si="40"/>
        <v>115.355625</v>
      </c>
      <c r="V262" s="1">
        <v>2047.4</v>
      </c>
      <c r="W262" s="14"/>
      <c r="X262" s="14">
        <f t="shared" si="41"/>
        <v>115885.89999999994</v>
      </c>
      <c r="Y262" s="1">
        <f t="shared" si="32"/>
        <v>37961.399999999994</v>
      </c>
      <c r="AA262" s="1">
        <v>13.500924467969201</v>
      </c>
    </row>
    <row r="263" spans="1:27" s="1" customFormat="1" ht="15" customHeight="1" x14ac:dyDescent="0.25">
      <c r="A263" s="50"/>
      <c r="B263" s="7"/>
      <c r="C263" s="3">
        <v>41379</v>
      </c>
      <c r="D263" s="1">
        <v>16.399999999999999</v>
      </c>
      <c r="E263" s="1">
        <v>11.2</v>
      </c>
      <c r="F263" s="1">
        <v>20.8</v>
      </c>
      <c r="G263" s="1">
        <f t="shared" si="37"/>
        <v>1392.2000000000003</v>
      </c>
      <c r="H263" s="1">
        <f t="shared" si="33"/>
        <v>274.89999999999998</v>
      </c>
      <c r="J263" s="1">
        <v>0.4</v>
      </c>
      <c r="K263" s="1">
        <f t="shared" si="38"/>
        <v>533.79999999999995</v>
      </c>
      <c r="L263" s="1">
        <v>2.2999999999999998</v>
      </c>
      <c r="M263" s="1">
        <f t="shared" si="39"/>
        <v>209.50000000000011</v>
      </c>
      <c r="N263" s="1">
        <v>-1.9</v>
      </c>
      <c r="O263" s="1">
        <f t="shared" si="42"/>
        <v>114.19999999999999</v>
      </c>
      <c r="P263" s="1">
        <v>216</v>
      </c>
      <c r="Q263" s="1">
        <f t="shared" si="31"/>
        <v>1.1281249999999998</v>
      </c>
      <c r="R263" s="9">
        <f t="shared" si="35"/>
        <v>2.5946874999999996</v>
      </c>
      <c r="S263" s="9">
        <f t="shared" si="36"/>
        <v>-2.1946874999999997</v>
      </c>
      <c r="T263" s="9">
        <f t="shared" si="40"/>
        <v>113.1609375</v>
      </c>
      <c r="U263" s="15"/>
      <c r="V263" s="1">
        <v>1202.8</v>
      </c>
      <c r="X263" s="1">
        <f t="shared" si="41"/>
        <v>117088.69999999994</v>
      </c>
      <c r="Y263" s="1">
        <f t="shared" si="32"/>
        <v>39164.199999999997</v>
      </c>
      <c r="AA263" s="1">
        <v>13.555605062698699</v>
      </c>
    </row>
    <row r="264" spans="1:27" s="1" customFormat="1" x14ac:dyDescent="0.25">
      <c r="A264" s="50"/>
      <c r="B264" s="7"/>
      <c r="C264" s="3">
        <v>41380</v>
      </c>
      <c r="D264" s="1">
        <v>16.5</v>
      </c>
      <c r="E264" s="1">
        <v>10.5</v>
      </c>
      <c r="F264" s="1">
        <v>22.6</v>
      </c>
      <c r="G264" s="1">
        <f t="shared" si="37"/>
        <v>1408.7000000000003</v>
      </c>
      <c r="H264" s="1">
        <f t="shared" si="33"/>
        <v>291.39999999999998</v>
      </c>
      <c r="J264" s="1">
        <v>0</v>
      </c>
      <c r="K264" s="1">
        <f t="shared" si="38"/>
        <v>533.79999999999995</v>
      </c>
      <c r="L264" s="1">
        <v>2.5</v>
      </c>
      <c r="M264" s="1">
        <f t="shared" si="39"/>
        <v>212.00000000000011</v>
      </c>
      <c r="N264" s="1">
        <v>-2.5</v>
      </c>
      <c r="O264" s="1">
        <f t="shared" si="42"/>
        <v>111.69999999999999</v>
      </c>
      <c r="P264" s="1">
        <v>217</v>
      </c>
      <c r="Q264" s="1">
        <f t="shared" si="31"/>
        <v>1.1312499999999999</v>
      </c>
      <c r="R264" s="9">
        <f t="shared" si="35"/>
        <v>2.8281249999999996</v>
      </c>
      <c r="S264" s="9">
        <f t="shared" si="36"/>
        <v>-2.8281249999999996</v>
      </c>
      <c r="T264" s="9">
        <f t="shared" si="40"/>
        <v>110.3328125</v>
      </c>
      <c r="V264" s="1">
        <v>1393.4</v>
      </c>
      <c r="X264" s="1">
        <f t="shared" si="41"/>
        <v>118482.09999999993</v>
      </c>
      <c r="Y264" s="1">
        <f t="shared" si="32"/>
        <v>40557.599999999999</v>
      </c>
      <c r="AA264" s="1">
        <v>13.610089692498899</v>
      </c>
    </row>
    <row r="265" spans="1:27" s="1" customFormat="1" x14ac:dyDescent="0.25">
      <c r="A265" s="50"/>
      <c r="B265" s="7"/>
      <c r="C265" s="3">
        <v>41381</v>
      </c>
      <c r="D265" s="1">
        <v>16.8</v>
      </c>
      <c r="E265" s="1">
        <v>9.6999999999999993</v>
      </c>
      <c r="F265" s="1">
        <v>23</v>
      </c>
      <c r="G265" s="1">
        <f t="shared" si="37"/>
        <v>1425.5000000000002</v>
      </c>
      <c r="H265" s="1">
        <f t="shared" si="33"/>
        <v>308.2</v>
      </c>
      <c r="J265" s="1">
        <v>0</v>
      </c>
      <c r="K265" s="1">
        <f t="shared" si="38"/>
        <v>533.79999999999995</v>
      </c>
      <c r="L265" s="1">
        <v>3.6</v>
      </c>
      <c r="M265" s="1">
        <f t="shared" si="39"/>
        <v>215.60000000000011</v>
      </c>
      <c r="N265" s="1">
        <v>-3.6</v>
      </c>
      <c r="O265" s="1">
        <f t="shared" si="42"/>
        <v>108.1</v>
      </c>
      <c r="P265" s="1">
        <v>218</v>
      </c>
      <c r="Q265" s="1">
        <f t="shared" si="31"/>
        <v>1.1343749999999999</v>
      </c>
      <c r="R265" s="9">
        <f t="shared" si="35"/>
        <v>4.0837500000000002</v>
      </c>
      <c r="S265" s="9">
        <f t="shared" si="36"/>
        <v>-4.0837500000000002</v>
      </c>
      <c r="T265" s="9">
        <f t="shared" si="40"/>
        <v>106.24906250000001</v>
      </c>
      <c r="V265" s="1">
        <v>1989</v>
      </c>
      <c r="X265" s="1">
        <f t="shared" si="41"/>
        <v>120471.09999999993</v>
      </c>
      <c r="Y265" s="1">
        <f t="shared" si="32"/>
        <v>42546.6</v>
      </c>
      <c r="AA265" s="1">
        <v>13.6643679334979</v>
      </c>
    </row>
    <row r="266" spans="1:27" s="1" customFormat="1" x14ac:dyDescent="0.25">
      <c r="A266" s="50"/>
      <c r="B266" s="7"/>
      <c r="C266" s="3">
        <v>41382</v>
      </c>
      <c r="D266" s="1">
        <v>15</v>
      </c>
      <c r="E266" s="1">
        <v>13.2</v>
      </c>
      <c r="F266" s="1">
        <v>17.5</v>
      </c>
      <c r="G266" s="1">
        <f t="shared" si="37"/>
        <v>1440.5000000000002</v>
      </c>
      <c r="H266" s="1">
        <f t="shared" si="33"/>
        <v>323.2</v>
      </c>
      <c r="J266" s="1">
        <v>0.1</v>
      </c>
      <c r="K266" s="1">
        <f t="shared" si="38"/>
        <v>533.9</v>
      </c>
      <c r="L266" s="1">
        <v>2.4</v>
      </c>
      <c r="M266" s="1">
        <f t="shared" si="39"/>
        <v>218.00000000000011</v>
      </c>
      <c r="N266" s="1">
        <v>-2.2999999999999998</v>
      </c>
      <c r="O266" s="1">
        <f t="shared" si="42"/>
        <v>105.8</v>
      </c>
      <c r="P266" s="1">
        <v>219</v>
      </c>
      <c r="Q266" s="1">
        <f t="shared" si="31"/>
        <v>1.1375</v>
      </c>
      <c r="R266" s="9">
        <f t="shared" si="35"/>
        <v>2.73</v>
      </c>
      <c r="S266" s="9">
        <f t="shared" si="36"/>
        <v>-2.63</v>
      </c>
      <c r="T266" s="9">
        <f t="shared" si="40"/>
        <v>103.61906250000001</v>
      </c>
      <c r="V266" s="1">
        <v>1211.0999999999999</v>
      </c>
      <c r="X266" s="1">
        <f t="shared" si="41"/>
        <v>121682.19999999994</v>
      </c>
      <c r="Y266" s="1">
        <f t="shared" si="32"/>
        <v>43757.7</v>
      </c>
      <c r="AA266" s="1">
        <v>13.718428990406901</v>
      </c>
    </row>
    <row r="267" spans="1:27" s="1" customFormat="1" x14ac:dyDescent="0.25">
      <c r="A267" s="50"/>
      <c r="B267" s="7"/>
      <c r="C267" s="3">
        <v>41383</v>
      </c>
      <c r="D267" s="1">
        <v>10.8</v>
      </c>
      <c r="E267" s="1">
        <v>7.4</v>
      </c>
      <c r="F267" s="1">
        <v>12.2</v>
      </c>
      <c r="G267" s="1">
        <f t="shared" si="37"/>
        <v>1451.3000000000002</v>
      </c>
      <c r="H267" s="1">
        <f t="shared" si="33"/>
        <v>334</v>
      </c>
      <c r="J267" s="1">
        <v>0.1</v>
      </c>
      <c r="K267" s="1">
        <f t="shared" si="38"/>
        <v>534</v>
      </c>
      <c r="L267" s="1">
        <v>1.8</v>
      </c>
      <c r="M267" s="1">
        <f t="shared" si="39"/>
        <v>219.80000000000013</v>
      </c>
      <c r="N267" s="1">
        <v>-1.7</v>
      </c>
      <c r="O267" s="1">
        <f t="shared" si="42"/>
        <v>104.1</v>
      </c>
      <c r="P267" s="1">
        <v>220</v>
      </c>
      <c r="Q267" s="1">
        <f t="shared" si="31"/>
        <v>1.140625</v>
      </c>
      <c r="R267" s="9">
        <f t="shared" si="35"/>
        <v>2.0531250000000001</v>
      </c>
      <c r="S267" s="9">
        <f t="shared" si="36"/>
        <v>-1.953125</v>
      </c>
      <c r="T267" s="9">
        <f t="shared" si="40"/>
        <v>101.66593750000001</v>
      </c>
      <c r="V267" s="1">
        <v>1094.8</v>
      </c>
      <c r="X267" s="1">
        <f t="shared" si="41"/>
        <v>122776.99999999994</v>
      </c>
      <c r="Y267" s="1">
        <f t="shared" si="32"/>
        <v>44852.5</v>
      </c>
      <c r="AA267" s="1">
        <v>13.7722616839705</v>
      </c>
    </row>
    <row r="268" spans="1:27" s="1" customFormat="1" x14ac:dyDescent="0.25">
      <c r="A268" s="50"/>
      <c r="B268" s="7"/>
      <c r="C268" s="3">
        <v>41384</v>
      </c>
      <c r="D268" s="1">
        <v>8.6999999999999993</v>
      </c>
      <c r="E268" s="1">
        <v>7.1</v>
      </c>
      <c r="F268" s="1">
        <v>9.5</v>
      </c>
      <c r="G268" s="1">
        <f t="shared" si="37"/>
        <v>1460.0000000000002</v>
      </c>
      <c r="H268" s="1">
        <f t="shared" si="33"/>
        <v>342.7</v>
      </c>
      <c r="J268" s="1">
        <v>0</v>
      </c>
      <c r="K268" s="1">
        <f t="shared" si="38"/>
        <v>534</v>
      </c>
      <c r="L268" s="1">
        <v>1.6</v>
      </c>
      <c r="M268" s="1">
        <f t="shared" si="39"/>
        <v>221.40000000000012</v>
      </c>
      <c r="N268" s="1">
        <v>-1.6</v>
      </c>
      <c r="O268" s="1">
        <f t="shared" si="42"/>
        <v>102.5</v>
      </c>
      <c r="P268" s="1">
        <v>221</v>
      </c>
      <c r="Q268" s="1">
        <f t="shared" si="31"/>
        <v>1.1437499999999998</v>
      </c>
      <c r="R268" s="9">
        <f t="shared" si="35"/>
        <v>1.8299999999999998</v>
      </c>
      <c r="S268" s="9">
        <f t="shared" si="36"/>
        <v>-1.8299999999999998</v>
      </c>
      <c r="T268" s="9">
        <f t="shared" si="40"/>
        <v>99.835937500000014</v>
      </c>
      <c r="V268" s="1">
        <v>711.6</v>
      </c>
      <c r="X268" s="1">
        <f t="shared" si="41"/>
        <v>123488.59999999995</v>
      </c>
      <c r="Y268" s="1">
        <f t="shared" si="32"/>
        <v>45564.1</v>
      </c>
      <c r="AA268" s="1">
        <v>13.8258544388717</v>
      </c>
    </row>
    <row r="269" spans="1:27" s="1" customFormat="1" x14ac:dyDescent="0.25">
      <c r="A269" s="50"/>
      <c r="B269" s="7"/>
      <c r="C269" s="3">
        <v>41385</v>
      </c>
      <c r="D269" s="1">
        <v>10</v>
      </c>
      <c r="E269" s="1">
        <v>8.1999999999999993</v>
      </c>
      <c r="F269" s="1">
        <v>12.3</v>
      </c>
      <c r="G269" s="1">
        <f t="shared" si="37"/>
        <v>1470.0000000000002</v>
      </c>
      <c r="H269" s="1">
        <f t="shared" si="33"/>
        <v>352.7</v>
      </c>
      <c r="J269" s="1">
        <v>0</v>
      </c>
      <c r="K269" s="1">
        <f t="shared" si="38"/>
        <v>534</v>
      </c>
      <c r="L269" s="1">
        <v>1.8</v>
      </c>
      <c r="M269" s="1">
        <f t="shared" si="39"/>
        <v>223.20000000000013</v>
      </c>
      <c r="N269" s="1">
        <v>-1.8</v>
      </c>
      <c r="O269" s="1">
        <f t="shared" si="42"/>
        <v>100.7</v>
      </c>
      <c r="P269" s="1">
        <v>222</v>
      </c>
      <c r="Q269" s="1">
        <f t="shared" si="31"/>
        <v>1.1468749999999999</v>
      </c>
      <c r="R269" s="9">
        <f t="shared" si="35"/>
        <v>2.0643749999999996</v>
      </c>
      <c r="S269" s="9">
        <f t="shared" si="36"/>
        <v>-2.0643749999999996</v>
      </c>
      <c r="T269" s="9">
        <f t="shared" si="40"/>
        <v>97.771562500000016</v>
      </c>
      <c r="V269" s="1">
        <v>1282.7</v>
      </c>
      <c r="X269" s="1">
        <f t="shared" si="41"/>
        <v>124771.29999999994</v>
      </c>
      <c r="Y269" s="1">
        <f t="shared" si="32"/>
        <v>46846.799999999996</v>
      </c>
      <c r="AA269" s="1">
        <v>13.879195272139601</v>
      </c>
    </row>
    <row r="270" spans="1:27" s="28" customFormat="1" ht="15.75" thickBot="1" x14ac:dyDescent="0.3">
      <c r="A270" s="50"/>
      <c r="B270" s="26"/>
      <c r="C270" s="27">
        <v>41386</v>
      </c>
      <c r="D270" s="28">
        <v>10.8</v>
      </c>
      <c r="E270" s="28">
        <v>7.7</v>
      </c>
      <c r="F270" s="28">
        <v>15.9</v>
      </c>
      <c r="G270" s="28">
        <f t="shared" si="37"/>
        <v>1480.8000000000002</v>
      </c>
      <c r="H270" s="28">
        <f t="shared" si="33"/>
        <v>363.5</v>
      </c>
      <c r="J270" s="28">
        <v>0</v>
      </c>
      <c r="K270" s="28">
        <f t="shared" si="38"/>
        <v>534</v>
      </c>
      <c r="L270" s="28">
        <v>1.2</v>
      </c>
      <c r="M270" s="28">
        <f t="shared" si="39"/>
        <v>224.40000000000012</v>
      </c>
      <c r="N270" s="28">
        <v>-1.2</v>
      </c>
      <c r="O270" s="28">
        <f t="shared" si="42"/>
        <v>99.5</v>
      </c>
      <c r="P270" s="28">
        <v>223</v>
      </c>
      <c r="Q270" s="31">
        <f t="shared" si="31"/>
        <v>1.1499999999999999</v>
      </c>
      <c r="R270" s="29">
        <f t="shared" si="35"/>
        <v>1.38</v>
      </c>
      <c r="S270" s="29">
        <f t="shared" si="36"/>
        <v>-1.38</v>
      </c>
      <c r="T270" s="29">
        <f t="shared" si="40"/>
        <v>96.39156250000002</v>
      </c>
      <c r="V270" s="28">
        <v>698.8</v>
      </c>
      <c r="X270" s="28">
        <f t="shared" si="41"/>
        <v>125470.09999999995</v>
      </c>
      <c r="Y270" s="28">
        <f t="shared" si="32"/>
        <v>47545.599999999999</v>
      </c>
      <c r="AA270" s="28">
        <v>13.9322717821123</v>
      </c>
    </row>
    <row r="271" spans="1:27" s="14" customFormat="1" x14ac:dyDescent="0.25">
      <c r="A271" s="16" t="s">
        <v>28</v>
      </c>
      <c r="B271" s="38"/>
      <c r="C271" s="39">
        <v>41387</v>
      </c>
      <c r="D271" s="14">
        <v>11.3</v>
      </c>
      <c r="E271" s="14">
        <v>4.4000000000000004</v>
      </c>
      <c r="F271" s="14">
        <v>17</v>
      </c>
      <c r="G271" s="14">
        <f t="shared" si="37"/>
        <v>1492.1000000000001</v>
      </c>
      <c r="H271" s="1">
        <f>D271</f>
        <v>11.3</v>
      </c>
      <c r="I271" s="17" t="s">
        <v>3</v>
      </c>
      <c r="J271" s="14">
        <v>0</v>
      </c>
      <c r="K271" s="14">
        <f t="shared" si="38"/>
        <v>534</v>
      </c>
      <c r="L271" s="14">
        <v>1.6</v>
      </c>
      <c r="M271" s="14">
        <f t="shared" si="39"/>
        <v>226.00000000000011</v>
      </c>
      <c r="N271" s="14">
        <v>-1.6</v>
      </c>
      <c r="O271" s="14">
        <f t="shared" si="42"/>
        <v>97.9</v>
      </c>
      <c r="P271" s="14">
        <v>224</v>
      </c>
      <c r="Q271" s="14">
        <f t="shared" ref="Q271" si="43">1+((P271-175)/49)*(1.15-1)</f>
        <v>1.1499999999999999</v>
      </c>
      <c r="R271" s="40">
        <f t="shared" si="35"/>
        <v>1.8399999999999999</v>
      </c>
      <c r="S271" s="40">
        <f t="shared" si="36"/>
        <v>-1.8399999999999999</v>
      </c>
      <c r="T271" s="40">
        <f t="shared" si="40"/>
        <v>94.551562500000017</v>
      </c>
      <c r="U271" s="17" t="s">
        <v>7</v>
      </c>
      <c r="V271" s="14">
        <v>1310.2</v>
      </c>
      <c r="X271" s="14">
        <f t="shared" si="41"/>
        <v>126780.29999999994</v>
      </c>
      <c r="Y271" s="14">
        <f>V271</f>
        <v>1310.2</v>
      </c>
      <c r="Z271" s="17" t="s">
        <v>5</v>
      </c>
      <c r="AA271" s="14">
        <v>13.985071138008999</v>
      </c>
    </row>
    <row r="272" spans="1:27" s="1" customFormat="1" x14ac:dyDescent="0.25">
      <c r="A272" s="16"/>
      <c r="B272" s="2"/>
      <c r="C272" s="3">
        <v>41388</v>
      </c>
      <c r="D272" s="1">
        <v>13.9</v>
      </c>
      <c r="E272" s="1">
        <v>7.4</v>
      </c>
      <c r="F272" s="1">
        <v>20.5</v>
      </c>
      <c r="G272" s="1">
        <f t="shared" si="37"/>
        <v>1506.0000000000002</v>
      </c>
      <c r="H272" s="1">
        <f t="shared" si="33"/>
        <v>25.200000000000003</v>
      </c>
      <c r="I272" s="1">
        <f>MIN(E271:E291)</f>
        <v>4.4000000000000004</v>
      </c>
      <c r="J272" s="1">
        <v>0</v>
      </c>
      <c r="K272" s="1">
        <f t="shared" si="38"/>
        <v>534</v>
      </c>
      <c r="L272" s="1">
        <v>3.5</v>
      </c>
      <c r="M272" s="1">
        <f t="shared" si="39"/>
        <v>229.50000000000011</v>
      </c>
      <c r="N272" s="1">
        <v>-3.5</v>
      </c>
      <c r="O272" s="1">
        <f t="shared" si="42"/>
        <v>94.4</v>
      </c>
      <c r="P272" s="1">
        <v>225</v>
      </c>
      <c r="Q272" s="1">
        <v>1.1499999999999999</v>
      </c>
      <c r="R272" s="9">
        <f t="shared" si="35"/>
        <v>4.0249999999999995</v>
      </c>
      <c r="S272" s="9">
        <f t="shared" si="36"/>
        <v>-4.0249999999999995</v>
      </c>
      <c r="T272" s="9">
        <f t="shared" si="40"/>
        <v>90.526562500000011</v>
      </c>
      <c r="U272" s="1">
        <v>0</v>
      </c>
      <c r="V272" s="1">
        <v>2223.1999999999998</v>
      </c>
      <c r="W272" s="14"/>
      <c r="X272" s="14">
        <f t="shared" si="41"/>
        <v>129003.49999999994</v>
      </c>
      <c r="Y272" s="14">
        <f t="shared" si="32"/>
        <v>3533.3999999999996</v>
      </c>
      <c r="Z272" s="1">
        <v>24685.5</v>
      </c>
      <c r="AA272" s="1">
        <v>14.0375800701713</v>
      </c>
    </row>
    <row r="273" spans="1:27" s="1" customFormat="1" ht="15" customHeight="1" x14ac:dyDescent="0.25">
      <c r="A273" s="16"/>
      <c r="B273" s="2"/>
      <c r="C273" s="3">
        <v>41389</v>
      </c>
      <c r="D273" s="1">
        <v>16.600000000000001</v>
      </c>
      <c r="E273" s="1">
        <v>9.1</v>
      </c>
      <c r="F273" s="1">
        <v>23.6</v>
      </c>
      <c r="G273" s="1">
        <f t="shared" si="37"/>
        <v>1522.6000000000001</v>
      </c>
      <c r="H273" s="1">
        <f t="shared" si="33"/>
        <v>41.800000000000004</v>
      </c>
      <c r="I273" s="17" t="s">
        <v>6</v>
      </c>
      <c r="J273" s="1">
        <v>0</v>
      </c>
      <c r="K273" s="1">
        <f t="shared" si="38"/>
        <v>534</v>
      </c>
      <c r="L273" s="1">
        <v>4.5</v>
      </c>
      <c r="M273" s="1">
        <f t="shared" si="39"/>
        <v>234.00000000000011</v>
      </c>
      <c r="N273" s="1">
        <v>-4.5</v>
      </c>
      <c r="O273" s="1">
        <f t="shared" si="42"/>
        <v>89.9</v>
      </c>
      <c r="P273" s="1">
        <v>226</v>
      </c>
      <c r="Q273" s="1">
        <v>1.1499999999999999</v>
      </c>
      <c r="R273" s="9">
        <f t="shared" si="35"/>
        <v>5.1749999999999998</v>
      </c>
      <c r="S273" s="9">
        <f t="shared" si="36"/>
        <v>-5.1749999999999998</v>
      </c>
      <c r="T273" s="9">
        <f t="shared" si="40"/>
        <v>85.351562500000014</v>
      </c>
      <c r="U273" s="17" t="s">
        <v>10</v>
      </c>
      <c r="V273" s="1">
        <v>2468.4</v>
      </c>
      <c r="X273" s="1">
        <f t="shared" si="41"/>
        <v>131471.89999999994</v>
      </c>
      <c r="Y273" s="14">
        <f t="shared" si="32"/>
        <v>6001.7999999999993</v>
      </c>
      <c r="Z273" s="17" t="s">
        <v>8</v>
      </c>
      <c r="AA273" s="1">
        <v>14.0897848610359</v>
      </c>
    </row>
    <row r="274" spans="1:27" s="1" customFormat="1" x14ac:dyDescent="0.25">
      <c r="A274" s="16"/>
      <c r="B274" s="2"/>
      <c r="C274" s="3">
        <v>41390</v>
      </c>
      <c r="D274" s="1">
        <v>13.7</v>
      </c>
      <c r="E274" s="1">
        <v>12.5</v>
      </c>
      <c r="F274" s="1">
        <v>16.5</v>
      </c>
      <c r="G274" s="1">
        <f t="shared" si="37"/>
        <v>1536.3000000000002</v>
      </c>
      <c r="H274" s="1">
        <f t="shared" si="33"/>
        <v>55.5</v>
      </c>
      <c r="I274" s="1">
        <f>MAX(F271:F291)</f>
        <v>23.6</v>
      </c>
      <c r="J274" s="1">
        <v>35.9</v>
      </c>
      <c r="K274" s="1">
        <f t="shared" si="38"/>
        <v>569.9</v>
      </c>
      <c r="L274" s="1">
        <v>1.2</v>
      </c>
      <c r="M274" s="1">
        <f t="shared" si="39"/>
        <v>235.2000000000001</v>
      </c>
      <c r="N274" s="1">
        <v>34.699999999999996</v>
      </c>
      <c r="O274" s="1">
        <v>122.1</v>
      </c>
      <c r="P274" s="1">
        <v>227</v>
      </c>
      <c r="Q274" s="1">
        <v>1.1499999999999999</v>
      </c>
      <c r="R274" s="9">
        <f t="shared" si="35"/>
        <v>1.38</v>
      </c>
      <c r="S274" s="9">
        <f t="shared" si="36"/>
        <v>34.519999999999996</v>
      </c>
      <c r="T274" s="9">
        <f t="shared" si="40"/>
        <v>119.87156250000001</v>
      </c>
      <c r="U274" s="1">
        <v>0</v>
      </c>
      <c r="V274" s="1">
        <v>590.9</v>
      </c>
      <c r="X274" s="1">
        <f t="shared" si="41"/>
        <v>132062.79999999993</v>
      </c>
      <c r="Y274" s="14">
        <f t="shared" si="32"/>
        <v>6592.6999999999989</v>
      </c>
      <c r="Z274" s="20">
        <f>(Z272/100)/I284</f>
        <v>0.95347624565469302</v>
      </c>
      <c r="AA274" s="1">
        <v>14.141671336905899</v>
      </c>
    </row>
    <row r="275" spans="1:27" s="1" customFormat="1" x14ac:dyDescent="0.25">
      <c r="A275" s="16"/>
      <c r="B275" s="2"/>
      <c r="C275" s="3">
        <v>41391</v>
      </c>
      <c r="D275" s="1">
        <v>5.5</v>
      </c>
      <c r="E275" s="1">
        <v>4.8</v>
      </c>
      <c r="F275" s="1">
        <v>5.6</v>
      </c>
      <c r="G275" s="1">
        <f t="shared" si="37"/>
        <v>1541.8000000000002</v>
      </c>
      <c r="H275" s="1">
        <f t="shared" si="33"/>
        <v>61</v>
      </c>
      <c r="I275" s="17" t="s">
        <v>9</v>
      </c>
      <c r="J275" s="1">
        <v>22.4</v>
      </c>
      <c r="K275" s="1">
        <f t="shared" si="38"/>
        <v>592.29999999999995</v>
      </c>
      <c r="L275" s="1">
        <v>0.7</v>
      </c>
      <c r="M275" s="1">
        <f t="shared" si="39"/>
        <v>235.90000000000009</v>
      </c>
      <c r="N275" s="1">
        <v>21.7</v>
      </c>
      <c r="O275" s="1">
        <v>122.1</v>
      </c>
      <c r="P275" s="1">
        <v>228</v>
      </c>
      <c r="Q275" s="1">
        <v>1.1499999999999999</v>
      </c>
      <c r="R275" s="9">
        <f t="shared" si="35"/>
        <v>0.80499999999999994</v>
      </c>
      <c r="S275" s="9">
        <f t="shared" si="36"/>
        <v>21.594999999999999</v>
      </c>
      <c r="T275" s="9">
        <f t="shared" si="40"/>
        <v>122.1</v>
      </c>
      <c r="U275" s="17" t="s">
        <v>13</v>
      </c>
      <c r="V275" s="1">
        <v>494.8</v>
      </c>
      <c r="X275" s="1">
        <f t="shared" si="41"/>
        <v>132557.59999999992</v>
      </c>
      <c r="Y275" s="14">
        <f t="shared" si="32"/>
        <v>7087.4999999999991</v>
      </c>
      <c r="Z275" s="17" t="s">
        <v>11</v>
      </c>
      <c r="AA275" s="1">
        <v>14.1932248605896</v>
      </c>
    </row>
    <row r="276" spans="1:27" s="1" customFormat="1" x14ac:dyDescent="0.25">
      <c r="A276" s="16"/>
      <c r="B276" s="2"/>
      <c r="C276" s="3">
        <v>41392</v>
      </c>
      <c r="D276" s="1">
        <v>6.8</v>
      </c>
      <c r="E276" s="1">
        <v>4.7</v>
      </c>
      <c r="F276" s="1">
        <v>8.6999999999999993</v>
      </c>
      <c r="G276" s="1">
        <f t="shared" si="37"/>
        <v>1548.6000000000001</v>
      </c>
      <c r="H276" s="1">
        <f t="shared" si="33"/>
        <v>67.8</v>
      </c>
      <c r="I276" s="9">
        <f>AVERAGE(D271:D291)</f>
        <v>12.328571428571427</v>
      </c>
      <c r="J276" s="1">
        <v>3.6</v>
      </c>
      <c r="K276" s="1">
        <f t="shared" si="38"/>
        <v>595.9</v>
      </c>
      <c r="L276" s="1">
        <v>0.6</v>
      </c>
      <c r="M276" s="1">
        <f t="shared" si="39"/>
        <v>236.50000000000009</v>
      </c>
      <c r="N276" s="1">
        <v>3</v>
      </c>
      <c r="O276" s="1">
        <v>122.1</v>
      </c>
      <c r="P276" s="1">
        <v>229</v>
      </c>
      <c r="Q276" s="1">
        <v>1.1499999999999999</v>
      </c>
      <c r="R276" s="9">
        <f t="shared" si="35"/>
        <v>0.69</v>
      </c>
      <c r="S276" s="9">
        <f t="shared" si="36"/>
        <v>2.91</v>
      </c>
      <c r="T276" s="9">
        <f t="shared" si="40"/>
        <v>122.1</v>
      </c>
      <c r="U276" s="9">
        <f>MIN(T271:T291)</f>
        <v>85.351562500000014</v>
      </c>
      <c r="V276" s="1">
        <v>559.1</v>
      </c>
      <c r="X276" s="1">
        <f t="shared" si="41"/>
        <v>133116.69999999992</v>
      </c>
      <c r="Y276" s="14">
        <f t="shared" si="32"/>
        <v>7646.5999999999995</v>
      </c>
      <c r="Z276" s="1">
        <v>8</v>
      </c>
      <c r="AA276" s="1">
        <v>14.2444303249817</v>
      </c>
    </row>
    <row r="277" spans="1:27" s="1" customFormat="1" x14ac:dyDescent="0.25">
      <c r="A277" s="16"/>
      <c r="B277" s="2"/>
      <c r="C277" s="3">
        <v>41393</v>
      </c>
      <c r="D277" s="1">
        <v>9.6</v>
      </c>
      <c r="E277" s="1">
        <v>6.6</v>
      </c>
      <c r="F277" s="1">
        <v>12.7</v>
      </c>
      <c r="G277" s="1">
        <f t="shared" si="37"/>
        <v>1558.2</v>
      </c>
      <c r="H277" s="1">
        <f t="shared" si="33"/>
        <v>77.399999999999991</v>
      </c>
      <c r="I277" s="17" t="s">
        <v>12</v>
      </c>
      <c r="J277" s="1">
        <v>4.3</v>
      </c>
      <c r="K277" s="1">
        <f t="shared" si="38"/>
        <v>600.19999999999993</v>
      </c>
      <c r="L277" s="1">
        <v>0.9</v>
      </c>
      <c r="M277" s="1">
        <f t="shared" si="39"/>
        <v>237.40000000000009</v>
      </c>
      <c r="N277" s="1">
        <v>3.4</v>
      </c>
      <c r="O277" s="1">
        <v>122.1</v>
      </c>
      <c r="P277" s="1">
        <v>230</v>
      </c>
      <c r="Q277" s="1">
        <v>1.1499999999999999</v>
      </c>
      <c r="R277" s="9">
        <f t="shared" si="35"/>
        <v>1.0349999999999999</v>
      </c>
      <c r="S277" s="9">
        <f t="shared" si="36"/>
        <v>3.2649999999999997</v>
      </c>
      <c r="T277" s="9">
        <f t="shared" si="40"/>
        <v>122.1</v>
      </c>
      <c r="U277" s="17" t="s">
        <v>15</v>
      </c>
      <c r="V277" s="1">
        <v>516.9</v>
      </c>
      <c r="X277" s="1">
        <f t="shared" si="41"/>
        <v>133633.59999999992</v>
      </c>
      <c r="Y277" s="14">
        <f t="shared" si="32"/>
        <v>8163.4999999999991</v>
      </c>
      <c r="AA277" s="1">
        <v>14.295272147663599</v>
      </c>
    </row>
    <row r="278" spans="1:27" s="1" customFormat="1" x14ac:dyDescent="0.25">
      <c r="A278" s="16"/>
      <c r="B278" s="2"/>
      <c r="C278" s="3">
        <v>41394</v>
      </c>
      <c r="D278" s="1">
        <v>10.8</v>
      </c>
      <c r="E278" s="1">
        <v>8.8000000000000007</v>
      </c>
      <c r="F278" s="1">
        <v>12.5</v>
      </c>
      <c r="G278" s="1">
        <f t="shared" si="37"/>
        <v>1569</v>
      </c>
      <c r="H278" s="1">
        <f t="shared" si="33"/>
        <v>88.199999999999989</v>
      </c>
      <c r="I278" s="1">
        <v>0</v>
      </c>
      <c r="J278" s="1">
        <v>13.8</v>
      </c>
      <c r="K278" s="1">
        <f t="shared" si="38"/>
        <v>613.99999999999989</v>
      </c>
      <c r="L278" s="1">
        <v>0.9</v>
      </c>
      <c r="M278" s="1">
        <f t="shared" si="39"/>
        <v>238.3000000000001</v>
      </c>
      <c r="N278" s="1">
        <v>12.9</v>
      </c>
      <c r="O278" s="1">
        <v>122.1</v>
      </c>
      <c r="P278" s="1">
        <v>231</v>
      </c>
      <c r="Q278" s="1">
        <v>1.1499999999999999</v>
      </c>
      <c r="R278" s="9">
        <f t="shared" si="35"/>
        <v>1.0349999999999999</v>
      </c>
      <c r="S278" s="9">
        <f t="shared" si="36"/>
        <v>12.765000000000001</v>
      </c>
      <c r="T278" s="9">
        <f t="shared" si="40"/>
        <v>122.1</v>
      </c>
      <c r="U278" s="9">
        <f>MAX(T271:T291)</f>
        <v>122.1</v>
      </c>
      <c r="V278" s="1">
        <v>484.3</v>
      </c>
      <c r="X278" s="1">
        <f t="shared" si="41"/>
        <v>134117.89999999991</v>
      </c>
      <c r="Y278" s="14">
        <f t="shared" si="32"/>
        <v>8647.7999999999993</v>
      </c>
      <c r="AA278" s="1">
        <v>14.345734266602699</v>
      </c>
    </row>
    <row r="279" spans="1:27" s="1" customFormat="1" x14ac:dyDescent="0.25">
      <c r="A279" s="16"/>
      <c r="B279" s="2"/>
      <c r="C279" s="3">
        <v>41395</v>
      </c>
      <c r="D279" s="1">
        <v>12.6</v>
      </c>
      <c r="E279" s="1">
        <v>10.3</v>
      </c>
      <c r="F279" s="1">
        <v>15.8</v>
      </c>
      <c r="G279" s="1">
        <f t="shared" si="37"/>
        <v>1581.6</v>
      </c>
      <c r="H279" s="1">
        <f t="shared" si="33"/>
        <v>100.79999999999998</v>
      </c>
      <c r="I279" s="17" t="s">
        <v>14</v>
      </c>
      <c r="J279" s="1">
        <v>1.1000000000000001</v>
      </c>
      <c r="K279" s="1">
        <f t="shared" si="38"/>
        <v>615.09999999999991</v>
      </c>
      <c r="L279" s="1">
        <v>1.5</v>
      </c>
      <c r="M279" s="1">
        <f t="shared" si="39"/>
        <v>239.8000000000001</v>
      </c>
      <c r="N279" s="1">
        <v>-0.39999999999999991</v>
      </c>
      <c r="O279" s="1">
        <f>O278+N279</f>
        <v>121.69999999999999</v>
      </c>
      <c r="P279" s="1">
        <v>232</v>
      </c>
      <c r="Q279" s="1">
        <v>1.1499999999999999</v>
      </c>
      <c r="R279" s="9">
        <f t="shared" si="35"/>
        <v>1.7249999999999999</v>
      </c>
      <c r="S279" s="9">
        <f t="shared" si="36"/>
        <v>-0.62499999999999978</v>
      </c>
      <c r="T279" s="9">
        <f t="shared" si="40"/>
        <v>121.47499999999999</v>
      </c>
      <c r="U279" s="17" t="s">
        <v>17</v>
      </c>
      <c r="V279" s="1">
        <v>1070</v>
      </c>
      <c r="X279" s="1">
        <f t="shared" si="41"/>
        <v>135187.89999999991</v>
      </c>
      <c r="Y279" s="14">
        <f t="shared" si="32"/>
        <v>9717.7999999999993</v>
      </c>
      <c r="AA279" s="1">
        <v>14.3958001370346</v>
      </c>
    </row>
    <row r="280" spans="1:27" s="1" customFormat="1" x14ac:dyDescent="0.25">
      <c r="A280" s="16"/>
      <c r="B280" s="2"/>
      <c r="C280" s="3">
        <v>41396</v>
      </c>
      <c r="D280" s="1">
        <v>13.1</v>
      </c>
      <c r="E280" s="1">
        <v>8.3000000000000007</v>
      </c>
      <c r="F280" s="1">
        <v>18.899999999999999</v>
      </c>
      <c r="G280" s="1">
        <f t="shared" si="37"/>
        <v>1594.6999999999998</v>
      </c>
      <c r="H280" s="1">
        <f t="shared" si="33"/>
        <v>113.89999999999998</v>
      </c>
      <c r="I280" s="1">
        <v>0</v>
      </c>
      <c r="J280" s="1">
        <v>35.5</v>
      </c>
      <c r="K280" s="1">
        <f t="shared" si="38"/>
        <v>650.59999999999991</v>
      </c>
      <c r="L280" s="1">
        <v>3.2</v>
      </c>
      <c r="M280" s="1">
        <f t="shared" si="39"/>
        <v>243.00000000000009</v>
      </c>
      <c r="N280" s="1">
        <v>32.299999999999997</v>
      </c>
      <c r="O280" s="1">
        <v>122.1</v>
      </c>
      <c r="P280" s="1">
        <v>233</v>
      </c>
      <c r="Q280" s="1">
        <v>1.1499999999999999</v>
      </c>
      <c r="R280" s="9">
        <f t="shared" si="35"/>
        <v>3.6799999999999997</v>
      </c>
      <c r="S280" s="9">
        <f t="shared" si="36"/>
        <v>31.82</v>
      </c>
      <c r="T280" s="9">
        <f t="shared" si="40"/>
        <v>122.1</v>
      </c>
      <c r="U280" s="20">
        <f>AVERAGE(T271:T291)</f>
        <v>113.08410714285715</v>
      </c>
      <c r="V280" s="1">
        <v>2036.1</v>
      </c>
      <c r="X280" s="1">
        <f t="shared" si="41"/>
        <v>137223.99999999991</v>
      </c>
      <c r="Y280" s="14">
        <f t="shared" si="32"/>
        <v>11753.9</v>
      </c>
      <c r="AA280" s="1">
        <v>14.4454527296138</v>
      </c>
    </row>
    <row r="281" spans="1:27" s="1" customFormat="1" x14ac:dyDescent="0.25">
      <c r="A281" s="16"/>
      <c r="B281" s="2"/>
      <c r="C281" s="3">
        <v>41397</v>
      </c>
      <c r="D281" s="1">
        <v>11.6</v>
      </c>
      <c r="E281" s="1">
        <v>11.1</v>
      </c>
      <c r="F281" s="1">
        <v>11.8</v>
      </c>
      <c r="G281" s="1">
        <f t="shared" si="37"/>
        <v>1606.2999999999997</v>
      </c>
      <c r="H281" s="1">
        <f t="shared" si="33"/>
        <v>125.49999999999997</v>
      </c>
      <c r="I281" s="17" t="s">
        <v>16</v>
      </c>
      <c r="J281" s="1">
        <v>18.2</v>
      </c>
      <c r="K281" s="1">
        <f t="shared" si="38"/>
        <v>668.8</v>
      </c>
      <c r="L281" s="1">
        <v>0.9</v>
      </c>
      <c r="M281" s="1">
        <f t="shared" si="39"/>
        <v>243.90000000000009</v>
      </c>
      <c r="N281" s="1">
        <v>17.3</v>
      </c>
      <c r="O281" s="1">
        <v>122.1</v>
      </c>
      <c r="P281" s="1">
        <v>234</v>
      </c>
      <c r="Q281" s="1">
        <v>1.1499999999999999</v>
      </c>
      <c r="R281" s="9">
        <f t="shared" si="35"/>
        <v>1.0349999999999999</v>
      </c>
      <c r="S281" s="9">
        <f t="shared" si="36"/>
        <v>17.164999999999999</v>
      </c>
      <c r="T281" s="9">
        <f t="shared" si="40"/>
        <v>122.1</v>
      </c>
      <c r="V281" s="1">
        <v>458</v>
      </c>
      <c r="X281" s="1">
        <f t="shared" si="41"/>
        <v>137681.99999999991</v>
      </c>
      <c r="Y281" s="14">
        <f t="shared" si="32"/>
        <v>12211.9</v>
      </c>
      <c r="AA281" s="1">
        <v>14.494674529923</v>
      </c>
    </row>
    <row r="282" spans="1:27" s="1" customFormat="1" x14ac:dyDescent="0.25">
      <c r="A282" s="16"/>
      <c r="B282" s="2"/>
      <c r="C282" s="3">
        <v>41398</v>
      </c>
      <c r="D282" s="1">
        <v>12.7</v>
      </c>
      <c r="E282" s="1">
        <v>10.3</v>
      </c>
      <c r="F282" s="1">
        <v>15.6</v>
      </c>
      <c r="G282" s="1">
        <f t="shared" si="37"/>
        <v>1618.9999999999998</v>
      </c>
      <c r="H282" s="1">
        <f t="shared" si="33"/>
        <v>138.19999999999996</v>
      </c>
      <c r="I282" s="1">
        <v>3</v>
      </c>
      <c r="J282" s="1">
        <v>0.4</v>
      </c>
      <c r="K282" s="1">
        <f t="shared" si="38"/>
        <v>669.19999999999993</v>
      </c>
      <c r="L282" s="1">
        <v>2.4</v>
      </c>
      <c r="M282" s="1">
        <f t="shared" si="39"/>
        <v>246.3000000000001</v>
      </c>
      <c r="N282" s="1">
        <v>-2</v>
      </c>
      <c r="O282" s="1">
        <f t="shared" ref="O282:O292" si="44">O281+N282</f>
        <v>120.1</v>
      </c>
      <c r="P282" s="1">
        <v>235</v>
      </c>
      <c r="Q282" s="1">
        <v>1.1499999999999999</v>
      </c>
      <c r="R282" s="9">
        <f t="shared" si="35"/>
        <v>2.76</v>
      </c>
      <c r="S282" s="9">
        <f t="shared" si="36"/>
        <v>-2.36</v>
      </c>
      <c r="T282" s="9">
        <f t="shared" si="40"/>
        <v>119.74</v>
      </c>
      <c r="U282" s="9">
        <f>(U280*100)/122.1</f>
        <v>92.61597636597638</v>
      </c>
      <c r="V282" s="1">
        <v>1762.1</v>
      </c>
      <c r="X282" s="1">
        <f t="shared" si="41"/>
        <v>139444.09999999992</v>
      </c>
      <c r="Y282" s="14">
        <f t="shared" si="32"/>
        <v>13974</v>
      </c>
      <c r="AA282" s="1">
        <v>14.543447539428399</v>
      </c>
    </row>
    <row r="283" spans="1:27" s="1" customFormat="1" x14ac:dyDescent="0.25">
      <c r="A283" s="16"/>
      <c r="B283" s="2"/>
      <c r="C283" s="3">
        <v>41399</v>
      </c>
      <c r="D283" s="1">
        <v>14.9</v>
      </c>
      <c r="E283" s="1">
        <v>8.3000000000000007</v>
      </c>
      <c r="F283" s="1">
        <v>20.7</v>
      </c>
      <c r="G283" s="1">
        <f t="shared" si="37"/>
        <v>1633.8999999999999</v>
      </c>
      <c r="H283" s="1">
        <f t="shared" si="33"/>
        <v>153.09999999999997</v>
      </c>
      <c r="I283" s="17" t="s">
        <v>18</v>
      </c>
      <c r="J283" s="1">
        <v>0</v>
      </c>
      <c r="K283" s="1">
        <f t="shared" si="38"/>
        <v>669.19999999999993</v>
      </c>
      <c r="L283" s="1">
        <v>3.3</v>
      </c>
      <c r="M283" s="1">
        <f t="shared" si="39"/>
        <v>249.60000000000011</v>
      </c>
      <c r="N283" s="1">
        <v>-3.3</v>
      </c>
      <c r="O283" s="1">
        <f t="shared" si="44"/>
        <v>116.8</v>
      </c>
      <c r="P283" s="1">
        <v>236</v>
      </c>
      <c r="Q283" s="1">
        <v>1.1499999999999999</v>
      </c>
      <c r="R283" s="9">
        <f t="shared" si="35"/>
        <v>3.7949999999999995</v>
      </c>
      <c r="S283" s="9">
        <f t="shared" si="36"/>
        <v>-3.7949999999999995</v>
      </c>
      <c r="T283" s="9">
        <f t="shared" si="40"/>
        <v>115.94499999999999</v>
      </c>
      <c r="V283" s="1">
        <v>1965.1</v>
      </c>
      <c r="X283" s="1">
        <f t="shared" si="41"/>
        <v>141409.19999999992</v>
      </c>
      <c r="Y283" s="14">
        <f t="shared" si="32"/>
        <v>15939.1</v>
      </c>
      <c r="AA283" s="1">
        <v>14.591753277977</v>
      </c>
    </row>
    <row r="284" spans="1:27" s="1" customFormat="1" x14ac:dyDescent="0.25">
      <c r="A284" s="16"/>
      <c r="B284" s="2"/>
      <c r="C284" s="3">
        <v>41400</v>
      </c>
      <c r="D284" s="1">
        <v>14.7</v>
      </c>
      <c r="E284" s="1">
        <v>12.8</v>
      </c>
      <c r="F284" s="1">
        <v>17.3</v>
      </c>
      <c r="G284" s="1">
        <f t="shared" si="37"/>
        <v>1648.6</v>
      </c>
      <c r="H284" s="1">
        <f t="shared" si="33"/>
        <v>167.79999999999995</v>
      </c>
      <c r="I284" s="1">
        <v>258.89999999999998</v>
      </c>
      <c r="J284" s="1">
        <v>0.1</v>
      </c>
      <c r="K284" s="1">
        <f t="shared" si="38"/>
        <v>669.3</v>
      </c>
      <c r="L284" s="1">
        <v>1.3</v>
      </c>
      <c r="M284" s="1">
        <f t="shared" si="39"/>
        <v>250.90000000000012</v>
      </c>
      <c r="N284" s="1">
        <v>-1.2</v>
      </c>
      <c r="O284" s="1">
        <f t="shared" si="44"/>
        <v>115.6</v>
      </c>
      <c r="P284" s="1">
        <v>237</v>
      </c>
      <c r="Q284" s="1">
        <v>1.1499999999999999</v>
      </c>
      <c r="R284" s="9">
        <f t="shared" si="35"/>
        <v>1.4949999999999999</v>
      </c>
      <c r="S284" s="9">
        <f t="shared" si="36"/>
        <v>-1.3949999999999998</v>
      </c>
      <c r="T284" s="9">
        <f t="shared" si="40"/>
        <v>114.55</v>
      </c>
      <c r="V284" s="1">
        <v>469.1</v>
      </c>
      <c r="X284" s="1">
        <f t="shared" si="41"/>
        <v>141878.29999999993</v>
      </c>
      <c r="Y284" s="14">
        <f t="shared" si="32"/>
        <v>16408.2</v>
      </c>
      <c r="AA284" s="1">
        <v>14.639572787926101</v>
      </c>
    </row>
    <row r="285" spans="1:27" s="1" customFormat="1" x14ac:dyDescent="0.25">
      <c r="A285" s="16"/>
      <c r="B285" s="2"/>
      <c r="C285" s="3">
        <v>41401</v>
      </c>
      <c r="D285" s="1">
        <v>14.1</v>
      </c>
      <c r="E285" s="1">
        <v>9.9</v>
      </c>
      <c r="F285" s="1">
        <v>19.899999999999999</v>
      </c>
      <c r="G285" s="1">
        <f t="shared" si="37"/>
        <v>1662.6999999999998</v>
      </c>
      <c r="H285" s="1">
        <f t="shared" si="33"/>
        <v>181.89999999999995</v>
      </c>
      <c r="J285" s="1">
        <v>0</v>
      </c>
      <c r="K285" s="1">
        <f t="shared" si="38"/>
        <v>669.3</v>
      </c>
      <c r="L285" s="1">
        <v>3.9</v>
      </c>
      <c r="M285" s="1">
        <f t="shared" si="39"/>
        <v>254.80000000000013</v>
      </c>
      <c r="N285" s="1">
        <v>-3.9</v>
      </c>
      <c r="O285" s="1">
        <f t="shared" si="44"/>
        <v>111.69999999999999</v>
      </c>
      <c r="P285" s="1">
        <v>238</v>
      </c>
      <c r="Q285" s="1">
        <v>1.1499999999999999</v>
      </c>
      <c r="R285" s="9">
        <f t="shared" si="35"/>
        <v>4.4849999999999994</v>
      </c>
      <c r="S285" s="9">
        <f t="shared" si="36"/>
        <v>-4.4849999999999994</v>
      </c>
      <c r="T285" s="9">
        <f t="shared" si="40"/>
        <v>110.065</v>
      </c>
      <c r="V285" s="1">
        <v>2552.6</v>
      </c>
      <c r="X285" s="1">
        <f t="shared" si="41"/>
        <v>144430.89999999994</v>
      </c>
      <c r="Y285" s="14">
        <f t="shared" si="32"/>
        <v>18960.8</v>
      </c>
      <c r="AA285" s="1">
        <v>14.6868866400001</v>
      </c>
    </row>
    <row r="286" spans="1:27" s="1" customFormat="1" x14ac:dyDescent="0.25">
      <c r="A286" s="16"/>
      <c r="B286" s="2"/>
      <c r="C286" s="3">
        <v>41402</v>
      </c>
      <c r="D286" s="1">
        <v>15.4</v>
      </c>
      <c r="E286" s="1">
        <v>8.4</v>
      </c>
      <c r="F286" s="1">
        <v>19.600000000000001</v>
      </c>
      <c r="G286" s="1">
        <f t="shared" si="37"/>
        <v>1678.1</v>
      </c>
      <c r="H286" s="1">
        <f t="shared" si="33"/>
        <v>197.29999999999995</v>
      </c>
      <c r="J286" s="1">
        <v>0.9</v>
      </c>
      <c r="K286" s="1">
        <f t="shared" si="38"/>
        <v>670.19999999999993</v>
      </c>
      <c r="L286" s="1">
        <v>1.3</v>
      </c>
      <c r="M286" s="1">
        <f t="shared" si="39"/>
        <v>256.10000000000014</v>
      </c>
      <c r="N286" s="1">
        <v>-0.4</v>
      </c>
      <c r="O286" s="1">
        <f t="shared" si="44"/>
        <v>111.29999999999998</v>
      </c>
      <c r="P286" s="1">
        <v>239</v>
      </c>
      <c r="Q286" s="1">
        <v>1.1499999999999999</v>
      </c>
      <c r="R286" s="9">
        <f t="shared" si="35"/>
        <v>1.4949999999999999</v>
      </c>
      <c r="S286" s="9">
        <f t="shared" si="36"/>
        <v>-0.59499999999999986</v>
      </c>
      <c r="T286" s="9">
        <f t="shared" si="40"/>
        <v>109.47</v>
      </c>
      <c r="V286" s="1">
        <v>987.1</v>
      </c>
      <c r="X286" s="1">
        <f t="shared" si="41"/>
        <v>145417.99999999994</v>
      </c>
      <c r="Y286" s="14">
        <f t="shared" si="32"/>
        <v>19947.899999999998</v>
      </c>
      <c r="AA286" s="1">
        <v>14.733674940966999</v>
      </c>
    </row>
    <row r="287" spans="1:27" s="1" customFormat="1" x14ac:dyDescent="0.25">
      <c r="A287" s="16"/>
      <c r="B287" s="2"/>
      <c r="C287" s="3">
        <v>41403</v>
      </c>
      <c r="D287" s="1">
        <v>15.6</v>
      </c>
      <c r="E287" s="1">
        <v>13.4</v>
      </c>
      <c r="F287" s="1">
        <v>19.3</v>
      </c>
      <c r="G287" s="1">
        <f t="shared" si="37"/>
        <v>1693.6999999999998</v>
      </c>
      <c r="H287" s="1">
        <f t="shared" si="33"/>
        <v>212.89999999999995</v>
      </c>
      <c r="J287" s="1">
        <v>6.5</v>
      </c>
      <c r="K287" s="1">
        <f t="shared" si="38"/>
        <v>676.69999999999993</v>
      </c>
      <c r="L287" s="1">
        <v>1.7</v>
      </c>
      <c r="M287" s="1">
        <f t="shared" si="39"/>
        <v>257.80000000000013</v>
      </c>
      <c r="N287" s="1">
        <v>4.8</v>
      </c>
      <c r="O287" s="1">
        <f t="shared" si="44"/>
        <v>116.09999999999998</v>
      </c>
      <c r="P287" s="1">
        <v>240</v>
      </c>
      <c r="Q287" s="1">
        <v>1.1499999999999999</v>
      </c>
      <c r="R287" s="9">
        <f t="shared" si="35"/>
        <v>1.9549999999999998</v>
      </c>
      <c r="S287" s="9">
        <f t="shared" si="36"/>
        <v>4.5449999999999999</v>
      </c>
      <c r="T287" s="9">
        <f t="shared" si="40"/>
        <v>114.015</v>
      </c>
      <c r="V287" s="1">
        <v>901.1</v>
      </c>
      <c r="X287" s="1">
        <f t="shared" si="41"/>
        <v>146319.09999999995</v>
      </c>
      <c r="Y287" s="14">
        <f t="shared" si="32"/>
        <v>20848.999999999996</v>
      </c>
      <c r="AA287" s="1">
        <v>14.779917343228499</v>
      </c>
    </row>
    <row r="288" spans="1:27" s="1" customFormat="1" x14ac:dyDescent="0.25">
      <c r="A288" s="16"/>
      <c r="B288" s="2"/>
      <c r="C288" s="3">
        <v>41404</v>
      </c>
      <c r="D288" s="1">
        <v>12.1</v>
      </c>
      <c r="E288" s="1">
        <v>9.6</v>
      </c>
      <c r="F288" s="1">
        <v>13.4</v>
      </c>
      <c r="G288" s="1">
        <f t="shared" si="37"/>
        <v>1705.7999999999997</v>
      </c>
      <c r="H288" s="1">
        <f t="shared" si="33"/>
        <v>224.99999999999994</v>
      </c>
      <c r="J288" s="1">
        <v>0</v>
      </c>
      <c r="K288" s="1">
        <f t="shared" si="38"/>
        <v>676.69999999999993</v>
      </c>
      <c r="L288" s="1">
        <v>1.8</v>
      </c>
      <c r="M288" s="1">
        <f t="shared" si="39"/>
        <v>259.60000000000014</v>
      </c>
      <c r="N288" s="1">
        <v>-1.8</v>
      </c>
      <c r="O288" s="1">
        <f t="shared" si="44"/>
        <v>114.29999999999998</v>
      </c>
      <c r="P288" s="1">
        <v>241</v>
      </c>
      <c r="Q288" s="1">
        <v>1.1499999999999999</v>
      </c>
      <c r="R288" s="9">
        <f t="shared" si="35"/>
        <v>2.0699999999999998</v>
      </c>
      <c r="S288" s="9">
        <f t="shared" si="36"/>
        <v>-2.0699999999999998</v>
      </c>
      <c r="T288" s="9">
        <f t="shared" si="40"/>
        <v>111.94500000000001</v>
      </c>
      <c r="V288" s="1">
        <v>1184</v>
      </c>
      <c r="X288" s="1">
        <f t="shared" si="41"/>
        <v>147503.09999999995</v>
      </c>
      <c r="Y288" s="14">
        <f t="shared" si="32"/>
        <v>22032.999999999996</v>
      </c>
      <c r="AA288" s="1">
        <v>14.825593056412499</v>
      </c>
    </row>
    <row r="289" spans="1:27" s="1" customFormat="1" x14ac:dyDescent="0.25">
      <c r="A289" s="16"/>
      <c r="B289" s="2"/>
      <c r="C289" s="3">
        <v>41405</v>
      </c>
      <c r="D289" s="1">
        <v>12.1</v>
      </c>
      <c r="E289" s="1">
        <v>10.199999999999999</v>
      </c>
      <c r="F289" s="1">
        <v>14.5</v>
      </c>
      <c r="G289" s="1">
        <f t="shared" si="37"/>
        <v>1717.8999999999996</v>
      </c>
      <c r="H289" s="1">
        <f t="shared" si="33"/>
        <v>237.09999999999994</v>
      </c>
      <c r="J289" s="1">
        <v>2.6</v>
      </c>
      <c r="K289" s="1">
        <f t="shared" si="38"/>
        <v>679.3</v>
      </c>
      <c r="L289" s="1">
        <v>1.4</v>
      </c>
      <c r="M289" s="1">
        <f t="shared" si="39"/>
        <v>261.00000000000011</v>
      </c>
      <c r="N289" s="1">
        <v>1.2000000000000002</v>
      </c>
      <c r="O289" s="1">
        <f t="shared" si="44"/>
        <v>115.49999999999999</v>
      </c>
      <c r="P289" s="1">
        <v>242</v>
      </c>
      <c r="Q289" s="1">
        <v>1.1499999999999999</v>
      </c>
      <c r="R289" s="9">
        <f t="shared" si="35"/>
        <v>1.6099999999999999</v>
      </c>
      <c r="S289" s="9">
        <f t="shared" si="36"/>
        <v>0.99000000000000021</v>
      </c>
      <c r="T289" s="9">
        <f t="shared" si="40"/>
        <v>112.935</v>
      </c>
      <c r="V289" s="1">
        <v>983.2</v>
      </c>
      <c r="X289" s="1">
        <f t="shared" si="41"/>
        <v>148486.29999999996</v>
      </c>
      <c r="Y289" s="14">
        <f t="shared" si="32"/>
        <v>23016.199999999997</v>
      </c>
      <c r="AA289" s="1">
        <v>14.870680861057499</v>
      </c>
    </row>
    <row r="290" spans="1:27" s="1" customFormat="1" x14ac:dyDescent="0.25">
      <c r="A290" s="16"/>
      <c r="B290" s="2"/>
      <c r="C290" s="3">
        <v>41406</v>
      </c>
      <c r="D290" s="1">
        <v>10.8</v>
      </c>
      <c r="E290" s="1">
        <v>8</v>
      </c>
      <c r="F290" s="1">
        <v>13.7</v>
      </c>
      <c r="G290" s="1">
        <f t="shared" si="37"/>
        <v>1728.6999999999996</v>
      </c>
      <c r="H290" s="1">
        <f t="shared" si="33"/>
        <v>247.89999999999995</v>
      </c>
      <c r="J290" s="1">
        <v>0.4</v>
      </c>
      <c r="K290" s="1">
        <f t="shared" si="38"/>
        <v>679.69999999999993</v>
      </c>
      <c r="L290" s="1">
        <v>1.7</v>
      </c>
      <c r="M290" s="1">
        <f t="shared" si="39"/>
        <v>262.7000000000001</v>
      </c>
      <c r="N290" s="1">
        <v>-1.2999999999999998</v>
      </c>
      <c r="O290" s="1">
        <f t="shared" si="44"/>
        <v>114.19999999999999</v>
      </c>
      <c r="P290" s="1">
        <v>243</v>
      </c>
      <c r="Q290" s="1">
        <v>1.1499999999999999</v>
      </c>
      <c r="R290" s="9">
        <f t="shared" si="35"/>
        <v>1.9549999999999998</v>
      </c>
      <c r="S290" s="9">
        <f t="shared" si="36"/>
        <v>-1.5549999999999997</v>
      </c>
      <c r="T290" s="9">
        <f t="shared" si="40"/>
        <v>111.38</v>
      </c>
      <c r="V290" s="1">
        <v>1086.5999999999999</v>
      </c>
      <c r="X290" s="1">
        <f t="shared" si="41"/>
        <v>149572.89999999997</v>
      </c>
      <c r="Y290" s="14">
        <f t="shared" si="32"/>
        <v>24102.799999999996</v>
      </c>
      <c r="AA290" s="1">
        <v>14.915159124471201</v>
      </c>
    </row>
    <row r="291" spans="1:27" s="31" customFormat="1" ht="15.75" thickBot="1" x14ac:dyDescent="0.3">
      <c r="A291" s="33" t="s">
        <v>29</v>
      </c>
      <c r="B291" s="41"/>
      <c r="C291" s="37">
        <v>41407</v>
      </c>
      <c r="D291" s="31">
        <v>11</v>
      </c>
      <c r="E291" s="31">
        <v>6.3</v>
      </c>
      <c r="F291" s="31">
        <v>14</v>
      </c>
      <c r="G291" s="31">
        <f t="shared" si="37"/>
        <v>1739.6999999999996</v>
      </c>
      <c r="H291" s="31">
        <f t="shared" si="33"/>
        <v>258.89999999999998</v>
      </c>
      <c r="J291" s="31">
        <v>0</v>
      </c>
      <c r="K291" s="31">
        <f t="shared" si="38"/>
        <v>679.69999999999993</v>
      </c>
      <c r="L291" s="31">
        <v>0.9</v>
      </c>
      <c r="M291" s="31">
        <f t="shared" si="39"/>
        <v>263.60000000000008</v>
      </c>
      <c r="N291" s="31">
        <v>-0.9</v>
      </c>
      <c r="O291" s="31">
        <f t="shared" si="44"/>
        <v>113.29999999999998</v>
      </c>
      <c r="P291" s="31">
        <v>244</v>
      </c>
      <c r="Q291" s="31">
        <v>1.1499999999999999</v>
      </c>
      <c r="R291" s="32">
        <f t="shared" si="35"/>
        <v>1.0349999999999999</v>
      </c>
      <c r="S291" s="32">
        <f t="shared" si="36"/>
        <v>-1.0349999999999999</v>
      </c>
      <c r="T291" s="32">
        <f t="shared" si="40"/>
        <v>110.345</v>
      </c>
      <c r="V291" s="31">
        <v>582.70000000000005</v>
      </c>
      <c r="X291" s="31">
        <f t="shared" si="41"/>
        <v>150155.59999999998</v>
      </c>
      <c r="Y291" s="28">
        <f t="shared" si="32"/>
        <v>24685.499999999996</v>
      </c>
      <c r="AA291" s="31">
        <v>14.959005818845</v>
      </c>
    </row>
    <row r="292" spans="1:27" s="14" customFormat="1" x14ac:dyDescent="0.25">
      <c r="A292" s="53">
        <v>300</v>
      </c>
      <c r="B292" s="42"/>
      <c r="C292" s="39">
        <v>41408</v>
      </c>
      <c r="D292" s="14">
        <v>14.3</v>
      </c>
      <c r="E292" s="14">
        <v>9.6</v>
      </c>
      <c r="F292" s="14">
        <v>18.399999999999999</v>
      </c>
      <c r="G292" s="14">
        <f t="shared" si="37"/>
        <v>1753.9999999999995</v>
      </c>
      <c r="H292" s="1">
        <f>D292</f>
        <v>14.3</v>
      </c>
      <c r="J292" s="14">
        <v>0.7</v>
      </c>
      <c r="K292" s="14">
        <f t="shared" si="38"/>
        <v>680.4</v>
      </c>
      <c r="L292" s="14">
        <v>2.5</v>
      </c>
      <c r="M292" s="14">
        <f t="shared" si="39"/>
        <v>266.10000000000008</v>
      </c>
      <c r="N292" s="14">
        <v>-1.8</v>
      </c>
      <c r="O292" s="14">
        <f t="shared" si="44"/>
        <v>111.49999999999999</v>
      </c>
      <c r="P292" s="14">
        <v>245</v>
      </c>
      <c r="Q292" s="14">
        <v>1.1499999999999999</v>
      </c>
      <c r="R292" s="40">
        <f t="shared" si="35"/>
        <v>2.875</v>
      </c>
      <c r="S292" s="40">
        <f t="shared" si="36"/>
        <v>-2.1749999999999998</v>
      </c>
      <c r="T292" s="40">
        <f t="shared" si="40"/>
        <v>108.17</v>
      </c>
      <c r="U292" s="18" t="s">
        <v>7</v>
      </c>
      <c r="V292" s="14">
        <v>1513.1</v>
      </c>
      <c r="X292" s="14">
        <f t="shared" si="41"/>
        <v>151668.69999999998</v>
      </c>
      <c r="Y292" s="14">
        <f>V292</f>
        <v>1513.1</v>
      </c>
      <c r="Z292" s="18" t="s">
        <v>5</v>
      </c>
      <c r="AA292" s="14">
        <v>15.0021985416956</v>
      </c>
    </row>
    <row r="293" spans="1:27" s="1" customFormat="1" ht="15" customHeight="1" x14ac:dyDescent="0.25">
      <c r="A293" s="51"/>
      <c r="B293" s="7"/>
      <c r="C293" s="3">
        <v>41409</v>
      </c>
      <c r="D293" s="1">
        <v>12.3</v>
      </c>
      <c r="E293" s="1">
        <v>11.9</v>
      </c>
      <c r="F293" s="1">
        <v>14</v>
      </c>
      <c r="G293" s="1">
        <f t="shared" si="37"/>
        <v>1766.2999999999995</v>
      </c>
      <c r="H293" s="1">
        <f t="shared" si="33"/>
        <v>26.6</v>
      </c>
      <c r="I293" s="18" t="s">
        <v>3</v>
      </c>
      <c r="J293" s="1">
        <v>20.3</v>
      </c>
      <c r="K293" s="1">
        <f t="shared" si="38"/>
        <v>700.69999999999993</v>
      </c>
      <c r="L293" s="1">
        <v>1.2</v>
      </c>
      <c r="M293" s="1">
        <f t="shared" si="39"/>
        <v>267.30000000000007</v>
      </c>
      <c r="N293" s="1">
        <v>19.100000000000001</v>
      </c>
      <c r="O293" s="1">
        <v>122.1</v>
      </c>
      <c r="P293" s="1">
        <v>246</v>
      </c>
      <c r="Q293" s="1">
        <v>1.1499999999999999</v>
      </c>
      <c r="R293" s="9">
        <f t="shared" si="35"/>
        <v>1.38</v>
      </c>
      <c r="S293" s="9">
        <f t="shared" si="36"/>
        <v>18.920000000000002</v>
      </c>
      <c r="T293" s="9">
        <f t="shared" si="40"/>
        <v>122.1</v>
      </c>
      <c r="U293" s="1">
        <v>0</v>
      </c>
      <c r="V293" s="1">
        <v>643.9</v>
      </c>
      <c r="X293" s="1">
        <f t="shared" si="41"/>
        <v>152312.59999999998</v>
      </c>
      <c r="Y293" s="14">
        <f t="shared" si="32"/>
        <v>2157</v>
      </c>
      <c r="Z293" s="1">
        <v>37728.5</v>
      </c>
      <c r="AA293" s="1">
        <v>15.044714538702101</v>
      </c>
    </row>
    <row r="294" spans="1:27" s="1" customFormat="1" x14ac:dyDescent="0.25">
      <c r="A294" s="51"/>
      <c r="B294" s="7"/>
      <c r="C294" s="3">
        <v>41410</v>
      </c>
      <c r="D294" s="1">
        <v>9.5</v>
      </c>
      <c r="E294" s="1">
        <v>8</v>
      </c>
      <c r="F294" s="1">
        <v>10.7</v>
      </c>
      <c r="G294" s="1">
        <f t="shared" si="37"/>
        <v>1775.7999999999995</v>
      </c>
      <c r="H294" s="1">
        <f t="shared" si="33"/>
        <v>36.1</v>
      </c>
      <c r="I294" s="1">
        <f>MIN(E292:E317)</f>
        <v>3.7</v>
      </c>
      <c r="J294" s="1">
        <v>10.7</v>
      </c>
      <c r="K294" s="1">
        <f t="shared" si="38"/>
        <v>711.4</v>
      </c>
      <c r="L294" s="1">
        <v>1</v>
      </c>
      <c r="M294" s="1">
        <f t="shared" si="39"/>
        <v>268.30000000000007</v>
      </c>
      <c r="N294" s="1">
        <v>9.6999999999999993</v>
      </c>
      <c r="O294" s="1">
        <v>122.1</v>
      </c>
      <c r="P294" s="1">
        <v>247</v>
      </c>
      <c r="Q294" s="1">
        <v>1.1499999999999999</v>
      </c>
      <c r="R294" s="9">
        <f t="shared" si="35"/>
        <v>1.1499999999999999</v>
      </c>
      <c r="S294" s="9">
        <f t="shared" si="36"/>
        <v>9.5499999999999989</v>
      </c>
      <c r="T294" s="9">
        <f t="shared" si="40"/>
        <v>122.1</v>
      </c>
      <c r="U294" s="18" t="s">
        <v>10</v>
      </c>
      <c r="V294" s="1">
        <v>490.5</v>
      </c>
      <c r="X294" s="1">
        <f t="shared" si="41"/>
        <v>152803.09999999998</v>
      </c>
      <c r="Y294" s="14">
        <f t="shared" si="32"/>
        <v>2647.5</v>
      </c>
      <c r="Z294" s="18" t="s">
        <v>8</v>
      </c>
      <c r="AA294" s="1">
        <v>15.0865307289948</v>
      </c>
    </row>
    <row r="295" spans="1:27" s="1" customFormat="1" x14ac:dyDescent="0.25">
      <c r="A295" s="51"/>
      <c r="B295" s="7"/>
      <c r="C295" s="3">
        <v>41411</v>
      </c>
      <c r="D295" s="1">
        <v>10.9</v>
      </c>
      <c r="E295" s="1">
        <v>9.1</v>
      </c>
      <c r="F295" s="1">
        <v>13.3</v>
      </c>
      <c r="G295" s="1">
        <f t="shared" si="37"/>
        <v>1786.6999999999996</v>
      </c>
      <c r="H295" s="1">
        <f t="shared" si="33"/>
        <v>47</v>
      </c>
      <c r="I295" s="18" t="s">
        <v>6</v>
      </c>
      <c r="J295" s="1">
        <v>0.2</v>
      </c>
      <c r="K295" s="1">
        <f t="shared" si="38"/>
        <v>711.6</v>
      </c>
      <c r="L295" s="1">
        <v>0.8</v>
      </c>
      <c r="M295" s="1">
        <f t="shared" si="39"/>
        <v>269.10000000000008</v>
      </c>
      <c r="N295" s="1">
        <v>-0.60000000000000009</v>
      </c>
      <c r="O295" s="1">
        <f>O294+N295</f>
        <v>121.5</v>
      </c>
      <c r="P295" s="1">
        <v>248</v>
      </c>
      <c r="Q295" s="1">
        <v>1.1499999999999999</v>
      </c>
      <c r="R295" s="9">
        <f t="shared" si="35"/>
        <v>0.91999999999999993</v>
      </c>
      <c r="S295" s="9">
        <f t="shared" si="36"/>
        <v>-0.72</v>
      </c>
      <c r="T295" s="9">
        <f t="shared" si="40"/>
        <v>121.38</v>
      </c>
      <c r="U295" s="1">
        <v>0</v>
      </c>
      <c r="V295" s="1">
        <v>744.4</v>
      </c>
      <c r="X295" s="1">
        <f t="shared" si="41"/>
        <v>153547.49999999997</v>
      </c>
      <c r="Y295" s="14">
        <f t="shared" ref="Y295:Y358" si="45">Y294+V295</f>
        <v>3391.9</v>
      </c>
      <c r="Z295" s="1">
        <f>(Z293/100)/I306</f>
        <v>1.1916771951989893</v>
      </c>
      <c r="AA295" s="1">
        <v>15.127623732945301</v>
      </c>
    </row>
    <row r="296" spans="1:27" s="1" customFormat="1" x14ac:dyDescent="0.25">
      <c r="A296" s="51"/>
      <c r="B296" s="7"/>
      <c r="C296" s="3">
        <v>41412</v>
      </c>
      <c r="D296" s="1">
        <v>11.6</v>
      </c>
      <c r="E296" s="1">
        <v>8.1</v>
      </c>
      <c r="F296" s="1">
        <v>16.7</v>
      </c>
      <c r="G296" s="1">
        <f t="shared" si="37"/>
        <v>1798.2999999999995</v>
      </c>
      <c r="H296" s="1">
        <f t="shared" si="33"/>
        <v>58.6</v>
      </c>
      <c r="I296" s="1">
        <f>MAX(F292:F317)</f>
        <v>25.5</v>
      </c>
      <c r="J296" s="1">
        <v>9.6</v>
      </c>
      <c r="K296" s="1">
        <f t="shared" si="38"/>
        <v>721.2</v>
      </c>
      <c r="L296" s="1">
        <v>2.1</v>
      </c>
      <c r="M296" s="1">
        <f t="shared" si="39"/>
        <v>271.2000000000001</v>
      </c>
      <c r="N296" s="1">
        <v>7.5</v>
      </c>
      <c r="O296" s="1">
        <v>122.1</v>
      </c>
      <c r="P296" s="1">
        <v>249</v>
      </c>
      <c r="Q296" s="1">
        <v>1.1499999999999999</v>
      </c>
      <c r="R296" s="9">
        <f t="shared" si="35"/>
        <v>2.415</v>
      </c>
      <c r="S296" s="9">
        <f t="shared" si="36"/>
        <v>7.1849999999999996</v>
      </c>
      <c r="T296" s="9">
        <f t="shared" si="40"/>
        <v>122.1</v>
      </c>
      <c r="U296" s="18" t="s">
        <v>13</v>
      </c>
      <c r="V296" s="1">
        <v>1248.5999999999999</v>
      </c>
      <c r="X296" s="1">
        <f t="shared" si="41"/>
        <v>154796.09999999998</v>
      </c>
      <c r="Y296" s="14">
        <f t="shared" si="45"/>
        <v>4640.5</v>
      </c>
      <c r="Z296" s="18" t="s">
        <v>11</v>
      </c>
      <c r="AA296" s="1">
        <v>15.167969902495001</v>
      </c>
    </row>
    <row r="297" spans="1:27" s="1" customFormat="1" x14ac:dyDescent="0.25">
      <c r="A297" s="51"/>
      <c r="B297" s="7"/>
      <c r="C297" s="3">
        <v>41413</v>
      </c>
      <c r="D297" s="1">
        <v>10.199999999999999</v>
      </c>
      <c r="E297" s="1">
        <v>7.5</v>
      </c>
      <c r="F297" s="1">
        <v>12.9</v>
      </c>
      <c r="G297" s="1">
        <f t="shared" si="37"/>
        <v>1808.4999999999995</v>
      </c>
      <c r="H297" s="1">
        <f t="shared" ref="H297:H360" si="46">H296+D297</f>
        <v>68.8</v>
      </c>
      <c r="I297" s="18" t="s">
        <v>9</v>
      </c>
      <c r="J297" s="1">
        <v>3.1</v>
      </c>
      <c r="K297" s="1">
        <f t="shared" si="38"/>
        <v>724.30000000000007</v>
      </c>
      <c r="L297" s="1">
        <v>1.2</v>
      </c>
      <c r="M297" s="1">
        <f t="shared" si="39"/>
        <v>272.40000000000009</v>
      </c>
      <c r="N297" s="1">
        <v>1.9000000000000001</v>
      </c>
      <c r="O297" s="1">
        <v>122.1</v>
      </c>
      <c r="P297" s="1">
        <v>250</v>
      </c>
      <c r="Q297" s="1">
        <v>1.1499999999999999</v>
      </c>
      <c r="R297" s="9">
        <f t="shared" si="35"/>
        <v>1.38</v>
      </c>
      <c r="S297" s="9">
        <f t="shared" si="36"/>
        <v>1.7200000000000002</v>
      </c>
      <c r="T297" s="9">
        <f t="shared" si="40"/>
        <v>122.1</v>
      </c>
      <c r="U297" s="9">
        <f>MIN(T292:T317)</f>
        <v>86.78</v>
      </c>
      <c r="V297" s="1">
        <v>924.3</v>
      </c>
      <c r="W297" s="14"/>
      <c r="X297" s="14">
        <f t="shared" si="41"/>
        <v>155720.39999999997</v>
      </c>
      <c r="Y297" s="14">
        <f t="shared" si="45"/>
        <v>5564.8</v>
      </c>
      <c r="Z297" s="1">
        <v>9</v>
      </c>
      <c r="AA297" s="1">
        <v>15.207545354046101</v>
      </c>
    </row>
    <row r="298" spans="1:27" s="1" customFormat="1" ht="15" customHeight="1" x14ac:dyDescent="0.25">
      <c r="A298" s="51"/>
      <c r="B298" s="7"/>
      <c r="C298" s="3">
        <v>41414</v>
      </c>
      <c r="D298" s="1">
        <v>9.6</v>
      </c>
      <c r="E298" s="1">
        <v>9.1</v>
      </c>
      <c r="F298" s="1">
        <v>10.199999999999999</v>
      </c>
      <c r="G298" s="1">
        <f t="shared" si="37"/>
        <v>1818.0999999999995</v>
      </c>
      <c r="H298" s="1">
        <f t="shared" si="46"/>
        <v>78.399999999999991</v>
      </c>
      <c r="I298" s="9">
        <f>AVERAGE(D292:D317)</f>
        <v>12.176923076923076</v>
      </c>
      <c r="J298" s="1">
        <v>19.100000000000001</v>
      </c>
      <c r="K298" s="1">
        <f t="shared" si="38"/>
        <v>743.40000000000009</v>
      </c>
      <c r="L298" s="1">
        <v>1.1000000000000001</v>
      </c>
      <c r="M298" s="1">
        <f t="shared" si="39"/>
        <v>273.50000000000011</v>
      </c>
      <c r="N298" s="1">
        <v>18</v>
      </c>
      <c r="O298" s="1">
        <v>122.1</v>
      </c>
      <c r="P298" s="1">
        <v>251</v>
      </c>
      <c r="Q298" s="1">
        <v>1.1499999999999999</v>
      </c>
      <c r="R298" s="9">
        <f t="shared" si="35"/>
        <v>1.2649999999999999</v>
      </c>
      <c r="S298" s="9">
        <f t="shared" si="36"/>
        <v>17.835000000000001</v>
      </c>
      <c r="T298" s="9">
        <f t="shared" si="40"/>
        <v>122.1</v>
      </c>
      <c r="U298" s="18" t="s">
        <v>15</v>
      </c>
      <c r="V298" s="1">
        <v>555.6</v>
      </c>
      <c r="X298" s="1">
        <f t="shared" si="41"/>
        <v>156275.99999999997</v>
      </c>
      <c r="Y298" s="14">
        <f t="shared" si="45"/>
        <v>6120.4000000000005</v>
      </c>
      <c r="AA298" s="1">
        <v>15.246326003927299</v>
      </c>
    </row>
    <row r="299" spans="1:27" s="1" customFormat="1" x14ac:dyDescent="0.25">
      <c r="A299" s="51"/>
      <c r="B299" s="7"/>
      <c r="C299" s="3">
        <v>41415</v>
      </c>
      <c r="D299" s="1">
        <v>10.3</v>
      </c>
      <c r="E299" s="1">
        <v>9.4</v>
      </c>
      <c r="F299" s="1">
        <v>11.2</v>
      </c>
      <c r="G299" s="1">
        <f t="shared" si="37"/>
        <v>1828.3999999999994</v>
      </c>
      <c r="H299" s="1">
        <f t="shared" si="46"/>
        <v>88.699999999999989</v>
      </c>
      <c r="I299" s="18" t="s">
        <v>12</v>
      </c>
      <c r="J299" s="1">
        <v>5.4</v>
      </c>
      <c r="K299" s="1">
        <f t="shared" si="38"/>
        <v>748.80000000000007</v>
      </c>
      <c r="L299" s="1">
        <v>0.9</v>
      </c>
      <c r="M299" s="1">
        <f t="shared" si="39"/>
        <v>274.40000000000009</v>
      </c>
      <c r="N299" s="1">
        <v>4.5</v>
      </c>
      <c r="O299" s="1">
        <v>122.1</v>
      </c>
      <c r="P299" s="1">
        <v>252</v>
      </c>
      <c r="Q299" s="1">
        <v>1.1499999999999999</v>
      </c>
      <c r="R299" s="9">
        <f t="shared" si="35"/>
        <v>1.0349999999999999</v>
      </c>
      <c r="S299" s="9">
        <f t="shared" si="36"/>
        <v>4.3650000000000002</v>
      </c>
      <c r="T299" s="9">
        <f t="shared" si="40"/>
        <v>122.1</v>
      </c>
      <c r="U299" s="1">
        <v>122.1</v>
      </c>
      <c r="V299" s="1">
        <v>492.1</v>
      </c>
      <c r="X299" s="1">
        <f t="shared" si="41"/>
        <v>156768.09999999998</v>
      </c>
      <c r="Y299" s="14">
        <f t="shared" si="45"/>
        <v>6612.5000000000009</v>
      </c>
      <c r="AA299" s="1">
        <v>15.284287606429199</v>
      </c>
    </row>
    <row r="300" spans="1:27" s="1" customFormat="1" x14ac:dyDescent="0.25">
      <c r="A300" s="51"/>
      <c r="B300" s="7"/>
      <c r="C300" s="3">
        <v>41416</v>
      </c>
      <c r="D300" s="1">
        <v>9.3000000000000007</v>
      </c>
      <c r="E300" s="1">
        <v>9.1</v>
      </c>
      <c r="F300" s="1">
        <v>10.199999999999999</v>
      </c>
      <c r="G300" s="1">
        <f t="shared" si="37"/>
        <v>1837.6999999999994</v>
      </c>
      <c r="H300" s="1">
        <f t="shared" si="46"/>
        <v>97.999999999999986</v>
      </c>
      <c r="I300" s="1">
        <v>0</v>
      </c>
      <c r="J300" s="1">
        <v>0.2</v>
      </c>
      <c r="K300" s="1">
        <f t="shared" si="38"/>
        <v>749.00000000000011</v>
      </c>
      <c r="L300" s="1">
        <v>0.9</v>
      </c>
      <c r="M300" s="1">
        <f t="shared" si="39"/>
        <v>275.30000000000007</v>
      </c>
      <c r="N300" s="1">
        <v>-0.7</v>
      </c>
      <c r="O300" s="1">
        <f>O299+N300</f>
        <v>121.39999999999999</v>
      </c>
      <c r="P300" s="1">
        <v>253</v>
      </c>
      <c r="Q300" s="1">
        <v>1.1499999999999999</v>
      </c>
      <c r="R300" s="9">
        <f t="shared" si="35"/>
        <v>1.0349999999999999</v>
      </c>
      <c r="S300" s="9">
        <f t="shared" si="36"/>
        <v>-0.83499999999999996</v>
      </c>
      <c r="T300" s="9">
        <f t="shared" si="40"/>
        <v>121.265</v>
      </c>
      <c r="U300" s="18" t="s">
        <v>17</v>
      </c>
      <c r="V300" s="1">
        <v>553.1</v>
      </c>
      <c r="X300" s="1">
        <f t="shared" si="41"/>
        <v>157321.19999999998</v>
      </c>
      <c r="Y300" s="14">
        <f t="shared" si="45"/>
        <v>7165.6000000000013</v>
      </c>
      <c r="AA300" s="1">
        <v>15.321405794388999</v>
      </c>
    </row>
    <row r="301" spans="1:27" s="1" customFormat="1" x14ac:dyDescent="0.25">
      <c r="A301" s="51"/>
      <c r="B301" s="7"/>
      <c r="C301" s="3">
        <v>41417</v>
      </c>
      <c r="D301" s="1">
        <v>6.7</v>
      </c>
      <c r="E301" s="1">
        <v>6.1</v>
      </c>
      <c r="F301" s="1">
        <v>7.7</v>
      </c>
      <c r="G301" s="1">
        <f t="shared" si="37"/>
        <v>1844.3999999999994</v>
      </c>
      <c r="H301" s="1">
        <f t="shared" si="46"/>
        <v>104.69999999999999</v>
      </c>
      <c r="I301" s="18" t="s">
        <v>14</v>
      </c>
      <c r="J301" s="1">
        <v>3.8</v>
      </c>
      <c r="K301" s="1">
        <f t="shared" si="38"/>
        <v>752.80000000000007</v>
      </c>
      <c r="L301" s="1">
        <v>0.8</v>
      </c>
      <c r="M301" s="1">
        <f t="shared" si="39"/>
        <v>276.10000000000008</v>
      </c>
      <c r="N301" s="1">
        <v>3</v>
      </c>
      <c r="O301" s="1">
        <v>122.1</v>
      </c>
      <c r="P301" s="1">
        <v>254</v>
      </c>
      <c r="Q301" s="1">
        <v>1.1499999999999999</v>
      </c>
      <c r="R301" s="9">
        <f t="shared" si="35"/>
        <v>0.91999999999999993</v>
      </c>
      <c r="S301" s="9">
        <f t="shared" si="36"/>
        <v>2.88</v>
      </c>
      <c r="T301" s="9">
        <f t="shared" si="40"/>
        <v>122.1</v>
      </c>
      <c r="U301" s="20">
        <f>AVERAGE(T292:T317)</f>
        <v>114.96673076923074</v>
      </c>
      <c r="V301" s="1">
        <v>753.3</v>
      </c>
      <c r="X301" s="1">
        <f t="shared" si="41"/>
        <v>158074.49999999997</v>
      </c>
      <c r="Y301" s="14">
        <f t="shared" si="45"/>
        <v>7918.9000000000015</v>
      </c>
      <c r="AA301" s="1">
        <v>15.3576561222857</v>
      </c>
    </row>
    <row r="302" spans="1:27" s="1" customFormat="1" x14ac:dyDescent="0.25">
      <c r="A302" s="51"/>
      <c r="B302" s="7"/>
      <c r="C302" s="3">
        <v>41418</v>
      </c>
      <c r="D302" s="1">
        <v>7.2</v>
      </c>
      <c r="E302" s="1">
        <v>3.7</v>
      </c>
      <c r="F302" s="1">
        <v>11.8</v>
      </c>
      <c r="G302" s="1">
        <f t="shared" si="37"/>
        <v>1851.5999999999995</v>
      </c>
      <c r="H302" s="1">
        <f t="shared" si="46"/>
        <v>111.89999999999999</v>
      </c>
      <c r="I302" s="1">
        <v>2</v>
      </c>
      <c r="J302" s="1">
        <v>6.4</v>
      </c>
      <c r="K302" s="1">
        <f t="shared" si="38"/>
        <v>759.2</v>
      </c>
      <c r="L302" s="1">
        <v>1.6</v>
      </c>
      <c r="M302" s="1">
        <f t="shared" si="39"/>
        <v>277.7000000000001</v>
      </c>
      <c r="N302" s="1">
        <v>4.8000000000000007</v>
      </c>
      <c r="O302" s="1">
        <v>122.1</v>
      </c>
      <c r="P302" s="1">
        <v>255</v>
      </c>
      <c r="Q302" s="1">
        <v>1.1499999999999999</v>
      </c>
      <c r="R302" s="9">
        <f t="shared" si="35"/>
        <v>1.8399999999999999</v>
      </c>
      <c r="S302" s="9">
        <f t="shared" si="36"/>
        <v>4.5600000000000005</v>
      </c>
      <c r="T302" s="9">
        <f t="shared" si="40"/>
        <v>122.1</v>
      </c>
      <c r="V302" s="1">
        <v>1270.0999999999999</v>
      </c>
      <c r="X302" s="1">
        <f t="shared" si="41"/>
        <v>159344.59999999998</v>
      </c>
      <c r="Y302" s="14">
        <f t="shared" si="45"/>
        <v>9189.0000000000018</v>
      </c>
      <c r="AA302" s="1">
        <v>15.3930141117888</v>
      </c>
    </row>
    <row r="303" spans="1:27" s="1" customFormat="1" x14ac:dyDescent="0.25">
      <c r="A303" s="51"/>
      <c r="B303" s="7"/>
      <c r="C303" s="3">
        <v>41419</v>
      </c>
      <c r="D303" s="1">
        <v>7.8</v>
      </c>
      <c r="E303" s="1">
        <v>4.9000000000000004</v>
      </c>
      <c r="F303" s="1">
        <v>11.3</v>
      </c>
      <c r="G303" s="1">
        <f t="shared" si="37"/>
        <v>1859.3999999999994</v>
      </c>
      <c r="H303" s="1">
        <f t="shared" si="46"/>
        <v>119.69999999999999</v>
      </c>
      <c r="I303" s="18" t="s">
        <v>16</v>
      </c>
      <c r="J303" s="1">
        <v>2.9</v>
      </c>
      <c r="K303" s="1">
        <f t="shared" si="38"/>
        <v>762.1</v>
      </c>
      <c r="L303" s="1">
        <v>1.3</v>
      </c>
      <c r="M303" s="1">
        <f t="shared" si="39"/>
        <v>279.00000000000011</v>
      </c>
      <c r="N303" s="1">
        <v>1.5999999999999999</v>
      </c>
      <c r="O303" s="1">
        <v>122.1</v>
      </c>
      <c r="P303" s="1">
        <v>256</v>
      </c>
      <c r="Q303" s="1">
        <v>1.1499999999999999</v>
      </c>
      <c r="R303" s="9">
        <f t="shared" si="35"/>
        <v>1.4949999999999999</v>
      </c>
      <c r="S303" s="9">
        <f t="shared" si="36"/>
        <v>1.405</v>
      </c>
      <c r="T303" s="9">
        <f t="shared" si="40"/>
        <v>122.1</v>
      </c>
      <c r="U303" s="9">
        <f>(U301*100)/122.1</f>
        <v>94.157846657846648</v>
      </c>
      <c r="V303" s="1">
        <v>977.4</v>
      </c>
      <c r="X303" s="1">
        <f t="shared" si="41"/>
        <v>160321.99999999997</v>
      </c>
      <c r="Y303" s="14">
        <f t="shared" si="45"/>
        <v>10166.400000000001</v>
      </c>
      <c r="AA303" s="1">
        <v>15.4274552996818</v>
      </c>
    </row>
    <row r="304" spans="1:27" s="1" customFormat="1" x14ac:dyDescent="0.25">
      <c r="A304" s="51"/>
      <c r="B304" s="7"/>
      <c r="C304" s="3">
        <v>41420</v>
      </c>
      <c r="D304" s="1">
        <v>9</v>
      </c>
      <c r="E304" s="1">
        <v>6.4</v>
      </c>
      <c r="F304" s="1">
        <v>11.1</v>
      </c>
      <c r="G304" s="1">
        <f t="shared" si="37"/>
        <v>1868.3999999999994</v>
      </c>
      <c r="H304" s="1">
        <f t="shared" si="46"/>
        <v>128.69999999999999</v>
      </c>
      <c r="I304" s="1">
        <v>2</v>
      </c>
      <c r="J304" s="1">
        <v>0</v>
      </c>
      <c r="K304" s="1">
        <f t="shared" si="38"/>
        <v>762.1</v>
      </c>
      <c r="L304" s="1">
        <v>2.2000000000000002</v>
      </c>
      <c r="M304" s="1">
        <f t="shared" si="39"/>
        <v>281.2000000000001</v>
      </c>
      <c r="N304" s="1">
        <v>-2.2000000000000002</v>
      </c>
      <c r="O304" s="1">
        <f>O303+N304</f>
        <v>119.89999999999999</v>
      </c>
      <c r="P304" s="1">
        <v>257</v>
      </c>
      <c r="Q304" s="1">
        <v>1.1499999999999999</v>
      </c>
      <c r="R304" s="9">
        <f t="shared" ref="R304:R367" si="47">Q304*L304</f>
        <v>2.5299999999999998</v>
      </c>
      <c r="S304" s="9">
        <f t="shared" ref="S304:S367" si="48">J304-R304</f>
        <v>-2.5299999999999998</v>
      </c>
      <c r="T304" s="9">
        <f t="shared" si="40"/>
        <v>119.57</v>
      </c>
      <c r="V304" s="1">
        <v>1746.3</v>
      </c>
      <c r="X304" s="1">
        <f t="shared" si="41"/>
        <v>162068.29999999996</v>
      </c>
      <c r="Y304" s="14">
        <f t="shared" si="45"/>
        <v>11912.7</v>
      </c>
      <c r="AA304" s="1">
        <v>15.460955288061101</v>
      </c>
    </row>
    <row r="305" spans="1:27" s="1" customFormat="1" x14ac:dyDescent="0.25">
      <c r="A305" s="51"/>
      <c r="B305" s="7"/>
      <c r="C305" s="3">
        <v>41421</v>
      </c>
      <c r="D305" s="1">
        <v>12.5</v>
      </c>
      <c r="E305" s="1">
        <v>7</v>
      </c>
      <c r="F305" s="1">
        <v>17.600000000000001</v>
      </c>
      <c r="G305" s="1">
        <f t="shared" si="37"/>
        <v>1880.8999999999994</v>
      </c>
      <c r="H305" s="1">
        <f t="shared" si="46"/>
        <v>141.19999999999999</v>
      </c>
      <c r="I305" s="18" t="s">
        <v>18</v>
      </c>
      <c r="J305" s="1">
        <v>0</v>
      </c>
      <c r="K305" s="1">
        <f t="shared" si="38"/>
        <v>762.1</v>
      </c>
      <c r="L305" s="1">
        <v>3.5</v>
      </c>
      <c r="M305" s="1">
        <f t="shared" si="39"/>
        <v>284.7000000000001</v>
      </c>
      <c r="N305" s="1">
        <v>-3.5</v>
      </c>
      <c r="O305" s="1">
        <f>O304+N305</f>
        <v>116.39999999999999</v>
      </c>
      <c r="P305" s="1">
        <v>258</v>
      </c>
      <c r="Q305" s="1">
        <v>1.1499999999999999</v>
      </c>
      <c r="R305" s="9">
        <f t="shared" si="47"/>
        <v>4.0249999999999995</v>
      </c>
      <c r="S305" s="9">
        <f t="shared" si="48"/>
        <v>-4.0249999999999995</v>
      </c>
      <c r="T305" s="9">
        <f t="shared" si="40"/>
        <v>115.54499999999999</v>
      </c>
      <c r="V305" s="1">
        <v>2532.1999999999998</v>
      </c>
      <c r="X305" s="1">
        <f t="shared" si="41"/>
        <v>164600.49999999997</v>
      </c>
      <c r="Y305" s="14">
        <f t="shared" si="45"/>
        <v>14444.900000000001</v>
      </c>
      <c r="AA305" s="1">
        <v>15.4934897966899</v>
      </c>
    </row>
    <row r="306" spans="1:27" s="1" customFormat="1" x14ac:dyDescent="0.25">
      <c r="A306" s="51"/>
      <c r="B306" s="7"/>
      <c r="C306" s="3">
        <v>41422</v>
      </c>
      <c r="D306" s="1">
        <v>10.8</v>
      </c>
      <c r="E306" s="1">
        <v>7.4</v>
      </c>
      <c r="F306" s="1">
        <v>13.1</v>
      </c>
      <c r="G306" s="1">
        <f t="shared" ref="G306:G369" si="49">G305+D306</f>
        <v>1891.6999999999994</v>
      </c>
      <c r="H306" s="1">
        <f t="shared" si="46"/>
        <v>152</v>
      </c>
      <c r="I306" s="1">
        <v>316.60000000000002</v>
      </c>
      <c r="J306" s="1">
        <v>2.6</v>
      </c>
      <c r="K306" s="1">
        <f t="shared" ref="K306:K369" si="50">K305+J306</f>
        <v>764.7</v>
      </c>
      <c r="L306" s="1">
        <v>1.2</v>
      </c>
      <c r="M306" s="1">
        <f t="shared" ref="M306:M369" si="51">M305+L306</f>
        <v>285.90000000000009</v>
      </c>
      <c r="N306" s="1">
        <v>1.4000000000000001</v>
      </c>
      <c r="O306" s="1">
        <f>O305+N306</f>
        <v>117.8</v>
      </c>
      <c r="P306" s="1">
        <v>259</v>
      </c>
      <c r="Q306" s="1">
        <v>1.1499999999999999</v>
      </c>
      <c r="R306" s="9">
        <f t="shared" si="47"/>
        <v>1.38</v>
      </c>
      <c r="S306" s="9">
        <f t="shared" si="48"/>
        <v>1.2200000000000002</v>
      </c>
      <c r="T306" s="9">
        <f t="shared" ref="T306:T369" si="52">MIN(122.1,(T305+S306))</f>
        <v>116.76499999999999</v>
      </c>
      <c r="V306" s="1">
        <v>986.4</v>
      </c>
      <c r="X306" s="1">
        <f t="shared" ref="X306:X369" si="53">X305+V306</f>
        <v>165586.89999999997</v>
      </c>
      <c r="Y306" s="14">
        <f t="shared" si="45"/>
        <v>15431.300000000001</v>
      </c>
      <c r="AA306" s="1">
        <v>15.525034717362599</v>
      </c>
    </row>
    <row r="307" spans="1:27" s="1" customFormat="1" x14ac:dyDescent="0.25">
      <c r="A307" s="51"/>
      <c r="B307" s="7"/>
      <c r="C307" s="3">
        <v>41423</v>
      </c>
      <c r="D307" s="1">
        <v>9.5</v>
      </c>
      <c r="E307" s="1">
        <v>7.8</v>
      </c>
      <c r="F307" s="1">
        <v>12.6</v>
      </c>
      <c r="G307" s="1">
        <f t="shared" si="49"/>
        <v>1901.1999999999994</v>
      </c>
      <c r="H307" s="1">
        <f t="shared" si="46"/>
        <v>161.5</v>
      </c>
      <c r="J307" s="1">
        <v>5.5</v>
      </c>
      <c r="K307" s="1">
        <f t="shared" si="50"/>
        <v>770.2</v>
      </c>
      <c r="L307" s="1">
        <v>1.6</v>
      </c>
      <c r="M307" s="1">
        <f t="shared" si="51"/>
        <v>287.50000000000011</v>
      </c>
      <c r="N307" s="1">
        <v>3.9</v>
      </c>
      <c r="O307" s="1">
        <f>O306+N307</f>
        <v>121.7</v>
      </c>
      <c r="P307" s="1">
        <v>260</v>
      </c>
      <c r="Q307" s="1">
        <v>1.1499999999999999</v>
      </c>
      <c r="R307" s="9">
        <f t="shared" si="47"/>
        <v>1.8399999999999999</v>
      </c>
      <c r="S307" s="9">
        <f t="shared" si="48"/>
        <v>3.66</v>
      </c>
      <c r="T307" s="9">
        <f t="shared" si="52"/>
        <v>120.42499999999998</v>
      </c>
      <c r="V307" s="1">
        <v>1185.5999999999999</v>
      </c>
      <c r="X307" s="1">
        <f t="shared" si="53"/>
        <v>166772.49999999997</v>
      </c>
      <c r="Y307" s="14">
        <f t="shared" si="45"/>
        <v>16616.900000000001</v>
      </c>
      <c r="AA307" s="1">
        <v>15.555566170111399</v>
      </c>
    </row>
    <row r="308" spans="1:27" s="1" customFormat="1" x14ac:dyDescent="0.25">
      <c r="A308" s="51"/>
      <c r="B308" s="7"/>
      <c r="C308" s="3">
        <v>41424</v>
      </c>
      <c r="D308" s="1">
        <v>10</v>
      </c>
      <c r="E308" s="1">
        <v>5.7</v>
      </c>
      <c r="F308" s="1">
        <v>12.3</v>
      </c>
      <c r="G308" s="1">
        <f t="shared" si="49"/>
        <v>1911.1999999999994</v>
      </c>
      <c r="H308" s="1">
        <f t="shared" si="46"/>
        <v>171.5</v>
      </c>
      <c r="J308" s="1">
        <v>3</v>
      </c>
      <c r="K308" s="1">
        <f t="shared" si="50"/>
        <v>773.2</v>
      </c>
      <c r="L308" s="1">
        <v>0.7</v>
      </c>
      <c r="M308" s="1">
        <f t="shared" si="51"/>
        <v>288.2000000000001</v>
      </c>
      <c r="N308" s="1">
        <v>2.2999999999999998</v>
      </c>
      <c r="O308" s="1">
        <v>122.1</v>
      </c>
      <c r="P308" s="1">
        <v>261</v>
      </c>
      <c r="Q308" s="1">
        <v>1.1499999999999999</v>
      </c>
      <c r="R308" s="9">
        <f t="shared" si="47"/>
        <v>0.80499999999999994</v>
      </c>
      <c r="S308" s="9">
        <f t="shared" si="48"/>
        <v>2.1950000000000003</v>
      </c>
      <c r="T308" s="9">
        <f t="shared" si="52"/>
        <v>122.1</v>
      </c>
      <c r="V308" s="1">
        <v>692.8</v>
      </c>
      <c r="X308" s="1">
        <f t="shared" si="53"/>
        <v>167465.29999999996</v>
      </c>
      <c r="Y308" s="14">
        <f t="shared" si="45"/>
        <v>17309.7</v>
      </c>
      <c r="AA308" s="1">
        <v>15.5850605610659</v>
      </c>
    </row>
    <row r="309" spans="1:27" s="1" customFormat="1" x14ac:dyDescent="0.25">
      <c r="A309" s="51"/>
      <c r="B309" s="7"/>
      <c r="C309" s="3">
        <v>41425</v>
      </c>
      <c r="D309" s="1">
        <v>11.7</v>
      </c>
      <c r="E309" s="1">
        <v>8.9</v>
      </c>
      <c r="F309" s="1">
        <v>13.4</v>
      </c>
      <c r="G309" s="1">
        <f t="shared" si="49"/>
        <v>1922.8999999999994</v>
      </c>
      <c r="H309" s="1">
        <f t="shared" si="46"/>
        <v>183.2</v>
      </c>
      <c r="J309" s="1">
        <v>10.1</v>
      </c>
      <c r="K309" s="1">
        <f t="shared" si="50"/>
        <v>783.30000000000007</v>
      </c>
      <c r="L309" s="1">
        <v>1</v>
      </c>
      <c r="M309" s="1">
        <f t="shared" si="51"/>
        <v>289.2000000000001</v>
      </c>
      <c r="N309" s="1">
        <v>9.1</v>
      </c>
      <c r="O309" s="1">
        <v>122.1</v>
      </c>
      <c r="P309" s="1">
        <v>262</v>
      </c>
      <c r="Q309" s="1">
        <v>1.1499999999999999</v>
      </c>
      <c r="R309" s="9">
        <f t="shared" si="47"/>
        <v>1.1499999999999999</v>
      </c>
      <c r="S309" s="9">
        <f t="shared" si="48"/>
        <v>8.9499999999999993</v>
      </c>
      <c r="T309" s="9">
        <f t="shared" si="52"/>
        <v>122.1</v>
      </c>
      <c r="V309" s="1">
        <v>654.4</v>
      </c>
      <c r="X309" s="1">
        <f t="shared" si="53"/>
        <v>168119.69999999995</v>
      </c>
      <c r="Y309" s="14">
        <f t="shared" si="45"/>
        <v>17964.100000000002</v>
      </c>
      <c r="AA309" s="1">
        <v>15.613494641750499</v>
      </c>
    </row>
    <row r="310" spans="1:27" s="1" customFormat="1" x14ac:dyDescent="0.25">
      <c r="A310" s="51"/>
      <c r="B310" s="7"/>
      <c r="C310" s="3">
        <v>41426</v>
      </c>
      <c r="D310" s="1">
        <v>13.7</v>
      </c>
      <c r="E310" s="1">
        <v>11.6</v>
      </c>
      <c r="F310" s="1">
        <v>16.5</v>
      </c>
      <c r="G310" s="1">
        <f t="shared" si="49"/>
        <v>1936.5999999999995</v>
      </c>
      <c r="H310" s="1">
        <f t="shared" si="46"/>
        <v>196.89999999999998</v>
      </c>
      <c r="J310" s="1">
        <v>0.1</v>
      </c>
      <c r="K310" s="1">
        <f t="shared" si="50"/>
        <v>783.40000000000009</v>
      </c>
      <c r="L310" s="1">
        <v>2.2000000000000002</v>
      </c>
      <c r="M310" s="1">
        <f t="shared" si="51"/>
        <v>291.40000000000009</v>
      </c>
      <c r="N310" s="1">
        <v>-2.1</v>
      </c>
      <c r="O310" s="1">
        <f t="shared" ref="O310:O327" si="54">O309+N310</f>
        <v>120</v>
      </c>
      <c r="P310" s="1">
        <v>263</v>
      </c>
      <c r="Q310" s="1">
        <v>1.1499999999999999</v>
      </c>
      <c r="R310" s="9">
        <f t="shared" si="47"/>
        <v>2.5299999999999998</v>
      </c>
      <c r="S310" s="9">
        <f t="shared" si="48"/>
        <v>-2.4299999999999997</v>
      </c>
      <c r="T310" s="9">
        <f t="shared" si="52"/>
        <v>119.66999999999999</v>
      </c>
      <c r="V310" s="1">
        <v>1489.1</v>
      </c>
      <c r="X310" s="1">
        <f t="shared" si="53"/>
        <v>169608.79999999996</v>
      </c>
      <c r="Y310" s="14">
        <f t="shared" si="45"/>
        <v>19453.2</v>
      </c>
      <c r="AA310" s="1">
        <v>15.6408455695819</v>
      </c>
    </row>
    <row r="311" spans="1:27" s="1" customFormat="1" x14ac:dyDescent="0.25">
      <c r="A311" s="51"/>
      <c r="B311" s="7"/>
      <c r="C311" s="3">
        <v>41427</v>
      </c>
      <c r="D311" s="1">
        <v>13.9</v>
      </c>
      <c r="E311" s="1">
        <v>10.5</v>
      </c>
      <c r="F311" s="1">
        <v>17.8</v>
      </c>
      <c r="G311" s="1">
        <f t="shared" si="49"/>
        <v>1950.4999999999995</v>
      </c>
      <c r="H311" s="1">
        <f t="shared" si="46"/>
        <v>210.79999999999998</v>
      </c>
      <c r="J311" s="1">
        <v>0</v>
      </c>
      <c r="K311" s="1">
        <f t="shared" si="50"/>
        <v>783.40000000000009</v>
      </c>
      <c r="L311" s="1">
        <v>2.8</v>
      </c>
      <c r="M311" s="1">
        <f t="shared" si="51"/>
        <v>294.2000000000001</v>
      </c>
      <c r="N311" s="1">
        <v>-2.8</v>
      </c>
      <c r="O311" s="1">
        <f t="shared" si="54"/>
        <v>117.2</v>
      </c>
      <c r="P311" s="1">
        <v>264</v>
      </c>
      <c r="Q311" s="1">
        <v>1.1499999999999999</v>
      </c>
      <c r="R311" s="9">
        <f t="shared" si="47"/>
        <v>3.2199999999999998</v>
      </c>
      <c r="S311" s="9">
        <f t="shared" si="48"/>
        <v>-3.2199999999999998</v>
      </c>
      <c r="T311" s="9">
        <f t="shared" si="52"/>
        <v>116.44999999999999</v>
      </c>
      <c r="V311" s="1">
        <v>1223</v>
      </c>
      <c r="X311" s="1">
        <f t="shared" si="53"/>
        <v>170831.79999999996</v>
      </c>
      <c r="Y311" s="14">
        <f t="shared" si="45"/>
        <v>20676.2</v>
      </c>
      <c r="AA311" s="1">
        <v>15.667090969309101</v>
      </c>
    </row>
    <row r="312" spans="1:27" s="1" customFormat="1" x14ac:dyDescent="0.25">
      <c r="A312" s="51"/>
      <c r="B312" s="7"/>
      <c r="C312" s="3">
        <v>41428</v>
      </c>
      <c r="D312" s="1">
        <v>13.2</v>
      </c>
      <c r="E312" s="1">
        <v>10.5</v>
      </c>
      <c r="F312" s="1">
        <v>16.899999999999999</v>
      </c>
      <c r="G312" s="1">
        <f t="shared" si="49"/>
        <v>1963.6999999999996</v>
      </c>
      <c r="H312" s="1">
        <f t="shared" si="46"/>
        <v>223.99999999999997</v>
      </c>
      <c r="J312" s="1">
        <v>0</v>
      </c>
      <c r="K312" s="1">
        <f t="shared" si="50"/>
        <v>783.40000000000009</v>
      </c>
      <c r="L312" s="1">
        <v>4.5999999999999996</v>
      </c>
      <c r="M312" s="1">
        <f t="shared" si="51"/>
        <v>298.80000000000013</v>
      </c>
      <c r="N312" s="1">
        <v>-4.5999999999999996</v>
      </c>
      <c r="O312" s="1">
        <f t="shared" si="54"/>
        <v>112.60000000000001</v>
      </c>
      <c r="P312" s="1">
        <v>265</v>
      </c>
      <c r="Q312" s="1">
        <v>1.1499999999999999</v>
      </c>
      <c r="R312" s="9">
        <f t="shared" si="47"/>
        <v>5.2899999999999991</v>
      </c>
      <c r="S312" s="9">
        <f t="shared" si="48"/>
        <v>-5.2899999999999991</v>
      </c>
      <c r="T312" s="9">
        <f t="shared" si="52"/>
        <v>111.16</v>
      </c>
      <c r="V312" s="1">
        <v>2497.8000000000002</v>
      </c>
      <c r="X312" s="1">
        <f t="shared" si="53"/>
        <v>173329.59999999995</v>
      </c>
      <c r="Y312" s="14">
        <f t="shared" si="45"/>
        <v>23174</v>
      </c>
      <c r="AA312" s="1">
        <v>15.6922089951128</v>
      </c>
    </row>
    <row r="313" spans="1:27" s="1" customFormat="1" x14ac:dyDescent="0.25">
      <c r="A313" s="51"/>
      <c r="B313" s="7"/>
      <c r="C313" s="3">
        <v>41429</v>
      </c>
      <c r="D313" s="1">
        <v>15</v>
      </c>
      <c r="E313" s="1">
        <v>9.1</v>
      </c>
      <c r="F313" s="1">
        <v>19.100000000000001</v>
      </c>
      <c r="G313" s="1">
        <f t="shared" si="49"/>
        <v>1978.6999999999996</v>
      </c>
      <c r="H313" s="1">
        <f t="shared" si="46"/>
        <v>238.99999999999997</v>
      </c>
      <c r="J313" s="1">
        <v>0</v>
      </c>
      <c r="K313" s="1">
        <f t="shared" si="50"/>
        <v>783.40000000000009</v>
      </c>
      <c r="L313" s="1">
        <v>4.5999999999999996</v>
      </c>
      <c r="M313" s="1">
        <f t="shared" si="51"/>
        <v>303.40000000000015</v>
      </c>
      <c r="N313" s="1">
        <v>-4.5999999999999996</v>
      </c>
      <c r="O313" s="1">
        <f t="shared" si="54"/>
        <v>108.00000000000001</v>
      </c>
      <c r="P313" s="1">
        <v>266</v>
      </c>
      <c r="Q313" s="1">
        <v>1.1499999999999999</v>
      </c>
      <c r="R313" s="9">
        <f t="shared" si="47"/>
        <v>5.2899999999999991</v>
      </c>
      <c r="S313" s="9">
        <f t="shared" si="48"/>
        <v>-5.2899999999999991</v>
      </c>
      <c r="T313" s="9">
        <f t="shared" si="52"/>
        <v>105.87</v>
      </c>
      <c r="V313" s="1">
        <v>2934.8</v>
      </c>
      <c r="X313" s="1">
        <f t="shared" si="53"/>
        <v>176264.39999999994</v>
      </c>
      <c r="Y313" s="14">
        <f t="shared" si="45"/>
        <v>26108.799999999999</v>
      </c>
      <c r="AA313" s="1">
        <v>15.716178393065301</v>
      </c>
    </row>
    <row r="314" spans="1:27" s="1" customFormat="1" x14ac:dyDescent="0.25">
      <c r="A314" s="51"/>
      <c r="B314" s="7"/>
      <c r="C314" s="3">
        <v>41430</v>
      </c>
      <c r="D314" s="1">
        <v>18.399999999999999</v>
      </c>
      <c r="E314" s="1">
        <v>12.6</v>
      </c>
      <c r="F314" s="1">
        <v>23.5</v>
      </c>
      <c r="G314" s="1">
        <f t="shared" si="49"/>
        <v>1997.0999999999997</v>
      </c>
      <c r="H314" s="1">
        <f t="shared" si="46"/>
        <v>257.39999999999998</v>
      </c>
      <c r="J314" s="1">
        <v>0</v>
      </c>
      <c r="K314" s="1">
        <f t="shared" si="50"/>
        <v>783.40000000000009</v>
      </c>
      <c r="L314" s="1">
        <v>5.6</v>
      </c>
      <c r="M314" s="1">
        <f t="shared" si="51"/>
        <v>309.00000000000017</v>
      </c>
      <c r="N314" s="1">
        <v>-5.6</v>
      </c>
      <c r="O314" s="1">
        <f t="shared" si="54"/>
        <v>102.40000000000002</v>
      </c>
      <c r="P314" s="1">
        <v>267</v>
      </c>
      <c r="Q314" s="1">
        <v>1.1499999999999999</v>
      </c>
      <c r="R314" s="9">
        <f t="shared" si="47"/>
        <v>6.4399999999999995</v>
      </c>
      <c r="S314" s="9">
        <f t="shared" si="48"/>
        <v>-6.4399999999999995</v>
      </c>
      <c r="T314" s="9">
        <f t="shared" si="52"/>
        <v>99.43</v>
      </c>
      <c r="V314" s="1">
        <v>3241.7</v>
      </c>
      <c r="X314" s="1">
        <f t="shared" si="53"/>
        <v>179506.09999999995</v>
      </c>
      <c r="Y314" s="14">
        <f t="shared" si="45"/>
        <v>29350.5</v>
      </c>
      <c r="AA314" s="1">
        <v>15.7389785636304</v>
      </c>
    </row>
    <row r="315" spans="1:27" s="1" customFormat="1" x14ac:dyDescent="0.25">
      <c r="A315" s="51"/>
      <c r="B315" s="7"/>
      <c r="C315" s="3">
        <v>41431</v>
      </c>
      <c r="D315" s="1">
        <v>19.5</v>
      </c>
      <c r="E315" s="1">
        <v>13.7</v>
      </c>
      <c r="F315" s="1">
        <v>24.8</v>
      </c>
      <c r="G315" s="1">
        <f t="shared" si="49"/>
        <v>2016.5999999999997</v>
      </c>
      <c r="H315" s="1">
        <f t="shared" si="46"/>
        <v>276.89999999999998</v>
      </c>
      <c r="J315" s="1">
        <v>0</v>
      </c>
      <c r="K315" s="1">
        <f t="shared" si="50"/>
        <v>783.40000000000009</v>
      </c>
      <c r="L315" s="1">
        <v>5.3</v>
      </c>
      <c r="M315" s="1">
        <f t="shared" si="51"/>
        <v>314.30000000000018</v>
      </c>
      <c r="N315" s="1">
        <v>-5.3</v>
      </c>
      <c r="O315" s="1">
        <f t="shared" si="54"/>
        <v>97.100000000000023</v>
      </c>
      <c r="P315" s="1">
        <v>268</v>
      </c>
      <c r="Q315" s="1">
        <v>1.1499999999999999</v>
      </c>
      <c r="R315" s="9">
        <f t="shared" si="47"/>
        <v>6.0949999999999998</v>
      </c>
      <c r="S315" s="9">
        <f t="shared" si="48"/>
        <v>-6.0949999999999998</v>
      </c>
      <c r="T315" s="9">
        <f t="shared" si="52"/>
        <v>93.335000000000008</v>
      </c>
      <c r="V315" s="1">
        <v>2971.2</v>
      </c>
      <c r="X315" s="1">
        <f t="shared" si="53"/>
        <v>182477.29999999996</v>
      </c>
      <c r="Y315" s="14">
        <f t="shared" si="45"/>
        <v>32321.7</v>
      </c>
      <c r="AA315" s="1">
        <v>15.7605896238698</v>
      </c>
    </row>
    <row r="316" spans="1:27" s="1" customFormat="1" x14ac:dyDescent="0.25">
      <c r="A316" s="51"/>
      <c r="B316" s="7"/>
      <c r="C316" s="3">
        <v>41432</v>
      </c>
      <c r="D316" s="1">
        <v>20.2</v>
      </c>
      <c r="E316" s="1">
        <v>14.5</v>
      </c>
      <c r="F316" s="1">
        <v>25.5</v>
      </c>
      <c r="G316" s="1">
        <f t="shared" si="49"/>
        <v>2036.7999999999997</v>
      </c>
      <c r="H316" s="1">
        <f t="shared" si="46"/>
        <v>297.09999999999997</v>
      </c>
      <c r="J316" s="1">
        <v>0</v>
      </c>
      <c r="K316" s="1">
        <f t="shared" si="50"/>
        <v>783.40000000000009</v>
      </c>
      <c r="L316" s="1">
        <v>5.7</v>
      </c>
      <c r="M316" s="1">
        <f t="shared" si="51"/>
        <v>320.00000000000017</v>
      </c>
      <c r="N316" s="1">
        <v>-5.7</v>
      </c>
      <c r="O316" s="1">
        <f t="shared" si="54"/>
        <v>91.40000000000002</v>
      </c>
      <c r="P316" s="1">
        <v>269</v>
      </c>
      <c r="Q316" s="1">
        <v>1.1499999999999999</v>
      </c>
      <c r="R316" s="9">
        <f t="shared" si="47"/>
        <v>6.5549999999999997</v>
      </c>
      <c r="S316" s="9">
        <f t="shared" si="48"/>
        <v>-6.5549999999999997</v>
      </c>
      <c r="T316" s="9">
        <f t="shared" si="52"/>
        <v>86.78</v>
      </c>
      <c r="V316" s="1">
        <v>3016.8</v>
      </c>
      <c r="X316" s="1">
        <f t="shared" si="53"/>
        <v>185494.09999999995</v>
      </c>
      <c r="Y316" s="14">
        <f t="shared" si="45"/>
        <v>35338.5</v>
      </c>
      <c r="AA316" s="1">
        <v>15.780992469005801</v>
      </c>
    </row>
    <row r="317" spans="1:27" s="28" customFormat="1" ht="15.75" thickBot="1" x14ac:dyDescent="0.3">
      <c r="A317" s="51"/>
      <c r="B317" s="26">
        <v>300</v>
      </c>
      <c r="C317" s="27">
        <v>41433</v>
      </c>
      <c r="D317" s="28">
        <v>19.5</v>
      </c>
      <c r="E317" s="28">
        <v>14.8</v>
      </c>
      <c r="F317" s="28">
        <v>25.4</v>
      </c>
      <c r="G317" s="28">
        <f t="shared" si="49"/>
        <v>2056.2999999999997</v>
      </c>
      <c r="H317" s="31">
        <f t="shared" si="46"/>
        <v>316.59999999999997</v>
      </c>
      <c r="J317" s="28">
        <v>8.5</v>
      </c>
      <c r="K317" s="28">
        <f t="shared" si="50"/>
        <v>791.90000000000009</v>
      </c>
      <c r="L317" s="28">
        <v>4.4000000000000004</v>
      </c>
      <c r="M317" s="28">
        <f t="shared" si="51"/>
        <v>324.40000000000015</v>
      </c>
      <c r="N317" s="28">
        <v>4.0999999999999996</v>
      </c>
      <c r="O317" s="28">
        <f t="shared" si="54"/>
        <v>95.500000000000014</v>
      </c>
      <c r="P317" s="28">
        <v>270</v>
      </c>
      <c r="Q317" s="28">
        <v>1.1499999999999999</v>
      </c>
      <c r="R317" s="29">
        <f t="shared" si="47"/>
        <v>5.0599999999999996</v>
      </c>
      <c r="S317" s="29">
        <f t="shared" si="48"/>
        <v>3.4400000000000004</v>
      </c>
      <c r="T317" s="29">
        <f t="shared" si="52"/>
        <v>90.22</v>
      </c>
      <c r="V317" s="28">
        <v>2390</v>
      </c>
      <c r="X317" s="28">
        <f t="shared" si="53"/>
        <v>187884.09999999995</v>
      </c>
      <c r="Y317" s="28">
        <f t="shared" si="45"/>
        <v>37728.5</v>
      </c>
      <c r="AA317" s="28">
        <v>15.8001688329819</v>
      </c>
    </row>
    <row r="318" spans="1:27" s="1" customFormat="1" x14ac:dyDescent="0.25">
      <c r="A318" s="52">
        <v>600</v>
      </c>
      <c r="B318" s="7"/>
      <c r="C318" s="3">
        <v>41434</v>
      </c>
      <c r="D318" s="1">
        <v>16.5</v>
      </c>
      <c r="E318" s="1">
        <v>13.9</v>
      </c>
      <c r="F318" s="1">
        <v>21.7</v>
      </c>
      <c r="G318" s="1">
        <f t="shared" si="49"/>
        <v>2072.7999999999997</v>
      </c>
      <c r="H318" s="1">
        <f>D318</f>
        <v>16.5</v>
      </c>
      <c r="I318" s="19" t="s">
        <v>3</v>
      </c>
      <c r="J318" s="1">
        <v>0</v>
      </c>
      <c r="K318" s="1">
        <f t="shared" si="50"/>
        <v>791.90000000000009</v>
      </c>
      <c r="L318" s="1">
        <v>3.3</v>
      </c>
      <c r="M318" s="1">
        <f t="shared" si="51"/>
        <v>327.70000000000016</v>
      </c>
      <c r="N318" s="1">
        <v>-3.3</v>
      </c>
      <c r="O318" s="1">
        <f t="shared" si="54"/>
        <v>92.200000000000017</v>
      </c>
      <c r="P318" s="1">
        <v>271</v>
      </c>
      <c r="Q318" s="20">
        <f>1.15+((P318-270)/58)*(0.35-1.15)</f>
        <v>1.136206896551724</v>
      </c>
      <c r="R318" s="9">
        <f t="shared" si="47"/>
        <v>3.7494827586206889</v>
      </c>
      <c r="S318" s="9">
        <f t="shared" si="48"/>
        <v>-3.7494827586206889</v>
      </c>
      <c r="T318" s="9">
        <f t="shared" si="52"/>
        <v>86.470517241379312</v>
      </c>
      <c r="U318" s="19" t="s">
        <v>4</v>
      </c>
      <c r="V318" s="1">
        <v>1817.5</v>
      </c>
      <c r="X318" s="1">
        <f t="shared" si="53"/>
        <v>189701.59999999995</v>
      </c>
      <c r="Y318" s="14">
        <f>V318</f>
        <v>1817.5</v>
      </c>
      <c r="Z318" s="19" t="s">
        <v>5</v>
      </c>
      <c r="AA318" s="1">
        <v>15.8181013476534</v>
      </c>
    </row>
    <row r="319" spans="1:27" s="1" customFormat="1" x14ac:dyDescent="0.25">
      <c r="A319" s="52"/>
      <c r="B319" s="7"/>
      <c r="C319" s="3">
        <v>41435</v>
      </c>
      <c r="D319" s="1">
        <v>16.399999999999999</v>
      </c>
      <c r="E319" s="1">
        <v>13.6</v>
      </c>
      <c r="F319" s="1">
        <v>19.5</v>
      </c>
      <c r="G319" s="1">
        <f t="shared" si="49"/>
        <v>2089.1999999999998</v>
      </c>
      <c r="H319" s="1">
        <f t="shared" si="46"/>
        <v>32.9</v>
      </c>
      <c r="I319" s="1">
        <f>MIN(E318:E334)</f>
        <v>10.3</v>
      </c>
      <c r="J319" s="1">
        <v>0.8</v>
      </c>
      <c r="K319" s="1">
        <f t="shared" si="50"/>
        <v>792.7</v>
      </c>
      <c r="L319" s="1">
        <v>2.2999999999999998</v>
      </c>
      <c r="M319" s="1">
        <f t="shared" si="51"/>
        <v>330.00000000000017</v>
      </c>
      <c r="N319" s="1">
        <v>-1.4999999999999998</v>
      </c>
      <c r="O319" s="1">
        <f t="shared" si="54"/>
        <v>90.700000000000017</v>
      </c>
      <c r="P319" s="1">
        <v>272</v>
      </c>
      <c r="Q319" s="20">
        <f t="shared" ref="Q319:Q375" si="55">1.15+((P319-270)/58)*(0.35-1.15)</f>
        <v>1.1224137931034481</v>
      </c>
      <c r="R319" s="9">
        <f t="shared" si="47"/>
        <v>2.5815517241379307</v>
      </c>
      <c r="S319" s="9">
        <f t="shared" si="48"/>
        <v>-1.7815517241379306</v>
      </c>
      <c r="T319" s="9">
        <f t="shared" si="52"/>
        <v>84.688965517241385</v>
      </c>
      <c r="U319" s="1">
        <v>14</v>
      </c>
      <c r="V319" s="1">
        <v>1567</v>
      </c>
      <c r="X319" s="1">
        <f t="shared" si="53"/>
        <v>191268.59999999995</v>
      </c>
      <c r="Y319" s="14">
        <f t="shared" si="45"/>
        <v>3384.5</v>
      </c>
      <c r="Z319" s="1">
        <f>Y334</f>
        <v>31646.399999999998</v>
      </c>
      <c r="AA319" s="1">
        <v>15.834773600236</v>
      </c>
    </row>
    <row r="320" spans="1:27" s="1" customFormat="1" x14ac:dyDescent="0.25">
      <c r="A320" s="52"/>
      <c r="B320" s="7"/>
      <c r="C320" s="3">
        <v>41436</v>
      </c>
      <c r="D320" s="1">
        <v>17.3</v>
      </c>
      <c r="E320" s="1">
        <v>14.4</v>
      </c>
      <c r="F320" s="1">
        <v>20.9</v>
      </c>
      <c r="G320" s="1">
        <f t="shared" si="49"/>
        <v>2106.5</v>
      </c>
      <c r="H320" s="1">
        <f t="shared" si="46"/>
        <v>50.2</v>
      </c>
      <c r="I320" s="19" t="s">
        <v>6</v>
      </c>
      <c r="J320" s="1">
        <v>0</v>
      </c>
      <c r="K320" s="1">
        <f t="shared" si="50"/>
        <v>792.7</v>
      </c>
      <c r="L320" s="1">
        <v>3.4</v>
      </c>
      <c r="M320" s="1">
        <f t="shared" si="51"/>
        <v>333.40000000000015</v>
      </c>
      <c r="N320" s="1">
        <v>-3.4</v>
      </c>
      <c r="O320" s="1">
        <f t="shared" si="54"/>
        <v>87.300000000000011</v>
      </c>
      <c r="P320" s="1">
        <v>273</v>
      </c>
      <c r="Q320" s="20">
        <f t="shared" si="55"/>
        <v>1.1086206896551722</v>
      </c>
      <c r="R320" s="9">
        <f t="shared" si="47"/>
        <v>3.7693103448275855</v>
      </c>
      <c r="S320" s="9">
        <f t="shared" si="48"/>
        <v>-3.7693103448275855</v>
      </c>
      <c r="T320" s="9">
        <f t="shared" si="52"/>
        <v>80.919655172413798</v>
      </c>
      <c r="U320" s="19" t="s">
        <v>7</v>
      </c>
      <c r="V320" s="1">
        <v>1897.3</v>
      </c>
      <c r="X320" s="1">
        <f t="shared" si="53"/>
        <v>193165.89999999994</v>
      </c>
      <c r="Y320" s="14">
        <f t="shared" si="45"/>
        <v>5281.8</v>
      </c>
      <c r="Z320" s="19" t="s">
        <v>8</v>
      </c>
      <c r="AA320" s="1">
        <v>15.850170188640201</v>
      </c>
    </row>
    <row r="321" spans="1:27" s="1" customFormat="1" x14ac:dyDescent="0.25">
      <c r="A321" s="52"/>
      <c r="B321" s="7"/>
      <c r="C321" s="3">
        <v>41437</v>
      </c>
      <c r="D321" s="1">
        <v>19.100000000000001</v>
      </c>
      <c r="E321" s="1">
        <v>14.4</v>
      </c>
      <c r="F321" s="1">
        <v>23.8</v>
      </c>
      <c r="G321" s="1">
        <f t="shared" si="49"/>
        <v>2125.6</v>
      </c>
      <c r="H321" s="1">
        <f t="shared" si="46"/>
        <v>69.300000000000011</v>
      </c>
      <c r="I321" s="1">
        <f>MAX(F318:F334)</f>
        <v>31.8</v>
      </c>
      <c r="J321" s="1">
        <v>0</v>
      </c>
      <c r="K321" s="1">
        <f t="shared" si="50"/>
        <v>792.7</v>
      </c>
      <c r="L321" s="1">
        <v>1.8</v>
      </c>
      <c r="M321" s="1">
        <f t="shared" si="51"/>
        <v>335.20000000000016</v>
      </c>
      <c r="N321" s="1">
        <v>-1.8</v>
      </c>
      <c r="O321" s="1">
        <f t="shared" si="54"/>
        <v>85.500000000000014</v>
      </c>
      <c r="P321" s="1">
        <v>274</v>
      </c>
      <c r="Q321" s="20">
        <f t="shared" si="55"/>
        <v>1.0948275862068966</v>
      </c>
      <c r="R321" s="9">
        <f t="shared" si="47"/>
        <v>1.9706896551724138</v>
      </c>
      <c r="S321" s="9">
        <f t="shared" si="48"/>
        <v>-1.9706896551724138</v>
      </c>
      <c r="T321" s="9">
        <f t="shared" si="52"/>
        <v>78.94896551724139</v>
      </c>
      <c r="U321" s="1">
        <v>0</v>
      </c>
      <c r="V321" s="1">
        <v>1040.2</v>
      </c>
      <c r="W321" s="14"/>
      <c r="X321" s="14">
        <f t="shared" si="53"/>
        <v>194206.09999999995</v>
      </c>
      <c r="Y321" s="14">
        <f t="shared" si="45"/>
        <v>6322</v>
      </c>
      <c r="Z321" s="1">
        <f>(Z319/100)/I331</f>
        <v>1.0201934235976788</v>
      </c>
      <c r="AA321" s="1">
        <v>15.8642767743228</v>
      </c>
    </row>
    <row r="322" spans="1:27" s="1" customFormat="1" ht="15" customHeight="1" x14ac:dyDescent="0.25">
      <c r="A322" s="52"/>
      <c r="B322" s="7"/>
      <c r="C322" s="3">
        <v>41438</v>
      </c>
      <c r="D322" s="1">
        <v>17.2</v>
      </c>
      <c r="E322" s="1">
        <v>13</v>
      </c>
      <c r="F322" s="1">
        <v>26.9</v>
      </c>
      <c r="G322" s="1">
        <f t="shared" si="49"/>
        <v>2142.7999999999997</v>
      </c>
      <c r="H322" s="1">
        <f t="shared" si="46"/>
        <v>86.500000000000014</v>
      </c>
      <c r="I322" s="19" t="s">
        <v>9</v>
      </c>
      <c r="J322" s="1">
        <v>19.7</v>
      </c>
      <c r="K322" s="1">
        <f t="shared" si="50"/>
        <v>812.40000000000009</v>
      </c>
      <c r="L322" s="1">
        <v>5.2</v>
      </c>
      <c r="M322" s="1">
        <f t="shared" si="51"/>
        <v>340.40000000000015</v>
      </c>
      <c r="N322" s="1">
        <v>14.5</v>
      </c>
      <c r="O322" s="1">
        <f t="shared" si="54"/>
        <v>100.00000000000001</v>
      </c>
      <c r="P322" s="1">
        <v>275</v>
      </c>
      <c r="Q322" s="20">
        <f t="shared" si="55"/>
        <v>1.0810344827586207</v>
      </c>
      <c r="R322" s="9">
        <f t="shared" si="47"/>
        <v>5.6213793103448282</v>
      </c>
      <c r="S322" s="9">
        <f t="shared" si="48"/>
        <v>14.078620689655171</v>
      </c>
      <c r="T322" s="9">
        <f t="shared" si="52"/>
        <v>93.027586206896558</v>
      </c>
      <c r="U322" s="19" t="s">
        <v>10</v>
      </c>
      <c r="V322" s="1">
        <v>2664</v>
      </c>
      <c r="X322" s="1">
        <f t="shared" si="53"/>
        <v>196870.09999999995</v>
      </c>
      <c r="Y322" s="14">
        <f t="shared" si="45"/>
        <v>8986</v>
      </c>
      <c r="Z322" s="19" t="s">
        <v>11</v>
      </c>
      <c r="AA322" s="1">
        <v>15.877080132290899</v>
      </c>
    </row>
    <row r="323" spans="1:27" s="1" customFormat="1" x14ac:dyDescent="0.25">
      <c r="A323" s="52"/>
      <c r="B323" s="7"/>
      <c r="C323" s="3">
        <v>41439</v>
      </c>
      <c r="D323" s="1">
        <v>14.7</v>
      </c>
      <c r="E323" s="1">
        <v>10.3</v>
      </c>
      <c r="F323" s="1">
        <v>18.7</v>
      </c>
      <c r="G323" s="1">
        <f t="shared" si="49"/>
        <v>2157.4999999999995</v>
      </c>
      <c r="H323" s="1">
        <f t="shared" si="46"/>
        <v>101.20000000000002</v>
      </c>
      <c r="I323" s="9">
        <f>AVERAGE(D318:D334)</f>
        <v>18.247058823529414</v>
      </c>
      <c r="J323" s="1">
        <v>0</v>
      </c>
      <c r="K323" s="1">
        <f t="shared" si="50"/>
        <v>812.40000000000009</v>
      </c>
      <c r="L323" s="1">
        <v>2.7</v>
      </c>
      <c r="M323" s="1">
        <f t="shared" si="51"/>
        <v>343.10000000000014</v>
      </c>
      <c r="N323" s="1">
        <v>-2.7</v>
      </c>
      <c r="O323" s="1">
        <f t="shared" si="54"/>
        <v>97.300000000000011</v>
      </c>
      <c r="P323" s="1">
        <v>276</v>
      </c>
      <c r="Q323" s="20">
        <f t="shared" si="55"/>
        <v>1.0672413793103448</v>
      </c>
      <c r="R323" s="9">
        <f t="shared" si="47"/>
        <v>2.8815517241379309</v>
      </c>
      <c r="S323" s="9">
        <f t="shared" si="48"/>
        <v>-2.8815517241379309</v>
      </c>
      <c r="T323" s="9">
        <f t="shared" si="52"/>
        <v>90.146034482758623</v>
      </c>
      <c r="U323" s="1">
        <v>0</v>
      </c>
      <c r="V323" s="1">
        <v>1871.9</v>
      </c>
      <c r="X323" s="1">
        <f t="shared" si="53"/>
        <v>198741.99999999994</v>
      </c>
      <c r="Y323" s="14">
        <f t="shared" si="45"/>
        <v>10857.9</v>
      </c>
      <c r="Z323" s="1">
        <v>1</v>
      </c>
      <c r="AA323" s="1">
        <v>15.8885681979102</v>
      </c>
    </row>
    <row r="324" spans="1:27" s="1" customFormat="1" x14ac:dyDescent="0.25">
      <c r="A324" s="52"/>
      <c r="B324" s="7"/>
      <c r="C324" s="3">
        <v>41440</v>
      </c>
      <c r="D324" s="1">
        <v>17.8</v>
      </c>
      <c r="E324" s="1">
        <v>11.6</v>
      </c>
      <c r="F324" s="1">
        <v>23.8</v>
      </c>
      <c r="G324" s="1">
        <f t="shared" si="49"/>
        <v>2175.2999999999997</v>
      </c>
      <c r="H324" s="1">
        <f t="shared" si="46"/>
        <v>119.00000000000001</v>
      </c>
      <c r="I324" s="19" t="s">
        <v>12</v>
      </c>
      <c r="J324" s="1">
        <v>0</v>
      </c>
      <c r="K324" s="1">
        <f t="shared" si="50"/>
        <v>812.40000000000009</v>
      </c>
      <c r="L324" s="1">
        <v>3.6</v>
      </c>
      <c r="M324" s="1">
        <f t="shared" si="51"/>
        <v>346.70000000000016</v>
      </c>
      <c r="N324" s="1">
        <v>-3.6</v>
      </c>
      <c r="O324" s="1">
        <f t="shared" si="54"/>
        <v>93.700000000000017</v>
      </c>
      <c r="P324" s="1">
        <v>277</v>
      </c>
      <c r="Q324" s="20">
        <f t="shared" si="55"/>
        <v>1.0534482758620689</v>
      </c>
      <c r="R324" s="9">
        <f t="shared" si="47"/>
        <v>3.7924137931034481</v>
      </c>
      <c r="S324" s="9">
        <f t="shared" si="48"/>
        <v>-3.7924137931034481</v>
      </c>
      <c r="T324" s="9">
        <f t="shared" si="52"/>
        <v>86.353620689655173</v>
      </c>
      <c r="U324" s="19" t="s">
        <v>13</v>
      </c>
      <c r="V324" s="1">
        <v>2044.9</v>
      </c>
      <c r="X324" s="1">
        <f t="shared" si="53"/>
        <v>200786.89999999994</v>
      </c>
      <c r="Y324" s="14">
        <f t="shared" si="45"/>
        <v>12902.8</v>
      </c>
      <c r="AA324" s="1">
        <v>15.898730110178001</v>
      </c>
    </row>
    <row r="325" spans="1:27" s="1" customFormat="1" x14ac:dyDescent="0.25">
      <c r="A325" s="52"/>
      <c r="B325" s="7"/>
      <c r="C325" s="3">
        <v>41441</v>
      </c>
      <c r="D325" s="1">
        <v>20.9</v>
      </c>
      <c r="E325" s="1">
        <v>13.1</v>
      </c>
      <c r="F325" s="1">
        <v>26.7</v>
      </c>
      <c r="G325" s="1">
        <f t="shared" si="49"/>
        <v>2196.1999999999998</v>
      </c>
      <c r="H325" s="1">
        <f t="shared" si="46"/>
        <v>139.9</v>
      </c>
      <c r="I325" s="1">
        <v>0</v>
      </c>
      <c r="J325" s="1">
        <v>0</v>
      </c>
      <c r="K325" s="1">
        <f t="shared" si="50"/>
        <v>812.40000000000009</v>
      </c>
      <c r="L325" s="1">
        <v>4.7</v>
      </c>
      <c r="M325" s="1">
        <f t="shared" si="51"/>
        <v>351.40000000000015</v>
      </c>
      <c r="N325" s="1">
        <v>-4.7</v>
      </c>
      <c r="O325" s="1">
        <f t="shared" si="54"/>
        <v>89.000000000000014</v>
      </c>
      <c r="P325" s="1">
        <v>278</v>
      </c>
      <c r="Q325" s="20">
        <f t="shared" si="55"/>
        <v>1.039655172413793</v>
      </c>
      <c r="R325" s="9">
        <f t="shared" si="47"/>
        <v>4.886379310344827</v>
      </c>
      <c r="S325" s="9">
        <f t="shared" si="48"/>
        <v>-4.886379310344827</v>
      </c>
      <c r="T325" s="9">
        <f t="shared" si="52"/>
        <v>81.467241379310352</v>
      </c>
      <c r="U325" s="9">
        <f>MIN(T318:T334)</f>
        <v>68.818965517241395</v>
      </c>
      <c r="V325" s="1">
        <v>2665.4</v>
      </c>
      <c r="X325" s="1">
        <f t="shared" si="53"/>
        <v>203452.29999999993</v>
      </c>
      <c r="Y325" s="14">
        <f t="shared" si="45"/>
        <v>15568.199999999999</v>
      </c>
      <c r="AA325" s="1">
        <v>15.907556251147501</v>
      </c>
    </row>
    <row r="326" spans="1:27" s="1" customFormat="1" x14ac:dyDescent="0.25">
      <c r="A326" s="52"/>
      <c r="B326" s="7"/>
      <c r="C326" s="3">
        <v>41442</v>
      </c>
      <c r="D326" s="1">
        <v>24.1</v>
      </c>
      <c r="E326" s="1">
        <v>18.2</v>
      </c>
      <c r="F326" s="1">
        <v>30</v>
      </c>
      <c r="G326" s="1">
        <f t="shared" si="49"/>
        <v>2220.2999999999997</v>
      </c>
      <c r="H326" s="1">
        <f t="shared" si="46"/>
        <v>164</v>
      </c>
      <c r="I326" s="19" t="s">
        <v>14</v>
      </c>
      <c r="J326" s="1">
        <v>0</v>
      </c>
      <c r="K326" s="1">
        <f t="shared" si="50"/>
        <v>812.40000000000009</v>
      </c>
      <c r="L326" s="1">
        <v>6.8</v>
      </c>
      <c r="M326" s="1">
        <f t="shared" si="51"/>
        <v>358.20000000000016</v>
      </c>
      <c r="N326" s="1">
        <v>-6.8</v>
      </c>
      <c r="O326" s="1">
        <f t="shared" si="54"/>
        <v>82.200000000000017</v>
      </c>
      <c r="P326" s="1">
        <v>279</v>
      </c>
      <c r="Q326" s="20">
        <f t="shared" si="55"/>
        <v>1.0258620689655171</v>
      </c>
      <c r="R326" s="9">
        <f t="shared" si="47"/>
        <v>6.9758620689655162</v>
      </c>
      <c r="S326" s="9">
        <f t="shared" si="48"/>
        <v>-6.9758620689655162</v>
      </c>
      <c r="T326" s="9">
        <f t="shared" si="52"/>
        <v>74.49137931034484</v>
      </c>
      <c r="U326" s="19" t="s">
        <v>15</v>
      </c>
      <c r="V326" s="1">
        <v>2841.8</v>
      </c>
      <c r="X326" s="1">
        <f t="shared" si="53"/>
        <v>206294.09999999992</v>
      </c>
      <c r="Y326" s="14">
        <f t="shared" si="45"/>
        <v>18410</v>
      </c>
      <c r="AA326" s="1">
        <v>15.915038281206501</v>
      </c>
    </row>
    <row r="327" spans="1:27" s="1" customFormat="1" x14ac:dyDescent="0.25">
      <c r="A327" s="52"/>
      <c r="B327" s="7"/>
      <c r="C327" s="3">
        <v>41443</v>
      </c>
      <c r="D327" s="1">
        <v>26.1</v>
      </c>
      <c r="E327" s="1">
        <v>19.8</v>
      </c>
      <c r="F327" s="1">
        <v>31.8</v>
      </c>
      <c r="G327" s="1">
        <f t="shared" si="49"/>
        <v>2246.3999999999996</v>
      </c>
      <c r="H327" s="1">
        <f t="shared" si="46"/>
        <v>190.1</v>
      </c>
      <c r="I327" s="1">
        <v>5</v>
      </c>
      <c r="J327" s="1">
        <v>0.4</v>
      </c>
      <c r="K327" s="1">
        <f t="shared" si="50"/>
        <v>812.80000000000007</v>
      </c>
      <c r="L327" s="1">
        <v>6</v>
      </c>
      <c r="M327" s="1">
        <f t="shared" si="51"/>
        <v>364.20000000000016</v>
      </c>
      <c r="N327" s="1">
        <v>-5.6</v>
      </c>
      <c r="O327" s="1">
        <f t="shared" si="54"/>
        <v>76.600000000000023</v>
      </c>
      <c r="P327" s="1">
        <v>280</v>
      </c>
      <c r="Q327" s="20">
        <f t="shared" si="55"/>
        <v>1.0120689655172412</v>
      </c>
      <c r="R327" s="9">
        <f t="shared" si="47"/>
        <v>6.072413793103447</v>
      </c>
      <c r="S327" s="9">
        <f t="shared" si="48"/>
        <v>-5.6724137931034466</v>
      </c>
      <c r="T327" s="9">
        <f t="shared" si="52"/>
        <v>68.818965517241395</v>
      </c>
      <c r="U327" s="9">
        <f>MAX(T318:T334)</f>
        <v>119.15120689655174</v>
      </c>
      <c r="V327" s="1">
        <v>2737.6</v>
      </c>
      <c r="X327" s="1">
        <f t="shared" si="53"/>
        <v>209031.69999999992</v>
      </c>
      <c r="Y327" s="14">
        <f t="shared" si="45"/>
        <v>21147.599999999999</v>
      </c>
      <c r="AA327" s="1">
        <v>15.9211691699458</v>
      </c>
    </row>
    <row r="328" spans="1:27" s="1" customFormat="1" x14ac:dyDescent="0.25">
      <c r="A328" s="52"/>
      <c r="B328" s="7"/>
      <c r="C328" s="3">
        <v>41444</v>
      </c>
      <c r="D328" s="1">
        <v>24.6</v>
      </c>
      <c r="E328" s="1">
        <v>20.8</v>
      </c>
      <c r="F328" s="1">
        <v>29.4</v>
      </c>
      <c r="G328" s="1">
        <f t="shared" si="49"/>
        <v>2270.9999999999995</v>
      </c>
      <c r="H328" s="1">
        <f t="shared" si="46"/>
        <v>214.7</v>
      </c>
      <c r="I328" s="19" t="s">
        <v>16</v>
      </c>
      <c r="J328" s="1">
        <v>50.6</v>
      </c>
      <c r="K328" s="1">
        <f t="shared" si="50"/>
        <v>863.40000000000009</v>
      </c>
      <c r="L328" s="1">
        <v>3.4</v>
      </c>
      <c r="M328" s="1">
        <f t="shared" si="51"/>
        <v>367.60000000000014</v>
      </c>
      <c r="N328" s="1">
        <v>47.2</v>
      </c>
      <c r="O328" s="1">
        <v>122.1</v>
      </c>
      <c r="P328" s="1">
        <v>281</v>
      </c>
      <c r="Q328" s="20">
        <f t="shared" si="55"/>
        <v>0.99827586206896546</v>
      </c>
      <c r="R328" s="9">
        <f t="shared" si="47"/>
        <v>3.3941379310344826</v>
      </c>
      <c r="S328" s="9">
        <f t="shared" si="48"/>
        <v>47.205862068965516</v>
      </c>
      <c r="T328" s="9">
        <f t="shared" si="52"/>
        <v>116.02482758620691</v>
      </c>
      <c r="U328" s="19" t="s">
        <v>17</v>
      </c>
      <c r="V328" s="1">
        <v>1686.7</v>
      </c>
      <c r="X328" s="1">
        <f t="shared" si="53"/>
        <v>210718.39999999994</v>
      </c>
      <c r="Y328" s="14">
        <f t="shared" si="45"/>
        <v>22834.3</v>
      </c>
      <c r="AA328" s="1">
        <v>15.9259432223794</v>
      </c>
    </row>
    <row r="329" spans="1:27" s="1" customFormat="1" x14ac:dyDescent="0.25">
      <c r="A329" s="52"/>
      <c r="B329" s="7"/>
      <c r="C329" s="3">
        <v>41445</v>
      </c>
      <c r="D329" s="1">
        <v>18</v>
      </c>
      <c r="E329" s="1">
        <v>16</v>
      </c>
      <c r="F329" s="1">
        <v>19.600000000000001</v>
      </c>
      <c r="G329" s="1">
        <f t="shared" si="49"/>
        <v>2288.9999999999995</v>
      </c>
      <c r="H329" s="1">
        <f t="shared" si="46"/>
        <v>232.7</v>
      </c>
      <c r="I329" s="1">
        <v>0</v>
      </c>
      <c r="J329" s="1">
        <v>4.8</v>
      </c>
      <c r="K329" s="1">
        <f t="shared" si="50"/>
        <v>868.2</v>
      </c>
      <c r="L329" s="1">
        <v>1.7</v>
      </c>
      <c r="M329" s="1">
        <f t="shared" si="51"/>
        <v>369.30000000000013</v>
      </c>
      <c r="N329" s="1">
        <v>3.0999999999999996</v>
      </c>
      <c r="O329" s="1">
        <v>122.1</v>
      </c>
      <c r="P329" s="1">
        <v>282</v>
      </c>
      <c r="Q329" s="20">
        <f t="shared" si="55"/>
        <v>0.98448275862068957</v>
      </c>
      <c r="R329" s="9">
        <f t="shared" si="47"/>
        <v>1.6736206896551722</v>
      </c>
      <c r="S329" s="9">
        <f t="shared" si="48"/>
        <v>3.1263793103448276</v>
      </c>
      <c r="T329" s="9">
        <f t="shared" si="52"/>
        <v>119.15120689655174</v>
      </c>
      <c r="U329" s="20">
        <f>AVERAGE(T318:T334)</f>
        <v>95.118073022312387</v>
      </c>
      <c r="V329" s="1">
        <v>872.1</v>
      </c>
      <c r="X329" s="1">
        <f t="shared" si="53"/>
        <v>211590.49999999994</v>
      </c>
      <c r="Y329" s="14">
        <f t="shared" si="45"/>
        <v>23706.399999999998</v>
      </c>
      <c r="AA329" s="1">
        <v>15.9293561003129</v>
      </c>
    </row>
    <row r="330" spans="1:27" s="1" customFormat="1" x14ac:dyDescent="0.25">
      <c r="A330" s="52"/>
      <c r="B330" s="7"/>
      <c r="C330" s="3">
        <v>41446</v>
      </c>
      <c r="D330" s="1">
        <v>17.2</v>
      </c>
      <c r="E330" s="1">
        <v>14.7</v>
      </c>
      <c r="F330" s="1">
        <v>19.899999999999999</v>
      </c>
      <c r="G330" s="1">
        <f t="shared" si="49"/>
        <v>2306.1999999999994</v>
      </c>
      <c r="H330" s="1">
        <f t="shared" si="46"/>
        <v>249.89999999999998</v>
      </c>
      <c r="I330" s="19" t="s">
        <v>18</v>
      </c>
      <c r="J330" s="1">
        <v>0</v>
      </c>
      <c r="K330" s="1">
        <f t="shared" si="50"/>
        <v>868.2</v>
      </c>
      <c r="L330" s="1">
        <v>2.8</v>
      </c>
      <c r="M330" s="1">
        <f t="shared" si="51"/>
        <v>372.10000000000014</v>
      </c>
      <c r="N330" s="1">
        <v>-2.8</v>
      </c>
      <c r="O330" s="1">
        <f t="shared" ref="O330:O375" si="56">O329+N330</f>
        <v>119.3</v>
      </c>
      <c r="P330" s="1">
        <v>283</v>
      </c>
      <c r="Q330" s="20">
        <f t="shared" si="55"/>
        <v>0.97068965517241368</v>
      </c>
      <c r="R330" s="9">
        <f t="shared" si="47"/>
        <v>2.7179310344827581</v>
      </c>
      <c r="S330" s="9">
        <f t="shared" si="48"/>
        <v>-2.7179310344827581</v>
      </c>
      <c r="T330" s="9">
        <f t="shared" si="52"/>
        <v>116.43327586206898</v>
      </c>
      <c r="V330" s="1">
        <v>1517.7</v>
      </c>
      <c r="X330" s="1">
        <f t="shared" si="53"/>
        <v>213108.19999999995</v>
      </c>
      <c r="Y330" s="14">
        <f t="shared" si="45"/>
        <v>25224.1</v>
      </c>
      <c r="AA330" s="1">
        <v>15.9314048386947</v>
      </c>
    </row>
    <row r="331" spans="1:27" s="1" customFormat="1" x14ac:dyDescent="0.25">
      <c r="A331" s="52"/>
      <c r="B331" s="7"/>
      <c r="C331" s="3">
        <v>41447</v>
      </c>
      <c r="D331" s="1">
        <v>17.5</v>
      </c>
      <c r="E331" s="1">
        <v>12.2</v>
      </c>
      <c r="F331" s="1">
        <v>21.8</v>
      </c>
      <c r="G331" s="1">
        <f t="shared" si="49"/>
        <v>2323.6999999999994</v>
      </c>
      <c r="H331" s="1">
        <f t="shared" si="46"/>
        <v>267.39999999999998</v>
      </c>
      <c r="I331" s="1">
        <v>310.2</v>
      </c>
      <c r="J331" s="1">
        <v>0</v>
      </c>
      <c r="K331" s="1">
        <f t="shared" si="50"/>
        <v>868.2</v>
      </c>
      <c r="L331" s="1">
        <v>3.3</v>
      </c>
      <c r="M331" s="1">
        <f t="shared" si="51"/>
        <v>375.40000000000015</v>
      </c>
      <c r="N331" s="1">
        <v>-3.3</v>
      </c>
      <c r="O331" s="1">
        <f t="shared" si="56"/>
        <v>116</v>
      </c>
      <c r="P331" s="1">
        <v>284</v>
      </c>
      <c r="Q331" s="20">
        <f t="shared" si="55"/>
        <v>0.9568965517241379</v>
      </c>
      <c r="R331" s="9">
        <f t="shared" si="47"/>
        <v>3.1577586206896551</v>
      </c>
      <c r="S331" s="9">
        <f t="shared" si="48"/>
        <v>-3.1577586206896551</v>
      </c>
      <c r="T331" s="9">
        <f t="shared" si="52"/>
        <v>113.27551724137933</v>
      </c>
      <c r="U331" s="9">
        <f>(U329*100)/122.1</f>
        <v>77.901779707053549</v>
      </c>
      <c r="V331" s="1">
        <v>1733.6</v>
      </c>
      <c r="X331" s="1">
        <f t="shared" si="53"/>
        <v>214841.79999999996</v>
      </c>
      <c r="Y331" s="14">
        <f t="shared" si="45"/>
        <v>26957.699999999997</v>
      </c>
      <c r="AA331" s="1">
        <v>15.9320878568184</v>
      </c>
    </row>
    <row r="332" spans="1:27" s="1" customFormat="1" x14ac:dyDescent="0.25">
      <c r="A332" s="52"/>
      <c r="B332" s="7"/>
      <c r="C332" s="3">
        <v>41448</v>
      </c>
      <c r="D332" s="1">
        <v>15.6</v>
      </c>
      <c r="E332" s="1">
        <v>15.1</v>
      </c>
      <c r="F332" s="1">
        <v>17</v>
      </c>
      <c r="G332" s="1">
        <f t="shared" si="49"/>
        <v>2339.2999999999993</v>
      </c>
      <c r="H332" s="1">
        <f t="shared" si="46"/>
        <v>283</v>
      </c>
      <c r="J332" s="1">
        <v>1.3</v>
      </c>
      <c r="K332" s="1">
        <f t="shared" si="50"/>
        <v>869.5</v>
      </c>
      <c r="L332" s="1">
        <v>4.2</v>
      </c>
      <c r="M332" s="1">
        <f t="shared" si="51"/>
        <v>379.60000000000014</v>
      </c>
      <c r="N332" s="1">
        <v>-2.9000000000000004</v>
      </c>
      <c r="O332" s="1">
        <f t="shared" si="56"/>
        <v>113.1</v>
      </c>
      <c r="P332" s="1">
        <v>285</v>
      </c>
      <c r="Q332" s="20">
        <f t="shared" si="55"/>
        <v>0.94310344827586201</v>
      </c>
      <c r="R332" s="9">
        <f t="shared" si="47"/>
        <v>3.9610344827586208</v>
      </c>
      <c r="S332" s="9">
        <f t="shared" si="48"/>
        <v>-2.6610344827586205</v>
      </c>
      <c r="T332" s="9">
        <f t="shared" si="52"/>
        <v>110.61448275862071</v>
      </c>
      <c r="V332" s="1">
        <v>2278.3000000000002</v>
      </c>
      <c r="X332" s="1">
        <f t="shared" si="53"/>
        <v>217120.09999999995</v>
      </c>
      <c r="Y332" s="14">
        <f t="shared" si="45"/>
        <v>29235.999999999996</v>
      </c>
      <c r="AA332" s="1">
        <v>15.9314049642899</v>
      </c>
    </row>
    <row r="333" spans="1:27" s="1" customFormat="1" x14ac:dyDescent="0.25">
      <c r="A333" s="52"/>
      <c r="B333" s="7"/>
      <c r="C333" s="3">
        <v>41449</v>
      </c>
      <c r="D333" s="1">
        <v>13.6</v>
      </c>
      <c r="E333" s="1">
        <v>12.7</v>
      </c>
      <c r="F333" s="1">
        <v>14.9</v>
      </c>
      <c r="G333" s="1">
        <f t="shared" si="49"/>
        <v>2352.8999999999992</v>
      </c>
      <c r="H333" s="1">
        <f t="shared" si="46"/>
        <v>296.60000000000002</v>
      </c>
      <c r="J333" s="1">
        <v>0.2</v>
      </c>
      <c r="K333" s="1">
        <f t="shared" si="50"/>
        <v>869.7</v>
      </c>
      <c r="L333" s="1">
        <v>1.9</v>
      </c>
      <c r="M333" s="1">
        <f t="shared" si="51"/>
        <v>381.50000000000011</v>
      </c>
      <c r="N333" s="1">
        <v>-1.7</v>
      </c>
      <c r="O333" s="1">
        <f t="shared" si="56"/>
        <v>111.39999999999999</v>
      </c>
      <c r="P333" s="1">
        <v>286</v>
      </c>
      <c r="Q333" s="20">
        <f t="shared" si="55"/>
        <v>0.92931034482758612</v>
      </c>
      <c r="R333" s="9">
        <f t="shared" si="47"/>
        <v>1.7656896551724135</v>
      </c>
      <c r="S333" s="9">
        <f t="shared" si="48"/>
        <v>-1.5656896551724135</v>
      </c>
      <c r="T333" s="9">
        <f t="shared" si="52"/>
        <v>109.04879310344829</v>
      </c>
      <c r="V333" s="1">
        <v>1086.2</v>
      </c>
      <c r="X333" s="1">
        <f t="shared" si="53"/>
        <v>218206.29999999996</v>
      </c>
      <c r="Y333" s="14">
        <f t="shared" si="45"/>
        <v>30322.199999999997</v>
      </c>
      <c r="AA333" s="1">
        <v>15.9293573617103</v>
      </c>
    </row>
    <row r="334" spans="1:27" s="28" customFormat="1" ht="15.75" thickBot="1" x14ac:dyDescent="0.3">
      <c r="A334" s="52"/>
      <c r="B334" s="26">
        <v>600</v>
      </c>
      <c r="C334" s="27">
        <v>41450</v>
      </c>
      <c r="D334" s="28">
        <v>13.6</v>
      </c>
      <c r="E334" s="28">
        <v>11.2</v>
      </c>
      <c r="F334" s="28">
        <v>16</v>
      </c>
      <c r="G334" s="28">
        <f t="shared" si="49"/>
        <v>2366.4999999999991</v>
      </c>
      <c r="H334" s="31">
        <f t="shared" si="46"/>
        <v>310.20000000000005</v>
      </c>
      <c r="J334" s="28">
        <v>0</v>
      </c>
      <c r="K334" s="28">
        <f t="shared" si="50"/>
        <v>869.7</v>
      </c>
      <c r="L334" s="28">
        <v>2.1</v>
      </c>
      <c r="M334" s="28">
        <f t="shared" si="51"/>
        <v>383.60000000000014</v>
      </c>
      <c r="N334" s="28">
        <v>-2.1</v>
      </c>
      <c r="O334" s="28">
        <f t="shared" si="56"/>
        <v>109.3</v>
      </c>
      <c r="P334" s="28">
        <v>287</v>
      </c>
      <c r="Q334" s="35">
        <f t="shared" si="55"/>
        <v>0.91551724137931023</v>
      </c>
      <c r="R334" s="29">
        <f t="shared" si="47"/>
        <v>1.9225862068965516</v>
      </c>
      <c r="S334" s="29">
        <f t="shared" si="48"/>
        <v>-1.9225862068965516</v>
      </c>
      <c r="T334" s="29">
        <f t="shared" si="52"/>
        <v>107.12620689655174</v>
      </c>
      <c r="V334" s="28">
        <v>1324.2</v>
      </c>
      <c r="X334" s="28">
        <f t="shared" si="53"/>
        <v>219530.49999999997</v>
      </c>
      <c r="Y334" s="28">
        <f t="shared" si="45"/>
        <v>31646.399999999998</v>
      </c>
      <c r="AA334" s="28">
        <v>15.9259476360702</v>
      </c>
    </row>
    <row r="335" spans="1:27" s="1" customFormat="1" x14ac:dyDescent="0.25">
      <c r="A335" s="43">
        <v>1000</v>
      </c>
      <c r="B335" s="7"/>
      <c r="C335" s="3">
        <v>41451</v>
      </c>
      <c r="D335" s="1">
        <v>14.6</v>
      </c>
      <c r="E335" s="1">
        <v>10.3</v>
      </c>
      <c r="F335" s="1">
        <v>18.600000000000001</v>
      </c>
      <c r="G335" s="1">
        <f t="shared" si="49"/>
        <v>2381.099999999999</v>
      </c>
      <c r="H335" s="1">
        <f>D335</f>
        <v>14.6</v>
      </c>
      <c r="I335" s="21" t="s">
        <v>3</v>
      </c>
      <c r="J335" s="1">
        <v>0</v>
      </c>
      <c r="K335" s="1">
        <f t="shared" si="50"/>
        <v>869.7</v>
      </c>
      <c r="L335" s="1">
        <v>3.6</v>
      </c>
      <c r="M335" s="1">
        <f t="shared" si="51"/>
        <v>387.20000000000016</v>
      </c>
      <c r="N335" s="1">
        <v>-3.6</v>
      </c>
      <c r="O335" s="1">
        <f t="shared" si="56"/>
        <v>105.7</v>
      </c>
      <c r="P335" s="1">
        <v>288</v>
      </c>
      <c r="Q335" s="20">
        <f t="shared" si="55"/>
        <v>0.90172413793103434</v>
      </c>
      <c r="R335" s="9">
        <f t="shared" si="47"/>
        <v>3.2462068965517239</v>
      </c>
      <c r="S335" s="9">
        <f t="shared" si="48"/>
        <v>-3.2462068965517239</v>
      </c>
      <c r="T335" s="9">
        <f t="shared" si="52"/>
        <v>103.88000000000001</v>
      </c>
      <c r="U335" s="21" t="s">
        <v>4</v>
      </c>
      <c r="V335" s="1">
        <v>2303.3000000000002</v>
      </c>
      <c r="X335" s="1">
        <f t="shared" si="53"/>
        <v>221833.79999999996</v>
      </c>
      <c r="Y335" s="14">
        <f>V335</f>
        <v>2303.3000000000002</v>
      </c>
      <c r="Z335" s="21" t="s">
        <v>5</v>
      </c>
      <c r="AA335" s="1">
        <v>15.921179750890801</v>
      </c>
    </row>
    <row r="336" spans="1:27" s="1" customFormat="1" x14ac:dyDescent="0.25">
      <c r="A336" s="43"/>
      <c r="B336" s="7"/>
      <c r="C336" s="3">
        <v>41452</v>
      </c>
      <c r="D336" s="1">
        <v>13.6</v>
      </c>
      <c r="E336" s="1">
        <v>9.5</v>
      </c>
      <c r="F336" s="1">
        <v>18.7</v>
      </c>
      <c r="G336" s="1">
        <f t="shared" si="49"/>
        <v>2394.6999999999989</v>
      </c>
      <c r="H336" s="1">
        <f t="shared" si="46"/>
        <v>28.2</v>
      </c>
      <c r="I336" s="1">
        <f>MIN(E335:E355)</f>
        <v>9.5</v>
      </c>
      <c r="J336" s="1">
        <v>2.2999999999999998</v>
      </c>
      <c r="K336" s="1">
        <f t="shared" si="50"/>
        <v>872</v>
      </c>
      <c r="L336" s="1">
        <v>2.6</v>
      </c>
      <c r="M336" s="1">
        <f t="shared" si="51"/>
        <v>389.80000000000018</v>
      </c>
      <c r="N336" s="1">
        <v>-0.30000000000000027</v>
      </c>
      <c r="O336" s="1">
        <f t="shared" si="56"/>
        <v>105.4</v>
      </c>
      <c r="P336" s="1">
        <v>289</v>
      </c>
      <c r="Q336" s="20">
        <f t="shared" si="55"/>
        <v>0.88793103448275856</v>
      </c>
      <c r="R336" s="9">
        <f t="shared" si="47"/>
        <v>2.3086206896551724</v>
      </c>
      <c r="S336" s="9">
        <f t="shared" si="48"/>
        <v>-8.6206896551725976E-3</v>
      </c>
      <c r="T336" s="9">
        <f t="shared" si="52"/>
        <v>103.87137931034484</v>
      </c>
      <c r="U336" s="1">
        <v>17</v>
      </c>
      <c r="V336" s="1">
        <v>1783</v>
      </c>
      <c r="X336" s="1">
        <f t="shared" si="53"/>
        <v>223616.79999999996</v>
      </c>
      <c r="Y336" s="14">
        <f t="shared" si="45"/>
        <v>4086.3</v>
      </c>
      <c r="Z336" s="1">
        <f>Y355</f>
        <v>49686.299999999988</v>
      </c>
      <c r="AA336" s="1">
        <v>15.915059031190699</v>
      </c>
    </row>
    <row r="337" spans="1:27" s="1" customFormat="1" x14ac:dyDescent="0.25">
      <c r="A337" s="43"/>
      <c r="B337" s="7"/>
      <c r="C337" s="3">
        <v>41453</v>
      </c>
      <c r="D337" s="1">
        <v>13</v>
      </c>
      <c r="E337" s="1">
        <v>9.5</v>
      </c>
      <c r="F337" s="1">
        <v>15.9</v>
      </c>
      <c r="G337" s="1">
        <f t="shared" si="49"/>
        <v>2407.6999999999989</v>
      </c>
      <c r="H337" s="1">
        <f t="shared" si="46"/>
        <v>41.2</v>
      </c>
      <c r="I337" s="21" t="s">
        <v>6</v>
      </c>
      <c r="J337" s="1">
        <v>5.3</v>
      </c>
      <c r="K337" s="1">
        <f t="shared" si="50"/>
        <v>877.3</v>
      </c>
      <c r="L337" s="1">
        <v>2.6</v>
      </c>
      <c r="M337" s="1">
        <f t="shared" si="51"/>
        <v>392.4000000000002</v>
      </c>
      <c r="N337" s="1">
        <v>2.6999999999999997</v>
      </c>
      <c r="O337" s="1">
        <f t="shared" si="56"/>
        <v>108.10000000000001</v>
      </c>
      <c r="P337" s="1">
        <v>290</v>
      </c>
      <c r="Q337" s="20">
        <f t="shared" si="55"/>
        <v>0.87413793103448267</v>
      </c>
      <c r="R337" s="9">
        <f t="shared" si="47"/>
        <v>2.2727586206896548</v>
      </c>
      <c r="S337" s="9">
        <f t="shared" si="48"/>
        <v>3.027241379310345</v>
      </c>
      <c r="T337" s="9">
        <f t="shared" si="52"/>
        <v>106.89862068965517</v>
      </c>
      <c r="U337" s="21" t="s">
        <v>7</v>
      </c>
      <c r="V337" s="1">
        <v>1793.6</v>
      </c>
      <c r="X337" s="1">
        <f t="shared" si="53"/>
        <v>225410.39999999997</v>
      </c>
      <c r="Y337" s="14">
        <f t="shared" si="45"/>
        <v>5879.9</v>
      </c>
      <c r="Z337" s="21" t="s">
        <v>8</v>
      </c>
      <c r="AA337" s="1">
        <v>15.9075921433968</v>
      </c>
    </row>
    <row r="338" spans="1:27" s="1" customFormat="1" x14ac:dyDescent="0.25">
      <c r="A338" s="43"/>
      <c r="B338" s="7"/>
      <c r="C338" s="3">
        <v>41454</v>
      </c>
      <c r="D338" s="1">
        <v>15.4</v>
      </c>
      <c r="E338" s="1">
        <v>13.3</v>
      </c>
      <c r="F338" s="1">
        <v>18.7</v>
      </c>
      <c r="G338" s="1">
        <f t="shared" si="49"/>
        <v>2423.099999999999</v>
      </c>
      <c r="H338" s="1">
        <f t="shared" si="46"/>
        <v>56.6</v>
      </c>
      <c r="I338" s="1">
        <f>MAX(F335:F355)</f>
        <v>29.2</v>
      </c>
      <c r="J338" s="1">
        <v>2.4</v>
      </c>
      <c r="K338" s="1">
        <f t="shared" si="50"/>
        <v>879.69999999999993</v>
      </c>
      <c r="L338" s="1">
        <v>1.1000000000000001</v>
      </c>
      <c r="M338" s="1">
        <f t="shared" si="51"/>
        <v>393.50000000000023</v>
      </c>
      <c r="N338" s="1">
        <v>1.2999999999999998</v>
      </c>
      <c r="O338" s="1">
        <f t="shared" si="56"/>
        <v>109.4</v>
      </c>
      <c r="P338" s="1">
        <v>291</v>
      </c>
      <c r="Q338" s="20">
        <f t="shared" si="55"/>
        <v>0.8603448275862069</v>
      </c>
      <c r="R338" s="9">
        <f t="shared" si="47"/>
        <v>0.9463793103448277</v>
      </c>
      <c r="S338" s="9">
        <f t="shared" si="48"/>
        <v>1.4536206896551722</v>
      </c>
      <c r="T338" s="9">
        <f t="shared" si="52"/>
        <v>108.35224137931034</v>
      </c>
      <c r="U338" s="1">
        <v>0</v>
      </c>
      <c r="V338" s="1">
        <v>661.7</v>
      </c>
      <c r="X338" s="1">
        <f t="shared" si="53"/>
        <v>226072.09999999998</v>
      </c>
      <c r="Y338" s="14">
        <f t="shared" si="45"/>
        <v>6541.5999999999995</v>
      </c>
      <c r="Z338" s="1">
        <f>(Z336/100)/I348</f>
        <v>1.20276688453159</v>
      </c>
      <c r="AA338" s="1">
        <v>15.8987870703568</v>
      </c>
    </row>
    <row r="339" spans="1:27" s="1" customFormat="1" x14ac:dyDescent="0.25">
      <c r="A339" s="43"/>
      <c r="B339" s="7"/>
      <c r="C339" s="3">
        <v>41455</v>
      </c>
      <c r="D339" s="1">
        <v>16.3</v>
      </c>
      <c r="E339" s="1">
        <v>11.1</v>
      </c>
      <c r="F339" s="1">
        <v>21.2</v>
      </c>
      <c r="G339" s="1">
        <f t="shared" si="49"/>
        <v>2439.3999999999992</v>
      </c>
      <c r="H339" s="1">
        <f t="shared" si="46"/>
        <v>72.900000000000006</v>
      </c>
      <c r="I339" s="21" t="s">
        <v>9</v>
      </c>
      <c r="J339" s="1">
        <v>0</v>
      </c>
      <c r="K339" s="1">
        <f t="shared" si="50"/>
        <v>879.69999999999993</v>
      </c>
      <c r="L339" s="1">
        <v>4.2</v>
      </c>
      <c r="M339" s="1">
        <f t="shared" si="51"/>
        <v>397.70000000000022</v>
      </c>
      <c r="N339" s="1">
        <v>-4.2</v>
      </c>
      <c r="O339" s="1">
        <f t="shared" si="56"/>
        <v>105.2</v>
      </c>
      <c r="P339" s="1">
        <v>292</v>
      </c>
      <c r="Q339" s="20">
        <f t="shared" si="55"/>
        <v>0.84655172413793101</v>
      </c>
      <c r="R339" s="9">
        <f t="shared" si="47"/>
        <v>3.5555172413793104</v>
      </c>
      <c r="S339" s="9">
        <f t="shared" si="48"/>
        <v>-3.5555172413793104</v>
      </c>
      <c r="T339" s="9">
        <f t="shared" si="52"/>
        <v>104.79672413793104</v>
      </c>
      <c r="U339" s="21" t="s">
        <v>10</v>
      </c>
      <c r="V339" s="1">
        <v>2535.1</v>
      </c>
      <c r="X339" s="1">
        <f t="shared" si="53"/>
        <v>228607.19999999998</v>
      </c>
      <c r="Y339" s="14">
        <f t="shared" si="45"/>
        <v>9076.6999999999989</v>
      </c>
      <c r="Z339" s="21" t="s">
        <v>11</v>
      </c>
      <c r="AA339" s="1">
        <v>15.8886530816473</v>
      </c>
    </row>
    <row r="340" spans="1:27" s="1" customFormat="1" x14ac:dyDescent="0.25">
      <c r="A340" s="43"/>
      <c r="B340" s="7"/>
      <c r="C340" s="3">
        <v>41456</v>
      </c>
      <c r="D340" s="1">
        <v>18.5</v>
      </c>
      <c r="E340" s="1">
        <v>11.3</v>
      </c>
      <c r="F340" s="1">
        <v>23.8</v>
      </c>
      <c r="G340" s="1">
        <f t="shared" si="49"/>
        <v>2457.8999999999992</v>
      </c>
      <c r="H340" s="1">
        <f t="shared" si="46"/>
        <v>91.4</v>
      </c>
      <c r="I340" s="9">
        <f>AVERAGE(D335:D355)</f>
        <v>19.671428571428578</v>
      </c>
      <c r="J340" s="1">
        <v>0</v>
      </c>
      <c r="K340" s="1">
        <f t="shared" si="50"/>
        <v>879.69999999999993</v>
      </c>
      <c r="L340" s="1">
        <v>4.7</v>
      </c>
      <c r="M340" s="1">
        <f t="shared" si="51"/>
        <v>402.4000000000002</v>
      </c>
      <c r="N340" s="1">
        <v>-4.7</v>
      </c>
      <c r="O340" s="1">
        <f t="shared" si="56"/>
        <v>100.5</v>
      </c>
      <c r="P340" s="1">
        <v>293</v>
      </c>
      <c r="Q340" s="20">
        <f t="shared" si="55"/>
        <v>0.83275862068965512</v>
      </c>
      <c r="R340" s="9">
        <f t="shared" si="47"/>
        <v>3.9139655172413792</v>
      </c>
      <c r="S340" s="9">
        <f t="shared" si="48"/>
        <v>-3.9139655172413792</v>
      </c>
      <c r="T340" s="9">
        <f t="shared" si="52"/>
        <v>100.88275862068966</v>
      </c>
      <c r="U340" s="1">
        <v>0</v>
      </c>
      <c r="V340" s="1">
        <v>2942.4</v>
      </c>
      <c r="X340" s="1">
        <f t="shared" si="53"/>
        <v>231549.59999999998</v>
      </c>
      <c r="Y340" s="14">
        <f t="shared" si="45"/>
        <v>12019.099999999999</v>
      </c>
      <c r="Z340" s="1">
        <v>2</v>
      </c>
      <c r="AA340" s="1">
        <v>15.877200699406099</v>
      </c>
    </row>
    <row r="341" spans="1:27" s="1" customFormat="1" x14ac:dyDescent="0.25">
      <c r="A341" s="43"/>
      <c r="B341" s="7"/>
      <c r="C341" s="3">
        <v>41457</v>
      </c>
      <c r="D341" s="1">
        <v>20</v>
      </c>
      <c r="E341" s="1">
        <v>14.6</v>
      </c>
      <c r="F341" s="1">
        <v>26</v>
      </c>
      <c r="G341" s="1">
        <f t="shared" si="49"/>
        <v>2477.8999999999992</v>
      </c>
      <c r="H341" s="1">
        <f t="shared" si="46"/>
        <v>111.4</v>
      </c>
      <c r="I341" s="21" t="s">
        <v>12</v>
      </c>
      <c r="J341" s="1">
        <v>20.399999999999999</v>
      </c>
      <c r="K341" s="1">
        <f t="shared" si="50"/>
        <v>900.09999999999991</v>
      </c>
      <c r="L341" s="1">
        <v>4.8</v>
      </c>
      <c r="M341" s="1">
        <f t="shared" si="51"/>
        <v>407.20000000000022</v>
      </c>
      <c r="N341" s="1">
        <v>15.599999999999998</v>
      </c>
      <c r="O341" s="1">
        <f t="shared" si="56"/>
        <v>116.1</v>
      </c>
      <c r="P341" s="1">
        <v>294</v>
      </c>
      <c r="Q341" s="20">
        <f t="shared" si="55"/>
        <v>0.81896551724137923</v>
      </c>
      <c r="R341" s="9">
        <f t="shared" si="47"/>
        <v>3.9310344827586201</v>
      </c>
      <c r="S341" s="9">
        <f t="shared" si="48"/>
        <v>16.468965517241379</v>
      </c>
      <c r="T341" s="9">
        <f t="shared" si="52"/>
        <v>117.35172413793103</v>
      </c>
      <c r="U341" s="21" t="s">
        <v>13</v>
      </c>
      <c r="V341" s="1">
        <v>2551.8000000000002</v>
      </c>
      <c r="X341" s="1">
        <f t="shared" si="53"/>
        <v>234101.39999999997</v>
      </c>
      <c r="Y341" s="14">
        <f t="shared" si="45"/>
        <v>14570.899999999998</v>
      </c>
      <c r="AA341" s="1">
        <v>15.864441659948399</v>
      </c>
    </row>
    <row r="342" spans="1:27" s="1" customFormat="1" x14ac:dyDescent="0.25">
      <c r="A342" s="43"/>
      <c r="B342" s="7"/>
      <c r="C342" s="3">
        <v>41458</v>
      </c>
      <c r="D342" s="1">
        <v>17.2</v>
      </c>
      <c r="E342" s="1">
        <v>14.9</v>
      </c>
      <c r="F342" s="1">
        <v>19.100000000000001</v>
      </c>
      <c r="G342" s="1">
        <f t="shared" si="49"/>
        <v>2495.099999999999</v>
      </c>
      <c r="H342" s="1">
        <f t="shared" si="46"/>
        <v>128.6</v>
      </c>
      <c r="I342" s="1">
        <v>0</v>
      </c>
      <c r="J342" s="1">
        <v>3.8</v>
      </c>
      <c r="K342" s="1">
        <f t="shared" si="50"/>
        <v>903.89999999999986</v>
      </c>
      <c r="L342" s="1">
        <v>1.1000000000000001</v>
      </c>
      <c r="M342" s="1">
        <f t="shared" si="51"/>
        <v>408.30000000000024</v>
      </c>
      <c r="N342" s="1">
        <v>2.6999999999999997</v>
      </c>
      <c r="O342" s="1">
        <f t="shared" si="56"/>
        <v>118.8</v>
      </c>
      <c r="P342" s="1">
        <v>295</v>
      </c>
      <c r="Q342" s="20">
        <f t="shared" si="55"/>
        <v>0.80517241379310334</v>
      </c>
      <c r="R342" s="9">
        <f t="shared" si="47"/>
        <v>0.88568965517241371</v>
      </c>
      <c r="S342" s="9">
        <f t="shared" si="48"/>
        <v>2.914310344827586</v>
      </c>
      <c r="T342" s="9">
        <f t="shared" si="52"/>
        <v>120.26603448275861</v>
      </c>
      <c r="U342" s="9">
        <f>MIN(T335:T355)</f>
        <v>68.213448275862049</v>
      </c>
      <c r="V342" s="1">
        <v>518.9</v>
      </c>
      <c r="X342" s="1">
        <f t="shared" si="53"/>
        <v>234620.29999999996</v>
      </c>
      <c r="Y342" s="14">
        <f t="shared" si="45"/>
        <v>15089.799999999997</v>
      </c>
      <c r="AA342" s="1">
        <v>15.8503888714531</v>
      </c>
    </row>
    <row r="343" spans="1:27" s="1" customFormat="1" x14ac:dyDescent="0.25">
      <c r="A343" s="43"/>
      <c r="B343" s="7"/>
      <c r="C343" s="3">
        <v>41459</v>
      </c>
      <c r="D343" s="1">
        <v>18.3</v>
      </c>
      <c r="E343" s="1">
        <v>15.8</v>
      </c>
      <c r="F343" s="1">
        <v>20.8</v>
      </c>
      <c r="G343" s="1">
        <f t="shared" si="49"/>
        <v>2513.3999999999992</v>
      </c>
      <c r="H343" s="1">
        <f t="shared" si="46"/>
        <v>146.9</v>
      </c>
      <c r="I343" s="21" t="s">
        <v>14</v>
      </c>
      <c r="J343" s="1">
        <v>0.2</v>
      </c>
      <c r="K343" s="1">
        <f t="shared" si="50"/>
        <v>904.09999999999991</v>
      </c>
      <c r="L343" s="1">
        <v>2</v>
      </c>
      <c r="M343" s="1">
        <f t="shared" si="51"/>
        <v>410.30000000000024</v>
      </c>
      <c r="N343" s="1">
        <v>-1.8</v>
      </c>
      <c r="O343" s="1">
        <f t="shared" si="56"/>
        <v>117</v>
      </c>
      <c r="P343" s="1">
        <v>296</v>
      </c>
      <c r="Q343" s="20">
        <f t="shared" si="55"/>
        <v>0.79137931034482745</v>
      </c>
      <c r="R343" s="9">
        <f t="shared" si="47"/>
        <v>1.5827586206896549</v>
      </c>
      <c r="S343" s="9">
        <f t="shared" si="48"/>
        <v>-1.3827586206896549</v>
      </c>
      <c r="T343" s="9">
        <f t="shared" si="52"/>
        <v>118.88327586206896</v>
      </c>
      <c r="U343" s="21" t="s">
        <v>15</v>
      </c>
      <c r="V343" s="1">
        <v>958.2</v>
      </c>
      <c r="X343" s="1">
        <f t="shared" si="53"/>
        <v>235578.49999999997</v>
      </c>
      <c r="Y343" s="14">
        <f t="shared" si="45"/>
        <v>16047.999999999998</v>
      </c>
      <c r="AA343" s="1">
        <v>15.8350563680323</v>
      </c>
    </row>
    <row r="344" spans="1:27" s="1" customFormat="1" x14ac:dyDescent="0.25">
      <c r="A344" s="43"/>
      <c r="B344" s="7"/>
      <c r="C344" s="3">
        <v>41460</v>
      </c>
      <c r="D344" s="1">
        <v>19.600000000000001</v>
      </c>
      <c r="E344" s="1">
        <v>17.100000000000001</v>
      </c>
      <c r="F344" s="1">
        <v>22.5</v>
      </c>
      <c r="G344" s="1">
        <f t="shared" si="49"/>
        <v>2532.9999999999991</v>
      </c>
      <c r="H344" s="1">
        <f t="shared" si="46"/>
        <v>166.5</v>
      </c>
      <c r="I344" s="1">
        <v>11</v>
      </c>
      <c r="J344" s="1">
        <v>0</v>
      </c>
      <c r="K344" s="1">
        <f t="shared" si="50"/>
        <v>904.09999999999991</v>
      </c>
      <c r="L344" s="1">
        <v>2.5</v>
      </c>
      <c r="M344" s="1">
        <f t="shared" si="51"/>
        <v>412.80000000000024</v>
      </c>
      <c r="N344" s="1">
        <v>-2.5</v>
      </c>
      <c r="O344" s="1">
        <f t="shared" si="56"/>
        <v>114.5</v>
      </c>
      <c r="P344" s="1">
        <v>297</v>
      </c>
      <c r="Q344" s="20">
        <f t="shared" si="55"/>
        <v>0.77758620689655167</v>
      </c>
      <c r="R344" s="9">
        <f t="shared" si="47"/>
        <v>1.9439655172413792</v>
      </c>
      <c r="S344" s="9">
        <f t="shared" si="48"/>
        <v>-1.9439655172413792</v>
      </c>
      <c r="T344" s="9">
        <f t="shared" si="52"/>
        <v>116.93931034482758</v>
      </c>
      <c r="U344" s="9">
        <f>MAX(T335:T355)</f>
        <v>120.26603448275861</v>
      </c>
      <c r="V344" s="1">
        <v>1057.9000000000001</v>
      </c>
      <c r="W344" s="14"/>
      <c r="X344" s="14">
        <f t="shared" si="53"/>
        <v>236636.39999999997</v>
      </c>
      <c r="Y344" s="14">
        <f t="shared" si="45"/>
        <v>17105.899999999998</v>
      </c>
      <c r="AA344" s="1">
        <v>15.8184592605141</v>
      </c>
    </row>
    <row r="345" spans="1:27" s="1" customFormat="1" ht="15" customHeight="1" x14ac:dyDescent="0.25">
      <c r="A345" s="43"/>
      <c r="B345" s="22"/>
      <c r="C345" s="3">
        <v>41461</v>
      </c>
      <c r="D345" s="1">
        <v>21.8</v>
      </c>
      <c r="E345" s="1">
        <v>15.7</v>
      </c>
      <c r="F345" s="1">
        <v>26.5</v>
      </c>
      <c r="G345" s="1">
        <f t="shared" si="49"/>
        <v>2554.7999999999993</v>
      </c>
      <c r="H345" s="1">
        <f t="shared" si="46"/>
        <v>188.3</v>
      </c>
      <c r="I345" s="21" t="s">
        <v>16</v>
      </c>
      <c r="J345" s="1">
        <v>0</v>
      </c>
      <c r="K345" s="1">
        <f t="shared" si="50"/>
        <v>904.09999999999991</v>
      </c>
      <c r="L345" s="1">
        <v>5.6</v>
      </c>
      <c r="M345" s="1">
        <f t="shared" si="51"/>
        <v>418.40000000000026</v>
      </c>
      <c r="N345" s="1">
        <v>-5.6</v>
      </c>
      <c r="O345" s="1">
        <f t="shared" si="56"/>
        <v>108.9</v>
      </c>
      <c r="P345" s="1">
        <v>298</v>
      </c>
      <c r="Q345" s="20">
        <f t="shared" si="55"/>
        <v>0.76379310344827578</v>
      </c>
      <c r="R345" s="9">
        <f t="shared" si="47"/>
        <v>4.2772413793103441</v>
      </c>
      <c r="S345" s="9">
        <f t="shared" si="48"/>
        <v>-4.2772413793103441</v>
      </c>
      <c r="T345" s="9">
        <f t="shared" si="52"/>
        <v>112.66206896551724</v>
      </c>
      <c r="U345" s="21" t="s">
        <v>17</v>
      </c>
      <c r="V345" s="1">
        <v>3013</v>
      </c>
      <c r="X345" s="1">
        <f t="shared" si="53"/>
        <v>239649.39999999997</v>
      </c>
      <c r="Y345" s="14">
        <f t="shared" si="45"/>
        <v>20118.899999999998</v>
      </c>
      <c r="AA345" s="1">
        <v>15.8006136842875</v>
      </c>
    </row>
    <row r="346" spans="1:27" s="1" customFormat="1" x14ac:dyDescent="0.25">
      <c r="A346" s="43"/>
      <c r="B346" s="22"/>
      <c r="C346" s="3">
        <v>41462</v>
      </c>
      <c r="D346" s="1">
        <v>23</v>
      </c>
      <c r="E346" s="1">
        <v>17.399999999999999</v>
      </c>
      <c r="F346" s="1">
        <v>27.4</v>
      </c>
      <c r="G346" s="1">
        <f t="shared" si="49"/>
        <v>2577.7999999999993</v>
      </c>
      <c r="H346" s="1">
        <f t="shared" si="46"/>
        <v>211.3</v>
      </c>
      <c r="I346" s="1">
        <v>0</v>
      </c>
      <c r="J346" s="1">
        <v>0</v>
      </c>
      <c r="K346" s="1">
        <f t="shared" si="50"/>
        <v>904.09999999999991</v>
      </c>
      <c r="L346" s="1">
        <v>6.1</v>
      </c>
      <c r="M346" s="1">
        <f t="shared" si="51"/>
        <v>424.50000000000028</v>
      </c>
      <c r="N346" s="1">
        <v>-6.1</v>
      </c>
      <c r="O346" s="1">
        <f t="shared" si="56"/>
        <v>102.80000000000001</v>
      </c>
      <c r="P346" s="1">
        <v>299</v>
      </c>
      <c r="Q346" s="20">
        <f t="shared" si="55"/>
        <v>0.75</v>
      </c>
      <c r="R346" s="9">
        <f t="shared" si="47"/>
        <v>4.5749999999999993</v>
      </c>
      <c r="S346" s="9">
        <f t="shared" si="48"/>
        <v>-4.5749999999999993</v>
      </c>
      <c r="T346" s="9">
        <f t="shared" si="52"/>
        <v>108.08706896551723</v>
      </c>
      <c r="U346" s="20">
        <f>AVERAGE(T335:T355)</f>
        <v>99.492865353037743</v>
      </c>
      <c r="V346" s="1">
        <v>2882.1</v>
      </c>
      <c r="X346" s="1">
        <f t="shared" si="53"/>
        <v>242531.49999999997</v>
      </c>
      <c r="Y346" s="14">
        <f t="shared" si="45"/>
        <v>23000.999999999996</v>
      </c>
      <c r="AA346" s="1">
        <v>15.7815367445688</v>
      </c>
    </row>
    <row r="347" spans="1:27" s="1" customFormat="1" x14ac:dyDescent="0.25">
      <c r="A347" s="43"/>
      <c r="B347" s="22"/>
      <c r="C347" s="3">
        <v>41463</v>
      </c>
      <c r="D347" s="1">
        <v>23.3</v>
      </c>
      <c r="E347" s="1">
        <v>19.399999999999999</v>
      </c>
      <c r="F347" s="1">
        <v>27.8</v>
      </c>
      <c r="G347" s="1">
        <f t="shared" si="49"/>
        <v>2601.0999999999995</v>
      </c>
      <c r="H347" s="1">
        <f t="shared" si="46"/>
        <v>234.60000000000002</v>
      </c>
      <c r="I347" s="21" t="s">
        <v>18</v>
      </c>
      <c r="J347" s="1">
        <v>0</v>
      </c>
      <c r="K347" s="1">
        <f t="shared" si="50"/>
        <v>904.09999999999991</v>
      </c>
      <c r="L347" s="1">
        <v>7.4</v>
      </c>
      <c r="M347" s="1">
        <f t="shared" si="51"/>
        <v>431.90000000000026</v>
      </c>
      <c r="N347" s="1">
        <v>-7.4</v>
      </c>
      <c r="O347" s="1">
        <f t="shared" si="56"/>
        <v>95.4</v>
      </c>
      <c r="P347" s="1">
        <v>300</v>
      </c>
      <c r="Q347" s="20">
        <f t="shared" si="55"/>
        <v>0.73620689655172411</v>
      </c>
      <c r="R347" s="9">
        <f t="shared" si="47"/>
        <v>5.4479310344827585</v>
      </c>
      <c r="S347" s="9">
        <f t="shared" si="48"/>
        <v>-5.4479310344827585</v>
      </c>
      <c r="T347" s="9">
        <f t="shared" si="52"/>
        <v>102.63913793103447</v>
      </c>
      <c r="V347" s="1">
        <v>3196.8</v>
      </c>
      <c r="X347" s="1">
        <f t="shared" si="53"/>
        <v>245728.29999999996</v>
      </c>
      <c r="Y347" s="14">
        <f t="shared" si="45"/>
        <v>26197.799999999996</v>
      </c>
      <c r="AA347" s="1">
        <v>15.761246459458899</v>
      </c>
    </row>
    <row r="348" spans="1:27" s="1" customFormat="1" x14ac:dyDescent="0.25">
      <c r="A348" s="43"/>
      <c r="B348" s="22"/>
      <c r="C348" s="3">
        <v>41464</v>
      </c>
      <c r="D348" s="1">
        <v>23.3</v>
      </c>
      <c r="E348" s="1">
        <v>17.7</v>
      </c>
      <c r="F348" s="1">
        <v>27.7</v>
      </c>
      <c r="G348" s="1">
        <f t="shared" si="49"/>
        <v>2624.3999999999996</v>
      </c>
      <c r="H348" s="1">
        <f t="shared" si="46"/>
        <v>257.90000000000003</v>
      </c>
      <c r="I348" s="1">
        <v>413.1</v>
      </c>
      <c r="J348" s="1">
        <v>0</v>
      </c>
      <c r="K348" s="1">
        <f t="shared" si="50"/>
        <v>904.09999999999991</v>
      </c>
      <c r="L348" s="1">
        <v>5.3</v>
      </c>
      <c r="M348" s="1">
        <f t="shared" si="51"/>
        <v>437.20000000000027</v>
      </c>
      <c r="N348" s="1">
        <v>-5.3</v>
      </c>
      <c r="O348" s="1">
        <f t="shared" si="56"/>
        <v>90.100000000000009</v>
      </c>
      <c r="P348" s="1">
        <v>301</v>
      </c>
      <c r="Q348" s="20">
        <f t="shared" si="55"/>
        <v>0.72241379310344822</v>
      </c>
      <c r="R348" s="9">
        <f t="shared" si="47"/>
        <v>3.8287931034482754</v>
      </c>
      <c r="S348" s="9">
        <f t="shared" si="48"/>
        <v>-3.8287931034482754</v>
      </c>
      <c r="T348" s="9">
        <f t="shared" si="52"/>
        <v>98.810344827586192</v>
      </c>
      <c r="U348" s="9">
        <f>(U346*100)/122.1</f>
        <v>81.484738208876124</v>
      </c>
      <c r="V348" s="1">
        <v>2624.6</v>
      </c>
      <c r="X348" s="1">
        <f t="shared" si="53"/>
        <v>248352.89999999997</v>
      </c>
      <c r="Y348" s="14">
        <f t="shared" si="45"/>
        <v>28822.399999999994</v>
      </c>
      <c r="AA348" s="1">
        <v>15.7397617011619</v>
      </c>
    </row>
    <row r="349" spans="1:27" s="1" customFormat="1" x14ac:dyDescent="0.25">
      <c r="A349" s="43"/>
      <c r="B349" s="22"/>
      <c r="C349" s="3">
        <v>41465</v>
      </c>
      <c r="D349" s="1">
        <v>24.1</v>
      </c>
      <c r="E349" s="1">
        <v>19.899999999999999</v>
      </c>
      <c r="F349" s="1">
        <v>29.2</v>
      </c>
      <c r="G349" s="1">
        <f t="shared" si="49"/>
        <v>2648.4999999999995</v>
      </c>
      <c r="H349" s="1">
        <f t="shared" si="46"/>
        <v>282.00000000000006</v>
      </c>
      <c r="J349" s="1">
        <v>0</v>
      </c>
      <c r="K349" s="1">
        <f t="shared" si="50"/>
        <v>904.09999999999991</v>
      </c>
      <c r="L349" s="1">
        <v>6.7</v>
      </c>
      <c r="M349" s="1">
        <f t="shared" si="51"/>
        <v>443.90000000000026</v>
      </c>
      <c r="N349" s="1">
        <v>-6.7</v>
      </c>
      <c r="O349" s="1">
        <f t="shared" si="56"/>
        <v>83.4</v>
      </c>
      <c r="P349" s="1">
        <v>302</v>
      </c>
      <c r="Q349" s="20">
        <f t="shared" si="55"/>
        <v>0.70862068965517233</v>
      </c>
      <c r="R349" s="9">
        <f t="shared" si="47"/>
        <v>4.7477586206896545</v>
      </c>
      <c r="S349" s="9">
        <f t="shared" si="48"/>
        <v>-4.7477586206896545</v>
      </c>
      <c r="T349" s="9">
        <f t="shared" si="52"/>
        <v>94.06258620689654</v>
      </c>
      <c r="V349" s="1">
        <v>2666.1</v>
      </c>
      <c r="X349" s="1">
        <f t="shared" si="53"/>
        <v>251018.99999999997</v>
      </c>
      <c r="Y349" s="14">
        <f t="shared" si="45"/>
        <v>31488.499999999993</v>
      </c>
      <c r="AA349" s="1">
        <v>15.717102135739101</v>
      </c>
    </row>
    <row r="350" spans="1:27" s="1" customFormat="1" x14ac:dyDescent="0.25">
      <c r="A350" s="43"/>
      <c r="B350" s="22"/>
      <c r="C350" s="3">
        <v>41466</v>
      </c>
      <c r="D350" s="1">
        <v>20.7</v>
      </c>
      <c r="E350" s="1">
        <v>15.9</v>
      </c>
      <c r="F350" s="1">
        <v>24.7</v>
      </c>
      <c r="G350" s="1">
        <f t="shared" si="49"/>
        <v>2669.1999999999994</v>
      </c>
      <c r="H350" s="1">
        <f t="shared" si="46"/>
        <v>302.70000000000005</v>
      </c>
      <c r="J350" s="1">
        <v>0</v>
      </c>
      <c r="K350" s="1">
        <f t="shared" si="50"/>
        <v>904.09999999999991</v>
      </c>
      <c r="L350" s="1">
        <v>6.3</v>
      </c>
      <c r="M350" s="1">
        <f t="shared" si="51"/>
        <v>450.20000000000027</v>
      </c>
      <c r="N350" s="1">
        <v>-6.3</v>
      </c>
      <c r="O350" s="1">
        <f t="shared" si="56"/>
        <v>77.100000000000009</v>
      </c>
      <c r="P350" s="1">
        <v>303</v>
      </c>
      <c r="Q350" s="20">
        <f t="shared" si="55"/>
        <v>0.69482758620689644</v>
      </c>
      <c r="R350" s="9">
        <f t="shared" si="47"/>
        <v>4.3774137931034476</v>
      </c>
      <c r="S350" s="9">
        <f t="shared" si="48"/>
        <v>-4.3774137931034476</v>
      </c>
      <c r="T350" s="9">
        <f t="shared" si="52"/>
        <v>89.685172413793097</v>
      </c>
      <c r="V350" s="1">
        <v>3266.1</v>
      </c>
      <c r="X350" s="1">
        <f t="shared" si="53"/>
        <v>254285.09999999998</v>
      </c>
      <c r="Y350" s="14">
        <f t="shared" si="45"/>
        <v>34754.599999999991</v>
      </c>
      <c r="AA350" s="1">
        <v>15.693288161766899</v>
      </c>
    </row>
    <row r="351" spans="1:27" s="1" customFormat="1" x14ac:dyDescent="0.25">
      <c r="A351" s="43"/>
      <c r="B351" s="22"/>
      <c r="C351" s="3">
        <v>41467</v>
      </c>
      <c r="D351" s="1">
        <v>20.6</v>
      </c>
      <c r="E351" s="1">
        <v>15.5</v>
      </c>
      <c r="F351" s="1">
        <v>25.7</v>
      </c>
      <c r="G351" s="1">
        <f t="shared" si="49"/>
        <v>2689.7999999999993</v>
      </c>
      <c r="H351" s="1">
        <f t="shared" si="46"/>
        <v>323.30000000000007</v>
      </c>
      <c r="J351" s="1">
        <v>0</v>
      </c>
      <c r="K351" s="1">
        <f t="shared" si="50"/>
        <v>904.09999999999991</v>
      </c>
      <c r="L351" s="1">
        <v>6.9</v>
      </c>
      <c r="M351" s="1">
        <f t="shared" si="51"/>
        <v>457.10000000000025</v>
      </c>
      <c r="N351" s="1">
        <v>-6.9</v>
      </c>
      <c r="O351" s="1">
        <f t="shared" si="56"/>
        <v>70.2</v>
      </c>
      <c r="P351" s="1">
        <v>304</v>
      </c>
      <c r="Q351" s="20">
        <f t="shared" si="55"/>
        <v>0.68103448275862066</v>
      </c>
      <c r="R351" s="9">
        <f t="shared" si="47"/>
        <v>4.6991379310344827</v>
      </c>
      <c r="S351" s="9">
        <f t="shared" si="48"/>
        <v>-4.6991379310344827</v>
      </c>
      <c r="T351" s="9">
        <f t="shared" si="52"/>
        <v>84.986034482758612</v>
      </c>
      <c r="V351" s="1">
        <v>3259.3</v>
      </c>
      <c r="X351" s="1">
        <f t="shared" si="53"/>
        <v>257544.39999999997</v>
      </c>
      <c r="Y351" s="14">
        <f t="shared" si="45"/>
        <v>38013.899999999994</v>
      </c>
      <c r="AA351" s="1">
        <v>15.66834084826</v>
      </c>
    </row>
    <row r="352" spans="1:27" s="1" customFormat="1" x14ac:dyDescent="0.25">
      <c r="A352" s="43"/>
      <c r="B352" s="22"/>
      <c r="C352" s="3">
        <v>41468</v>
      </c>
      <c r="D352" s="1">
        <v>21.5</v>
      </c>
      <c r="E352" s="1">
        <v>16.7</v>
      </c>
      <c r="F352" s="1">
        <v>27.4</v>
      </c>
      <c r="G352" s="1">
        <f t="shared" si="49"/>
        <v>2711.2999999999993</v>
      </c>
      <c r="H352" s="1">
        <f t="shared" si="46"/>
        <v>344.80000000000007</v>
      </c>
      <c r="J352" s="1">
        <v>0</v>
      </c>
      <c r="K352" s="1">
        <f t="shared" si="50"/>
        <v>904.09999999999991</v>
      </c>
      <c r="L352" s="1">
        <v>7.2</v>
      </c>
      <c r="M352" s="1">
        <f t="shared" si="51"/>
        <v>464.30000000000024</v>
      </c>
      <c r="N352" s="1">
        <v>-7.2</v>
      </c>
      <c r="O352" s="1">
        <f t="shared" si="56"/>
        <v>63</v>
      </c>
      <c r="P352" s="1">
        <v>305</v>
      </c>
      <c r="Q352" s="20">
        <f t="shared" si="55"/>
        <v>0.66724137931034477</v>
      </c>
      <c r="R352" s="9">
        <f t="shared" si="47"/>
        <v>4.8041379310344823</v>
      </c>
      <c r="S352" s="9">
        <f t="shared" si="48"/>
        <v>-4.8041379310344823</v>
      </c>
      <c r="T352" s="9">
        <f t="shared" si="52"/>
        <v>80.181896551724122</v>
      </c>
      <c r="V352" s="1">
        <v>3253</v>
      </c>
      <c r="X352" s="1">
        <f t="shared" si="53"/>
        <v>260797.39999999997</v>
      </c>
      <c r="Y352" s="14">
        <f t="shared" si="45"/>
        <v>41266.899999999994</v>
      </c>
      <c r="AA352" s="1">
        <v>15.642281872212299</v>
      </c>
    </row>
    <row r="353" spans="1:27" s="1" customFormat="1" x14ac:dyDescent="0.25">
      <c r="A353" s="43"/>
      <c r="B353" s="22"/>
      <c r="C353" s="3">
        <v>41469</v>
      </c>
      <c r="D353" s="1">
        <v>22.1</v>
      </c>
      <c r="E353" s="1">
        <v>16.5</v>
      </c>
      <c r="F353" s="1">
        <v>27.1</v>
      </c>
      <c r="G353" s="1">
        <f t="shared" si="49"/>
        <v>2733.3999999999992</v>
      </c>
      <c r="H353" s="1">
        <f t="shared" si="46"/>
        <v>366.90000000000009</v>
      </c>
      <c r="J353" s="1">
        <v>0</v>
      </c>
      <c r="K353" s="1">
        <f t="shared" si="50"/>
        <v>904.09999999999991</v>
      </c>
      <c r="L353" s="1">
        <v>6.6</v>
      </c>
      <c r="M353" s="1">
        <f t="shared" si="51"/>
        <v>470.90000000000026</v>
      </c>
      <c r="N353" s="1">
        <v>-6.6</v>
      </c>
      <c r="O353" s="1">
        <f t="shared" si="56"/>
        <v>56.4</v>
      </c>
      <c r="P353" s="1">
        <v>306</v>
      </c>
      <c r="Q353" s="20">
        <f t="shared" si="55"/>
        <v>0.65344827586206888</v>
      </c>
      <c r="R353" s="9">
        <f t="shared" si="47"/>
        <v>4.312758620689654</v>
      </c>
      <c r="S353" s="9">
        <f t="shared" si="48"/>
        <v>-4.312758620689654</v>
      </c>
      <c r="T353" s="9">
        <f t="shared" si="52"/>
        <v>75.869137931034473</v>
      </c>
      <c r="V353" s="1">
        <v>2948.6</v>
      </c>
      <c r="X353" s="1">
        <f t="shared" si="53"/>
        <v>263745.99999999994</v>
      </c>
      <c r="Y353" s="14">
        <f t="shared" si="45"/>
        <v>44215.499999999993</v>
      </c>
      <c r="AA353" s="1">
        <v>15.6151334560947</v>
      </c>
    </row>
    <row r="354" spans="1:27" s="1" customFormat="1" x14ac:dyDescent="0.25">
      <c r="A354" s="43"/>
      <c r="B354" s="22"/>
      <c r="C354" s="3">
        <v>41470</v>
      </c>
      <c r="D354" s="1">
        <v>22.6</v>
      </c>
      <c r="E354" s="1">
        <v>17.399999999999999</v>
      </c>
      <c r="F354" s="1">
        <v>27.6</v>
      </c>
      <c r="G354" s="1">
        <f t="shared" si="49"/>
        <v>2755.9999999999991</v>
      </c>
      <c r="H354" s="1">
        <f t="shared" si="46"/>
        <v>389.50000000000011</v>
      </c>
      <c r="J354" s="1">
        <v>0</v>
      </c>
      <c r="K354" s="1">
        <f t="shared" si="50"/>
        <v>904.09999999999991</v>
      </c>
      <c r="L354" s="1">
        <v>6</v>
      </c>
      <c r="M354" s="1">
        <f t="shared" si="51"/>
        <v>476.90000000000026</v>
      </c>
      <c r="N354" s="1">
        <v>-6</v>
      </c>
      <c r="O354" s="1">
        <f t="shared" si="56"/>
        <v>50.4</v>
      </c>
      <c r="P354" s="1">
        <v>307</v>
      </c>
      <c r="Q354" s="20">
        <f t="shared" si="55"/>
        <v>0.63965517241379299</v>
      </c>
      <c r="R354" s="9">
        <f t="shared" si="47"/>
        <v>3.8379310344827582</v>
      </c>
      <c r="S354" s="9">
        <f t="shared" si="48"/>
        <v>-3.8379310344827582</v>
      </c>
      <c r="T354" s="9">
        <f t="shared" si="52"/>
        <v>72.031206896551708</v>
      </c>
      <c r="V354" s="1">
        <v>2688.2</v>
      </c>
      <c r="X354" s="1">
        <f t="shared" si="53"/>
        <v>266434.19999999995</v>
      </c>
      <c r="Y354" s="14">
        <f t="shared" si="45"/>
        <v>46903.69999999999</v>
      </c>
      <c r="AA354" s="1">
        <v>15.586918305632601</v>
      </c>
    </row>
    <row r="355" spans="1:27" s="28" customFormat="1" ht="15.75" thickBot="1" x14ac:dyDescent="0.3">
      <c r="A355" s="43"/>
      <c r="B355" s="36">
        <v>1000</v>
      </c>
      <c r="C355" s="27">
        <v>41471</v>
      </c>
      <c r="D355" s="28">
        <v>23.6</v>
      </c>
      <c r="E355" s="28">
        <v>17.5</v>
      </c>
      <c r="F355" s="28">
        <v>28.7</v>
      </c>
      <c r="G355" s="28">
        <f t="shared" si="49"/>
        <v>2779.599999999999</v>
      </c>
      <c r="H355" s="31">
        <f t="shared" si="46"/>
        <v>413.10000000000014</v>
      </c>
      <c r="J355" s="28">
        <v>0</v>
      </c>
      <c r="K355" s="28">
        <f t="shared" si="50"/>
        <v>904.09999999999991</v>
      </c>
      <c r="L355" s="28">
        <v>6.1</v>
      </c>
      <c r="M355" s="28">
        <f t="shared" si="51"/>
        <v>483.00000000000028</v>
      </c>
      <c r="N355" s="28">
        <v>-6.1</v>
      </c>
      <c r="O355" s="28">
        <f t="shared" si="56"/>
        <v>44.3</v>
      </c>
      <c r="P355" s="28">
        <v>308</v>
      </c>
      <c r="Q355" s="35">
        <f t="shared" si="55"/>
        <v>0.62586206896551722</v>
      </c>
      <c r="R355" s="29">
        <f t="shared" si="47"/>
        <v>3.8177586206896548</v>
      </c>
      <c r="S355" s="29">
        <f t="shared" si="48"/>
        <v>-3.8177586206896548</v>
      </c>
      <c r="T355" s="29">
        <f t="shared" si="52"/>
        <v>68.213448275862049</v>
      </c>
      <c r="V355" s="28">
        <v>2782.6</v>
      </c>
      <c r="X355" s="28">
        <f t="shared" si="53"/>
        <v>269216.79999999993</v>
      </c>
      <c r="Y355" s="28">
        <f t="shared" si="45"/>
        <v>49686.299999999988</v>
      </c>
      <c r="AA355" s="28">
        <v>15.557659548168299</v>
      </c>
    </row>
    <row r="356" spans="1:27" s="1" customFormat="1" x14ac:dyDescent="0.25">
      <c r="A356" s="23"/>
      <c r="B356" s="22"/>
      <c r="C356" s="3">
        <v>41472</v>
      </c>
      <c r="D356" s="1">
        <v>24.3</v>
      </c>
      <c r="E356" s="1">
        <v>18.600000000000001</v>
      </c>
      <c r="F356" s="1">
        <v>29.8</v>
      </c>
      <c r="G356" s="1">
        <f t="shared" si="49"/>
        <v>2803.8999999999992</v>
      </c>
      <c r="H356" s="1">
        <f t="shared" si="46"/>
        <v>437.40000000000015</v>
      </c>
      <c r="J356" s="1">
        <v>0.5</v>
      </c>
      <c r="K356" s="1">
        <f t="shared" si="50"/>
        <v>904.59999999999991</v>
      </c>
      <c r="L356" s="1">
        <v>3.8</v>
      </c>
      <c r="M356" s="1">
        <f t="shared" si="51"/>
        <v>486.8000000000003</v>
      </c>
      <c r="N356" s="1">
        <v>-3.3</v>
      </c>
      <c r="O356" s="1">
        <f t="shared" si="56"/>
        <v>41</v>
      </c>
      <c r="P356" s="1">
        <v>309</v>
      </c>
      <c r="Q356" s="20">
        <f t="shared" si="55"/>
        <v>0.61206896551724133</v>
      </c>
      <c r="R356" s="9">
        <f t="shared" si="47"/>
        <v>2.3258620689655167</v>
      </c>
      <c r="S356" s="9">
        <f t="shared" si="48"/>
        <v>-1.8258620689655167</v>
      </c>
      <c r="T356" s="9">
        <f t="shared" si="52"/>
        <v>66.387586206896529</v>
      </c>
      <c r="V356" s="1">
        <v>1386.6</v>
      </c>
      <c r="X356" s="1">
        <f t="shared" si="53"/>
        <v>270603.39999999991</v>
      </c>
      <c r="Y356" s="14">
        <f t="shared" si="45"/>
        <v>51072.899999999987</v>
      </c>
      <c r="AA356" s="1">
        <v>15.5273806718955</v>
      </c>
    </row>
    <row r="357" spans="1:27" s="1" customFormat="1" x14ac:dyDescent="0.25">
      <c r="A357" s="23"/>
      <c r="B357" s="22"/>
      <c r="C357" s="3">
        <v>41473</v>
      </c>
      <c r="D357" s="1">
        <v>23.4</v>
      </c>
      <c r="E357" s="1">
        <v>20.6</v>
      </c>
      <c r="F357" s="1">
        <v>29.3</v>
      </c>
      <c r="G357" s="1">
        <f t="shared" si="49"/>
        <v>2827.2999999999993</v>
      </c>
      <c r="H357" s="1">
        <f t="shared" si="46"/>
        <v>460.80000000000013</v>
      </c>
      <c r="J357" s="1">
        <v>8.3000000000000007</v>
      </c>
      <c r="K357" s="1">
        <f t="shared" si="50"/>
        <v>912.89999999999986</v>
      </c>
      <c r="L357" s="1">
        <v>3.1</v>
      </c>
      <c r="M357" s="1">
        <f t="shared" si="51"/>
        <v>489.90000000000032</v>
      </c>
      <c r="N357" s="1">
        <v>5.2000000000000011</v>
      </c>
      <c r="O357" s="1">
        <f t="shared" si="56"/>
        <v>46.2</v>
      </c>
      <c r="P357" s="1">
        <v>310</v>
      </c>
      <c r="Q357" s="20">
        <f t="shared" si="55"/>
        <v>0.59827586206896544</v>
      </c>
      <c r="R357" s="9">
        <f t="shared" si="47"/>
        <v>1.854655172413793</v>
      </c>
      <c r="S357" s="9">
        <f t="shared" si="48"/>
        <v>6.445344827586208</v>
      </c>
      <c r="T357" s="9">
        <f t="shared" si="52"/>
        <v>72.832931034482741</v>
      </c>
      <c r="V357" s="1">
        <v>1259.8</v>
      </c>
      <c r="X357" s="1">
        <f t="shared" si="53"/>
        <v>271863.1999999999</v>
      </c>
      <c r="Y357" s="14">
        <f t="shared" si="45"/>
        <v>52332.69999999999</v>
      </c>
      <c r="AA357" s="1">
        <v>15.496105466229601</v>
      </c>
    </row>
    <row r="358" spans="1:27" s="1" customFormat="1" x14ac:dyDescent="0.25">
      <c r="A358" s="23"/>
      <c r="B358" s="22"/>
      <c r="C358" s="3">
        <v>41474</v>
      </c>
      <c r="D358" s="1">
        <v>22.4</v>
      </c>
      <c r="E358" s="1">
        <v>18.399999999999999</v>
      </c>
      <c r="F358" s="1">
        <v>28.2</v>
      </c>
      <c r="G358" s="1">
        <f t="shared" si="49"/>
        <v>2849.6999999999994</v>
      </c>
      <c r="H358" s="1">
        <f t="shared" si="46"/>
        <v>483.2000000000001</v>
      </c>
      <c r="J358" s="1">
        <v>0.6</v>
      </c>
      <c r="K358" s="1">
        <f t="shared" si="50"/>
        <v>913.49999999999989</v>
      </c>
      <c r="L358" s="1">
        <v>3.2</v>
      </c>
      <c r="M358" s="1">
        <f t="shared" si="51"/>
        <v>493.10000000000031</v>
      </c>
      <c r="N358" s="1">
        <v>-2.6</v>
      </c>
      <c r="O358" s="1">
        <f t="shared" si="56"/>
        <v>43.6</v>
      </c>
      <c r="P358" s="1">
        <v>311</v>
      </c>
      <c r="Q358" s="20">
        <f t="shared" si="55"/>
        <v>0.58448275862068966</v>
      </c>
      <c r="R358" s="9">
        <f t="shared" si="47"/>
        <v>1.8703448275862069</v>
      </c>
      <c r="S358" s="9">
        <f t="shared" si="48"/>
        <v>-1.2703448275862068</v>
      </c>
      <c r="T358" s="9">
        <f t="shared" si="52"/>
        <v>71.56258620689654</v>
      </c>
      <c r="V358" s="1">
        <v>1398.8</v>
      </c>
      <c r="X358" s="1">
        <f t="shared" si="53"/>
        <v>273261.99999999988</v>
      </c>
      <c r="Y358" s="14">
        <f t="shared" si="45"/>
        <v>53731.499999999993</v>
      </c>
      <c r="AA358" s="1">
        <v>15.463857963557301</v>
      </c>
    </row>
    <row r="359" spans="1:27" s="1" customFormat="1" x14ac:dyDescent="0.25">
      <c r="A359" s="23"/>
      <c r="B359" s="22"/>
      <c r="C359" s="3">
        <v>41475</v>
      </c>
      <c r="D359" s="1">
        <v>24.4</v>
      </c>
      <c r="E359" s="1">
        <v>20.3</v>
      </c>
      <c r="F359" s="1">
        <v>28.8</v>
      </c>
      <c r="G359" s="1">
        <f t="shared" si="49"/>
        <v>2874.0999999999995</v>
      </c>
      <c r="H359" s="1">
        <f t="shared" si="46"/>
        <v>507.60000000000008</v>
      </c>
      <c r="J359" s="1">
        <v>0</v>
      </c>
      <c r="K359" s="1">
        <f t="shared" si="50"/>
        <v>913.49999999999989</v>
      </c>
      <c r="L359" s="1">
        <v>6.2</v>
      </c>
      <c r="M359" s="1">
        <f t="shared" si="51"/>
        <v>499.3000000000003</v>
      </c>
      <c r="N359" s="1">
        <v>-6.2</v>
      </c>
      <c r="O359" s="1">
        <f t="shared" si="56"/>
        <v>37.4</v>
      </c>
      <c r="P359" s="1">
        <v>312</v>
      </c>
      <c r="Q359" s="20">
        <f t="shared" si="55"/>
        <v>0.57068965517241377</v>
      </c>
      <c r="R359" s="9">
        <f t="shared" si="47"/>
        <v>3.5382758620689656</v>
      </c>
      <c r="S359" s="9">
        <f t="shared" si="48"/>
        <v>-3.5382758620689656</v>
      </c>
      <c r="T359" s="9">
        <f t="shared" si="52"/>
        <v>68.024310344827569</v>
      </c>
      <c r="V359" s="1">
        <v>2875.4</v>
      </c>
      <c r="X359" s="1">
        <f t="shared" si="53"/>
        <v>276137.39999999991</v>
      </c>
      <c r="Y359" s="14">
        <f t="shared" ref="Y359:Y375" si="57">Y358+V359</f>
        <v>56606.899999999994</v>
      </c>
      <c r="AA359" s="1">
        <v>15.4306623825854</v>
      </c>
    </row>
    <row r="360" spans="1:27" s="1" customFormat="1" x14ac:dyDescent="0.25">
      <c r="A360" s="23"/>
      <c r="B360" s="22"/>
      <c r="C360" s="3">
        <v>41476</v>
      </c>
      <c r="D360" s="1">
        <v>25.9</v>
      </c>
      <c r="E360" s="1">
        <v>20.5</v>
      </c>
      <c r="F360" s="1">
        <v>31.5</v>
      </c>
      <c r="G360" s="1">
        <f t="shared" si="49"/>
        <v>2899.9999999999995</v>
      </c>
      <c r="H360" s="1">
        <f t="shared" si="46"/>
        <v>533.50000000000011</v>
      </c>
      <c r="J360" s="1">
        <v>0</v>
      </c>
      <c r="K360" s="1">
        <f t="shared" si="50"/>
        <v>913.49999999999989</v>
      </c>
      <c r="L360" s="1">
        <v>6.7</v>
      </c>
      <c r="M360" s="1">
        <f t="shared" si="51"/>
        <v>506.00000000000028</v>
      </c>
      <c r="N360" s="1">
        <v>-6.7</v>
      </c>
      <c r="O360" s="1">
        <f t="shared" si="56"/>
        <v>30.7</v>
      </c>
      <c r="P360" s="1">
        <v>313</v>
      </c>
      <c r="Q360" s="20">
        <f t="shared" si="55"/>
        <v>0.55689655172413788</v>
      </c>
      <c r="R360" s="9">
        <f t="shared" si="47"/>
        <v>3.7312068965517238</v>
      </c>
      <c r="S360" s="9">
        <f t="shared" si="48"/>
        <v>-3.7312068965517238</v>
      </c>
      <c r="T360" s="9">
        <f t="shared" si="52"/>
        <v>64.293103448275843</v>
      </c>
      <c r="V360" s="1">
        <v>3030.3</v>
      </c>
      <c r="X360" s="1">
        <f t="shared" si="53"/>
        <v>279167.6999999999</v>
      </c>
      <c r="Y360" s="14">
        <f t="shared" si="57"/>
        <v>59637.2</v>
      </c>
      <c r="AA360" s="1">
        <v>15.3965430734845</v>
      </c>
    </row>
    <row r="361" spans="1:27" s="1" customFormat="1" x14ac:dyDescent="0.25">
      <c r="A361" s="23"/>
      <c r="B361" s="22"/>
      <c r="C361" s="3">
        <v>41477</v>
      </c>
      <c r="D361" s="1">
        <v>26</v>
      </c>
      <c r="E361" s="1">
        <v>20.100000000000001</v>
      </c>
      <c r="F361" s="1">
        <v>32.4</v>
      </c>
      <c r="G361" s="1">
        <f t="shared" si="49"/>
        <v>2925.9999999999995</v>
      </c>
      <c r="H361" s="1">
        <f t="shared" ref="H361:H375" si="58">H360+D361</f>
        <v>559.50000000000011</v>
      </c>
      <c r="J361" s="1">
        <v>0</v>
      </c>
      <c r="K361" s="1">
        <f t="shared" si="50"/>
        <v>913.49999999999989</v>
      </c>
      <c r="L361" s="1">
        <v>5.9</v>
      </c>
      <c r="M361" s="1">
        <f t="shared" si="51"/>
        <v>511.90000000000026</v>
      </c>
      <c r="N361" s="1">
        <v>-5.9</v>
      </c>
      <c r="O361" s="1">
        <f t="shared" si="56"/>
        <v>24.799999999999997</v>
      </c>
      <c r="P361" s="1">
        <v>314</v>
      </c>
      <c r="Q361" s="20">
        <f t="shared" si="55"/>
        <v>0.5431034482758621</v>
      </c>
      <c r="R361" s="9">
        <f t="shared" si="47"/>
        <v>3.2043103448275865</v>
      </c>
      <c r="S361" s="9">
        <f t="shared" si="48"/>
        <v>-3.2043103448275865</v>
      </c>
      <c r="T361" s="9">
        <f t="shared" si="52"/>
        <v>61.088793103448253</v>
      </c>
      <c r="V361" s="1">
        <v>2543.1</v>
      </c>
      <c r="X361" s="1">
        <f t="shared" si="53"/>
        <v>281710.79999999987</v>
      </c>
      <c r="Y361" s="14">
        <f t="shared" si="57"/>
        <v>62180.299999999996</v>
      </c>
      <c r="AA361" s="1">
        <v>15.3615244650017</v>
      </c>
    </row>
    <row r="362" spans="1:27" s="1" customFormat="1" x14ac:dyDescent="0.25">
      <c r="A362" s="23"/>
      <c r="B362" s="22"/>
      <c r="C362" s="3">
        <v>41478</v>
      </c>
      <c r="D362" s="1">
        <v>24.2</v>
      </c>
      <c r="E362" s="1">
        <v>20.5</v>
      </c>
      <c r="F362" s="1">
        <v>30.6</v>
      </c>
      <c r="G362" s="1">
        <f t="shared" si="49"/>
        <v>2950.1999999999994</v>
      </c>
      <c r="H362" s="1">
        <f t="shared" si="58"/>
        <v>583.70000000000016</v>
      </c>
      <c r="J362" s="1">
        <v>1.4</v>
      </c>
      <c r="K362" s="1">
        <f t="shared" si="50"/>
        <v>914.89999999999986</v>
      </c>
      <c r="L362" s="1">
        <v>4.3</v>
      </c>
      <c r="M362" s="1">
        <f t="shared" si="51"/>
        <v>516.20000000000027</v>
      </c>
      <c r="N362" s="1">
        <v>-2.9</v>
      </c>
      <c r="O362" s="1">
        <f t="shared" si="56"/>
        <v>21.9</v>
      </c>
      <c r="P362" s="1">
        <v>315</v>
      </c>
      <c r="Q362" s="20">
        <f t="shared" si="55"/>
        <v>0.52931034482758621</v>
      </c>
      <c r="R362" s="9">
        <f t="shared" si="47"/>
        <v>2.2760344827586207</v>
      </c>
      <c r="S362" s="9">
        <f t="shared" si="48"/>
        <v>-0.87603448275862084</v>
      </c>
      <c r="T362" s="9">
        <f t="shared" si="52"/>
        <v>60.212758620689634</v>
      </c>
      <c r="V362" s="1">
        <v>2008.7</v>
      </c>
      <c r="X362" s="1">
        <f t="shared" si="53"/>
        <v>283719.49999999988</v>
      </c>
      <c r="Y362" s="14">
        <f t="shared" si="57"/>
        <v>64188.999999999993</v>
      </c>
      <c r="AA362" s="1">
        <v>15.325631013691099</v>
      </c>
    </row>
    <row r="363" spans="1:27" s="1" customFormat="1" x14ac:dyDescent="0.25">
      <c r="A363" s="23"/>
      <c r="B363" s="22"/>
      <c r="C363" s="3">
        <v>41479</v>
      </c>
      <c r="D363" s="1">
        <v>24.1</v>
      </c>
      <c r="E363" s="1">
        <v>17.8</v>
      </c>
      <c r="F363" s="1">
        <v>28.8</v>
      </c>
      <c r="G363" s="1">
        <f t="shared" si="49"/>
        <v>2974.2999999999993</v>
      </c>
      <c r="H363" s="1">
        <f t="shared" si="58"/>
        <v>607.80000000000018</v>
      </c>
      <c r="J363" s="1">
        <v>0</v>
      </c>
      <c r="K363" s="1">
        <f t="shared" si="50"/>
        <v>914.89999999999986</v>
      </c>
      <c r="L363" s="1">
        <v>4.4000000000000004</v>
      </c>
      <c r="M363" s="1">
        <f t="shared" si="51"/>
        <v>520.60000000000025</v>
      </c>
      <c r="N363" s="1">
        <v>-4.4000000000000004</v>
      </c>
      <c r="O363" s="1">
        <f t="shared" si="56"/>
        <v>17.5</v>
      </c>
      <c r="P363" s="1">
        <v>316</v>
      </c>
      <c r="Q363" s="20">
        <f t="shared" si="55"/>
        <v>0.51551724137931032</v>
      </c>
      <c r="R363" s="9">
        <f t="shared" si="47"/>
        <v>2.2682758620689656</v>
      </c>
      <c r="S363" s="9">
        <f t="shared" si="48"/>
        <v>-2.2682758620689656</v>
      </c>
      <c r="T363" s="9">
        <f t="shared" si="52"/>
        <v>57.944482758620666</v>
      </c>
      <c r="V363" s="1">
        <v>1862.5</v>
      </c>
      <c r="X363" s="1">
        <f t="shared" si="53"/>
        <v>285581.99999999988</v>
      </c>
      <c r="Y363" s="14">
        <f t="shared" si="57"/>
        <v>66051.5</v>
      </c>
      <c r="AA363" s="1">
        <v>15.288887155388901</v>
      </c>
    </row>
    <row r="364" spans="1:27" s="1" customFormat="1" x14ac:dyDescent="0.25">
      <c r="A364" s="23"/>
      <c r="B364" s="22"/>
      <c r="C364" s="3">
        <v>41480</v>
      </c>
      <c r="D364" s="1">
        <v>25.7</v>
      </c>
      <c r="E364" s="1">
        <v>21.3</v>
      </c>
      <c r="F364" s="1">
        <v>30.1</v>
      </c>
      <c r="G364" s="1">
        <f t="shared" si="49"/>
        <v>2999.9999999999991</v>
      </c>
      <c r="H364" s="1">
        <f t="shared" si="58"/>
        <v>633.50000000000023</v>
      </c>
      <c r="J364" s="1">
        <v>0</v>
      </c>
      <c r="K364" s="1">
        <f t="shared" si="50"/>
        <v>914.89999999999986</v>
      </c>
      <c r="L364" s="1">
        <v>5</v>
      </c>
      <c r="M364" s="1">
        <f t="shared" si="51"/>
        <v>525.60000000000025</v>
      </c>
      <c r="N364" s="1">
        <v>-5</v>
      </c>
      <c r="O364" s="1">
        <f t="shared" si="56"/>
        <v>12.5</v>
      </c>
      <c r="P364" s="1">
        <v>317</v>
      </c>
      <c r="Q364" s="20">
        <f t="shared" si="55"/>
        <v>0.50172413793103443</v>
      </c>
      <c r="R364" s="9">
        <f t="shared" si="47"/>
        <v>2.5086206896551722</v>
      </c>
      <c r="S364" s="9">
        <f t="shared" si="48"/>
        <v>-2.5086206896551722</v>
      </c>
      <c r="T364" s="9">
        <f t="shared" si="52"/>
        <v>55.435862068965491</v>
      </c>
      <c r="V364" s="1">
        <v>2203.9</v>
      </c>
      <c r="X364" s="1">
        <f t="shared" si="53"/>
        <v>287785.89999999991</v>
      </c>
      <c r="Y364" s="14">
        <f t="shared" si="57"/>
        <v>68255.399999999994</v>
      </c>
      <c r="AA364" s="1">
        <v>15.2513172590373</v>
      </c>
    </row>
    <row r="365" spans="1:27" s="1" customFormat="1" x14ac:dyDescent="0.25">
      <c r="A365" s="23"/>
      <c r="B365" s="22"/>
      <c r="C365" s="3">
        <v>41481</v>
      </c>
      <c r="D365" s="1">
        <v>26.1</v>
      </c>
      <c r="E365" s="1">
        <v>20.2</v>
      </c>
      <c r="F365" s="1">
        <v>31.7</v>
      </c>
      <c r="G365" s="1">
        <f t="shared" si="49"/>
        <v>3026.099999999999</v>
      </c>
      <c r="H365" s="1">
        <f t="shared" si="58"/>
        <v>659.60000000000025</v>
      </c>
      <c r="J365" s="1">
        <v>0.1</v>
      </c>
      <c r="K365" s="1">
        <f t="shared" si="50"/>
        <v>914.99999999999989</v>
      </c>
      <c r="L365" s="1">
        <v>2.5</v>
      </c>
      <c r="M365" s="1">
        <f t="shared" si="51"/>
        <v>528.10000000000025</v>
      </c>
      <c r="N365" s="1">
        <v>-2.4</v>
      </c>
      <c r="O365" s="1">
        <f t="shared" si="56"/>
        <v>10.1</v>
      </c>
      <c r="P365" s="1">
        <v>318</v>
      </c>
      <c r="Q365" s="20">
        <f t="shared" si="55"/>
        <v>0.48793103448275854</v>
      </c>
      <c r="R365" s="9">
        <f t="shared" si="47"/>
        <v>1.2198275862068964</v>
      </c>
      <c r="S365" s="9">
        <f t="shared" si="48"/>
        <v>-1.1198275862068963</v>
      </c>
      <c r="T365" s="9">
        <f t="shared" si="52"/>
        <v>54.316034482758596</v>
      </c>
      <c r="V365" s="1">
        <v>949</v>
      </c>
      <c r="X365" s="1">
        <f t="shared" si="53"/>
        <v>288734.89999999991</v>
      </c>
      <c r="Y365" s="14">
        <f t="shared" si="57"/>
        <v>69204.399999999994</v>
      </c>
      <c r="AA365" s="1">
        <v>15.212945582940399</v>
      </c>
    </row>
    <row r="366" spans="1:27" s="1" customFormat="1" x14ac:dyDescent="0.25">
      <c r="A366" s="23"/>
      <c r="B366" s="22"/>
      <c r="C366" s="3">
        <v>41482</v>
      </c>
      <c r="D366" s="1">
        <v>27.7</v>
      </c>
      <c r="E366" s="1">
        <v>21.7</v>
      </c>
      <c r="F366" s="1">
        <v>34.700000000000003</v>
      </c>
      <c r="G366" s="1">
        <f t="shared" si="49"/>
        <v>3053.7999999999988</v>
      </c>
      <c r="H366" s="1">
        <f t="shared" si="58"/>
        <v>687.3000000000003</v>
      </c>
      <c r="J366" s="1">
        <v>0.6</v>
      </c>
      <c r="K366" s="1">
        <f t="shared" si="50"/>
        <v>915.59999999999991</v>
      </c>
      <c r="L366" s="1">
        <v>8</v>
      </c>
      <c r="M366" s="1">
        <f t="shared" si="51"/>
        <v>536.10000000000025</v>
      </c>
      <c r="N366" s="1">
        <v>-7.4</v>
      </c>
      <c r="O366" s="1">
        <f t="shared" si="56"/>
        <v>2.6999999999999993</v>
      </c>
      <c r="P366" s="1">
        <v>319</v>
      </c>
      <c r="Q366" s="20">
        <f t="shared" si="55"/>
        <v>0.47413793103448276</v>
      </c>
      <c r="R366" s="9">
        <f t="shared" si="47"/>
        <v>3.7931034482758621</v>
      </c>
      <c r="S366" s="9">
        <f t="shared" si="48"/>
        <v>-3.193103448275862</v>
      </c>
      <c r="T366" s="9">
        <f t="shared" si="52"/>
        <v>51.122931034482733</v>
      </c>
      <c r="V366" s="1">
        <v>2332.1</v>
      </c>
      <c r="X366" s="1">
        <f t="shared" si="53"/>
        <v>291066.99999999988</v>
      </c>
      <c r="Y366" s="14">
        <f t="shared" si="57"/>
        <v>71536.5</v>
      </c>
      <c r="AA366" s="1">
        <v>15.173796233513601</v>
      </c>
    </row>
    <row r="367" spans="1:27" s="1" customFormat="1" x14ac:dyDescent="0.25">
      <c r="A367" s="23"/>
      <c r="B367" s="22"/>
      <c r="C367" s="3">
        <v>41483</v>
      </c>
      <c r="D367" s="1">
        <v>19.600000000000001</v>
      </c>
      <c r="E367" s="1">
        <v>18.5</v>
      </c>
      <c r="F367" s="1">
        <v>20.100000000000001</v>
      </c>
      <c r="G367" s="1">
        <f t="shared" si="49"/>
        <v>3073.3999999999987</v>
      </c>
      <c r="H367" s="1">
        <f t="shared" si="58"/>
        <v>706.90000000000032</v>
      </c>
      <c r="J367" s="1">
        <v>59.3</v>
      </c>
      <c r="K367" s="1">
        <f t="shared" si="50"/>
        <v>974.89999999999986</v>
      </c>
      <c r="L367" s="1">
        <v>1.4</v>
      </c>
      <c r="M367" s="1">
        <f t="shared" si="51"/>
        <v>537.50000000000023</v>
      </c>
      <c r="N367" s="1">
        <v>57.9</v>
      </c>
      <c r="O367" s="1">
        <f t="shared" si="56"/>
        <v>60.599999999999994</v>
      </c>
      <c r="P367" s="1">
        <v>320</v>
      </c>
      <c r="Q367" s="20">
        <f t="shared" si="55"/>
        <v>0.46034482758620687</v>
      </c>
      <c r="R367" s="9">
        <f t="shared" si="47"/>
        <v>0.6444827586206896</v>
      </c>
      <c r="S367" s="9">
        <f t="shared" si="48"/>
        <v>58.655517241379307</v>
      </c>
      <c r="T367" s="9">
        <f t="shared" si="52"/>
        <v>109.77844827586205</v>
      </c>
      <c r="V367" s="1">
        <v>596.70000000000005</v>
      </c>
      <c r="X367" s="1">
        <f t="shared" si="53"/>
        <v>291663.6999999999</v>
      </c>
      <c r="Y367" s="14">
        <f t="shared" si="57"/>
        <v>72133.2</v>
      </c>
      <c r="AA367" s="1">
        <v>15.133893126569101</v>
      </c>
    </row>
    <row r="368" spans="1:27" s="1" customFormat="1" x14ac:dyDescent="0.25">
      <c r="A368" s="23"/>
      <c r="B368" s="22"/>
      <c r="C368" s="3">
        <v>41484</v>
      </c>
      <c r="D368" s="1">
        <v>19.399999999999999</v>
      </c>
      <c r="E368" s="1">
        <v>17.3</v>
      </c>
      <c r="F368" s="1">
        <v>22.8</v>
      </c>
      <c r="G368" s="1">
        <f t="shared" si="49"/>
        <v>3092.7999999999988</v>
      </c>
      <c r="H368" s="1">
        <f t="shared" si="58"/>
        <v>726.3000000000003</v>
      </c>
      <c r="J368" s="1">
        <v>2.5</v>
      </c>
      <c r="K368" s="1">
        <f t="shared" si="50"/>
        <v>977.39999999999986</v>
      </c>
      <c r="L368" s="1">
        <v>3.1</v>
      </c>
      <c r="M368" s="1">
        <f t="shared" si="51"/>
        <v>540.60000000000025</v>
      </c>
      <c r="N368" s="1">
        <v>-0.60000000000000009</v>
      </c>
      <c r="O368" s="1">
        <f t="shared" si="56"/>
        <v>59.999999999999993</v>
      </c>
      <c r="P368" s="1">
        <v>321</v>
      </c>
      <c r="Q368" s="20">
        <f t="shared" si="55"/>
        <v>0.44655172413793098</v>
      </c>
      <c r="R368" s="9">
        <f t="shared" ref="R368:R375" si="59">Q368*L368</f>
        <v>1.3843103448275862</v>
      </c>
      <c r="S368" s="9">
        <f t="shared" ref="S368:S375" si="60">J368-R368</f>
        <v>1.1156896551724138</v>
      </c>
      <c r="T368" s="9">
        <f t="shared" si="52"/>
        <v>110.89413793103446</v>
      </c>
      <c r="V368" s="1">
        <v>1516.9</v>
      </c>
      <c r="X368" s="1">
        <f t="shared" si="53"/>
        <v>293180.59999999992</v>
      </c>
      <c r="Y368" s="14">
        <f t="shared" si="57"/>
        <v>73650.099999999991</v>
      </c>
      <c r="AA368" s="1">
        <v>15.093259951163301</v>
      </c>
    </row>
    <row r="369" spans="1:27" s="1" customFormat="1" x14ac:dyDescent="0.25">
      <c r="A369" s="23"/>
      <c r="B369" s="22"/>
      <c r="C369" s="3">
        <v>41485</v>
      </c>
      <c r="D369" s="1">
        <v>20.3</v>
      </c>
      <c r="E369" s="1">
        <v>16.399999999999999</v>
      </c>
      <c r="F369" s="1">
        <v>23.7</v>
      </c>
      <c r="G369" s="1">
        <f t="shared" si="49"/>
        <v>3113.099999999999</v>
      </c>
      <c r="H369" s="1">
        <f t="shared" si="58"/>
        <v>746.60000000000025</v>
      </c>
      <c r="J369" s="1">
        <v>0.2</v>
      </c>
      <c r="K369" s="1">
        <f t="shared" si="50"/>
        <v>977.59999999999991</v>
      </c>
      <c r="L369" s="1">
        <v>3.3</v>
      </c>
      <c r="M369" s="1">
        <f t="shared" si="51"/>
        <v>543.9000000000002</v>
      </c>
      <c r="N369" s="1">
        <v>-3.0999999999999996</v>
      </c>
      <c r="O369" s="1">
        <f t="shared" si="56"/>
        <v>56.899999999999991</v>
      </c>
      <c r="P369" s="1">
        <v>322</v>
      </c>
      <c r="Q369" s="20">
        <f t="shared" si="55"/>
        <v>0.43275862068965509</v>
      </c>
      <c r="R369" s="9">
        <f t="shared" si="59"/>
        <v>1.4281034482758617</v>
      </c>
      <c r="S369" s="9">
        <f t="shared" si="60"/>
        <v>-1.2281034482758617</v>
      </c>
      <c r="T369" s="9">
        <f t="shared" si="52"/>
        <v>109.6660344827586</v>
      </c>
      <c r="V369" s="1">
        <v>1533.6</v>
      </c>
      <c r="X369" s="1">
        <f t="shared" si="53"/>
        <v>294714.1999999999</v>
      </c>
      <c r="Y369" s="14">
        <f t="shared" si="57"/>
        <v>75183.7</v>
      </c>
      <c r="AA369" s="1">
        <v>15.051920136011599</v>
      </c>
    </row>
    <row r="370" spans="1:27" s="1" customFormat="1" x14ac:dyDescent="0.25">
      <c r="A370" s="23"/>
      <c r="B370" s="22"/>
      <c r="C370" s="3">
        <v>41486</v>
      </c>
      <c r="D370" s="1">
        <v>22.8</v>
      </c>
      <c r="E370" s="1">
        <v>17.7</v>
      </c>
      <c r="F370" s="1">
        <v>27.2</v>
      </c>
      <c r="G370" s="1">
        <f t="shared" ref="G370:G375" si="61">G369+D370</f>
        <v>3135.8999999999992</v>
      </c>
      <c r="H370" s="1">
        <f t="shared" si="58"/>
        <v>769.4000000000002</v>
      </c>
      <c r="J370" s="1">
        <v>0</v>
      </c>
      <c r="K370" s="1">
        <f t="shared" ref="K370:K375" si="62">K369+J370</f>
        <v>977.59999999999991</v>
      </c>
      <c r="L370" s="1">
        <v>4.4000000000000004</v>
      </c>
      <c r="M370" s="1">
        <f t="shared" ref="M370:M375" si="63">M369+L370</f>
        <v>548.30000000000018</v>
      </c>
      <c r="N370" s="1">
        <v>-4.4000000000000004</v>
      </c>
      <c r="O370" s="1">
        <f t="shared" si="56"/>
        <v>52.499999999999993</v>
      </c>
      <c r="P370" s="1">
        <v>323</v>
      </c>
      <c r="Q370" s="20">
        <f t="shared" si="55"/>
        <v>0.4189655172413792</v>
      </c>
      <c r="R370" s="9">
        <f t="shared" si="59"/>
        <v>1.8434482758620687</v>
      </c>
      <c r="S370" s="9">
        <f t="shared" si="60"/>
        <v>-1.8434482758620687</v>
      </c>
      <c r="T370" s="9">
        <f t="shared" ref="T370:T375" si="64">MIN(122.1,(T369+S370))</f>
        <v>107.82258620689653</v>
      </c>
      <c r="V370" s="1">
        <v>2224.6</v>
      </c>
      <c r="X370" s="1">
        <f t="shared" ref="X370:X375" si="65">X369+V370</f>
        <v>296938.79999999987</v>
      </c>
      <c r="Y370" s="14">
        <f t="shared" si="57"/>
        <v>77408.3</v>
      </c>
      <c r="AA370" s="1">
        <v>15.0098968184643</v>
      </c>
    </row>
    <row r="371" spans="1:27" s="1" customFormat="1" x14ac:dyDescent="0.25">
      <c r="A371" s="23"/>
      <c r="B371" s="22"/>
      <c r="C371" s="3">
        <v>41487</v>
      </c>
      <c r="D371" s="1">
        <v>25.1</v>
      </c>
      <c r="E371" s="1">
        <v>16.5</v>
      </c>
      <c r="F371" s="1">
        <v>30.8</v>
      </c>
      <c r="G371" s="1">
        <f t="shared" si="61"/>
        <v>3160.9999999999991</v>
      </c>
      <c r="H371" s="1">
        <f t="shared" si="58"/>
        <v>794.50000000000023</v>
      </c>
      <c r="J371" s="1">
        <v>0</v>
      </c>
      <c r="K371" s="1">
        <f t="shared" si="62"/>
        <v>977.59999999999991</v>
      </c>
      <c r="L371" s="1">
        <v>6.3</v>
      </c>
      <c r="M371" s="1">
        <f t="shared" si="63"/>
        <v>554.60000000000014</v>
      </c>
      <c r="N371" s="1">
        <v>-6.3</v>
      </c>
      <c r="O371" s="1">
        <f t="shared" si="56"/>
        <v>46.199999999999996</v>
      </c>
      <c r="P371" s="1">
        <v>324</v>
      </c>
      <c r="Q371" s="20">
        <f t="shared" si="55"/>
        <v>0.40517241379310343</v>
      </c>
      <c r="R371" s="9">
        <f t="shared" si="59"/>
        <v>2.5525862068965517</v>
      </c>
      <c r="S371" s="9">
        <f t="shared" si="60"/>
        <v>-2.5525862068965517</v>
      </c>
      <c r="T371" s="9">
        <f t="shared" si="64"/>
        <v>105.26999999999998</v>
      </c>
      <c r="V371" s="1">
        <v>2880.6</v>
      </c>
      <c r="X371" s="1">
        <f t="shared" si="65"/>
        <v>299819.39999999985</v>
      </c>
      <c r="Y371" s="14">
        <f t="shared" si="57"/>
        <v>80288.900000000009</v>
      </c>
      <c r="AA371" s="1">
        <v>14.967212816020499</v>
      </c>
    </row>
    <row r="372" spans="1:27" s="1" customFormat="1" x14ac:dyDescent="0.25">
      <c r="A372" s="23"/>
      <c r="B372" s="22"/>
      <c r="C372" s="3">
        <v>41488</v>
      </c>
      <c r="D372" s="1">
        <v>26</v>
      </c>
      <c r="E372" s="1">
        <v>20</v>
      </c>
      <c r="F372" s="1">
        <v>31.8</v>
      </c>
      <c r="G372" s="1">
        <f t="shared" si="61"/>
        <v>3186.9999999999991</v>
      </c>
      <c r="H372" s="1">
        <f t="shared" si="58"/>
        <v>820.50000000000023</v>
      </c>
      <c r="J372" s="1">
        <v>0</v>
      </c>
      <c r="K372" s="1">
        <f t="shared" si="62"/>
        <v>977.59999999999991</v>
      </c>
      <c r="L372" s="1">
        <v>6.7</v>
      </c>
      <c r="M372" s="1">
        <f t="shared" si="63"/>
        <v>561.30000000000018</v>
      </c>
      <c r="N372" s="1">
        <v>-6.7</v>
      </c>
      <c r="O372" s="1">
        <f t="shared" si="56"/>
        <v>39.499999999999993</v>
      </c>
      <c r="P372" s="1">
        <v>325</v>
      </c>
      <c r="Q372" s="20">
        <f t="shared" si="55"/>
        <v>0.39137931034482754</v>
      </c>
      <c r="R372" s="9">
        <f t="shared" si="59"/>
        <v>2.6222413793103447</v>
      </c>
      <c r="S372" s="9">
        <f t="shared" si="60"/>
        <v>-2.6222413793103447</v>
      </c>
      <c r="T372" s="9">
        <f t="shared" si="64"/>
        <v>102.64775862068964</v>
      </c>
      <c r="V372" s="1">
        <v>2540.9</v>
      </c>
      <c r="X372" s="1">
        <f t="shared" si="65"/>
        <v>302360.29999999987</v>
      </c>
      <c r="Y372" s="14">
        <f t="shared" si="57"/>
        <v>82829.8</v>
      </c>
      <c r="AA372" s="1">
        <v>14.9238906003454</v>
      </c>
    </row>
    <row r="373" spans="1:27" s="1" customFormat="1" x14ac:dyDescent="0.25">
      <c r="A373" s="23"/>
      <c r="B373" s="22"/>
      <c r="C373" s="3">
        <v>41489</v>
      </c>
      <c r="D373" s="1">
        <v>23.6</v>
      </c>
      <c r="E373" s="1">
        <v>21.5</v>
      </c>
      <c r="F373" s="1">
        <v>26.8</v>
      </c>
      <c r="G373" s="1">
        <f t="shared" si="61"/>
        <v>3210.599999999999</v>
      </c>
      <c r="H373" s="1">
        <f t="shared" si="58"/>
        <v>844.10000000000025</v>
      </c>
      <c r="J373" s="1">
        <v>0.4</v>
      </c>
      <c r="K373" s="1">
        <f t="shared" si="62"/>
        <v>977.99999999999989</v>
      </c>
      <c r="L373" s="1">
        <v>3.6</v>
      </c>
      <c r="M373" s="1">
        <f t="shared" si="63"/>
        <v>564.9000000000002</v>
      </c>
      <c r="N373" s="1">
        <v>-3.2</v>
      </c>
      <c r="O373" s="1">
        <f t="shared" si="56"/>
        <v>36.29999999999999</v>
      </c>
      <c r="P373" s="1">
        <v>326</v>
      </c>
      <c r="Q373" s="20">
        <f t="shared" si="55"/>
        <v>0.37758620689655165</v>
      </c>
      <c r="R373" s="9">
        <f t="shared" si="59"/>
        <v>1.3593103448275861</v>
      </c>
      <c r="S373" s="9">
        <f t="shared" si="60"/>
        <v>-0.95931034482758604</v>
      </c>
      <c r="T373" s="9">
        <f t="shared" si="64"/>
        <v>101.68844827586206</v>
      </c>
      <c r="V373" s="1">
        <v>1334.3</v>
      </c>
      <c r="X373" s="1">
        <f t="shared" si="65"/>
        <v>303694.59999999986</v>
      </c>
      <c r="Y373" s="14">
        <f t="shared" si="57"/>
        <v>84164.1</v>
      </c>
      <c r="AA373" s="1">
        <v>14.8799522737445</v>
      </c>
    </row>
    <row r="374" spans="1:27" s="1" customFormat="1" x14ac:dyDescent="0.25">
      <c r="A374" s="23"/>
      <c r="B374" s="22"/>
      <c r="C374" s="3">
        <v>41490</v>
      </c>
      <c r="D374" s="1">
        <v>23</v>
      </c>
      <c r="E374" s="1">
        <v>19</v>
      </c>
      <c r="F374" s="1">
        <v>26.7</v>
      </c>
      <c r="G374" s="1">
        <f t="shared" si="61"/>
        <v>3233.599999999999</v>
      </c>
      <c r="H374" s="1">
        <f t="shared" si="58"/>
        <v>867.10000000000025</v>
      </c>
      <c r="J374" s="1">
        <v>0.1</v>
      </c>
      <c r="K374" s="1">
        <f t="shared" si="62"/>
        <v>978.09999999999991</v>
      </c>
      <c r="L374" s="1">
        <v>4.4000000000000004</v>
      </c>
      <c r="M374" s="1">
        <f t="shared" si="63"/>
        <v>569.30000000000018</v>
      </c>
      <c r="N374" s="1">
        <v>-4.3000000000000007</v>
      </c>
      <c r="O374" s="1">
        <f t="shared" si="56"/>
        <v>31.999999999999989</v>
      </c>
      <c r="P374" s="1">
        <v>327</v>
      </c>
      <c r="Q374" s="20">
        <f t="shared" si="55"/>
        <v>0.36379310344827587</v>
      </c>
      <c r="R374" s="9">
        <f t="shared" si="59"/>
        <v>1.6006896551724139</v>
      </c>
      <c r="S374" s="9">
        <f t="shared" si="60"/>
        <v>-1.5006896551724138</v>
      </c>
      <c r="T374" s="9">
        <f t="shared" si="64"/>
        <v>100.18775862068965</v>
      </c>
      <c r="V374" s="1">
        <v>1964.5</v>
      </c>
      <c r="X374" s="1">
        <f t="shared" si="65"/>
        <v>305659.09999999986</v>
      </c>
      <c r="Y374" s="14">
        <f t="shared" si="57"/>
        <v>86128.6</v>
      </c>
      <c r="AA374" s="1">
        <v>14.8354195480385</v>
      </c>
    </row>
    <row r="375" spans="1:27" s="1" customFormat="1" x14ac:dyDescent="0.25">
      <c r="A375" s="23"/>
      <c r="B375" s="22"/>
      <c r="C375" s="3">
        <v>41491</v>
      </c>
      <c r="D375" s="1">
        <v>24.7</v>
      </c>
      <c r="E375" s="1">
        <v>19.100000000000001</v>
      </c>
      <c r="F375" s="1">
        <v>30.3</v>
      </c>
      <c r="G375" s="1">
        <f t="shared" si="61"/>
        <v>3258.2999999999988</v>
      </c>
      <c r="H375" s="1">
        <f t="shared" si="58"/>
        <v>891.8000000000003</v>
      </c>
      <c r="J375" s="1">
        <v>0.2</v>
      </c>
      <c r="K375" s="1">
        <f t="shared" si="62"/>
        <v>978.3</v>
      </c>
      <c r="L375" s="1">
        <v>5</v>
      </c>
      <c r="M375" s="1">
        <f t="shared" si="63"/>
        <v>574.30000000000018</v>
      </c>
      <c r="N375" s="1">
        <v>-4.8</v>
      </c>
      <c r="O375" s="1">
        <f t="shared" si="56"/>
        <v>27.199999999999989</v>
      </c>
      <c r="P375" s="1">
        <v>328</v>
      </c>
      <c r="Q375" s="20">
        <f t="shared" si="55"/>
        <v>0.35</v>
      </c>
      <c r="R375" s="9">
        <f t="shared" si="59"/>
        <v>1.75</v>
      </c>
      <c r="S375" s="9">
        <f t="shared" si="60"/>
        <v>-1.55</v>
      </c>
      <c r="T375" s="9">
        <f t="shared" si="64"/>
        <v>98.637758620689652</v>
      </c>
      <c r="V375" s="1">
        <v>2258.5</v>
      </c>
      <c r="X375" s="1">
        <f t="shared" si="65"/>
        <v>307917.59999999986</v>
      </c>
      <c r="Y375" s="14">
        <f t="shared" si="57"/>
        <v>88387.1</v>
      </c>
      <c r="AA375" s="1">
        <v>14.790313725772901</v>
      </c>
    </row>
    <row r="376" spans="1:27" s="1" customFormat="1" x14ac:dyDescent="0.25">
      <c r="A376" s="44" t="s">
        <v>30</v>
      </c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</sheetData>
  <mergeCells count="14">
    <mergeCell ref="D1:I2"/>
    <mergeCell ref="J1:U2"/>
    <mergeCell ref="V1:Z2"/>
    <mergeCell ref="P3:T3"/>
    <mergeCell ref="G4:H4"/>
    <mergeCell ref="X4:Y4"/>
    <mergeCell ref="A335:A355"/>
    <mergeCell ref="A376:Z376"/>
    <mergeCell ref="A223:A270"/>
    <mergeCell ref="A292:A317"/>
    <mergeCell ref="A47:Z47"/>
    <mergeCell ref="A48:A164"/>
    <mergeCell ref="A165:A222"/>
    <mergeCell ref="A318:A334"/>
  </mergeCells>
  <conditionalFormatting sqref="D5:F46 D48:F375 I55 I57 I59 I61 I178 I174 I172 I176 I230 I232 I234 I236 I278 I280 I282 I284 I300 I302 I304 I306 I325 I327 I329 I331 I342 I344 I346 I348">
    <cfRule type="cellIs" dxfId="9" priority="8" operator="greaterThanOrEqual">
      <formula>25</formula>
    </cfRule>
    <cfRule type="cellIs" priority="9" operator="greaterThanOrEqual">
      <formula>25</formula>
    </cfRule>
    <cfRule type="cellIs" dxfId="8" priority="10" operator="between">
      <formula>0</formula>
      <formula>5</formula>
    </cfRule>
    <cfRule type="cellIs" dxfId="7" priority="11" operator="lessThan">
      <formula>0</formula>
    </cfRule>
  </conditionalFormatting>
  <conditionalFormatting sqref="N5:N46 N48:N375">
    <cfRule type="cellIs" dxfId="6" priority="7" operator="lessThanOrEqual">
      <formula>0</formula>
    </cfRule>
  </conditionalFormatting>
  <conditionalFormatting sqref="V48:V375">
    <cfRule type="cellIs" dxfId="5" priority="6" operator="lessThan">
      <formula>900</formula>
    </cfRule>
  </conditionalFormatting>
  <conditionalFormatting sqref="S48:S375">
    <cfRule type="cellIs" dxfId="4" priority="5" operator="lessThanOrEqual">
      <formula>0</formula>
    </cfRule>
  </conditionalFormatting>
  <conditionalFormatting sqref="T5:T376">
    <cfRule type="cellIs" dxfId="3" priority="3" operator="equal">
      <formula>0</formula>
    </cfRule>
    <cfRule type="cellIs" dxfId="2" priority="4" operator="lessThanOrEqual">
      <formula>40.7</formula>
    </cfRule>
  </conditionalFormatting>
  <conditionalFormatting sqref="T1:T4">
    <cfRule type="cellIs" dxfId="1" priority="1" operator="equal">
      <formula>0</formula>
    </cfRule>
    <cfRule type="cellIs" dxfId="0" priority="2" operator="lessThanOrEqual">
      <formula>40.7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2019-11-19T10:06:15Z</dcterms:created>
  <dcterms:modified xsi:type="dcterms:W3CDTF">2019-11-26T10:43:12Z</dcterms:modified>
</cp:coreProperties>
</file>