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<sst xmlns="http://schemas.openxmlformats.org/spreadsheetml/2006/main" count="347" uniqueCount="66">
  <si>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</si>
  <si>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</si>
  <si>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</si>
  <si>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</si>
  <si>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</si>
  <si>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</si>
  <si>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</si>
  <si>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</si>
  <si>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</si>
  <si>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</si>
  <si>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</si>
  <si>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</si>
  <si>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</si>
  <si>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</si>
  <si>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</si>
  <si>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</si>
  <si>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</si>
  <si>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</si>
  <si>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</si>
  <si>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</si>
  <si>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</si>
  <si>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</si>
  <si>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</si>
  <si>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</si>
  <si>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</si>
  <si>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</si>
  <si>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Pts de convergence</t>
  </si>
  <si>
    <t xml:space="preserve">SEMIS TI13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</si>
  <si>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</si>
  <si>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</si>
  <si>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</si>
  <si>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</si>
  <si>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</si>
  <si>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</si>
  <si>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</si>
  <si>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</si>
  <si>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</si>
  <si>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</si>
  <si>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</si>
  <si>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</si>
  <si>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</si>
  <si>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</si>
  <si>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</si>
  <si>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</si>
  <si>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</si>
  <si>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</si>
  <si>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nbj_vern_opti</t>
  </si>
  <si>
    <t xml:space="preserve">WSC_I</t>
  </si>
  <si>
    <t xml:space="preserve">BI</t>
  </si>
  <si>
    <t xml:space="preserve">4'</t>
  </si>
  <si>
    <t xml:space="preserve">DRF</t>
  </si>
  <si>
    <t xml:space="preserve">TS</t>
  </si>
  <si>
    <t xml:space="preserve">IRF</t>
  </si>
  <si>
    <t xml:space="preserve">N60</t>
  </si>
  <si>
    <t xml:space="preserve">6'</t>
  </si>
  <si>
    <t xml:space="preserve">7'</t>
  </si>
  <si>
    <t xml:space="preserve">MONTAISON</t>
  </si>
  <si>
    <t xml:space="preserve">8'</t>
  </si>
  <si>
    <t xml:space="preserve">N70</t>
  </si>
  <si>
    <t xml:space="preserve">10'</t>
  </si>
  <si>
    <t xml:space="preserve">C1</t>
  </si>
  <si>
    <t xml:space="preserve">N50</t>
  </si>
  <si>
    <t xml:space="preserve">Flo</t>
  </si>
  <si>
    <t xml:space="preserve">Fin FLO</t>
  </si>
  <si>
    <t xml:space="preserve">RECOLTE TI13</t>
  </si>
  <si>
    <t xml:space="preserve">Cumul RG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</si>
</sst>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i val="true"/>
      <u val="single"/>
      <sz val="11"/>
      <color rgb="FFFFC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9C4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FDE9D9"/>
        <bgColor rgb="FFF2DCDB"/>
      </patternFill>
    </fill>
    <fill>
      <patternFill patternType="solid">
        <fgColor rgb="FFDDD9C4"/>
        <bgColor rgb="FFD9D9D9"/>
      </patternFill>
    </fill>
    <fill>
      <patternFill patternType="solid">
        <fgColor rgb="FFC0C0C0"/>
        <bgColor rgb="FFCCC0DA"/>
      </patternFill>
    </fill>
    <fill>
      <patternFill patternType="solid">
        <fgColor rgb="FF0070C0"/>
        <bgColor rgb="FF008080"/>
      </patternFill>
    </fill>
    <fill>
      <patternFill patternType="solid">
        <fgColor theme="3"/>
        <bgColor rgb="FF333399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rgb="FFFFFF00"/>
      </patternFill>
    </fill>
    <fill>
      <patternFill patternType="solid">
        <fgColor rgb="FFE26B0A"/>
        <bgColor rgb="FFFF9900"/>
      </patternFill>
    </fill>
    <fill>
      <patternFill patternType="solid">
        <fgColor rgb="FFFF0000"/>
        <bgColor rgb="FFC00000"/>
      </patternFill>
    </fill>
    <fill>
      <patternFill patternType="solid">
        <fgColor rgb="FFC00000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6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6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6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255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CCC0DA"/>
        </patternFill>
      </fill>
    </dxf>
    <dxf>
      <fill>
        <patternFill>
          <bgColor rgb="FFF2DCDB"/>
        </patternFill>
      </fill>
    </dxf>
    <dxf>
      <fill>
        <patternFill>
          <bgColor rgb="FFFFC000"/>
        </patternFill>
      </fill>
    </dxf>
    <dxf>
      <font>
        <name val="Calibri"/>
        <charset val="1"/>
        <family val="2"/>
        <color rgb="FF000000"/>
        <sz val="11"/>
      </font>
    </dxf>
    <dxf>
      <fill>
        <patternFill>
          <bgColor rgb="FFDAEEF3"/>
        </patternFill>
      </fill>
    </dxf>
    <dxf>
      <fill>
        <patternFill>
          <bgColor rgb="FF00B0F0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rgb="FFCCC0DA"/>
        </patternFill>
      </fill>
    </dxf>
    <dxf>
      <fill>
        <patternFill>
          <bgColor rgb="FFF2DCDB"/>
        </patternFill>
      </fill>
    </dxf>
    <dxf>
      <fill>
        <patternFill>
          <bgColor rgb="FFFFC000"/>
        </patternFill>
      </fill>
    </dxf>
    <dxf>
      <fill>
        <patternFill>
          <bgColor rgb="FFDAEEF3"/>
        </patternFill>
      </fill>
    </dxf>
    <dxf>
      <fill>
        <patternFill>
          <bgColor rgb="FF00B0F0"/>
        </patternFill>
      </fill>
    </dxf>
  </dxf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AEEF3"/>
      <rgbColor rgb="FF660066"/>
      <rgbColor rgb="FFDA9694"/>
      <rgbColor rgb="FF0070C0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DD9C4"/>
      <rgbColor rgb="FFD9D9D9"/>
      <rgbColor rgb="FFFFFF99"/>
      <rgbColor rgb="FFA9D18E"/>
      <rgbColor rgb="FFF4B183"/>
      <rgbColor rgb="FFCC99FF"/>
      <rgbColor rgb="FFFABF8F"/>
      <rgbColor rgb="FF3366FF"/>
      <rgbColor rgb="FF33CCCC"/>
      <rgbColor rgb="FF92D050"/>
      <rgbColor rgb="FFFFC000"/>
      <rgbColor rgb="FFFF9900"/>
      <rgbColor rgb="FFE26B0A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3" ySplit="4" topLeftCell="P226" activePane="bottomRight" state="frozen"/>
      <selection pane="topLeft" activeCell="A1" activeCellId="0" sqref="A1"/>
      <selection pane="topRight" activeCell="P1" activeCellId="0" sqref="P1"/>
      <selection pane="bottomLeft" activeCell="A226" activeCellId="0" sqref="A226"/>
      <selection pane="bottomRight" activeCell="X4" activeCellId="0" sqref="X4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 t="s">
        <v>3</v>
      </c>
      <c r="Q3" s="2"/>
      <c r="R3" s="2"/>
      <c r="S3" s="2"/>
      <c r="T3" s="2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4" t="s">
        <v>9</v>
      </c>
      <c r="H4" s="4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5" t="s">
        <v>21</v>
      </c>
      <c r="U4" s="1" t="s">
        <v>10</v>
      </c>
      <c r="V4" s="1" t="s">
        <v>22</v>
      </c>
      <c r="W4" s="1" t="s">
        <v>23</v>
      </c>
      <c r="X4" s="4" t="s">
        <v>24</v>
      </c>
      <c r="Y4" s="4"/>
      <c r="Z4" s="1" t="s">
        <v>10</v>
      </c>
      <c r="AA4" s="1" t="s">
        <v>25</v>
      </c>
    </row>
    <row r="5" s="6" customFormat="true" ht="15" hidden="false" customHeight="false" outlineLevel="0" collapsed="false">
      <c r="C5" s="7" t="n">
        <v>41122</v>
      </c>
      <c r="D5" s="6" t="n">
        <v>22.7</v>
      </c>
      <c r="E5" s="6" t="n">
        <v>15.7</v>
      </c>
      <c r="F5" s="6" t="n">
        <v>28.1</v>
      </c>
      <c r="J5" s="6" t="n">
        <v>3.1</v>
      </c>
      <c r="L5" s="6" t="n">
        <v>3.4</v>
      </c>
      <c r="N5" s="6" t="n">
        <v>-0.3</v>
      </c>
      <c r="O5" s="6" t="n">
        <v>0</v>
      </c>
      <c r="V5" s="6" t="n">
        <v>1519</v>
      </c>
    </row>
    <row r="6" s="6" customFormat="true" ht="15" hidden="false" customHeight="false" outlineLevel="0" collapsed="false">
      <c r="C6" s="7" t="n">
        <v>41123</v>
      </c>
      <c r="D6" s="6" t="n">
        <v>21.2</v>
      </c>
      <c r="E6" s="6" t="n">
        <v>18.1</v>
      </c>
      <c r="F6" s="6" t="n">
        <v>24.8</v>
      </c>
      <c r="J6" s="6" t="n">
        <v>0</v>
      </c>
      <c r="L6" s="6" t="n">
        <v>3.8</v>
      </c>
      <c r="N6" s="6" t="n">
        <v>-3.8</v>
      </c>
      <c r="O6" s="6" t="n">
        <v>0</v>
      </c>
      <c r="V6" s="6" t="n">
        <v>1754.9</v>
      </c>
    </row>
    <row r="7" s="6" customFormat="true" ht="15" hidden="false" customHeight="false" outlineLevel="0" collapsed="false">
      <c r="C7" s="7" t="n">
        <v>41124</v>
      </c>
      <c r="D7" s="6" t="n">
        <v>21</v>
      </c>
      <c r="E7" s="6" t="n">
        <v>16</v>
      </c>
      <c r="F7" s="6" t="n">
        <v>25</v>
      </c>
      <c r="J7" s="6" t="n">
        <v>0</v>
      </c>
      <c r="L7" s="6" t="n">
        <v>2.9</v>
      </c>
      <c r="N7" s="6" t="n">
        <v>-2.9</v>
      </c>
      <c r="O7" s="6" t="n">
        <v>0</v>
      </c>
      <c r="V7" s="6" t="n">
        <v>1476.6</v>
      </c>
    </row>
    <row r="8" s="6" customFormat="true" ht="15" hidden="false" customHeight="false" outlineLevel="0" collapsed="false">
      <c r="C8" s="7" t="n">
        <v>41125</v>
      </c>
      <c r="D8" s="6" t="n">
        <v>21.6</v>
      </c>
      <c r="E8" s="6" t="n">
        <v>16.7</v>
      </c>
      <c r="F8" s="6" t="n">
        <v>27</v>
      </c>
      <c r="J8" s="6" t="n">
        <v>0.1</v>
      </c>
      <c r="L8" s="6" t="n">
        <v>3.1</v>
      </c>
      <c r="N8" s="6" t="n">
        <v>-3</v>
      </c>
      <c r="O8" s="6" t="n">
        <v>0</v>
      </c>
      <c r="V8" s="6" t="n">
        <v>1546.1</v>
      </c>
    </row>
    <row r="9" s="6" customFormat="true" ht="15" hidden="false" customHeight="false" outlineLevel="0" collapsed="false">
      <c r="C9" s="7" t="n">
        <v>41126</v>
      </c>
      <c r="D9" s="6" t="n">
        <v>20.6</v>
      </c>
      <c r="E9" s="6" t="n">
        <v>16.5</v>
      </c>
      <c r="F9" s="6" t="n">
        <v>25</v>
      </c>
      <c r="J9" s="6" t="n">
        <v>7.5</v>
      </c>
      <c r="L9" s="6" t="n">
        <v>2.5</v>
      </c>
      <c r="N9" s="6" t="n">
        <v>5</v>
      </c>
      <c r="O9" s="6" t="n">
        <f aca="false">O8+N9</f>
        <v>5</v>
      </c>
      <c r="V9" s="6" t="n">
        <v>1230.1</v>
      </c>
    </row>
    <row r="10" s="6" customFormat="true" ht="15" hidden="false" customHeight="false" outlineLevel="0" collapsed="false">
      <c r="C10" s="7" t="n">
        <v>41127</v>
      </c>
      <c r="D10" s="6" t="n">
        <v>18.1</v>
      </c>
      <c r="E10" s="6" t="n">
        <v>14.9</v>
      </c>
      <c r="F10" s="6" t="n">
        <v>20.5</v>
      </c>
      <c r="J10" s="6" t="n">
        <v>1</v>
      </c>
      <c r="L10" s="6" t="n">
        <v>2.4</v>
      </c>
      <c r="N10" s="6" t="n">
        <v>-1.4</v>
      </c>
      <c r="O10" s="6" t="n">
        <f aca="false">O9+N10</f>
        <v>3.6</v>
      </c>
      <c r="V10" s="6" t="n">
        <v>1313.4</v>
      </c>
    </row>
    <row r="11" s="6" customFormat="true" ht="15" hidden="false" customHeight="false" outlineLevel="0" collapsed="false">
      <c r="C11" s="7" t="n">
        <v>41128</v>
      </c>
      <c r="D11" s="6" t="n">
        <v>18.2</v>
      </c>
      <c r="E11" s="6" t="n">
        <v>13.9</v>
      </c>
      <c r="F11" s="6" t="n">
        <v>22.7</v>
      </c>
      <c r="J11" s="6" t="n">
        <v>0</v>
      </c>
      <c r="L11" s="6" t="n">
        <v>4.3</v>
      </c>
      <c r="N11" s="6" t="n">
        <v>-4.3</v>
      </c>
      <c r="O11" s="6" t="n">
        <v>0</v>
      </c>
      <c r="V11" s="6" t="n">
        <v>2417.1</v>
      </c>
    </row>
    <row r="12" s="6" customFormat="true" ht="15" hidden="false" customHeight="false" outlineLevel="0" collapsed="false">
      <c r="C12" s="7" t="n">
        <v>41129</v>
      </c>
      <c r="D12" s="6" t="n">
        <v>19.5</v>
      </c>
      <c r="E12" s="6" t="n">
        <v>13.6</v>
      </c>
      <c r="F12" s="6" t="n">
        <v>25</v>
      </c>
      <c r="J12" s="6" t="n">
        <v>0</v>
      </c>
      <c r="L12" s="6" t="n">
        <v>4.7</v>
      </c>
      <c r="N12" s="6" t="n">
        <v>-4.7</v>
      </c>
      <c r="O12" s="6" t="n">
        <v>0</v>
      </c>
      <c r="V12" s="6" t="n">
        <v>2489</v>
      </c>
    </row>
    <row r="13" s="6" customFormat="true" ht="15" hidden="false" customHeight="false" outlineLevel="0" collapsed="false">
      <c r="C13" s="7" t="n">
        <v>41130</v>
      </c>
      <c r="D13" s="6" t="n">
        <v>21.4</v>
      </c>
      <c r="E13" s="6" t="n">
        <v>16</v>
      </c>
      <c r="F13" s="6" t="n">
        <v>27.2</v>
      </c>
      <c r="J13" s="6" t="n">
        <v>0</v>
      </c>
      <c r="L13" s="6" t="n">
        <v>5.4</v>
      </c>
      <c r="N13" s="6" t="n">
        <v>-5.4</v>
      </c>
      <c r="O13" s="6" t="n">
        <v>0</v>
      </c>
      <c r="V13" s="6" t="n">
        <v>2561.7</v>
      </c>
    </row>
    <row r="14" s="6" customFormat="true" ht="15" hidden="false" customHeight="false" outlineLevel="0" collapsed="false">
      <c r="C14" s="7" t="n">
        <v>41131</v>
      </c>
      <c r="D14" s="6" t="n">
        <v>21.5</v>
      </c>
      <c r="E14" s="6" t="n">
        <v>16.8</v>
      </c>
      <c r="F14" s="6" t="n">
        <v>27.3</v>
      </c>
      <c r="J14" s="6" t="n">
        <v>0</v>
      </c>
      <c r="L14" s="6" t="n">
        <v>6.6</v>
      </c>
      <c r="N14" s="6" t="n">
        <v>-6.6</v>
      </c>
      <c r="O14" s="6" t="n">
        <v>0</v>
      </c>
      <c r="V14" s="6" t="n">
        <v>2875.6</v>
      </c>
    </row>
    <row r="15" s="6" customFormat="true" ht="15" hidden="false" customHeight="false" outlineLevel="0" collapsed="false">
      <c r="C15" s="7" t="n">
        <v>41132</v>
      </c>
      <c r="D15" s="6" t="n">
        <v>21.3</v>
      </c>
      <c r="E15" s="6" t="n">
        <v>14.4</v>
      </c>
      <c r="F15" s="6" t="n">
        <v>27.9</v>
      </c>
      <c r="J15" s="6" t="n">
        <v>0</v>
      </c>
      <c r="L15" s="6" t="n">
        <v>6.3</v>
      </c>
      <c r="N15" s="6" t="n">
        <v>-6.3</v>
      </c>
      <c r="O15" s="6" t="n">
        <v>0</v>
      </c>
      <c r="V15" s="6" t="n">
        <v>2861.1</v>
      </c>
    </row>
    <row r="16" s="6" customFormat="true" ht="15" hidden="false" customHeight="false" outlineLevel="0" collapsed="false">
      <c r="C16" s="7" t="n">
        <v>41133</v>
      </c>
      <c r="D16" s="6" t="n">
        <v>19.6</v>
      </c>
      <c r="E16" s="6" t="n">
        <v>13.3</v>
      </c>
      <c r="F16" s="6" t="n">
        <v>25.6</v>
      </c>
      <c r="J16" s="6" t="n">
        <v>0.2</v>
      </c>
      <c r="L16" s="6" t="n">
        <v>3.2</v>
      </c>
      <c r="N16" s="6" t="n">
        <v>-3</v>
      </c>
      <c r="O16" s="6" t="n">
        <v>0</v>
      </c>
      <c r="V16" s="6" t="n">
        <v>1770.3</v>
      </c>
    </row>
    <row r="17" s="6" customFormat="true" ht="15" hidden="false" customHeight="false" outlineLevel="0" collapsed="false">
      <c r="C17" s="7" t="n">
        <v>41134</v>
      </c>
      <c r="D17" s="6" t="n">
        <v>20.7</v>
      </c>
      <c r="E17" s="6" t="n">
        <v>14</v>
      </c>
      <c r="F17" s="6" t="n">
        <v>27</v>
      </c>
      <c r="J17" s="6" t="n">
        <v>0</v>
      </c>
      <c r="L17" s="6" t="n">
        <v>2.3</v>
      </c>
      <c r="N17" s="6" t="n">
        <v>-2.3</v>
      </c>
      <c r="O17" s="6" t="n">
        <v>0</v>
      </c>
      <c r="V17" s="6" t="n">
        <v>1430.9</v>
      </c>
    </row>
    <row r="18" s="6" customFormat="true" ht="15" hidden="false" customHeight="false" outlineLevel="0" collapsed="false">
      <c r="C18" s="7" t="n">
        <v>41135</v>
      </c>
      <c r="D18" s="6" t="n">
        <v>22.8</v>
      </c>
      <c r="E18" s="6" t="n">
        <v>15.1</v>
      </c>
      <c r="F18" s="6" t="n">
        <v>28.1</v>
      </c>
      <c r="J18" s="6" t="n">
        <v>0</v>
      </c>
      <c r="L18" s="6" t="n">
        <v>2</v>
      </c>
      <c r="N18" s="6" t="n">
        <v>-2</v>
      </c>
      <c r="O18" s="6" t="n">
        <v>0</v>
      </c>
      <c r="V18" s="6" t="n">
        <v>1098.5</v>
      </c>
    </row>
    <row r="19" s="6" customFormat="true" ht="15" hidden="false" customHeight="false" outlineLevel="0" collapsed="false">
      <c r="C19" s="7" t="n">
        <v>41136</v>
      </c>
      <c r="D19" s="6" t="n">
        <v>21.8</v>
      </c>
      <c r="E19" s="6" t="n">
        <v>17</v>
      </c>
      <c r="F19" s="6" t="n">
        <v>30.8</v>
      </c>
      <c r="J19" s="6" t="n">
        <v>15.7</v>
      </c>
      <c r="L19" s="6" t="n">
        <v>4.8</v>
      </c>
      <c r="N19" s="6" t="n">
        <v>10.9</v>
      </c>
      <c r="O19" s="6" t="n">
        <f aca="false">O18+N19</f>
        <v>10.9</v>
      </c>
      <c r="V19" s="6" t="n">
        <v>1694</v>
      </c>
    </row>
    <row r="20" s="6" customFormat="true" ht="15" hidden="false" customHeight="false" outlineLevel="0" collapsed="false">
      <c r="C20" s="7" t="n">
        <v>41137</v>
      </c>
      <c r="D20" s="6" t="n">
        <v>19.5</v>
      </c>
      <c r="E20" s="6" t="n">
        <v>15.8</v>
      </c>
      <c r="F20" s="6" t="n">
        <v>23.7</v>
      </c>
      <c r="J20" s="6" t="n">
        <v>0</v>
      </c>
      <c r="L20" s="6" t="n">
        <v>4.1</v>
      </c>
      <c r="N20" s="6" t="n">
        <v>-4.1</v>
      </c>
      <c r="O20" s="6" t="n">
        <f aca="false">O19+N20</f>
        <v>6.8</v>
      </c>
      <c r="V20" s="6" t="n">
        <v>2368.1</v>
      </c>
    </row>
    <row r="21" s="6" customFormat="true" ht="15" hidden="false" customHeight="false" outlineLevel="0" collapsed="false">
      <c r="C21" s="7" t="n">
        <v>41138</v>
      </c>
      <c r="D21" s="6" t="n">
        <v>21.3</v>
      </c>
      <c r="E21" s="6" t="n">
        <v>14.2</v>
      </c>
      <c r="F21" s="6" t="n">
        <v>27.4</v>
      </c>
      <c r="J21" s="6" t="n">
        <v>0</v>
      </c>
      <c r="L21" s="6" t="n">
        <v>4.3</v>
      </c>
      <c r="N21" s="6" t="n">
        <v>-4.3</v>
      </c>
      <c r="O21" s="6" t="n">
        <f aca="false">O20+N21</f>
        <v>2.5</v>
      </c>
      <c r="V21" s="6" t="n">
        <v>2315.7</v>
      </c>
    </row>
    <row r="22" s="6" customFormat="true" ht="15" hidden="false" customHeight="false" outlineLevel="0" collapsed="false">
      <c r="C22" s="7" t="n">
        <v>41139</v>
      </c>
      <c r="D22" s="6" t="n">
        <v>24.1</v>
      </c>
      <c r="E22" s="6" t="n">
        <v>17.2</v>
      </c>
      <c r="F22" s="6" t="n">
        <v>30.8</v>
      </c>
      <c r="J22" s="6" t="n">
        <v>0</v>
      </c>
      <c r="L22" s="6" t="n">
        <v>5.7</v>
      </c>
      <c r="N22" s="6" t="n">
        <v>-5.7</v>
      </c>
      <c r="O22" s="6" t="n">
        <v>0</v>
      </c>
      <c r="V22" s="6" t="n">
        <v>2631.8</v>
      </c>
    </row>
    <row r="23" s="6" customFormat="true" ht="15" hidden="false" customHeight="false" outlineLevel="0" collapsed="false">
      <c r="C23" s="7" t="n">
        <v>41140</v>
      </c>
      <c r="D23" s="6" t="n">
        <v>25.7</v>
      </c>
      <c r="E23" s="6" t="n">
        <v>18.3</v>
      </c>
      <c r="F23" s="6" t="n">
        <v>34.5</v>
      </c>
      <c r="J23" s="6" t="n">
        <v>0</v>
      </c>
      <c r="L23" s="6" t="n">
        <v>6.2</v>
      </c>
      <c r="N23" s="6" t="n">
        <v>-6.2</v>
      </c>
      <c r="O23" s="6" t="n">
        <v>0</v>
      </c>
      <c r="V23" s="6" t="n">
        <v>2522.7</v>
      </c>
    </row>
    <row r="24" s="6" customFormat="true" ht="15" hidden="false" customHeight="false" outlineLevel="0" collapsed="false">
      <c r="C24" s="7" t="n">
        <v>41141</v>
      </c>
      <c r="D24" s="6" t="n">
        <v>22.8</v>
      </c>
      <c r="E24" s="6" t="n">
        <v>19.9</v>
      </c>
      <c r="F24" s="6" t="n">
        <v>26.5</v>
      </c>
      <c r="J24" s="6" t="n">
        <v>1</v>
      </c>
      <c r="L24" s="6" t="n">
        <v>1.4</v>
      </c>
      <c r="N24" s="6" t="n">
        <v>-0.4</v>
      </c>
      <c r="O24" s="6" t="n">
        <v>0</v>
      </c>
      <c r="V24" s="6" t="n">
        <v>890</v>
      </c>
    </row>
    <row r="25" s="6" customFormat="true" ht="15" hidden="false" customHeight="false" outlineLevel="0" collapsed="false">
      <c r="C25" s="7" t="n">
        <v>41142</v>
      </c>
      <c r="D25" s="6" t="n">
        <v>24.2</v>
      </c>
      <c r="E25" s="6" t="n">
        <v>17.8</v>
      </c>
      <c r="F25" s="6" t="n">
        <v>31.5</v>
      </c>
      <c r="J25" s="6" t="n">
        <v>0</v>
      </c>
      <c r="L25" s="6" t="n">
        <v>4.3</v>
      </c>
      <c r="N25" s="6" t="n">
        <v>-4.3</v>
      </c>
      <c r="O25" s="6" t="n">
        <v>0</v>
      </c>
      <c r="V25" s="6" t="n">
        <v>1852.9</v>
      </c>
    </row>
    <row r="26" s="6" customFormat="true" ht="15" hidden="false" customHeight="false" outlineLevel="0" collapsed="false">
      <c r="C26" s="7" t="n">
        <v>41143</v>
      </c>
      <c r="D26" s="6" t="n">
        <v>22.7</v>
      </c>
      <c r="E26" s="6" t="n">
        <v>18.9</v>
      </c>
      <c r="F26" s="6" t="n">
        <v>27.9</v>
      </c>
      <c r="J26" s="6" t="n">
        <v>0</v>
      </c>
      <c r="L26" s="6" t="n">
        <v>4.1</v>
      </c>
      <c r="N26" s="6" t="n">
        <v>-4.1</v>
      </c>
      <c r="O26" s="6" t="n">
        <v>0</v>
      </c>
      <c r="V26" s="6" t="n">
        <v>1575.9</v>
      </c>
    </row>
    <row r="27" s="6" customFormat="true" ht="15" hidden="false" customHeight="false" outlineLevel="0" collapsed="false">
      <c r="C27" s="7" t="n">
        <v>41144</v>
      </c>
      <c r="D27" s="6" t="n">
        <v>22.2</v>
      </c>
      <c r="E27" s="6" t="n">
        <v>17.4</v>
      </c>
      <c r="F27" s="6" t="n">
        <v>27.9</v>
      </c>
      <c r="J27" s="6" t="n">
        <v>5.3</v>
      </c>
      <c r="L27" s="6" t="n">
        <v>3.8</v>
      </c>
      <c r="N27" s="6" t="n">
        <v>1.5</v>
      </c>
      <c r="O27" s="6" t="n">
        <f aca="false">O26+N27</f>
        <v>1.5</v>
      </c>
      <c r="V27" s="6" t="n">
        <v>1183.5</v>
      </c>
    </row>
    <row r="28" s="6" customFormat="true" ht="15" hidden="false" customHeight="false" outlineLevel="0" collapsed="false">
      <c r="C28" s="7" t="n">
        <v>41145</v>
      </c>
      <c r="D28" s="6" t="n">
        <v>19</v>
      </c>
      <c r="E28" s="6" t="n">
        <v>19.3</v>
      </c>
      <c r="F28" s="6" t="n">
        <v>19.5</v>
      </c>
      <c r="J28" s="6" t="n">
        <v>6.3</v>
      </c>
      <c r="L28" s="6" t="n">
        <v>1.3</v>
      </c>
      <c r="N28" s="6" t="n">
        <v>5</v>
      </c>
      <c r="O28" s="6" t="n">
        <f aca="false">O27+N28</f>
        <v>6.5</v>
      </c>
      <c r="V28" s="6" t="n">
        <v>471.3</v>
      </c>
    </row>
    <row r="29" s="6" customFormat="true" ht="15" hidden="false" customHeight="false" outlineLevel="0" collapsed="false">
      <c r="C29" s="7" t="n">
        <v>41146</v>
      </c>
      <c r="D29" s="6" t="n">
        <v>17.6</v>
      </c>
      <c r="E29" s="6" t="n">
        <v>16.8</v>
      </c>
      <c r="F29" s="6" t="n">
        <v>20</v>
      </c>
      <c r="J29" s="6" t="n">
        <v>1.6</v>
      </c>
      <c r="L29" s="6" t="n">
        <v>2.7</v>
      </c>
      <c r="N29" s="6" t="n">
        <v>-1.1</v>
      </c>
      <c r="O29" s="6" t="n">
        <f aca="false">O28+N29</f>
        <v>5.4</v>
      </c>
      <c r="V29" s="6" t="n">
        <v>1448.3</v>
      </c>
    </row>
    <row r="30" s="6" customFormat="true" ht="15" hidden="false" customHeight="false" outlineLevel="0" collapsed="false">
      <c r="C30" s="7" t="n">
        <v>41147</v>
      </c>
      <c r="D30" s="6" t="n">
        <v>16.2</v>
      </c>
      <c r="E30" s="6" t="n">
        <v>13.4</v>
      </c>
      <c r="F30" s="6" t="n">
        <v>19.2</v>
      </c>
      <c r="J30" s="6" t="n">
        <v>0.1</v>
      </c>
      <c r="L30" s="6" t="n">
        <v>1.9</v>
      </c>
      <c r="N30" s="6" t="n">
        <v>-1.8</v>
      </c>
      <c r="O30" s="6" t="n">
        <f aca="false">O29+N30</f>
        <v>3.6</v>
      </c>
      <c r="V30" s="6" t="n">
        <v>933.3</v>
      </c>
    </row>
    <row r="31" s="6" customFormat="true" ht="15" hidden="false" customHeight="false" outlineLevel="0" collapsed="false">
      <c r="C31" s="7" t="n">
        <v>41148</v>
      </c>
      <c r="D31" s="6" t="n">
        <v>17.4</v>
      </c>
      <c r="E31" s="6" t="n">
        <v>11.4</v>
      </c>
      <c r="F31" s="6" t="n">
        <v>25.5</v>
      </c>
      <c r="J31" s="6" t="n">
        <v>0</v>
      </c>
      <c r="L31" s="6" t="n">
        <v>3.9</v>
      </c>
      <c r="N31" s="6" t="n">
        <v>-3.9</v>
      </c>
      <c r="O31" s="6" t="n">
        <v>0</v>
      </c>
      <c r="V31" s="6" t="n">
        <v>2167.9</v>
      </c>
    </row>
    <row r="32" s="6" customFormat="true" ht="15" hidden="false" customHeight="false" outlineLevel="0" collapsed="false">
      <c r="C32" s="7" t="n">
        <v>41149</v>
      </c>
      <c r="D32" s="6" t="n">
        <v>17</v>
      </c>
      <c r="E32" s="6" t="n">
        <v>13</v>
      </c>
      <c r="F32" s="6" t="n">
        <v>21.3</v>
      </c>
      <c r="J32" s="6" t="n">
        <v>1.7</v>
      </c>
      <c r="L32" s="6" t="n">
        <v>1.6</v>
      </c>
      <c r="N32" s="6" t="n">
        <v>0.0999999999999999</v>
      </c>
      <c r="O32" s="6" t="n">
        <f aca="false">O31+N32</f>
        <v>0.0999999999999999</v>
      </c>
      <c r="V32" s="6" t="n">
        <v>1060.7</v>
      </c>
    </row>
    <row r="33" s="6" customFormat="true" ht="15" hidden="false" customHeight="false" outlineLevel="0" collapsed="false">
      <c r="C33" s="7" t="n">
        <v>41150</v>
      </c>
      <c r="D33" s="6" t="n">
        <v>20.3</v>
      </c>
      <c r="E33" s="6" t="n">
        <v>14.5</v>
      </c>
      <c r="F33" s="6" t="n">
        <v>26.7</v>
      </c>
      <c r="J33" s="6" t="n">
        <v>6.6</v>
      </c>
      <c r="L33" s="6" t="n">
        <v>3.3</v>
      </c>
      <c r="N33" s="6" t="n">
        <v>3.3</v>
      </c>
      <c r="O33" s="6" t="n">
        <f aca="false">O32+N33</f>
        <v>3.4</v>
      </c>
      <c r="V33" s="6" t="n">
        <v>1595.3</v>
      </c>
    </row>
    <row r="34" s="6" customFormat="true" ht="15" hidden="false" customHeight="false" outlineLevel="0" collapsed="false">
      <c r="C34" s="7" t="n">
        <v>41151</v>
      </c>
      <c r="D34" s="6" t="n">
        <v>18.8</v>
      </c>
      <c r="E34" s="6" t="n">
        <v>17.6</v>
      </c>
      <c r="F34" s="6" t="n">
        <v>22.4</v>
      </c>
      <c r="J34" s="6" t="n">
        <v>0.2</v>
      </c>
      <c r="L34" s="6" t="n">
        <v>2.3</v>
      </c>
      <c r="N34" s="6" t="n">
        <v>-2.1</v>
      </c>
      <c r="O34" s="6" t="n">
        <f aca="false">O33+N34</f>
        <v>1.3</v>
      </c>
      <c r="V34" s="6" t="n">
        <v>1032.2</v>
      </c>
    </row>
    <row r="35" s="6" customFormat="true" ht="15" hidden="false" customHeight="false" outlineLevel="0" collapsed="false">
      <c r="C35" s="7" t="n">
        <v>41152</v>
      </c>
      <c r="D35" s="6" t="n">
        <v>14.3</v>
      </c>
      <c r="E35" s="6" t="n">
        <v>12.5</v>
      </c>
      <c r="F35" s="6" t="n">
        <v>15.5</v>
      </c>
      <c r="J35" s="6" t="n">
        <v>0.4</v>
      </c>
      <c r="L35" s="6" t="n">
        <v>1.7</v>
      </c>
      <c r="N35" s="6" t="n">
        <v>-1.3</v>
      </c>
      <c r="O35" s="6" t="n">
        <f aca="false">O34+N35</f>
        <v>0</v>
      </c>
      <c r="V35" s="6" t="n">
        <v>892.4</v>
      </c>
    </row>
    <row r="36" s="6" customFormat="true" ht="15" hidden="false" customHeight="false" outlineLevel="0" collapsed="false">
      <c r="C36" s="7" t="n">
        <v>41153</v>
      </c>
      <c r="D36" s="6" t="n">
        <v>13.8</v>
      </c>
      <c r="E36" s="6" t="n">
        <v>9.9</v>
      </c>
      <c r="F36" s="6" t="n">
        <v>16.5</v>
      </c>
      <c r="J36" s="6" t="n">
        <v>0</v>
      </c>
      <c r="L36" s="6" t="n">
        <v>2.1</v>
      </c>
      <c r="N36" s="6" t="n">
        <v>-2.1</v>
      </c>
      <c r="O36" s="6" t="n">
        <v>0</v>
      </c>
      <c r="V36" s="6" t="n">
        <v>965.1</v>
      </c>
    </row>
    <row r="37" s="6" customFormat="true" ht="15" hidden="false" customHeight="false" outlineLevel="0" collapsed="false">
      <c r="C37" s="7" t="n">
        <v>41154</v>
      </c>
      <c r="D37" s="6" t="n">
        <v>17.9</v>
      </c>
      <c r="E37" s="6" t="n">
        <v>14.2</v>
      </c>
      <c r="F37" s="6" t="n">
        <v>22.5</v>
      </c>
      <c r="J37" s="6" t="n">
        <v>0</v>
      </c>
      <c r="L37" s="6" t="n">
        <v>2.9</v>
      </c>
      <c r="N37" s="6" t="n">
        <v>-2.9</v>
      </c>
      <c r="O37" s="6" t="n">
        <v>0</v>
      </c>
      <c r="V37" s="6" t="n">
        <v>822.2</v>
      </c>
    </row>
    <row r="38" s="6" customFormat="true" ht="15" hidden="false" customHeight="false" outlineLevel="0" collapsed="false">
      <c r="A38" s="8"/>
      <c r="B38" s="8"/>
      <c r="C38" s="9" t="n">
        <v>41155</v>
      </c>
      <c r="D38" s="6" t="n">
        <v>20.2</v>
      </c>
      <c r="E38" s="6" t="n">
        <v>15.3</v>
      </c>
      <c r="F38" s="6" t="n">
        <v>24.8</v>
      </c>
      <c r="J38" s="6" t="n">
        <v>0</v>
      </c>
      <c r="L38" s="6" t="n">
        <v>4.6</v>
      </c>
      <c r="N38" s="6" t="n">
        <v>-4.6</v>
      </c>
      <c r="O38" s="6" t="n">
        <v>0</v>
      </c>
      <c r="P38" s="8"/>
      <c r="Q38" s="8"/>
      <c r="R38" s="8"/>
      <c r="S38" s="8"/>
      <c r="T38" s="6" t="n">
        <v>0</v>
      </c>
      <c r="U38" s="6" t="s">
        <v>26</v>
      </c>
      <c r="V38" s="6" t="n">
        <v>1506.5</v>
      </c>
    </row>
    <row r="39" s="6" customFormat="true" ht="15" hidden="false" customHeight="false" outlineLevel="0" collapsed="false">
      <c r="C39" s="7" t="n">
        <v>41156</v>
      </c>
      <c r="D39" s="6" t="n">
        <v>21.3</v>
      </c>
      <c r="E39" s="6" t="n">
        <v>15.8</v>
      </c>
      <c r="F39" s="6" t="n">
        <v>27.1</v>
      </c>
      <c r="J39" s="6" t="n">
        <v>0</v>
      </c>
      <c r="L39" s="6" t="n">
        <v>5</v>
      </c>
      <c r="N39" s="6" t="n">
        <v>-5</v>
      </c>
      <c r="O39" s="6" t="n">
        <v>0</v>
      </c>
      <c r="T39" s="6" t="n">
        <v>0</v>
      </c>
      <c r="V39" s="6" t="n">
        <v>1720.1</v>
      </c>
    </row>
    <row r="40" s="6" customFormat="true" ht="15" hidden="false" customHeight="false" outlineLevel="0" collapsed="false">
      <c r="C40" s="7" t="n">
        <v>41157</v>
      </c>
      <c r="D40" s="6" t="n">
        <v>20.8</v>
      </c>
      <c r="E40" s="6" t="n">
        <v>15.9</v>
      </c>
      <c r="F40" s="6" t="n">
        <v>26.6</v>
      </c>
      <c r="J40" s="6" t="n">
        <v>0</v>
      </c>
      <c r="L40" s="6" t="n">
        <v>4.3</v>
      </c>
      <c r="N40" s="6" t="n">
        <v>-4.3</v>
      </c>
      <c r="O40" s="6" t="n">
        <v>0</v>
      </c>
      <c r="T40" s="6" t="n">
        <v>0</v>
      </c>
      <c r="V40" s="6" t="n">
        <v>1625.7</v>
      </c>
    </row>
    <row r="41" s="6" customFormat="true" ht="15" hidden="false" customHeight="false" outlineLevel="0" collapsed="false">
      <c r="C41" s="7" t="n">
        <v>41158</v>
      </c>
      <c r="D41" s="6" t="n">
        <v>18.9</v>
      </c>
      <c r="E41" s="6" t="n">
        <v>13.8</v>
      </c>
      <c r="F41" s="6" t="n">
        <v>24.7</v>
      </c>
      <c r="J41" s="6" t="n">
        <v>0</v>
      </c>
      <c r="L41" s="6" t="n">
        <v>4.8</v>
      </c>
      <c r="N41" s="6" t="n">
        <v>-4.8</v>
      </c>
      <c r="O41" s="6" t="n">
        <v>0</v>
      </c>
      <c r="T41" s="6" t="n">
        <v>0</v>
      </c>
      <c r="V41" s="6" t="n">
        <v>2272.7</v>
      </c>
    </row>
    <row r="42" s="6" customFormat="true" ht="15" hidden="false" customHeight="false" outlineLevel="0" collapsed="false">
      <c r="C42" s="7" t="n">
        <v>41159</v>
      </c>
      <c r="D42" s="6" t="n">
        <v>17.8</v>
      </c>
      <c r="E42" s="6" t="n">
        <v>10.6</v>
      </c>
      <c r="F42" s="6" t="n">
        <v>25.5</v>
      </c>
      <c r="J42" s="6" t="n">
        <v>0</v>
      </c>
      <c r="L42" s="6" t="n">
        <v>4.3</v>
      </c>
      <c r="N42" s="6" t="n">
        <v>-4.3</v>
      </c>
      <c r="O42" s="6" t="n">
        <v>0</v>
      </c>
      <c r="T42" s="6" t="n">
        <v>0</v>
      </c>
      <c r="V42" s="6" t="n">
        <v>2096.9</v>
      </c>
    </row>
    <row r="43" s="6" customFormat="true" ht="15" hidden="false" customHeight="false" outlineLevel="0" collapsed="false">
      <c r="C43" s="7" t="n">
        <v>41160</v>
      </c>
      <c r="D43" s="6" t="n">
        <v>18.5</v>
      </c>
      <c r="E43" s="6" t="n">
        <v>10.4</v>
      </c>
      <c r="F43" s="6" t="n">
        <v>26.8</v>
      </c>
      <c r="J43" s="6" t="n">
        <v>0</v>
      </c>
      <c r="L43" s="6" t="n">
        <v>4.2</v>
      </c>
      <c r="N43" s="6" t="n">
        <v>-4.2</v>
      </c>
      <c r="O43" s="6" t="n">
        <v>0</v>
      </c>
      <c r="T43" s="6" t="n">
        <v>0</v>
      </c>
      <c r="V43" s="6" t="n">
        <v>2245.2</v>
      </c>
    </row>
    <row r="44" s="6" customFormat="true" ht="15" hidden="false" customHeight="false" outlineLevel="0" collapsed="false">
      <c r="C44" s="7" t="n">
        <v>41161</v>
      </c>
      <c r="D44" s="6" t="n">
        <v>20.1</v>
      </c>
      <c r="E44" s="6" t="n">
        <v>12.7</v>
      </c>
      <c r="F44" s="6" t="n">
        <v>29.9</v>
      </c>
      <c r="J44" s="6" t="n">
        <v>0</v>
      </c>
      <c r="L44" s="6" t="n">
        <v>4.8</v>
      </c>
      <c r="N44" s="6" t="n">
        <v>-4.8</v>
      </c>
      <c r="O44" s="6" t="n">
        <v>0</v>
      </c>
      <c r="T44" s="6" t="n">
        <v>0</v>
      </c>
      <c r="V44" s="6" t="n">
        <v>2167.2</v>
      </c>
    </row>
    <row r="45" s="6" customFormat="true" ht="15" hidden="false" customHeight="false" outlineLevel="0" collapsed="false">
      <c r="C45" s="7" t="n">
        <v>41162</v>
      </c>
      <c r="D45" s="6" t="n">
        <v>20</v>
      </c>
      <c r="E45" s="6" t="n">
        <v>12.2</v>
      </c>
      <c r="F45" s="6" t="n">
        <v>27.5</v>
      </c>
      <c r="J45" s="6" t="n">
        <v>0</v>
      </c>
      <c r="L45" s="6" t="n">
        <v>3.2</v>
      </c>
      <c r="N45" s="6" t="n">
        <v>-3.2</v>
      </c>
      <c r="O45" s="6" t="n">
        <v>0</v>
      </c>
      <c r="T45" s="6" t="n">
        <v>0</v>
      </c>
      <c r="V45" s="6" t="n">
        <v>1747.8</v>
      </c>
    </row>
    <row r="46" s="6" customFormat="true" ht="15" hidden="false" customHeight="false" outlineLevel="0" collapsed="false">
      <c r="C46" s="7" t="n">
        <v>41163</v>
      </c>
      <c r="D46" s="6" t="n">
        <v>20</v>
      </c>
      <c r="E46" s="6" t="n">
        <v>16.8</v>
      </c>
      <c r="F46" s="6" t="n">
        <v>25.6</v>
      </c>
      <c r="J46" s="6" t="n">
        <v>2.1</v>
      </c>
      <c r="L46" s="6" t="n">
        <v>2.6</v>
      </c>
      <c r="N46" s="6" t="n">
        <v>-0.5</v>
      </c>
      <c r="O46" s="6" t="n">
        <v>0</v>
      </c>
      <c r="T46" s="6" t="n">
        <v>0</v>
      </c>
      <c r="V46" s="6" t="n">
        <v>810</v>
      </c>
    </row>
    <row r="47" s="6" customFormat="true" ht="15" hidden="false" customHeight="false" outlineLevel="0" collapsed="false">
      <c r="A47" s="10" t="s">
        <v>27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="6" customFormat="true" ht="15" hidden="false" customHeight="true" outlineLevel="0" collapsed="false">
      <c r="A48" s="11" t="s">
        <v>28</v>
      </c>
      <c r="B48" s="12"/>
      <c r="C48" s="7" t="n">
        <v>41164</v>
      </c>
      <c r="D48" s="6" t="n">
        <v>13.5</v>
      </c>
      <c r="E48" s="6" t="n">
        <v>12.6</v>
      </c>
      <c r="F48" s="6" t="n">
        <v>15.7</v>
      </c>
      <c r="G48" s="6" t="n">
        <f aca="false">D48</f>
        <v>13.5</v>
      </c>
      <c r="I48" s="13" t="s">
        <v>29</v>
      </c>
      <c r="J48" s="6" t="n">
        <v>1.6</v>
      </c>
      <c r="K48" s="6" t="n">
        <f aca="false">J48</f>
        <v>1.6</v>
      </c>
      <c r="L48" s="6" t="n">
        <v>1.2</v>
      </c>
      <c r="M48" s="6" t="n">
        <f aca="false">L48</f>
        <v>1.2</v>
      </c>
      <c r="N48" s="6" t="n">
        <v>0.4</v>
      </c>
      <c r="O48" s="6" t="n">
        <f aca="false">O46+N48</f>
        <v>0.4</v>
      </c>
      <c r="P48" s="6" t="n">
        <v>1</v>
      </c>
      <c r="Q48" s="6" t="n">
        <v>0.35</v>
      </c>
      <c r="R48" s="14" t="n">
        <f aca="false">Q48*L48</f>
        <v>0.42</v>
      </c>
      <c r="S48" s="14" t="n">
        <f aca="false">J48-R48</f>
        <v>1.18</v>
      </c>
      <c r="T48" s="14" t="n">
        <f aca="false">T46+S48</f>
        <v>1.18</v>
      </c>
      <c r="U48" s="13" t="s">
        <v>30</v>
      </c>
      <c r="V48" s="6" t="n">
        <v>689.3</v>
      </c>
      <c r="X48" s="6" t="n">
        <f aca="false">V48</f>
        <v>689.3</v>
      </c>
      <c r="Z48" s="13" t="s">
        <v>31</v>
      </c>
      <c r="AA48" s="6" t="n">
        <v>12.8156664427709</v>
      </c>
    </row>
    <row r="49" s="6" customFormat="true" ht="15" hidden="false" customHeight="false" outlineLevel="0" collapsed="false">
      <c r="A49" s="11"/>
      <c r="B49" s="12"/>
      <c r="C49" s="7" t="n">
        <v>41165</v>
      </c>
      <c r="D49" s="6" t="n">
        <v>12.6</v>
      </c>
      <c r="E49" s="6" t="n">
        <v>9.1</v>
      </c>
      <c r="F49" s="6" t="n">
        <v>16.8</v>
      </c>
      <c r="G49" s="6" t="n">
        <f aca="false">G48+D49</f>
        <v>26.1</v>
      </c>
      <c r="I49" s="6" t="n">
        <f aca="false">MIN(E48:E164)</f>
        <v>-6.5</v>
      </c>
      <c r="J49" s="6" t="n">
        <v>0.8</v>
      </c>
      <c r="K49" s="6" t="n">
        <f aca="false">K48+J49</f>
        <v>2.4</v>
      </c>
      <c r="L49" s="6" t="n">
        <v>1.2</v>
      </c>
      <c r="M49" s="6" t="n">
        <f aca="false">M48+L49</f>
        <v>2.4</v>
      </c>
      <c r="N49" s="6" t="n">
        <v>-0.4</v>
      </c>
      <c r="O49" s="6" t="n">
        <f aca="false">O48+N49</f>
        <v>0</v>
      </c>
      <c r="P49" s="6" t="n">
        <v>2</v>
      </c>
      <c r="Q49" s="6" t="n">
        <v>0.35</v>
      </c>
      <c r="R49" s="14" t="n">
        <f aca="false">Q49*L49</f>
        <v>0.42</v>
      </c>
      <c r="S49" s="14" t="n">
        <f aca="false">J49-R49</f>
        <v>0.38</v>
      </c>
      <c r="T49" s="14" t="n">
        <f aca="false">MIN(122.1,(T48+S49))</f>
        <v>1.56</v>
      </c>
      <c r="U49" s="6" t="n">
        <v>61</v>
      </c>
      <c r="V49" s="6" t="n">
        <v>728.1</v>
      </c>
      <c r="X49" s="6" t="n">
        <f aca="false">X48+V49</f>
        <v>1417.4</v>
      </c>
      <c r="Z49" s="6" t="n">
        <v>53852.6</v>
      </c>
      <c r="AA49" s="6" t="n">
        <v>12.760012022418</v>
      </c>
    </row>
    <row r="50" s="6" customFormat="true" ht="15" hidden="false" customHeight="false" outlineLevel="0" collapsed="false">
      <c r="A50" s="11"/>
      <c r="B50" s="12"/>
      <c r="C50" s="7" t="n">
        <v>41166</v>
      </c>
      <c r="D50" s="6" t="n">
        <v>14.6</v>
      </c>
      <c r="E50" s="6" t="n">
        <v>9.8</v>
      </c>
      <c r="F50" s="6" t="n">
        <v>19.8</v>
      </c>
      <c r="G50" s="6" t="n">
        <f aca="false">G49+D50</f>
        <v>40.7</v>
      </c>
      <c r="I50" s="13" t="s">
        <v>32</v>
      </c>
      <c r="J50" s="6" t="n">
        <v>0</v>
      </c>
      <c r="K50" s="6" t="n">
        <f aca="false">K49+J50</f>
        <v>2.4</v>
      </c>
      <c r="L50" s="6" t="n">
        <v>2.6</v>
      </c>
      <c r="M50" s="6" t="n">
        <f aca="false">M49+L50</f>
        <v>5</v>
      </c>
      <c r="N50" s="6" t="n">
        <v>-2.6</v>
      </c>
      <c r="O50" s="6" t="n">
        <v>0</v>
      </c>
      <c r="P50" s="6" t="n">
        <v>3</v>
      </c>
      <c r="Q50" s="6" t="n">
        <v>0.35</v>
      </c>
      <c r="R50" s="14" t="n">
        <f aca="false">Q50*L50</f>
        <v>0.91</v>
      </c>
      <c r="S50" s="14" t="n">
        <f aca="false">J50-R50</f>
        <v>-0.91</v>
      </c>
      <c r="T50" s="14" t="n">
        <f aca="false">MIN(122.1,(T49+S50))</f>
        <v>0.65</v>
      </c>
      <c r="U50" s="13" t="s">
        <v>33</v>
      </c>
      <c r="V50" s="6" t="n">
        <v>1637</v>
      </c>
      <c r="X50" s="6" t="n">
        <f aca="false">X49+V50</f>
        <v>3054.4</v>
      </c>
      <c r="Z50" s="13" t="s">
        <v>34</v>
      </c>
      <c r="AA50" s="6" t="n">
        <v>12.7042825302381</v>
      </c>
    </row>
    <row r="51" s="6" customFormat="true" ht="15" hidden="false" customHeight="false" outlineLevel="0" collapsed="false">
      <c r="A51" s="11"/>
      <c r="B51" s="12"/>
      <c r="C51" s="7" t="n">
        <v>41167</v>
      </c>
      <c r="D51" s="6" t="n">
        <v>14.7</v>
      </c>
      <c r="E51" s="6" t="n">
        <v>10.7</v>
      </c>
      <c r="F51" s="6" t="n">
        <v>20.2</v>
      </c>
      <c r="G51" s="6" t="n">
        <f aca="false">G50+D51</f>
        <v>55.4</v>
      </c>
      <c r="I51" s="6" t="n">
        <f aca="false">MAX(F48:F164)</f>
        <v>25.1</v>
      </c>
      <c r="J51" s="6" t="n">
        <v>0</v>
      </c>
      <c r="K51" s="6" t="n">
        <f aca="false">K50+J51</f>
        <v>2.4</v>
      </c>
      <c r="L51" s="6" t="n">
        <v>2.2</v>
      </c>
      <c r="M51" s="6" t="n">
        <f aca="false">M50+L51</f>
        <v>7.2</v>
      </c>
      <c r="N51" s="6" t="n">
        <v>-2.2</v>
      </c>
      <c r="O51" s="6" t="n">
        <v>0</v>
      </c>
      <c r="P51" s="6" t="n">
        <v>4</v>
      </c>
      <c r="Q51" s="6" t="n">
        <v>0.35</v>
      </c>
      <c r="R51" s="14" t="n">
        <f aca="false">Q51*L51</f>
        <v>0.77</v>
      </c>
      <c r="S51" s="14" t="n">
        <f aca="false">J51-R51</f>
        <v>-0.77</v>
      </c>
      <c r="T51" s="14" t="n">
        <v>0</v>
      </c>
      <c r="U51" s="6" t="n">
        <v>6</v>
      </c>
      <c r="V51" s="6" t="n">
        <v>1266.5</v>
      </c>
      <c r="X51" s="6" t="n">
        <f aca="false">X50+V51</f>
        <v>4320.9</v>
      </c>
      <c r="Z51" s="6" t="n">
        <f aca="false">(Z49/100)/I61</f>
        <v>0.536808213716108</v>
      </c>
      <c r="AA51" s="6" t="n">
        <v>12.6484839908678</v>
      </c>
    </row>
    <row r="52" s="6" customFormat="true" ht="15" hidden="false" customHeight="false" outlineLevel="0" collapsed="false">
      <c r="A52" s="11"/>
      <c r="B52" s="12"/>
      <c r="C52" s="7" t="n">
        <v>41168</v>
      </c>
      <c r="D52" s="6" t="n">
        <v>15.1</v>
      </c>
      <c r="E52" s="6" t="n">
        <v>8.7</v>
      </c>
      <c r="F52" s="6" t="n">
        <v>22.8</v>
      </c>
      <c r="G52" s="6" t="n">
        <f aca="false">G51+D52</f>
        <v>70.5</v>
      </c>
      <c r="I52" s="13" t="s">
        <v>35</v>
      </c>
      <c r="J52" s="6" t="n">
        <v>0</v>
      </c>
      <c r="K52" s="6" t="n">
        <f aca="false">K51+J52</f>
        <v>2.4</v>
      </c>
      <c r="L52" s="6" t="n">
        <v>2.8</v>
      </c>
      <c r="M52" s="6" t="n">
        <f aca="false">M51+L52</f>
        <v>10</v>
      </c>
      <c r="N52" s="6" t="n">
        <v>-2.8</v>
      </c>
      <c r="O52" s="6" t="n">
        <v>0</v>
      </c>
      <c r="P52" s="6" t="n">
        <v>5</v>
      </c>
      <c r="Q52" s="6" t="n">
        <v>0.35</v>
      </c>
      <c r="R52" s="14" t="n">
        <f aca="false">Q52*L52</f>
        <v>0.98</v>
      </c>
      <c r="S52" s="14" t="n">
        <f aca="false">J52-R52</f>
        <v>-0.98</v>
      </c>
      <c r="T52" s="14" t="n">
        <v>0</v>
      </c>
      <c r="U52" s="13" t="s">
        <v>36</v>
      </c>
      <c r="V52" s="6" t="n">
        <v>1723.1</v>
      </c>
      <c r="X52" s="6" t="n">
        <f aca="false">X51+V52</f>
        <v>6044</v>
      </c>
      <c r="Z52" s="13" t="s">
        <v>37</v>
      </c>
      <c r="AA52" s="6" t="n">
        <v>12.5926223024091</v>
      </c>
    </row>
    <row r="53" s="6" customFormat="true" ht="15" hidden="false" customHeight="false" outlineLevel="0" collapsed="false">
      <c r="A53" s="11"/>
      <c r="B53" s="12"/>
      <c r="C53" s="7" t="n">
        <v>41169</v>
      </c>
      <c r="D53" s="6" t="n">
        <v>16.6</v>
      </c>
      <c r="E53" s="6" t="n">
        <v>10.7</v>
      </c>
      <c r="F53" s="6" t="n">
        <v>25.1</v>
      </c>
      <c r="G53" s="6" t="n">
        <f aca="false">G52+D53</f>
        <v>87.1</v>
      </c>
      <c r="I53" s="14" t="n">
        <f aca="false">AVERAGE(D48:D164)</f>
        <v>8.53675213675214</v>
      </c>
      <c r="J53" s="6" t="n">
        <v>0</v>
      </c>
      <c r="K53" s="6" t="n">
        <f aca="false">K52+J53</f>
        <v>2.4</v>
      </c>
      <c r="L53" s="6" t="n">
        <v>1.7</v>
      </c>
      <c r="M53" s="6" t="n">
        <f aca="false">M52+L53</f>
        <v>11.7</v>
      </c>
      <c r="N53" s="6" t="n">
        <v>-1.7</v>
      </c>
      <c r="O53" s="6" t="n">
        <v>0</v>
      </c>
      <c r="P53" s="6" t="n">
        <v>6</v>
      </c>
      <c r="Q53" s="6" t="n">
        <v>0.35</v>
      </c>
      <c r="R53" s="14" t="n">
        <f aca="false">Q53*L53</f>
        <v>0.595</v>
      </c>
      <c r="S53" s="14" t="n">
        <f aca="false">J53-R53</f>
        <v>-0.595</v>
      </c>
      <c r="T53" s="14" t="n">
        <v>0</v>
      </c>
      <c r="U53" s="6" t="n">
        <v>7</v>
      </c>
      <c r="V53" s="6" t="n">
        <v>999.5</v>
      </c>
      <c r="X53" s="6" t="n">
        <f aca="false">X52+V53</f>
        <v>7043.5</v>
      </c>
      <c r="Z53" s="6" t="n">
        <v>97</v>
      </c>
      <c r="AA53" s="6" t="n">
        <v>12.5367032516716</v>
      </c>
    </row>
    <row r="54" s="6" customFormat="true" ht="15" hidden="false" customHeight="false" outlineLevel="0" collapsed="false">
      <c r="A54" s="11"/>
      <c r="B54" s="12"/>
      <c r="C54" s="7" t="n">
        <v>41170</v>
      </c>
      <c r="D54" s="6" t="n">
        <v>16.2</v>
      </c>
      <c r="E54" s="6" t="n">
        <v>10.1</v>
      </c>
      <c r="F54" s="6" t="n">
        <v>23.1</v>
      </c>
      <c r="G54" s="6" t="n">
        <f aca="false">G53+D54</f>
        <v>103.3</v>
      </c>
      <c r="I54" s="13" t="s">
        <v>38</v>
      </c>
      <c r="J54" s="6" t="n">
        <v>0.7</v>
      </c>
      <c r="K54" s="6" t="n">
        <f aca="false">K53+J54</f>
        <v>3.1</v>
      </c>
      <c r="L54" s="6" t="n">
        <v>2</v>
      </c>
      <c r="M54" s="6" t="n">
        <f aca="false">M53+L54</f>
        <v>13.7</v>
      </c>
      <c r="N54" s="6" t="n">
        <v>-1.3</v>
      </c>
      <c r="O54" s="6" t="n">
        <v>0</v>
      </c>
      <c r="P54" s="6" t="n">
        <v>7</v>
      </c>
      <c r="Q54" s="6" t="n">
        <v>0.35</v>
      </c>
      <c r="R54" s="14" t="n">
        <f aca="false">Q54*L54</f>
        <v>0.7</v>
      </c>
      <c r="S54" s="14" t="n">
        <f aca="false">J54-R54</f>
        <v>0</v>
      </c>
      <c r="T54" s="14" t="n">
        <v>0</v>
      </c>
      <c r="U54" s="13" t="s">
        <v>39</v>
      </c>
      <c r="V54" s="6" t="n">
        <v>952.4</v>
      </c>
      <c r="X54" s="6" t="n">
        <f aca="false">X53+V54</f>
        <v>7995.9</v>
      </c>
      <c r="AA54" s="6" t="n">
        <v>12.4807325294801</v>
      </c>
    </row>
    <row r="55" s="6" customFormat="true" ht="15" hidden="false" customHeight="false" outlineLevel="0" collapsed="false">
      <c r="A55" s="11"/>
      <c r="B55" s="12"/>
      <c r="C55" s="7" t="n">
        <v>41171</v>
      </c>
      <c r="D55" s="6" t="n">
        <v>13.5</v>
      </c>
      <c r="E55" s="6" t="n">
        <v>10.6</v>
      </c>
      <c r="F55" s="6" t="n">
        <v>18</v>
      </c>
      <c r="G55" s="6" t="n">
        <f aca="false">G54+D55</f>
        <v>116.8</v>
      </c>
      <c r="I55" s="6" t="n">
        <v>12</v>
      </c>
      <c r="J55" s="6" t="n">
        <v>0</v>
      </c>
      <c r="K55" s="6" t="n">
        <f aca="false">K54+J55</f>
        <v>3.1</v>
      </c>
      <c r="L55" s="6" t="n">
        <v>3</v>
      </c>
      <c r="M55" s="6" t="n">
        <f aca="false">M54+L55</f>
        <v>16.7</v>
      </c>
      <c r="N55" s="6" t="n">
        <v>-3</v>
      </c>
      <c r="O55" s="6" t="n">
        <v>0</v>
      </c>
      <c r="P55" s="6" t="n">
        <v>8</v>
      </c>
      <c r="Q55" s="6" t="n">
        <v>0.35</v>
      </c>
      <c r="R55" s="14" t="n">
        <f aca="false">Q55*L55</f>
        <v>1.05</v>
      </c>
      <c r="S55" s="14" t="n">
        <f aca="false">J55-R55</f>
        <v>-1.05</v>
      </c>
      <c r="T55" s="14" t="n">
        <v>0</v>
      </c>
      <c r="U55" s="6" t="n">
        <v>0</v>
      </c>
      <c r="V55" s="6" t="n">
        <v>1353.3</v>
      </c>
      <c r="X55" s="6" t="n">
        <f aca="false">X54+V55</f>
        <v>9349.2</v>
      </c>
      <c r="AA55" s="6" t="n">
        <v>12.4247157460469</v>
      </c>
    </row>
    <row r="56" s="6" customFormat="true" ht="15" hidden="false" customHeight="false" outlineLevel="0" collapsed="false">
      <c r="A56" s="11"/>
      <c r="B56" s="12"/>
      <c r="C56" s="7" t="n">
        <v>41172</v>
      </c>
      <c r="D56" s="6" t="n">
        <v>11.3</v>
      </c>
      <c r="E56" s="6" t="n">
        <v>5.5</v>
      </c>
      <c r="F56" s="6" t="n">
        <v>19.1</v>
      </c>
      <c r="G56" s="6" t="n">
        <f aca="false">G55+D56</f>
        <v>128.1</v>
      </c>
      <c r="I56" s="13" t="s">
        <v>40</v>
      </c>
      <c r="J56" s="6" t="n">
        <v>0</v>
      </c>
      <c r="K56" s="6" t="n">
        <f aca="false">K55+J56</f>
        <v>3.1</v>
      </c>
      <c r="L56" s="6" t="n">
        <v>2.6</v>
      </c>
      <c r="M56" s="6" t="n">
        <f aca="false">M55+L56</f>
        <v>19.3</v>
      </c>
      <c r="N56" s="6" t="n">
        <v>-2.6</v>
      </c>
      <c r="O56" s="6" t="n">
        <v>0</v>
      </c>
      <c r="P56" s="6" t="n">
        <v>9</v>
      </c>
      <c r="Q56" s="6" t="n">
        <v>0.35</v>
      </c>
      <c r="R56" s="14" t="n">
        <f aca="false">Q56*L56</f>
        <v>0.91</v>
      </c>
      <c r="S56" s="14" t="n">
        <f aca="false">J56-R56</f>
        <v>-0.91</v>
      </c>
      <c r="T56" s="14" t="n">
        <v>0</v>
      </c>
      <c r="U56" s="13" t="s">
        <v>41</v>
      </c>
      <c r="V56" s="6" t="n">
        <v>1410.9</v>
      </c>
      <c r="X56" s="6" t="n">
        <f aca="false">X55+V56</f>
        <v>10760.1</v>
      </c>
      <c r="AA56" s="6" t="n">
        <v>12.3686584464126</v>
      </c>
    </row>
    <row r="57" s="6" customFormat="true" ht="15" hidden="false" customHeight="false" outlineLevel="0" collapsed="false">
      <c r="A57" s="11"/>
      <c r="B57" s="12"/>
      <c r="C57" s="7" t="n">
        <v>41173</v>
      </c>
      <c r="D57" s="6" t="n">
        <v>14.1</v>
      </c>
      <c r="E57" s="6" t="n">
        <v>4.7</v>
      </c>
      <c r="F57" s="6" t="n">
        <v>23</v>
      </c>
      <c r="G57" s="6" t="n">
        <f aca="false">G56+D57</f>
        <v>142.2</v>
      </c>
      <c r="I57" s="6" t="n">
        <v>1</v>
      </c>
      <c r="J57" s="6" t="n">
        <v>21.2</v>
      </c>
      <c r="K57" s="6" t="n">
        <f aca="false">K56+J57</f>
        <v>24.3</v>
      </c>
      <c r="L57" s="6" t="n">
        <v>2.6</v>
      </c>
      <c r="M57" s="6" t="n">
        <f aca="false">M56+L57</f>
        <v>21.9</v>
      </c>
      <c r="N57" s="6" t="n">
        <v>18.6</v>
      </c>
      <c r="O57" s="6" t="n">
        <f aca="false">O56+N57</f>
        <v>18.6</v>
      </c>
      <c r="P57" s="6" t="n">
        <v>10</v>
      </c>
      <c r="Q57" s="6" t="n">
        <v>0.35</v>
      </c>
      <c r="R57" s="14" t="n">
        <f aca="false">Q57*L57</f>
        <v>0.91</v>
      </c>
      <c r="S57" s="14" t="n">
        <f aca="false">J57-R57</f>
        <v>20.29</v>
      </c>
      <c r="T57" s="14" t="n">
        <f aca="false">MIN(122.1,(T56+S57))</f>
        <v>20.29</v>
      </c>
      <c r="U57" s="14" t="n">
        <f aca="false">MAX(T48:T164)</f>
        <v>122.1</v>
      </c>
      <c r="V57" s="6" t="n">
        <v>1484.6</v>
      </c>
      <c r="X57" s="6" t="n">
        <f aca="false">X56+V57</f>
        <v>12244.7</v>
      </c>
      <c r="AA57" s="6" t="n">
        <v>12.3125661259556</v>
      </c>
    </row>
    <row r="58" s="6" customFormat="true" ht="15" hidden="false" customHeight="false" outlineLevel="0" collapsed="false">
      <c r="A58" s="11"/>
      <c r="B58" s="12"/>
      <c r="C58" s="7" t="n">
        <v>41174</v>
      </c>
      <c r="D58" s="6" t="n">
        <v>13.6</v>
      </c>
      <c r="E58" s="6" t="n">
        <v>12.6</v>
      </c>
      <c r="F58" s="6" t="n">
        <v>15</v>
      </c>
      <c r="G58" s="6" t="n">
        <f aca="false">G57+D58</f>
        <v>155.8</v>
      </c>
      <c r="I58" s="13" t="s">
        <v>42</v>
      </c>
      <c r="J58" s="6" t="n">
        <v>1.8</v>
      </c>
      <c r="K58" s="6" t="n">
        <f aca="false">K57+J58</f>
        <v>26.1</v>
      </c>
      <c r="L58" s="6" t="n">
        <v>0.5</v>
      </c>
      <c r="M58" s="6" t="n">
        <f aca="false">M57+L58</f>
        <v>22.4</v>
      </c>
      <c r="N58" s="6" t="n">
        <v>1.3</v>
      </c>
      <c r="O58" s="6" t="n">
        <f aca="false">O57+N58</f>
        <v>19.9</v>
      </c>
      <c r="P58" s="6" t="n">
        <v>11</v>
      </c>
      <c r="Q58" s="6" t="n">
        <f aca="false">0.35+((P58-10)/107)*(1-0.35)</f>
        <v>0.35607476635514</v>
      </c>
      <c r="R58" s="14" t="n">
        <f aca="false">Q58*L58</f>
        <v>0.17803738317757</v>
      </c>
      <c r="S58" s="14" t="n">
        <f aca="false">J58-R58</f>
        <v>1.62196261682243</v>
      </c>
      <c r="T58" s="14" t="n">
        <f aca="false">MIN(122.1,(T57+S58))</f>
        <v>21.9119626168224</v>
      </c>
      <c r="U58" s="13" t="s">
        <v>43</v>
      </c>
      <c r="V58" s="6" t="n">
        <v>397.8</v>
      </c>
      <c r="X58" s="6" t="n">
        <f aca="false">X57+V58</f>
        <v>12642.5</v>
      </c>
      <c r="AA58" s="6" t="n">
        <v>12.2564442459744</v>
      </c>
    </row>
    <row r="59" s="6" customFormat="true" ht="15" hidden="false" customHeight="false" outlineLevel="0" collapsed="false">
      <c r="A59" s="11"/>
      <c r="B59" s="12"/>
      <c r="C59" s="7" t="n">
        <v>41175</v>
      </c>
      <c r="D59" s="6" t="n">
        <v>16.4</v>
      </c>
      <c r="E59" s="6" t="n">
        <v>11.2</v>
      </c>
      <c r="F59" s="6" t="n">
        <v>20.8</v>
      </c>
      <c r="G59" s="6" t="n">
        <f aca="false">G58+D59</f>
        <v>172.2</v>
      </c>
      <c r="I59" s="6" t="n">
        <v>39</v>
      </c>
      <c r="J59" s="6" t="n">
        <v>9.2</v>
      </c>
      <c r="K59" s="6" t="n">
        <f aca="false">K58+J59</f>
        <v>35.3</v>
      </c>
      <c r="L59" s="6" t="n">
        <v>1</v>
      </c>
      <c r="M59" s="6" t="n">
        <f aca="false">M58+L59</f>
        <v>23.4</v>
      </c>
      <c r="N59" s="6" t="n">
        <v>8.2</v>
      </c>
      <c r="O59" s="6" t="n">
        <f aca="false">O58+N59</f>
        <v>28.1</v>
      </c>
      <c r="P59" s="6" t="n">
        <v>12</v>
      </c>
      <c r="Q59" s="6" t="n">
        <f aca="false">0.35+((P59-10)/107)*(1-0.35)</f>
        <v>0.36214953271028</v>
      </c>
      <c r="R59" s="14" t="n">
        <f aca="false">Q59*L59</f>
        <v>0.36214953271028</v>
      </c>
      <c r="S59" s="14" t="n">
        <f aca="false">J59-R59</f>
        <v>8.83785046728972</v>
      </c>
      <c r="T59" s="14" t="n">
        <f aca="false">MIN(122.1,(T58+S59))</f>
        <v>30.7498130841121</v>
      </c>
      <c r="U59" s="15" t="n">
        <f aca="false">AVERAGE(T48:T164)</f>
        <v>103.496578800224</v>
      </c>
      <c r="V59" s="6" t="n">
        <v>584.5</v>
      </c>
      <c r="X59" s="6" t="n">
        <f aca="false">X58+V59</f>
        <v>13227</v>
      </c>
      <c r="AA59" s="6" t="n">
        <v>12.2002982493455</v>
      </c>
    </row>
    <row r="60" s="6" customFormat="true" ht="15" hidden="false" customHeight="false" outlineLevel="0" collapsed="false">
      <c r="A60" s="11"/>
      <c r="B60" s="12"/>
      <c r="C60" s="7" t="n">
        <v>41176</v>
      </c>
      <c r="D60" s="6" t="n">
        <v>16.6</v>
      </c>
      <c r="E60" s="6" t="n">
        <v>14.8</v>
      </c>
      <c r="F60" s="6" t="n">
        <v>18.9</v>
      </c>
      <c r="G60" s="6" t="n">
        <f aca="false">G59+D60</f>
        <v>188.8</v>
      </c>
      <c r="I60" s="13" t="s">
        <v>44</v>
      </c>
      <c r="J60" s="6" t="n">
        <v>3.4</v>
      </c>
      <c r="K60" s="6" t="n">
        <f aca="false">K59+J60</f>
        <v>38.7</v>
      </c>
      <c r="L60" s="6" t="n">
        <v>2.1</v>
      </c>
      <c r="M60" s="6" t="n">
        <f aca="false">M59+L60</f>
        <v>25.5</v>
      </c>
      <c r="N60" s="6" t="n">
        <v>1.3</v>
      </c>
      <c r="O60" s="6" t="n">
        <f aca="false">O59+N60</f>
        <v>29.4</v>
      </c>
      <c r="P60" s="6" t="n">
        <v>13</v>
      </c>
      <c r="Q60" s="6" t="n">
        <f aca="false">0.35+((P60-10)/107)*(1-0.35)</f>
        <v>0.368224299065421</v>
      </c>
      <c r="R60" s="14" t="n">
        <f aca="false">Q60*L60</f>
        <v>0.773271028037383</v>
      </c>
      <c r="S60" s="14" t="n">
        <f aca="false">J60-R60</f>
        <v>2.62672897196262</v>
      </c>
      <c r="T60" s="14" t="n">
        <f aca="false">MIN(122.1,(T59+S60))</f>
        <v>33.3765420560748</v>
      </c>
      <c r="V60" s="6" t="n">
        <v>758</v>
      </c>
      <c r="X60" s="6" t="n">
        <f aca="false">X59+V60</f>
        <v>13985</v>
      </c>
      <c r="AA60" s="6" t="n">
        <v>12.144133576261</v>
      </c>
    </row>
    <row r="61" s="6" customFormat="true" ht="15" hidden="false" customHeight="false" outlineLevel="0" collapsed="false">
      <c r="A61" s="11"/>
      <c r="B61" s="12"/>
      <c r="C61" s="7" t="n">
        <v>41177</v>
      </c>
      <c r="D61" s="6" t="n">
        <v>14.1</v>
      </c>
      <c r="E61" s="6" t="n">
        <v>13.6</v>
      </c>
      <c r="F61" s="6" t="n">
        <v>15</v>
      </c>
      <c r="G61" s="6" t="n">
        <f aca="false">G60+D61</f>
        <v>202.9</v>
      </c>
      <c r="I61" s="6" t="n">
        <v>1003.2</v>
      </c>
      <c r="J61" s="6" t="n">
        <v>22</v>
      </c>
      <c r="K61" s="6" t="n">
        <f aca="false">K60+J61</f>
        <v>60.7</v>
      </c>
      <c r="L61" s="6" t="n">
        <v>1.1</v>
      </c>
      <c r="M61" s="6" t="n">
        <f aca="false">M60+L61</f>
        <v>26.6</v>
      </c>
      <c r="N61" s="6" t="n">
        <v>20.9</v>
      </c>
      <c r="O61" s="6" t="n">
        <f aca="false">O60+N61</f>
        <v>50.3</v>
      </c>
      <c r="P61" s="6" t="n">
        <v>14</v>
      </c>
      <c r="Q61" s="6" t="n">
        <f aca="false">0.35+((P61-10)/107)*(1-0.35)</f>
        <v>0.374299065420561</v>
      </c>
      <c r="R61" s="14" t="n">
        <f aca="false">Q61*L61</f>
        <v>0.411728971962617</v>
      </c>
      <c r="S61" s="14" t="n">
        <f aca="false">J61-R61</f>
        <v>21.5882710280374</v>
      </c>
      <c r="T61" s="14" t="n">
        <f aca="false">MIN(122.1,(T60+S61))</f>
        <v>54.9648130841122</v>
      </c>
      <c r="U61" s="14" t="n">
        <f aca="false">(U59*100)/122.1</f>
        <v>84.7637828011661</v>
      </c>
      <c r="V61" s="6" t="n">
        <v>327.8</v>
      </c>
      <c r="X61" s="6" t="n">
        <f aca="false">X60+V61</f>
        <v>14312.8</v>
      </c>
      <c r="AA61" s="6" t="n">
        <v>12.0879556800494</v>
      </c>
    </row>
    <row r="62" s="6" customFormat="true" ht="15" hidden="false" customHeight="false" outlineLevel="0" collapsed="false">
      <c r="A62" s="11"/>
      <c r="B62" s="12"/>
      <c r="C62" s="7" t="n">
        <v>41178</v>
      </c>
      <c r="D62" s="6" t="n">
        <v>11.3</v>
      </c>
      <c r="E62" s="6" t="n">
        <v>10.9</v>
      </c>
      <c r="F62" s="6" t="n">
        <v>11.9</v>
      </c>
      <c r="G62" s="6" t="n">
        <f aca="false">G61+D62</f>
        <v>214.2</v>
      </c>
      <c r="J62" s="6" t="n">
        <v>23.2</v>
      </c>
      <c r="K62" s="6" t="n">
        <f aca="false">K61+J62</f>
        <v>83.9</v>
      </c>
      <c r="L62" s="6" t="n">
        <v>0.7</v>
      </c>
      <c r="M62" s="6" t="n">
        <f aca="false">M61+L62</f>
        <v>27.3</v>
      </c>
      <c r="N62" s="6" t="n">
        <v>22.5</v>
      </c>
      <c r="O62" s="6" t="n">
        <f aca="false">O61+N62</f>
        <v>72.8</v>
      </c>
      <c r="P62" s="6" t="n">
        <v>15</v>
      </c>
      <c r="Q62" s="6" t="n">
        <f aca="false">0.35+((P62-10)/107)*(1-0.35)</f>
        <v>0.380373831775701</v>
      </c>
      <c r="R62" s="14" t="n">
        <f aca="false">Q62*L62</f>
        <v>0.266261682242991</v>
      </c>
      <c r="S62" s="14" t="n">
        <f aca="false">J62-R62</f>
        <v>22.933738317757</v>
      </c>
      <c r="T62" s="14" t="n">
        <f aca="false">MIN(122.1,(T61+S62))</f>
        <v>77.8985514018692</v>
      </c>
      <c r="V62" s="6" t="n">
        <v>303.2</v>
      </c>
      <c r="X62" s="6" t="n">
        <f aca="false">X61+V62</f>
        <v>14616</v>
      </c>
      <c r="AA62" s="6" t="n">
        <v>12.0317700430846</v>
      </c>
    </row>
    <row r="63" s="6" customFormat="true" ht="15" hidden="false" customHeight="false" outlineLevel="0" collapsed="false">
      <c r="A63" s="11"/>
      <c r="B63" s="12"/>
      <c r="C63" s="7" t="n">
        <v>41179</v>
      </c>
      <c r="D63" s="6" t="n">
        <v>11.9</v>
      </c>
      <c r="E63" s="6" t="n">
        <v>10.2</v>
      </c>
      <c r="F63" s="6" t="n">
        <v>14.9</v>
      </c>
      <c r="G63" s="6" t="n">
        <f aca="false">G62+D63</f>
        <v>226.1</v>
      </c>
      <c r="J63" s="6" t="n">
        <v>2.5</v>
      </c>
      <c r="K63" s="6" t="n">
        <f aca="false">K62+J63</f>
        <v>86.4</v>
      </c>
      <c r="L63" s="6" t="n">
        <v>2</v>
      </c>
      <c r="M63" s="6" t="n">
        <f aca="false">M62+L63</f>
        <v>29.3</v>
      </c>
      <c r="N63" s="6" t="n">
        <v>0.5</v>
      </c>
      <c r="O63" s="6" t="n">
        <f aca="false">O62+N63</f>
        <v>73.3</v>
      </c>
      <c r="P63" s="6" t="n">
        <v>16</v>
      </c>
      <c r="Q63" s="6" t="n">
        <f aca="false">0.35+((P63-10)/107)*(1-0.35)</f>
        <v>0.386448598130841</v>
      </c>
      <c r="R63" s="14" t="n">
        <f aca="false">Q63*L63</f>
        <v>0.772897196261682</v>
      </c>
      <c r="S63" s="14" t="n">
        <f aca="false">J63-R63</f>
        <v>1.72710280373832</v>
      </c>
      <c r="T63" s="14" t="n">
        <f aca="false">MIN(122.1,(T62+S63))</f>
        <v>79.6256542056075</v>
      </c>
      <c r="V63" s="6" t="n">
        <v>1139.4</v>
      </c>
      <c r="X63" s="6" t="n">
        <f aca="false">X62+V63</f>
        <v>15755.4</v>
      </c>
      <c r="AA63" s="6" t="n">
        <v>11.9755821927857</v>
      </c>
    </row>
    <row r="64" s="6" customFormat="true" ht="15" hidden="false" customHeight="false" outlineLevel="0" collapsed="false">
      <c r="A64" s="11"/>
      <c r="B64" s="12"/>
      <c r="C64" s="7" t="n">
        <v>41180</v>
      </c>
      <c r="D64" s="6" t="n">
        <v>12.5</v>
      </c>
      <c r="E64" s="6" t="n">
        <v>6.6</v>
      </c>
      <c r="F64" s="6" t="n">
        <v>20.4</v>
      </c>
      <c r="G64" s="6" t="n">
        <f aca="false">G63+D64</f>
        <v>238.6</v>
      </c>
      <c r="J64" s="6" t="n">
        <v>0</v>
      </c>
      <c r="K64" s="6" t="n">
        <f aca="false">K63+J64</f>
        <v>86.4</v>
      </c>
      <c r="L64" s="6" t="n">
        <v>2.3</v>
      </c>
      <c r="M64" s="6" t="n">
        <f aca="false">M63+L64</f>
        <v>31.6</v>
      </c>
      <c r="N64" s="6" t="n">
        <v>-2.3</v>
      </c>
      <c r="O64" s="6" t="n">
        <f aca="false">O63+N64</f>
        <v>71</v>
      </c>
      <c r="P64" s="6" t="n">
        <v>17</v>
      </c>
      <c r="Q64" s="6" t="n">
        <f aca="false">0.35+((P64-10)/107)*(1-0.35)</f>
        <v>0.392523364485981</v>
      </c>
      <c r="R64" s="14" t="n">
        <f aca="false">Q64*L64</f>
        <v>0.902803738317757</v>
      </c>
      <c r="S64" s="14" t="n">
        <f aca="false">J64-R64</f>
        <v>-0.902803738317757</v>
      </c>
      <c r="T64" s="14" t="n">
        <f aca="false">MIN(122.1,(T63+S64))</f>
        <v>78.7228504672897</v>
      </c>
      <c r="V64" s="6" t="n">
        <v>1535.3</v>
      </c>
      <c r="X64" s="6" t="n">
        <f aca="false">X63+V64</f>
        <v>17290.7</v>
      </c>
      <c r="AA64" s="6" t="n">
        <v>11.9193977177122</v>
      </c>
    </row>
    <row r="65" s="6" customFormat="true" ht="15" hidden="false" customHeight="false" outlineLevel="0" collapsed="false">
      <c r="A65" s="11"/>
      <c r="B65" s="12"/>
      <c r="C65" s="7" t="n">
        <v>41181</v>
      </c>
      <c r="D65" s="6" t="n">
        <v>12.3</v>
      </c>
      <c r="E65" s="6" t="n">
        <v>8</v>
      </c>
      <c r="F65" s="6" t="n">
        <v>18.4</v>
      </c>
      <c r="G65" s="6" t="n">
        <f aca="false">G64+D65</f>
        <v>250.9</v>
      </c>
      <c r="J65" s="6" t="n">
        <v>0</v>
      </c>
      <c r="K65" s="6" t="n">
        <f aca="false">K64+J65</f>
        <v>86.4</v>
      </c>
      <c r="L65" s="6" t="n">
        <v>1.5</v>
      </c>
      <c r="M65" s="6" t="n">
        <f aca="false">M64+L65</f>
        <v>33.1</v>
      </c>
      <c r="N65" s="6" t="n">
        <v>-1.5</v>
      </c>
      <c r="O65" s="6" t="n">
        <f aca="false">O64+N65</f>
        <v>69.5</v>
      </c>
      <c r="P65" s="6" t="n">
        <v>18</v>
      </c>
      <c r="Q65" s="6" t="n">
        <f aca="false">0.35+((P65-10)/107)*(1-0.35)</f>
        <v>0.398598130841122</v>
      </c>
      <c r="R65" s="14" t="n">
        <f aca="false">Q65*L65</f>
        <v>0.597897196261682</v>
      </c>
      <c r="S65" s="14" t="n">
        <f aca="false">J65-R65</f>
        <v>-0.597897196261682</v>
      </c>
      <c r="T65" s="14" t="n">
        <f aca="false">MIN(122.1,(T64+S65))</f>
        <v>78.124953271028</v>
      </c>
      <c r="V65" s="6" t="n">
        <v>1006.6</v>
      </c>
      <c r="X65" s="6" t="n">
        <f aca="false">X64+V65</f>
        <v>18297.3</v>
      </c>
      <c r="AA65" s="6" t="n">
        <v>11.8632222837584</v>
      </c>
    </row>
    <row r="66" s="6" customFormat="true" ht="15" hidden="false" customHeight="false" outlineLevel="0" collapsed="false">
      <c r="A66" s="11"/>
      <c r="B66" s="12"/>
      <c r="C66" s="7" t="n">
        <v>41182</v>
      </c>
      <c r="D66" s="6" t="n">
        <v>12.6</v>
      </c>
      <c r="E66" s="6" t="n">
        <v>9</v>
      </c>
      <c r="F66" s="6" t="n">
        <v>17.4</v>
      </c>
      <c r="G66" s="6" t="n">
        <f aca="false">G65+D66</f>
        <v>263.5</v>
      </c>
      <c r="J66" s="6" t="n">
        <v>0</v>
      </c>
      <c r="K66" s="6" t="n">
        <f aca="false">K65+J66</f>
        <v>86.4</v>
      </c>
      <c r="L66" s="6" t="n">
        <v>1.7</v>
      </c>
      <c r="M66" s="6" t="n">
        <f aca="false">M65+L66</f>
        <v>34.8</v>
      </c>
      <c r="N66" s="6" t="n">
        <v>-1.7</v>
      </c>
      <c r="O66" s="6" t="n">
        <f aca="false">O65+N66</f>
        <v>67.8</v>
      </c>
      <c r="P66" s="6" t="n">
        <v>19</v>
      </c>
      <c r="Q66" s="6" t="n">
        <f aca="false">0.35+((P66-10)/107)*(1-0.35)</f>
        <v>0.404672897196262</v>
      </c>
      <c r="R66" s="14" t="n">
        <f aca="false">Q66*L66</f>
        <v>0.687943925233645</v>
      </c>
      <c r="S66" s="14" t="n">
        <f aca="false">J66-R66</f>
        <v>-0.687943925233645</v>
      </c>
      <c r="T66" s="14" t="n">
        <f aca="false">MIN(122.1,(T65+S66))</f>
        <v>77.4370093457944</v>
      </c>
      <c r="V66" s="6" t="n">
        <v>1065.3</v>
      </c>
      <c r="X66" s="6" t="n">
        <f aca="false">X65+V66</f>
        <v>19362.6</v>
      </c>
      <c r="AA66" s="6" t="n">
        <v>11.8070616504488</v>
      </c>
    </row>
    <row r="67" s="6" customFormat="true" ht="15" hidden="false" customHeight="false" outlineLevel="0" collapsed="false">
      <c r="A67" s="11"/>
      <c r="B67" s="12"/>
      <c r="C67" s="7" t="n">
        <v>41183</v>
      </c>
      <c r="D67" s="6" t="n">
        <v>12.3</v>
      </c>
      <c r="E67" s="6" t="n">
        <v>7.5</v>
      </c>
      <c r="F67" s="6" t="n">
        <v>19.5</v>
      </c>
      <c r="G67" s="6" t="n">
        <f aca="false">G66+D67</f>
        <v>275.8</v>
      </c>
      <c r="J67" s="6" t="n">
        <v>0</v>
      </c>
      <c r="K67" s="6" t="n">
        <f aca="false">K66+J67</f>
        <v>86.4</v>
      </c>
      <c r="L67" s="6" t="n">
        <v>1.6</v>
      </c>
      <c r="M67" s="6" t="n">
        <f aca="false">M66+L67</f>
        <v>36.4</v>
      </c>
      <c r="N67" s="6" t="n">
        <v>-1.6</v>
      </c>
      <c r="O67" s="6" t="n">
        <f aca="false">O66+N67</f>
        <v>66.2</v>
      </c>
      <c r="P67" s="6" t="n">
        <v>20</v>
      </c>
      <c r="Q67" s="6" t="n">
        <f aca="false">0.35+((P67-10)/107)*(1-0.35)</f>
        <v>0.410747663551402</v>
      </c>
      <c r="R67" s="14" t="n">
        <f aca="false">Q67*L67</f>
        <v>0.657196261682243</v>
      </c>
      <c r="S67" s="14" t="n">
        <f aca="false">J67-R67</f>
        <v>-0.657196261682243</v>
      </c>
      <c r="T67" s="14" t="n">
        <f aca="false">MIN(122.1,(T66+S67))</f>
        <v>76.7798130841122</v>
      </c>
      <c r="V67" s="6" t="n">
        <v>1069.5</v>
      </c>
      <c r="X67" s="6" t="n">
        <f aca="false">X66+V67</f>
        <v>20432.1</v>
      </c>
      <c r="AA67" s="6" t="n">
        <v>11.750921687338</v>
      </c>
    </row>
    <row r="68" s="6" customFormat="true" ht="15" hidden="false" customHeight="false" outlineLevel="0" collapsed="false">
      <c r="A68" s="11"/>
      <c r="B68" s="12"/>
      <c r="C68" s="7" t="n">
        <v>41184</v>
      </c>
      <c r="D68" s="6" t="n">
        <v>13.1</v>
      </c>
      <c r="E68" s="6" t="n">
        <v>7.2</v>
      </c>
      <c r="F68" s="6" t="n">
        <v>18.8</v>
      </c>
      <c r="G68" s="6" t="n">
        <f aca="false">G67+D68</f>
        <v>288.9</v>
      </c>
      <c r="J68" s="6" t="n">
        <v>1.6</v>
      </c>
      <c r="K68" s="6" t="n">
        <f aca="false">K67+J68</f>
        <v>88</v>
      </c>
      <c r="L68" s="6" t="n">
        <v>1.9</v>
      </c>
      <c r="M68" s="6" t="n">
        <f aca="false">M67+L68</f>
        <v>38.3</v>
      </c>
      <c r="N68" s="6" t="n">
        <v>-0.3</v>
      </c>
      <c r="O68" s="6" t="n">
        <f aca="false">O67+N68</f>
        <v>65.9</v>
      </c>
      <c r="P68" s="6" t="n">
        <v>21</v>
      </c>
      <c r="Q68" s="6" t="n">
        <f aca="false">0.35+((P68-10)/107)*(1-0.35)</f>
        <v>0.416822429906542</v>
      </c>
      <c r="R68" s="14" t="n">
        <f aca="false">Q68*L68</f>
        <v>0.79196261682243</v>
      </c>
      <c r="S68" s="14" t="n">
        <f aca="false">J68-R68</f>
        <v>0.80803738317757</v>
      </c>
      <c r="T68" s="14" t="n">
        <f aca="false">MIN(122.1,(T67+S68))</f>
        <v>77.5878504672897</v>
      </c>
      <c r="V68" s="6" t="n">
        <v>1192.7</v>
      </c>
      <c r="X68" s="6" t="n">
        <f aca="false">X67+V68</f>
        <v>21624.8</v>
      </c>
      <c r="AA68" s="6" t="n">
        <v>11.6948083905158</v>
      </c>
    </row>
    <row r="69" s="6" customFormat="true" ht="15" hidden="false" customHeight="false" outlineLevel="0" collapsed="false">
      <c r="A69" s="11"/>
      <c r="B69" s="12"/>
      <c r="C69" s="7" t="n">
        <v>41185</v>
      </c>
      <c r="D69" s="6" t="n">
        <v>15.7</v>
      </c>
      <c r="E69" s="6" t="n">
        <v>12.1</v>
      </c>
      <c r="F69" s="6" t="n">
        <v>20.1</v>
      </c>
      <c r="G69" s="6" t="n">
        <f aca="false">G68+D69</f>
        <v>304.6</v>
      </c>
      <c r="J69" s="6" t="n">
        <v>0</v>
      </c>
      <c r="K69" s="6" t="n">
        <f aca="false">K68+J69</f>
        <v>88</v>
      </c>
      <c r="L69" s="6" t="n">
        <v>1.7</v>
      </c>
      <c r="M69" s="6" t="n">
        <f aca="false">M68+L69</f>
        <v>40</v>
      </c>
      <c r="N69" s="6" t="n">
        <v>-1.7</v>
      </c>
      <c r="O69" s="6" t="n">
        <f aca="false">O68+N69</f>
        <v>64.2</v>
      </c>
      <c r="P69" s="6" t="n">
        <v>22</v>
      </c>
      <c r="Q69" s="6" t="n">
        <f aca="false">0.35+((P69-10)/107)*(1-0.35)</f>
        <v>0.422897196261682</v>
      </c>
      <c r="R69" s="14" t="n">
        <f aca="false">Q69*L69</f>
        <v>0.71892523364486</v>
      </c>
      <c r="S69" s="14" t="n">
        <f aca="false">J69-R69</f>
        <v>-0.71892523364486</v>
      </c>
      <c r="T69" s="14" t="n">
        <f aca="false">MIN(122.1,(T68+S69))</f>
        <v>76.8689252336449</v>
      </c>
      <c r="V69" s="6" t="n">
        <v>747.8</v>
      </c>
      <c r="X69" s="6" t="n">
        <f aca="false">X68+V69</f>
        <v>22372.6</v>
      </c>
      <c r="AA69" s="6" t="n">
        <v>11.6387278992187</v>
      </c>
    </row>
    <row r="70" s="6" customFormat="true" ht="15" hidden="false" customHeight="false" outlineLevel="0" collapsed="false">
      <c r="A70" s="11"/>
      <c r="B70" s="12"/>
      <c r="C70" s="7" t="n">
        <v>41186</v>
      </c>
      <c r="D70" s="6" t="n">
        <v>15.2</v>
      </c>
      <c r="E70" s="6" t="n">
        <v>14</v>
      </c>
      <c r="F70" s="6" t="n">
        <v>17.8</v>
      </c>
      <c r="G70" s="6" t="n">
        <f aca="false">G69+D70</f>
        <v>319.8</v>
      </c>
      <c r="J70" s="6" t="n">
        <v>0.8</v>
      </c>
      <c r="K70" s="6" t="n">
        <f aca="false">K69+J70</f>
        <v>88.8</v>
      </c>
      <c r="L70" s="6" t="n">
        <v>1.7</v>
      </c>
      <c r="M70" s="6" t="n">
        <f aca="false">M69+L70</f>
        <v>41.7</v>
      </c>
      <c r="N70" s="6" t="n">
        <v>-0.9</v>
      </c>
      <c r="O70" s="6" t="n">
        <f aca="false">O69+N70</f>
        <v>63.3</v>
      </c>
      <c r="P70" s="6" t="n">
        <v>23</v>
      </c>
      <c r="Q70" s="6" t="n">
        <f aca="false">0.35+((P70-10)/107)*(1-0.35)</f>
        <v>0.428971962616822</v>
      </c>
      <c r="R70" s="14" t="n">
        <f aca="false">Q70*L70</f>
        <v>0.729252336448598</v>
      </c>
      <c r="S70" s="14" t="n">
        <f aca="false">J70-R70</f>
        <v>0.0707476635514019</v>
      </c>
      <c r="T70" s="14" t="n">
        <f aca="false">MIN(122.1,(T69+S70))</f>
        <v>76.9396728971963</v>
      </c>
      <c r="V70" s="6" t="n">
        <v>301.2</v>
      </c>
      <c r="X70" s="6" t="n">
        <f aca="false">X69+V70</f>
        <v>22673.8</v>
      </c>
      <c r="AA70" s="6" t="n">
        <v>11.5826865125461</v>
      </c>
    </row>
    <row r="71" s="6" customFormat="true" ht="15" hidden="false" customHeight="false" outlineLevel="0" collapsed="false">
      <c r="A71" s="11"/>
      <c r="B71" s="12"/>
      <c r="C71" s="7" t="n">
        <v>41187</v>
      </c>
      <c r="D71" s="6" t="n">
        <v>15</v>
      </c>
      <c r="E71" s="6" t="n">
        <v>10</v>
      </c>
      <c r="F71" s="6" t="n">
        <v>21.5</v>
      </c>
      <c r="G71" s="6" t="n">
        <f aca="false">G70+D71</f>
        <v>334.8</v>
      </c>
      <c r="J71" s="6" t="n">
        <v>0.1</v>
      </c>
      <c r="K71" s="6" t="n">
        <f aca="false">K70+J71</f>
        <v>88.9</v>
      </c>
      <c r="L71" s="6" t="n">
        <v>2.1</v>
      </c>
      <c r="M71" s="6" t="n">
        <f aca="false">M70+L71</f>
        <v>43.8</v>
      </c>
      <c r="N71" s="6" t="n">
        <v>-2</v>
      </c>
      <c r="O71" s="6" t="n">
        <f aca="false">O70+N71</f>
        <v>61.3</v>
      </c>
      <c r="P71" s="6" t="n">
        <v>24</v>
      </c>
      <c r="Q71" s="6" t="n">
        <f aca="false">0.35+((P71-10)/107)*(1-0.35)</f>
        <v>0.435046728971963</v>
      </c>
      <c r="R71" s="14" t="n">
        <f aca="false">Q71*L71</f>
        <v>0.913598130841122</v>
      </c>
      <c r="S71" s="14" t="n">
        <f aca="false">J71-R71</f>
        <v>-0.813598130841122</v>
      </c>
      <c r="T71" s="14" t="n">
        <f aca="false">MIN(122.1,(T70+S71))</f>
        <v>76.1260747663552</v>
      </c>
      <c r="V71" s="6" t="n">
        <v>1160.6</v>
      </c>
      <c r="X71" s="6" t="n">
        <f aca="false">X70+V71</f>
        <v>23834.4</v>
      </c>
      <c r="AA71" s="6" t="n">
        <v>11.5266907062811</v>
      </c>
    </row>
    <row r="72" s="6" customFormat="true" ht="15" hidden="false" customHeight="false" outlineLevel="0" collapsed="false">
      <c r="A72" s="11"/>
      <c r="B72" s="12"/>
      <c r="C72" s="7" t="n">
        <v>41188</v>
      </c>
      <c r="D72" s="6" t="n">
        <v>16.9</v>
      </c>
      <c r="E72" s="6" t="n">
        <v>9.8</v>
      </c>
      <c r="F72" s="6" t="n">
        <v>23.6</v>
      </c>
      <c r="G72" s="6" t="n">
        <f aca="false">G71+D72</f>
        <v>351.7</v>
      </c>
      <c r="J72" s="6" t="n">
        <v>8.4</v>
      </c>
      <c r="K72" s="6" t="n">
        <f aca="false">K71+J72</f>
        <v>97.3</v>
      </c>
      <c r="L72" s="6" t="n">
        <v>1.8</v>
      </c>
      <c r="M72" s="6" t="n">
        <f aca="false">M71+L72</f>
        <v>45.6</v>
      </c>
      <c r="N72" s="6" t="n">
        <v>6.6</v>
      </c>
      <c r="O72" s="6" t="n">
        <f aca="false">O71+N72</f>
        <v>67.9</v>
      </c>
      <c r="P72" s="6" t="n">
        <v>25</v>
      </c>
      <c r="Q72" s="6" t="n">
        <f aca="false">0.35+((P72-10)/107)*(1-0.35)</f>
        <v>0.441121495327103</v>
      </c>
      <c r="R72" s="14" t="n">
        <f aca="false">Q72*L72</f>
        <v>0.794018691588785</v>
      </c>
      <c r="S72" s="14" t="n">
        <f aca="false">J72-R72</f>
        <v>7.60598130841122</v>
      </c>
      <c r="T72" s="14" t="n">
        <f aca="false">MIN(122.1,(T71+S72))</f>
        <v>83.7320560747664</v>
      </c>
      <c r="V72" s="6" t="n">
        <v>983.9</v>
      </c>
      <c r="X72" s="6" t="n">
        <f aca="false">X71+V72</f>
        <v>24818.3</v>
      </c>
      <c r="AA72" s="6" t="n">
        <v>11.4707471498109</v>
      </c>
    </row>
    <row r="73" s="6" customFormat="true" ht="15" hidden="false" customHeight="false" outlineLevel="0" collapsed="false">
      <c r="A73" s="11"/>
      <c r="B73" s="12"/>
      <c r="C73" s="7" t="n">
        <v>41189</v>
      </c>
      <c r="D73" s="6" t="n">
        <v>15</v>
      </c>
      <c r="E73" s="6" t="n">
        <v>13.8</v>
      </c>
      <c r="F73" s="6" t="n">
        <v>18.4</v>
      </c>
      <c r="G73" s="6" t="n">
        <f aca="false">G72+D73</f>
        <v>366.7</v>
      </c>
      <c r="J73" s="6" t="n">
        <v>1</v>
      </c>
      <c r="K73" s="6" t="n">
        <f aca="false">K72+J73</f>
        <v>98.3</v>
      </c>
      <c r="L73" s="6" t="n">
        <v>1.1</v>
      </c>
      <c r="M73" s="6" t="n">
        <f aca="false">M72+L73</f>
        <v>46.7</v>
      </c>
      <c r="N73" s="6" t="n">
        <v>-0.1</v>
      </c>
      <c r="O73" s="6" t="n">
        <f aca="false">O72+N73</f>
        <v>67.8</v>
      </c>
      <c r="P73" s="6" t="n">
        <v>26</v>
      </c>
      <c r="Q73" s="6" t="n">
        <f aca="false">0.35+((P73-10)/107)*(1-0.35)</f>
        <v>0.447196261682243</v>
      </c>
      <c r="R73" s="14" t="n">
        <f aca="false">Q73*L73</f>
        <v>0.491915887850467</v>
      </c>
      <c r="S73" s="14" t="n">
        <f aca="false">J73-R73</f>
        <v>0.508084112149533</v>
      </c>
      <c r="T73" s="14" t="n">
        <f aca="false">MIN(122.1,(T72+S73))</f>
        <v>84.2401401869159</v>
      </c>
      <c r="V73" s="6" t="n">
        <v>586.9</v>
      </c>
      <c r="X73" s="6" t="n">
        <f aca="false">X72+V73</f>
        <v>25405.2</v>
      </c>
      <c r="AA73" s="6" t="n">
        <v>11.4148627231427</v>
      </c>
    </row>
    <row r="74" s="6" customFormat="true" ht="15" hidden="false" customHeight="false" outlineLevel="0" collapsed="false">
      <c r="A74" s="11"/>
      <c r="B74" s="12"/>
      <c r="C74" s="7" t="n">
        <v>41190</v>
      </c>
      <c r="D74" s="6" t="n">
        <v>12.4</v>
      </c>
      <c r="E74" s="6" t="n">
        <v>9.7</v>
      </c>
      <c r="F74" s="6" t="n">
        <v>16.3</v>
      </c>
      <c r="G74" s="6" t="n">
        <f aca="false">G73+D74</f>
        <v>379.1</v>
      </c>
      <c r="J74" s="6" t="n">
        <v>23.4</v>
      </c>
      <c r="K74" s="6" t="n">
        <f aca="false">K73+J74</f>
        <v>121.7</v>
      </c>
      <c r="L74" s="6" t="n">
        <v>0.8</v>
      </c>
      <c r="M74" s="6" t="n">
        <f aca="false">M73+L74</f>
        <v>47.5</v>
      </c>
      <c r="N74" s="6" t="n">
        <v>22.6</v>
      </c>
      <c r="O74" s="6" t="n">
        <f aca="false">O73+N74</f>
        <v>90.4</v>
      </c>
      <c r="P74" s="6" t="n">
        <v>27</v>
      </c>
      <c r="Q74" s="6" t="n">
        <f aca="false">0.35+((P74-10)/107)*(1-0.35)</f>
        <v>0.453271028037383</v>
      </c>
      <c r="R74" s="14" t="n">
        <f aca="false">Q74*L74</f>
        <v>0.362616822429907</v>
      </c>
      <c r="S74" s="14" t="n">
        <f aca="false">J74-R74</f>
        <v>23.0373831775701</v>
      </c>
      <c r="T74" s="14" t="n">
        <f aca="false">MIN(122.1,(T73+S74))</f>
        <v>107.277523364486</v>
      </c>
      <c r="V74" s="6" t="n">
        <v>304.3</v>
      </c>
      <c r="X74" s="6" t="n">
        <f aca="false">X73+V74</f>
        <v>25709.5</v>
      </c>
      <c r="AA74" s="6" t="n">
        <v>11.3590445340079</v>
      </c>
    </row>
    <row r="75" s="6" customFormat="true" ht="15" hidden="false" customHeight="false" outlineLevel="0" collapsed="false">
      <c r="A75" s="11"/>
      <c r="B75" s="12"/>
      <c r="C75" s="7" t="n">
        <v>41191</v>
      </c>
      <c r="D75" s="6" t="n">
        <v>16.9</v>
      </c>
      <c r="E75" s="6" t="n">
        <v>14</v>
      </c>
      <c r="F75" s="6" t="n">
        <v>19.2</v>
      </c>
      <c r="G75" s="6" t="n">
        <f aca="false">G74+D75</f>
        <v>396</v>
      </c>
      <c r="J75" s="6" t="n">
        <v>8.8</v>
      </c>
      <c r="K75" s="6" t="n">
        <f aca="false">K74+J75</f>
        <v>130.5</v>
      </c>
      <c r="L75" s="6" t="n">
        <v>0.8</v>
      </c>
      <c r="M75" s="6" t="n">
        <f aca="false">M74+L75</f>
        <v>48.3</v>
      </c>
      <c r="N75" s="6" t="n">
        <v>8</v>
      </c>
      <c r="O75" s="6" t="n">
        <f aca="false">O74+N75</f>
        <v>98.4</v>
      </c>
      <c r="P75" s="6" t="n">
        <v>28</v>
      </c>
      <c r="Q75" s="6" t="n">
        <f aca="false">0.35+((P75-10)/107)*(1-0.35)</f>
        <v>0.459345794392523</v>
      </c>
      <c r="R75" s="14" t="n">
        <f aca="false">Q75*L75</f>
        <v>0.367476635514019</v>
      </c>
      <c r="S75" s="14" t="n">
        <f aca="false">J75-R75</f>
        <v>8.43252336448598</v>
      </c>
      <c r="T75" s="14" t="n">
        <f aca="false">MIN(122.1,(T74+S75))</f>
        <v>115.710046728972</v>
      </c>
      <c r="V75" s="6" t="n">
        <v>402.3</v>
      </c>
      <c r="X75" s="6" t="n">
        <f aca="false">X74+V75</f>
        <v>26111.8</v>
      </c>
      <c r="AA75" s="6" t="n">
        <v>11.3032999350458</v>
      </c>
    </row>
    <row r="76" s="6" customFormat="true" ht="15" hidden="false" customHeight="false" outlineLevel="0" collapsed="false">
      <c r="A76" s="11"/>
      <c r="B76" s="12"/>
      <c r="C76" s="7" t="n">
        <v>41192</v>
      </c>
      <c r="D76" s="6" t="n">
        <v>16.6</v>
      </c>
      <c r="E76" s="6" t="n">
        <v>15.2</v>
      </c>
      <c r="F76" s="6" t="n">
        <v>20.2</v>
      </c>
      <c r="G76" s="6" t="n">
        <f aca="false">G75+D76</f>
        <v>412.6</v>
      </c>
      <c r="J76" s="6" t="n">
        <v>4.5</v>
      </c>
      <c r="K76" s="6" t="n">
        <f aca="false">K75+J76</f>
        <v>135</v>
      </c>
      <c r="L76" s="6" t="n">
        <v>1.7</v>
      </c>
      <c r="M76" s="6" t="n">
        <f aca="false">M75+L76</f>
        <v>50</v>
      </c>
      <c r="N76" s="6" t="n">
        <v>2.8</v>
      </c>
      <c r="O76" s="6" t="n">
        <f aca="false">O75+N76</f>
        <v>101.2</v>
      </c>
      <c r="P76" s="6" t="n">
        <v>29</v>
      </c>
      <c r="Q76" s="6" t="n">
        <f aca="false">0.35+((P76-10)/107)*(1-0.35)</f>
        <v>0.465420560747664</v>
      </c>
      <c r="R76" s="14" t="n">
        <f aca="false">Q76*L76</f>
        <v>0.791214953271028</v>
      </c>
      <c r="S76" s="14" t="n">
        <f aca="false">J76-R76</f>
        <v>3.70878504672897</v>
      </c>
      <c r="T76" s="14" t="n">
        <f aca="false">MIN(122.1,(T75+S76))</f>
        <v>119.418831775701</v>
      </c>
      <c r="V76" s="6" t="n">
        <v>909.6</v>
      </c>
      <c r="X76" s="6" t="n">
        <f aca="false">X75+V76</f>
        <v>27021.4</v>
      </c>
      <c r="AA76" s="6" t="n">
        <v>11.2476365410563</v>
      </c>
    </row>
    <row r="77" s="6" customFormat="true" ht="15" hidden="false" customHeight="false" outlineLevel="0" collapsed="false">
      <c r="A77" s="11"/>
      <c r="B77" s="12"/>
      <c r="C77" s="7" t="n">
        <v>41193</v>
      </c>
      <c r="D77" s="6" t="n">
        <v>15.2</v>
      </c>
      <c r="E77" s="6" t="n">
        <v>14</v>
      </c>
      <c r="F77" s="6" t="n">
        <v>16.7</v>
      </c>
      <c r="G77" s="6" t="n">
        <f aca="false">G76+D77</f>
        <v>427.8</v>
      </c>
      <c r="J77" s="6" t="n">
        <v>4.5</v>
      </c>
      <c r="K77" s="6" t="n">
        <f aca="false">K76+J77</f>
        <v>139.5</v>
      </c>
      <c r="L77" s="6" t="n">
        <v>0.6</v>
      </c>
      <c r="M77" s="6" t="n">
        <f aca="false">M76+L77</f>
        <v>50.6</v>
      </c>
      <c r="N77" s="6" t="n">
        <v>3.9</v>
      </c>
      <c r="O77" s="6" t="n">
        <f aca="false">O76+N77</f>
        <v>105.1</v>
      </c>
      <c r="P77" s="6" t="n">
        <v>30</v>
      </c>
      <c r="Q77" s="6" t="n">
        <f aca="false">0.35+((P77-10)/107)*(1-0.35)</f>
        <v>0.471495327102804</v>
      </c>
      <c r="R77" s="14" t="n">
        <f aca="false">Q77*L77</f>
        <v>0.282897196261682</v>
      </c>
      <c r="S77" s="14" t="n">
        <f aca="false">J77-R77</f>
        <v>4.21710280373832</v>
      </c>
      <c r="T77" s="14" t="n">
        <f aca="false">MIN(122.1,(T76+S77))</f>
        <v>122.1</v>
      </c>
      <c r="V77" s="6" t="n">
        <v>221.3</v>
      </c>
      <c r="X77" s="6" t="n">
        <f aca="false">X76+V77</f>
        <v>27242.7</v>
      </c>
      <c r="AA77" s="6" t="n">
        <v>11.192062246306</v>
      </c>
    </row>
    <row r="78" s="6" customFormat="true" ht="15" hidden="false" customHeight="false" outlineLevel="0" collapsed="false">
      <c r="A78" s="11"/>
      <c r="B78" s="12"/>
      <c r="C78" s="7" t="n">
        <v>41194</v>
      </c>
      <c r="D78" s="6" t="n">
        <v>12.4</v>
      </c>
      <c r="E78" s="6" t="n">
        <v>10.7</v>
      </c>
      <c r="F78" s="6" t="n">
        <v>14.6</v>
      </c>
      <c r="G78" s="6" t="n">
        <f aca="false">G77+D78</f>
        <v>440.2</v>
      </c>
      <c r="J78" s="6" t="n">
        <v>0.5</v>
      </c>
      <c r="K78" s="6" t="n">
        <f aca="false">K77+J78</f>
        <v>140</v>
      </c>
      <c r="L78" s="6" t="n">
        <v>0.9</v>
      </c>
      <c r="M78" s="6" t="n">
        <f aca="false">M77+L78</f>
        <v>51.5</v>
      </c>
      <c r="N78" s="6" t="n">
        <v>-0.4</v>
      </c>
      <c r="O78" s="6" t="n">
        <f aca="false">O77+N78</f>
        <v>104.7</v>
      </c>
      <c r="P78" s="6" t="n">
        <v>31</v>
      </c>
      <c r="Q78" s="6" t="n">
        <f aca="false">0.35+((P78-10)/107)*(1-0.35)</f>
        <v>0.477570093457944</v>
      </c>
      <c r="R78" s="14" t="n">
        <f aca="false">Q78*L78</f>
        <v>0.42981308411215</v>
      </c>
      <c r="S78" s="14" t="n">
        <f aca="false">J78-R78</f>
        <v>0.0701869158878505</v>
      </c>
      <c r="T78" s="14" t="n">
        <f aca="false">MIN(122.1,(T77+S78))</f>
        <v>122.1</v>
      </c>
      <c r="V78" s="6" t="n">
        <v>717.1</v>
      </c>
      <c r="X78" s="6" t="n">
        <f aca="false">X77+V78</f>
        <v>27959.8</v>
      </c>
      <c r="AA78" s="6" t="n">
        <v>11.136585241874</v>
      </c>
    </row>
    <row r="79" s="6" customFormat="true" ht="15" hidden="false" customHeight="false" outlineLevel="0" collapsed="false">
      <c r="A79" s="11"/>
      <c r="B79" s="12"/>
      <c r="C79" s="7" t="n">
        <v>41195</v>
      </c>
      <c r="D79" s="6" t="n">
        <v>9.3</v>
      </c>
      <c r="E79" s="6" t="n">
        <v>3.2</v>
      </c>
      <c r="F79" s="6" t="n">
        <v>15.1</v>
      </c>
      <c r="G79" s="6" t="n">
        <f aca="false">G78+D79</f>
        <v>449.5</v>
      </c>
      <c r="J79" s="6" t="n">
        <v>5.2</v>
      </c>
      <c r="K79" s="6" t="n">
        <f aca="false">K78+J79</f>
        <v>145.2</v>
      </c>
      <c r="L79" s="6" t="n">
        <v>0.8</v>
      </c>
      <c r="M79" s="6" t="n">
        <f aca="false">M78+L79</f>
        <v>52.3</v>
      </c>
      <c r="N79" s="6" t="n">
        <v>4.4</v>
      </c>
      <c r="O79" s="6" t="n">
        <f aca="false">O78+N79</f>
        <v>109.1</v>
      </c>
      <c r="P79" s="6" t="n">
        <v>32</v>
      </c>
      <c r="Q79" s="6" t="n">
        <f aca="false">0.35+((P79-10)/107)*(1-0.35)</f>
        <v>0.483644859813084</v>
      </c>
      <c r="R79" s="14" t="n">
        <f aca="false">Q79*L79</f>
        <v>0.386915887850467</v>
      </c>
      <c r="S79" s="14" t="n">
        <f aca="false">J79-R79</f>
        <v>4.81308411214953</v>
      </c>
      <c r="T79" s="14" t="n">
        <f aca="false">MIN(122.1,(T78+S79))</f>
        <v>122.1</v>
      </c>
      <c r="V79" s="6" t="n">
        <v>734.2</v>
      </c>
      <c r="X79" s="6" t="n">
        <f aca="false">X78+V79</f>
        <v>28694</v>
      </c>
      <c r="AA79" s="6" t="n">
        <v>11.0812140330164</v>
      </c>
    </row>
    <row r="80" s="6" customFormat="true" ht="15" hidden="false" customHeight="false" outlineLevel="0" collapsed="false">
      <c r="A80" s="11"/>
      <c r="B80" s="12"/>
      <c r="C80" s="7" t="n">
        <v>41196</v>
      </c>
      <c r="D80" s="6" t="n">
        <v>10.7</v>
      </c>
      <c r="E80" s="6" t="n">
        <v>9.5</v>
      </c>
      <c r="F80" s="6" t="n">
        <v>13.6</v>
      </c>
      <c r="G80" s="6" t="n">
        <f aca="false">G79+D80</f>
        <v>460.2</v>
      </c>
      <c r="J80" s="6" t="n">
        <v>5.6</v>
      </c>
      <c r="K80" s="6" t="n">
        <f aca="false">K79+J80</f>
        <v>150.8</v>
      </c>
      <c r="L80" s="6" t="n">
        <v>1.1</v>
      </c>
      <c r="M80" s="6" t="n">
        <f aca="false">M79+L80</f>
        <v>53.4</v>
      </c>
      <c r="N80" s="6" t="n">
        <v>4.5</v>
      </c>
      <c r="O80" s="6" t="n">
        <f aca="false">O79+N80</f>
        <v>113.6</v>
      </c>
      <c r="P80" s="6" t="n">
        <v>33</v>
      </c>
      <c r="Q80" s="6" t="n">
        <f aca="false">0.35+((P80-10)/107)*(1-0.35)</f>
        <v>0.489719626168224</v>
      </c>
      <c r="R80" s="14" t="n">
        <f aca="false">Q80*L80</f>
        <v>0.538691588785047</v>
      </c>
      <c r="S80" s="14" t="n">
        <f aca="false">J80-R80</f>
        <v>5.06130841121495</v>
      </c>
      <c r="T80" s="14" t="n">
        <f aca="false">MIN(122.1,(T79+S80))</f>
        <v>122.1</v>
      </c>
      <c r="V80" s="6" t="n">
        <v>203.9</v>
      </c>
      <c r="X80" s="6" t="n">
        <f aca="false">X79+V80</f>
        <v>28897.9</v>
      </c>
      <c r="AA80" s="6" t="n">
        <v>11.0259574565276</v>
      </c>
    </row>
    <row r="81" s="6" customFormat="true" ht="15" hidden="false" customHeight="false" outlineLevel="0" collapsed="false">
      <c r="A81" s="11"/>
      <c r="B81" s="12"/>
      <c r="C81" s="7" t="n">
        <v>41197</v>
      </c>
      <c r="D81" s="6" t="n">
        <v>7.1</v>
      </c>
      <c r="E81" s="6" t="n">
        <v>4.2</v>
      </c>
      <c r="F81" s="6" t="n">
        <v>11.9</v>
      </c>
      <c r="G81" s="6" t="n">
        <f aca="false">G80+D81</f>
        <v>467.3</v>
      </c>
      <c r="J81" s="6" t="n">
        <v>0</v>
      </c>
      <c r="K81" s="6" t="n">
        <f aca="false">K80+J81</f>
        <v>150.8</v>
      </c>
      <c r="L81" s="6" t="n">
        <v>0.9</v>
      </c>
      <c r="M81" s="6" t="n">
        <f aca="false">M80+L81</f>
        <v>54.3</v>
      </c>
      <c r="N81" s="6" t="n">
        <v>-0.9</v>
      </c>
      <c r="O81" s="6" t="n">
        <f aca="false">O80+N81</f>
        <v>112.7</v>
      </c>
      <c r="P81" s="6" t="n">
        <v>34</v>
      </c>
      <c r="Q81" s="6" t="n">
        <f aca="false">0.35+((P81-10)/107)*(1-0.35)</f>
        <v>0.495794392523364</v>
      </c>
      <c r="R81" s="14" t="n">
        <f aca="false">Q81*L81</f>
        <v>0.446214953271028</v>
      </c>
      <c r="S81" s="14" t="n">
        <f aca="false">J81-R81</f>
        <v>-0.446214953271028</v>
      </c>
      <c r="T81" s="14" t="n">
        <f aca="false">MIN(122.1,(T80+S81))</f>
        <v>121.653785046729</v>
      </c>
      <c r="V81" s="6" t="n">
        <v>480.3</v>
      </c>
      <c r="X81" s="6" t="n">
        <f aca="false">X80+V81</f>
        <v>29378.2</v>
      </c>
      <c r="AA81" s="6" t="n">
        <v>10.9708246980731</v>
      </c>
    </row>
    <row r="82" s="6" customFormat="true" ht="15" hidden="false" customHeight="false" outlineLevel="0" collapsed="false">
      <c r="A82" s="11"/>
      <c r="B82" s="12"/>
      <c r="C82" s="7" t="n">
        <v>41198</v>
      </c>
      <c r="D82" s="6" t="n">
        <v>5.9</v>
      </c>
      <c r="E82" s="6" t="n">
        <v>1</v>
      </c>
      <c r="F82" s="6" t="n">
        <v>9.2</v>
      </c>
      <c r="G82" s="6" t="n">
        <f aca="false">G81+D82</f>
        <v>473.2</v>
      </c>
      <c r="J82" s="6" t="n">
        <v>1.2</v>
      </c>
      <c r="K82" s="6" t="n">
        <f aca="false">K81+J82</f>
        <v>152</v>
      </c>
      <c r="L82" s="6" t="n">
        <v>0.2</v>
      </c>
      <c r="M82" s="6" t="n">
        <f aca="false">M81+L82</f>
        <v>54.5</v>
      </c>
      <c r="N82" s="6" t="n">
        <v>1</v>
      </c>
      <c r="O82" s="6" t="n">
        <f aca="false">O81+N82</f>
        <v>113.7</v>
      </c>
      <c r="P82" s="6" t="n">
        <v>35</v>
      </c>
      <c r="Q82" s="6" t="n">
        <f aca="false">0.35+((P82-10)/107)*(1-0.35)</f>
        <v>0.501869158878505</v>
      </c>
      <c r="R82" s="14" t="n">
        <f aca="false">Q82*L82</f>
        <v>0.100373831775701</v>
      </c>
      <c r="S82" s="14" t="n">
        <f aca="false">J82-R82</f>
        <v>1.0996261682243</v>
      </c>
      <c r="T82" s="14" t="n">
        <f aca="false">MIN(122.1,(T81+S82))</f>
        <v>122.1</v>
      </c>
      <c r="V82" s="6" t="n">
        <v>295.8</v>
      </c>
      <c r="X82" s="6" t="n">
        <f aca="false">X81+V82</f>
        <v>29674</v>
      </c>
      <c r="AA82" s="6" t="n">
        <v>10.9158253094635</v>
      </c>
    </row>
    <row r="83" s="6" customFormat="true" ht="15" hidden="false" customHeight="false" outlineLevel="0" collapsed="false">
      <c r="A83" s="11"/>
      <c r="B83" s="12"/>
      <c r="C83" s="7" t="n">
        <v>41199</v>
      </c>
      <c r="D83" s="6" t="n">
        <v>14.6</v>
      </c>
      <c r="E83" s="6" t="n">
        <v>6.8</v>
      </c>
      <c r="F83" s="6" t="n">
        <v>19</v>
      </c>
      <c r="G83" s="6" t="n">
        <f aca="false">G82+D83</f>
        <v>487.8</v>
      </c>
      <c r="J83" s="6" t="n">
        <v>0</v>
      </c>
      <c r="K83" s="6" t="n">
        <f aca="false">K82+J83</f>
        <v>152</v>
      </c>
      <c r="L83" s="6" t="n">
        <v>1.2</v>
      </c>
      <c r="M83" s="6" t="n">
        <f aca="false">M82+L83</f>
        <v>55.7</v>
      </c>
      <c r="N83" s="6" t="n">
        <v>-1.2</v>
      </c>
      <c r="O83" s="6" t="n">
        <f aca="false">O82+N83</f>
        <v>112.5</v>
      </c>
      <c r="P83" s="6" t="n">
        <v>36</v>
      </c>
      <c r="Q83" s="6" t="n">
        <f aca="false">0.35+((P83-10)/107)*(1-0.35)</f>
        <v>0.507943925233645</v>
      </c>
      <c r="R83" s="14" t="n">
        <f aca="false">Q83*L83</f>
        <v>0.609532710280374</v>
      </c>
      <c r="S83" s="14" t="n">
        <f aca="false">J83-R83</f>
        <v>-0.609532710280374</v>
      </c>
      <c r="T83" s="14" t="n">
        <f aca="false">MIN(122.1,(T82+S83))</f>
        <v>121.49046728972</v>
      </c>
      <c r="V83" s="6" t="n">
        <v>510.4</v>
      </c>
      <c r="X83" s="6" t="n">
        <f aca="false">X82+V83</f>
        <v>30184.4</v>
      </c>
      <c r="AA83" s="6" t="n">
        <v>10.860969225838</v>
      </c>
    </row>
    <row r="84" s="6" customFormat="true" ht="15" hidden="false" customHeight="false" outlineLevel="0" collapsed="false">
      <c r="A84" s="11"/>
      <c r="B84" s="12"/>
      <c r="C84" s="7" t="n">
        <v>41200</v>
      </c>
      <c r="D84" s="6" t="n">
        <v>18</v>
      </c>
      <c r="E84" s="6" t="n">
        <v>16.6</v>
      </c>
      <c r="F84" s="6" t="n">
        <v>22.1</v>
      </c>
      <c r="G84" s="6" t="n">
        <f aca="false">G83+D84</f>
        <v>505.8</v>
      </c>
      <c r="J84" s="6" t="n">
        <v>0</v>
      </c>
      <c r="K84" s="6" t="n">
        <f aca="false">K83+J84</f>
        <v>152</v>
      </c>
      <c r="L84" s="6" t="n">
        <v>4</v>
      </c>
      <c r="M84" s="6" t="n">
        <f aca="false">M83+L84</f>
        <v>59.7</v>
      </c>
      <c r="N84" s="6" t="n">
        <v>-4</v>
      </c>
      <c r="O84" s="6" t="n">
        <f aca="false">O83+N84</f>
        <v>108.5</v>
      </c>
      <c r="P84" s="6" t="n">
        <v>37</v>
      </c>
      <c r="Q84" s="6" t="n">
        <f aca="false">0.35+((P84-10)/107)*(1-0.35)</f>
        <v>0.514018691588785</v>
      </c>
      <c r="R84" s="14" t="n">
        <f aca="false">Q84*L84</f>
        <v>2.05607476635514</v>
      </c>
      <c r="S84" s="14" t="n">
        <f aca="false">J84-R84</f>
        <v>-2.05607476635514</v>
      </c>
      <c r="T84" s="14" t="n">
        <f aca="false">MIN(122.1,(T83+S84))</f>
        <v>119.434392523364</v>
      </c>
      <c r="V84" s="6" t="n">
        <v>944.9</v>
      </c>
      <c r="X84" s="6" t="n">
        <f aca="false">X83+V84</f>
        <v>31129.3</v>
      </c>
      <c r="AA84" s="6" t="n">
        <v>10.8062667827186</v>
      </c>
    </row>
    <row r="85" s="6" customFormat="true" ht="15" hidden="false" customHeight="false" outlineLevel="0" collapsed="false">
      <c r="A85" s="11"/>
      <c r="B85" s="12"/>
      <c r="C85" s="7" t="n">
        <v>41201</v>
      </c>
      <c r="D85" s="6" t="n">
        <v>16.8</v>
      </c>
      <c r="E85" s="6" t="n">
        <v>14.6</v>
      </c>
      <c r="F85" s="6" t="n">
        <v>22.3</v>
      </c>
      <c r="G85" s="6" t="n">
        <f aca="false">G84+D85</f>
        <v>522.6</v>
      </c>
      <c r="J85" s="6" t="n">
        <v>0</v>
      </c>
      <c r="K85" s="6" t="n">
        <f aca="false">K84+J85</f>
        <v>152</v>
      </c>
      <c r="L85" s="6" t="n">
        <v>2.5</v>
      </c>
      <c r="M85" s="6" t="n">
        <f aca="false">M84+L85</f>
        <v>62.2</v>
      </c>
      <c r="N85" s="6" t="n">
        <v>-2.5</v>
      </c>
      <c r="O85" s="6" t="n">
        <f aca="false">O84+N85</f>
        <v>106</v>
      </c>
      <c r="P85" s="6" t="n">
        <v>38</v>
      </c>
      <c r="Q85" s="6" t="n">
        <f aca="false">0.35+((P85-10)/107)*(1-0.35)</f>
        <v>0.520093457943925</v>
      </c>
      <c r="R85" s="14" t="n">
        <f aca="false">Q85*L85</f>
        <v>1.30023364485981</v>
      </c>
      <c r="S85" s="14" t="n">
        <f aca="false">J85-R85</f>
        <v>-1.30023364485981</v>
      </c>
      <c r="T85" s="14" t="n">
        <f aca="false">MIN(122.1,(T84+S85))</f>
        <v>118.134158878505</v>
      </c>
      <c r="V85" s="6" t="n">
        <v>631.7</v>
      </c>
      <c r="X85" s="6" t="n">
        <f aca="false">X84+V85</f>
        <v>31761</v>
      </c>
      <c r="AA85" s="6" t="n">
        <v>10.7517287328947</v>
      </c>
    </row>
    <row r="86" s="6" customFormat="true" ht="15" hidden="false" customHeight="false" outlineLevel="0" collapsed="false">
      <c r="A86" s="11"/>
      <c r="B86" s="12"/>
      <c r="C86" s="7" t="n">
        <v>41202</v>
      </c>
      <c r="D86" s="6" t="n">
        <v>15.8</v>
      </c>
      <c r="E86" s="6" t="n">
        <v>11.2</v>
      </c>
      <c r="F86" s="6" t="n">
        <v>21.5</v>
      </c>
      <c r="G86" s="6" t="n">
        <f aca="false">G85+D86</f>
        <v>538.4</v>
      </c>
      <c r="J86" s="6" t="n">
        <v>0</v>
      </c>
      <c r="K86" s="6" t="n">
        <f aca="false">K85+J86</f>
        <v>152</v>
      </c>
      <c r="L86" s="6" t="n">
        <v>1</v>
      </c>
      <c r="M86" s="6" t="n">
        <f aca="false">M85+L86</f>
        <v>63.2</v>
      </c>
      <c r="N86" s="6" t="n">
        <v>-1</v>
      </c>
      <c r="O86" s="6" t="n">
        <f aca="false">O85+N86</f>
        <v>105</v>
      </c>
      <c r="P86" s="6" t="n">
        <v>39</v>
      </c>
      <c r="Q86" s="6" t="n">
        <f aca="false">0.35+((P86-10)/107)*(1-0.35)</f>
        <v>0.526168224299065</v>
      </c>
      <c r="R86" s="14" t="n">
        <f aca="false">Q86*L86</f>
        <v>0.526168224299065</v>
      </c>
      <c r="S86" s="14" t="n">
        <f aca="false">J86-R86</f>
        <v>-0.526168224299065</v>
      </c>
      <c r="T86" s="14" t="n">
        <f aca="false">MIN(122.1,(T85+S86))</f>
        <v>117.607990654206</v>
      </c>
      <c r="V86" s="6" t="n">
        <v>268.8</v>
      </c>
      <c r="X86" s="6" t="n">
        <f aca="false">X85+V86</f>
        <v>32029.8</v>
      </c>
      <c r="AA86" s="6" t="n">
        <v>10.6973662630909</v>
      </c>
    </row>
    <row r="87" s="6" customFormat="true" ht="15" hidden="false" customHeight="false" outlineLevel="0" collapsed="false">
      <c r="A87" s="11"/>
      <c r="B87" s="12"/>
      <c r="C87" s="7" t="n">
        <v>41203</v>
      </c>
      <c r="D87" s="6" t="n">
        <v>15.8</v>
      </c>
      <c r="E87" s="6" t="n">
        <v>11.7</v>
      </c>
      <c r="F87" s="6" t="n">
        <v>21.2</v>
      </c>
      <c r="G87" s="6" t="n">
        <f aca="false">G86+D87</f>
        <v>554.2</v>
      </c>
      <c r="J87" s="6" t="n">
        <v>0</v>
      </c>
      <c r="K87" s="6" t="n">
        <f aca="false">K86+J87</f>
        <v>152</v>
      </c>
      <c r="L87" s="6" t="n">
        <v>1</v>
      </c>
      <c r="M87" s="6" t="n">
        <f aca="false">M86+L87</f>
        <v>64.2</v>
      </c>
      <c r="N87" s="6" t="n">
        <v>-1</v>
      </c>
      <c r="O87" s="6" t="n">
        <f aca="false">O86+N87</f>
        <v>104</v>
      </c>
      <c r="P87" s="6" t="n">
        <v>40</v>
      </c>
      <c r="Q87" s="6" t="n">
        <f aca="false">0.35+((P87-10)/107)*(1-0.35)</f>
        <v>0.532242990654206</v>
      </c>
      <c r="R87" s="14" t="n">
        <f aca="false">Q87*L87</f>
        <v>0.532242990654206</v>
      </c>
      <c r="S87" s="14" t="n">
        <f aca="false">J87-R87</f>
        <v>-0.532242990654206</v>
      </c>
      <c r="T87" s="14" t="n">
        <f aca="false">MIN(122.1,(T86+S87))</f>
        <v>117.075747663551</v>
      </c>
      <c r="V87" s="6" t="n">
        <v>426.9</v>
      </c>
      <c r="X87" s="6" t="n">
        <f aca="false">X86+V87</f>
        <v>32456.7</v>
      </c>
      <c r="AA87" s="6" t="n">
        <v>10.6431910103682</v>
      </c>
    </row>
    <row r="88" s="6" customFormat="true" ht="15" hidden="false" customHeight="false" outlineLevel="0" collapsed="false">
      <c r="A88" s="11"/>
      <c r="B88" s="12"/>
      <c r="C88" s="7" t="n">
        <v>41204</v>
      </c>
      <c r="D88" s="6" t="n">
        <v>15.8</v>
      </c>
      <c r="E88" s="6" t="n">
        <v>10.8</v>
      </c>
      <c r="F88" s="6" t="n">
        <v>22.8</v>
      </c>
      <c r="G88" s="6" t="n">
        <f aca="false">G87+D88</f>
        <v>570</v>
      </c>
      <c r="J88" s="6" t="n">
        <v>0</v>
      </c>
      <c r="K88" s="6" t="n">
        <f aca="false">K87+J88</f>
        <v>152</v>
      </c>
      <c r="L88" s="6" t="n">
        <v>1.3</v>
      </c>
      <c r="M88" s="6" t="n">
        <f aca="false">M87+L88</f>
        <v>65.5</v>
      </c>
      <c r="N88" s="6" t="n">
        <v>-1.3</v>
      </c>
      <c r="O88" s="6" t="n">
        <f aca="false">O87+N88</f>
        <v>102.7</v>
      </c>
      <c r="P88" s="6" t="n">
        <v>41</v>
      </c>
      <c r="Q88" s="6" t="n">
        <f aca="false">0.35+((P88-10)/107)*(1-0.35)</f>
        <v>0.538317757009346</v>
      </c>
      <c r="R88" s="14" t="n">
        <f aca="false">Q88*L88</f>
        <v>0.69981308411215</v>
      </c>
      <c r="S88" s="14" t="n">
        <f aca="false">J88-R88</f>
        <v>-0.69981308411215</v>
      </c>
      <c r="T88" s="14" t="n">
        <f aca="false">MIN(122.1,(T87+S88))</f>
        <v>116.375934579439</v>
      </c>
      <c r="V88" s="6" t="n">
        <v>864.1</v>
      </c>
      <c r="X88" s="6" t="n">
        <f aca="false">X87+V88</f>
        <v>33320.8</v>
      </c>
      <c r="AA88" s="6" t="n">
        <v>10.5892150782014</v>
      </c>
    </row>
    <row r="89" s="6" customFormat="true" ht="15" hidden="false" customHeight="false" outlineLevel="0" collapsed="false">
      <c r="A89" s="11"/>
      <c r="B89" s="12"/>
      <c r="C89" s="7" t="n">
        <v>41205</v>
      </c>
      <c r="D89" s="6" t="n">
        <v>11.2</v>
      </c>
      <c r="E89" s="6" t="n">
        <v>10.8</v>
      </c>
      <c r="F89" s="6" t="n">
        <v>11.3</v>
      </c>
      <c r="G89" s="6" t="n">
        <f aca="false">G88+D89</f>
        <v>581.2</v>
      </c>
      <c r="J89" s="6" t="n">
        <v>0.1</v>
      </c>
      <c r="K89" s="6" t="n">
        <f aca="false">K88+J89</f>
        <v>152.1</v>
      </c>
      <c r="L89" s="6" t="n">
        <v>0.7</v>
      </c>
      <c r="M89" s="6" t="n">
        <f aca="false">M88+L89</f>
        <v>66.2</v>
      </c>
      <c r="N89" s="6" t="n">
        <v>-0.6</v>
      </c>
      <c r="O89" s="6" t="n">
        <f aca="false">O88+N89</f>
        <v>102.1</v>
      </c>
      <c r="P89" s="6" t="n">
        <v>42</v>
      </c>
      <c r="Q89" s="6" t="n">
        <f aca="false">0.35+((P89-10)/107)*(1-0.35)</f>
        <v>0.544392523364486</v>
      </c>
      <c r="R89" s="14" t="n">
        <f aca="false">Q89*L89</f>
        <v>0.38107476635514</v>
      </c>
      <c r="S89" s="14" t="n">
        <f aca="false">J89-R89</f>
        <v>-0.28107476635514</v>
      </c>
      <c r="T89" s="14" t="n">
        <f aca="false">MIN(122.1,(T88+S89))</f>
        <v>116.094859813084</v>
      </c>
      <c r="V89" s="6" t="n">
        <v>293.8</v>
      </c>
      <c r="X89" s="6" t="n">
        <f aca="false">X88+V89</f>
        <v>33614.6</v>
      </c>
      <c r="AA89" s="6" t="n">
        <v>10.5354510521725</v>
      </c>
    </row>
    <row r="90" s="6" customFormat="true" ht="15" hidden="false" customHeight="false" outlineLevel="0" collapsed="false">
      <c r="A90" s="11"/>
      <c r="B90" s="12"/>
      <c r="C90" s="7" t="n">
        <v>41206</v>
      </c>
      <c r="D90" s="6" t="n">
        <v>10.9</v>
      </c>
      <c r="E90" s="6" t="n">
        <v>9.8</v>
      </c>
      <c r="F90" s="6" t="n">
        <v>12.4</v>
      </c>
      <c r="G90" s="6" t="n">
        <f aca="false">G89+D90</f>
        <v>592.1</v>
      </c>
      <c r="J90" s="6" t="n">
        <v>0</v>
      </c>
      <c r="K90" s="6" t="n">
        <f aca="false">K89+J90</f>
        <v>152.1</v>
      </c>
      <c r="L90" s="6" t="n">
        <v>0.6</v>
      </c>
      <c r="M90" s="6" t="n">
        <f aca="false">M89+L90</f>
        <v>66.8</v>
      </c>
      <c r="N90" s="6" t="n">
        <v>-0.6</v>
      </c>
      <c r="O90" s="6" t="n">
        <f aca="false">O89+N90</f>
        <v>101.5</v>
      </c>
      <c r="P90" s="6" t="n">
        <v>43</v>
      </c>
      <c r="Q90" s="6" t="n">
        <f aca="false">0.35+((P90-10)/107)*(1-0.35)</f>
        <v>0.550467289719626</v>
      </c>
      <c r="R90" s="14" t="n">
        <f aca="false">Q90*L90</f>
        <v>0.330280373831776</v>
      </c>
      <c r="S90" s="14" t="n">
        <f aca="false">J90-R90</f>
        <v>-0.330280373831776</v>
      </c>
      <c r="T90" s="14" t="n">
        <f aca="false">MIN(122.1,(T89+S90))</f>
        <v>115.764579439252</v>
      </c>
      <c r="V90" s="6" t="n">
        <v>218.3</v>
      </c>
      <c r="X90" s="6" t="n">
        <f aca="false">X89+V90</f>
        <v>33832.9</v>
      </c>
      <c r="AA90" s="6" t="n">
        <v>10.4819120152137</v>
      </c>
    </row>
    <row r="91" s="6" customFormat="true" ht="15" hidden="false" customHeight="false" outlineLevel="0" collapsed="false">
      <c r="A91" s="11"/>
      <c r="B91" s="12"/>
      <c r="C91" s="7" t="n">
        <v>41207</v>
      </c>
      <c r="D91" s="6" t="n">
        <v>11.2</v>
      </c>
      <c r="E91" s="6" t="n">
        <v>9.4</v>
      </c>
      <c r="F91" s="6" t="n">
        <v>15.3</v>
      </c>
      <c r="G91" s="6" t="n">
        <f aca="false">G90+D91</f>
        <v>603.3</v>
      </c>
      <c r="J91" s="6" t="n">
        <v>0</v>
      </c>
      <c r="K91" s="6" t="n">
        <f aca="false">K90+J91</f>
        <v>152.1</v>
      </c>
      <c r="L91" s="6" t="n">
        <v>1.1</v>
      </c>
      <c r="M91" s="6" t="n">
        <f aca="false">M90+L91</f>
        <v>67.9</v>
      </c>
      <c r="N91" s="6" t="n">
        <v>-1.1</v>
      </c>
      <c r="O91" s="6" t="n">
        <f aca="false">O90+N91</f>
        <v>100.4</v>
      </c>
      <c r="P91" s="6" t="n">
        <v>44</v>
      </c>
      <c r="Q91" s="6" t="n">
        <f aca="false">0.35+((P91-10)/107)*(1-0.35)</f>
        <v>0.556542056074766</v>
      </c>
      <c r="R91" s="14" t="n">
        <f aca="false">Q91*L91</f>
        <v>0.612196261682243</v>
      </c>
      <c r="S91" s="14" t="n">
        <f aca="false">J91-R91</f>
        <v>-0.612196261682243</v>
      </c>
      <c r="T91" s="14" t="n">
        <f aca="false">MIN(122.1,(T90+S91))</f>
        <v>115.15238317757</v>
      </c>
      <c r="V91" s="6" t="n">
        <v>462.5</v>
      </c>
      <c r="X91" s="6" t="n">
        <f aca="false">X90+V91</f>
        <v>34295.4</v>
      </c>
      <c r="AA91" s="6" t="n">
        <v>10.4286115623264</v>
      </c>
    </row>
    <row r="92" s="6" customFormat="true" ht="15" hidden="false" customHeight="false" outlineLevel="0" collapsed="false">
      <c r="A92" s="11"/>
      <c r="B92" s="12"/>
      <c r="C92" s="7" t="n">
        <v>41208</v>
      </c>
      <c r="D92" s="6" t="n">
        <v>9.7</v>
      </c>
      <c r="E92" s="6" t="n">
        <v>8.1</v>
      </c>
      <c r="F92" s="6" t="n">
        <v>11.2</v>
      </c>
      <c r="G92" s="6" t="n">
        <f aca="false">G91+D92</f>
        <v>613</v>
      </c>
      <c r="J92" s="6" t="n">
        <v>17.9</v>
      </c>
      <c r="K92" s="6" t="n">
        <f aca="false">K91+J92</f>
        <v>170</v>
      </c>
      <c r="L92" s="6" t="n">
        <v>0.4</v>
      </c>
      <c r="M92" s="6" t="n">
        <f aca="false">M91+L92</f>
        <v>68.3</v>
      </c>
      <c r="N92" s="6" t="n">
        <v>17.5</v>
      </c>
      <c r="O92" s="6" t="n">
        <f aca="false">O91+N92</f>
        <v>117.9</v>
      </c>
      <c r="P92" s="6" t="n">
        <v>45</v>
      </c>
      <c r="Q92" s="6" t="n">
        <f aca="false">0.35+((P92-10)/107)*(1-0.35)</f>
        <v>0.562616822429907</v>
      </c>
      <c r="R92" s="14" t="n">
        <f aca="false">Q92*L92</f>
        <v>0.225046728971963</v>
      </c>
      <c r="S92" s="14" t="n">
        <f aca="false">J92-R92</f>
        <v>17.674953271028</v>
      </c>
      <c r="T92" s="14" t="n">
        <f aca="false">MIN(122.1,(T91+S92))</f>
        <v>122.1</v>
      </c>
      <c r="V92" s="6" t="n">
        <v>138</v>
      </c>
      <c r="X92" s="6" t="n">
        <f aca="false">X91+V92</f>
        <v>34433.4</v>
      </c>
      <c r="AA92" s="6" t="n">
        <v>10.3755638147004</v>
      </c>
    </row>
    <row r="93" s="6" customFormat="true" ht="15" hidden="false" customHeight="false" outlineLevel="0" collapsed="false">
      <c r="A93" s="11"/>
      <c r="B93" s="12"/>
      <c r="C93" s="7" t="n">
        <v>41209</v>
      </c>
      <c r="D93" s="6" t="n">
        <v>4.1</v>
      </c>
      <c r="E93" s="6" t="n">
        <v>3.1</v>
      </c>
      <c r="F93" s="6" t="n">
        <v>5.2</v>
      </c>
      <c r="G93" s="6" t="n">
        <f aca="false">G92+D93</f>
        <v>617.1</v>
      </c>
      <c r="J93" s="6" t="n">
        <v>0.3</v>
      </c>
      <c r="K93" s="6" t="n">
        <f aca="false">K92+J93</f>
        <v>170.3</v>
      </c>
      <c r="L93" s="6" t="n">
        <v>0.8</v>
      </c>
      <c r="M93" s="6" t="n">
        <f aca="false">M92+L93</f>
        <v>69.1</v>
      </c>
      <c r="N93" s="6" t="n">
        <v>-0.5</v>
      </c>
      <c r="O93" s="6" t="n">
        <f aca="false">O92+N93</f>
        <v>117.4</v>
      </c>
      <c r="P93" s="6" t="n">
        <v>46</v>
      </c>
      <c r="Q93" s="6" t="n">
        <f aca="false">0.35+((P93-10)/107)*(1-0.35)</f>
        <v>0.568691588785047</v>
      </c>
      <c r="R93" s="14" t="n">
        <f aca="false">Q93*L93</f>
        <v>0.454953271028037</v>
      </c>
      <c r="S93" s="14" t="n">
        <f aca="false">J93-R93</f>
        <v>-0.154953271028037</v>
      </c>
      <c r="T93" s="14" t="n">
        <f aca="false">MIN(122.1,(T92+S93))</f>
        <v>121.945046728972</v>
      </c>
      <c r="V93" s="6" t="n">
        <v>199.6</v>
      </c>
      <c r="X93" s="6" t="n">
        <f aca="false">X92+V93</f>
        <v>34633</v>
      </c>
      <c r="AA93" s="6" t="n">
        <v>10.3227834331477</v>
      </c>
    </row>
    <row r="94" s="6" customFormat="true" ht="15" hidden="false" customHeight="false" outlineLevel="0" collapsed="false">
      <c r="A94" s="11"/>
      <c r="B94" s="12"/>
      <c r="C94" s="7" t="n">
        <v>41210</v>
      </c>
      <c r="D94" s="6" t="n">
        <v>2.2</v>
      </c>
      <c r="E94" s="6" t="n">
        <v>0.8</v>
      </c>
      <c r="F94" s="6" t="n">
        <v>6.1</v>
      </c>
      <c r="G94" s="6" t="n">
        <f aca="false">G93+D94</f>
        <v>619.3</v>
      </c>
      <c r="J94" s="6" t="n">
        <v>0</v>
      </c>
      <c r="K94" s="6" t="n">
        <f aca="false">K93+J94</f>
        <v>170.3</v>
      </c>
      <c r="L94" s="6" t="n">
        <v>1.8</v>
      </c>
      <c r="M94" s="6" t="n">
        <f aca="false">M93+L94</f>
        <v>70.9</v>
      </c>
      <c r="N94" s="6" t="n">
        <v>-1.8</v>
      </c>
      <c r="O94" s="6" t="n">
        <f aca="false">O93+N94</f>
        <v>115.6</v>
      </c>
      <c r="P94" s="6" t="n">
        <v>47</v>
      </c>
      <c r="Q94" s="6" t="n">
        <f aca="false">0.35+((P94-10)/107)*(1-0.35)</f>
        <v>0.574766355140187</v>
      </c>
      <c r="R94" s="14" t="n">
        <f aca="false">Q94*L94</f>
        <v>1.03457943925234</v>
      </c>
      <c r="S94" s="14" t="n">
        <f aca="false">J94-R94</f>
        <v>-1.03457943925234</v>
      </c>
      <c r="T94" s="14" t="n">
        <f aca="false">MIN(122.1,(T93+S94))</f>
        <v>120.91046728972</v>
      </c>
      <c r="V94" s="6" t="n">
        <v>636.9</v>
      </c>
      <c r="X94" s="6" t="n">
        <f aca="false">X93+V94</f>
        <v>35269.9</v>
      </c>
      <c r="AA94" s="6" t="n">
        <v>10.2702856307623</v>
      </c>
    </row>
    <row r="95" s="6" customFormat="true" ht="15" hidden="false" customHeight="false" outlineLevel="0" collapsed="false">
      <c r="A95" s="11"/>
      <c r="B95" s="12"/>
      <c r="C95" s="7" t="n">
        <v>41211</v>
      </c>
      <c r="D95" s="6" t="n">
        <v>1</v>
      </c>
      <c r="E95" s="6" t="n">
        <v>-4.1</v>
      </c>
      <c r="F95" s="6" t="n">
        <v>7.8</v>
      </c>
      <c r="G95" s="6" t="n">
        <f aca="false">G94+D95</f>
        <v>620.3</v>
      </c>
      <c r="J95" s="6" t="n">
        <v>0</v>
      </c>
      <c r="K95" s="6" t="n">
        <f aca="false">K94+J95</f>
        <v>170.3</v>
      </c>
      <c r="L95" s="6" t="n">
        <v>0.6</v>
      </c>
      <c r="M95" s="6" t="n">
        <f aca="false">M94+L95</f>
        <v>71.5</v>
      </c>
      <c r="N95" s="6" t="n">
        <v>-0.6</v>
      </c>
      <c r="O95" s="6" t="n">
        <f aca="false">O94+N95</f>
        <v>115</v>
      </c>
      <c r="P95" s="6" t="n">
        <v>48</v>
      </c>
      <c r="Q95" s="6" t="n">
        <f aca="false">0.35+((P95-10)/107)*(1-0.35)</f>
        <v>0.580841121495327</v>
      </c>
      <c r="R95" s="14" t="n">
        <f aca="false">Q95*L95</f>
        <v>0.348504672897196</v>
      </c>
      <c r="S95" s="14" t="n">
        <f aca="false">J95-R95</f>
        <v>-0.348504672897196</v>
      </c>
      <c r="T95" s="14" t="n">
        <f aca="false">MIN(122.1,(T94+S95))</f>
        <v>120.561962616822</v>
      </c>
      <c r="V95" s="6" t="n">
        <v>544.5</v>
      </c>
      <c r="X95" s="6" t="n">
        <f aca="false">X94+V95</f>
        <v>35814.4</v>
      </c>
      <c r="AA95" s="6" t="n">
        <v>10.2180861847098</v>
      </c>
    </row>
    <row r="96" s="6" customFormat="true" ht="15" hidden="false" customHeight="false" outlineLevel="0" collapsed="false">
      <c r="A96" s="11"/>
      <c r="B96" s="12"/>
      <c r="C96" s="7" t="n">
        <v>41212</v>
      </c>
      <c r="D96" s="6" t="n">
        <v>2.3</v>
      </c>
      <c r="E96" s="6" t="n">
        <v>-1.9</v>
      </c>
      <c r="F96" s="6" t="n">
        <v>10.1</v>
      </c>
      <c r="G96" s="6" t="n">
        <f aca="false">G95+D96</f>
        <v>622.6</v>
      </c>
      <c r="J96" s="6" t="n">
        <v>0</v>
      </c>
      <c r="K96" s="6" t="n">
        <f aca="false">K95+J96</f>
        <v>170.3</v>
      </c>
      <c r="L96" s="6" t="n">
        <v>1.1</v>
      </c>
      <c r="M96" s="6" t="n">
        <f aca="false">M95+L96</f>
        <v>72.6</v>
      </c>
      <c r="N96" s="6" t="n">
        <v>-1.1</v>
      </c>
      <c r="O96" s="6" t="n">
        <f aca="false">O95+N96</f>
        <v>113.9</v>
      </c>
      <c r="P96" s="6" t="n">
        <v>49</v>
      </c>
      <c r="Q96" s="6" t="n">
        <f aca="false">0.35+((P96-10)/107)*(1-0.35)</f>
        <v>0.586915887850467</v>
      </c>
      <c r="R96" s="14" t="n">
        <f aca="false">Q96*L96</f>
        <v>0.645607476635514</v>
      </c>
      <c r="S96" s="14" t="n">
        <f aca="false">J96-R96</f>
        <v>-0.645607476635514</v>
      </c>
      <c r="T96" s="14" t="n">
        <f aca="false">MIN(122.1,(T95+S96))</f>
        <v>119.916355140187</v>
      </c>
      <c r="V96" s="6" t="n">
        <v>976</v>
      </c>
      <c r="X96" s="6" t="n">
        <f aca="false">X95+V96</f>
        <v>36790.4</v>
      </c>
      <c r="AA96" s="6" t="n">
        <v>10.166201447046</v>
      </c>
    </row>
    <row r="97" s="6" customFormat="true" ht="15" hidden="false" customHeight="false" outlineLevel="0" collapsed="false">
      <c r="A97" s="11"/>
      <c r="B97" s="12"/>
      <c r="C97" s="7" t="n">
        <v>41213</v>
      </c>
      <c r="D97" s="6" t="n">
        <v>2.8</v>
      </c>
      <c r="E97" s="6" t="n">
        <v>-2.8</v>
      </c>
      <c r="F97" s="6" t="n">
        <v>8.3</v>
      </c>
      <c r="G97" s="6" t="n">
        <f aca="false">G96+D97</f>
        <v>625.4</v>
      </c>
      <c r="J97" s="6" t="n">
        <v>0</v>
      </c>
      <c r="K97" s="6" t="n">
        <f aca="false">K96+J97</f>
        <v>170.3</v>
      </c>
      <c r="L97" s="6" t="n">
        <v>0.5</v>
      </c>
      <c r="M97" s="6" t="n">
        <f aca="false">M96+L97</f>
        <v>73.1</v>
      </c>
      <c r="N97" s="6" t="n">
        <v>-0.5</v>
      </c>
      <c r="O97" s="6" t="n">
        <f aca="false">O96+N97</f>
        <v>113.4</v>
      </c>
      <c r="P97" s="6" t="n">
        <v>50</v>
      </c>
      <c r="Q97" s="6" t="n">
        <f aca="false">0.35+((P97-10)/107)*(1-0.35)</f>
        <v>0.592990654205608</v>
      </c>
      <c r="R97" s="14" t="n">
        <f aca="false">Q97*L97</f>
        <v>0.296495327102804</v>
      </c>
      <c r="S97" s="14" t="n">
        <f aca="false">J97-R97</f>
        <v>-0.296495327102804</v>
      </c>
      <c r="T97" s="14" t="n">
        <f aca="false">MIN(122.1,(T96+S97))</f>
        <v>119.619859813084</v>
      </c>
      <c r="V97" s="6" t="n">
        <v>545.6</v>
      </c>
      <c r="X97" s="6" t="n">
        <f aca="false">X96+V97</f>
        <v>37336</v>
      </c>
      <c r="AA97" s="6" t="n">
        <v>10.1146483544551</v>
      </c>
    </row>
    <row r="98" s="6" customFormat="true" ht="15" hidden="false" customHeight="false" outlineLevel="0" collapsed="false">
      <c r="A98" s="11"/>
      <c r="B98" s="12"/>
      <c r="C98" s="7" t="n">
        <v>41214</v>
      </c>
      <c r="D98" s="6" t="n">
        <v>6</v>
      </c>
      <c r="E98" s="6" t="n">
        <v>2.3</v>
      </c>
      <c r="F98" s="6" t="n">
        <v>9</v>
      </c>
      <c r="G98" s="6" t="n">
        <f aca="false">G97+D98</f>
        <v>631.4</v>
      </c>
      <c r="J98" s="6" t="n">
        <v>3.2</v>
      </c>
      <c r="K98" s="6" t="n">
        <f aca="false">K97+J98</f>
        <v>173.5</v>
      </c>
      <c r="L98" s="6" t="n">
        <v>0.5</v>
      </c>
      <c r="M98" s="6" t="n">
        <f aca="false">M97+L98</f>
        <v>73.6</v>
      </c>
      <c r="N98" s="6" t="n">
        <v>2.7</v>
      </c>
      <c r="O98" s="6" t="n">
        <f aca="false">O97+N98</f>
        <v>116.1</v>
      </c>
      <c r="P98" s="6" t="n">
        <v>51</v>
      </c>
      <c r="Q98" s="6" t="n">
        <f aca="false">0.35+((P98-10)/107)*(1-0.35)</f>
        <v>0.599065420560748</v>
      </c>
      <c r="R98" s="14" t="n">
        <f aca="false">Q98*L98</f>
        <v>0.299532710280374</v>
      </c>
      <c r="S98" s="14" t="n">
        <f aca="false">J98-R98</f>
        <v>2.90046728971963</v>
      </c>
      <c r="T98" s="14" t="n">
        <f aca="false">MIN(122.1,(T97+S98))</f>
        <v>122.1</v>
      </c>
      <c r="V98" s="6" t="n">
        <v>165.3</v>
      </c>
      <c r="X98" s="6" t="n">
        <f aca="false">X97+V98</f>
        <v>37501.3</v>
      </c>
      <c r="AA98" s="6" t="n">
        <v>10.0634444367965</v>
      </c>
    </row>
    <row r="99" s="6" customFormat="true" ht="15" hidden="false" customHeight="false" outlineLevel="0" collapsed="false">
      <c r="A99" s="11"/>
      <c r="B99" s="12"/>
      <c r="C99" s="7" t="n">
        <v>41215</v>
      </c>
      <c r="D99" s="6" t="n">
        <v>9.8</v>
      </c>
      <c r="E99" s="6" t="n">
        <v>6.7</v>
      </c>
      <c r="F99" s="6" t="n">
        <v>12.3</v>
      </c>
      <c r="G99" s="6" t="n">
        <f aca="false">G98+D99</f>
        <v>641.2</v>
      </c>
      <c r="J99" s="6" t="n">
        <v>12.2</v>
      </c>
      <c r="K99" s="6" t="n">
        <f aca="false">K98+J99</f>
        <v>185.7</v>
      </c>
      <c r="L99" s="6" t="n">
        <v>1.4</v>
      </c>
      <c r="M99" s="6" t="n">
        <f aca="false">M98+L99</f>
        <v>75</v>
      </c>
      <c r="N99" s="6" t="n">
        <v>10.8</v>
      </c>
      <c r="O99" s="6" t="n">
        <v>122.1</v>
      </c>
      <c r="P99" s="6" t="n">
        <v>52</v>
      </c>
      <c r="Q99" s="6" t="n">
        <f aca="false">0.35+((P99-10)/107)*(1-0.35)</f>
        <v>0.605140186915888</v>
      </c>
      <c r="R99" s="14" t="n">
        <f aca="false">Q99*L99</f>
        <v>0.847196261682243</v>
      </c>
      <c r="S99" s="14" t="n">
        <f aca="false">J99-R99</f>
        <v>11.3528037383178</v>
      </c>
      <c r="T99" s="14" t="n">
        <f aca="false">MIN(122.1,(T98+S99))</f>
        <v>122.1</v>
      </c>
      <c r="V99" s="6" t="n">
        <v>205.2</v>
      </c>
      <c r="X99" s="6" t="n">
        <f aca="false">X98+V99</f>
        <v>37706.5</v>
      </c>
      <c r="AA99" s="6" t="n">
        <v>10.0126078243393</v>
      </c>
    </row>
    <row r="100" s="6" customFormat="true" ht="15" hidden="false" customHeight="false" outlineLevel="0" collapsed="false">
      <c r="A100" s="11"/>
      <c r="B100" s="12"/>
      <c r="C100" s="7" t="n">
        <v>41216</v>
      </c>
      <c r="D100" s="6" t="n">
        <v>13.5</v>
      </c>
      <c r="E100" s="6" t="n">
        <v>10</v>
      </c>
      <c r="F100" s="6" t="n">
        <v>17.2</v>
      </c>
      <c r="G100" s="6" t="n">
        <f aca="false">G99+D100</f>
        <v>654.7</v>
      </c>
      <c r="J100" s="6" t="n">
        <v>7.7</v>
      </c>
      <c r="K100" s="6" t="n">
        <f aca="false">K99+J100</f>
        <v>193.4</v>
      </c>
      <c r="L100" s="6" t="n">
        <v>2</v>
      </c>
      <c r="M100" s="6" t="n">
        <f aca="false">M99+L100</f>
        <v>77</v>
      </c>
      <c r="N100" s="6" t="n">
        <v>5.7</v>
      </c>
      <c r="O100" s="6" t="n">
        <v>122.1</v>
      </c>
      <c r="P100" s="6" t="n">
        <v>53</v>
      </c>
      <c r="Q100" s="6" t="n">
        <f aca="false">0.35+((P100-10)/107)*(1-0.35)</f>
        <v>0.611214953271028</v>
      </c>
      <c r="R100" s="14" t="n">
        <f aca="false">Q100*L100</f>
        <v>1.22242990654206</v>
      </c>
      <c r="S100" s="14" t="n">
        <f aca="false">J100-R100</f>
        <v>6.47757009345794</v>
      </c>
      <c r="T100" s="14" t="n">
        <f aca="false">MIN(122.1,(T99+S100))</f>
        <v>122.1</v>
      </c>
      <c r="V100" s="6" t="n">
        <v>183.1</v>
      </c>
      <c r="X100" s="6" t="n">
        <f aca="false">X99+V100</f>
        <v>37889.6</v>
      </c>
      <c r="AA100" s="6" t="n">
        <v>9.96215725356092</v>
      </c>
    </row>
    <row r="101" s="6" customFormat="true" ht="15" hidden="false" customHeight="false" outlineLevel="0" collapsed="false">
      <c r="A101" s="11"/>
      <c r="B101" s="12"/>
      <c r="C101" s="7" t="n">
        <v>41217</v>
      </c>
      <c r="D101" s="6" t="n">
        <v>10.5</v>
      </c>
      <c r="E101" s="6" t="n">
        <v>8.7</v>
      </c>
      <c r="F101" s="6" t="n">
        <v>13.9</v>
      </c>
      <c r="G101" s="6" t="n">
        <f aca="false">G100+D101</f>
        <v>665.2</v>
      </c>
      <c r="J101" s="6" t="n">
        <v>8.5</v>
      </c>
      <c r="K101" s="6" t="n">
        <f aca="false">K100+J101</f>
        <v>201.9</v>
      </c>
      <c r="L101" s="6" t="n">
        <v>0.6</v>
      </c>
      <c r="M101" s="6" t="n">
        <f aca="false">M100+L101</f>
        <v>77.6</v>
      </c>
      <c r="N101" s="6" t="n">
        <v>7.9</v>
      </c>
      <c r="O101" s="6" t="n">
        <v>122.1</v>
      </c>
      <c r="P101" s="6" t="n">
        <v>54</v>
      </c>
      <c r="Q101" s="6" t="n">
        <f aca="false">0.35+((P101-10)/107)*(1-0.35)</f>
        <v>0.617289719626168</v>
      </c>
      <c r="R101" s="14" t="n">
        <f aca="false">Q101*L101</f>
        <v>0.370373831775701</v>
      </c>
      <c r="S101" s="14" t="n">
        <f aca="false">J101-R101</f>
        <v>8.1296261682243</v>
      </c>
      <c r="T101" s="14" t="n">
        <f aca="false">MIN(122.1,(T100+S101))</f>
        <v>122.1</v>
      </c>
      <c r="V101" s="6" t="n">
        <v>270.8</v>
      </c>
      <c r="X101" s="6" t="n">
        <f aca="false">X100+V101</f>
        <v>38160.4</v>
      </c>
      <c r="AA101" s="6" t="n">
        <v>9.91211207138021</v>
      </c>
    </row>
    <row r="102" s="6" customFormat="true" ht="15" hidden="false" customHeight="false" outlineLevel="0" collapsed="false">
      <c r="A102" s="11"/>
      <c r="B102" s="12"/>
      <c r="C102" s="7" t="n">
        <v>41218</v>
      </c>
      <c r="D102" s="6" t="n">
        <v>7.9</v>
      </c>
      <c r="E102" s="6" t="n">
        <v>5.9</v>
      </c>
      <c r="F102" s="6" t="n">
        <v>10.3</v>
      </c>
      <c r="G102" s="6" t="n">
        <f aca="false">G101+D102</f>
        <v>673.1</v>
      </c>
      <c r="J102" s="6" t="n">
        <v>4.2</v>
      </c>
      <c r="K102" s="6" t="n">
        <f aca="false">K101+J102</f>
        <v>206.1</v>
      </c>
      <c r="L102" s="6" t="n">
        <v>0.5</v>
      </c>
      <c r="M102" s="6" t="n">
        <f aca="false">M101+L102</f>
        <v>78.1</v>
      </c>
      <c r="N102" s="6" t="n">
        <v>3.7</v>
      </c>
      <c r="O102" s="6" t="n">
        <v>122.1</v>
      </c>
      <c r="P102" s="6" t="n">
        <v>55</v>
      </c>
      <c r="Q102" s="6" t="n">
        <f aca="false">0.35+((P102-10)/107)*(1-0.35)</f>
        <v>0.623364485981308</v>
      </c>
      <c r="R102" s="14" t="n">
        <f aca="false">Q102*L102</f>
        <v>0.311682242990654</v>
      </c>
      <c r="S102" s="14" t="n">
        <f aca="false">J102-R102</f>
        <v>3.88831775700935</v>
      </c>
      <c r="T102" s="14" t="n">
        <f aca="false">MIN(122.1,(T101+S102))</f>
        <v>122.1</v>
      </c>
      <c r="V102" s="6" t="n">
        <v>161.6</v>
      </c>
      <c r="X102" s="6" t="n">
        <f aca="false">X101+V102</f>
        <v>38322</v>
      </c>
      <c r="AA102" s="6" t="n">
        <v>9.86249223769184</v>
      </c>
    </row>
    <row r="103" s="6" customFormat="true" ht="15" hidden="false" customHeight="false" outlineLevel="0" collapsed="false">
      <c r="A103" s="11"/>
      <c r="B103" s="12"/>
      <c r="C103" s="7" t="n">
        <v>41219</v>
      </c>
      <c r="D103" s="6" t="n">
        <v>5.7</v>
      </c>
      <c r="E103" s="6" t="n">
        <v>4.7</v>
      </c>
      <c r="F103" s="6" t="n">
        <v>9.3</v>
      </c>
      <c r="G103" s="6" t="n">
        <f aca="false">G102+D103</f>
        <v>678.8</v>
      </c>
      <c r="J103" s="6" t="n">
        <v>0.2</v>
      </c>
      <c r="K103" s="6" t="n">
        <f aca="false">K102+J103</f>
        <v>206.3</v>
      </c>
      <c r="L103" s="6" t="n">
        <v>0.5</v>
      </c>
      <c r="M103" s="6" t="n">
        <f aca="false">M102+L103</f>
        <v>78.6</v>
      </c>
      <c r="N103" s="6" t="n">
        <v>-0.3</v>
      </c>
      <c r="O103" s="6" t="n">
        <f aca="false">O102+N103</f>
        <v>121.8</v>
      </c>
      <c r="P103" s="6" t="n">
        <v>56</v>
      </c>
      <c r="Q103" s="6" t="n">
        <f aca="false">0.35+((P103-10)/107)*(1-0.35)</f>
        <v>0.629439252336449</v>
      </c>
      <c r="R103" s="14" t="n">
        <f aca="false">Q103*L103</f>
        <v>0.314719626168224</v>
      </c>
      <c r="S103" s="14" t="n">
        <f aca="false">J103-R103</f>
        <v>-0.114719626168224</v>
      </c>
      <c r="T103" s="14" t="n">
        <f aca="false">MIN(122.1,(T102+S103))</f>
        <v>121.985280373832</v>
      </c>
      <c r="V103" s="6" t="n">
        <v>450.5</v>
      </c>
      <c r="X103" s="6" t="n">
        <f aca="false">X102+V103</f>
        <v>38772.5</v>
      </c>
      <c r="AA103" s="6" t="n">
        <v>9.81331832606298</v>
      </c>
    </row>
    <row r="104" s="6" customFormat="true" ht="15" hidden="false" customHeight="false" outlineLevel="0" collapsed="false">
      <c r="A104" s="11"/>
      <c r="B104" s="12"/>
      <c r="C104" s="7" t="n">
        <v>41220</v>
      </c>
      <c r="D104" s="6" t="n">
        <v>4.9</v>
      </c>
      <c r="E104" s="6" t="n">
        <v>1.6</v>
      </c>
      <c r="F104" s="6" t="n">
        <v>8.5</v>
      </c>
      <c r="G104" s="6" t="n">
        <f aca="false">G103+D104</f>
        <v>683.7</v>
      </c>
      <c r="J104" s="6" t="n">
        <v>0</v>
      </c>
      <c r="K104" s="6" t="n">
        <f aca="false">K103+J104</f>
        <v>206.3</v>
      </c>
      <c r="L104" s="6" t="n">
        <v>0.3</v>
      </c>
      <c r="M104" s="6" t="n">
        <f aca="false">M103+L104</f>
        <v>78.9</v>
      </c>
      <c r="N104" s="6" t="n">
        <v>-0.3</v>
      </c>
      <c r="O104" s="6" t="n">
        <f aca="false">O103+N104</f>
        <v>121.5</v>
      </c>
      <c r="P104" s="6" t="n">
        <v>57</v>
      </c>
      <c r="Q104" s="6" t="n">
        <f aca="false">0.35+((P104-10)/107)*(1-0.35)</f>
        <v>0.635514018691589</v>
      </c>
      <c r="R104" s="14" t="n">
        <f aca="false">Q104*L104</f>
        <v>0.190654205607477</v>
      </c>
      <c r="S104" s="14" t="n">
        <f aca="false">J104-R104</f>
        <v>-0.190654205607477</v>
      </c>
      <c r="T104" s="14" t="n">
        <f aca="false">MIN(122.1,(T103+S104))</f>
        <v>121.794626168224</v>
      </c>
      <c r="V104" s="6" t="n">
        <v>178.7</v>
      </c>
      <c r="X104" s="6" t="n">
        <f aca="false">X103+V104</f>
        <v>38951.2</v>
      </c>
      <c r="AA104" s="6" t="n">
        <v>9.76461152245181</v>
      </c>
    </row>
    <row r="105" s="6" customFormat="true" ht="15" hidden="false" customHeight="false" outlineLevel="0" collapsed="false">
      <c r="A105" s="11"/>
      <c r="B105" s="12"/>
      <c r="C105" s="7" t="n">
        <v>41221</v>
      </c>
      <c r="D105" s="6" t="n">
        <v>4</v>
      </c>
      <c r="E105" s="6" t="n">
        <v>1.7</v>
      </c>
      <c r="F105" s="6" t="n">
        <v>6.4</v>
      </c>
      <c r="G105" s="6" t="n">
        <f aca="false">G104+D105</f>
        <v>687.7</v>
      </c>
      <c r="J105" s="6" t="n">
        <v>0</v>
      </c>
      <c r="K105" s="6" t="n">
        <f aca="false">K104+J105</f>
        <v>206.3</v>
      </c>
      <c r="L105" s="6" t="n">
        <v>0.3</v>
      </c>
      <c r="M105" s="6" t="n">
        <f aca="false">M104+L105</f>
        <v>79.2</v>
      </c>
      <c r="N105" s="6" t="n">
        <v>-0.3</v>
      </c>
      <c r="O105" s="6" t="n">
        <f aca="false">O104+N105</f>
        <v>121.2</v>
      </c>
      <c r="P105" s="6" t="n">
        <v>58</v>
      </c>
      <c r="Q105" s="6" t="n">
        <f aca="false">0.35+((P105-10)/107)*(1-0.35)</f>
        <v>0.641588785046729</v>
      </c>
      <c r="R105" s="14" t="n">
        <f aca="false">Q105*L105</f>
        <v>0.192476635514019</v>
      </c>
      <c r="S105" s="14" t="n">
        <f aca="false">J105-R105</f>
        <v>-0.192476635514019</v>
      </c>
      <c r="T105" s="14" t="n">
        <f aca="false">MIN(122.1,(T104+S105))</f>
        <v>121.60214953271</v>
      </c>
      <c r="V105" s="6" t="n">
        <v>259.9</v>
      </c>
      <c r="X105" s="6" t="n">
        <f aca="false">X104+V105</f>
        <v>39211.1</v>
      </c>
      <c r="AA105" s="6" t="n">
        <v>9.71639362180369</v>
      </c>
    </row>
    <row r="106" s="6" customFormat="true" ht="15" hidden="false" customHeight="false" outlineLevel="0" collapsed="false">
      <c r="A106" s="11"/>
      <c r="B106" s="12"/>
      <c r="C106" s="7" t="n">
        <v>41222</v>
      </c>
      <c r="D106" s="6" t="n">
        <v>4.6</v>
      </c>
      <c r="E106" s="6" t="n">
        <v>0.7</v>
      </c>
      <c r="F106" s="6" t="n">
        <v>10.6</v>
      </c>
      <c r="G106" s="6" t="n">
        <f aca="false">G105+D106</f>
        <v>692.3</v>
      </c>
      <c r="J106" s="6" t="n">
        <v>6.5</v>
      </c>
      <c r="K106" s="6" t="n">
        <f aca="false">K105+J106</f>
        <v>212.8</v>
      </c>
      <c r="L106" s="6" t="n">
        <v>0.7</v>
      </c>
      <c r="M106" s="6" t="n">
        <f aca="false">M105+L106</f>
        <v>79.9</v>
      </c>
      <c r="N106" s="6" t="n">
        <v>5.8</v>
      </c>
      <c r="O106" s="6" t="n">
        <v>122.1</v>
      </c>
      <c r="P106" s="6" t="n">
        <v>59</v>
      </c>
      <c r="Q106" s="6" t="n">
        <f aca="false">0.35+((P106-10)/107)*(1-0.35)</f>
        <v>0.647663551401869</v>
      </c>
      <c r="R106" s="14" t="n">
        <f aca="false">Q106*L106</f>
        <v>0.453364485981308</v>
      </c>
      <c r="S106" s="14" t="n">
        <f aca="false">J106-R106</f>
        <v>6.04663551401869</v>
      </c>
      <c r="T106" s="14" t="n">
        <f aca="false">MIN(122.1,(T105+S106))</f>
        <v>122.1</v>
      </c>
      <c r="V106" s="6" t="n">
        <v>392.2</v>
      </c>
      <c r="X106" s="6" t="n">
        <f aca="false">X105+V106</f>
        <v>39603.3</v>
      </c>
      <c r="AA106" s="6" t="n">
        <v>9.66868702237976</v>
      </c>
    </row>
    <row r="107" s="6" customFormat="true" ht="15" hidden="false" customHeight="false" outlineLevel="0" collapsed="false">
      <c r="A107" s="11"/>
      <c r="B107" s="12"/>
      <c r="C107" s="7" t="n">
        <v>41223</v>
      </c>
      <c r="D107" s="6" t="n">
        <v>10.9</v>
      </c>
      <c r="E107" s="6" t="n">
        <v>7.2</v>
      </c>
      <c r="F107" s="6" t="n">
        <v>12.1</v>
      </c>
      <c r="G107" s="6" t="n">
        <f aca="false">G106+D107</f>
        <v>703.2</v>
      </c>
      <c r="J107" s="6" t="n">
        <v>12.1</v>
      </c>
      <c r="K107" s="6" t="n">
        <f aca="false">K106+J107</f>
        <v>224.9</v>
      </c>
      <c r="L107" s="6" t="n">
        <v>0.2</v>
      </c>
      <c r="M107" s="6" t="n">
        <f aca="false">M106+L107</f>
        <v>80.1</v>
      </c>
      <c r="N107" s="6" t="n">
        <v>11.9</v>
      </c>
      <c r="O107" s="6" t="n">
        <v>122.1</v>
      </c>
      <c r="P107" s="6" t="n">
        <v>60</v>
      </c>
      <c r="Q107" s="6" t="n">
        <f aca="false">0.35+((P107-10)/107)*(1-0.35)</f>
        <v>0.653738317757009</v>
      </c>
      <c r="R107" s="14" t="n">
        <f aca="false">Q107*L107</f>
        <v>0.130747663551402</v>
      </c>
      <c r="S107" s="14" t="n">
        <f aca="false">J107-R107</f>
        <v>11.9692523364486</v>
      </c>
      <c r="T107" s="14" t="n">
        <f aca="false">MIN(122.1,(T106+S107))</f>
        <v>122.1</v>
      </c>
      <c r="V107" s="6" t="n">
        <v>123.2</v>
      </c>
      <c r="X107" s="6" t="n">
        <f aca="false">X106+V107</f>
        <v>39726.5</v>
      </c>
      <c r="AA107" s="6" t="n">
        <v>9.62151471767155</v>
      </c>
    </row>
    <row r="108" s="6" customFormat="true" ht="15" hidden="false" customHeight="false" outlineLevel="0" collapsed="false">
      <c r="A108" s="11"/>
      <c r="B108" s="12"/>
      <c r="C108" s="7" t="n">
        <v>41224</v>
      </c>
      <c r="D108" s="6" t="n">
        <v>8.7</v>
      </c>
      <c r="E108" s="6" t="n">
        <v>7.3</v>
      </c>
      <c r="F108" s="6" t="n">
        <v>10.4</v>
      </c>
      <c r="G108" s="6" t="n">
        <f aca="false">G107+D108</f>
        <v>711.9</v>
      </c>
      <c r="J108" s="6" t="n">
        <v>0</v>
      </c>
      <c r="K108" s="6" t="n">
        <f aca="false">K107+J108</f>
        <v>224.9</v>
      </c>
      <c r="L108" s="6" t="n">
        <v>0.4</v>
      </c>
      <c r="M108" s="6" t="n">
        <f aca="false">M107+L108</f>
        <v>80.5</v>
      </c>
      <c r="N108" s="6" t="n">
        <v>-0.4</v>
      </c>
      <c r="O108" s="6" t="n">
        <f aca="false">O107+N108</f>
        <v>121.7</v>
      </c>
      <c r="P108" s="6" t="n">
        <v>61</v>
      </c>
      <c r="Q108" s="6" t="n">
        <f aca="false">0.35+((P108-10)/107)*(1-0.35)</f>
        <v>0.65981308411215</v>
      </c>
      <c r="R108" s="14" t="n">
        <f aca="false">Q108*L108</f>
        <v>0.26392523364486</v>
      </c>
      <c r="S108" s="14" t="n">
        <f aca="false">J108-R108</f>
        <v>-0.26392523364486</v>
      </c>
      <c r="T108" s="14" t="n">
        <f aca="false">MIN(122.1,(T107+S108))</f>
        <v>121.836074766355</v>
      </c>
      <c r="V108" s="6" t="n">
        <v>482.1</v>
      </c>
      <c r="X108" s="6" t="n">
        <f aca="false">X107+V108</f>
        <v>40208.6</v>
      </c>
      <c r="AA108" s="6" t="n">
        <v>9.57490028575641</v>
      </c>
    </row>
    <row r="109" s="6" customFormat="true" ht="15" hidden="false" customHeight="false" outlineLevel="0" collapsed="false">
      <c r="A109" s="11"/>
      <c r="B109" s="12"/>
      <c r="C109" s="7" t="n">
        <v>41225</v>
      </c>
      <c r="D109" s="6" t="n">
        <v>4.7</v>
      </c>
      <c r="E109" s="6" t="n">
        <v>1.7</v>
      </c>
      <c r="F109" s="6" t="n">
        <v>7.4</v>
      </c>
      <c r="G109" s="6" t="n">
        <f aca="false">G108+D109</f>
        <v>716.6</v>
      </c>
      <c r="J109" s="6" t="n">
        <v>0</v>
      </c>
      <c r="K109" s="6" t="n">
        <f aca="false">K108+J109</f>
        <v>224.9</v>
      </c>
      <c r="L109" s="6" t="n">
        <v>0.2</v>
      </c>
      <c r="M109" s="6" t="n">
        <f aca="false">M108+L109</f>
        <v>80.7</v>
      </c>
      <c r="N109" s="6" t="n">
        <v>-0.2</v>
      </c>
      <c r="O109" s="6" t="n">
        <f aca="false">O108+N109</f>
        <v>121.5</v>
      </c>
      <c r="P109" s="6" t="n">
        <v>62</v>
      </c>
      <c r="Q109" s="6" t="n">
        <f aca="false">0.35+((P109-10)/107)*(1-0.35)</f>
        <v>0.66588785046729</v>
      </c>
      <c r="R109" s="14" t="n">
        <f aca="false">Q109*L109</f>
        <v>0.133177570093458</v>
      </c>
      <c r="S109" s="14" t="n">
        <f aca="false">J109-R109</f>
        <v>-0.133177570093458</v>
      </c>
      <c r="T109" s="14" t="n">
        <f aca="false">MIN(122.1,(T108+S109))</f>
        <v>121.702897196262</v>
      </c>
      <c r="V109" s="6" t="n">
        <v>314</v>
      </c>
      <c r="X109" s="6" t="n">
        <f aca="false">X108+V109</f>
        <v>40522.6</v>
      </c>
      <c r="AA109" s="6" t="n">
        <v>9.52886787594983</v>
      </c>
    </row>
    <row r="110" s="6" customFormat="true" ht="15" hidden="false" customHeight="false" outlineLevel="0" collapsed="false">
      <c r="A110" s="11"/>
      <c r="B110" s="12"/>
      <c r="C110" s="7" t="n">
        <v>41226</v>
      </c>
      <c r="D110" s="6" t="n">
        <v>5.3</v>
      </c>
      <c r="E110" s="6" t="n">
        <v>2.7</v>
      </c>
      <c r="F110" s="6" t="n">
        <v>7.9</v>
      </c>
      <c r="G110" s="6" t="n">
        <f aca="false">G109+D110</f>
        <v>721.9</v>
      </c>
      <c r="J110" s="6" t="n">
        <v>0</v>
      </c>
      <c r="K110" s="6" t="n">
        <f aca="false">K109+J110</f>
        <v>224.9</v>
      </c>
      <c r="L110" s="6" t="n">
        <v>0.6</v>
      </c>
      <c r="M110" s="6" t="n">
        <f aca="false">M109+L110</f>
        <v>81.3</v>
      </c>
      <c r="N110" s="6" t="n">
        <v>-0.6</v>
      </c>
      <c r="O110" s="6" t="n">
        <f aca="false">O109+N110</f>
        <v>120.9</v>
      </c>
      <c r="P110" s="6" t="n">
        <v>63</v>
      </c>
      <c r="Q110" s="6" t="n">
        <f aca="false">0.35+((P110-10)/107)*(1-0.35)</f>
        <v>0.67196261682243</v>
      </c>
      <c r="R110" s="14" t="n">
        <f aca="false">Q110*L110</f>
        <v>0.403177570093458</v>
      </c>
      <c r="S110" s="14" t="n">
        <f aca="false">J110-R110</f>
        <v>-0.403177570093458</v>
      </c>
      <c r="T110" s="14" t="n">
        <f aca="false">MIN(122.1,(T109+S110))</f>
        <v>121.299719626168</v>
      </c>
      <c r="V110" s="6" t="n">
        <v>430.3</v>
      </c>
      <c r="X110" s="6" t="n">
        <f aca="false">X109+V110</f>
        <v>40952.9</v>
      </c>
      <c r="AA110" s="6" t="n">
        <v>9.48344219261443</v>
      </c>
    </row>
    <row r="111" s="6" customFormat="true" ht="15" hidden="false" customHeight="false" outlineLevel="0" collapsed="false">
      <c r="A111" s="11"/>
      <c r="B111" s="12"/>
      <c r="C111" s="7" t="n">
        <v>41227</v>
      </c>
      <c r="D111" s="6" t="n">
        <v>4.7</v>
      </c>
      <c r="E111" s="6" t="n">
        <v>4.3</v>
      </c>
      <c r="F111" s="6" t="n">
        <v>5</v>
      </c>
      <c r="G111" s="6" t="n">
        <f aca="false">G110+D111</f>
        <v>726.6</v>
      </c>
      <c r="J111" s="6" t="n">
        <v>0</v>
      </c>
      <c r="K111" s="6" t="n">
        <f aca="false">K110+J111</f>
        <v>224.9</v>
      </c>
      <c r="L111" s="6" t="n">
        <v>0.7</v>
      </c>
      <c r="M111" s="6" t="n">
        <f aca="false">M110+L111</f>
        <v>82</v>
      </c>
      <c r="N111" s="6" t="n">
        <v>-0.7</v>
      </c>
      <c r="O111" s="6" t="n">
        <f aca="false">O110+N111</f>
        <v>120.2</v>
      </c>
      <c r="P111" s="6" t="n">
        <v>64</v>
      </c>
      <c r="Q111" s="6" t="n">
        <f aca="false">0.35+((P111-10)/107)*(1-0.35)</f>
        <v>0.67803738317757</v>
      </c>
      <c r="R111" s="14" t="n">
        <f aca="false">Q111*L111</f>
        <v>0.474626168224299</v>
      </c>
      <c r="S111" s="14" t="n">
        <f aca="false">J111-R111</f>
        <v>-0.474626168224299</v>
      </c>
      <c r="T111" s="14" t="n">
        <f aca="false">MIN(122.1,(T110+S111))</f>
        <v>120.825093457944</v>
      </c>
      <c r="V111" s="6" t="n">
        <v>293.2</v>
      </c>
      <c r="X111" s="6" t="n">
        <f aca="false">X110+V111</f>
        <v>41246.1</v>
      </c>
      <c r="AA111" s="6" t="n">
        <v>9.43864847599014</v>
      </c>
    </row>
    <row r="112" s="6" customFormat="true" ht="15" hidden="false" customHeight="false" outlineLevel="0" collapsed="false">
      <c r="A112" s="11"/>
      <c r="B112" s="12"/>
      <c r="C112" s="7" t="n">
        <v>41228</v>
      </c>
      <c r="D112" s="6" t="n">
        <v>4</v>
      </c>
      <c r="E112" s="6" t="n">
        <v>3.1</v>
      </c>
      <c r="F112" s="6" t="n">
        <v>4.9</v>
      </c>
      <c r="G112" s="6" t="n">
        <f aca="false">G111+D112</f>
        <v>730.6</v>
      </c>
      <c r="J112" s="6" t="n">
        <v>0.3</v>
      </c>
      <c r="K112" s="6" t="n">
        <f aca="false">K111+J112</f>
        <v>225.2</v>
      </c>
      <c r="L112" s="6" t="n">
        <v>0.6</v>
      </c>
      <c r="M112" s="6" t="n">
        <f aca="false">M111+L112</f>
        <v>82.6</v>
      </c>
      <c r="N112" s="6" t="n">
        <v>-0.3</v>
      </c>
      <c r="O112" s="6" t="n">
        <f aca="false">O111+N112</f>
        <v>119.9</v>
      </c>
      <c r="P112" s="6" t="n">
        <v>65</v>
      </c>
      <c r="Q112" s="6" t="n">
        <f aca="false">0.35+((P112-10)/107)*(1-0.35)</f>
        <v>0.68411214953271</v>
      </c>
      <c r="R112" s="14" t="n">
        <f aca="false">Q112*L112</f>
        <v>0.410467289719626</v>
      </c>
      <c r="S112" s="14" t="n">
        <f aca="false">J112-R112</f>
        <v>-0.110467289719626</v>
      </c>
      <c r="T112" s="14" t="n">
        <f aca="false">MIN(122.1,(T111+S112))</f>
        <v>120.714626168224</v>
      </c>
      <c r="V112" s="6" t="n">
        <v>191.1</v>
      </c>
      <c r="X112" s="6" t="n">
        <f aca="false">X111+V112</f>
        <v>41437.2</v>
      </c>
      <c r="AA112" s="6" t="n">
        <v>9.39451247991683</v>
      </c>
    </row>
    <row r="113" s="6" customFormat="true" ht="15" hidden="false" customHeight="false" outlineLevel="0" collapsed="false">
      <c r="A113" s="11"/>
      <c r="B113" s="12"/>
      <c r="C113" s="7" t="n">
        <v>41229</v>
      </c>
      <c r="D113" s="6" t="n">
        <v>4.5</v>
      </c>
      <c r="E113" s="6" t="n">
        <v>3.2</v>
      </c>
      <c r="F113" s="6" t="n">
        <v>5.9</v>
      </c>
      <c r="G113" s="6" t="n">
        <f aca="false">G112+D113</f>
        <v>735.1</v>
      </c>
      <c r="J113" s="6" t="n">
        <v>0.3</v>
      </c>
      <c r="K113" s="6" t="n">
        <f aca="false">K112+J113</f>
        <v>225.5</v>
      </c>
      <c r="L113" s="6" t="n">
        <v>0.8</v>
      </c>
      <c r="M113" s="6" t="n">
        <f aca="false">M112+L113</f>
        <v>83.4</v>
      </c>
      <c r="N113" s="6" t="n">
        <v>-0.5</v>
      </c>
      <c r="O113" s="6" t="n">
        <f aca="false">O112+N113</f>
        <v>119.4</v>
      </c>
      <c r="P113" s="6" t="n">
        <v>66</v>
      </c>
      <c r="Q113" s="6" t="n">
        <f aca="false">0.35+((P113-10)/107)*(1-0.35)</f>
        <v>0.69018691588785</v>
      </c>
      <c r="R113" s="14" t="n">
        <f aca="false">Q113*L113</f>
        <v>0.55214953271028</v>
      </c>
      <c r="S113" s="14" t="n">
        <f aca="false">J113-R113</f>
        <v>-0.25214953271028</v>
      </c>
      <c r="T113" s="14" t="n">
        <f aca="false">MIN(122.1,(T112+S113))</f>
        <v>120.462476635514</v>
      </c>
      <c r="V113" s="6" t="n">
        <v>356.7</v>
      </c>
      <c r="X113" s="6" t="n">
        <f aca="false">X112+V113</f>
        <v>41793.9</v>
      </c>
      <c r="AA113" s="6" t="n">
        <v>9.35106044632921</v>
      </c>
    </row>
    <row r="114" s="6" customFormat="true" ht="15" hidden="false" customHeight="false" outlineLevel="0" collapsed="false">
      <c r="A114" s="11"/>
      <c r="B114" s="12"/>
      <c r="C114" s="7" t="n">
        <v>41230</v>
      </c>
      <c r="D114" s="6" t="n">
        <v>6.6</v>
      </c>
      <c r="E114" s="6" t="n">
        <v>5.4</v>
      </c>
      <c r="F114" s="6" t="n">
        <v>9.9</v>
      </c>
      <c r="G114" s="6" t="n">
        <f aca="false">G113+D114</f>
        <v>741.7</v>
      </c>
      <c r="J114" s="6" t="n">
        <v>0.1</v>
      </c>
      <c r="K114" s="6" t="n">
        <f aca="false">K113+J114</f>
        <v>225.6</v>
      </c>
      <c r="L114" s="6" t="n">
        <v>0.5</v>
      </c>
      <c r="M114" s="6" t="n">
        <f aca="false">M113+L114</f>
        <v>83.9</v>
      </c>
      <c r="N114" s="6" t="n">
        <v>-0.4</v>
      </c>
      <c r="O114" s="6" t="n">
        <f aca="false">O113+N114</f>
        <v>119</v>
      </c>
      <c r="P114" s="6" t="n">
        <v>67</v>
      </c>
      <c r="Q114" s="6" t="n">
        <f aca="false">0.35+((P114-10)/107)*(1-0.35)</f>
        <v>0.696261682242991</v>
      </c>
      <c r="R114" s="14" t="n">
        <f aca="false">Q114*L114</f>
        <v>0.348130841121495</v>
      </c>
      <c r="S114" s="14" t="n">
        <f aca="false">J114-R114</f>
        <v>-0.248130841121495</v>
      </c>
      <c r="T114" s="14" t="n">
        <f aca="false">MIN(122.1,(T113+S114))</f>
        <v>120.214345794393</v>
      </c>
      <c r="V114" s="6" t="n">
        <v>279.5</v>
      </c>
      <c r="X114" s="6" t="n">
        <f aca="false">X113+V114</f>
        <v>42073.4</v>
      </c>
      <c r="AA114" s="6" t="n">
        <v>9.30831907641425</v>
      </c>
    </row>
    <row r="115" s="6" customFormat="true" ht="15" hidden="false" customHeight="false" outlineLevel="0" collapsed="false">
      <c r="A115" s="11"/>
      <c r="B115" s="12"/>
      <c r="C115" s="7" t="n">
        <v>41231</v>
      </c>
      <c r="D115" s="6" t="n">
        <v>7.2</v>
      </c>
      <c r="E115" s="6" t="n">
        <v>4.7</v>
      </c>
      <c r="F115" s="6" t="n">
        <v>12.6</v>
      </c>
      <c r="G115" s="6" t="n">
        <f aca="false">G114+D115</f>
        <v>748.9</v>
      </c>
      <c r="J115" s="6" t="n">
        <v>0</v>
      </c>
      <c r="K115" s="6" t="n">
        <f aca="false">K114+J115</f>
        <v>225.6</v>
      </c>
      <c r="L115" s="6" t="n">
        <v>0.5</v>
      </c>
      <c r="M115" s="6" t="n">
        <f aca="false">M114+L115</f>
        <v>84.4</v>
      </c>
      <c r="N115" s="6" t="n">
        <v>-0.5</v>
      </c>
      <c r="O115" s="6" t="n">
        <f aca="false">O114+N115</f>
        <v>118.5</v>
      </c>
      <c r="P115" s="6" t="n">
        <v>68</v>
      </c>
      <c r="Q115" s="6" t="n">
        <f aca="false">0.35+((P115-10)/107)*(1-0.35)</f>
        <v>0.702336448598131</v>
      </c>
      <c r="R115" s="14" t="n">
        <f aca="false">Q115*L115</f>
        <v>0.351168224299065</v>
      </c>
      <c r="S115" s="14" t="n">
        <f aca="false">J115-R115</f>
        <v>-0.351168224299065</v>
      </c>
      <c r="T115" s="14" t="n">
        <f aca="false">MIN(122.1,(T114+S115))</f>
        <v>119.863177570093</v>
      </c>
      <c r="V115" s="6" t="n">
        <v>344.7</v>
      </c>
      <c r="X115" s="6" t="n">
        <f aca="false">X114+V115</f>
        <v>42418.1</v>
      </c>
      <c r="AA115" s="6" t="n">
        <v>9.26631549833416</v>
      </c>
    </row>
    <row r="116" s="6" customFormat="true" ht="15" hidden="false" customHeight="false" outlineLevel="0" collapsed="false">
      <c r="A116" s="11"/>
      <c r="B116" s="12"/>
      <c r="C116" s="7" t="n">
        <v>41232</v>
      </c>
      <c r="D116" s="6" t="n">
        <v>4.9</v>
      </c>
      <c r="E116" s="6" t="n">
        <v>2.3</v>
      </c>
      <c r="F116" s="6" t="n">
        <v>9.4</v>
      </c>
      <c r="G116" s="6" t="n">
        <f aca="false">G115+D116</f>
        <v>753.8</v>
      </c>
      <c r="J116" s="6" t="n">
        <v>0.6</v>
      </c>
      <c r="K116" s="6" t="n">
        <f aca="false">K115+J116</f>
        <v>226.2</v>
      </c>
      <c r="L116" s="6" t="n">
        <v>0.9</v>
      </c>
      <c r="M116" s="6" t="n">
        <f aca="false">M115+L116</f>
        <v>85.3</v>
      </c>
      <c r="N116" s="6" t="n">
        <v>-0.3</v>
      </c>
      <c r="O116" s="6" t="n">
        <f aca="false">O115+N116</f>
        <v>118.2</v>
      </c>
      <c r="P116" s="6" t="n">
        <v>69</v>
      </c>
      <c r="Q116" s="6" t="n">
        <f aca="false">0.35+((P116-10)/107)*(1-0.35)</f>
        <v>0.708411214953271</v>
      </c>
      <c r="R116" s="14" t="n">
        <f aca="false">Q116*L116</f>
        <v>0.637570093457944</v>
      </c>
      <c r="S116" s="14" t="n">
        <f aca="false">J116-R116</f>
        <v>-0.0375700934579439</v>
      </c>
      <c r="T116" s="14" t="n">
        <f aca="false">MIN(122.1,(T115+S116))</f>
        <v>119.825607476636</v>
      </c>
      <c r="V116" s="6" t="n">
        <v>658.3</v>
      </c>
      <c r="X116" s="6" t="n">
        <f aca="false">X115+V116</f>
        <v>43076.4</v>
      </c>
      <c r="AA116" s="6" t="n">
        <v>9.22507723143275</v>
      </c>
    </row>
    <row r="117" s="6" customFormat="true" ht="15" hidden="false" customHeight="false" outlineLevel="0" collapsed="false">
      <c r="A117" s="11"/>
      <c r="B117" s="12"/>
      <c r="C117" s="7" t="n">
        <v>41233</v>
      </c>
      <c r="D117" s="6" t="n">
        <v>3</v>
      </c>
      <c r="E117" s="6" t="n">
        <v>2.8</v>
      </c>
      <c r="F117" s="6" t="n">
        <v>3.2</v>
      </c>
      <c r="G117" s="6" t="n">
        <f aca="false">G116+D117</f>
        <v>756.8</v>
      </c>
      <c r="J117" s="6" t="n">
        <v>0.2</v>
      </c>
      <c r="K117" s="6" t="n">
        <f aca="false">K116+J117</f>
        <v>226.4</v>
      </c>
      <c r="L117" s="6" t="n">
        <v>0.3</v>
      </c>
      <c r="M117" s="6" t="n">
        <f aca="false">M116+L117</f>
        <v>85.6</v>
      </c>
      <c r="N117" s="6" t="n">
        <v>-0.1</v>
      </c>
      <c r="O117" s="6" t="n">
        <f aca="false">O116+N117</f>
        <v>118.1</v>
      </c>
      <c r="P117" s="6" t="n">
        <v>70</v>
      </c>
      <c r="Q117" s="6" t="n">
        <f aca="false">0.35+((P117-10)/107)*(1-0.35)</f>
        <v>0.714485981308411</v>
      </c>
      <c r="R117" s="14" t="n">
        <f aca="false">Q117*L117</f>
        <v>0.214345794392523</v>
      </c>
      <c r="S117" s="14" t="n">
        <f aca="false">J117-R117</f>
        <v>-0.0143457943925233</v>
      </c>
      <c r="T117" s="14" t="n">
        <f aca="false">MIN(122.1,(T116+S117))</f>
        <v>119.811261682243</v>
      </c>
      <c r="V117" s="6" t="n">
        <v>262.2</v>
      </c>
      <c r="X117" s="6" t="n">
        <f aca="false">X116+V117</f>
        <v>43338.6</v>
      </c>
      <c r="AA117" s="6" t="n">
        <v>9.18463214686021</v>
      </c>
    </row>
    <row r="118" s="6" customFormat="true" ht="15" hidden="false" customHeight="false" outlineLevel="0" collapsed="false">
      <c r="A118" s="11"/>
      <c r="B118" s="12"/>
      <c r="C118" s="7" t="n">
        <v>41234</v>
      </c>
      <c r="D118" s="6" t="n">
        <v>4.6</v>
      </c>
      <c r="E118" s="6" t="n">
        <v>2</v>
      </c>
      <c r="F118" s="6" t="n">
        <v>7.3</v>
      </c>
      <c r="G118" s="6" t="n">
        <f aca="false">G117+D118</f>
        <v>761.4</v>
      </c>
      <c r="J118" s="6" t="n">
        <v>2</v>
      </c>
      <c r="K118" s="6" t="n">
        <f aca="false">K117+J118</f>
        <v>228.4</v>
      </c>
      <c r="L118" s="6" t="n">
        <v>0.3</v>
      </c>
      <c r="M118" s="6" t="n">
        <f aca="false">M117+L118</f>
        <v>85.9</v>
      </c>
      <c r="N118" s="6" t="n">
        <v>1.7</v>
      </c>
      <c r="O118" s="6" t="n">
        <f aca="false">O117+N118</f>
        <v>119.8</v>
      </c>
      <c r="P118" s="6" t="n">
        <v>71</v>
      </c>
      <c r="Q118" s="6" t="n">
        <f aca="false">0.35+((P118-10)/107)*(1-0.35)</f>
        <v>0.720560747663551</v>
      </c>
      <c r="R118" s="14" t="n">
        <f aca="false">Q118*L118</f>
        <v>0.216168224299065</v>
      </c>
      <c r="S118" s="14" t="n">
        <f aca="false">J118-R118</f>
        <v>1.78383177570093</v>
      </c>
      <c r="T118" s="14" t="n">
        <f aca="false">MIN(122.1,(T117+S118))</f>
        <v>121.595093457944</v>
      </c>
      <c r="V118" s="6" t="n">
        <v>185.1</v>
      </c>
      <c r="X118" s="6" t="n">
        <f aca="false">X117+V118</f>
        <v>43523.7</v>
      </c>
      <c r="AA118" s="6" t="n">
        <v>9.1450084245708</v>
      </c>
    </row>
    <row r="119" s="6" customFormat="true" ht="15" hidden="false" customHeight="false" outlineLevel="0" collapsed="false">
      <c r="A119" s="11"/>
      <c r="B119" s="12"/>
      <c r="C119" s="7" t="n">
        <v>41235</v>
      </c>
      <c r="D119" s="6" t="n">
        <v>5.7</v>
      </c>
      <c r="E119" s="6" t="n">
        <v>3.9</v>
      </c>
      <c r="F119" s="6" t="n">
        <v>6.9</v>
      </c>
      <c r="G119" s="6" t="n">
        <f aca="false">G118+D119</f>
        <v>767.1</v>
      </c>
      <c r="J119" s="6" t="n">
        <v>0.2</v>
      </c>
      <c r="K119" s="6" t="n">
        <f aca="false">K118+J119</f>
        <v>228.6</v>
      </c>
      <c r="L119" s="6" t="n">
        <v>0.2</v>
      </c>
      <c r="M119" s="6" t="n">
        <f aca="false">M118+L119</f>
        <v>86.1</v>
      </c>
      <c r="N119" s="6" t="n">
        <v>0</v>
      </c>
      <c r="O119" s="6" t="n">
        <f aca="false">O118+N119</f>
        <v>119.8</v>
      </c>
      <c r="P119" s="6" t="n">
        <v>72</v>
      </c>
      <c r="Q119" s="6" t="n">
        <f aca="false">0.35+((P119-10)/107)*(1-0.35)</f>
        <v>0.726635514018692</v>
      </c>
      <c r="R119" s="14" t="n">
        <f aca="false">Q119*L119</f>
        <v>0.145327102803738</v>
      </c>
      <c r="S119" s="14" t="n">
        <f aca="false">J119-R119</f>
        <v>0.0546728971962617</v>
      </c>
      <c r="T119" s="14" t="n">
        <f aca="false">MIN(122.1,(T118+S119))</f>
        <v>121.64976635514</v>
      </c>
      <c r="V119" s="6" t="n">
        <v>166.8</v>
      </c>
      <c r="X119" s="6" t="n">
        <f aca="false">X118+V119</f>
        <v>43690.5</v>
      </c>
      <c r="AA119" s="6" t="n">
        <v>9.10623450666983</v>
      </c>
    </row>
    <row r="120" s="6" customFormat="true" ht="15" hidden="false" customHeight="false" outlineLevel="0" collapsed="false">
      <c r="A120" s="11"/>
      <c r="B120" s="12"/>
      <c r="C120" s="7" t="n">
        <v>41236</v>
      </c>
      <c r="D120" s="6" t="n">
        <v>7.6</v>
      </c>
      <c r="E120" s="6" t="n">
        <v>6.4</v>
      </c>
      <c r="F120" s="6" t="n">
        <v>10.1</v>
      </c>
      <c r="G120" s="6" t="n">
        <f aca="false">G119+D120</f>
        <v>774.7</v>
      </c>
      <c r="J120" s="6" t="n">
        <v>0.2</v>
      </c>
      <c r="K120" s="6" t="n">
        <f aca="false">K119+J120</f>
        <v>228.8</v>
      </c>
      <c r="L120" s="6" t="n">
        <v>0.5</v>
      </c>
      <c r="M120" s="6" t="n">
        <f aca="false">M119+L120</f>
        <v>86.6</v>
      </c>
      <c r="N120" s="6" t="n">
        <v>-0.3</v>
      </c>
      <c r="O120" s="6" t="n">
        <f aca="false">O119+N120</f>
        <v>119.5</v>
      </c>
      <c r="P120" s="6" t="n">
        <v>73</v>
      </c>
      <c r="Q120" s="6" t="n">
        <f aca="false">0.35+((P120-10)/107)*(1-0.35)</f>
        <v>0.732710280373832</v>
      </c>
      <c r="R120" s="14" t="n">
        <f aca="false">Q120*L120</f>
        <v>0.366355140186916</v>
      </c>
      <c r="S120" s="14" t="n">
        <f aca="false">J120-R120</f>
        <v>-0.166355140186916</v>
      </c>
      <c r="T120" s="14" t="n">
        <f aca="false">MIN(122.1,(T119+S120))</f>
        <v>121.483411214953</v>
      </c>
      <c r="V120" s="6" t="n">
        <v>325.5</v>
      </c>
      <c r="X120" s="6" t="n">
        <f aca="false">X119+V120</f>
        <v>44016</v>
      </c>
      <c r="AA120" s="6" t="n">
        <v>9.06833904711065</v>
      </c>
    </row>
    <row r="121" s="6" customFormat="true" ht="15" hidden="false" customHeight="false" outlineLevel="0" collapsed="false">
      <c r="A121" s="11"/>
      <c r="B121" s="12"/>
      <c r="C121" s="7" t="n">
        <v>41237</v>
      </c>
      <c r="D121" s="6" t="n">
        <v>9.2</v>
      </c>
      <c r="E121" s="6" t="n">
        <v>3.3</v>
      </c>
      <c r="F121" s="6" t="n">
        <v>14.1</v>
      </c>
      <c r="G121" s="6" t="n">
        <f aca="false">G120+D121</f>
        <v>783.9</v>
      </c>
      <c r="J121" s="6" t="n">
        <v>0</v>
      </c>
      <c r="K121" s="6" t="n">
        <f aca="false">K120+J121</f>
        <v>228.8</v>
      </c>
      <c r="L121" s="6" t="n">
        <v>0.4</v>
      </c>
      <c r="M121" s="6" t="n">
        <f aca="false">M120+L121</f>
        <v>87</v>
      </c>
      <c r="N121" s="6" t="n">
        <v>-0.4</v>
      </c>
      <c r="O121" s="6" t="n">
        <f aca="false">O120+N121</f>
        <v>119.1</v>
      </c>
      <c r="P121" s="6" t="n">
        <v>74</v>
      </c>
      <c r="Q121" s="6" t="n">
        <f aca="false">0.35+((P121-10)/107)*(1-0.35)</f>
        <v>0.738785046728972</v>
      </c>
      <c r="R121" s="14" t="n">
        <f aca="false">Q121*L121</f>
        <v>0.295514018691589</v>
      </c>
      <c r="S121" s="14" t="n">
        <f aca="false">J121-R121</f>
        <v>-0.295514018691589</v>
      </c>
      <c r="T121" s="14" t="n">
        <f aca="false">MIN(122.1,(T120+S121))</f>
        <v>121.187897196262</v>
      </c>
      <c r="V121" s="6" t="n">
        <v>145.4</v>
      </c>
      <c r="X121" s="6" t="n">
        <f aca="false">X120+V121</f>
        <v>44161.4</v>
      </c>
      <c r="AA121" s="6" t="n">
        <v>9.0313508577686</v>
      </c>
    </row>
    <row r="122" s="6" customFormat="true" ht="15" hidden="false" customHeight="false" outlineLevel="0" collapsed="false">
      <c r="A122" s="11"/>
      <c r="B122" s="12"/>
      <c r="C122" s="7" t="n">
        <v>41238</v>
      </c>
      <c r="D122" s="6" t="n">
        <v>11.3</v>
      </c>
      <c r="E122" s="6" t="n">
        <v>9.2</v>
      </c>
      <c r="F122" s="6" t="n">
        <v>12.8</v>
      </c>
      <c r="G122" s="6" t="n">
        <f aca="false">G121+D122</f>
        <v>795.2</v>
      </c>
      <c r="J122" s="6" t="n">
        <v>6.4</v>
      </c>
      <c r="K122" s="6" t="n">
        <f aca="false">K121+J122</f>
        <v>235.2</v>
      </c>
      <c r="L122" s="6" t="n">
        <v>1.1</v>
      </c>
      <c r="M122" s="6" t="n">
        <f aca="false">M121+L122</f>
        <v>88.1</v>
      </c>
      <c r="N122" s="6" t="n">
        <v>5.3</v>
      </c>
      <c r="O122" s="6" t="n">
        <v>122.1</v>
      </c>
      <c r="P122" s="6" t="n">
        <v>75</v>
      </c>
      <c r="Q122" s="6" t="n">
        <f aca="false">0.35+((P122-10)/107)*(1-0.35)</f>
        <v>0.744859813084112</v>
      </c>
      <c r="R122" s="14" t="n">
        <f aca="false">Q122*L122</f>
        <v>0.819345794392523</v>
      </c>
      <c r="S122" s="14" t="n">
        <f aca="false">J122-R122</f>
        <v>5.58065420560748</v>
      </c>
      <c r="T122" s="14" t="n">
        <f aca="false">MIN(122.1,(T121+S122))</f>
        <v>122.1</v>
      </c>
      <c r="V122" s="6" t="n">
        <v>474.7</v>
      </c>
      <c r="X122" s="6" t="n">
        <f aca="false">X121+V122</f>
        <v>44636.1</v>
      </c>
      <c r="AA122" s="16" t="n">
        <v>8.99529885094801</v>
      </c>
    </row>
    <row r="123" s="6" customFormat="true" ht="15" hidden="false" customHeight="false" outlineLevel="0" collapsed="false">
      <c r="A123" s="11"/>
      <c r="B123" s="12"/>
      <c r="C123" s="7" t="n">
        <v>41239</v>
      </c>
      <c r="D123" s="6" t="n">
        <v>9.4</v>
      </c>
      <c r="E123" s="6" t="n">
        <v>8.2</v>
      </c>
      <c r="F123" s="6" t="n">
        <v>11.5</v>
      </c>
      <c r="G123" s="6" t="n">
        <f aca="false">G122+D123</f>
        <v>804.6</v>
      </c>
      <c r="J123" s="6" t="n">
        <v>21.6</v>
      </c>
      <c r="K123" s="6" t="n">
        <f aca="false">K122+J123</f>
        <v>256.8</v>
      </c>
      <c r="L123" s="6" t="n">
        <v>0.5</v>
      </c>
      <c r="M123" s="6" t="n">
        <f aca="false">M122+L123</f>
        <v>88.6</v>
      </c>
      <c r="N123" s="6" t="n">
        <v>21.1</v>
      </c>
      <c r="O123" s="6" t="n">
        <v>122.1</v>
      </c>
      <c r="P123" s="6" t="n">
        <v>76</v>
      </c>
      <c r="Q123" s="6" t="n">
        <f aca="false">0.35+((P123-10)/107)*(1-0.35)</f>
        <v>0.750934579439252</v>
      </c>
      <c r="R123" s="14" t="n">
        <f aca="false">Q123*L123</f>
        <v>0.375467289719626</v>
      </c>
      <c r="S123" s="14" t="n">
        <f aca="false">J123-R123</f>
        <v>21.2245327102804</v>
      </c>
      <c r="T123" s="14" t="n">
        <f aca="false">MIN(122.1,(T122+S123))</f>
        <v>122.1</v>
      </c>
      <c r="V123" s="6" t="n">
        <v>97.1</v>
      </c>
      <c r="X123" s="6" t="n">
        <f aca="false">X122+V123</f>
        <v>44733.2</v>
      </c>
      <c r="AA123" s="16" t="n">
        <v>8.96021197840891</v>
      </c>
    </row>
    <row r="124" s="6" customFormat="true" ht="15" hidden="false" customHeight="false" outlineLevel="0" collapsed="false">
      <c r="A124" s="11"/>
      <c r="B124" s="12"/>
      <c r="C124" s="7" t="n">
        <v>41240</v>
      </c>
      <c r="D124" s="6" t="n">
        <v>6.5</v>
      </c>
      <c r="E124" s="6" t="n">
        <v>6.2</v>
      </c>
      <c r="F124" s="6" t="n">
        <v>7.5</v>
      </c>
      <c r="G124" s="6" t="n">
        <f aca="false">G123+D124</f>
        <v>811.1</v>
      </c>
      <c r="J124" s="6" t="n">
        <v>0</v>
      </c>
      <c r="K124" s="6" t="n">
        <f aca="false">K123+J124</f>
        <v>256.8</v>
      </c>
      <c r="L124" s="6" t="n">
        <v>0.3</v>
      </c>
      <c r="M124" s="6" t="n">
        <f aca="false">M123+L124</f>
        <v>88.9</v>
      </c>
      <c r="N124" s="6" t="n">
        <v>-0.3</v>
      </c>
      <c r="O124" s="6" t="n">
        <f aca="false">O123+N124</f>
        <v>121.8</v>
      </c>
      <c r="P124" s="6" t="n">
        <v>77</v>
      </c>
      <c r="Q124" s="6" t="n">
        <f aca="false">0.35+((P124-10)/107)*(1-0.35)</f>
        <v>0.757009345794393</v>
      </c>
      <c r="R124" s="14" t="n">
        <f aca="false">Q124*L124</f>
        <v>0.227102803738318</v>
      </c>
      <c r="S124" s="14" t="n">
        <f aca="false">J124-R124</f>
        <v>-0.227102803738318</v>
      </c>
      <c r="T124" s="14" t="n">
        <f aca="false">MIN(122.1,(T123+S124))</f>
        <v>121.872897196262</v>
      </c>
      <c r="V124" s="6" t="n">
        <v>143.6</v>
      </c>
      <c r="X124" s="6" t="n">
        <f aca="false">X123+V124</f>
        <v>44876.8</v>
      </c>
      <c r="AA124" s="16" t="n">
        <v>8.92611916703292</v>
      </c>
    </row>
    <row r="125" s="6" customFormat="true" ht="15" hidden="false" customHeight="false" outlineLevel="0" collapsed="false">
      <c r="A125" s="11"/>
      <c r="B125" s="12"/>
      <c r="C125" s="7" t="n">
        <v>41241</v>
      </c>
      <c r="D125" s="6" t="n">
        <v>5.9</v>
      </c>
      <c r="E125" s="6" t="n">
        <v>5.1</v>
      </c>
      <c r="F125" s="6" t="n">
        <v>7.3</v>
      </c>
      <c r="G125" s="6" t="n">
        <f aca="false">G124+D125</f>
        <v>817</v>
      </c>
      <c r="J125" s="6" t="n">
        <v>0.3</v>
      </c>
      <c r="K125" s="6" t="n">
        <f aca="false">K124+J125</f>
        <v>257.1</v>
      </c>
      <c r="L125" s="6" t="n">
        <v>0.8</v>
      </c>
      <c r="M125" s="6" t="n">
        <f aca="false">M124+L125</f>
        <v>89.7</v>
      </c>
      <c r="N125" s="6" t="n">
        <v>-0.5</v>
      </c>
      <c r="O125" s="6" t="n">
        <f aca="false">O124+N125</f>
        <v>121.3</v>
      </c>
      <c r="P125" s="6" t="n">
        <v>78</v>
      </c>
      <c r="Q125" s="6" t="n">
        <f aca="false">0.35+((P125-10)/107)*(1-0.35)</f>
        <v>0.763084112149533</v>
      </c>
      <c r="R125" s="14" t="n">
        <f aca="false">Q125*L125</f>
        <v>0.610467289719626</v>
      </c>
      <c r="S125" s="14" t="n">
        <f aca="false">J125-R125</f>
        <v>-0.310467289719626</v>
      </c>
      <c r="T125" s="14" t="n">
        <f aca="false">MIN(122.1,(T124+S125))</f>
        <v>121.562429906542</v>
      </c>
      <c r="V125" s="6" t="n">
        <v>127.3</v>
      </c>
      <c r="X125" s="6" t="n">
        <f aca="false">X124+V125</f>
        <v>45004.1</v>
      </c>
      <c r="AA125" s="16" t="n">
        <v>8.89304925128208</v>
      </c>
    </row>
    <row r="126" s="6" customFormat="true" ht="15" hidden="false" customHeight="false" outlineLevel="0" collapsed="false">
      <c r="A126" s="11"/>
      <c r="B126" s="17" t="n">
        <v>1</v>
      </c>
      <c r="C126" s="7" t="n">
        <v>41242</v>
      </c>
      <c r="D126" s="6" t="n">
        <v>4.5</v>
      </c>
      <c r="E126" s="6" t="n">
        <v>4.3</v>
      </c>
      <c r="F126" s="6" t="n">
        <v>5.7</v>
      </c>
      <c r="G126" s="6" t="n">
        <f aca="false">G125+D126</f>
        <v>821.5</v>
      </c>
      <c r="J126" s="6" t="n">
        <v>0</v>
      </c>
      <c r="K126" s="6" t="n">
        <f aca="false">K125+J126</f>
        <v>257.1</v>
      </c>
      <c r="L126" s="6" t="n">
        <v>1.1</v>
      </c>
      <c r="M126" s="6" t="n">
        <f aca="false">M125+L126</f>
        <v>90.8</v>
      </c>
      <c r="N126" s="6" t="n">
        <v>-1.1</v>
      </c>
      <c r="O126" s="6" t="n">
        <f aca="false">O125+N126</f>
        <v>120.2</v>
      </c>
      <c r="P126" s="6" t="n">
        <v>79</v>
      </c>
      <c r="Q126" s="6" t="n">
        <f aca="false">0.35+((P126-10)/107)*(1-0.35)</f>
        <v>0.769158878504673</v>
      </c>
      <c r="R126" s="14" t="n">
        <f aca="false">Q126*L126</f>
        <v>0.84607476635514</v>
      </c>
      <c r="S126" s="14" t="n">
        <f aca="false">J126-R126</f>
        <v>-0.84607476635514</v>
      </c>
      <c r="T126" s="14" t="n">
        <f aca="false">MIN(122.1,(T125+S126))</f>
        <v>120.716355140187</v>
      </c>
      <c r="V126" s="6" t="n">
        <v>254</v>
      </c>
      <c r="X126" s="6" t="n">
        <f aca="false">X125+V126</f>
        <v>45258.1</v>
      </c>
      <c r="AA126" s="16" t="n">
        <v>8.86103090264026</v>
      </c>
    </row>
    <row r="127" s="6" customFormat="true" ht="15" hidden="false" customHeight="false" outlineLevel="0" collapsed="false">
      <c r="A127" s="11"/>
      <c r="B127" s="17" t="n">
        <v>2</v>
      </c>
      <c r="C127" s="7" t="n">
        <v>41243</v>
      </c>
      <c r="D127" s="6" t="n">
        <v>1.7</v>
      </c>
      <c r="E127" s="6" t="n">
        <v>0.8</v>
      </c>
      <c r="F127" s="6" t="n">
        <v>4.9</v>
      </c>
      <c r="G127" s="6" t="n">
        <f aca="false">G126+D127</f>
        <v>823.2</v>
      </c>
      <c r="J127" s="6" t="n">
        <v>0.2</v>
      </c>
      <c r="K127" s="6" t="n">
        <f aca="false">K126+J127</f>
        <v>257.3</v>
      </c>
      <c r="L127" s="6" t="n">
        <v>1.1</v>
      </c>
      <c r="M127" s="6" t="n">
        <f aca="false">M126+L127</f>
        <v>91.9</v>
      </c>
      <c r="N127" s="6" t="n">
        <v>-0.9</v>
      </c>
      <c r="O127" s="6" t="n">
        <f aca="false">O126+N127</f>
        <v>119.3</v>
      </c>
      <c r="P127" s="6" t="n">
        <v>80</v>
      </c>
      <c r="Q127" s="6" t="n">
        <f aca="false">0.35+((P127-10)/107)*(1-0.35)</f>
        <v>0.775233644859813</v>
      </c>
      <c r="R127" s="14" t="n">
        <f aca="false">Q127*L127</f>
        <v>0.852757009345795</v>
      </c>
      <c r="S127" s="14" t="n">
        <f aca="false">J127-R127</f>
        <v>-0.652757009345794</v>
      </c>
      <c r="T127" s="14" t="n">
        <f aca="false">MIN(122.1,(T126+S127))</f>
        <v>120.063598130841</v>
      </c>
      <c r="V127" s="6" t="n">
        <v>565.3</v>
      </c>
      <c r="X127" s="6" t="n">
        <f aca="false">X126+V127</f>
        <v>45823.4</v>
      </c>
      <c r="AA127" s="16" t="n">
        <v>8.83009255626333</v>
      </c>
    </row>
    <row r="128" s="6" customFormat="true" ht="15" hidden="false" customHeight="false" outlineLevel="0" collapsed="false">
      <c r="A128" s="11"/>
      <c r="B128" s="17" t="n">
        <v>3</v>
      </c>
      <c r="C128" s="7" t="n">
        <v>41244</v>
      </c>
      <c r="D128" s="6" t="n">
        <v>-0.2</v>
      </c>
      <c r="E128" s="6" t="n">
        <v>-1.9</v>
      </c>
      <c r="F128" s="6" t="n">
        <v>3.2</v>
      </c>
      <c r="G128" s="6" t="n">
        <v>823.2</v>
      </c>
      <c r="J128" s="6" t="n">
        <v>0</v>
      </c>
      <c r="K128" s="6" t="n">
        <f aca="false">K127+J128</f>
        <v>257.3</v>
      </c>
      <c r="L128" s="6" t="n">
        <v>0.7</v>
      </c>
      <c r="M128" s="6" t="n">
        <f aca="false">M127+L128</f>
        <v>92.6</v>
      </c>
      <c r="N128" s="6" t="n">
        <v>-0.7</v>
      </c>
      <c r="O128" s="6" t="n">
        <f aca="false">O127+N128</f>
        <v>118.6</v>
      </c>
      <c r="P128" s="6" t="n">
        <v>81</v>
      </c>
      <c r="Q128" s="6" t="n">
        <f aca="false">0.35+((P128-10)/107)*(1-0.35)</f>
        <v>0.781308411214953</v>
      </c>
      <c r="R128" s="14" t="n">
        <f aca="false">Q128*L128</f>
        <v>0.546915887850467</v>
      </c>
      <c r="S128" s="14" t="n">
        <f aca="false">J128-R128</f>
        <v>-0.546915887850467</v>
      </c>
      <c r="T128" s="14" t="n">
        <f aca="false">MIN(122.1,(T127+S128))</f>
        <v>119.516682242991</v>
      </c>
      <c r="V128" s="6" t="n">
        <v>610</v>
      </c>
      <c r="X128" s="6" t="n">
        <f aca="false">X127+V128</f>
        <v>46433.4</v>
      </c>
      <c r="AA128" s="16" t="n">
        <v>8.80026233510171</v>
      </c>
    </row>
    <row r="129" s="6" customFormat="true" ht="15" hidden="false" customHeight="false" outlineLevel="0" collapsed="false">
      <c r="A129" s="11"/>
      <c r="B129" s="17" t="n">
        <v>4</v>
      </c>
      <c r="C129" s="7" t="n">
        <v>41245</v>
      </c>
      <c r="D129" s="6" t="n">
        <v>-0.2</v>
      </c>
      <c r="E129" s="6" t="n">
        <v>-1.7</v>
      </c>
      <c r="F129" s="6" t="n">
        <v>3.2</v>
      </c>
      <c r="G129" s="6" t="n">
        <v>823.2</v>
      </c>
      <c r="J129" s="6" t="n">
        <v>0.4</v>
      </c>
      <c r="K129" s="6" t="n">
        <f aca="false">K128+J129</f>
        <v>257.7</v>
      </c>
      <c r="L129" s="6" t="n">
        <v>0.4</v>
      </c>
      <c r="M129" s="6" t="n">
        <f aca="false">M128+L129</f>
        <v>93</v>
      </c>
      <c r="N129" s="6" t="n">
        <v>0</v>
      </c>
      <c r="O129" s="6" t="n">
        <f aca="false">O128+N129</f>
        <v>118.6</v>
      </c>
      <c r="P129" s="6" t="n">
        <v>82</v>
      </c>
      <c r="Q129" s="6" t="n">
        <f aca="false">0.35+((P129-10)/107)*(1-0.35)</f>
        <v>0.787383177570094</v>
      </c>
      <c r="R129" s="14" t="n">
        <f aca="false">Q129*L129</f>
        <v>0.314953271028037</v>
      </c>
      <c r="S129" s="14" t="n">
        <f aca="false">J129-R129</f>
        <v>0.0850467289719626</v>
      </c>
      <c r="T129" s="14" t="n">
        <f aca="false">MIN(122.1,(T128+S129))</f>
        <v>119.601728971963</v>
      </c>
      <c r="V129" s="6" t="n">
        <v>243.7</v>
      </c>
      <c r="X129" s="6" t="n">
        <f aca="false">X128+V129</f>
        <v>46677.1</v>
      </c>
      <c r="AA129" s="16" t="n">
        <v>8.7715679717963</v>
      </c>
    </row>
    <row r="130" s="6" customFormat="true" ht="15" hidden="false" customHeight="false" outlineLevel="0" collapsed="false">
      <c r="A130" s="11"/>
      <c r="B130" s="17" t="n">
        <v>5</v>
      </c>
      <c r="C130" s="7" t="n">
        <v>41246</v>
      </c>
      <c r="D130" s="6" t="n">
        <v>0.2</v>
      </c>
      <c r="E130" s="6" t="n">
        <v>-2.4</v>
      </c>
      <c r="F130" s="6" t="n">
        <v>6.1</v>
      </c>
      <c r="G130" s="6" t="n">
        <f aca="false">G129+D130</f>
        <v>823.4</v>
      </c>
      <c r="J130" s="6" t="n">
        <v>17.4</v>
      </c>
      <c r="K130" s="6" t="n">
        <f aca="false">K129+J130</f>
        <v>275.1</v>
      </c>
      <c r="L130" s="6" t="n">
        <v>0.5</v>
      </c>
      <c r="M130" s="6" t="n">
        <f aca="false">M129+L130</f>
        <v>93.5</v>
      </c>
      <c r="N130" s="6" t="n">
        <v>16.9</v>
      </c>
      <c r="O130" s="6" t="n">
        <v>122.1</v>
      </c>
      <c r="P130" s="6" t="n">
        <v>83</v>
      </c>
      <c r="Q130" s="6" t="n">
        <f aca="false">0.35+((P130-10)/107)*(1-0.35)</f>
        <v>0.793457943925234</v>
      </c>
      <c r="R130" s="14" t="n">
        <f aca="false">Q130*L130</f>
        <v>0.396728971962617</v>
      </c>
      <c r="S130" s="14" t="n">
        <f aca="false">J130-R130</f>
        <v>17.0032710280374</v>
      </c>
      <c r="T130" s="14" t="n">
        <f aca="false">MIN(122.1,(T129+S130))</f>
        <v>122.1</v>
      </c>
      <c r="V130" s="6" t="n">
        <v>75.9</v>
      </c>
      <c r="X130" s="6" t="n">
        <f aca="false">X129+V130</f>
        <v>46753</v>
      </c>
      <c r="AA130" s="16" t="n">
        <v>8.74403672868584</v>
      </c>
    </row>
    <row r="131" s="6" customFormat="true" ht="15" hidden="false" customHeight="false" outlineLevel="0" collapsed="false">
      <c r="A131" s="11"/>
      <c r="B131" s="17" t="n">
        <v>6</v>
      </c>
      <c r="C131" s="7" t="n">
        <v>41247</v>
      </c>
      <c r="D131" s="6" t="n">
        <v>5</v>
      </c>
      <c r="E131" s="6" t="n">
        <v>2.1</v>
      </c>
      <c r="F131" s="6" t="n">
        <v>6.1</v>
      </c>
      <c r="G131" s="6" t="n">
        <f aca="false">G130+D131</f>
        <v>828.4</v>
      </c>
      <c r="J131" s="6" t="n">
        <v>2.3</v>
      </c>
      <c r="K131" s="6" t="n">
        <f aca="false">K130+J131</f>
        <v>277.4</v>
      </c>
      <c r="L131" s="6" t="n">
        <v>0.3</v>
      </c>
      <c r="M131" s="6" t="n">
        <f aca="false">M130+L131</f>
        <v>93.8</v>
      </c>
      <c r="N131" s="6" t="n">
        <v>2</v>
      </c>
      <c r="O131" s="6" t="n">
        <v>122.1</v>
      </c>
      <c r="P131" s="6" t="n">
        <v>84</v>
      </c>
      <c r="Q131" s="6" t="n">
        <f aca="false">0.35+((P131-10)/107)*(1-0.35)</f>
        <v>0.799532710280374</v>
      </c>
      <c r="R131" s="14" t="n">
        <f aca="false">Q131*L131</f>
        <v>0.239859813084112</v>
      </c>
      <c r="S131" s="14" t="n">
        <f aca="false">J131-R131</f>
        <v>2.06014018691589</v>
      </c>
      <c r="T131" s="14" t="n">
        <f aca="false">MIN(122.1,(T130+S131))</f>
        <v>122.1</v>
      </c>
      <c r="V131" s="6" t="n">
        <v>133.8</v>
      </c>
      <c r="X131" s="6" t="n">
        <f aca="false">X130+V131</f>
        <v>46886.8</v>
      </c>
      <c r="AA131" s="16" t="n">
        <v>8.71769531630004</v>
      </c>
    </row>
    <row r="132" s="6" customFormat="true" ht="15" hidden="false" customHeight="false" outlineLevel="0" collapsed="false">
      <c r="A132" s="11"/>
      <c r="B132" s="17" t="n">
        <v>7</v>
      </c>
      <c r="C132" s="7" t="n">
        <v>41248</v>
      </c>
      <c r="D132" s="6" t="n">
        <v>3.3</v>
      </c>
      <c r="E132" s="6" t="n">
        <v>2.2</v>
      </c>
      <c r="F132" s="6" t="n">
        <v>4.9</v>
      </c>
      <c r="G132" s="6" t="n">
        <f aca="false">G131+D132</f>
        <v>831.7</v>
      </c>
      <c r="J132" s="6" t="n">
        <v>3.2</v>
      </c>
      <c r="K132" s="6" t="n">
        <f aca="false">K131+J132</f>
        <v>280.6</v>
      </c>
      <c r="L132" s="6" t="n">
        <v>0.5</v>
      </c>
      <c r="M132" s="6" t="n">
        <f aca="false">M131+L132</f>
        <v>94.3</v>
      </c>
      <c r="N132" s="6" t="n">
        <v>2.7</v>
      </c>
      <c r="O132" s="6" t="n">
        <v>122.1</v>
      </c>
      <c r="P132" s="6" t="n">
        <v>85</v>
      </c>
      <c r="Q132" s="6" t="n">
        <f aca="false">0.35+((P132-10)/107)*(1-0.35)</f>
        <v>0.805607476635514</v>
      </c>
      <c r="R132" s="14" t="n">
        <f aca="false">Q132*L132</f>
        <v>0.402803738317757</v>
      </c>
      <c r="S132" s="14" t="n">
        <f aca="false">J132-R132</f>
        <v>2.79719626168224</v>
      </c>
      <c r="T132" s="14" t="n">
        <f aca="false">MIN(122.1,(T131+S132))</f>
        <v>122.1</v>
      </c>
      <c r="V132" s="6" t="n">
        <v>145.9</v>
      </c>
      <c r="X132" s="6" t="n">
        <f aca="false">X131+V132</f>
        <v>47032.7</v>
      </c>
      <c r="AA132" s="16" t="n">
        <v>8.69256981074726</v>
      </c>
    </row>
    <row r="133" s="6" customFormat="true" ht="15" hidden="false" customHeight="false" outlineLevel="0" collapsed="false">
      <c r="A133" s="11"/>
      <c r="B133" s="17" t="n">
        <v>8</v>
      </c>
      <c r="C133" s="7" t="n">
        <v>41249</v>
      </c>
      <c r="D133" s="6" t="n">
        <v>0.9</v>
      </c>
      <c r="E133" s="6" t="n">
        <v>-1.2</v>
      </c>
      <c r="F133" s="6" t="n">
        <v>3.6</v>
      </c>
      <c r="G133" s="6" t="n">
        <f aca="false">G132+D133</f>
        <v>832.6</v>
      </c>
      <c r="J133" s="6" t="n">
        <v>0</v>
      </c>
      <c r="K133" s="6" t="n">
        <f aca="false">K132+J133</f>
        <v>280.6</v>
      </c>
      <c r="L133" s="6" t="n">
        <v>0.5</v>
      </c>
      <c r="M133" s="6" t="n">
        <f aca="false">M132+L133</f>
        <v>94.8</v>
      </c>
      <c r="N133" s="6" t="n">
        <v>-0.5</v>
      </c>
      <c r="O133" s="6" t="n">
        <f aca="false">O132+N133</f>
        <v>121.6</v>
      </c>
      <c r="P133" s="6" t="n">
        <v>86</v>
      </c>
      <c r="Q133" s="6" t="n">
        <f aca="false">0.35+((P133-10)/107)*(1-0.35)</f>
        <v>0.811682242990654</v>
      </c>
      <c r="R133" s="14" t="n">
        <f aca="false">Q133*L133</f>
        <v>0.405841121495327</v>
      </c>
      <c r="S133" s="14" t="n">
        <f aca="false">J133-R133</f>
        <v>-0.405841121495327</v>
      </c>
      <c r="T133" s="14" t="n">
        <f aca="false">MIN(122.1,(T132+S133))</f>
        <v>121.694158878505</v>
      </c>
      <c r="V133" s="6" t="n">
        <v>533.1</v>
      </c>
      <c r="X133" s="6" t="n">
        <f aca="false">X132+V133</f>
        <v>47565.8</v>
      </c>
      <c r="AA133" s="16" t="n">
        <v>8.66868557043816</v>
      </c>
    </row>
    <row r="134" s="6" customFormat="true" ht="15" hidden="false" customHeight="false" outlineLevel="0" collapsed="false">
      <c r="A134" s="11"/>
      <c r="B134" s="17" t="n">
        <v>9</v>
      </c>
      <c r="C134" s="7" t="n">
        <v>41250</v>
      </c>
      <c r="D134" s="6" t="n">
        <v>0.5</v>
      </c>
      <c r="E134" s="6" t="n">
        <v>-2</v>
      </c>
      <c r="F134" s="6" t="n">
        <v>2.4</v>
      </c>
      <c r="G134" s="6" t="n">
        <f aca="false">G133+D134</f>
        <v>833.1</v>
      </c>
      <c r="J134" s="6" t="n">
        <v>3.1</v>
      </c>
      <c r="K134" s="6" t="n">
        <f aca="false">K133+J134</f>
        <v>283.7</v>
      </c>
      <c r="L134" s="6" t="n">
        <v>0.2</v>
      </c>
      <c r="M134" s="6" t="n">
        <f aca="false">M133+L134</f>
        <v>95</v>
      </c>
      <c r="N134" s="6" t="n">
        <v>2.9</v>
      </c>
      <c r="O134" s="6" t="n">
        <v>122.1</v>
      </c>
      <c r="P134" s="6" t="n">
        <v>87</v>
      </c>
      <c r="Q134" s="6" t="n">
        <f aca="false">0.35+((P134-10)/107)*(1-0.35)</f>
        <v>0.817757009345794</v>
      </c>
      <c r="R134" s="14" t="n">
        <f aca="false">Q134*L134</f>
        <v>0.163551401869159</v>
      </c>
      <c r="S134" s="14" t="n">
        <f aca="false">J134-R134</f>
        <v>2.93644859813084</v>
      </c>
      <c r="T134" s="14" t="n">
        <f aca="false">MIN(122.1,(T133+S134))</f>
        <v>122.1</v>
      </c>
      <c r="V134" s="6" t="n">
        <v>115.5</v>
      </c>
      <c r="X134" s="6" t="n">
        <f aca="false">X133+V134</f>
        <v>47681.3</v>
      </c>
      <c r="AA134" s="16" t="n">
        <v>8.64606715261643</v>
      </c>
    </row>
    <row r="135" s="6" customFormat="true" ht="15" hidden="false" customHeight="false" outlineLevel="0" collapsed="false">
      <c r="A135" s="11"/>
      <c r="B135" s="17" t="n">
        <v>10</v>
      </c>
      <c r="C135" s="7" t="n">
        <v>41251</v>
      </c>
      <c r="D135" s="6" t="n">
        <v>1.3</v>
      </c>
      <c r="E135" s="6" t="n">
        <v>0.7</v>
      </c>
      <c r="F135" s="6" t="n">
        <v>2</v>
      </c>
      <c r="G135" s="6" t="n">
        <f aca="false">G134+D135</f>
        <v>834.4</v>
      </c>
      <c r="J135" s="6" t="n">
        <v>0</v>
      </c>
      <c r="K135" s="6" t="n">
        <f aca="false">K134+J135</f>
        <v>283.7</v>
      </c>
      <c r="L135" s="6" t="n">
        <v>0.4</v>
      </c>
      <c r="M135" s="6" t="n">
        <f aca="false">M134+L135</f>
        <v>95.4</v>
      </c>
      <c r="N135" s="6" t="n">
        <v>-0.4</v>
      </c>
      <c r="O135" s="6" t="n">
        <f aca="false">O134+N135</f>
        <v>121.7</v>
      </c>
      <c r="P135" s="6" t="n">
        <v>88</v>
      </c>
      <c r="Q135" s="6" t="n">
        <f aca="false">0.35+((P135-10)/107)*(1-0.35)</f>
        <v>0.823831775700935</v>
      </c>
      <c r="R135" s="14" t="n">
        <f aca="false">Q135*L135</f>
        <v>0.329532710280374</v>
      </c>
      <c r="S135" s="14" t="n">
        <f aca="false">J135-R135</f>
        <v>-0.329532710280374</v>
      </c>
      <c r="T135" s="14" t="n">
        <f aca="false">MIN(122.1,(T134+S135))</f>
        <v>121.77046728972</v>
      </c>
      <c r="V135" s="6" t="n">
        <v>220.7</v>
      </c>
      <c r="X135" s="6" t="n">
        <f aca="false">X134+V135</f>
        <v>47902</v>
      </c>
      <c r="AA135" s="16" t="n">
        <v>8.62473823019423</v>
      </c>
    </row>
    <row r="136" s="6" customFormat="true" ht="15" hidden="false" customHeight="false" outlineLevel="0" collapsed="false">
      <c r="A136" s="11"/>
      <c r="B136" s="17" t="n">
        <v>11</v>
      </c>
      <c r="C136" s="7" t="n">
        <v>41252</v>
      </c>
      <c r="D136" s="6" t="n">
        <v>1.6</v>
      </c>
      <c r="E136" s="6" t="n">
        <v>-0.6</v>
      </c>
      <c r="F136" s="6" t="n">
        <v>3.3</v>
      </c>
      <c r="G136" s="6" t="n">
        <f aca="false">G135+D136</f>
        <v>836</v>
      </c>
      <c r="J136" s="6" t="n">
        <v>1.2</v>
      </c>
      <c r="K136" s="6" t="n">
        <f aca="false">K135+J136</f>
        <v>284.9</v>
      </c>
      <c r="L136" s="6" t="n">
        <v>0.5</v>
      </c>
      <c r="M136" s="6" t="n">
        <f aca="false">M135+L136</f>
        <v>95.9</v>
      </c>
      <c r="N136" s="6" t="n">
        <v>0.7</v>
      </c>
      <c r="O136" s="6" t="n">
        <v>122.1</v>
      </c>
      <c r="P136" s="6" t="n">
        <v>89</v>
      </c>
      <c r="Q136" s="6" t="n">
        <f aca="false">0.35+((P136-10)/107)*(1-0.35)</f>
        <v>0.829906542056075</v>
      </c>
      <c r="R136" s="14" t="n">
        <f aca="false">Q136*L136</f>
        <v>0.414953271028037</v>
      </c>
      <c r="S136" s="14" t="n">
        <f aca="false">J136-R136</f>
        <v>0.785046728971963</v>
      </c>
      <c r="T136" s="14" t="n">
        <f aca="false">MIN(122.1,(T135+S136))</f>
        <v>122.1</v>
      </c>
      <c r="V136" s="6" t="n">
        <v>310.5</v>
      </c>
      <c r="X136" s="6" t="n">
        <f aca="false">X135+V136</f>
        <v>48212.5</v>
      </c>
      <c r="AA136" s="16" t="n">
        <v>8.60472150941196</v>
      </c>
    </row>
    <row r="137" s="6" customFormat="true" ht="15" hidden="false" customHeight="false" outlineLevel="0" collapsed="false">
      <c r="A137" s="11"/>
      <c r="B137" s="17" t="n">
        <v>12</v>
      </c>
      <c r="C137" s="7" t="n">
        <v>41253</v>
      </c>
      <c r="D137" s="6" t="n">
        <v>3.3</v>
      </c>
      <c r="E137" s="6" t="n">
        <v>2.1</v>
      </c>
      <c r="F137" s="6" t="n">
        <v>5.3</v>
      </c>
      <c r="G137" s="6" t="n">
        <f aca="false">G136+D137</f>
        <v>839.3</v>
      </c>
      <c r="J137" s="6" t="n">
        <v>0.7</v>
      </c>
      <c r="K137" s="6" t="n">
        <f aca="false">K136+J137</f>
        <v>285.6</v>
      </c>
      <c r="L137" s="6" t="n">
        <v>0.6</v>
      </c>
      <c r="M137" s="6" t="n">
        <f aca="false">M136+L137</f>
        <v>96.5</v>
      </c>
      <c r="N137" s="6" t="n">
        <v>0.1</v>
      </c>
      <c r="O137" s="6" t="n">
        <v>122.1</v>
      </c>
      <c r="P137" s="6" t="n">
        <v>90</v>
      </c>
      <c r="Q137" s="6" t="n">
        <f aca="false">0.35+((P137-10)/107)*(1-0.35)</f>
        <v>0.835981308411215</v>
      </c>
      <c r="R137" s="14" t="n">
        <f aca="false">Q137*L137</f>
        <v>0.501588785046729</v>
      </c>
      <c r="S137" s="14" t="n">
        <f aca="false">J137-R137</f>
        <v>0.198411214953271</v>
      </c>
      <c r="T137" s="14" t="n">
        <f aca="false">MIN(122.1,(T136+S137))</f>
        <v>122.1</v>
      </c>
      <c r="V137" s="6" t="n">
        <v>310.1</v>
      </c>
      <c r="X137" s="6" t="n">
        <f aca="false">X136+V137</f>
        <v>48522.6</v>
      </c>
      <c r="AA137" s="16" t="n">
        <v>8.58603864886015</v>
      </c>
    </row>
    <row r="138" s="6" customFormat="true" ht="15" hidden="false" customHeight="false" outlineLevel="0" collapsed="false">
      <c r="A138" s="11"/>
      <c r="B138" s="17" t="n">
        <v>13</v>
      </c>
      <c r="C138" s="7" t="n">
        <v>41254</v>
      </c>
      <c r="D138" s="6" t="n">
        <v>0.4</v>
      </c>
      <c r="E138" s="6" t="n">
        <v>0</v>
      </c>
      <c r="F138" s="6" t="n">
        <v>1.3</v>
      </c>
      <c r="G138" s="6" t="n">
        <f aca="false">G137+D138</f>
        <v>839.7</v>
      </c>
      <c r="J138" s="6" t="n">
        <v>0</v>
      </c>
      <c r="K138" s="6" t="n">
        <f aca="false">K137+J138</f>
        <v>285.6</v>
      </c>
      <c r="L138" s="6" t="n">
        <v>0.7</v>
      </c>
      <c r="M138" s="6" t="n">
        <f aca="false">M137+L138</f>
        <v>97.2</v>
      </c>
      <c r="N138" s="6" t="n">
        <v>-0.7</v>
      </c>
      <c r="O138" s="6" t="n">
        <f aca="false">O137+N138</f>
        <v>121.4</v>
      </c>
      <c r="P138" s="6" t="n">
        <v>91</v>
      </c>
      <c r="Q138" s="6" t="n">
        <f aca="false">0.35+((P138-10)/107)*(1-0.35)</f>
        <v>0.842056074766355</v>
      </c>
      <c r="R138" s="14" t="n">
        <f aca="false">Q138*L138</f>
        <v>0.589439252336449</v>
      </c>
      <c r="S138" s="14" t="n">
        <f aca="false">J138-R138</f>
        <v>-0.589439252336449</v>
      </c>
      <c r="T138" s="14" t="n">
        <f aca="false">MIN(122.1,(T137+S138))</f>
        <v>121.510560747664</v>
      </c>
      <c r="V138" s="6" t="n">
        <v>232.1</v>
      </c>
      <c r="X138" s="6" t="n">
        <f aca="false">X137+V138</f>
        <v>48754.7</v>
      </c>
      <c r="AA138" s="16" t="n">
        <v>8.56871018041351</v>
      </c>
    </row>
    <row r="139" s="6" customFormat="true" ht="15" hidden="false" customHeight="false" outlineLevel="0" collapsed="false">
      <c r="A139" s="11"/>
      <c r="B139" s="17" t="n">
        <v>14</v>
      </c>
      <c r="C139" s="7" t="n">
        <v>41255</v>
      </c>
      <c r="D139" s="6" t="n">
        <v>-3.5</v>
      </c>
      <c r="E139" s="6" t="n">
        <v>-4.5</v>
      </c>
      <c r="F139" s="6" t="n">
        <v>-1.1</v>
      </c>
      <c r="G139" s="6" t="n">
        <v>839.7</v>
      </c>
      <c r="J139" s="6" t="n">
        <v>0</v>
      </c>
      <c r="K139" s="6" t="n">
        <f aca="false">K138+J139</f>
        <v>285.6</v>
      </c>
      <c r="L139" s="6" t="n">
        <v>0.3</v>
      </c>
      <c r="M139" s="6" t="n">
        <f aca="false">M138+L139</f>
        <v>97.5</v>
      </c>
      <c r="N139" s="6" t="n">
        <v>-0.3</v>
      </c>
      <c r="O139" s="6" t="n">
        <f aca="false">O138+N139</f>
        <v>121.1</v>
      </c>
      <c r="P139" s="6" t="n">
        <v>92</v>
      </c>
      <c r="Q139" s="6" t="n">
        <f aca="false">0.35+((P139-10)/107)*(1-0.35)</f>
        <v>0.848130841121495</v>
      </c>
      <c r="R139" s="14" t="n">
        <f aca="false">Q139*L139</f>
        <v>0.254439252336449</v>
      </c>
      <c r="S139" s="14" t="n">
        <f aca="false">J139-R139</f>
        <v>-0.254439252336449</v>
      </c>
      <c r="T139" s="14" t="n">
        <f aca="false">MIN(122.1,(T138+S139))</f>
        <v>121.256121495327</v>
      </c>
      <c r="V139" s="6" t="n">
        <v>371</v>
      </c>
      <c r="X139" s="6" t="n">
        <f aca="false">X138+V139</f>
        <v>49125.7</v>
      </c>
      <c r="AA139" s="16" t="n">
        <v>8.55275543263421</v>
      </c>
    </row>
    <row r="140" s="6" customFormat="true" ht="15" hidden="false" customHeight="false" outlineLevel="0" collapsed="false">
      <c r="A140" s="11"/>
      <c r="B140" s="17" t="n">
        <v>15</v>
      </c>
      <c r="C140" s="7" t="n">
        <v>41256</v>
      </c>
      <c r="D140" s="6" t="n">
        <v>-0.5</v>
      </c>
      <c r="E140" s="6" t="n">
        <v>-6.5</v>
      </c>
      <c r="F140" s="6" t="n">
        <v>3.3</v>
      </c>
      <c r="G140" s="6" t="n">
        <v>839.7</v>
      </c>
      <c r="J140" s="6" t="n">
        <v>3.8</v>
      </c>
      <c r="K140" s="6" t="n">
        <f aca="false">K139+J140</f>
        <v>289.4</v>
      </c>
      <c r="L140" s="6" t="n">
        <v>0.1</v>
      </c>
      <c r="M140" s="6" t="n">
        <f aca="false">M139+L140</f>
        <v>97.6</v>
      </c>
      <c r="N140" s="6" t="n">
        <v>3.7</v>
      </c>
      <c r="O140" s="6" t="n">
        <v>122.1</v>
      </c>
      <c r="P140" s="6" t="n">
        <v>93</v>
      </c>
      <c r="Q140" s="6" t="n">
        <f aca="false">0.35+((P140-10)/107)*(1-0.35)</f>
        <v>0.854205607476636</v>
      </c>
      <c r="R140" s="14" t="n">
        <f aca="false">Q140*L140</f>
        <v>0.0854205607476636</v>
      </c>
      <c r="S140" s="14" t="n">
        <f aca="false">J140-R140</f>
        <v>3.71457943925234</v>
      </c>
      <c r="T140" s="14" t="n">
        <f aca="false">MIN(122.1,(T139+S140))</f>
        <v>122.1</v>
      </c>
      <c r="V140" s="6" t="n">
        <v>182.3</v>
      </c>
      <c r="X140" s="6" t="n">
        <f aca="false">X139+V140</f>
        <v>49308</v>
      </c>
      <c r="AA140" s="16" t="n">
        <v>8.53819245720233</v>
      </c>
    </row>
    <row r="141" s="6" customFormat="true" ht="15" hidden="false" customHeight="false" outlineLevel="0" collapsed="false">
      <c r="A141" s="11"/>
      <c r="B141" s="12"/>
      <c r="C141" s="7" t="n">
        <v>41257</v>
      </c>
      <c r="D141" s="6" t="n">
        <v>7.2</v>
      </c>
      <c r="E141" s="6" t="n">
        <v>2.6</v>
      </c>
      <c r="F141" s="6" t="n">
        <v>9.5</v>
      </c>
      <c r="G141" s="6" t="n">
        <f aca="false">G140+D141</f>
        <v>846.9</v>
      </c>
      <c r="J141" s="6" t="n">
        <v>18.9</v>
      </c>
      <c r="K141" s="6" t="n">
        <f aca="false">K140+J141</f>
        <v>308.3</v>
      </c>
      <c r="L141" s="6" t="n">
        <v>0.3</v>
      </c>
      <c r="M141" s="6" t="n">
        <f aca="false">M140+L141</f>
        <v>97.9</v>
      </c>
      <c r="N141" s="6" t="n">
        <v>18.6</v>
      </c>
      <c r="O141" s="6" t="n">
        <v>122.1</v>
      </c>
      <c r="P141" s="6" t="n">
        <v>94</v>
      </c>
      <c r="Q141" s="6" t="n">
        <f aca="false">0.35+((P141-10)/107)*(1-0.35)</f>
        <v>0.860280373831776</v>
      </c>
      <c r="R141" s="14" t="n">
        <f aca="false">Q141*L141</f>
        <v>0.258084112149533</v>
      </c>
      <c r="S141" s="14" t="n">
        <f aca="false">J141-R141</f>
        <v>18.6419158878505</v>
      </c>
      <c r="T141" s="14" t="n">
        <f aca="false">MIN(122.1,(T140+S141))</f>
        <v>122.1</v>
      </c>
      <c r="V141" s="6" t="n">
        <v>257.1</v>
      </c>
      <c r="X141" s="6" t="n">
        <f aca="false">X140+V141</f>
        <v>49565.1</v>
      </c>
      <c r="AA141" s="16" t="n">
        <v>8.52503795892559</v>
      </c>
    </row>
    <row r="142" s="6" customFormat="true" ht="15" hidden="false" customHeight="false" outlineLevel="0" collapsed="false">
      <c r="A142" s="11"/>
      <c r="B142" s="12"/>
      <c r="C142" s="7" t="n">
        <v>41258</v>
      </c>
      <c r="D142" s="6" t="n">
        <v>9.2</v>
      </c>
      <c r="E142" s="6" t="n">
        <v>8.9</v>
      </c>
      <c r="F142" s="6" t="n">
        <v>9.8</v>
      </c>
      <c r="G142" s="6" t="n">
        <f aca="false">G141+D142</f>
        <v>856.1</v>
      </c>
      <c r="J142" s="6" t="n">
        <v>2.2</v>
      </c>
      <c r="K142" s="6" t="n">
        <f aca="false">K141+J142</f>
        <v>310.5</v>
      </c>
      <c r="L142" s="6" t="n">
        <v>0.8</v>
      </c>
      <c r="M142" s="6" t="n">
        <f aca="false">M141+L142</f>
        <v>98.7</v>
      </c>
      <c r="N142" s="6" t="n">
        <v>1.4</v>
      </c>
      <c r="O142" s="6" t="n">
        <v>122.1</v>
      </c>
      <c r="P142" s="6" t="n">
        <v>95</v>
      </c>
      <c r="Q142" s="6" t="n">
        <f aca="false">0.35+((P142-10)/107)*(1-0.35)</f>
        <v>0.866355140186916</v>
      </c>
      <c r="R142" s="14" t="n">
        <f aca="false">Q142*L142</f>
        <v>0.693084112149533</v>
      </c>
      <c r="S142" s="14" t="n">
        <f aca="false">J142-R142</f>
        <v>1.50691588785047</v>
      </c>
      <c r="T142" s="14" t="n">
        <f aca="false">MIN(122.1,(T141+S142))</f>
        <v>122.1</v>
      </c>
      <c r="V142" s="6" t="n">
        <v>87</v>
      </c>
      <c r="X142" s="6" t="n">
        <f aca="false">X141+V142</f>
        <v>49652.1</v>
      </c>
      <c r="AA142" s="16" t="n">
        <v>8.51330722986839</v>
      </c>
    </row>
    <row r="143" s="6" customFormat="true" ht="15" hidden="false" customHeight="false" outlineLevel="0" collapsed="false">
      <c r="A143" s="11"/>
      <c r="B143" s="12"/>
      <c r="C143" s="7" t="n">
        <v>41259</v>
      </c>
      <c r="D143" s="6" t="n">
        <v>8.6</v>
      </c>
      <c r="E143" s="6" t="n">
        <v>8.2</v>
      </c>
      <c r="F143" s="6" t="n">
        <v>9.9</v>
      </c>
      <c r="G143" s="6" t="n">
        <f aca="false">G142+D143</f>
        <v>864.7</v>
      </c>
      <c r="J143" s="6" t="n">
        <v>3.7</v>
      </c>
      <c r="K143" s="6" t="n">
        <f aca="false">K142+J143</f>
        <v>314.2</v>
      </c>
      <c r="L143" s="6" t="n">
        <v>1.2</v>
      </c>
      <c r="M143" s="6" t="n">
        <f aca="false">M142+L143</f>
        <v>99.9</v>
      </c>
      <c r="N143" s="6" t="n">
        <v>2.5</v>
      </c>
      <c r="O143" s="6" t="n">
        <v>122.1</v>
      </c>
      <c r="P143" s="6" t="n">
        <v>96</v>
      </c>
      <c r="Q143" s="6" t="n">
        <f aca="false">0.35+((P143-10)/107)*(1-0.35)</f>
        <v>0.872429906542056</v>
      </c>
      <c r="R143" s="14" t="n">
        <f aca="false">Q143*L143</f>
        <v>1.04691588785047</v>
      </c>
      <c r="S143" s="14" t="n">
        <f aca="false">J143-R143</f>
        <v>2.65308411214953</v>
      </c>
      <c r="T143" s="14" t="n">
        <f aca="false">MIN(122.1,(T142+S143))</f>
        <v>122.1</v>
      </c>
      <c r="V143" s="6" t="n">
        <v>247.5</v>
      </c>
      <c r="X143" s="6" t="n">
        <f aca="false">X142+V143</f>
        <v>49899.6</v>
      </c>
      <c r="AA143" s="16" t="n">
        <v>8.50301408812104</v>
      </c>
    </row>
    <row r="144" s="6" customFormat="true" ht="15" hidden="false" customHeight="false" outlineLevel="0" collapsed="false">
      <c r="A144" s="11"/>
      <c r="B144" s="12"/>
      <c r="C144" s="7" t="n">
        <v>41260</v>
      </c>
      <c r="D144" s="6" t="n">
        <v>7.1</v>
      </c>
      <c r="E144" s="6" t="n">
        <v>6.7</v>
      </c>
      <c r="F144" s="6" t="n">
        <v>8</v>
      </c>
      <c r="G144" s="6" t="n">
        <f aca="false">G143+D144</f>
        <v>871.8</v>
      </c>
      <c r="J144" s="6" t="n">
        <v>4.3</v>
      </c>
      <c r="K144" s="6" t="n">
        <f aca="false">K143+J144</f>
        <v>318.5</v>
      </c>
      <c r="L144" s="6" t="n">
        <v>0.6</v>
      </c>
      <c r="M144" s="6" t="n">
        <f aca="false">M143+L144</f>
        <v>100.5</v>
      </c>
      <c r="N144" s="6" t="n">
        <v>3.7</v>
      </c>
      <c r="O144" s="6" t="n">
        <v>122.1</v>
      </c>
      <c r="P144" s="6" t="n">
        <v>97</v>
      </c>
      <c r="Q144" s="6" t="n">
        <f aca="false">0.35+((P144-10)/107)*(1-0.35)</f>
        <v>0.878504672897196</v>
      </c>
      <c r="R144" s="14" t="n">
        <f aca="false">Q144*L144</f>
        <v>0.527102803738318</v>
      </c>
      <c r="S144" s="14" t="n">
        <f aca="false">J144-R144</f>
        <v>3.77289719626168</v>
      </c>
      <c r="T144" s="14" t="n">
        <f aca="false">MIN(122.1,(T143+S144))</f>
        <v>122.1</v>
      </c>
      <c r="V144" s="6" t="n">
        <v>93.3</v>
      </c>
      <c r="X144" s="6" t="n">
        <f aca="false">X143+V144</f>
        <v>49992.9</v>
      </c>
      <c r="AA144" s="16" t="n">
        <v>8.49417082170416</v>
      </c>
    </row>
    <row r="145" s="6" customFormat="true" ht="15" hidden="false" customHeight="false" outlineLevel="0" collapsed="false">
      <c r="A145" s="11"/>
      <c r="B145" s="12"/>
      <c r="C145" s="7" t="n">
        <v>41261</v>
      </c>
      <c r="D145" s="6" t="n">
        <v>6.2</v>
      </c>
      <c r="E145" s="6" t="n">
        <v>5.5</v>
      </c>
      <c r="F145" s="6" t="n">
        <v>8.3</v>
      </c>
      <c r="G145" s="6" t="n">
        <f aca="false">G144+D145</f>
        <v>878</v>
      </c>
      <c r="J145" s="6" t="n">
        <v>4.4</v>
      </c>
      <c r="K145" s="6" t="n">
        <f aca="false">K144+J145</f>
        <v>322.9</v>
      </c>
      <c r="L145" s="6" t="n">
        <v>0.6</v>
      </c>
      <c r="M145" s="6" t="n">
        <f aca="false">M144+L145</f>
        <v>101.1</v>
      </c>
      <c r="N145" s="6" t="n">
        <v>3.8</v>
      </c>
      <c r="O145" s="6" t="n">
        <v>122.1</v>
      </c>
      <c r="P145" s="6" t="n">
        <v>98</v>
      </c>
      <c r="Q145" s="6" t="n">
        <f aca="false">0.35+((P145-10)/107)*(1-0.35)</f>
        <v>0.884579439252336</v>
      </c>
      <c r="R145" s="14" t="n">
        <f aca="false">Q145*L145</f>
        <v>0.530747663551402</v>
      </c>
      <c r="S145" s="14" t="n">
        <f aca="false">J145-R145</f>
        <v>3.8692523364486</v>
      </c>
      <c r="T145" s="14" t="n">
        <f aca="false">MIN(122.1,(T144+S145))</f>
        <v>122.1</v>
      </c>
      <c r="V145" s="6" t="n">
        <v>73.3</v>
      </c>
      <c r="X145" s="6" t="n">
        <f aca="false">X144+V145</f>
        <v>50066.2</v>
      </c>
      <c r="AA145" s="16" t="n">
        <v>8.48678813807072</v>
      </c>
    </row>
    <row r="146" s="6" customFormat="true" ht="15" hidden="false" customHeight="false" outlineLevel="0" collapsed="false">
      <c r="A146" s="11"/>
      <c r="B146" s="17" t="n">
        <v>16</v>
      </c>
      <c r="C146" s="7" t="n">
        <v>41262</v>
      </c>
      <c r="D146" s="6" t="n">
        <v>3.7</v>
      </c>
      <c r="E146" s="6" t="n">
        <v>2.5</v>
      </c>
      <c r="F146" s="6" t="n">
        <v>4.2</v>
      </c>
      <c r="G146" s="6" t="n">
        <f aca="false">G145+D146</f>
        <v>881.7</v>
      </c>
      <c r="J146" s="6" t="n">
        <v>0.2</v>
      </c>
      <c r="K146" s="6" t="n">
        <f aca="false">K145+J146</f>
        <v>323.1</v>
      </c>
      <c r="L146" s="6" t="n">
        <v>0.3</v>
      </c>
      <c r="M146" s="6" t="n">
        <f aca="false">M145+L146</f>
        <v>101.4</v>
      </c>
      <c r="N146" s="6" t="n">
        <v>-0.1</v>
      </c>
      <c r="O146" s="6" t="n">
        <f aca="false">O145+N146</f>
        <v>122</v>
      </c>
      <c r="P146" s="6" t="n">
        <v>99</v>
      </c>
      <c r="Q146" s="6" t="n">
        <f aca="false">0.35+((P146-10)/107)*(1-0.35)</f>
        <v>0.890654205607477</v>
      </c>
      <c r="R146" s="14" t="n">
        <f aca="false">Q146*L146</f>
        <v>0.267196261682243</v>
      </c>
      <c r="S146" s="14" t="n">
        <f aca="false">J146-R146</f>
        <v>-0.067196261682243</v>
      </c>
      <c r="T146" s="14" t="n">
        <f aca="false">MIN(122.1,(T145+S146))</f>
        <v>122.032803738318</v>
      </c>
      <c r="V146" s="6" t="n">
        <v>386.4</v>
      </c>
      <c r="X146" s="6" t="n">
        <f aca="false">X145+V146</f>
        <v>50452.6</v>
      </c>
      <c r="AA146" s="16" t="n">
        <v>8.48087511962942</v>
      </c>
    </row>
    <row r="147" s="6" customFormat="true" ht="15" hidden="false" customHeight="false" outlineLevel="0" collapsed="false">
      <c r="A147" s="11"/>
      <c r="B147" s="17" t="n">
        <v>17</v>
      </c>
      <c r="C147" s="7" t="n">
        <v>41263</v>
      </c>
      <c r="D147" s="6" t="n">
        <v>4.9</v>
      </c>
      <c r="E147" s="6" t="n">
        <v>3</v>
      </c>
      <c r="F147" s="6" t="n">
        <v>7.4</v>
      </c>
      <c r="G147" s="6" t="n">
        <f aca="false">G146+D147</f>
        <v>886.6</v>
      </c>
      <c r="J147" s="6" t="n">
        <v>10.5</v>
      </c>
      <c r="K147" s="6" t="n">
        <f aca="false">K146+J147</f>
        <v>333.6</v>
      </c>
      <c r="L147" s="6" t="n">
        <v>0.3</v>
      </c>
      <c r="M147" s="6" t="n">
        <f aca="false">M146+L147</f>
        <v>101.7</v>
      </c>
      <c r="N147" s="6" t="n">
        <v>10.2</v>
      </c>
      <c r="O147" s="6" t="n">
        <v>122.1</v>
      </c>
      <c r="P147" s="6" t="n">
        <v>100</v>
      </c>
      <c r="Q147" s="6" t="n">
        <f aca="false">0.35+((P147-10)/107)*(1-0.35)</f>
        <v>0.896728971962617</v>
      </c>
      <c r="R147" s="14" t="n">
        <f aca="false">Q147*L147</f>
        <v>0.269018691588785</v>
      </c>
      <c r="S147" s="14" t="n">
        <f aca="false">J147-R147</f>
        <v>10.2309813084112</v>
      </c>
      <c r="T147" s="14" t="n">
        <f aca="false">MIN(122.1,(T146+S147))</f>
        <v>122.1</v>
      </c>
      <c r="V147" s="6" t="n">
        <v>70</v>
      </c>
      <c r="X147" s="6" t="n">
        <f aca="false">X146+V147</f>
        <v>50522.6</v>
      </c>
      <c r="AA147" s="16" t="n">
        <v>8.47643918566801</v>
      </c>
    </row>
    <row r="148" s="6" customFormat="true" ht="15" hidden="false" customHeight="false" outlineLevel="0" collapsed="false">
      <c r="A148" s="11"/>
      <c r="B148" s="12"/>
      <c r="C148" s="7" t="n">
        <v>41264</v>
      </c>
      <c r="D148" s="6" t="n">
        <v>6.4</v>
      </c>
      <c r="E148" s="6" t="n">
        <v>5.5</v>
      </c>
      <c r="F148" s="6" t="n">
        <v>7.4</v>
      </c>
      <c r="G148" s="6" t="n">
        <f aca="false">G147+D148</f>
        <v>893</v>
      </c>
      <c r="J148" s="6" t="n">
        <v>1.7</v>
      </c>
      <c r="K148" s="6" t="n">
        <f aca="false">K147+J148</f>
        <v>335.3</v>
      </c>
      <c r="L148" s="6" t="n">
        <v>0.2</v>
      </c>
      <c r="M148" s="6" t="n">
        <f aca="false">M147+L148</f>
        <v>101.9</v>
      </c>
      <c r="N148" s="6" t="n">
        <v>1.5</v>
      </c>
      <c r="O148" s="6" t="n">
        <v>122.1</v>
      </c>
      <c r="P148" s="6" t="n">
        <v>101</v>
      </c>
      <c r="Q148" s="6" t="n">
        <f aca="false">0.35+((P148-10)/107)*(1-0.35)</f>
        <v>0.902803738317757</v>
      </c>
      <c r="R148" s="14" t="n">
        <f aca="false">Q148*L148</f>
        <v>0.180560747663551</v>
      </c>
      <c r="S148" s="14" t="n">
        <f aca="false">J148-R148</f>
        <v>1.51943925233645</v>
      </c>
      <c r="T148" s="14" t="n">
        <f aca="false">MIN(122.1,(T147+S148))</f>
        <v>122.1</v>
      </c>
      <c r="V148" s="6" t="n">
        <v>183.8</v>
      </c>
      <c r="X148" s="6" t="n">
        <f aca="false">X147+V148</f>
        <v>50706.4</v>
      </c>
      <c r="AA148" s="16" t="n">
        <v>8.47348606100485</v>
      </c>
    </row>
    <row r="149" s="6" customFormat="true" ht="15" hidden="false" customHeight="false" outlineLevel="0" collapsed="false">
      <c r="A149" s="11"/>
      <c r="B149" s="12"/>
      <c r="C149" s="7" t="n">
        <v>41265</v>
      </c>
      <c r="D149" s="6" t="n">
        <v>5.8</v>
      </c>
      <c r="E149" s="6" t="n">
        <v>3.2</v>
      </c>
      <c r="F149" s="6" t="n">
        <v>10.6</v>
      </c>
      <c r="G149" s="6" t="n">
        <f aca="false">G148+D149</f>
        <v>898.8</v>
      </c>
      <c r="J149" s="6" t="n">
        <v>10.3</v>
      </c>
      <c r="K149" s="6" t="n">
        <f aca="false">K148+J149</f>
        <v>345.6</v>
      </c>
      <c r="L149" s="6" t="n">
        <v>0.7</v>
      </c>
      <c r="M149" s="6" t="n">
        <f aca="false">M148+L149</f>
        <v>102.6</v>
      </c>
      <c r="N149" s="6" t="n">
        <v>9.6</v>
      </c>
      <c r="O149" s="6" t="n">
        <v>122.1</v>
      </c>
      <c r="P149" s="6" t="n">
        <v>102</v>
      </c>
      <c r="Q149" s="6" t="n">
        <f aca="false">0.35+((P149-10)/107)*(1-0.35)</f>
        <v>0.908878504672897</v>
      </c>
      <c r="R149" s="14" t="n">
        <f aca="false">Q149*L149</f>
        <v>0.636214953271028</v>
      </c>
      <c r="S149" s="14" t="n">
        <f aca="false">J149-R149</f>
        <v>9.66378504672897</v>
      </c>
      <c r="T149" s="14" t="n">
        <f aca="false">MIN(122.1,(T148+S149))</f>
        <v>122.1</v>
      </c>
      <c r="V149" s="6" t="n">
        <v>101.9</v>
      </c>
      <c r="X149" s="6" t="n">
        <f aca="false">X148+V149</f>
        <v>50808.3</v>
      </c>
      <c r="AA149" s="16" t="n">
        <v>8.47201975164208</v>
      </c>
    </row>
    <row r="150" s="6" customFormat="true" ht="15" hidden="false" customHeight="false" outlineLevel="0" collapsed="false">
      <c r="A150" s="11"/>
      <c r="B150" s="12"/>
      <c r="C150" s="7" t="n">
        <v>41266</v>
      </c>
      <c r="D150" s="6" t="n">
        <v>10.3</v>
      </c>
      <c r="E150" s="6" t="n">
        <v>6.9</v>
      </c>
      <c r="F150" s="6" t="n">
        <v>13</v>
      </c>
      <c r="G150" s="6" t="n">
        <f aca="false">G149+D150</f>
        <v>909.1</v>
      </c>
      <c r="J150" s="6" t="n">
        <v>0</v>
      </c>
      <c r="K150" s="6" t="n">
        <f aca="false">K149+J150</f>
        <v>345.6</v>
      </c>
      <c r="L150" s="6" t="n">
        <v>0.7</v>
      </c>
      <c r="M150" s="6" t="n">
        <f aca="false">M149+L150</f>
        <v>103.3</v>
      </c>
      <c r="N150" s="6" t="n">
        <v>-0.7</v>
      </c>
      <c r="O150" s="6" t="n">
        <f aca="false">O149+N150</f>
        <v>121.4</v>
      </c>
      <c r="P150" s="6" t="n">
        <v>103</v>
      </c>
      <c r="Q150" s="6" t="n">
        <f aca="false">0.35+((P150-10)/107)*(1-0.35)</f>
        <v>0.914953271028037</v>
      </c>
      <c r="R150" s="14" t="n">
        <f aca="false">Q150*L150</f>
        <v>0.640467289719626</v>
      </c>
      <c r="S150" s="14" t="n">
        <f aca="false">J150-R150</f>
        <v>-0.640467289719626</v>
      </c>
      <c r="T150" s="14" t="n">
        <f aca="false">MIN(122.1,(T149+S150))</f>
        <v>121.45953271028</v>
      </c>
      <c r="V150" s="6" t="n">
        <v>223.2</v>
      </c>
      <c r="X150" s="6" t="n">
        <f aca="false">X149+V150</f>
        <v>51031.5</v>
      </c>
      <c r="AA150" s="16" t="n">
        <v>8.47204252763407</v>
      </c>
    </row>
    <row r="151" s="6" customFormat="true" ht="15" hidden="false" customHeight="false" outlineLevel="0" collapsed="false">
      <c r="A151" s="11"/>
      <c r="B151" s="12"/>
      <c r="C151" s="7" t="n">
        <v>41267</v>
      </c>
      <c r="D151" s="6" t="n">
        <v>8.8</v>
      </c>
      <c r="E151" s="6" t="n">
        <v>3.1</v>
      </c>
      <c r="F151" s="6" t="n">
        <v>12.2</v>
      </c>
      <c r="G151" s="6" t="n">
        <f aca="false">G150+D151</f>
        <v>917.9</v>
      </c>
      <c r="J151" s="6" t="n">
        <v>0</v>
      </c>
      <c r="K151" s="6" t="n">
        <f aca="false">K150+J151</f>
        <v>345.6</v>
      </c>
      <c r="L151" s="6" t="n">
        <v>0.5</v>
      </c>
      <c r="M151" s="6" t="n">
        <f aca="false">M150+L151</f>
        <v>103.8</v>
      </c>
      <c r="N151" s="6" t="n">
        <v>-0.5</v>
      </c>
      <c r="O151" s="6" t="n">
        <f aca="false">O150+N151</f>
        <v>120.9</v>
      </c>
      <c r="P151" s="6" t="n">
        <v>104</v>
      </c>
      <c r="Q151" s="6" t="n">
        <f aca="false">0.35+((P151-10)/107)*(1-0.35)</f>
        <v>0.921028037383178</v>
      </c>
      <c r="R151" s="14" t="n">
        <f aca="false">Q151*L151</f>
        <v>0.460514018691589</v>
      </c>
      <c r="S151" s="14" t="n">
        <f aca="false">J151-R151</f>
        <v>-0.460514018691589</v>
      </c>
      <c r="T151" s="14" t="n">
        <f aca="false">MIN(122.1,(T150+S151))</f>
        <v>120.999018691589</v>
      </c>
      <c r="V151" s="6" t="n">
        <v>245.7</v>
      </c>
      <c r="X151" s="6" t="n">
        <f aca="false">X150+V151</f>
        <v>51277.2</v>
      </c>
      <c r="AA151" s="16" t="n">
        <v>8.47355491332281</v>
      </c>
    </row>
    <row r="152" s="6" customFormat="true" ht="15" hidden="false" customHeight="false" outlineLevel="0" collapsed="false">
      <c r="A152" s="11"/>
      <c r="B152" s="12"/>
      <c r="C152" s="7" t="n">
        <v>41268</v>
      </c>
      <c r="D152" s="6" t="n">
        <v>11</v>
      </c>
      <c r="E152" s="6" t="n">
        <v>10.1</v>
      </c>
      <c r="F152" s="6" t="n">
        <v>12.7</v>
      </c>
      <c r="G152" s="6" t="n">
        <f aca="false">G151+D152</f>
        <v>928.9</v>
      </c>
      <c r="J152" s="6" t="n">
        <v>1.8</v>
      </c>
      <c r="K152" s="6" t="n">
        <f aca="false">K151+J152</f>
        <v>347.4</v>
      </c>
      <c r="L152" s="6" t="n">
        <v>1.9</v>
      </c>
      <c r="M152" s="6" t="n">
        <f aca="false">M151+L152</f>
        <v>105.7</v>
      </c>
      <c r="N152" s="6" t="n">
        <v>-0.0999999999999999</v>
      </c>
      <c r="O152" s="6" t="n">
        <f aca="false">O151+N152</f>
        <v>120.8</v>
      </c>
      <c r="P152" s="6" t="n">
        <v>105</v>
      </c>
      <c r="Q152" s="6" t="n">
        <f aca="false">0.35+((P152-10)/107)*(1-0.35)</f>
        <v>0.927102803738318</v>
      </c>
      <c r="R152" s="14" t="n">
        <f aca="false">Q152*L152</f>
        <v>1.7614953271028</v>
      </c>
      <c r="S152" s="14" t="n">
        <f aca="false">J152-R152</f>
        <v>0.0385046728971963</v>
      </c>
      <c r="T152" s="14" t="n">
        <f aca="false">MIN(122.1,(T151+S152))</f>
        <v>121.037523364486</v>
      </c>
      <c r="V152" s="6" t="n">
        <v>143.8</v>
      </c>
      <c r="X152" s="6" t="n">
        <f aca="false">X151+V152</f>
        <v>51421</v>
      </c>
      <c r="AA152" s="16" t="n">
        <v>8.4765556850269</v>
      </c>
    </row>
    <row r="153" s="6" customFormat="true" ht="15" hidden="false" customHeight="false" outlineLevel="0" collapsed="false">
      <c r="A153" s="11"/>
      <c r="B153" s="12"/>
      <c r="C153" s="7" t="n">
        <v>41269</v>
      </c>
      <c r="D153" s="6" t="n">
        <v>8.1</v>
      </c>
      <c r="E153" s="6" t="n">
        <v>7.2</v>
      </c>
      <c r="F153" s="6" t="n">
        <v>9.4</v>
      </c>
      <c r="G153" s="6" t="n">
        <f aca="false">G152+D153</f>
        <v>937</v>
      </c>
      <c r="J153" s="6" t="n">
        <v>2</v>
      </c>
      <c r="K153" s="6" t="n">
        <f aca="false">K152+J153</f>
        <v>349.4</v>
      </c>
      <c r="L153" s="6" t="n">
        <v>1.1</v>
      </c>
      <c r="M153" s="6" t="n">
        <f aca="false">M152+L153</f>
        <v>106.8</v>
      </c>
      <c r="N153" s="6" t="n">
        <v>0.9</v>
      </c>
      <c r="O153" s="6" t="n">
        <f aca="false">O152+N153</f>
        <v>121.7</v>
      </c>
      <c r="P153" s="6" t="n">
        <v>106</v>
      </c>
      <c r="Q153" s="6" t="n">
        <f aca="false">0.35+((P153-10)/107)*(1-0.35)</f>
        <v>0.933177570093458</v>
      </c>
      <c r="R153" s="14" t="n">
        <f aca="false">Q153*L153</f>
        <v>1.0264953271028</v>
      </c>
      <c r="S153" s="14" t="n">
        <f aca="false">J153-R153</f>
        <v>0.973504672897196</v>
      </c>
      <c r="T153" s="14" t="n">
        <f aca="false">MIN(122.1,(T152+S153))</f>
        <v>122.011028037383</v>
      </c>
      <c r="V153" s="6" t="n">
        <v>313.6</v>
      </c>
      <c r="X153" s="6" t="n">
        <f aca="false">X152+V153</f>
        <v>51734.6</v>
      </c>
      <c r="AA153" s="16" t="n">
        <v>8.48104187620463</v>
      </c>
    </row>
    <row r="154" s="6" customFormat="true" ht="15" hidden="false" customHeight="false" outlineLevel="0" collapsed="false">
      <c r="A154" s="11"/>
      <c r="B154" s="12"/>
      <c r="C154" s="7" t="n">
        <v>41270</v>
      </c>
      <c r="D154" s="6" t="n">
        <v>8.7</v>
      </c>
      <c r="E154" s="6" t="n">
        <v>7.4</v>
      </c>
      <c r="F154" s="6" t="n">
        <v>10.3</v>
      </c>
      <c r="G154" s="6" t="n">
        <f aca="false">G153+D154</f>
        <v>945.7</v>
      </c>
      <c r="J154" s="6" t="n">
        <v>9</v>
      </c>
      <c r="K154" s="6" t="n">
        <f aca="false">K153+J154</f>
        <v>358.4</v>
      </c>
      <c r="L154" s="6" t="n">
        <v>1.3</v>
      </c>
      <c r="M154" s="6" t="n">
        <f aca="false">M153+L154</f>
        <v>108.1</v>
      </c>
      <c r="N154" s="6" t="n">
        <v>7.7</v>
      </c>
      <c r="O154" s="6" t="n">
        <v>122.1</v>
      </c>
      <c r="P154" s="6" t="n">
        <v>107</v>
      </c>
      <c r="Q154" s="6" t="n">
        <f aca="false">0.35+((P154-10)/107)*(1-0.35)</f>
        <v>0.939252336448598</v>
      </c>
      <c r="R154" s="14" t="n">
        <f aca="false">Q154*L154</f>
        <v>1.22102803738318</v>
      </c>
      <c r="S154" s="14" t="n">
        <f aca="false">J154-R154</f>
        <v>7.77897196261682</v>
      </c>
      <c r="T154" s="14" t="n">
        <f aca="false">MIN(122.1,(T153+S154))</f>
        <v>122.1</v>
      </c>
      <c r="V154" s="6" t="n">
        <v>105.4</v>
      </c>
      <c r="X154" s="6" t="n">
        <f aca="false">X153+V154</f>
        <v>51840</v>
      </c>
      <c r="AA154" s="16" t="n">
        <v>8.48700879004572</v>
      </c>
    </row>
    <row r="155" s="6" customFormat="true" ht="15" hidden="false" customHeight="false" outlineLevel="0" collapsed="false">
      <c r="A155" s="11"/>
      <c r="B155" s="12"/>
      <c r="C155" s="7" t="n">
        <v>41271</v>
      </c>
      <c r="D155" s="6" t="n">
        <v>6.8</v>
      </c>
      <c r="E155" s="6" t="n">
        <v>5.1</v>
      </c>
      <c r="F155" s="6" t="n">
        <v>7.6</v>
      </c>
      <c r="G155" s="6" t="n">
        <f aca="false">G154+D155</f>
        <v>952.5</v>
      </c>
      <c r="J155" s="6" t="n">
        <v>0.1</v>
      </c>
      <c r="K155" s="6" t="n">
        <f aca="false">K154+J155</f>
        <v>358.5</v>
      </c>
      <c r="L155" s="6" t="n">
        <v>0.4</v>
      </c>
      <c r="M155" s="6" t="n">
        <f aca="false">M154+L155</f>
        <v>108.5</v>
      </c>
      <c r="N155" s="6" t="n">
        <v>-0.3</v>
      </c>
      <c r="O155" s="6" t="n">
        <f aca="false">O154+N155</f>
        <v>121.8</v>
      </c>
      <c r="P155" s="6" t="n">
        <v>108</v>
      </c>
      <c r="Q155" s="6" t="n">
        <f aca="false">0.35+((P155-10)/107)*(1-0.35)</f>
        <v>0.945327102803738</v>
      </c>
      <c r="R155" s="14" t="n">
        <f aca="false">Q155*L155</f>
        <v>0.378130841121495</v>
      </c>
      <c r="S155" s="14" t="n">
        <f aca="false">J155-R155</f>
        <v>-0.278130841121495</v>
      </c>
      <c r="T155" s="14" t="n">
        <f aca="false">MIN(122.1,(T154+S155))</f>
        <v>121.821869158879</v>
      </c>
      <c r="V155" s="6" t="n">
        <v>144.7</v>
      </c>
      <c r="X155" s="6" t="n">
        <f aca="false">X154+V155</f>
        <v>51984.7</v>
      </c>
      <c r="AA155" s="16" t="n">
        <v>8.49445001937997</v>
      </c>
    </row>
    <row r="156" s="6" customFormat="true" ht="15" hidden="false" customHeight="false" outlineLevel="0" collapsed="false">
      <c r="A156" s="11"/>
      <c r="B156" s="12"/>
      <c r="C156" s="7" t="n">
        <v>41272</v>
      </c>
      <c r="D156" s="6" t="n">
        <v>7.9</v>
      </c>
      <c r="E156" s="6" t="n">
        <v>2.7</v>
      </c>
      <c r="F156" s="6" t="n">
        <v>10.7</v>
      </c>
      <c r="G156" s="6" t="n">
        <f aca="false">G155+D156</f>
        <v>960.4</v>
      </c>
      <c r="J156" s="6" t="n">
        <v>0</v>
      </c>
      <c r="K156" s="6" t="n">
        <f aca="false">K155+J156</f>
        <v>358.5</v>
      </c>
      <c r="L156" s="6" t="n">
        <v>0.9</v>
      </c>
      <c r="M156" s="6" t="n">
        <f aca="false">M155+L156</f>
        <v>109.4</v>
      </c>
      <c r="N156" s="6" t="n">
        <v>-0.9</v>
      </c>
      <c r="O156" s="6" t="n">
        <f aca="false">O155+N156</f>
        <v>120.9</v>
      </c>
      <c r="P156" s="6" t="n">
        <v>109</v>
      </c>
      <c r="Q156" s="6" t="n">
        <f aca="false">0.35+((P156-10)/107)*(1-0.35)</f>
        <v>0.951401869158879</v>
      </c>
      <c r="R156" s="14" t="n">
        <f aca="false">Q156*L156</f>
        <v>0.856261682242991</v>
      </c>
      <c r="S156" s="14" t="n">
        <f aca="false">J156-R156</f>
        <v>-0.856261682242991</v>
      </c>
      <c r="T156" s="14" t="n">
        <f aca="false">MIN(122.1,(T155+S156))</f>
        <v>120.965607476636</v>
      </c>
      <c r="V156" s="6" t="n">
        <v>297.9</v>
      </c>
      <c r="X156" s="6" t="n">
        <f aca="false">X155+V156</f>
        <v>52282.6</v>
      </c>
      <c r="AA156" s="16" t="n">
        <v>8.50335747372761</v>
      </c>
    </row>
    <row r="157" s="6" customFormat="true" ht="15" hidden="false" customHeight="false" outlineLevel="0" collapsed="false">
      <c r="A157" s="11"/>
      <c r="B157" s="12"/>
      <c r="C157" s="7" t="n">
        <v>41273</v>
      </c>
      <c r="D157" s="6" t="n">
        <v>7.4</v>
      </c>
      <c r="E157" s="6" t="n">
        <v>6</v>
      </c>
      <c r="F157" s="6" t="n">
        <v>10.4</v>
      </c>
      <c r="G157" s="6" t="n">
        <f aca="false">G156+D157</f>
        <v>967.8</v>
      </c>
      <c r="J157" s="6" t="n">
        <v>0.2</v>
      </c>
      <c r="K157" s="6" t="n">
        <f aca="false">K156+J157</f>
        <v>358.7</v>
      </c>
      <c r="L157" s="6" t="n">
        <v>1.4</v>
      </c>
      <c r="M157" s="6" t="n">
        <f aca="false">M156+L157</f>
        <v>110.8</v>
      </c>
      <c r="N157" s="6" t="n">
        <v>-1.2</v>
      </c>
      <c r="O157" s="6" t="n">
        <f aca="false">O156+N157</f>
        <v>119.7</v>
      </c>
      <c r="P157" s="6" t="n">
        <v>110</v>
      </c>
      <c r="Q157" s="6" t="n">
        <f aca="false">0.35+((P157-10)/107)*(1-0.35)</f>
        <v>0.957476635514019</v>
      </c>
      <c r="R157" s="14" t="n">
        <f aca="false">Q157*L157</f>
        <v>1.34046728971963</v>
      </c>
      <c r="S157" s="14" t="n">
        <f aca="false">J157-R157</f>
        <v>-1.14046728971963</v>
      </c>
      <c r="T157" s="14" t="n">
        <f aca="false">MIN(122.1,(T156+S157))</f>
        <v>119.825140186916</v>
      </c>
      <c r="V157" s="6" t="n">
        <v>353.2</v>
      </c>
      <c r="X157" s="6" t="n">
        <f aca="false">X156+V157</f>
        <v>52635.8</v>
      </c>
      <c r="AA157" s="16" t="n">
        <v>8.51372141325442</v>
      </c>
    </row>
    <row r="158" s="6" customFormat="true" ht="15" hidden="false" customHeight="false" outlineLevel="0" collapsed="false">
      <c r="A158" s="11"/>
      <c r="B158" s="12"/>
      <c r="C158" s="7" t="n">
        <v>41274</v>
      </c>
      <c r="D158" s="6" t="n">
        <v>5.6</v>
      </c>
      <c r="E158" s="6" t="n">
        <v>3.3</v>
      </c>
      <c r="F158" s="6" t="n">
        <v>8.7</v>
      </c>
      <c r="G158" s="6" t="n">
        <f aca="false">G157+D158</f>
        <v>973.4</v>
      </c>
      <c r="J158" s="6" t="n">
        <v>3.2</v>
      </c>
      <c r="K158" s="6" t="n">
        <f aca="false">K157+J158</f>
        <v>361.9</v>
      </c>
      <c r="L158" s="6" t="n">
        <v>0.8</v>
      </c>
      <c r="M158" s="6" t="n">
        <f aca="false">M157+L158</f>
        <v>111.6</v>
      </c>
      <c r="N158" s="6" t="n">
        <v>2.4</v>
      </c>
      <c r="O158" s="6" t="n">
        <f aca="false">O157+N158</f>
        <v>122.1</v>
      </c>
      <c r="P158" s="6" t="n">
        <v>111</v>
      </c>
      <c r="Q158" s="6" t="n">
        <f aca="false">0.35+((P158-10)/107)*(1-0.35)</f>
        <v>0.963551401869159</v>
      </c>
      <c r="R158" s="14" t="n">
        <f aca="false">Q158*L158</f>
        <v>0.770841121495327</v>
      </c>
      <c r="S158" s="14" t="n">
        <f aca="false">J158-R158</f>
        <v>2.42915887850467</v>
      </c>
      <c r="T158" s="14" t="n">
        <f aca="false">MIN(122.1,(T157+S158))</f>
        <v>122.1</v>
      </c>
      <c r="V158" s="6" t="n">
        <v>276.8</v>
      </c>
      <c r="X158" s="6" t="n">
        <f aca="false">X157+V158</f>
        <v>52912.6</v>
      </c>
      <c r="AA158" s="16" t="n">
        <v>8.52553048933725</v>
      </c>
    </row>
    <row r="159" s="6" customFormat="true" ht="15" hidden="false" customHeight="false" outlineLevel="0" collapsed="false">
      <c r="A159" s="11"/>
      <c r="B159" s="12"/>
      <c r="C159" s="7" t="n">
        <v>41275</v>
      </c>
      <c r="D159" s="6" t="n">
        <v>5.8</v>
      </c>
      <c r="E159" s="6" t="n">
        <v>4.2</v>
      </c>
      <c r="F159" s="6" t="n">
        <v>7.3</v>
      </c>
      <c r="G159" s="6" t="n">
        <f aca="false">G158+D159</f>
        <v>979.2</v>
      </c>
      <c r="J159" s="6" t="n">
        <v>7</v>
      </c>
      <c r="K159" s="6" t="n">
        <f aca="false">K158+J159</f>
        <v>368.9</v>
      </c>
      <c r="L159" s="6" t="n">
        <v>0.3</v>
      </c>
      <c r="M159" s="6" t="n">
        <f aca="false">M158+L159</f>
        <v>111.9</v>
      </c>
      <c r="N159" s="6" t="n">
        <v>6.7</v>
      </c>
      <c r="O159" s="6" t="n">
        <v>122.1</v>
      </c>
      <c r="P159" s="6" t="n">
        <v>112</v>
      </c>
      <c r="Q159" s="6" t="n">
        <f aca="false">0.35+((P159-10)/107)*(1-0.35)</f>
        <v>0.969626168224299</v>
      </c>
      <c r="R159" s="14" t="n">
        <f aca="false">Q159*L159</f>
        <v>0.29088785046729</v>
      </c>
      <c r="S159" s="14" t="n">
        <f aca="false">J159-R159</f>
        <v>6.70911214953271</v>
      </c>
      <c r="T159" s="14" t="n">
        <f aca="false">MIN(122.1,(T158+S159))</f>
        <v>122.1</v>
      </c>
      <c r="V159" s="6" t="n">
        <v>88.6</v>
      </c>
      <c r="X159" s="6" t="n">
        <f aca="false">X158+V159</f>
        <v>53001.2</v>
      </c>
      <c r="AA159" s="16" t="n">
        <v>8.54304250452668</v>
      </c>
    </row>
    <row r="160" s="6" customFormat="true" ht="15" hidden="false" customHeight="false" outlineLevel="0" collapsed="false">
      <c r="A160" s="11"/>
      <c r="B160" s="17" t="n">
        <v>18</v>
      </c>
      <c r="C160" s="7" t="n">
        <v>41276</v>
      </c>
      <c r="D160" s="6" t="n">
        <v>2</v>
      </c>
      <c r="E160" s="6" t="n">
        <v>0.7</v>
      </c>
      <c r="F160" s="6" t="n">
        <v>4.9</v>
      </c>
      <c r="G160" s="6" t="n">
        <f aca="false">G159+D160</f>
        <v>981.2</v>
      </c>
      <c r="J160" s="6" t="n">
        <v>0</v>
      </c>
      <c r="K160" s="6" t="n">
        <f aca="false">K159+J160</f>
        <v>368.9</v>
      </c>
      <c r="L160" s="6" t="n">
        <v>0.2</v>
      </c>
      <c r="M160" s="6" t="n">
        <f aca="false">M159+L160</f>
        <v>112.1</v>
      </c>
      <c r="N160" s="6" t="n">
        <v>-0.2</v>
      </c>
      <c r="O160" s="6" t="n">
        <f aca="false">O159+N160</f>
        <v>121.9</v>
      </c>
      <c r="P160" s="6" t="n">
        <v>113</v>
      </c>
      <c r="Q160" s="6" t="n">
        <f aca="false">0.35+((P160-10)/107)*(1-0.35)</f>
        <v>0.975700934579439</v>
      </c>
      <c r="R160" s="14" t="n">
        <f aca="false">Q160*L160</f>
        <v>0.195140186915888</v>
      </c>
      <c r="S160" s="14" t="n">
        <f aca="false">J160-R160</f>
        <v>-0.195140186915888</v>
      </c>
      <c r="T160" s="14" t="n">
        <f aca="false">MIN(122.1,(T159+S160))</f>
        <v>121.904859813084</v>
      </c>
      <c r="V160" s="6" t="n">
        <v>218.3</v>
      </c>
      <c r="X160" s="6" t="n">
        <f aca="false">X159+V160</f>
        <v>53219.5</v>
      </c>
      <c r="AA160" s="16" t="n">
        <v>8.55812599175033</v>
      </c>
    </row>
    <row r="161" s="6" customFormat="true" ht="15" hidden="false" customHeight="false" outlineLevel="0" collapsed="false">
      <c r="A161" s="11"/>
      <c r="B161" s="17" t="n">
        <v>19</v>
      </c>
      <c r="C161" s="7" t="n">
        <v>41277</v>
      </c>
      <c r="D161" s="6" t="n">
        <v>2.9</v>
      </c>
      <c r="E161" s="6" t="n">
        <v>-1.3</v>
      </c>
      <c r="F161" s="6" t="n">
        <v>5</v>
      </c>
      <c r="G161" s="6" t="n">
        <f aca="false">G160+D161</f>
        <v>984.1</v>
      </c>
      <c r="J161" s="6" t="n">
        <v>0.4</v>
      </c>
      <c r="K161" s="6" t="n">
        <f aca="false">K160+J161</f>
        <v>369.3</v>
      </c>
      <c r="L161" s="6" t="n">
        <v>0.3</v>
      </c>
      <c r="M161" s="6" t="n">
        <f aca="false">M160+L161</f>
        <v>112.4</v>
      </c>
      <c r="N161" s="6" t="n">
        <v>0.1</v>
      </c>
      <c r="O161" s="6" t="n">
        <f aca="false">O160+N161</f>
        <v>122</v>
      </c>
      <c r="P161" s="6" t="n">
        <v>114</v>
      </c>
      <c r="Q161" s="6" t="n">
        <f aca="false">0.35+((P161-10)/107)*(1-0.35)</f>
        <v>0.981775700934579</v>
      </c>
      <c r="R161" s="14" t="n">
        <f aca="false">Q161*L161</f>
        <v>0.294532710280374</v>
      </c>
      <c r="S161" s="14" t="n">
        <f aca="false">J161-R161</f>
        <v>0.105467289719626</v>
      </c>
      <c r="T161" s="14" t="n">
        <f aca="false">MIN(122.1,(T160+S161))</f>
        <v>122.010327102804</v>
      </c>
      <c r="V161" s="6" t="n">
        <v>124.1</v>
      </c>
      <c r="X161" s="6" t="n">
        <f aca="false">X160+V161</f>
        <v>53343.6</v>
      </c>
      <c r="AA161" s="16" t="n">
        <v>8.57460635413208</v>
      </c>
    </row>
    <row r="162" s="6" customFormat="true" ht="15" hidden="false" customHeight="false" outlineLevel="0" collapsed="false">
      <c r="A162" s="11"/>
      <c r="B162" s="12"/>
      <c r="C162" s="7" t="n">
        <v>41278</v>
      </c>
      <c r="D162" s="6" t="n">
        <v>6.4</v>
      </c>
      <c r="E162" s="6" t="n">
        <v>4.8</v>
      </c>
      <c r="F162" s="6" t="n">
        <v>7.8</v>
      </c>
      <c r="G162" s="6" t="n">
        <f aca="false">G161+D162</f>
        <v>990.5</v>
      </c>
      <c r="J162" s="6" t="n">
        <v>0.4</v>
      </c>
      <c r="K162" s="6" t="n">
        <f aca="false">K161+J162</f>
        <v>369.7</v>
      </c>
      <c r="L162" s="6" t="n">
        <v>0.3</v>
      </c>
      <c r="M162" s="6" t="n">
        <f aca="false">M161+L162</f>
        <v>112.7</v>
      </c>
      <c r="N162" s="6" t="n">
        <v>0.1</v>
      </c>
      <c r="O162" s="6" t="n">
        <f aca="false">O161+N162</f>
        <v>122.1</v>
      </c>
      <c r="P162" s="6" t="n">
        <v>115</v>
      </c>
      <c r="Q162" s="6" t="n">
        <f aca="false">0.35+((P162-10)/107)*(1-0.35)</f>
        <v>0.98785046728972</v>
      </c>
      <c r="R162" s="14" t="n">
        <f aca="false">Q162*L162</f>
        <v>0.296355140186916</v>
      </c>
      <c r="S162" s="14" t="n">
        <f aca="false">J162-R162</f>
        <v>0.103644859813084</v>
      </c>
      <c r="T162" s="14" t="n">
        <f aca="false">MIN(122.1,(T161+S162))</f>
        <v>122.1</v>
      </c>
      <c r="V162" s="6" t="n">
        <v>146.4</v>
      </c>
      <c r="X162" s="6" t="n">
        <f aca="false">X161+V162</f>
        <v>53490</v>
      </c>
      <c r="AA162" s="16" t="n">
        <v>8.59246592719072</v>
      </c>
    </row>
    <row r="163" s="6" customFormat="true" ht="15" hidden="false" customHeight="false" outlineLevel="0" collapsed="false">
      <c r="A163" s="11"/>
      <c r="B163" s="12"/>
      <c r="C163" s="7" t="n">
        <v>41279</v>
      </c>
      <c r="D163" s="6" t="n">
        <v>6.5</v>
      </c>
      <c r="E163" s="6" t="n">
        <v>6.3</v>
      </c>
      <c r="F163" s="6" t="n">
        <v>6.8</v>
      </c>
      <c r="G163" s="6" t="n">
        <f aca="false">G162+D163</f>
        <v>997</v>
      </c>
      <c r="J163" s="6" t="n">
        <v>0</v>
      </c>
      <c r="K163" s="6" t="n">
        <f aca="false">K162+J163</f>
        <v>369.7</v>
      </c>
      <c r="L163" s="6" t="n">
        <v>0.2</v>
      </c>
      <c r="M163" s="6" t="n">
        <f aca="false">M162+L163</f>
        <v>112.9</v>
      </c>
      <c r="N163" s="6" t="n">
        <v>-0.2</v>
      </c>
      <c r="O163" s="6" t="n">
        <f aca="false">O162+N163</f>
        <v>121.9</v>
      </c>
      <c r="P163" s="6" t="n">
        <v>116</v>
      </c>
      <c r="Q163" s="6" t="n">
        <f aca="false">0.35+((P163-10)/107)*(1-0.35)</f>
        <v>0.99392523364486</v>
      </c>
      <c r="R163" s="14" t="n">
        <f aca="false">Q163*L163</f>
        <v>0.198785046728972</v>
      </c>
      <c r="S163" s="14" t="n">
        <f aca="false">J163-R163</f>
        <v>-0.198785046728972</v>
      </c>
      <c r="T163" s="14" t="n">
        <f aca="false">MIN(122.1,(T162+S163))</f>
        <v>121.901214953271</v>
      </c>
      <c r="V163" s="6" t="n">
        <v>127.6</v>
      </c>
      <c r="X163" s="6" t="n">
        <f aca="false">X162+V163</f>
        <v>53617.6</v>
      </c>
      <c r="AA163" s="16" t="n">
        <v>8.61168574703658</v>
      </c>
    </row>
    <row r="164" s="20" customFormat="true" ht="15" hidden="false" customHeight="false" outlineLevel="0" collapsed="false">
      <c r="A164" s="11"/>
      <c r="B164" s="18"/>
      <c r="C164" s="19" t="n">
        <v>41280</v>
      </c>
      <c r="D164" s="20" t="n">
        <v>6.2</v>
      </c>
      <c r="E164" s="20" t="n">
        <v>5.8</v>
      </c>
      <c r="F164" s="20" t="n">
        <v>7</v>
      </c>
      <c r="G164" s="20" t="n">
        <f aca="false">G163+D164</f>
        <v>1003.2</v>
      </c>
      <c r="J164" s="20" t="n">
        <v>0</v>
      </c>
      <c r="K164" s="20" t="n">
        <f aca="false">K163+J164</f>
        <v>369.7</v>
      </c>
      <c r="L164" s="20" t="n">
        <v>0.5</v>
      </c>
      <c r="M164" s="20" t="n">
        <f aca="false">M163+L164</f>
        <v>113.4</v>
      </c>
      <c r="N164" s="20" t="n">
        <v>-0.5</v>
      </c>
      <c r="O164" s="20" t="n">
        <f aca="false">O163+N164</f>
        <v>121.4</v>
      </c>
      <c r="P164" s="20" t="n">
        <v>117</v>
      </c>
      <c r="Q164" s="20" t="n">
        <f aca="false">0.35+((P164-10)/107)*(1-0.35)</f>
        <v>1</v>
      </c>
      <c r="R164" s="21" t="n">
        <f aca="false">Q164*L164</f>
        <v>0.5</v>
      </c>
      <c r="S164" s="21" t="n">
        <f aca="false">J164-R164</f>
        <v>-0.5</v>
      </c>
      <c r="T164" s="21" t="n">
        <f aca="false">MIN(122.1,(T163+S164))</f>
        <v>121.401214953271</v>
      </c>
      <c r="V164" s="20" t="n">
        <v>235</v>
      </c>
      <c r="W164" s="20" t="n">
        <f aca="false">(X164/100)/G164</f>
        <v>0.536808213716108</v>
      </c>
      <c r="X164" s="20" t="n">
        <f aca="false">X163+V164</f>
        <v>53852.6</v>
      </c>
      <c r="AA164" s="22" t="n">
        <v>8.63224562288088</v>
      </c>
    </row>
    <row r="165" s="6" customFormat="true" ht="15" hidden="false" customHeight="false" outlineLevel="0" collapsed="false">
      <c r="A165" s="23" t="s">
        <v>45</v>
      </c>
      <c r="B165" s="17" t="n">
        <v>20</v>
      </c>
      <c r="C165" s="7" t="n">
        <v>41281</v>
      </c>
      <c r="D165" s="6" t="n">
        <v>4.7</v>
      </c>
      <c r="E165" s="6" t="n">
        <v>4.2</v>
      </c>
      <c r="F165" s="6" t="n">
        <v>5.3</v>
      </c>
      <c r="G165" s="6" t="n">
        <f aca="false">G164+D165</f>
        <v>1007.9</v>
      </c>
      <c r="H165" s="6" t="n">
        <f aca="false">D165</f>
        <v>4.7</v>
      </c>
      <c r="I165" s="24" t="s">
        <v>29</v>
      </c>
      <c r="J165" s="6" t="n">
        <v>0</v>
      </c>
      <c r="K165" s="6" t="n">
        <f aca="false">K164+J165</f>
        <v>369.7</v>
      </c>
      <c r="L165" s="6" t="n">
        <v>0.3</v>
      </c>
      <c r="M165" s="6" t="n">
        <f aca="false">M164+L165</f>
        <v>113.7</v>
      </c>
      <c r="N165" s="6" t="n">
        <v>-0.3</v>
      </c>
      <c r="O165" s="6" t="n">
        <f aca="false">O164+N165</f>
        <v>121.1</v>
      </c>
      <c r="P165" s="6" t="n">
        <v>118</v>
      </c>
      <c r="Q165" s="6" t="n">
        <v>1</v>
      </c>
      <c r="R165" s="14" t="n">
        <f aca="false">Q165*L165</f>
        <v>0.3</v>
      </c>
      <c r="S165" s="14" t="n">
        <f aca="false">J165-R165</f>
        <v>-0.3</v>
      </c>
      <c r="T165" s="14" t="n">
        <f aca="false">MIN(122.1,(T164+S165))</f>
        <v>121.101214953271</v>
      </c>
      <c r="U165" s="24" t="s">
        <v>30</v>
      </c>
      <c r="V165" s="6" t="n">
        <v>179.6</v>
      </c>
      <c r="X165" s="6" t="n">
        <f aca="false">X164+V165</f>
        <v>54032.2</v>
      </c>
      <c r="Y165" s="6" t="n">
        <f aca="false">V165</f>
        <v>179.6</v>
      </c>
      <c r="Z165" s="24" t="s">
        <v>31</v>
      </c>
      <c r="AA165" s="16" t="n">
        <v>8.65412421275026</v>
      </c>
    </row>
    <row r="166" s="6" customFormat="true" ht="15" hidden="false" customHeight="false" outlineLevel="0" collapsed="false">
      <c r="A166" s="23"/>
      <c r="B166" s="17" t="n">
        <v>21</v>
      </c>
      <c r="C166" s="7" t="n">
        <v>41282</v>
      </c>
      <c r="D166" s="6" t="n">
        <v>2.6</v>
      </c>
      <c r="E166" s="6" t="n">
        <v>2.2</v>
      </c>
      <c r="F166" s="6" t="n">
        <v>3</v>
      </c>
      <c r="G166" s="6" t="n">
        <f aca="false">G165+D166</f>
        <v>1010.5</v>
      </c>
      <c r="H166" s="6" t="n">
        <f aca="false">H165+D166</f>
        <v>7.3</v>
      </c>
      <c r="I166" s="6" t="n">
        <f aca="false">MIN(E165:E222)</f>
        <v>-6.2</v>
      </c>
      <c r="J166" s="6" t="n">
        <v>0</v>
      </c>
      <c r="K166" s="6" t="n">
        <f aca="false">K165+J166</f>
        <v>369.7</v>
      </c>
      <c r="L166" s="6" t="n">
        <v>0.3</v>
      </c>
      <c r="M166" s="6" t="n">
        <f aca="false">M165+L166</f>
        <v>114</v>
      </c>
      <c r="N166" s="6" t="n">
        <v>-0.3</v>
      </c>
      <c r="O166" s="6" t="n">
        <f aca="false">O165+N166</f>
        <v>120.8</v>
      </c>
      <c r="P166" s="6" t="n">
        <v>119</v>
      </c>
      <c r="Q166" s="6" t="n">
        <v>1</v>
      </c>
      <c r="R166" s="14" t="n">
        <f aca="false">Q166*L166</f>
        <v>0.3</v>
      </c>
      <c r="S166" s="14" t="n">
        <f aca="false">J166-R166</f>
        <v>-0.3</v>
      </c>
      <c r="T166" s="14" t="n">
        <f aca="false">MIN(122.1,(T165+S166))</f>
        <v>120.801214953271</v>
      </c>
      <c r="U166" s="6" t="n">
        <v>39</v>
      </c>
      <c r="V166" s="6" t="n">
        <v>194</v>
      </c>
      <c r="X166" s="6" t="n">
        <f aca="false">X165+V166</f>
        <v>54226.2</v>
      </c>
      <c r="Y166" s="6" t="n">
        <f aca="false">Y165+V166</f>
        <v>373.6</v>
      </c>
      <c r="Z166" s="6" t="n">
        <v>24071.9</v>
      </c>
      <c r="AA166" s="16" t="n">
        <v>8.67729910184935</v>
      </c>
    </row>
    <row r="167" s="6" customFormat="true" ht="15" hidden="false" customHeight="false" outlineLevel="0" collapsed="false">
      <c r="A167" s="23"/>
      <c r="B167" s="17" t="n">
        <v>22</v>
      </c>
      <c r="C167" s="7" t="n">
        <v>41283</v>
      </c>
      <c r="D167" s="6" t="n">
        <v>0.8</v>
      </c>
      <c r="E167" s="6" t="n">
        <v>0.6</v>
      </c>
      <c r="F167" s="6" t="n">
        <v>1</v>
      </c>
      <c r="G167" s="6" t="n">
        <f aca="false">G166+D167</f>
        <v>1011.3</v>
      </c>
      <c r="H167" s="6" t="n">
        <f aca="false">H166+D167</f>
        <v>8.1</v>
      </c>
      <c r="I167" s="24" t="s">
        <v>32</v>
      </c>
      <c r="J167" s="6" t="n">
        <v>2.1</v>
      </c>
      <c r="K167" s="6" t="n">
        <f aca="false">K166+J167</f>
        <v>371.8</v>
      </c>
      <c r="L167" s="6" t="n">
        <v>0.4</v>
      </c>
      <c r="M167" s="6" t="n">
        <f aca="false">M166+L167</f>
        <v>114.4</v>
      </c>
      <c r="N167" s="6" t="n">
        <v>1.7</v>
      </c>
      <c r="O167" s="6" t="n">
        <v>122.1</v>
      </c>
      <c r="P167" s="6" t="n">
        <v>120</v>
      </c>
      <c r="Q167" s="6" t="n">
        <v>1</v>
      </c>
      <c r="R167" s="14" t="n">
        <f aca="false">Q167*L167</f>
        <v>0.4</v>
      </c>
      <c r="S167" s="14" t="n">
        <f aca="false">J167-R167</f>
        <v>1.7</v>
      </c>
      <c r="T167" s="14" t="n">
        <f aca="false">MIN(122.1,(T166+S167))</f>
        <v>122.1</v>
      </c>
      <c r="U167" s="24" t="s">
        <v>33</v>
      </c>
      <c r="V167" s="6" t="n">
        <v>113.4</v>
      </c>
      <c r="X167" s="6" t="n">
        <f aca="false">X166+V167</f>
        <v>54339.6</v>
      </c>
      <c r="Y167" s="6" t="n">
        <f aca="false">Y166+V167</f>
        <v>487</v>
      </c>
      <c r="Z167" s="24" t="s">
        <v>34</v>
      </c>
      <c r="AA167" s="16" t="n">
        <v>8.70174688301341</v>
      </c>
    </row>
    <row r="168" s="6" customFormat="true" ht="15" hidden="false" customHeight="false" outlineLevel="0" collapsed="false">
      <c r="A168" s="23"/>
      <c r="B168" s="17" t="n">
        <v>23</v>
      </c>
      <c r="C168" s="7" t="n">
        <v>41284</v>
      </c>
      <c r="D168" s="6" t="n">
        <v>2.4</v>
      </c>
      <c r="E168" s="6" t="n">
        <v>0.8</v>
      </c>
      <c r="F168" s="6" t="n">
        <v>6.1</v>
      </c>
      <c r="G168" s="6" t="n">
        <f aca="false">G167+D168</f>
        <v>1013.7</v>
      </c>
      <c r="H168" s="6" t="n">
        <f aca="false">H167+D168</f>
        <v>10.5</v>
      </c>
      <c r="I168" s="6" t="n">
        <f aca="false">MAX(F165:F222)</f>
        <v>15.2</v>
      </c>
      <c r="J168" s="6" t="n">
        <v>9.3</v>
      </c>
      <c r="K168" s="6" t="n">
        <f aca="false">K167+J168</f>
        <v>381.1</v>
      </c>
      <c r="L168" s="6" t="n">
        <v>0.5</v>
      </c>
      <c r="M168" s="6" t="n">
        <f aca="false">M167+L168</f>
        <v>114.9</v>
      </c>
      <c r="N168" s="6" t="n">
        <v>8.8</v>
      </c>
      <c r="O168" s="6" t="n">
        <v>122.1</v>
      </c>
      <c r="P168" s="6" t="n">
        <v>121</v>
      </c>
      <c r="Q168" s="6" t="n">
        <v>1</v>
      </c>
      <c r="R168" s="14" t="n">
        <f aca="false">Q168*L168</f>
        <v>0.5</v>
      </c>
      <c r="S168" s="14" t="n">
        <f aca="false">J168-R168</f>
        <v>8.8</v>
      </c>
      <c r="T168" s="14" t="n">
        <f aca="false">MIN(122.1,(T167+S168))</f>
        <v>122.1</v>
      </c>
      <c r="U168" s="6" t="n">
        <v>0</v>
      </c>
      <c r="V168" s="6" t="n">
        <v>106.1</v>
      </c>
      <c r="X168" s="6" t="n">
        <f aca="false">X167+V168</f>
        <v>54445.7</v>
      </c>
      <c r="Y168" s="6" t="n">
        <f aca="false">Y167+V168</f>
        <v>593.1</v>
      </c>
      <c r="Z168" s="6" t="n">
        <f aca="false">(Z166/100)/I178</f>
        <v>2.10971954425942</v>
      </c>
      <c r="AA168" s="16" t="n">
        <v>8.72744323869805</v>
      </c>
    </row>
    <row r="169" s="6" customFormat="true" ht="15" hidden="false" customHeight="false" outlineLevel="0" collapsed="false">
      <c r="A169" s="23"/>
      <c r="B169" s="17" t="n">
        <v>24</v>
      </c>
      <c r="C169" s="7" t="n">
        <v>41285</v>
      </c>
      <c r="D169" s="6" t="n">
        <v>4.5</v>
      </c>
      <c r="E169" s="6" t="n">
        <v>3.4</v>
      </c>
      <c r="F169" s="6" t="n">
        <v>6</v>
      </c>
      <c r="G169" s="6" t="n">
        <f aca="false">G168+D169</f>
        <v>1018.2</v>
      </c>
      <c r="H169" s="6" t="n">
        <f aca="false">H168+D169</f>
        <v>15</v>
      </c>
      <c r="I169" s="24" t="s">
        <v>35</v>
      </c>
      <c r="J169" s="6" t="n">
        <v>0.3</v>
      </c>
      <c r="K169" s="6" t="n">
        <f aca="false">K168+J169</f>
        <v>381.4</v>
      </c>
      <c r="L169" s="6" t="n">
        <v>0.4</v>
      </c>
      <c r="M169" s="6" t="n">
        <f aca="false">M168+L169</f>
        <v>115.3</v>
      </c>
      <c r="N169" s="6" t="n">
        <v>-0.1</v>
      </c>
      <c r="O169" s="6" t="n">
        <f aca="false">O168+N169</f>
        <v>122</v>
      </c>
      <c r="P169" s="6" t="n">
        <v>122</v>
      </c>
      <c r="Q169" s="6" t="n">
        <v>1</v>
      </c>
      <c r="R169" s="14" t="n">
        <f aca="false">Q169*L169</f>
        <v>0.4</v>
      </c>
      <c r="S169" s="14" t="n">
        <f aca="false">J169-R169</f>
        <v>-0.1</v>
      </c>
      <c r="T169" s="14" t="n">
        <f aca="false">MIN(122.1,(T168+S169))</f>
        <v>122</v>
      </c>
      <c r="U169" s="24" t="s">
        <v>36</v>
      </c>
      <c r="V169" s="6" t="n">
        <v>126.6</v>
      </c>
      <c r="X169" s="6" t="n">
        <f aca="false">X168+V169</f>
        <v>54572.3</v>
      </c>
      <c r="Y169" s="6" t="n">
        <f aca="false">Y168+V169</f>
        <v>719.7</v>
      </c>
      <c r="Z169" s="24" t="s">
        <v>37</v>
      </c>
      <c r="AA169" s="16" t="n">
        <v>8.75436302396349</v>
      </c>
    </row>
    <row r="170" s="6" customFormat="true" ht="15" hidden="false" customHeight="false" outlineLevel="0" collapsed="false">
      <c r="A170" s="23"/>
      <c r="B170" s="17" t="n">
        <v>25</v>
      </c>
      <c r="C170" s="7" t="n">
        <v>41286</v>
      </c>
      <c r="D170" s="6" t="n">
        <v>1.7</v>
      </c>
      <c r="E170" s="6" t="n">
        <v>0.3</v>
      </c>
      <c r="F170" s="6" t="n">
        <v>2.6</v>
      </c>
      <c r="G170" s="6" t="n">
        <f aca="false">G169+D170</f>
        <v>1019.9</v>
      </c>
      <c r="H170" s="6" t="n">
        <f aca="false">H169+D170</f>
        <v>16.7</v>
      </c>
      <c r="I170" s="14" t="n">
        <f aca="false">AVERAGE(D165:D222)</f>
        <v>1.31206896551724</v>
      </c>
      <c r="J170" s="6" t="n">
        <v>0.3</v>
      </c>
      <c r="K170" s="6" t="n">
        <f aca="false">K169+J170</f>
        <v>381.7</v>
      </c>
      <c r="L170" s="6" t="n">
        <v>0.2</v>
      </c>
      <c r="M170" s="6" t="n">
        <f aca="false">M169+L170</f>
        <v>115.5</v>
      </c>
      <c r="N170" s="6" t="n">
        <v>0.1</v>
      </c>
      <c r="O170" s="6" t="n">
        <f aca="false">O169+N170</f>
        <v>122.1</v>
      </c>
      <c r="P170" s="6" t="n">
        <v>123</v>
      </c>
      <c r="Q170" s="6" t="n">
        <v>1</v>
      </c>
      <c r="R170" s="14" t="n">
        <f aca="false">Q170*L170</f>
        <v>0.2</v>
      </c>
      <c r="S170" s="14" t="n">
        <f aca="false">J170-R170</f>
        <v>0.1</v>
      </c>
      <c r="T170" s="14" t="n">
        <f aca="false">MIN(122.1,(T169+S170))</f>
        <v>122.1</v>
      </c>
      <c r="U170" s="6" t="n">
        <v>0</v>
      </c>
      <c r="V170" s="6" t="n">
        <v>227.3</v>
      </c>
      <c r="X170" s="6" t="n">
        <f aca="false">X169+V170</f>
        <v>54799.6</v>
      </c>
      <c r="Y170" s="6" t="n">
        <f aca="false">Y169+V170</f>
        <v>947</v>
      </c>
      <c r="Z170" s="6" t="n">
        <v>55</v>
      </c>
      <c r="AA170" s="16" t="n">
        <v>8.78248034992729</v>
      </c>
    </row>
    <row r="171" s="6" customFormat="true" ht="15" hidden="false" customHeight="false" outlineLevel="0" collapsed="false">
      <c r="A171" s="23"/>
      <c r="B171" s="17" t="n">
        <v>26</v>
      </c>
      <c r="C171" s="7" t="n">
        <v>41287</v>
      </c>
      <c r="D171" s="6" t="n">
        <v>3.1</v>
      </c>
      <c r="E171" s="6" t="n">
        <v>2.5</v>
      </c>
      <c r="F171" s="6" t="n">
        <v>4</v>
      </c>
      <c r="G171" s="6" t="n">
        <f aca="false">G170+D171</f>
        <v>1023</v>
      </c>
      <c r="H171" s="6" t="n">
        <f aca="false">H170+D171</f>
        <v>19.8</v>
      </c>
      <c r="I171" s="24" t="s">
        <v>38</v>
      </c>
      <c r="J171" s="6" t="n">
        <v>0</v>
      </c>
      <c r="K171" s="6" t="n">
        <f aca="false">K170+J171</f>
        <v>381.7</v>
      </c>
      <c r="L171" s="6" t="n">
        <v>0.2</v>
      </c>
      <c r="M171" s="6" t="n">
        <f aca="false">M170+L171</f>
        <v>115.7</v>
      </c>
      <c r="N171" s="6" t="n">
        <v>-0.2</v>
      </c>
      <c r="O171" s="6" t="n">
        <f aca="false">O170+N171</f>
        <v>121.9</v>
      </c>
      <c r="P171" s="6" t="n">
        <v>124</v>
      </c>
      <c r="Q171" s="6" t="n">
        <v>1</v>
      </c>
      <c r="R171" s="14" t="n">
        <f aca="false">Q171*L171</f>
        <v>0.2</v>
      </c>
      <c r="S171" s="14" t="n">
        <f aca="false">J171-R171</f>
        <v>-0.2</v>
      </c>
      <c r="T171" s="14" t="n">
        <f aca="false">MIN(122.1,(T170+S171))</f>
        <v>121.9</v>
      </c>
      <c r="U171" s="24" t="s">
        <v>39</v>
      </c>
      <c r="V171" s="6" t="n">
        <v>134.2</v>
      </c>
      <c r="X171" s="6" t="n">
        <f aca="false">X170+V171</f>
        <v>54933.8</v>
      </c>
      <c r="Y171" s="6" t="n">
        <f aca="false">Y170+V171</f>
        <v>1081.2</v>
      </c>
      <c r="AA171" s="16" t="n">
        <v>8.81176866718012</v>
      </c>
    </row>
    <row r="172" s="6" customFormat="true" ht="15" hidden="false" customHeight="false" outlineLevel="0" collapsed="false">
      <c r="A172" s="23"/>
      <c r="B172" s="17" t="n">
        <v>27</v>
      </c>
      <c r="C172" s="7" t="n">
        <v>41288</v>
      </c>
      <c r="D172" s="6" t="n">
        <v>-0.1</v>
      </c>
      <c r="E172" s="6" t="n">
        <v>-2.3</v>
      </c>
      <c r="F172" s="6" t="n">
        <v>1.6</v>
      </c>
      <c r="G172" s="6" t="n">
        <v>1023</v>
      </c>
      <c r="H172" s="6" t="n">
        <v>19.8</v>
      </c>
      <c r="I172" s="6" t="n">
        <v>34</v>
      </c>
      <c r="J172" s="6" t="n">
        <v>0.2</v>
      </c>
      <c r="K172" s="6" t="n">
        <f aca="false">K171+J172</f>
        <v>381.9</v>
      </c>
      <c r="L172" s="6" t="n">
        <v>0.3</v>
      </c>
      <c r="M172" s="6" t="n">
        <f aca="false">M171+L172</f>
        <v>116</v>
      </c>
      <c r="N172" s="6" t="n">
        <v>-0.1</v>
      </c>
      <c r="O172" s="6" t="n">
        <f aca="false">O171+N172</f>
        <v>121.8</v>
      </c>
      <c r="P172" s="6" t="n">
        <v>125</v>
      </c>
      <c r="Q172" s="6" t="n">
        <v>1</v>
      </c>
      <c r="R172" s="14" t="n">
        <f aca="false">Q172*L172</f>
        <v>0.3</v>
      </c>
      <c r="S172" s="14" t="n">
        <f aca="false">J172-R172</f>
        <v>-0.1</v>
      </c>
      <c r="T172" s="14" t="n">
        <f aca="false">MIN(122.1,(T171+S172))</f>
        <v>121.8</v>
      </c>
      <c r="U172" s="14" t="n">
        <f aca="false">MIN(T165:T222)</f>
        <v>105.6</v>
      </c>
      <c r="V172" s="6" t="n">
        <v>213.2</v>
      </c>
      <c r="X172" s="6" t="n">
        <f aca="false">X171+V172</f>
        <v>55147</v>
      </c>
      <c r="Y172" s="6" t="n">
        <f aca="false">Y171+V172</f>
        <v>1294.4</v>
      </c>
      <c r="AA172" s="16" t="n">
        <v>8.84220084868418</v>
      </c>
    </row>
    <row r="173" s="6" customFormat="true" ht="15" hidden="false" customHeight="false" outlineLevel="0" collapsed="false">
      <c r="A173" s="23"/>
      <c r="B173" s="17" t="n">
        <v>28</v>
      </c>
      <c r="C173" s="7" t="n">
        <v>41289</v>
      </c>
      <c r="D173" s="6" t="n">
        <v>-0.8</v>
      </c>
      <c r="E173" s="6" t="n">
        <v>-2.8</v>
      </c>
      <c r="F173" s="6" t="n">
        <v>0.6</v>
      </c>
      <c r="G173" s="6" t="n">
        <v>1023</v>
      </c>
      <c r="H173" s="6" t="n">
        <v>19.8</v>
      </c>
      <c r="I173" s="24" t="s">
        <v>40</v>
      </c>
      <c r="J173" s="6" t="n">
        <v>0.2</v>
      </c>
      <c r="K173" s="6" t="n">
        <f aca="false">K172+J173</f>
        <v>382.1</v>
      </c>
      <c r="L173" s="6" t="n">
        <v>0.3</v>
      </c>
      <c r="M173" s="6" t="n">
        <f aca="false">M172+L173</f>
        <v>116.3</v>
      </c>
      <c r="N173" s="6" t="n">
        <v>-0.1</v>
      </c>
      <c r="O173" s="6" t="n">
        <f aca="false">O172+N173</f>
        <v>121.7</v>
      </c>
      <c r="P173" s="6" t="n">
        <v>126</v>
      </c>
      <c r="Q173" s="6" t="n">
        <v>1</v>
      </c>
      <c r="R173" s="14" t="n">
        <f aca="false">Q173*L173</f>
        <v>0.3</v>
      </c>
      <c r="S173" s="14" t="n">
        <f aca="false">J173-R173</f>
        <v>-0.1</v>
      </c>
      <c r="T173" s="14" t="n">
        <f aca="false">MIN(122.1,(T172+S173))</f>
        <v>121.7</v>
      </c>
      <c r="U173" s="24" t="s">
        <v>41</v>
      </c>
      <c r="V173" s="6" t="n">
        <v>257.9</v>
      </c>
      <c r="X173" s="6" t="n">
        <f aca="false">X172+V173</f>
        <v>55404.9</v>
      </c>
      <c r="Y173" s="6" t="n">
        <f aca="false">Y172+V173</f>
        <v>1552.3</v>
      </c>
      <c r="AA173" s="16" t="n">
        <v>8.87374927170292</v>
      </c>
    </row>
    <row r="174" s="6" customFormat="true" ht="15" hidden="false" customHeight="false" outlineLevel="0" collapsed="false">
      <c r="A174" s="23"/>
      <c r="B174" s="17" t="n">
        <v>29</v>
      </c>
      <c r="C174" s="7" t="n">
        <v>41290</v>
      </c>
      <c r="D174" s="6" t="n">
        <v>-2.1</v>
      </c>
      <c r="E174" s="6" t="n">
        <v>-2.6</v>
      </c>
      <c r="F174" s="6" t="n">
        <v>0.5</v>
      </c>
      <c r="G174" s="6" t="n">
        <v>1023</v>
      </c>
      <c r="H174" s="6" t="n">
        <v>19.8</v>
      </c>
      <c r="I174" s="6" t="n">
        <v>0</v>
      </c>
      <c r="J174" s="6" t="n">
        <v>0</v>
      </c>
      <c r="K174" s="6" t="n">
        <f aca="false">K173+J174</f>
        <v>382.1</v>
      </c>
      <c r="L174" s="6" t="n">
        <v>0.5</v>
      </c>
      <c r="M174" s="6" t="n">
        <f aca="false">M173+L174</f>
        <v>116.8</v>
      </c>
      <c r="N174" s="6" t="n">
        <v>-0.5</v>
      </c>
      <c r="O174" s="6" t="n">
        <f aca="false">O173+N174</f>
        <v>121.2</v>
      </c>
      <c r="P174" s="6" t="n">
        <v>127</v>
      </c>
      <c r="Q174" s="6" t="n">
        <v>1</v>
      </c>
      <c r="R174" s="14" t="n">
        <f aca="false">Q174*L174</f>
        <v>0.5</v>
      </c>
      <c r="S174" s="14" t="n">
        <f aca="false">J174-R174</f>
        <v>-0.5</v>
      </c>
      <c r="T174" s="14" t="n">
        <f aca="false">MIN(122.1,(T173+S174))</f>
        <v>121.2</v>
      </c>
      <c r="U174" s="6" t="n">
        <v>122.1</v>
      </c>
      <c r="V174" s="6" t="n">
        <v>264</v>
      </c>
      <c r="X174" s="6" t="n">
        <f aca="false">X173+V174</f>
        <v>55668.9</v>
      </c>
      <c r="Y174" s="6" t="n">
        <f aca="false">Y173+V174</f>
        <v>1816.3</v>
      </c>
      <c r="AA174" s="16" t="n">
        <v>8.90638589834182</v>
      </c>
    </row>
    <row r="175" s="6" customFormat="true" ht="15" hidden="false" customHeight="false" outlineLevel="0" collapsed="false">
      <c r="A175" s="23"/>
      <c r="B175" s="17" t="n">
        <v>30</v>
      </c>
      <c r="C175" s="7" t="n">
        <v>41291</v>
      </c>
      <c r="D175" s="6" t="n">
        <v>-3.9</v>
      </c>
      <c r="E175" s="6" t="n">
        <v>-6.2</v>
      </c>
      <c r="F175" s="6" t="n">
        <v>-2</v>
      </c>
      <c r="G175" s="6" t="n">
        <v>1023</v>
      </c>
      <c r="H175" s="6" t="n">
        <v>19.8</v>
      </c>
      <c r="I175" s="24" t="s">
        <v>42</v>
      </c>
      <c r="J175" s="6" t="n">
        <v>0</v>
      </c>
      <c r="K175" s="6" t="n">
        <f aca="false">K174+J175</f>
        <v>382.1</v>
      </c>
      <c r="L175" s="6" t="n">
        <v>0.4</v>
      </c>
      <c r="M175" s="6" t="n">
        <f aca="false">M174+L175</f>
        <v>117.2</v>
      </c>
      <c r="N175" s="6" t="n">
        <v>-0.4</v>
      </c>
      <c r="O175" s="6" t="n">
        <f aca="false">O174+N175</f>
        <v>120.8</v>
      </c>
      <c r="P175" s="6" t="n">
        <v>128</v>
      </c>
      <c r="Q175" s="6" t="n">
        <v>1</v>
      </c>
      <c r="R175" s="14" t="n">
        <f aca="false">Q175*L175</f>
        <v>0.4</v>
      </c>
      <c r="S175" s="14" t="n">
        <f aca="false">J175-R175</f>
        <v>-0.4</v>
      </c>
      <c r="T175" s="14" t="n">
        <f aca="false">MIN(122.1,(T174+S175))</f>
        <v>120.8</v>
      </c>
      <c r="U175" s="24" t="s">
        <v>43</v>
      </c>
      <c r="V175" s="6" t="n">
        <v>151.8</v>
      </c>
      <c r="X175" s="6" t="n">
        <f aca="false">X174+V175</f>
        <v>55820.7</v>
      </c>
      <c r="Y175" s="6" t="n">
        <f aca="false">Y174+V175</f>
        <v>1968.1</v>
      </c>
      <c r="AA175" s="16" t="n">
        <v>8.94008235431446</v>
      </c>
    </row>
    <row r="176" s="6" customFormat="true" ht="15" hidden="false" customHeight="false" outlineLevel="0" collapsed="false">
      <c r="A176" s="23"/>
      <c r="B176" s="17" t="n">
        <v>31</v>
      </c>
      <c r="C176" s="7" t="n">
        <v>41292</v>
      </c>
      <c r="D176" s="6" t="n">
        <v>-3.7</v>
      </c>
      <c r="E176" s="6" t="n">
        <v>-4.8</v>
      </c>
      <c r="F176" s="6" t="n">
        <v>-2.4</v>
      </c>
      <c r="G176" s="6" t="n">
        <v>1023</v>
      </c>
      <c r="H176" s="6" t="n">
        <v>19.8</v>
      </c>
      <c r="I176" s="6" t="n">
        <v>22</v>
      </c>
      <c r="J176" s="6" t="n">
        <v>0</v>
      </c>
      <c r="K176" s="6" t="n">
        <f aca="false">K175+J176</f>
        <v>382.1</v>
      </c>
      <c r="L176" s="6" t="n">
        <v>0.4</v>
      </c>
      <c r="M176" s="6" t="n">
        <f aca="false">M175+L176</f>
        <v>117.6</v>
      </c>
      <c r="N176" s="6" t="n">
        <v>-0.4</v>
      </c>
      <c r="O176" s="6" t="n">
        <f aca="false">O175+N176</f>
        <v>120.4</v>
      </c>
      <c r="P176" s="6" t="n">
        <v>129</v>
      </c>
      <c r="Q176" s="6" t="n">
        <v>1</v>
      </c>
      <c r="R176" s="14" t="n">
        <f aca="false">Q176*L176</f>
        <v>0.4</v>
      </c>
      <c r="S176" s="14" t="n">
        <f aca="false">J176-R176</f>
        <v>-0.4</v>
      </c>
      <c r="T176" s="14" t="n">
        <f aca="false">MIN(122.1,(T175+S176))</f>
        <v>120.4</v>
      </c>
      <c r="U176" s="15" t="n">
        <f aca="false">AVERAGE(T165:T222)</f>
        <v>119.160386722527</v>
      </c>
      <c r="V176" s="6" t="n">
        <v>503.7</v>
      </c>
      <c r="X176" s="6" t="n">
        <f aca="false">X175+V176</f>
        <v>56324.4</v>
      </c>
      <c r="Y176" s="6" t="n">
        <f aca="false">Y175+V176</f>
        <v>2471.8</v>
      </c>
      <c r="AA176" s="16" t="n">
        <v>8.97481000558343</v>
      </c>
    </row>
    <row r="177" s="6" customFormat="true" ht="15" hidden="false" customHeight="false" outlineLevel="0" collapsed="false">
      <c r="A177" s="23"/>
      <c r="B177" s="12" t="n">
        <v>7</v>
      </c>
      <c r="C177" s="7" t="n">
        <v>41293</v>
      </c>
      <c r="D177" s="6" t="n">
        <v>-0.7</v>
      </c>
      <c r="E177" s="6" t="n">
        <v>-4</v>
      </c>
      <c r="F177" s="6" t="n">
        <v>1</v>
      </c>
      <c r="G177" s="6" t="n">
        <v>1023</v>
      </c>
      <c r="H177" s="6" t="n">
        <v>19.8</v>
      </c>
      <c r="I177" s="24" t="s">
        <v>44</v>
      </c>
      <c r="J177" s="6" t="n">
        <v>12.7</v>
      </c>
      <c r="K177" s="6" t="n">
        <f aca="false">K176+J177</f>
        <v>394.8</v>
      </c>
      <c r="L177" s="6" t="n">
        <v>0.2</v>
      </c>
      <c r="M177" s="6" t="n">
        <f aca="false">M176+L177</f>
        <v>117.8</v>
      </c>
      <c r="N177" s="6" t="n">
        <v>12.5</v>
      </c>
      <c r="O177" s="6" t="n">
        <v>122.1</v>
      </c>
      <c r="P177" s="6" t="n">
        <v>130</v>
      </c>
      <c r="Q177" s="6" t="n">
        <v>1</v>
      </c>
      <c r="R177" s="14" t="n">
        <f aca="false">Q177*L177</f>
        <v>0.2</v>
      </c>
      <c r="S177" s="14" t="n">
        <f aca="false">J177-R177</f>
        <v>12.5</v>
      </c>
      <c r="T177" s="14" t="n">
        <f aca="false">MIN(122.1,(T176+S177))</f>
        <v>122.1</v>
      </c>
      <c r="U177" s="24" t="s">
        <v>46</v>
      </c>
      <c r="V177" s="6" t="n">
        <v>122.3</v>
      </c>
      <c r="X177" s="6" t="n">
        <f aca="false">X176+V177</f>
        <v>56446.7</v>
      </c>
      <c r="Y177" s="6" t="n">
        <f aca="false">Y176+V177</f>
        <v>2594.1</v>
      </c>
      <c r="AA177" s="6" t="n">
        <v>9.01054003256259</v>
      </c>
    </row>
    <row r="178" s="6" customFormat="true" ht="15" hidden="false" customHeight="false" outlineLevel="0" collapsed="false">
      <c r="A178" s="23"/>
      <c r="B178" s="12"/>
      <c r="C178" s="7" t="n">
        <v>41294</v>
      </c>
      <c r="D178" s="6" t="n">
        <v>1</v>
      </c>
      <c r="E178" s="6" t="n">
        <v>-0.4</v>
      </c>
      <c r="F178" s="6" t="n">
        <v>3.3</v>
      </c>
      <c r="G178" s="6" t="n">
        <f aca="false">G177+D178</f>
        <v>1024</v>
      </c>
      <c r="H178" s="6" t="n">
        <f aca="false">H177+D178</f>
        <v>20.8</v>
      </c>
      <c r="I178" s="6" t="n">
        <v>114.1</v>
      </c>
      <c r="J178" s="6" t="n">
        <v>0.9</v>
      </c>
      <c r="K178" s="6" t="n">
        <f aca="false">K177+J178</f>
        <v>395.7</v>
      </c>
      <c r="L178" s="6" t="n">
        <v>0.5</v>
      </c>
      <c r="M178" s="6" t="n">
        <f aca="false">M177+L178</f>
        <v>118.3</v>
      </c>
      <c r="N178" s="6" t="n">
        <v>0.4</v>
      </c>
      <c r="O178" s="6" t="n">
        <v>122.1</v>
      </c>
      <c r="P178" s="6" t="n">
        <v>131</v>
      </c>
      <c r="Q178" s="6" t="n">
        <v>1</v>
      </c>
      <c r="R178" s="14" t="n">
        <f aca="false">Q178*L178</f>
        <v>0.5</v>
      </c>
      <c r="S178" s="14" t="n">
        <f aca="false">J178-R178</f>
        <v>0.4</v>
      </c>
      <c r="T178" s="14" t="n">
        <f aca="false">MIN(122.1,(T177+S178))</f>
        <v>122.1</v>
      </c>
      <c r="U178" s="6" t="n">
        <v>31</v>
      </c>
      <c r="V178" s="6" t="n">
        <v>290</v>
      </c>
      <c r="X178" s="6" t="n">
        <f aca="false">X177+V178</f>
        <v>56736.7</v>
      </c>
      <c r="Y178" s="6" t="n">
        <f aca="false">Y177+V178</f>
        <v>2884.1</v>
      </c>
      <c r="AA178" s="6" t="n">
        <v>9.04724350160456</v>
      </c>
    </row>
    <row r="179" s="6" customFormat="true" ht="15" hidden="false" customHeight="false" outlineLevel="0" collapsed="false">
      <c r="A179" s="23"/>
      <c r="B179" s="12"/>
      <c r="C179" s="7" t="n">
        <v>41295</v>
      </c>
      <c r="D179" s="6" t="n">
        <v>1.5</v>
      </c>
      <c r="E179" s="6" t="n">
        <v>-0.6</v>
      </c>
      <c r="F179" s="6" t="n">
        <v>4.7</v>
      </c>
      <c r="G179" s="6" t="n">
        <f aca="false">G178+D179</f>
        <v>1025.5</v>
      </c>
      <c r="H179" s="6" t="n">
        <f aca="false">H178+D179</f>
        <v>22.3</v>
      </c>
      <c r="J179" s="6" t="n">
        <v>1.1</v>
      </c>
      <c r="K179" s="6" t="n">
        <f aca="false">K178+J179</f>
        <v>396.8</v>
      </c>
      <c r="L179" s="6" t="n">
        <v>0.5</v>
      </c>
      <c r="M179" s="6" t="n">
        <f aca="false">M178+L179</f>
        <v>118.8</v>
      </c>
      <c r="N179" s="6" t="n">
        <v>0.6</v>
      </c>
      <c r="O179" s="6" t="n">
        <v>122.1</v>
      </c>
      <c r="P179" s="6" t="n">
        <v>132</v>
      </c>
      <c r="Q179" s="6" t="n">
        <v>1</v>
      </c>
      <c r="R179" s="14" t="n">
        <f aca="false">Q179*L179</f>
        <v>0.5</v>
      </c>
      <c r="S179" s="14" t="n">
        <f aca="false">J179-R179</f>
        <v>0.6</v>
      </c>
      <c r="T179" s="14" t="n">
        <f aca="false">MIN(122.1,(T178+S179))</f>
        <v>122.1</v>
      </c>
      <c r="V179" s="6" t="n">
        <v>163.4</v>
      </c>
      <c r="X179" s="6" t="n">
        <f aca="false">X178+V179</f>
        <v>56900.1</v>
      </c>
      <c r="Y179" s="6" t="n">
        <f aca="false">Y178+V179</f>
        <v>3047.5</v>
      </c>
      <c r="AA179" s="6" t="n">
        <v>9.08489143353448</v>
      </c>
    </row>
    <row r="180" s="6" customFormat="true" ht="15" hidden="false" customHeight="false" outlineLevel="0" collapsed="false">
      <c r="A180" s="23"/>
      <c r="B180" s="12"/>
      <c r="C180" s="7" t="n">
        <v>41296</v>
      </c>
      <c r="D180" s="6" t="n">
        <v>2.5</v>
      </c>
      <c r="E180" s="6" t="n">
        <v>1.4</v>
      </c>
      <c r="F180" s="6" t="n">
        <v>5.8</v>
      </c>
      <c r="G180" s="6" t="n">
        <f aca="false">G179+D180</f>
        <v>1028</v>
      </c>
      <c r="H180" s="6" t="n">
        <f aca="false">H179+D180</f>
        <v>24.8</v>
      </c>
      <c r="J180" s="6" t="n">
        <v>0</v>
      </c>
      <c r="K180" s="6" t="n">
        <f aca="false">K179+J180</f>
        <v>396.8</v>
      </c>
      <c r="L180" s="6" t="n">
        <v>0.7</v>
      </c>
      <c r="M180" s="6" t="n">
        <f aca="false">M179+L180</f>
        <v>119.5</v>
      </c>
      <c r="N180" s="6" t="n">
        <v>-0.7</v>
      </c>
      <c r="O180" s="6" t="n">
        <f aca="false">O179+N180</f>
        <v>121.4</v>
      </c>
      <c r="P180" s="6" t="n">
        <v>133</v>
      </c>
      <c r="Q180" s="6" t="n">
        <v>1</v>
      </c>
      <c r="R180" s="14" t="n">
        <f aca="false">Q180*L180</f>
        <v>0.7</v>
      </c>
      <c r="S180" s="14" t="n">
        <f aca="false">J180-R180</f>
        <v>-0.7</v>
      </c>
      <c r="T180" s="14" t="n">
        <f aca="false">MIN(122.1,(T179+S180))</f>
        <v>121.4</v>
      </c>
      <c r="U180" s="14" t="n">
        <f aca="false">(U176*100)/122.1</f>
        <v>97.5924543182036</v>
      </c>
      <c r="V180" s="6" t="n">
        <v>236.3</v>
      </c>
      <c r="X180" s="6" t="n">
        <f aca="false">X179+V180</f>
        <v>57136.4</v>
      </c>
      <c r="Y180" s="6" t="n">
        <f aca="false">Y179+V180</f>
        <v>3283.8</v>
      </c>
      <c r="AA180" s="6" t="n">
        <v>9.12345486902835</v>
      </c>
    </row>
    <row r="181" s="6" customFormat="true" ht="15" hidden="false" customHeight="false" outlineLevel="0" collapsed="false">
      <c r="A181" s="23"/>
      <c r="B181" s="12"/>
      <c r="C181" s="7" t="n">
        <v>41297</v>
      </c>
      <c r="D181" s="6" t="n">
        <v>1.1</v>
      </c>
      <c r="E181" s="6" t="n">
        <v>-1.5</v>
      </c>
      <c r="F181" s="6" t="n">
        <v>3.6</v>
      </c>
      <c r="G181" s="6" t="n">
        <f aca="false">G180+D181</f>
        <v>1029.1</v>
      </c>
      <c r="H181" s="6" t="n">
        <f aca="false">H180+D181</f>
        <v>25.9</v>
      </c>
      <c r="J181" s="6" t="n">
        <v>0</v>
      </c>
      <c r="K181" s="6" t="n">
        <f aca="false">K180+J181</f>
        <v>396.8</v>
      </c>
      <c r="L181" s="6" t="n">
        <v>0.6</v>
      </c>
      <c r="M181" s="6" t="n">
        <f aca="false">M180+L181</f>
        <v>120.1</v>
      </c>
      <c r="N181" s="6" t="n">
        <v>-0.6</v>
      </c>
      <c r="O181" s="6" t="n">
        <f aca="false">O180+N181</f>
        <v>120.8</v>
      </c>
      <c r="P181" s="6" t="n">
        <v>134</v>
      </c>
      <c r="Q181" s="6" t="n">
        <v>1</v>
      </c>
      <c r="R181" s="14" t="n">
        <f aca="false">Q181*L181</f>
        <v>0.6</v>
      </c>
      <c r="S181" s="14" t="n">
        <f aca="false">J181-R181</f>
        <v>-0.6</v>
      </c>
      <c r="T181" s="14" t="n">
        <f aca="false">MIN(122.1,(T180+S181))</f>
        <v>120.8</v>
      </c>
      <c r="V181" s="6" t="n">
        <v>591.1</v>
      </c>
      <c r="X181" s="6" t="n">
        <f aca="false">X180+V181</f>
        <v>57727.5</v>
      </c>
      <c r="Y181" s="6" t="n">
        <f aca="false">Y180+V181</f>
        <v>3874.9</v>
      </c>
      <c r="AA181" s="6" t="n">
        <v>9.16290493066994</v>
      </c>
    </row>
    <row r="182" s="6" customFormat="true" ht="15" hidden="false" customHeight="false" outlineLevel="0" collapsed="false">
      <c r="A182" s="23"/>
      <c r="B182" s="12"/>
      <c r="C182" s="7" t="n">
        <v>41298</v>
      </c>
      <c r="D182" s="6" t="n">
        <v>0.4</v>
      </c>
      <c r="E182" s="6" t="n">
        <v>-0.5</v>
      </c>
      <c r="F182" s="6" t="n">
        <v>1.8</v>
      </c>
      <c r="G182" s="6" t="n">
        <f aca="false">G181+D182</f>
        <v>1029.5</v>
      </c>
      <c r="H182" s="6" t="n">
        <f aca="false">H181+D182</f>
        <v>26.3</v>
      </c>
      <c r="J182" s="6" t="n">
        <v>0</v>
      </c>
      <c r="K182" s="6" t="n">
        <f aca="false">K181+J182</f>
        <v>396.8</v>
      </c>
      <c r="L182" s="6" t="n">
        <v>0.6</v>
      </c>
      <c r="M182" s="6" t="n">
        <f aca="false">M181+L182</f>
        <v>120.7</v>
      </c>
      <c r="N182" s="6" t="n">
        <v>-0.6</v>
      </c>
      <c r="O182" s="6" t="n">
        <f aca="false">O181+N182</f>
        <v>120.2</v>
      </c>
      <c r="P182" s="6" t="n">
        <v>135</v>
      </c>
      <c r="Q182" s="6" t="n">
        <v>1</v>
      </c>
      <c r="R182" s="14" t="n">
        <f aca="false">Q182*L182</f>
        <v>0.6</v>
      </c>
      <c r="S182" s="14" t="n">
        <f aca="false">J182-R182</f>
        <v>-0.6</v>
      </c>
      <c r="T182" s="14" t="n">
        <f aca="false">MIN(122.1,(T181+S182))</f>
        <v>120.2</v>
      </c>
      <c r="V182" s="6" t="n">
        <v>231</v>
      </c>
      <c r="X182" s="6" t="n">
        <f aca="false">X181+V182</f>
        <v>57958.5</v>
      </c>
      <c r="Y182" s="6" t="n">
        <f aca="false">Y181+V182</f>
        <v>4105.9</v>
      </c>
      <c r="AA182" s="6" t="n">
        <v>9.20321288155533</v>
      </c>
    </row>
    <row r="183" s="6" customFormat="true" ht="15" hidden="false" customHeight="false" outlineLevel="0" collapsed="false">
      <c r="A183" s="23"/>
      <c r="B183" s="12"/>
      <c r="C183" s="7" t="n">
        <v>41299</v>
      </c>
      <c r="D183" s="6" t="n">
        <v>-3</v>
      </c>
      <c r="E183" s="6" t="n">
        <v>-3.4</v>
      </c>
      <c r="F183" s="6" t="n">
        <v>-2.1</v>
      </c>
      <c r="G183" s="6" t="n">
        <v>1029.5</v>
      </c>
      <c r="H183" s="6" t="n">
        <v>26.3</v>
      </c>
      <c r="J183" s="6" t="n">
        <v>0</v>
      </c>
      <c r="K183" s="6" t="n">
        <f aca="false">K182+J183</f>
        <v>396.8</v>
      </c>
      <c r="L183" s="6" t="n">
        <v>0.4</v>
      </c>
      <c r="M183" s="6" t="n">
        <f aca="false">M182+L183</f>
        <v>121.1</v>
      </c>
      <c r="N183" s="6" t="n">
        <v>-0.4</v>
      </c>
      <c r="O183" s="6" t="n">
        <f aca="false">O182+N183</f>
        <v>119.8</v>
      </c>
      <c r="P183" s="6" t="n">
        <v>136</v>
      </c>
      <c r="Q183" s="6" t="n">
        <v>1</v>
      </c>
      <c r="R183" s="14" t="n">
        <f aca="false">Q183*L183</f>
        <v>0.4</v>
      </c>
      <c r="S183" s="14" t="n">
        <f aca="false">J183-R183</f>
        <v>-0.4</v>
      </c>
      <c r="T183" s="14" t="n">
        <f aca="false">MIN(122.1,(T182+S183))</f>
        <v>119.8</v>
      </c>
      <c r="V183" s="6" t="n">
        <v>296.8</v>
      </c>
      <c r="X183" s="6" t="n">
        <f aca="false">X182+V183</f>
        <v>58255.3</v>
      </c>
      <c r="Y183" s="6" t="n">
        <f aca="false">Y182+V183</f>
        <v>4402.7</v>
      </c>
      <c r="AA183" s="6" t="n">
        <v>9.24435018034748</v>
      </c>
    </row>
    <row r="184" s="6" customFormat="true" ht="15" hidden="false" customHeight="false" outlineLevel="0" collapsed="false">
      <c r="A184" s="23"/>
      <c r="B184" s="12" t="n">
        <v>8</v>
      </c>
      <c r="C184" s="7" t="n">
        <v>41300</v>
      </c>
      <c r="D184" s="6" t="n">
        <v>-2.2</v>
      </c>
      <c r="E184" s="6" t="n">
        <v>-5.9</v>
      </c>
      <c r="F184" s="6" t="n">
        <v>0.8</v>
      </c>
      <c r="G184" s="6" t="n">
        <v>1029.5</v>
      </c>
      <c r="H184" s="6" t="n">
        <v>26.3</v>
      </c>
      <c r="J184" s="6" t="n">
        <v>0</v>
      </c>
      <c r="K184" s="6" t="n">
        <f aca="false">K183+J184</f>
        <v>396.8</v>
      </c>
      <c r="L184" s="6" t="n">
        <v>0.5</v>
      </c>
      <c r="M184" s="6" t="n">
        <f aca="false">M183+L184</f>
        <v>121.6</v>
      </c>
      <c r="N184" s="6" t="n">
        <v>-0.5</v>
      </c>
      <c r="O184" s="6" t="n">
        <f aca="false">O183+N184</f>
        <v>119.3</v>
      </c>
      <c r="P184" s="6" t="n">
        <v>137</v>
      </c>
      <c r="Q184" s="6" t="n">
        <v>1</v>
      </c>
      <c r="R184" s="14" t="n">
        <f aca="false">Q184*L184</f>
        <v>0.5</v>
      </c>
      <c r="S184" s="14" t="n">
        <f aca="false">J184-R184</f>
        <v>-0.5</v>
      </c>
      <c r="T184" s="14" t="n">
        <f aca="false">MIN(122.1,(T183+S184))</f>
        <v>119.3</v>
      </c>
      <c r="V184" s="6" t="n">
        <v>579.4</v>
      </c>
      <c r="X184" s="6" t="n">
        <f aca="false">X183+V184</f>
        <v>58834.7</v>
      </c>
      <c r="Y184" s="6" t="n">
        <f aca="false">Y183+V184</f>
        <v>4982.1</v>
      </c>
      <c r="AA184" s="6" t="n">
        <v>9.28628853271427</v>
      </c>
    </row>
    <row r="185" s="6" customFormat="true" ht="15" hidden="false" customHeight="false" outlineLevel="0" collapsed="false">
      <c r="A185" s="23"/>
      <c r="B185" s="12"/>
      <c r="C185" s="7" t="n">
        <v>41301</v>
      </c>
      <c r="D185" s="6" t="n">
        <v>2</v>
      </c>
      <c r="E185" s="6" t="n">
        <v>-0.2</v>
      </c>
      <c r="F185" s="6" t="n">
        <v>3</v>
      </c>
      <c r="G185" s="6" t="n">
        <f aca="false">G184+D185</f>
        <v>1031.5</v>
      </c>
      <c r="H185" s="6" t="n">
        <f aca="false">H184+D185</f>
        <v>28.3</v>
      </c>
      <c r="J185" s="6" t="n">
        <v>8.1</v>
      </c>
      <c r="K185" s="6" t="n">
        <f aca="false">K184+J185</f>
        <v>404.9</v>
      </c>
      <c r="L185" s="6" t="n">
        <v>0.2</v>
      </c>
      <c r="M185" s="6" t="n">
        <f aca="false">M184+L185</f>
        <v>121.8</v>
      </c>
      <c r="N185" s="6" t="n">
        <v>7.9</v>
      </c>
      <c r="O185" s="6" t="n">
        <v>122.1</v>
      </c>
      <c r="P185" s="6" t="n">
        <v>138</v>
      </c>
      <c r="Q185" s="6" t="n">
        <v>1</v>
      </c>
      <c r="R185" s="14" t="n">
        <f aca="false">Q185*L185</f>
        <v>0.2</v>
      </c>
      <c r="S185" s="14" t="n">
        <f aca="false">J185-R185</f>
        <v>7.9</v>
      </c>
      <c r="T185" s="14" t="n">
        <f aca="false">MIN(122.1,(T184+S185))</f>
        <v>122.1</v>
      </c>
      <c r="V185" s="6" t="n">
        <v>95.4</v>
      </c>
      <c r="X185" s="6" t="n">
        <f aca="false">X184+V185</f>
        <v>58930.1</v>
      </c>
      <c r="Y185" s="6" t="n">
        <f aca="false">Y184+V185</f>
        <v>5077.5</v>
      </c>
      <c r="AA185" s="6" t="n">
        <v>9.32899993911346</v>
      </c>
    </row>
    <row r="186" s="6" customFormat="true" ht="15" hidden="false" customHeight="false" outlineLevel="0" collapsed="false">
      <c r="A186" s="23"/>
      <c r="B186" s="12"/>
      <c r="C186" s="7" t="n">
        <v>41302</v>
      </c>
      <c r="D186" s="6" t="n">
        <v>3.4</v>
      </c>
      <c r="E186" s="6" t="n">
        <v>0.4</v>
      </c>
      <c r="F186" s="6" t="n">
        <v>5.7</v>
      </c>
      <c r="G186" s="6" t="n">
        <f aca="false">G185+D186</f>
        <v>1034.9</v>
      </c>
      <c r="H186" s="6" t="n">
        <f aca="false">H185+D186</f>
        <v>31.7</v>
      </c>
      <c r="J186" s="6" t="n">
        <v>0.2</v>
      </c>
      <c r="K186" s="6" t="n">
        <f aca="false">K185+J186</f>
        <v>405.1</v>
      </c>
      <c r="L186" s="6" t="n">
        <v>0.1</v>
      </c>
      <c r="M186" s="6" t="n">
        <f aca="false">M185+L186</f>
        <v>121.9</v>
      </c>
      <c r="N186" s="6" t="n">
        <v>0.1</v>
      </c>
      <c r="O186" s="6" t="n">
        <v>122.1</v>
      </c>
      <c r="P186" s="6" t="n">
        <v>139</v>
      </c>
      <c r="Q186" s="6" t="n">
        <v>1</v>
      </c>
      <c r="R186" s="14" t="n">
        <f aca="false">Q186*L186</f>
        <v>0.1</v>
      </c>
      <c r="S186" s="14" t="n">
        <f aca="false">J186-R186</f>
        <v>0.1</v>
      </c>
      <c r="T186" s="14" t="n">
        <f aca="false">MIN(122.1,(T185+S186))</f>
        <v>122.1</v>
      </c>
      <c r="V186" s="6" t="n">
        <v>184.2</v>
      </c>
      <c r="X186" s="6" t="n">
        <f aca="false">X185+V186</f>
        <v>59114.3</v>
      </c>
      <c r="Y186" s="6" t="n">
        <f aca="false">Y185+V186</f>
        <v>5261.7</v>
      </c>
      <c r="AA186" s="6" t="n">
        <v>9.37245673891483</v>
      </c>
    </row>
    <row r="187" s="6" customFormat="true" ht="15" hidden="false" customHeight="false" outlineLevel="0" collapsed="false">
      <c r="A187" s="23"/>
      <c r="B187" s="12"/>
      <c r="C187" s="7" t="n">
        <v>41303</v>
      </c>
      <c r="D187" s="6" t="n">
        <v>6.3</v>
      </c>
      <c r="E187" s="6" t="n">
        <v>4.1</v>
      </c>
      <c r="F187" s="6" t="n">
        <v>8.8</v>
      </c>
      <c r="G187" s="6" t="n">
        <f aca="false">G186+D187</f>
        <v>1041.2</v>
      </c>
      <c r="H187" s="6" t="n">
        <f aca="false">H186+D187</f>
        <v>38</v>
      </c>
      <c r="J187" s="6" t="n">
        <v>4</v>
      </c>
      <c r="K187" s="6" t="n">
        <f aca="false">K186+J187</f>
        <v>409.1</v>
      </c>
      <c r="L187" s="6" t="n">
        <v>0.8</v>
      </c>
      <c r="M187" s="6" t="n">
        <f aca="false">M186+L187</f>
        <v>122.7</v>
      </c>
      <c r="N187" s="6" t="n">
        <v>3.2</v>
      </c>
      <c r="O187" s="6" t="n">
        <v>122.1</v>
      </c>
      <c r="P187" s="6" t="n">
        <v>140</v>
      </c>
      <c r="Q187" s="6" t="n">
        <v>1</v>
      </c>
      <c r="R187" s="14" t="n">
        <f aca="false">Q187*L187</f>
        <v>0.8</v>
      </c>
      <c r="S187" s="14" t="n">
        <f aca="false">J187-R187</f>
        <v>3.2</v>
      </c>
      <c r="T187" s="14" t="n">
        <f aca="false">MIN(122.1,(T186+S187))</f>
        <v>122.1</v>
      </c>
      <c r="V187" s="6" t="n">
        <v>141.3</v>
      </c>
      <c r="X187" s="6" t="n">
        <f aca="false">X186+V187</f>
        <v>59255.6</v>
      </c>
      <c r="Y187" s="6" t="n">
        <f aca="false">Y186+V187</f>
        <v>5403</v>
      </c>
      <c r="AA187" s="6" t="n">
        <v>9.41663165087511</v>
      </c>
    </row>
    <row r="188" s="6" customFormat="true" ht="15" hidden="false" customHeight="false" outlineLevel="0" collapsed="false">
      <c r="A188" s="23"/>
      <c r="B188" s="12"/>
      <c r="C188" s="7" t="n">
        <v>41304</v>
      </c>
      <c r="D188" s="6" t="n">
        <v>10.6</v>
      </c>
      <c r="E188" s="6" t="n">
        <v>6.9</v>
      </c>
      <c r="F188" s="6" t="n">
        <v>15.2</v>
      </c>
      <c r="G188" s="6" t="n">
        <f aca="false">G187+D188</f>
        <v>1051.8</v>
      </c>
      <c r="H188" s="6" t="n">
        <f aca="false">H187+D188</f>
        <v>48.6</v>
      </c>
      <c r="J188" s="6" t="n">
        <v>1.9</v>
      </c>
      <c r="K188" s="6" t="n">
        <f aca="false">K187+J188</f>
        <v>411</v>
      </c>
      <c r="L188" s="6" t="n">
        <v>1.2</v>
      </c>
      <c r="M188" s="6" t="n">
        <f aca="false">M187+L188</f>
        <v>123.9</v>
      </c>
      <c r="N188" s="6" t="n">
        <v>0.7</v>
      </c>
      <c r="O188" s="6" t="n">
        <v>122.1</v>
      </c>
      <c r="P188" s="6" t="n">
        <v>141</v>
      </c>
      <c r="Q188" s="6" t="n">
        <v>1</v>
      </c>
      <c r="R188" s="14" t="n">
        <f aca="false">Q188*L188</f>
        <v>1.2</v>
      </c>
      <c r="S188" s="14" t="n">
        <f aca="false">J188-R188</f>
        <v>0.7</v>
      </c>
      <c r="T188" s="14" t="n">
        <f aca="false">MIN(122.1,(T187+S188))</f>
        <v>122.1</v>
      </c>
      <c r="V188" s="6" t="n">
        <v>240.5</v>
      </c>
      <c r="X188" s="6" t="n">
        <f aca="false">X187+V188</f>
        <v>59496.1</v>
      </c>
      <c r="Y188" s="6" t="n">
        <f aca="false">Y187+V188</f>
        <v>5643.5</v>
      </c>
      <c r="AA188" s="6" t="n">
        <v>9.46149781000361</v>
      </c>
    </row>
    <row r="189" s="6" customFormat="true" ht="15" hidden="false" customHeight="false" outlineLevel="0" collapsed="false">
      <c r="A189" s="23"/>
      <c r="B189" s="12"/>
      <c r="C189" s="7" t="n">
        <v>41305</v>
      </c>
      <c r="D189" s="6" t="n">
        <v>7.6</v>
      </c>
      <c r="E189" s="6" t="n">
        <v>2.8</v>
      </c>
      <c r="F189" s="6" t="n">
        <v>10.3</v>
      </c>
      <c r="G189" s="6" t="n">
        <f aca="false">G188+D189</f>
        <v>1059.4</v>
      </c>
      <c r="H189" s="6" t="n">
        <f aca="false">H188+D189</f>
        <v>56.2</v>
      </c>
      <c r="J189" s="6" t="n">
        <v>3.1</v>
      </c>
      <c r="K189" s="6" t="n">
        <f aca="false">K188+J189</f>
        <v>414.1</v>
      </c>
      <c r="L189" s="6" t="n">
        <v>0.3</v>
      </c>
      <c r="M189" s="6" t="n">
        <f aca="false">M188+L189</f>
        <v>124.2</v>
      </c>
      <c r="N189" s="6" t="n">
        <v>2.8</v>
      </c>
      <c r="O189" s="6" t="n">
        <v>122.1</v>
      </c>
      <c r="P189" s="6" t="n">
        <v>142</v>
      </c>
      <c r="Q189" s="6" t="n">
        <v>1</v>
      </c>
      <c r="R189" s="14" t="n">
        <f aca="false">Q189*L189</f>
        <v>0.3</v>
      </c>
      <c r="S189" s="14" t="n">
        <f aca="false">J189-R189</f>
        <v>2.8</v>
      </c>
      <c r="T189" s="14" t="n">
        <f aca="false">MIN(122.1,(T188+S189))</f>
        <v>122.1</v>
      </c>
      <c r="V189" s="6" t="n">
        <v>259.2</v>
      </c>
      <c r="X189" s="6" t="n">
        <f aca="false">X188+V189</f>
        <v>59755.3</v>
      </c>
      <c r="Y189" s="6" t="n">
        <f aca="false">Y188+V189</f>
        <v>5902.7</v>
      </c>
      <c r="AA189" s="6" t="n">
        <v>9.50702880087715</v>
      </c>
    </row>
    <row r="190" s="6" customFormat="true" ht="15" hidden="false" customHeight="false" outlineLevel="0" collapsed="false">
      <c r="A190" s="23"/>
      <c r="B190" s="12"/>
      <c r="C190" s="7" t="n">
        <v>41306</v>
      </c>
      <c r="D190" s="6" t="n">
        <v>8.2</v>
      </c>
      <c r="E190" s="6" t="n">
        <v>6.3</v>
      </c>
      <c r="F190" s="6" t="n">
        <v>10.3</v>
      </c>
      <c r="G190" s="6" t="n">
        <f aca="false">G189+D190</f>
        <v>1067.6</v>
      </c>
      <c r="H190" s="6" t="n">
        <f aca="false">H189+D190</f>
        <v>64.4</v>
      </c>
      <c r="J190" s="6" t="n">
        <v>17.8</v>
      </c>
      <c r="K190" s="6" t="n">
        <f aca="false">K189+J190</f>
        <v>431.9</v>
      </c>
      <c r="L190" s="6" t="n">
        <v>0.6</v>
      </c>
      <c r="M190" s="6" t="n">
        <f aca="false">M189+L190</f>
        <v>124.8</v>
      </c>
      <c r="N190" s="6" t="n">
        <v>17.2</v>
      </c>
      <c r="O190" s="6" t="n">
        <v>122.1</v>
      </c>
      <c r="P190" s="6" t="n">
        <v>143</v>
      </c>
      <c r="Q190" s="6" t="n">
        <v>1</v>
      </c>
      <c r="R190" s="14" t="n">
        <f aca="false">Q190*L190</f>
        <v>0.6</v>
      </c>
      <c r="S190" s="14" t="n">
        <f aca="false">J190-R190</f>
        <v>17.2</v>
      </c>
      <c r="T190" s="14" t="n">
        <f aca="false">MIN(122.1,(T189+S190))</f>
        <v>122.1</v>
      </c>
      <c r="V190" s="6" t="n">
        <v>132.2</v>
      </c>
      <c r="X190" s="6" t="n">
        <f aca="false">X189+V190</f>
        <v>59887.5</v>
      </c>
      <c r="Y190" s="6" t="n">
        <f aca="false">Y189+V190</f>
        <v>6034.9</v>
      </c>
      <c r="AA190" s="6" t="n">
        <v>9.55319868748051</v>
      </c>
    </row>
    <row r="191" s="6" customFormat="true" ht="15" hidden="false" customHeight="false" outlineLevel="0" collapsed="false">
      <c r="A191" s="23"/>
      <c r="B191" s="12" t="n">
        <v>9</v>
      </c>
      <c r="C191" s="7" t="n">
        <v>41307</v>
      </c>
      <c r="D191" s="6" t="n">
        <v>4.1</v>
      </c>
      <c r="E191" s="6" t="n">
        <v>3.5</v>
      </c>
      <c r="F191" s="6" t="n">
        <v>5.8</v>
      </c>
      <c r="G191" s="6" t="n">
        <f aca="false">G190+D191</f>
        <v>1071.7</v>
      </c>
      <c r="H191" s="6" t="n">
        <f aca="false">H190+D191</f>
        <v>68.5</v>
      </c>
      <c r="J191" s="6" t="n">
        <v>0.2</v>
      </c>
      <c r="K191" s="6" t="n">
        <f aca="false">K190+J191</f>
        <v>432.1</v>
      </c>
      <c r="L191" s="6" t="n">
        <v>1</v>
      </c>
      <c r="M191" s="6" t="n">
        <f aca="false">M190+L191</f>
        <v>125.8</v>
      </c>
      <c r="N191" s="6" t="n">
        <v>-0.8</v>
      </c>
      <c r="O191" s="6" t="n">
        <f aca="false">O190+N191</f>
        <v>121.3</v>
      </c>
      <c r="P191" s="6" t="n">
        <v>144</v>
      </c>
      <c r="Q191" s="6" t="n">
        <v>1</v>
      </c>
      <c r="R191" s="14" t="n">
        <f aca="false">Q191*L191</f>
        <v>1</v>
      </c>
      <c r="S191" s="14" t="n">
        <f aca="false">J191-R191</f>
        <v>-0.8</v>
      </c>
      <c r="T191" s="14" t="n">
        <f aca="false">MIN(122.1,(T190+S191))</f>
        <v>121.3</v>
      </c>
      <c r="V191" s="6" t="n">
        <v>498.3</v>
      </c>
      <c r="X191" s="6" t="n">
        <f aca="false">X190+V191</f>
        <v>60385.8</v>
      </c>
      <c r="Y191" s="6" t="n">
        <f aca="false">Y190+V191</f>
        <v>6533.2</v>
      </c>
      <c r="AA191" s="6" t="n">
        <v>9.59998203966452</v>
      </c>
    </row>
    <row r="192" s="6" customFormat="true" ht="15" hidden="false" customHeight="false" outlineLevel="0" collapsed="false">
      <c r="A192" s="23"/>
      <c r="B192" s="12"/>
      <c r="C192" s="7" t="n">
        <v>41308</v>
      </c>
      <c r="D192" s="6" t="n">
        <v>2.4</v>
      </c>
      <c r="E192" s="6" t="n">
        <v>1</v>
      </c>
      <c r="F192" s="6" t="n">
        <v>3.9</v>
      </c>
      <c r="G192" s="6" t="n">
        <f aca="false">G191+D192</f>
        <v>1074.1</v>
      </c>
      <c r="H192" s="6" t="n">
        <f aca="false">H191+D192</f>
        <v>70.9</v>
      </c>
      <c r="J192" s="6" t="n">
        <v>3.1</v>
      </c>
      <c r="K192" s="6" t="n">
        <f aca="false">K191+J192</f>
        <v>435.2</v>
      </c>
      <c r="L192" s="6" t="n">
        <v>0.8</v>
      </c>
      <c r="M192" s="6" t="n">
        <f aca="false">M191+L192</f>
        <v>126.6</v>
      </c>
      <c r="N192" s="6" t="n">
        <v>2.3</v>
      </c>
      <c r="O192" s="6" t="n">
        <v>122.1</v>
      </c>
      <c r="P192" s="6" t="n">
        <v>145</v>
      </c>
      <c r="Q192" s="6" t="n">
        <v>1</v>
      </c>
      <c r="R192" s="14" t="n">
        <f aca="false">Q192*L192</f>
        <v>0.8</v>
      </c>
      <c r="S192" s="14" t="n">
        <f aca="false">J192-R192</f>
        <v>2.3</v>
      </c>
      <c r="T192" s="14" t="n">
        <f aca="false">MIN(122.1,(T191+S192))</f>
        <v>122.1</v>
      </c>
      <c r="V192" s="6" t="n">
        <v>303.6</v>
      </c>
      <c r="X192" s="6" t="n">
        <f aca="false">X191+V192</f>
        <v>60689.4</v>
      </c>
      <c r="Y192" s="6" t="n">
        <f aca="false">Y191+V192</f>
        <v>6836.8</v>
      </c>
      <c r="AA192" s="6" t="n">
        <v>9.647353956327</v>
      </c>
    </row>
    <row r="193" s="6" customFormat="true" ht="15" hidden="false" customHeight="false" outlineLevel="0" collapsed="false">
      <c r="A193" s="23"/>
      <c r="B193" s="12"/>
      <c r="C193" s="7" t="n">
        <v>41309</v>
      </c>
      <c r="D193" s="6" t="n">
        <v>4.3</v>
      </c>
      <c r="E193" s="6" t="n">
        <v>1.6</v>
      </c>
      <c r="F193" s="6" t="n">
        <v>6.9</v>
      </c>
      <c r="G193" s="6" t="n">
        <f aca="false">G192+D193</f>
        <v>1078.4</v>
      </c>
      <c r="H193" s="6" t="n">
        <f aca="false">H192+D193</f>
        <v>75.2</v>
      </c>
      <c r="J193" s="25" t="n">
        <v>4.4</v>
      </c>
      <c r="K193" s="6" t="n">
        <f aca="false">K192+J193</f>
        <v>439.6</v>
      </c>
      <c r="L193" s="6" t="n">
        <v>0.4</v>
      </c>
      <c r="M193" s="6" t="n">
        <f aca="false">M192+L193</f>
        <v>127</v>
      </c>
      <c r="N193" s="6" t="n">
        <v>4</v>
      </c>
      <c r="O193" s="6" t="n">
        <v>122.1</v>
      </c>
      <c r="P193" s="6" t="n">
        <v>146</v>
      </c>
      <c r="Q193" s="6" t="n">
        <v>1</v>
      </c>
      <c r="R193" s="14" t="n">
        <f aca="false">Q193*L193</f>
        <v>0.4</v>
      </c>
      <c r="S193" s="14" t="n">
        <f aca="false">J193-R193</f>
        <v>4</v>
      </c>
      <c r="T193" s="14" t="n">
        <f aca="false">MIN(122.1,(T192+S193))</f>
        <v>122.1</v>
      </c>
      <c r="V193" s="6" t="n">
        <v>157.1</v>
      </c>
      <c r="X193" s="6" t="n">
        <f aca="false">X192+V193</f>
        <v>60846.5</v>
      </c>
      <c r="Y193" s="6" t="n">
        <f aca="false">Y192+V193</f>
        <v>6993.9</v>
      </c>
      <c r="AA193" s="6" t="n">
        <v>9.69529008543343</v>
      </c>
      <c r="AB193" s="26" t="s">
        <v>47</v>
      </c>
    </row>
    <row r="194" s="6" customFormat="true" ht="15" hidden="false" customHeight="false" outlineLevel="0" collapsed="false">
      <c r="A194" s="23"/>
      <c r="B194" s="12"/>
      <c r="C194" s="7" t="n">
        <v>41310</v>
      </c>
      <c r="D194" s="6" t="n">
        <v>5.5</v>
      </c>
      <c r="E194" s="6" t="n">
        <v>3.2</v>
      </c>
      <c r="F194" s="6" t="n">
        <v>8.8</v>
      </c>
      <c r="G194" s="6" t="n">
        <f aca="false">G193+D194</f>
        <v>1083.9</v>
      </c>
      <c r="H194" s="6" t="n">
        <f aca="false">H193+D194</f>
        <v>80.7</v>
      </c>
      <c r="J194" s="25" t="n">
        <v>2.6</v>
      </c>
      <c r="K194" s="6" t="n">
        <f aca="false">K193+J194</f>
        <v>442.2</v>
      </c>
      <c r="L194" s="6" t="n">
        <v>0.9</v>
      </c>
      <c r="M194" s="6" t="n">
        <f aca="false">M193+L194</f>
        <v>127.9</v>
      </c>
      <c r="N194" s="6" t="n">
        <v>1.7</v>
      </c>
      <c r="O194" s="6" t="n">
        <v>122.1</v>
      </c>
      <c r="P194" s="6" t="n">
        <v>147</v>
      </c>
      <c r="Q194" s="6" t="n">
        <v>1</v>
      </c>
      <c r="R194" s="14" t="n">
        <f aca="false">Q194*L194</f>
        <v>0.9</v>
      </c>
      <c r="S194" s="14" t="n">
        <f aca="false">J194-R194</f>
        <v>1.7</v>
      </c>
      <c r="T194" s="14" t="n">
        <f aca="false">MIN(122.1,(T193+S194))</f>
        <v>122.1</v>
      </c>
      <c r="V194" s="6" t="n">
        <v>620.8</v>
      </c>
      <c r="X194" s="6" t="n">
        <f aca="false">X193+V194</f>
        <v>61467.3</v>
      </c>
      <c r="Y194" s="6" t="n">
        <f aca="false">Y193+V194</f>
        <v>7614.7</v>
      </c>
      <c r="AA194" s="6" t="n">
        <v>9.74376664100304</v>
      </c>
      <c r="AB194" s="14" t="n">
        <f aca="false">AVERAGE(T200:T213)</f>
        <v>118.928571428571</v>
      </c>
    </row>
    <row r="195" s="6" customFormat="true" ht="15" hidden="false" customHeight="false" outlineLevel="0" collapsed="false">
      <c r="A195" s="23"/>
      <c r="B195" s="12"/>
      <c r="C195" s="7" t="n">
        <v>41311</v>
      </c>
      <c r="D195" s="6" t="n">
        <v>1.5</v>
      </c>
      <c r="E195" s="6" t="n">
        <v>0.6</v>
      </c>
      <c r="F195" s="6" t="n">
        <v>3.9</v>
      </c>
      <c r="G195" s="6" t="n">
        <f aca="false">G194+D195</f>
        <v>1085.4</v>
      </c>
      <c r="H195" s="6" t="n">
        <f aca="false">H194+D195</f>
        <v>82.2</v>
      </c>
      <c r="J195" s="25" t="n">
        <v>3.5</v>
      </c>
      <c r="K195" s="6" t="n">
        <f aca="false">K194+J195</f>
        <v>445.7</v>
      </c>
      <c r="L195" s="6" t="n">
        <v>0.6</v>
      </c>
      <c r="M195" s="6" t="n">
        <f aca="false">M194+L195</f>
        <v>128.5</v>
      </c>
      <c r="N195" s="6" t="n">
        <v>2.9</v>
      </c>
      <c r="O195" s="6" t="n">
        <v>122.1</v>
      </c>
      <c r="P195" s="6" t="n">
        <v>148</v>
      </c>
      <c r="Q195" s="6" t="n">
        <v>1</v>
      </c>
      <c r="R195" s="14" t="n">
        <f aca="false">Q195*L195</f>
        <v>0.6</v>
      </c>
      <c r="S195" s="14" t="n">
        <f aca="false">J195-R195</f>
        <v>2.9</v>
      </c>
      <c r="T195" s="14" t="n">
        <f aca="false">MIN(122.1,(T194+S195))</f>
        <v>122.1</v>
      </c>
      <c r="V195" s="6" t="n">
        <v>110.6</v>
      </c>
      <c r="X195" s="6" t="n">
        <f aca="false">X194+V195</f>
        <v>61577.9</v>
      </c>
      <c r="Y195" s="6" t="n">
        <f aca="false">Y194+V195</f>
        <v>7725.3</v>
      </c>
      <c r="AA195" s="6" t="n">
        <v>9.79276041719366</v>
      </c>
      <c r="AB195" s="26" t="s">
        <v>48</v>
      </c>
    </row>
    <row r="196" s="6" customFormat="true" ht="15" hidden="false" customHeight="false" outlineLevel="0" collapsed="false">
      <c r="A196" s="23"/>
      <c r="B196" s="12" t="s">
        <v>49</v>
      </c>
      <c r="C196" s="7" t="n">
        <v>41312</v>
      </c>
      <c r="D196" s="6" t="n">
        <v>1</v>
      </c>
      <c r="E196" s="6" t="n">
        <v>-0.2</v>
      </c>
      <c r="F196" s="6" t="n">
        <v>3.6</v>
      </c>
      <c r="G196" s="6" t="n">
        <f aca="false">G195+D196</f>
        <v>1086.4</v>
      </c>
      <c r="H196" s="6" t="n">
        <f aca="false">H195+D196</f>
        <v>83.2</v>
      </c>
      <c r="J196" s="25" t="n">
        <v>0.1</v>
      </c>
      <c r="K196" s="6" t="n">
        <f aca="false">K195+J196</f>
        <v>445.8</v>
      </c>
      <c r="L196" s="6" t="n">
        <v>0.4</v>
      </c>
      <c r="M196" s="6" t="n">
        <f aca="false">M195+L196</f>
        <v>128.9</v>
      </c>
      <c r="N196" s="6" t="n">
        <v>-0.3</v>
      </c>
      <c r="O196" s="6" t="n">
        <f aca="false">O195+N196</f>
        <v>121.8</v>
      </c>
      <c r="P196" s="6" t="n">
        <v>149</v>
      </c>
      <c r="Q196" s="6" t="n">
        <v>1</v>
      </c>
      <c r="R196" s="14" t="n">
        <f aca="false">Q196*L196</f>
        <v>0.4</v>
      </c>
      <c r="S196" s="14" t="n">
        <f aca="false">J196-R196</f>
        <v>-0.3</v>
      </c>
      <c r="T196" s="14" t="n">
        <f aca="false">MIN(122.1,(T195+S196))</f>
        <v>121.8</v>
      </c>
      <c r="V196" s="6" t="n">
        <v>214.9</v>
      </c>
      <c r="X196" s="6" t="n">
        <f aca="false">X195+V196</f>
        <v>61792.8</v>
      </c>
      <c r="Y196" s="6" t="n">
        <f aca="false">Y195+V196</f>
        <v>7940.2</v>
      </c>
      <c r="AA196" s="6" t="n">
        <v>9.84224879962381</v>
      </c>
      <c r="AB196" s="6" t="n">
        <v>2</v>
      </c>
    </row>
    <row r="197" s="6" customFormat="true" ht="15" hidden="false" customHeight="false" outlineLevel="0" collapsed="false">
      <c r="A197" s="23"/>
      <c r="B197" s="12"/>
      <c r="C197" s="7" t="n">
        <v>41313</v>
      </c>
      <c r="D197" s="6" t="n">
        <v>0.1</v>
      </c>
      <c r="E197" s="6" t="n">
        <v>-2.3</v>
      </c>
      <c r="F197" s="6" t="n">
        <v>3</v>
      </c>
      <c r="G197" s="6" t="n">
        <f aca="false">G196+D197</f>
        <v>1086.5</v>
      </c>
      <c r="H197" s="6" t="n">
        <f aca="false">H196+D197</f>
        <v>83.3</v>
      </c>
      <c r="J197" s="25" t="n">
        <v>0</v>
      </c>
      <c r="K197" s="6" t="n">
        <f aca="false">K196+J197</f>
        <v>445.8</v>
      </c>
      <c r="L197" s="6" t="n">
        <v>0.3</v>
      </c>
      <c r="M197" s="6" t="n">
        <f aca="false">M196+L197</f>
        <v>129.2</v>
      </c>
      <c r="N197" s="6" t="n">
        <v>-0.3</v>
      </c>
      <c r="O197" s="6" t="n">
        <f aca="false">O196+N197</f>
        <v>121.5</v>
      </c>
      <c r="P197" s="6" t="n">
        <v>150</v>
      </c>
      <c r="Q197" s="6" t="n">
        <v>1</v>
      </c>
      <c r="R197" s="14" t="n">
        <f aca="false">Q197*L197</f>
        <v>0.3</v>
      </c>
      <c r="S197" s="14" t="n">
        <f aca="false">J197-R197</f>
        <v>-0.3</v>
      </c>
      <c r="T197" s="14" t="n">
        <f aca="false">MIN(122.1,(T196+S197))</f>
        <v>121.5</v>
      </c>
      <c r="V197" s="6" t="n">
        <v>515.6</v>
      </c>
      <c r="X197" s="6" t="n">
        <f aca="false">X196+V197</f>
        <v>62308.4</v>
      </c>
      <c r="Y197" s="6" t="n">
        <f aca="false">Y196+V197</f>
        <v>8455.8</v>
      </c>
      <c r="AA197" s="6" t="n">
        <v>9.89220977407483</v>
      </c>
      <c r="AB197" s="26" t="s">
        <v>50</v>
      </c>
    </row>
    <row r="198" s="6" customFormat="true" ht="15" hidden="false" customHeight="false" outlineLevel="0" collapsed="false">
      <c r="A198" s="23"/>
      <c r="B198" s="12" t="n">
        <v>10</v>
      </c>
      <c r="C198" s="7" t="n">
        <v>41314</v>
      </c>
      <c r="D198" s="6" t="n">
        <v>-0.8</v>
      </c>
      <c r="E198" s="6" t="n">
        <v>-3.8</v>
      </c>
      <c r="F198" s="6" t="n">
        <v>3.7</v>
      </c>
      <c r="G198" s="6" t="n">
        <v>1086.5</v>
      </c>
      <c r="H198" s="6" t="n">
        <v>83.3</v>
      </c>
      <c r="J198" s="25" t="n">
        <v>0</v>
      </c>
      <c r="K198" s="6" t="n">
        <f aca="false">K197+J198</f>
        <v>445.8</v>
      </c>
      <c r="L198" s="6" t="n">
        <v>0.4</v>
      </c>
      <c r="M198" s="6" t="n">
        <f aca="false">M197+L198</f>
        <v>129.6</v>
      </c>
      <c r="N198" s="6" t="n">
        <v>-0.4</v>
      </c>
      <c r="O198" s="6" t="n">
        <f aca="false">O197+N198</f>
        <v>121.1</v>
      </c>
      <c r="P198" s="6" t="n">
        <v>151</v>
      </c>
      <c r="Q198" s="6" t="n">
        <v>1</v>
      </c>
      <c r="R198" s="14" t="n">
        <f aca="false">Q198*L198</f>
        <v>0.4</v>
      </c>
      <c r="S198" s="14" t="n">
        <f aca="false">J198-R198</f>
        <v>-0.4</v>
      </c>
      <c r="T198" s="14" t="n">
        <f aca="false">MIN(122.1,(T197+S198))</f>
        <v>121.1</v>
      </c>
      <c r="V198" s="6" t="n">
        <v>569.3</v>
      </c>
      <c r="X198" s="6" t="n">
        <f aca="false">X197+V198</f>
        <v>62877.7</v>
      </c>
      <c r="Y198" s="6" t="n">
        <f aca="false">Y197+V198</f>
        <v>9025.1</v>
      </c>
      <c r="AA198" s="6" t="n">
        <v>9.94262193271781</v>
      </c>
      <c r="AB198" s="6" t="n">
        <v>8</v>
      </c>
    </row>
    <row r="199" s="6" customFormat="true" ht="15" hidden="false" customHeight="false" outlineLevel="0" collapsed="false">
      <c r="A199" s="23"/>
      <c r="B199" s="12"/>
      <c r="C199" s="7" t="n">
        <v>41315</v>
      </c>
      <c r="D199" s="6" t="n">
        <v>-1.7</v>
      </c>
      <c r="E199" s="6" t="n">
        <v>-4.5</v>
      </c>
      <c r="F199" s="6" t="n">
        <v>1.2</v>
      </c>
      <c r="G199" s="6" t="n">
        <v>1086.5</v>
      </c>
      <c r="H199" s="6" t="n">
        <v>83.3</v>
      </c>
      <c r="J199" s="25" t="n">
        <v>2.1</v>
      </c>
      <c r="K199" s="6" t="n">
        <f aca="false">K198+J199</f>
        <v>447.9</v>
      </c>
      <c r="L199" s="6" t="n">
        <v>0.4</v>
      </c>
      <c r="M199" s="6" t="n">
        <f aca="false">M198+L199</f>
        <v>130</v>
      </c>
      <c r="N199" s="6" t="n">
        <v>1.7</v>
      </c>
      <c r="O199" s="6" t="n">
        <v>122.1</v>
      </c>
      <c r="P199" s="6" t="n">
        <v>152</v>
      </c>
      <c r="Q199" s="6" t="n">
        <v>1</v>
      </c>
      <c r="R199" s="14" t="n">
        <f aca="false">Q199*L199</f>
        <v>0.4</v>
      </c>
      <c r="S199" s="14" t="n">
        <f aca="false">J199-R199</f>
        <v>1.7</v>
      </c>
      <c r="T199" s="14" t="n">
        <f aca="false">MIN(122.1,(T198+S199))</f>
        <v>122.1</v>
      </c>
      <c r="V199" s="6" t="n">
        <v>476.8</v>
      </c>
      <c r="X199" s="6" t="n">
        <f aca="false">X198+V199</f>
        <v>63354.5</v>
      </c>
      <c r="Y199" s="6" t="n">
        <f aca="false">Y198+V199</f>
        <v>9501.9</v>
      </c>
      <c r="AA199" s="6" t="n">
        <v>9.99346447801124</v>
      </c>
      <c r="AB199" s="26" t="s">
        <v>51</v>
      </c>
    </row>
    <row r="200" s="6" customFormat="true" ht="15" hidden="false" customHeight="false" outlineLevel="0" collapsed="false">
      <c r="A200" s="23"/>
      <c r="B200" s="12"/>
      <c r="C200" s="7" t="n">
        <v>41316</v>
      </c>
      <c r="D200" s="6" t="n">
        <v>1.9</v>
      </c>
      <c r="E200" s="6" t="n">
        <v>0.3</v>
      </c>
      <c r="F200" s="6" t="n">
        <v>2.8</v>
      </c>
      <c r="G200" s="6" t="n">
        <f aca="false">G199+D200</f>
        <v>1088.4</v>
      </c>
      <c r="H200" s="6" t="n">
        <f aca="false">H199+D200</f>
        <v>85.2</v>
      </c>
      <c r="J200" s="25" t="n">
        <v>1.1</v>
      </c>
      <c r="K200" s="6" t="n">
        <f aca="false">K199+J200</f>
        <v>449</v>
      </c>
      <c r="L200" s="6" t="n">
        <v>0.1</v>
      </c>
      <c r="M200" s="6" t="n">
        <f aca="false">M199+L200</f>
        <v>130.1</v>
      </c>
      <c r="N200" s="6" t="n">
        <v>1</v>
      </c>
      <c r="O200" s="6" t="n">
        <v>122.1</v>
      </c>
      <c r="P200" s="6" t="n">
        <v>153</v>
      </c>
      <c r="Q200" s="6" t="n">
        <v>1</v>
      </c>
      <c r="R200" s="14" t="n">
        <f aca="false">Q200*L200</f>
        <v>0.1</v>
      </c>
      <c r="S200" s="14" t="n">
        <f aca="false">J200-R200</f>
        <v>1</v>
      </c>
      <c r="T200" s="27" t="n">
        <f aca="false">MIN(122.1,(T199+S200))</f>
        <v>122.1</v>
      </c>
      <c r="V200" s="6" t="n">
        <v>163.4</v>
      </c>
      <c r="X200" s="6" t="n">
        <f aca="false">X199+V200</f>
        <v>63517.9</v>
      </c>
      <c r="Y200" s="6" t="n">
        <f aca="false">Y199+V200</f>
        <v>9665.3</v>
      </c>
      <c r="AA200" s="6" t="n">
        <v>10.0447172244153</v>
      </c>
      <c r="AB200" s="6" t="n">
        <v>0</v>
      </c>
    </row>
    <row r="201" s="6" customFormat="true" ht="15" hidden="false" customHeight="false" outlineLevel="0" collapsed="false">
      <c r="A201" s="23"/>
      <c r="B201" s="12"/>
      <c r="C201" s="7" t="n">
        <v>41317</v>
      </c>
      <c r="D201" s="6" t="n">
        <v>-0.1</v>
      </c>
      <c r="E201" s="6" t="n">
        <v>-0.8</v>
      </c>
      <c r="F201" s="6" t="n">
        <v>0.5</v>
      </c>
      <c r="G201" s="6" t="n">
        <v>1088.4</v>
      </c>
      <c r="H201" s="6" t="n">
        <v>85.2</v>
      </c>
      <c r="J201" s="25" t="n">
        <v>0</v>
      </c>
      <c r="K201" s="6" t="n">
        <f aca="false">K200+J201</f>
        <v>449</v>
      </c>
      <c r="L201" s="6" t="n">
        <v>0.3</v>
      </c>
      <c r="M201" s="6" t="n">
        <f aca="false">M200+L201</f>
        <v>130.4</v>
      </c>
      <c r="N201" s="6" t="n">
        <v>-0.3</v>
      </c>
      <c r="O201" s="6" t="n">
        <f aca="false">O200+N201</f>
        <v>121.8</v>
      </c>
      <c r="P201" s="6" t="n">
        <v>154</v>
      </c>
      <c r="Q201" s="6" t="n">
        <v>1</v>
      </c>
      <c r="R201" s="14" t="n">
        <f aca="false">Q201*L201</f>
        <v>0.3</v>
      </c>
      <c r="S201" s="14" t="n">
        <f aca="false">J201-R201</f>
        <v>-0.3</v>
      </c>
      <c r="T201" s="27" t="n">
        <f aca="false">MIN(122.1,(T200+S201))</f>
        <v>121.8</v>
      </c>
      <c r="V201" s="6" t="n">
        <v>145</v>
      </c>
      <c r="X201" s="6" t="n">
        <f aca="false">X200+V201</f>
        <v>63662.9</v>
      </c>
      <c r="Y201" s="6" t="n">
        <f aca="false">Y200+V201</f>
        <v>9810.3</v>
      </c>
      <c r="AA201" s="6" t="n">
        <v>10.0963605980666</v>
      </c>
      <c r="AB201" s="26" t="s">
        <v>52</v>
      </c>
    </row>
    <row r="202" s="6" customFormat="true" ht="15" hidden="false" customHeight="false" outlineLevel="0" collapsed="false">
      <c r="A202" s="23"/>
      <c r="B202" s="12"/>
      <c r="C202" s="7" t="n">
        <v>41318</v>
      </c>
      <c r="D202" s="6" t="n">
        <v>-1.4</v>
      </c>
      <c r="E202" s="6" t="n">
        <v>-1.8</v>
      </c>
      <c r="F202" s="6" t="n">
        <v>-0.4</v>
      </c>
      <c r="G202" s="6" t="n">
        <v>1088.4</v>
      </c>
      <c r="H202" s="6" t="n">
        <v>85.2</v>
      </c>
      <c r="J202" s="25" t="n">
        <v>0</v>
      </c>
      <c r="K202" s="6" t="n">
        <f aca="false">K201+J202</f>
        <v>449</v>
      </c>
      <c r="L202" s="6" t="n">
        <v>0.8</v>
      </c>
      <c r="M202" s="6" t="n">
        <f aca="false">M201+L202</f>
        <v>131.2</v>
      </c>
      <c r="N202" s="6" t="n">
        <v>-0.8</v>
      </c>
      <c r="O202" s="6" t="n">
        <f aca="false">O201+N202</f>
        <v>121</v>
      </c>
      <c r="P202" s="6" t="n">
        <v>155</v>
      </c>
      <c r="Q202" s="6" t="n">
        <v>1</v>
      </c>
      <c r="R202" s="14" t="n">
        <f aca="false">Q202*L202</f>
        <v>0.8</v>
      </c>
      <c r="S202" s="14" t="n">
        <f aca="false">J202-R202</f>
        <v>-0.8</v>
      </c>
      <c r="T202" s="27" t="n">
        <f aca="false">MIN(122.1,(T201+S202))</f>
        <v>121</v>
      </c>
      <c r="V202" s="6" t="n">
        <v>441</v>
      </c>
      <c r="X202" s="6" t="n">
        <f aca="false">X201+V202</f>
        <v>64103.9</v>
      </c>
      <c r="Y202" s="6" t="n">
        <f aca="false">Y201+V202</f>
        <v>10251.3</v>
      </c>
      <c r="AA202" s="6" t="n">
        <v>10.1483756345569</v>
      </c>
      <c r="AB202" s="6" t="n">
        <f aca="false">SUM(J204:J213)</f>
        <v>0.3</v>
      </c>
    </row>
    <row r="203" s="30" customFormat="true" ht="15" hidden="false" customHeight="false" outlineLevel="0" collapsed="false">
      <c r="A203" s="23"/>
      <c r="B203" s="28" t="s">
        <v>53</v>
      </c>
      <c r="C203" s="29" t="n">
        <v>41319</v>
      </c>
      <c r="D203" s="30" t="n">
        <v>-1.7</v>
      </c>
      <c r="E203" s="30" t="n">
        <v>-5.1</v>
      </c>
      <c r="F203" s="30" t="n">
        <v>0.6</v>
      </c>
      <c r="G203" s="30" t="n">
        <v>1088.4</v>
      </c>
      <c r="H203" s="30" t="n">
        <v>85.2</v>
      </c>
      <c r="J203" s="30" t="n">
        <v>1.1</v>
      </c>
      <c r="K203" s="30" t="n">
        <f aca="false">K202+J203</f>
        <v>450.1</v>
      </c>
      <c r="L203" s="30" t="n">
        <v>0.3</v>
      </c>
      <c r="M203" s="30" t="n">
        <f aca="false">M202+L203</f>
        <v>131.5</v>
      </c>
      <c r="N203" s="30" t="n">
        <v>0.8</v>
      </c>
      <c r="O203" s="30" t="n">
        <f aca="false">O202+N203</f>
        <v>121.8</v>
      </c>
      <c r="P203" s="30" t="n">
        <v>156</v>
      </c>
      <c r="Q203" s="30" t="n">
        <v>1</v>
      </c>
      <c r="R203" s="31" t="n">
        <f aca="false">Q203*L203</f>
        <v>0.3</v>
      </c>
      <c r="S203" s="31" t="n">
        <f aca="false">J203-R203</f>
        <v>0.8</v>
      </c>
      <c r="T203" s="31" t="n">
        <f aca="false">MIN(122.1,(T202+S203))</f>
        <v>121.8</v>
      </c>
      <c r="V203" s="30" t="n">
        <v>179.4</v>
      </c>
      <c r="X203" s="30" t="n">
        <f aca="false">X202+V203</f>
        <v>64283.3</v>
      </c>
      <c r="Y203" s="30" t="n">
        <f aca="false">Y202+V203</f>
        <v>10430.7</v>
      </c>
      <c r="AA203" s="30" t="n">
        <v>10.2007439749524</v>
      </c>
    </row>
    <row r="204" s="6" customFormat="true" ht="15" hidden="false" customHeight="false" outlineLevel="0" collapsed="false">
      <c r="A204" s="23"/>
      <c r="B204" s="12"/>
      <c r="C204" s="7" t="n">
        <v>41320</v>
      </c>
      <c r="D204" s="6" t="n">
        <v>2.7</v>
      </c>
      <c r="E204" s="6" t="n">
        <v>-1.1</v>
      </c>
      <c r="F204" s="6" t="n">
        <v>7.6</v>
      </c>
      <c r="G204" s="6" t="n">
        <f aca="false">G203+D204</f>
        <v>1091.1</v>
      </c>
      <c r="H204" s="6" t="n">
        <f aca="false">H203+D204</f>
        <v>87.9</v>
      </c>
      <c r="J204" s="25" t="n">
        <v>0.2</v>
      </c>
      <c r="K204" s="6" t="n">
        <f aca="false">K203+J204</f>
        <v>450.3</v>
      </c>
      <c r="L204" s="6" t="n">
        <v>0.4</v>
      </c>
      <c r="M204" s="6" t="n">
        <f aca="false">M203+L204</f>
        <v>131.9</v>
      </c>
      <c r="N204" s="6" t="n">
        <v>-0.2</v>
      </c>
      <c r="O204" s="6" t="n">
        <f aca="false">O203+N204</f>
        <v>121.6</v>
      </c>
      <c r="P204" s="6" t="n">
        <v>157</v>
      </c>
      <c r="Q204" s="6" t="n">
        <v>1</v>
      </c>
      <c r="R204" s="14" t="n">
        <f aca="false">Q204*L204</f>
        <v>0.4</v>
      </c>
      <c r="S204" s="14" t="n">
        <f aca="false">J204-R204</f>
        <v>-0.2</v>
      </c>
      <c r="T204" s="27" t="n">
        <f aca="false">MIN(122.1,(T203+S204))</f>
        <v>121.6</v>
      </c>
      <c r="V204" s="6" t="n">
        <v>283.1</v>
      </c>
      <c r="X204" s="6" t="n">
        <f aca="false">X203+V204</f>
        <v>64566.4</v>
      </c>
      <c r="Y204" s="6" t="n">
        <f aca="false">Y203+V204</f>
        <v>10713.8</v>
      </c>
      <c r="AA204" s="6" t="n">
        <v>10.2534478601918</v>
      </c>
    </row>
    <row r="205" s="6" customFormat="true" ht="15" hidden="false" customHeight="false" outlineLevel="0" collapsed="false">
      <c r="A205" s="23"/>
      <c r="B205" s="12"/>
      <c r="C205" s="7" t="n">
        <v>41321</v>
      </c>
      <c r="D205" s="6" t="n">
        <v>2.4</v>
      </c>
      <c r="E205" s="6" t="n">
        <v>-0.5</v>
      </c>
      <c r="F205" s="6" t="n">
        <v>7.2</v>
      </c>
      <c r="G205" s="6" t="n">
        <f aca="false">G204+D205</f>
        <v>1093.5</v>
      </c>
      <c r="H205" s="6" t="n">
        <f aca="false">H204+D205</f>
        <v>90.3</v>
      </c>
      <c r="J205" s="25" t="n">
        <v>0</v>
      </c>
      <c r="K205" s="6" t="n">
        <f aca="false">K204+J205</f>
        <v>450.3</v>
      </c>
      <c r="L205" s="6" t="n">
        <v>0.5</v>
      </c>
      <c r="M205" s="6" t="n">
        <f aca="false">M204+L205</f>
        <v>132.4</v>
      </c>
      <c r="N205" s="6" t="n">
        <v>-0.5</v>
      </c>
      <c r="O205" s="6" t="n">
        <f aca="false">O204+N205</f>
        <v>121.1</v>
      </c>
      <c r="P205" s="6" t="n">
        <v>158</v>
      </c>
      <c r="Q205" s="6" t="n">
        <v>1</v>
      </c>
      <c r="R205" s="14" t="n">
        <f aca="false">Q205*L205</f>
        <v>0.5</v>
      </c>
      <c r="S205" s="14" t="n">
        <f aca="false">J205-R205</f>
        <v>-0.5</v>
      </c>
      <c r="T205" s="27" t="n">
        <f aca="false">MIN(122.1,(T204+S205))</f>
        <v>121.1</v>
      </c>
      <c r="V205" s="6" t="n">
        <v>591.3</v>
      </c>
      <c r="X205" s="6" t="n">
        <f aca="false">X204+V205</f>
        <v>65157.7</v>
      </c>
      <c r="Y205" s="6" t="n">
        <f aca="false">Y204+V205</f>
        <v>11305.1</v>
      </c>
      <c r="AA205" s="6" t="n">
        <v>10.3064701239922</v>
      </c>
    </row>
    <row r="206" s="6" customFormat="true" ht="15" hidden="false" customHeight="false" outlineLevel="0" collapsed="false">
      <c r="A206" s="23"/>
      <c r="B206" s="12"/>
      <c r="C206" s="7" t="n">
        <v>41322</v>
      </c>
      <c r="D206" s="6" t="n">
        <v>2.3</v>
      </c>
      <c r="E206" s="6" t="n">
        <v>0.2</v>
      </c>
      <c r="F206" s="6" t="n">
        <v>6.9</v>
      </c>
      <c r="G206" s="6" t="n">
        <f aca="false">G205+D206</f>
        <v>1095.8</v>
      </c>
      <c r="H206" s="6" t="n">
        <f aca="false">H205+D206</f>
        <v>92.6</v>
      </c>
      <c r="J206" s="25" t="n">
        <v>0</v>
      </c>
      <c r="K206" s="6" t="n">
        <f aca="false">K205+J206</f>
        <v>450.3</v>
      </c>
      <c r="L206" s="6" t="n">
        <v>1.1</v>
      </c>
      <c r="M206" s="6" t="n">
        <f aca="false">M205+L206</f>
        <v>133.5</v>
      </c>
      <c r="N206" s="6" t="n">
        <v>-1.1</v>
      </c>
      <c r="O206" s="6" t="n">
        <f aca="false">O205+N206</f>
        <v>120</v>
      </c>
      <c r="P206" s="6" t="n">
        <v>159</v>
      </c>
      <c r="Q206" s="6" t="n">
        <v>1</v>
      </c>
      <c r="R206" s="14" t="n">
        <f aca="false">Q206*L206</f>
        <v>1.1</v>
      </c>
      <c r="S206" s="14" t="n">
        <f aca="false">J206-R206</f>
        <v>-1.1</v>
      </c>
      <c r="T206" s="27" t="n">
        <f aca="false">MIN(122.1,(T205+S206))</f>
        <v>120</v>
      </c>
      <c r="V206" s="6" t="n">
        <v>803.7</v>
      </c>
      <c r="X206" s="6" t="n">
        <f aca="false">X205+V206</f>
        <v>65961.4</v>
      </c>
      <c r="Y206" s="6" t="n">
        <f aca="false">Y205+V206</f>
        <v>12108.8</v>
      </c>
      <c r="AA206" s="6" t="n">
        <v>10.3597941843887</v>
      </c>
    </row>
    <row r="207" s="6" customFormat="true" ht="15" hidden="false" customHeight="false" outlineLevel="0" collapsed="false">
      <c r="A207" s="23"/>
      <c r="B207" s="12"/>
      <c r="C207" s="7" t="n">
        <v>41323</v>
      </c>
      <c r="D207" s="6" t="n">
        <v>-1.1</v>
      </c>
      <c r="E207" s="6" t="n">
        <v>-2.8</v>
      </c>
      <c r="F207" s="6" t="n">
        <v>1.7</v>
      </c>
      <c r="G207" s="6" t="n">
        <v>1095.8</v>
      </c>
      <c r="H207" s="6" t="n">
        <v>92.6</v>
      </c>
      <c r="J207" s="25" t="n">
        <v>0</v>
      </c>
      <c r="K207" s="6" t="n">
        <f aca="false">K206+J207</f>
        <v>450.3</v>
      </c>
      <c r="L207" s="6" t="n">
        <v>0.8</v>
      </c>
      <c r="M207" s="6" t="n">
        <f aca="false">M206+L207</f>
        <v>134.3</v>
      </c>
      <c r="N207" s="6" t="n">
        <v>-0.8</v>
      </c>
      <c r="O207" s="6" t="n">
        <f aca="false">O206+N207</f>
        <v>119.2</v>
      </c>
      <c r="P207" s="6" t="n">
        <v>160</v>
      </c>
      <c r="Q207" s="6" t="n">
        <v>1</v>
      </c>
      <c r="R207" s="14" t="n">
        <f aca="false">Q207*L207</f>
        <v>0.8</v>
      </c>
      <c r="S207" s="14" t="n">
        <f aca="false">J207-R207</f>
        <v>-0.8</v>
      </c>
      <c r="T207" s="27" t="n">
        <f aca="false">MIN(122.1,(T206+S207))</f>
        <v>119.2</v>
      </c>
      <c r="V207" s="6" t="n">
        <v>1097</v>
      </c>
      <c r="X207" s="6" t="n">
        <f aca="false">X206+V207</f>
        <v>67058.4</v>
      </c>
      <c r="Y207" s="6" t="n">
        <f aca="false">Y206+V207</f>
        <v>13205.8</v>
      </c>
      <c r="AA207" s="6" t="n">
        <v>10.4134040340304</v>
      </c>
    </row>
    <row r="208" s="6" customFormat="true" ht="15" hidden="false" customHeight="false" outlineLevel="0" collapsed="false">
      <c r="A208" s="23"/>
      <c r="B208" s="12"/>
      <c r="C208" s="7" t="n">
        <v>41324</v>
      </c>
      <c r="D208" s="6" t="n">
        <v>-2.6</v>
      </c>
      <c r="E208" s="6" t="n">
        <v>-4.6</v>
      </c>
      <c r="F208" s="6" t="n">
        <v>-0.8</v>
      </c>
      <c r="G208" s="6" t="n">
        <v>1095.8</v>
      </c>
      <c r="H208" s="6" t="n">
        <v>92.6</v>
      </c>
      <c r="J208" s="25" t="n">
        <v>0</v>
      </c>
      <c r="K208" s="6" t="n">
        <f aca="false">K207+J208</f>
        <v>450.3</v>
      </c>
      <c r="L208" s="6" t="n">
        <v>0.5</v>
      </c>
      <c r="M208" s="6" t="n">
        <f aca="false">M207+L208</f>
        <v>134.8</v>
      </c>
      <c r="N208" s="6" t="n">
        <v>-0.5</v>
      </c>
      <c r="O208" s="6" t="n">
        <f aca="false">O207+N208</f>
        <v>118.7</v>
      </c>
      <c r="P208" s="6" t="n">
        <v>161</v>
      </c>
      <c r="Q208" s="6" t="n">
        <v>1</v>
      </c>
      <c r="R208" s="14" t="n">
        <f aca="false">Q208*L208</f>
        <v>0.5</v>
      </c>
      <c r="S208" s="14" t="n">
        <f aca="false">J208-R208</f>
        <v>-0.5</v>
      </c>
      <c r="T208" s="27" t="n">
        <f aca="false">MIN(122.1,(T207+S208))</f>
        <v>118.7</v>
      </c>
      <c r="V208" s="6" t="n">
        <v>552.8</v>
      </c>
      <c r="X208" s="6" t="n">
        <f aca="false">X207+V208</f>
        <v>67611.2</v>
      </c>
      <c r="Y208" s="6" t="n">
        <f aca="false">Y207+V208</f>
        <v>13758.6</v>
      </c>
      <c r="AA208" s="6" t="n">
        <v>10.4672842293458</v>
      </c>
    </row>
    <row r="209" s="6" customFormat="true" ht="15" hidden="false" customHeight="false" outlineLevel="0" collapsed="false">
      <c r="A209" s="23"/>
      <c r="B209" s="12"/>
      <c r="C209" s="7" t="n">
        <v>41325</v>
      </c>
      <c r="D209" s="6" t="n">
        <v>1.3</v>
      </c>
      <c r="E209" s="6" t="n">
        <v>-1.6</v>
      </c>
      <c r="F209" s="6" t="n">
        <v>6.2</v>
      </c>
      <c r="G209" s="6" t="n">
        <f aca="false">G208+D209</f>
        <v>1097.1</v>
      </c>
      <c r="H209" s="6" t="n">
        <f aca="false">H208+D209</f>
        <v>93.9</v>
      </c>
      <c r="J209" s="25" t="n">
        <v>0</v>
      </c>
      <c r="K209" s="6" t="n">
        <f aca="false">K208+J209</f>
        <v>450.3</v>
      </c>
      <c r="L209" s="6" t="n">
        <v>1</v>
      </c>
      <c r="M209" s="6" t="n">
        <f aca="false">M208+L209</f>
        <v>135.8</v>
      </c>
      <c r="N209" s="6" t="n">
        <v>-1</v>
      </c>
      <c r="O209" s="6" t="n">
        <f aca="false">O208+N209</f>
        <v>117.7</v>
      </c>
      <c r="P209" s="6" t="n">
        <v>162</v>
      </c>
      <c r="Q209" s="6" t="n">
        <v>1</v>
      </c>
      <c r="R209" s="14" t="n">
        <f aca="false">Q209*L209</f>
        <v>1</v>
      </c>
      <c r="S209" s="14" t="n">
        <f aca="false">J209-R209</f>
        <v>-1</v>
      </c>
      <c r="T209" s="27" t="n">
        <f aca="false">MIN(122.1,(T208+S209))</f>
        <v>117.7</v>
      </c>
      <c r="V209" s="6" t="n">
        <v>731.7</v>
      </c>
      <c r="X209" s="6" t="n">
        <f aca="false">X208+V209</f>
        <v>68342.9</v>
      </c>
      <c r="Y209" s="6" t="n">
        <f aca="false">Y208+V209</f>
        <v>14490.3</v>
      </c>
      <c r="AA209" s="6" t="n">
        <v>10.5214198786888</v>
      </c>
    </row>
    <row r="210" s="6" customFormat="true" ht="15" hidden="false" customHeight="false" outlineLevel="0" collapsed="false">
      <c r="A210" s="23"/>
      <c r="B210" s="12" t="s">
        <v>54</v>
      </c>
      <c r="C210" s="7" t="n">
        <v>41326</v>
      </c>
      <c r="D210" s="6" t="n">
        <v>-0.7</v>
      </c>
      <c r="E210" s="6" t="n">
        <v>-2.6</v>
      </c>
      <c r="F210" s="6" t="n">
        <v>2.7</v>
      </c>
      <c r="G210" s="6" t="n">
        <v>1097.1</v>
      </c>
      <c r="H210" s="6" t="n">
        <v>93.9</v>
      </c>
      <c r="J210" s="25" t="n">
        <v>0</v>
      </c>
      <c r="K210" s="6" t="n">
        <f aca="false">K209+J210</f>
        <v>450.3</v>
      </c>
      <c r="L210" s="6" t="n">
        <v>1.3</v>
      </c>
      <c r="M210" s="6" t="n">
        <f aca="false">M209+L210</f>
        <v>137.1</v>
      </c>
      <c r="N210" s="6" t="n">
        <v>-1.3</v>
      </c>
      <c r="O210" s="6" t="n">
        <f aca="false">O209+N210</f>
        <v>116.4</v>
      </c>
      <c r="P210" s="6" t="n">
        <v>163</v>
      </c>
      <c r="Q210" s="6" t="n">
        <v>1</v>
      </c>
      <c r="R210" s="14" t="n">
        <f aca="false">Q210*L210</f>
        <v>1.3</v>
      </c>
      <c r="S210" s="14" t="n">
        <f aca="false">J210-R210</f>
        <v>-1.3</v>
      </c>
      <c r="T210" s="27" t="n">
        <f aca="false">MIN(122.1,(T209+S210))</f>
        <v>116.4</v>
      </c>
      <c r="V210" s="6" t="n">
        <v>814.5</v>
      </c>
      <c r="X210" s="6" t="n">
        <f aca="false">X209+V210</f>
        <v>69157.4</v>
      </c>
      <c r="Y210" s="6" t="n">
        <f aca="false">Y209+V210</f>
        <v>15304.8</v>
      </c>
      <c r="AA210" s="6" t="n">
        <v>10.5757966295688</v>
      </c>
    </row>
    <row r="211" s="6" customFormat="true" ht="15" hidden="false" customHeight="false" outlineLevel="0" collapsed="false">
      <c r="A211" s="23"/>
      <c r="B211" s="12"/>
      <c r="C211" s="7" t="n">
        <v>41327</v>
      </c>
      <c r="D211" s="6" t="n">
        <v>-2.6</v>
      </c>
      <c r="E211" s="6" t="n">
        <v>-4.5</v>
      </c>
      <c r="F211" s="6" t="n">
        <v>-0.3</v>
      </c>
      <c r="G211" s="6" t="n">
        <v>1097.1</v>
      </c>
      <c r="H211" s="6" t="n">
        <v>93.9</v>
      </c>
      <c r="J211" s="25" t="n">
        <v>0</v>
      </c>
      <c r="K211" s="6" t="n">
        <f aca="false">K210+J211</f>
        <v>450.3</v>
      </c>
      <c r="L211" s="6" t="n">
        <v>1.1</v>
      </c>
      <c r="M211" s="6" t="n">
        <f aca="false">M210+L211</f>
        <v>138.2</v>
      </c>
      <c r="N211" s="6" t="n">
        <v>-1.1</v>
      </c>
      <c r="O211" s="6" t="n">
        <f aca="false">O210+N211</f>
        <v>115.3</v>
      </c>
      <c r="P211" s="6" t="n">
        <v>164</v>
      </c>
      <c r="Q211" s="6" t="n">
        <v>1</v>
      </c>
      <c r="R211" s="14" t="n">
        <f aca="false">Q211*L211</f>
        <v>1.1</v>
      </c>
      <c r="S211" s="14" t="n">
        <f aca="false">J211-R211</f>
        <v>-1.1</v>
      </c>
      <c r="T211" s="27" t="n">
        <f aca="false">MIN(122.1,(T210+S211))</f>
        <v>115.3</v>
      </c>
      <c r="V211" s="6" t="n">
        <v>605.1</v>
      </c>
      <c r="X211" s="6" t="n">
        <f aca="false">X210+V211</f>
        <v>69762.5</v>
      </c>
      <c r="Y211" s="6" t="n">
        <f aca="false">Y210+V211</f>
        <v>15909.9</v>
      </c>
      <c r="AA211" s="6" t="n">
        <v>10.630400655061</v>
      </c>
    </row>
    <row r="212" s="6" customFormat="true" ht="15" hidden="false" customHeight="false" outlineLevel="0" collapsed="false">
      <c r="A212" s="23"/>
      <c r="B212" s="12"/>
      <c r="C212" s="7" t="n">
        <v>41328</v>
      </c>
      <c r="D212" s="6" t="n">
        <v>-2.7</v>
      </c>
      <c r="E212" s="6" t="n">
        <v>-4.5</v>
      </c>
      <c r="F212" s="6" t="n">
        <v>-0.4</v>
      </c>
      <c r="G212" s="6" t="n">
        <v>1097.1</v>
      </c>
      <c r="H212" s="6" t="n">
        <v>93.9</v>
      </c>
      <c r="J212" s="25" t="n">
        <v>0</v>
      </c>
      <c r="K212" s="6" t="n">
        <f aca="false">K211+J212</f>
        <v>450.3</v>
      </c>
      <c r="L212" s="6" t="n">
        <v>1</v>
      </c>
      <c r="M212" s="6" t="n">
        <f aca="false">M211+L212</f>
        <v>139.2</v>
      </c>
      <c r="N212" s="6" t="n">
        <v>-1</v>
      </c>
      <c r="O212" s="6" t="n">
        <f aca="false">O211+N212</f>
        <v>114.3</v>
      </c>
      <c r="P212" s="6" t="n">
        <v>165</v>
      </c>
      <c r="Q212" s="6" t="n">
        <v>1</v>
      </c>
      <c r="R212" s="14" t="n">
        <f aca="false">Q212*L212</f>
        <v>1</v>
      </c>
      <c r="S212" s="14" t="n">
        <f aca="false">J212-R212</f>
        <v>-1</v>
      </c>
      <c r="T212" s="27" t="n">
        <f aca="false">MIN(122.1,(T211+S212))</f>
        <v>114.3</v>
      </c>
      <c r="V212" s="6" t="n">
        <v>689.9</v>
      </c>
      <c r="X212" s="6" t="n">
        <f aca="false">X211+V212</f>
        <v>70452.4</v>
      </c>
      <c r="Y212" s="6" t="n">
        <f aca="false">Y211+V212</f>
        <v>16599.8</v>
      </c>
      <c r="AA212" s="6" t="n">
        <v>10.6852186394912</v>
      </c>
    </row>
    <row r="213" s="6" customFormat="true" ht="15" hidden="false" customHeight="false" outlineLevel="0" collapsed="false">
      <c r="A213" s="23"/>
      <c r="B213" s="12"/>
      <c r="C213" s="7" t="n">
        <v>41329</v>
      </c>
      <c r="D213" s="6" t="n">
        <v>-2.5</v>
      </c>
      <c r="E213" s="6" t="n">
        <v>-3.6</v>
      </c>
      <c r="F213" s="6" t="n">
        <v>-1.2</v>
      </c>
      <c r="G213" s="6" t="n">
        <v>1097.1</v>
      </c>
      <c r="H213" s="6" t="n">
        <v>93.9</v>
      </c>
      <c r="J213" s="25" t="n">
        <v>0.1</v>
      </c>
      <c r="K213" s="6" t="n">
        <f aca="false">K212+J213</f>
        <v>450.4</v>
      </c>
      <c r="L213" s="6" t="n">
        <v>0.4</v>
      </c>
      <c r="M213" s="6" t="n">
        <f aca="false">M212+L213</f>
        <v>139.6</v>
      </c>
      <c r="N213" s="6" t="n">
        <v>-0.3</v>
      </c>
      <c r="O213" s="6" t="n">
        <f aca="false">O212+N213</f>
        <v>114</v>
      </c>
      <c r="P213" s="6" t="n">
        <v>166</v>
      </c>
      <c r="Q213" s="6" t="n">
        <v>1</v>
      </c>
      <c r="R213" s="14" t="n">
        <f aca="false">Q213*L213</f>
        <v>0.4</v>
      </c>
      <c r="S213" s="14" t="n">
        <f aca="false">J213-R213</f>
        <v>-0.3</v>
      </c>
      <c r="T213" s="27" t="n">
        <f aca="false">MIN(122.1,(T212+S213))</f>
        <v>114</v>
      </c>
      <c r="V213" s="6" t="n">
        <v>247.2</v>
      </c>
      <c r="X213" s="6" t="n">
        <f aca="false">X212+V213</f>
        <v>70699.6</v>
      </c>
      <c r="Y213" s="6" t="n">
        <f aca="false">Y212+V213</f>
        <v>16847</v>
      </c>
      <c r="AA213" s="6" t="n">
        <v>10.7402377634786</v>
      </c>
    </row>
    <row r="214" s="6" customFormat="true" ht="15" hidden="false" customHeight="false" outlineLevel="0" collapsed="false">
      <c r="A214" s="23"/>
      <c r="B214" s="12"/>
      <c r="C214" s="7" t="n">
        <v>41330</v>
      </c>
      <c r="D214" s="6" t="n">
        <v>-3</v>
      </c>
      <c r="E214" s="6" t="n">
        <v>-4.5</v>
      </c>
      <c r="F214" s="6" t="n">
        <v>-1.5</v>
      </c>
      <c r="G214" s="6" t="n">
        <v>1097.1</v>
      </c>
      <c r="H214" s="6" t="n">
        <v>93.9</v>
      </c>
      <c r="J214" s="6" t="n">
        <v>0</v>
      </c>
      <c r="K214" s="6" t="n">
        <f aca="false">K213+J214</f>
        <v>450.4</v>
      </c>
      <c r="L214" s="6" t="n">
        <v>0.4</v>
      </c>
      <c r="M214" s="6" t="n">
        <f aca="false">M213+L214</f>
        <v>140</v>
      </c>
      <c r="N214" s="6" t="n">
        <v>-0.4</v>
      </c>
      <c r="O214" s="6" t="n">
        <f aca="false">O213+N214</f>
        <v>113.6</v>
      </c>
      <c r="P214" s="6" t="n">
        <v>167</v>
      </c>
      <c r="Q214" s="6" t="n">
        <v>1</v>
      </c>
      <c r="R214" s="14" t="n">
        <f aca="false">Q214*L214</f>
        <v>0.4</v>
      </c>
      <c r="S214" s="14" t="n">
        <f aca="false">J214-R214</f>
        <v>-0.4</v>
      </c>
      <c r="T214" s="14" t="n">
        <f aca="false">MIN(122.1,(T213+S214))</f>
        <v>113.6</v>
      </c>
      <c r="V214" s="6" t="n">
        <v>699.5</v>
      </c>
      <c r="X214" s="6" t="n">
        <f aca="false">X213+V214</f>
        <v>71399.1</v>
      </c>
      <c r="Y214" s="6" t="n">
        <f aca="false">Y213+V214</f>
        <v>17546.5</v>
      </c>
      <c r="AA214" s="6" t="n">
        <v>10.7954456884178</v>
      </c>
    </row>
    <row r="215" s="6" customFormat="true" ht="15" hidden="false" customHeight="false" outlineLevel="0" collapsed="false">
      <c r="A215" s="23"/>
      <c r="B215" s="12"/>
      <c r="C215" s="7" t="n">
        <v>41331</v>
      </c>
      <c r="D215" s="6" t="n">
        <v>-0.6</v>
      </c>
      <c r="E215" s="6" t="n">
        <v>-5.4</v>
      </c>
      <c r="F215" s="6" t="n">
        <v>2.7</v>
      </c>
      <c r="G215" s="6" t="n">
        <v>1097.1</v>
      </c>
      <c r="H215" s="6" t="n">
        <v>93.9</v>
      </c>
      <c r="J215" s="6" t="n">
        <v>0</v>
      </c>
      <c r="K215" s="6" t="n">
        <f aca="false">K214+J215</f>
        <v>450.4</v>
      </c>
      <c r="L215" s="6" t="n">
        <v>0.7</v>
      </c>
      <c r="M215" s="6" t="n">
        <f aca="false">M214+L215</f>
        <v>140.7</v>
      </c>
      <c r="N215" s="6" t="n">
        <v>-0.7</v>
      </c>
      <c r="O215" s="6" t="n">
        <f aca="false">O214+N215</f>
        <v>112.9</v>
      </c>
      <c r="P215" s="6" t="n">
        <v>168</v>
      </c>
      <c r="Q215" s="6" t="n">
        <v>1</v>
      </c>
      <c r="R215" s="14" t="n">
        <f aca="false">Q215*L215</f>
        <v>0.7</v>
      </c>
      <c r="S215" s="14" t="n">
        <f aca="false">J215-R215</f>
        <v>-0.7</v>
      </c>
      <c r="T215" s="14" t="n">
        <f aca="false">MIN(122.1,(T214+S215))</f>
        <v>112.9</v>
      </c>
      <c r="V215" s="6" t="n">
        <v>949.7</v>
      </c>
      <c r="X215" s="6" t="n">
        <f aca="false">X214+V215</f>
        <v>72348.8</v>
      </c>
      <c r="Y215" s="6" t="n">
        <f aca="false">Y214+V215</f>
        <v>18496.2</v>
      </c>
      <c r="AA215" s="6" t="n">
        <v>10.8508305404732</v>
      </c>
    </row>
    <row r="216" s="6" customFormat="true" ht="15" hidden="false" customHeight="false" outlineLevel="0" collapsed="false">
      <c r="A216" s="23"/>
      <c r="B216" s="12"/>
      <c r="C216" s="7" t="n">
        <v>41332</v>
      </c>
      <c r="D216" s="6" t="n">
        <v>2.6</v>
      </c>
      <c r="E216" s="6" t="n">
        <v>1</v>
      </c>
      <c r="F216" s="6" t="n">
        <v>4</v>
      </c>
      <c r="G216" s="6" t="n">
        <f aca="false">G215+D216</f>
        <v>1099.7</v>
      </c>
      <c r="H216" s="6" t="n">
        <f aca="false">H215+D216</f>
        <v>96.5</v>
      </c>
      <c r="J216" s="6" t="n">
        <v>0</v>
      </c>
      <c r="K216" s="6" t="n">
        <f aca="false">K215+J216</f>
        <v>450.4</v>
      </c>
      <c r="L216" s="6" t="n">
        <v>0.6</v>
      </c>
      <c r="M216" s="6" t="n">
        <f aca="false">M215+L216</f>
        <v>141.3</v>
      </c>
      <c r="N216" s="6" t="n">
        <v>-0.6</v>
      </c>
      <c r="O216" s="6" t="n">
        <f aca="false">O215+N216</f>
        <v>112.3</v>
      </c>
      <c r="P216" s="6" t="n">
        <v>169</v>
      </c>
      <c r="Q216" s="6" t="n">
        <v>1</v>
      </c>
      <c r="R216" s="14" t="n">
        <f aca="false">Q216*L216</f>
        <v>0.6</v>
      </c>
      <c r="S216" s="14" t="n">
        <f aca="false">J216-R216</f>
        <v>-0.6</v>
      </c>
      <c r="T216" s="14" t="n">
        <f aca="false">MIN(122.1,(T215+S216))</f>
        <v>112.3</v>
      </c>
      <c r="V216" s="6" t="n">
        <v>617.2</v>
      </c>
      <c r="X216" s="6" t="n">
        <f aca="false">X215+V216</f>
        <v>72966</v>
      </c>
      <c r="Y216" s="6" t="n">
        <f aca="false">Y215+V216</f>
        <v>19113.4</v>
      </c>
      <c r="AA216" s="6" t="n">
        <v>10.9063808941549</v>
      </c>
    </row>
    <row r="217" s="6" customFormat="true" ht="15" hidden="false" customHeight="false" outlineLevel="0" collapsed="false">
      <c r="A217" s="23"/>
      <c r="B217" s="12" t="s">
        <v>55</v>
      </c>
      <c r="C217" s="7" t="n">
        <v>41333</v>
      </c>
      <c r="D217" s="6" t="n">
        <v>1.6</v>
      </c>
      <c r="E217" s="6" t="n">
        <v>1.1</v>
      </c>
      <c r="F217" s="6" t="n">
        <v>3.1</v>
      </c>
      <c r="G217" s="6" t="n">
        <f aca="false">G216+D217</f>
        <v>1101.3</v>
      </c>
      <c r="H217" s="6" t="n">
        <f aca="false">H216+D217</f>
        <v>98.1</v>
      </c>
      <c r="J217" s="6" t="n">
        <v>0</v>
      </c>
      <c r="K217" s="6" t="n">
        <f aca="false">K216+J217</f>
        <v>450.4</v>
      </c>
      <c r="L217" s="6" t="n">
        <v>0.7</v>
      </c>
      <c r="M217" s="6" t="n">
        <f aca="false">M216+L217</f>
        <v>142</v>
      </c>
      <c r="N217" s="6" t="n">
        <v>-0.7</v>
      </c>
      <c r="O217" s="6" t="n">
        <f aca="false">O216+N217</f>
        <v>111.6</v>
      </c>
      <c r="P217" s="6" t="n">
        <v>170</v>
      </c>
      <c r="Q217" s="6" t="n">
        <v>1</v>
      </c>
      <c r="R217" s="14" t="n">
        <f aca="false">Q217*L217</f>
        <v>0.7</v>
      </c>
      <c r="S217" s="14" t="n">
        <f aca="false">J217-R217</f>
        <v>-0.7</v>
      </c>
      <c r="T217" s="14" t="n">
        <f aca="false">MIN(122.1,(T216+S217))</f>
        <v>111.6</v>
      </c>
      <c r="V217" s="6" t="n">
        <v>672.3</v>
      </c>
      <c r="X217" s="6" t="n">
        <f aca="false">X216+V217</f>
        <v>73638.3</v>
      </c>
      <c r="Y217" s="6" t="n">
        <f aca="false">Y216+V217</f>
        <v>19785.7</v>
      </c>
      <c r="AA217" s="6" t="n">
        <v>10.9620857555387</v>
      </c>
    </row>
    <row r="218" s="6" customFormat="true" ht="15" hidden="false" customHeight="false" outlineLevel="0" collapsed="false">
      <c r="A218" s="23"/>
      <c r="B218" s="12"/>
      <c r="C218" s="7" t="n">
        <v>41334</v>
      </c>
      <c r="D218" s="6" t="n">
        <v>1.5</v>
      </c>
      <c r="E218" s="6" t="n">
        <v>-1.1</v>
      </c>
      <c r="F218" s="6" t="n">
        <v>4.1</v>
      </c>
      <c r="G218" s="6" t="n">
        <f aca="false">G217+D218</f>
        <v>1102.8</v>
      </c>
      <c r="H218" s="6" t="n">
        <f aca="false">H217+D218</f>
        <v>99.6</v>
      </c>
      <c r="J218" s="6" t="n">
        <v>0</v>
      </c>
      <c r="K218" s="6" t="n">
        <f aca="false">K217+J218</f>
        <v>450.4</v>
      </c>
      <c r="L218" s="6" t="n">
        <v>0.9</v>
      </c>
      <c r="M218" s="6" t="n">
        <f aca="false">M217+L218</f>
        <v>142.9</v>
      </c>
      <c r="N218" s="6" t="n">
        <v>-0.9</v>
      </c>
      <c r="O218" s="6" t="n">
        <f aca="false">O217+N218</f>
        <v>110.7</v>
      </c>
      <c r="P218" s="6" t="n">
        <v>171</v>
      </c>
      <c r="Q218" s="6" t="n">
        <v>1</v>
      </c>
      <c r="R218" s="14" t="n">
        <f aca="false">Q218*L218</f>
        <v>0.9</v>
      </c>
      <c r="S218" s="14" t="n">
        <f aca="false">J218-R218</f>
        <v>-0.9</v>
      </c>
      <c r="T218" s="14" t="n">
        <f aca="false">MIN(122.1,(T217+S218))</f>
        <v>110.7</v>
      </c>
      <c r="V218" s="6" t="n">
        <v>651.4</v>
      </c>
      <c r="X218" s="6" t="n">
        <f aca="false">X217+V218</f>
        <v>74289.7</v>
      </c>
      <c r="Y218" s="6" t="n">
        <f aca="false">Y217+V218</f>
        <v>20437.1</v>
      </c>
      <c r="AA218" s="6" t="n">
        <v>11.0179345451881</v>
      </c>
    </row>
    <row r="219" s="6" customFormat="true" ht="15" hidden="false" customHeight="false" outlineLevel="0" collapsed="false">
      <c r="A219" s="23"/>
      <c r="B219" s="12"/>
      <c r="C219" s="7" t="n">
        <v>41335</v>
      </c>
      <c r="D219" s="6" t="n">
        <v>2.3</v>
      </c>
      <c r="E219" s="6" t="n">
        <v>1.7</v>
      </c>
      <c r="F219" s="6" t="n">
        <v>3.3</v>
      </c>
      <c r="G219" s="6" t="n">
        <f aca="false">G218+D219</f>
        <v>1105.1</v>
      </c>
      <c r="H219" s="6" t="n">
        <f aca="false">H218+D219</f>
        <v>101.9</v>
      </c>
      <c r="J219" s="6" t="n">
        <v>0</v>
      </c>
      <c r="K219" s="6" t="n">
        <f aca="false">K218+J219</f>
        <v>450.4</v>
      </c>
      <c r="L219" s="6" t="n">
        <v>1</v>
      </c>
      <c r="M219" s="6" t="n">
        <f aca="false">M218+L219</f>
        <v>143.9</v>
      </c>
      <c r="N219" s="6" t="n">
        <v>-1</v>
      </c>
      <c r="O219" s="6" t="n">
        <f aca="false">O218+N219</f>
        <v>109.7</v>
      </c>
      <c r="P219" s="6" t="n">
        <v>172</v>
      </c>
      <c r="Q219" s="6" t="n">
        <v>1</v>
      </c>
      <c r="R219" s="14" t="n">
        <f aca="false">Q219*L219</f>
        <v>1</v>
      </c>
      <c r="S219" s="14" t="n">
        <f aca="false">J219-R219</f>
        <v>-1</v>
      </c>
      <c r="T219" s="14" t="n">
        <f aca="false">MIN(122.1,(T218+S219))</f>
        <v>109.7</v>
      </c>
      <c r="V219" s="6" t="n">
        <v>466.7</v>
      </c>
      <c r="X219" s="6" t="n">
        <f aca="false">X218+V219</f>
        <v>74756.4</v>
      </c>
      <c r="Y219" s="6" t="n">
        <f aca="false">Y218+V219</f>
        <v>20903.8</v>
      </c>
      <c r="AA219" s="6" t="n">
        <v>11.0739170808304</v>
      </c>
    </row>
    <row r="220" s="6" customFormat="true" ht="15" hidden="false" customHeight="false" outlineLevel="0" collapsed="false">
      <c r="A220" s="23"/>
      <c r="B220" s="12"/>
      <c r="C220" s="7" t="n">
        <v>41336</v>
      </c>
      <c r="D220" s="6" t="n">
        <v>2.4</v>
      </c>
      <c r="E220" s="6" t="n">
        <v>1</v>
      </c>
      <c r="F220" s="6" t="n">
        <v>4.7</v>
      </c>
      <c r="G220" s="6" t="n">
        <f aca="false">G219+D220</f>
        <v>1107.5</v>
      </c>
      <c r="H220" s="6" t="n">
        <f aca="false">H219+D220</f>
        <v>104.3</v>
      </c>
      <c r="J220" s="6" t="n">
        <v>0</v>
      </c>
      <c r="K220" s="6" t="n">
        <f aca="false">K219+J220</f>
        <v>450.4</v>
      </c>
      <c r="L220" s="6" t="n">
        <v>1.1</v>
      </c>
      <c r="M220" s="6" t="n">
        <f aca="false">M219+L220</f>
        <v>145</v>
      </c>
      <c r="N220" s="6" t="n">
        <v>-1.1</v>
      </c>
      <c r="O220" s="6" t="n">
        <f aca="false">O219+N220</f>
        <v>108.6</v>
      </c>
      <c r="P220" s="6" t="n">
        <v>173</v>
      </c>
      <c r="Q220" s="6" t="n">
        <v>1</v>
      </c>
      <c r="R220" s="14" t="n">
        <f aca="false">Q220*L220</f>
        <v>1.1</v>
      </c>
      <c r="S220" s="14" t="n">
        <f aca="false">J220-R220</f>
        <v>-1.1</v>
      </c>
      <c r="T220" s="14" t="n">
        <f aca="false">MIN(122.1,(T219+S220))</f>
        <v>108.6</v>
      </c>
      <c r="V220" s="6" t="n">
        <v>824.7</v>
      </c>
      <c r="X220" s="6" t="n">
        <f aca="false">X219+V220</f>
        <v>75581.1</v>
      </c>
      <c r="Y220" s="6" t="n">
        <f aca="false">Y219+V220</f>
        <v>21728.5</v>
      </c>
      <c r="AA220" s="6" t="n">
        <v>11.1300235598356</v>
      </c>
    </row>
    <row r="221" s="6" customFormat="true" ht="15" hidden="false" customHeight="false" outlineLevel="0" collapsed="false">
      <c r="A221" s="23"/>
      <c r="B221" s="12"/>
      <c r="C221" s="7" t="n">
        <v>41337</v>
      </c>
      <c r="D221" s="6" t="n">
        <v>4.3</v>
      </c>
      <c r="E221" s="6" t="n">
        <v>-3</v>
      </c>
      <c r="F221" s="6" t="n">
        <v>12.3</v>
      </c>
      <c r="G221" s="6" t="n">
        <f aca="false">G220+D221</f>
        <v>1111.8</v>
      </c>
      <c r="H221" s="6" t="n">
        <f aca="false">H220+D221</f>
        <v>108.6</v>
      </c>
      <c r="J221" s="25" t="n">
        <v>0</v>
      </c>
      <c r="K221" s="6" t="n">
        <f aca="false">K220+J221</f>
        <v>450.4</v>
      </c>
      <c r="L221" s="6" t="n">
        <v>1.9</v>
      </c>
      <c r="M221" s="6" t="n">
        <f aca="false">M220+L221</f>
        <v>146.9</v>
      </c>
      <c r="N221" s="6" t="n">
        <v>-1.9</v>
      </c>
      <c r="O221" s="6" t="n">
        <f aca="false">O220+N221</f>
        <v>106.7</v>
      </c>
      <c r="P221" s="6" t="n">
        <v>174</v>
      </c>
      <c r="Q221" s="6" t="n">
        <v>1</v>
      </c>
      <c r="R221" s="14" t="n">
        <f aca="false">Q221*L221</f>
        <v>1.9</v>
      </c>
      <c r="S221" s="14" t="n">
        <f aca="false">J221-R221</f>
        <v>-1.9</v>
      </c>
      <c r="T221" s="14" t="n">
        <f aca="false">MIN(122.1,(T220+S221))</f>
        <v>106.7</v>
      </c>
      <c r="V221" s="6" t="n">
        <v>1491.9</v>
      </c>
      <c r="X221" s="6" t="n">
        <f aca="false">X220+V221</f>
        <v>77073</v>
      </c>
      <c r="Y221" s="6" t="n">
        <f aca="false">Y220+V221</f>
        <v>23220.4</v>
      </c>
      <c r="AA221" s="6" t="n">
        <v>11.1862445415401</v>
      </c>
      <c r="AB221" s="26" t="s">
        <v>47</v>
      </c>
    </row>
    <row r="222" s="20" customFormat="true" ht="15" hidden="false" customHeight="false" outlineLevel="0" collapsed="false">
      <c r="A222" s="23"/>
      <c r="B222" s="18"/>
      <c r="C222" s="19" t="n">
        <v>41338</v>
      </c>
      <c r="D222" s="20" t="n">
        <v>5.5</v>
      </c>
      <c r="E222" s="20" t="n">
        <v>-0.8</v>
      </c>
      <c r="F222" s="20" t="n">
        <v>9.6</v>
      </c>
      <c r="G222" s="20" t="n">
        <f aca="false">G221+D222</f>
        <v>1117.3</v>
      </c>
      <c r="H222" s="20" t="n">
        <f aca="false">H221+D222</f>
        <v>114.1</v>
      </c>
      <c r="J222" s="32" t="n">
        <v>0</v>
      </c>
      <c r="K222" s="20" t="n">
        <f aca="false">K221+J222</f>
        <v>450.4</v>
      </c>
      <c r="L222" s="20" t="n">
        <v>1.1</v>
      </c>
      <c r="M222" s="20" t="n">
        <f aca="false">M221+L222</f>
        <v>148</v>
      </c>
      <c r="N222" s="20" t="n">
        <v>-1.1</v>
      </c>
      <c r="O222" s="20" t="n">
        <f aca="false">O221+N222</f>
        <v>105.6</v>
      </c>
      <c r="P222" s="20" t="n">
        <v>175</v>
      </c>
      <c r="Q222" s="20" t="n">
        <v>1</v>
      </c>
      <c r="R222" s="21" t="n">
        <f aca="false">Q222*L222</f>
        <v>1.1</v>
      </c>
      <c r="S222" s="21" t="n">
        <f aca="false">J222-R222</f>
        <v>-1.1</v>
      </c>
      <c r="T222" s="21" t="n">
        <f aca="false">MIN(122.1,(T221+S222))</f>
        <v>105.6</v>
      </c>
      <c r="V222" s="20" t="n">
        <v>851.5</v>
      </c>
      <c r="X222" s="20" t="n">
        <f aca="false">X221+V222</f>
        <v>77924.5</v>
      </c>
      <c r="Y222" s="20" t="n">
        <f aca="false">Y221+V222</f>
        <v>24071.9</v>
      </c>
      <c r="AA222" s="20" t="n">
        <v>11.2425709294546</v>
      </c>
      <c r="AB222" s="14" t="n">
        <f aca="false">AVERAGE(T228:T241)</f>
        <v>116.91387755102</v>
      </c>
    </row>
    <row r="223" s="6" customFormat="true" ht="15" hidden="false" customHeight="true" outlineLevel="0" collapsed="false">
      <c r="A223" s="33" t="s">
        <v>56</v>
      </c>
      <c r="B223" s="12"/>
      <c r="C223" s="7" t="n">
        <v>41339</v>
      </c>
      <c r="D223" s="6" t="n">
        <v>9.1</v>
      </c>
      <c r="E223" s="6" t="n">
        <v>6.3</v>
      </c>
      <c r="F223" s="6" t="n">
        <v>13.7</v>
      </c>
      <c r="G223" s="6" t="n">
        <f aca="false">G222+D223</f>
        <v>1126.4</v>
      </c>
      <c r="H223" s="6" t="n">
        <v>9.1</v>
      </c>
      <c r="I223" s="34" t="s">
        <v>29</v>
      </c>
      <c r="J223" s="25" t="n">
        <v>1.9</v>
      </c>
      <c r="K223" s="6" t="n">
        <f aca="false">K222+J223</f>
        <v>452.3</v>
      </c>
      <c r="L223" s="6" t="n">
        <v>1.1</v>
      </c>
      <c r="M223" s="6" t="n">
        <f aca="false">M222+L223</f>
        <v>149.1</v>
      </c>
      <c r="N223" s="6" t="n">
        <v>0.8</v>
      </c>
      <c r="O223" s="6" t="n">
        <f aca="false">O222+N223</f>
        <v>106.4</v>
      </c>
      <c r="P223" s="6" t="n">
        <v>176</v>
      </c>
      <c r="Q223" s="6" t="n">
        <f aca="false">1+((P223-175)/49)*(1.15-1)</f>
        <v>1.0030612244898</v>
      </c>
      <c r="R223" s="14" t="n">
        <f aca="false">Q223*L223</f>
        <v>1.10336734693878</v>
      </c>
      <c r="S223" s="14" t="n">
        <f aca="false">J223-R223</f>
        <v>0.796632653061224</v>
      </c>
      <c r="T223" s="14" t="n">
        <f aca="false">MIN(122.1,(T222+S223))</f>
        <v>106.396632653061</v>
      </c>
      <c r="U223" s="34" t="s">
        <v>30</v>
      </c>
      <c r="V223" s="6" t="n">
        <v>206.7</v>
      </c>
      <c r="X223" s="6" t="n">
        <f aca="false">X222+V223</f>
        <v>78131.2</v>
      </c>
      <c r="Y223" s="6" t="n">
        <v>206.7</v>
      </c>
      <c r="Z223" s="34" t="s">
        <v>31</v>
      </c>
      <c r="AA223" s="6" t="n">
        <v>11.2989939533909</v>
      </c>
      <c r="AB223" s="26" t="s">
        <v>48</v>
      </c>
    </row>
    <row r="224" s="6" customFormat="true" ht="15" hidden="false" customHeight="false" outlineLevel="0" collapsed="false">
      <c r="A224" s="33"/>
      <c r="B224" s="12" t="s">
        <v>57</v>
      </c>
      <c r="C224" s="7" t="n">
        <v>41340</v>
      </c>
      <c r="D224" s="6" t="n">
        <v>9.5</v>
      </c>
      <c r="E224" s="6" t="n">
        <v>5.9</v>
      </c>
      <c r="F224" s="6" t="n">
        <v>13</v>
      </c>
      <c r="G224" s="6" t="n">
        <f aca="false">G223+D224</f>
        <v>1135.9</v>
      </c>
      <c r="H224" s="6" t="n">
        <f aca="false">H223+D224</f>
        <v>18.6</v>
      </c>
      <c r="I224" s="6" t="n">
        <f aca="false">MIN(E223:E271)</f>
        <v>-6.3</v>
      </c>
      <c r="J224" s="25" t="n">
        <v>0.3</v>
      </c>
      <c r="K224" s="6" t="n">
        <f aca="false">K223+J224</f>
        <v>452.6</v>
      </c>
      <c r="L224" s="6" t="n">
        <v>0.5</v>
      </c>
      <c r="M224" s="6" t="n">
        <f aca="false">M223+L224</f>
        <v>149.6</v>
      </c>
      <c r="N224" s="6" t="n">
        <v>-0.2</v>
      </c>
      <c r="O224" s="6" t="n">
        <f aca="false">O223+N224</f>
        <v>106.2</v>
      </c>
      <c r="P224" s="6" t="n">
        <v>177</v>
      </c>
      <c r="Q224" s="6" t="n">
        <f aca="false">1+((P224-175)/49)*(1.15-1)</f>
        <v>1.00612244897959</v>
      </c>
      <c r="R224" s="14" t="n">
        <f aca="false">Q224*L224</f>
        <v>0.503061224489796</v>
      </c>
      <c r="S224" s="14" t="n">
        <f aca="false">J224-R224</f>
        <v>-0.203061224489796</v>
      </c>
      <c r="T224" s="14" t="n">
        <f aca="false">MIN(122.1,(T223+S224))</f>
        <v>106.193571428571</v>
      </c>
      <c r="U224" s="6" t="n">
        <v>32</v>
      </c>
      <c r="V224" s="6" t="n">
        <v>268.3</v>
      </c>
      <c r="X224" s="6" t="n">
        <f aca="false">X223+V224</f>
        <v>78399.5</v>
      </c>
      <c r="Y224" s="6" t="n">
        <f aca="false">Y223+V224</f>
        <v>475</v>
      </c>
      <c r="Z224" s="6" t="n">
        <v>48855.8</v>
      </c>
      <c r="AA224" s="6" t="n">
        <v>11.3555051515375</v>
      </c>
      <c r="AB224" s="6" t="n">
        <v>2</v>
      </c>
    </row>
    <row r="225" s="6" customFormat="true" ht="15" hidden="false" customHeight="false" outlineLevel="0" collapsed="false">
      <c r="A225" s="33"/>
      <c r="B225" s="12"/>
      <c r="C225" s="7" t="n">
        <v>41341</v>
      </c>
      <c r="D225" s="6" t="n">
        <v>9.5</v>
      </c>
      <c r="E225" s="6" t="n">
        <v>6.6</v>
      </c>
      <c r="F225" s="6" t="n">
        <v>14.5</v>
      </c>
      <c r="G225" s="6" t="n">
        <f aca="false">G224+D225</f>
        <v>1145.4</v>
      </c>
      <c r="H225" s="6" t="n">
        <f aca="false">H224+D225</f>
        <v>28.1</v>
      </c>
      <c r="I225" s="34" t="s">
        <v>32</v>
      </c>
      <c r="J225" s="25" t="n">
        <v>1.3</v>
      </c>
      <c r="K225" s="6" t="n">
        <f aca="false">K224+J225</f>
        <v>453.9</v>
      </c>
      <c r="L225" s="6" t="n">
        <v>0.8</v>
      </c>
      <c r="M225" s="6" t="n">
        <f aca="false">M224+L225</f>
        <v>150.4</v>
      </c>
      <c r="N225" s="6" t="n">
        <v>0.5</v>
      </c>
      <c r="O225" s="6" t="n">
        <f aca="false">O224+N225</f>
        <v>106.7</v>
      </c>
      <c r="P225" s="6" t="n">
        <v>178</v>
      </c>
      <c r="Q225" s="6" t="n">
        <f aca="false">1+((P225-175)/49)*(1.15-1)</f>
        <v>1.00918367346939</v>
      </c>
      <c r="R225" s="14" t="n">
        <f aca="false">Q225*L225</f>
        <v>0.80734693877551</v>
      </c>
      <c r="S225" s="14" t="n">
        <f aca="false">J225-R225</f>
        <v>0.49265306122449</v>
      </c>
      <c r="T225" s="14" t="n">
        <f aca="false">MIN(122.1,(T224+S225))</f>
        <v>106.686224489796</v>
      </c>
      <c r="U225" s="34" t="s">
        <v>33</v>
      </c>
      <c r="V225" s="6" t="n">
        <v>246.4</v>
      </c>
      <c r="X225" s="6" t="n">
        <f aca="false">X224+V225</f>
        <v>78645.9</v>
      </c>
      <c r="Y225" s="6" t="n">
        <f aca="false">Y224+V225</f>
        <v>721.4</v>
      </c>
      <c r="Z225" s="34" t="s">
        <v>34</v>
      </c>
      <c r="AA225" s="6" t="n">
        <v>11.4120963525122</v>
      </c>
      <c r="AB225" s="26" t="s">
        <v>50</v>
      </c>
    </row>
    <row r="226" s="6" customFormat="true" ht="15" hidden="false" customHeight="false" outlineLevel="0" collapsed="false">
      <c r="A226" s="33"/>
      <c r="B226" s="12"/>
      <c r="C226" s="7" t="n">
        <v>41342</v>
      </c>
      <c r="D226" s="6" t="n">
        <v>9.1</v>
      </c>
      <c r="E226" s="6" t="n">
        <v>5</v>
      </c>
      <c r="F226" s="6" t="n">
        <v>15.1</v>
      </c>
      <c r="G226" s="6" t="n">
        <f aca="false">G225+D226</f>
        <v>1154.5</v>
      </c>
      <c r="H226" s="6" t="n">
        <f aca="false">H225+D226</f>
        <v>37.2</v>
      </c>
      <c r="I226" s="6" t="n">
        <f aca="false">MAX(F223:F271)</f>
        <v>24.2</v>
      </c>
      <c r="J226" s="25" t="n">
        <v>1.7</v>
      </c>
      <c r="K226" s="6" t="n">
        <f aca="false">K225+J226</f>
        <v>455.6</v>
      </c>
      <c r="L226" s="6" t="n">
        <v>1.2</v>
      </c>
      <c r="M226" s="6" t="n">
        <f aca="false">M225+L226</f>
        <v>151.6</v>
      </c>
      <c r="N226" s="6" t="n">
        <v>0.5</v>
      </c>
      <c r="O226" s="6" t="n">
        <f aca="false">O225+N226</f>
        <v>107.2</v>
      </c>
      <c r="P226" s="6" t="n">
        <v>179</v>
      </c>
      <c r="Q226" s="6" t="n">
        <f aca="false">1+((P226-175)/49)*(1.15-1)</f>
        <v>1.01224489795918</v>
      </c>
      <c r="R226" s="14" t="n">
        <f aca="false">Q226*L226</f>
        <v>1.21469387755102</v>
      </c>
      <c r="S226" s="14" t="n">
        <f aca="false">J226-R226</f>
        <v>0.48530612244898</v>
      </c>
      <c r="T226" s="14" t="n">
        <f aca="false">MIN(122.1,(T225+S226))</f>
        <v>107.171530612245</v>
      </c>
      <c r="U226" s="6" t="n">
        <v>0</v>
      </c>
      <c r="V226" s="6" t="n">
        <v>850.1</v>
      </c>
      <c r="X226" s="6" t="n">
        <f aca="false">X225+V226</f>
        <v>79496</v>
      </c>
      <c r="Y226" s="6" t="n">
        <f aca="false">Y225+V226</f>
        <v>1571.5</v>
      </c>
      <c r="Z226" s="6" t="n">
        <f aca="false">(Z224/100)/I236</f>
        <v>1.30351654215582</v>
      </c>
      <c r="AA226" s="6" t="n">
        <v>11.4687596574135</v>
      </c>
      <c r="AB226" s="6" t="n">
        <v>4</v>
      </c>
    </row>
    <row r="227" s="6" customFormat="true" ht="15" hidden="false" customHeight="false" outlineLevel="0" collapsed="false">
      <c r="A227" s="33"/>
      <c r="B227" s="12"/>
      <c r="C227" s="7" t="n">
        <v>41343</v>
      </c>
      <c r="D227" s="6" t="n">
        <v>8.4</v>
      </c>
      <c r="E227" s="6" t="n">
        <v>5</v>
      </c>
      <c r="F227" s="6" t="n">
        <v>12.3</v>
      </c>
      <c r="G227" s="6" t="n">
        <f aca="false">G226+D227</f>
        <v>1162.9</v>
      </c>
      <c r="H227" s="6" t="n">
        <f aca="false">H226+D227</f>
        <v>45.6</v>
      </c>
      <c r="I227" s="34" t="s">
        <v>35</v>
      </c>
      <c r="J227" s="25" t="n">
        <v>5.8</v>
      </c>
      <c r="K227" s="6" t="n">
        <f aca="false">K226+J227</f>
        <v>461.4</v>
      </c>
      <c r="L227" s="6" t="n">
        <v>0.7</v>
      </c>
      <c r="M227" s="6" t="n">
        <f aca="false">M226+L227</f>
        <v>152.3</v>
      </c>
      <c r="N227" s="6" t="n">
        <v>5.1</v>
      </c>
      <c r="O227" s="6" t="n">
        <f aca="false">O226+N227</f>
        <v>112.3</v>
      </c>
      <c r="P227" s="6" t="n">
        <v>180</v>
      </c>
      <c r="Q227" s="6" t="n">
        <f aca="false">1+((P227-175)/49)*(1.15-1)</f>
        <v>1.01530612244898</v>
      </c>
      <c r="R227" s="14" t="n">
        <f aca="false">Q227*L227</f>
        <v>0.710714285714286</v>
      </c>
      <c r="S227" s="14" t="n">
        <f aca="false">J227-R227</f>
        <v>5.08928571428571</v>
      </c>
      <c r="T227" s="14" t="n">
        <f aca="false">MIN(122.1,(T226+S227))</f>
        <v>112.260816326531</v>
      </c>
      <c r="U227" s="34" t="s">
        <v>36</v>
      </c>
      <c r="V227" s="6" t="n">
        <v>603.4</v>
      </c>
      <c r="X227" s="6" t="n">
        <f aca="false">X226+V227</f>
        <v>80099.4</v>
      </c>
      <c r="Y227" s="6" t="n">
        <f aca="false">Y226+V227</f>
        <v>2174.9</v>
      </c>
      <c r="Z227" s="34" t="s">
        <v>37</v>
      </c>
      <c r="AA227" s="6" t="n">
        <v>11.5254874218939</v>
      </c>
      <c r="AB227" s="26" t="s">
        <v>51</v>
      </c>
    </row>
    <row r="228" s="6" customFormat="true" ht="15" hidden="false" customHeight="false" outlineLevel="0" collapsed="false">
      <c r="A228" s="33"/>
      <c r="B228" s="12"/>
      <c r="C228" s="7" t="n">
        <v>41344</v>
      </c>
      <c r="D228" s="6" t="n">
        <v>9.5</v>
      </c>
      <c r="E228" s="6" t="n">
        <v>7</v>
      </c>
      <c r="F228" s="6" t="n">
        <v>13.2</v>
      </c>
      <c r="G228" s="6" t="n">
        <f aca="false">G227+D228</f>
        <v>1172.4</v>
      </c>
      <c r="H228" s="6" t="n">
        <f aca="false">H227+D228</f>
        <v>55.1</v>
      </c>
      <c r="I228" s="14" t="n">
        <f aca="false">AVERAGE(D223:D271)</f>
        <v>7.63265306122449</v>
      </c>
      <c r="J228" s="25" t="n">
        <v>3.1</v>
      </c>
      <c r="K228" s="6" t="n">
        <f aca="false">K227+J228</f>
        <v>464.5</v>
      </c>
      <c r="L228" s="6" t="n">
        <v>1.5</v>
      </c>
      <c r="M228" s="6" t="n">
        <f aca="false">M227+L228</f>
        <v>153.8</v>
      </c>
      <c r="N228" s="6" t="n">
        <v>1.6</v>
      </c>
      <c r="O228" s="6" t="n">
        <f aca="false">O227+N228</f>
        <v>113.9</v>
      </c>
      <c r="P228" s="6" t="n">
        <v>181</v>
      </c>
      <c r="Q228" s="6" t="n">
        <f aca="false">1+((P228-175)/49)*(1.15-1)</f>
        <v>1.01836734693878</v>
      </c>
      <c r="R228" s="14" t="n">
        <f aca="false">Q228*L228</f>
        <v>1.52755102040816</v>
      </c>
      <c r="S228" s="14" t="n">
        <f aca="false">J228-R228</f>
        <v>1.57244897959184</v>
      </c>
      <c r="T228" s="27" t="n">
        <f aca="false">MIN(122.1,(T227+S228))</f>
        <v>113.833265306122</v>
      </c>
      <c r="U228" s="6" t="n">
        <v>0</v>
      </c>
      <c r="V228" s="6" t="n">
        <v>882.9</v>
      </c>
      <c r="X228" s="6" t="n">
        <f aca="false">X227+V228</f>
        <v>80982.3</v>
      </c>
      <c r="Y228" s="6" t="n">
        <f aca="false">Y227+V228</f>
        <v>3057.8</v>
      </c>
      <c r="Z228" s="6" t="n">
        <v>22</v>
      </c>
      <c r="AA228" s="6" t="n">
        <v>11.5822722382692</v>
      </c>
      <c r="AB228" s="6" t="n">
        <v>2</v>
      </c>
    </row>
    <row r="229" s="6" customFormat="true" ht="15" hidden="false" customHeight="false" outlineLevel="0" collapsed="false">
      <c r="A229" s="33"/>
      <c r="B229" s="12"/>
      <c r="C229" s="7" t="n">
        <v>41345</v>
      </c>
      <c r="D229" s="6" t="n">
        <v>5.8</v>
      </c>
      <c r="E229" s="6" t="n">
        <v>3.2</v>
      </c>
      <c r="F229" s="6" t="n">
        <v>8.3</v>
      </c>
      <c r="G229" s="6" t="n">
        <f aca="false">G228+D229</f>
        <v>1178.2</v>
      </c>
      <c r="H229" s="6" t="n">
        <f aca="false">H228+D229</f>
        <v>60.9</v>
      </c>
      <c r="I229" s="34" t="s">
        <v>38</v>
      </c>
      <c r="J229" s="25" t="n">
        <v>0.2</v>
      </c>
      <c r="K229" s="6" t="n">
        <f aca="false">K228+J229</f>
        <v>464.7</v>
      </c>
      <c r="L229" s="6" t="n">
        <v>0.8</v>
      </c>
      <c r="M229" s="6" t="n">
        <f aca="false">M228+L229</f>
        <v>154.6</v>
      </c>
      <c r="N229" s="6" t="n">
        <v>-0.6</v>
      </c>
      <c r="O229" s="6" t="n">
        <f aca="false">O228+N229</f>
        <v>113.3</v>
      </c>
      <c r="P229" s="6" t="n">
        <v>182</v>
      </c>
      <c r="Q229" s="6" t="n">
        <f aca="false">1+((P229-175)/49)*(1.15-1)</f>
        <v>1.02142857142857</v>
      </c>
      <c r="R229" s="14" t="n">
        <f aca="false">Q229*L229</f>
        <v>0.817142857142857</v>
      </c>
      <c r="S229" s="14" t="n">
        <f aca="false">J229-R229</f>
        <v>-0.617142857142857</v>
      </c>
      <c r="T229" s="27" t="n">
        <f aca="false">MIN(122.1,(T228+S229))</f>
        <v>113.21612244898</v>
      </c>
      <c r="U229" s="34" t="s">
        <v>39</v>
      </c>
      <c r="V229" s="6" t="n">
        <v>349.1</v>
      </c>
      <c r="X229" s="6" t="n">
        <f aca="false">X228+V229</f>
        <v>81331.4</v>
      </c>
      <c r="Y229" s="6" t="n">
        <f aca="false">Y228+V229</f>
        <v>3406.9</v>
      </c>
      <c r="AA229" s="6" t="n">
        <v>11.6391069176819</v>
      </c>
      <c r="AB229" s="26" t="s">
        <v>52</v>
      </c>
    </row>
    <row r="230" s="6" customFormat="true" ht="15" hidden="false" customHeight="false" outlineLevel="0" collapsed="false">
      <c r="A230" s="33"/>
      <c r="B230" s="12"/>
      <c r="C230" s="7" t="n">
        <v>41346</v>
      </c>
      <c r="D230" s="6" t="n">
        <v>-0.1</v>
      </c>
      <c r="E230" s="6" t="n">
        <v>-0.1</v>
      </c>
      <c r="F230" s="6" t="n">
        <v>0.7</v>
      </c>
      <c r="G230" s="6" t="n">
        <v>1178.2</v>
      </c>
      <c r="H230" s="6" t="n">
        <v>60.9</v>
      </c>
      <c r="I230" s="6" t="n">
        <v>6</v>
      </c>
      <c r="J230" s="25" t="n">
        <v>0</v>
      </c>
      <c r="K230" s="6" t="n">
        <f aca="false">K229+J230</f>
        <v>464.7</v>
      </c>
      <c r="L230" s="6" t="n">
        <v>0.6</v>
      </c>
      <c r="M230" s="6" t="n">
        <f aca="false">M229+L230</f>
        <v>155.2</v>
      </c>
      <c r="N230" s="6" t="n">
        <v>-0.6</v>
      </c>
      <c r="O230" s="6" t="n">
        <f aca="false">O229+N230</f>
        <v>112.7</v>
      </c>
      <c r="P230" s="6" t="n">
        <v>183</v>
      </c>
      <c r="Q230" s="6" t="n">
        <f aca="false">1+((P230-175)/49)*(1.15-1)</f>
        <v>1.02448979591837</v>
      </c>
      <c r="R230" s="14" t="n">
        <f aca="false">Q230*L230</f>
        <v>0.614693877551021</v>
      </c>
      <c r="S230" s="14" t="n">
        <f aca="false">J230-R230</f>
        <v>-0.614693877551021</v>
      </c>
      <c r="T230" s="27" t="n">
        <f aca="false">MIN(122.1,(T229+S230))</f>
        <v>112.601428571429</v>
      </c>
      <c r="U230" s="14" t="n">
        <f aca="false">MIN(T223:T271)</f>
        <v>94.615</v>
      </c>
      <c r="V230" s="6" t="n">
        <v>563</v>
      </c>
      <c r="X230" s="6" t="n">
        <f aca="false">X229+V230</f>
        <v>81894.4</v>
      </c>
      <c r="Y230" s="6" t="n">
        <f aca="false">Y229+V230</f>
        <v>3969.9</v>
      </c>
      <c r="AA230" s="6" t="n">
        <v>11.6959844723282</v>
      </c>
      <c r="AB230" s="6" t="n">
        <f aca="false">SUM(J232:J241)</f>
        <v>24.8</v>
      </c>
    </row>
    <row r="231" s="30" customFormat="true" ht="15" hidden="false" customHeight="false" outlineLevel="0" collapsed="false">
      <c r="A231" s="33"/>
      <c r="B231" s="28" t="s">
        <v>58</v>
      </c>
      <c r="C231" s="29" t="n">
        <v>41347</v>
      </c>
      <c r="D231" s="30" t="n">
        <v>-0.4</v>
      </c>
      <c r="E231" s="30" t="n">
        <v>-3.9</v>
      </c>
      <c r="F231" s="30" t="n">
        <v>3.3</v>
      </c>
      <c r="G231" s="30" t="n">
        <v>1178.2</v>
      </c>
      <c r="H231" s="30" t="n">
        <v>60.9</v>
      </c>
      <c r="I231" s="35" t="s">
        <v>40</v>
      </c>
      <c r="J231" s="30" t="n">
        <v>0</v>
      </c>
      <c r="K231" s="30" t="n">
        <f aca="false">K230+J231</f>
        <v>464.7</v>
      </c>
      <c r="L231" s="30" t="n">
        <v>0.8</v>
      </c>
      <c r="M231" s="30" t="n">
        <f aca="false">M230+L231</f>
        <v>156</v>
      </c>
      <c r="N231" s="30" t="n">
        <v>-0.8</v>
      </c>
      <c r="O231" s="30" t="n">
        <f aca="false">O230+N231</f>
        <v>111.9</v>
      </c>
      <c r="P231" s="30" t="n">
        <v>184</v>
      </c>
      <c r="Q231" s="30" t="n">
        <f aca="false">1+((P231-175)/49)*(1.15-1)</f>
        <v>1.02755102040816</v>
      </c>
      <c r="R231" s="31" t="n">
        <f aca="false">Q231*L231</f>
        <v>0.822040816326531</v>
      </c>
      <c r="S231" s="31" t="n">
        <f aca="false">J231-R231</f>
        <v>-0.822040816326531</v>
      </c>
      <c r="T231" s="31" t="n">
        <f aca="false">MIN(122.1,(T230+S231))</f>
        <v>111.779387755102</v>
      </c>
      <c r="U231" s="35" t="s">
        <v>41</v>
      </c>
      <c r="V231" s="30" t="n">
        <v>559</v>
      </c>
      <c r="X231" s="30" t="n">
        <f aca="false">X230+V231</f>
        <v>82453.4</v>
      </c>
      <c r="Y231" s="30" t="n">
        <f aca="false">Y230+V231</f>
        <v>4528.9</v>
      </c>
      <c r="AA231" s="30" t="n">
        <v>11.7528980977609</v>
      </c>
    </row>
    <row r="232" s="6" customFormat="true" ht="15" hidden="false" customHeight="false" outlineLevel="0" collapsed="false">
      <c r="A232" s="33"/>
      <c r="B232" s="12"/>
      <c r="C232" s="7" t="n">
        <v>41348</v>
      </c>
      <c r="D232" s="6" t="n">
        <v>-0.3</v>
      </c>
      <c r="E232" s="6" t="n">
        <v>-4.2</v>
      </c>
      <c r="F232" s="6" t="n">
        <v>5</v>
      </c>
      <c r="G232" s="6" t="n">
        <v>1178.2</v>
      </c>
      <c r="H232" s="6" t="n">
        <v>60.9</v>
      </c>
      <c r="I232" s="6" t="n">
        <v>0</v>
      </c>
      <c r="J232" s="25" t="n">
        <v>0</v>
      </c>
      <c r="K232" s="6" t="n">
        <f aca="false">K231+J232</f>
        <v>464.7</v>
      </c>
      <c r="L232" s="6" t="n">
        <v>1.8</v>
      </c>
      <c r="M232" s="6" t="n">
        <f aca="false">M231+L232</f>
        <v>157.8</v>
      </c>
      <c r="N232" s="6" t="n">
        <v>-1.8</v>
      </c>
      <c r="O232" s="6" t="n">
        <f aca="false">O231+N232</f>
        <v>110.1</v>
      </c>
      <c r="P232" s="6" t="n">
        <v>185</v>
      </c>
      <c r="Q232" s="6" t="n">
        <f aca="false">1+((P232-175)/49)*(1.15-1)</f>
        <v>1.03061224489796</v>
      </c>
      <c r="R232" s="14" t="n">
        <f aca="false">Q232*L232</f>
        <v>1.85510204081633</v>
      </c>
      <c r="S232" s="14" t="n">
        <f aca="false">J232-R232</f>
        <v>-1.85510204081633</v>
      </c>
      <c r="T232" s="27" t="n">
        <f aca="false">MIN(122.1,(T231+S232))</f>
        <v>109.924285714286</v>
      </c>
      <c r="U232" s="14" t="n">
        <f aca="false">MAX(T223:T271)</f>
        <v>122.1</v>
      </c>
      <c r="V232" s="6" t="n">
        <v>1806.3</v>
      </c>
      <c r="X232" s="6" t="n">
        <f aca="false">X231+V232</f>
        <v>84259.7</v>
      </c>
      <c r="Y232" s="6" t="n">
        <f aca="false">Y231+V232</f>
        <v>6335.2</v>
      </c>
      <c r="AA232" s="6" t="n">
        <v>11.8098411552736</v>
      </c>
    </row>
    <row r="233" s="6" customFormat="true" ht="15" hidden="false" customHeight="false" outlineLevel="0" collapsed="false">
      <c r="A233" s="33"/>
      <c r="B233" s="12"/>
      <c r="C233" s="7" t="n">
        <v>41349</v>
      </c>
      <c r="D233" s="6" t="n">
        <v>3.3</v>
      </c>
      <c r="E233" s="6" t="n">
        <v>-6.3</v>
      </c>
      <c r="F233" s="6" t="n">
        <v>9.6</v>
      </c>
      <c r="G233" s="6" t="n">
        <f aca="false">G232+D233</f>
        <v>1181.5</v>
      </c>
      <c r="H233" s="6" t="n">
        <f aca="false">H232+D233</f>
        <v>64.2</v>
      </c>
      <c r="I233" s="34" t="s">
        <v>42</v>
      </c>
      <c r="J233" s="25" t="n">
        <v>4.6</v>
      </c>
      <c r="K233" s="6" t="n">
        <f aca="false">K232+J233</f>
        <v>469.3</v>
      </c>
      <c r="L233" s="6" t="n">
        <v>1.5</v>
      </c>
      <c r="M233" s="6" t="n">
        <f aca="false">M232+L233</f>
        <v>159.3</v>
      </c>
      <c r="N233" s="6" t="n">
        <v>3.1</v>
      </c>
      <c r="O233" s="6" t="n">
        <f aca="false">O232+N233</f>
        <v>113.2</v>
      </c>
      <c r="P233" s="6" t="n">
        <v>186</v>
      </c>
      <c r="Q233" s="6" t="n">
        <f aca="false">1+((P233-175)/49)*(1.15-1)</f>
        <v>1.03367346938776</v>
      </c>
      <c r="R233" s="14" t="n">
        <f aca="false">Q233*L233</f>
        <v>1.55051020408163</v>
      </c>
      <c r="S233" s="14" t="n">
        <f aca="false">J233-R233</f>
        <v>3.04948979591837</v>
      </c>
      <c r="T233" s="27" t="n">
        <f aca="false">MIN(122.1,(T232+S233))</f>
        <v>112.973775510204</v>
      </c>
      <c r="U233" s="34" t="s">
        <v>43</v>
      </c>
      <c r="V233" s="6" t="n">
        <v>902.4</v>
      </c>
      <c r="X233" s="6" t="n">
        <f aca="false">X232+V233</f>
        <v>85162.1</v>
      </c>
      <c r="Y233" s="6" t="n">
        <f aca="false">Y232+V233</f>
        <v>7237.6</v>
      </c>
      <c r="AA233" s="6" t="n">
        <v>11.8668071543759</v>
      </c>
    </row>
    <row r="234" s="6" customFormat="true" ht="15" hidden="false" customHeight="false" outlineLevel="0" collapsed="false">
      <c r="A234" s="33"/>
      <c r="B234" s="12"/>
      <c r="C234" s="7" t="n">
        <v>41350</v>
      </c>
      <c r="D234" s="6" t="n">
        <v>6.6</v>
      </c>
      <c r="E234" s="6" t="n">
        <v>5</v>
      </c>
      <c r="F234" s="6" t="n">
        <v>8.6</v>
      </c>
      <c r="G234" s="6" t="n">
        <f aca="false">G233+D234</f>
        <v>1188.1</v>
      </c>
      <c r="H234" s="6" t="n">
        <f aca="false">H233+D234</f>
        <v>70.8</v>
      </c>
      <c r="I234" s="6" t="n">
        <v>23</v>
      </c>
      <c r="J234" s="25" t="n">
        <v>11.1</v>
      </c>
      <c r="K234" s="6" t="n">
        <f aca="false">K233+J234</f>
        <v>480.4</v>
      </c>
      <c r="L234" s="6" t="n">
        <v>1.2</v>
      </c>
      <c r="M234" s="6" t="n">
        <f aca="false">M233+L234</f>
        <v>160.5</v>
      </c>
      <c r="N234" s="6" t="n">
        <v>9.9</v>
      </c>
      <c r="O234" s="6" t="n">
        <v>122.1</v>
      </c>
      <c r="P234" s="6" t="n">
        <v>187</v>
      </c>
      <c r="Q234" s="6" t="n">
        <f aca="false">1+((P234-175)/49)*(1.15-1)</f>
        <v>1.03673469387755</v>
      </c>
      <c r="R234" s="14" t="n">
        <f aca="false">Q234*L234</f>
        <v>1.24408163265306</v>
      </c>
      <c r="S234" s="14" t="n">
        <f aca="false">J234-R234</f>
        <v>9.85591836734694</v>
      </c>
      <c r="T234" s="27" t="n">
        <f aca="false">MIN(122.1,(T233+S234))</f>
        <v>122.1</v>
      </c>
      <c r="U234" s="15" t="n">
        <f aca="false">AVERAGE(T223:T271)</f>
        <v>110.486713869221</v>
      </c>
      <c r="V234" s="6" t="n">
        <v>390.7</v>
      </c>
      <c r="X234" s="6" t="n">
        <f aca="false">X233+V234</f>
        <v>85552.8</v>
      </c>
      <c r="Y234" s="6" t="n">
        <f aca="false">Y233+V234</f>
        <v>7628.3</v>
      </c>
      <c r="AA234" s="6" t="n">
        <v>11.9237897353595</v>
      </c>
    </row>
    <row r="235" s="6" customFormat="true" ht="15" hidden="false" customHeight="false" outlineLevel="0" collapsed="false">
      <c r="A235" s="33"/>
      <c r="B235" s="12"/>
      <c r="C235" s="7" t="n">
        <v>41351</v>
      </c>
      <c r="D235" s="6" t="n">
        <v>5.6</v>
      </c>
      <c r="E235" s="6" t="n">
        <v>3.4</v>
      </c>
      <c r="F235" s="6" t="n">
        <v>9.4</v>
      </c>
      <c r="G235" s="6" t="n">
        <f aca="false">G234+D235</f>
        <v>1193.7</v>
      </c>
      <c r="H235" s="6" t="n">
        <f aca="false">H234+D235</f>
        <v>76.4</v>
      </c>
      <c r="I235" s="34" t="s">
        <v>44</v>
      </c>
      <c r="J235" s="25" t="n">
        <v>4.6</v>
      </c>
      <c r="K235" s="6" t="n">
        <f aca="false">K234+J235</f>
        <v>485</v>
      </c>
      <c r="L235" s="6" t="n">
        <v>1.4</v>
      </c>
      <c r="M235" s="6" t="n">
        <f aca="false">M234+L235</f>
        <v>161.9</v>
      </c>
      <c r="N235" s="6" t="n">
        <v>3.2</v>
      </c>
      <c r="O235" s="6" t="n">
        <v>122.1</v>
      </c>
      <c r="P235" s="6" t="n">
        <v>188</v>
      </c>
      <c r="Q235" s="6" t="n">
        <f aca="false">1+((P235-175)/49)*(1.15-1)</f>
        <v>1.03979591836735</v>
      </c>
      <c r="R235" s="14" t="n">
        <f aca="false">Q235*L235</f>
        <v>1.45571428571429</v>
      </c>
      <c r="S235" s="14" t="n">
        <f aca="false">J235-R235</f>
        <v>3.14428571428571</v>
      </c>
      <c r="T235" s="27" t="n">
        <f aca="false">MIN(122.1,(T234+S235))</f>
        <v>122.1</v>
      </c>
      <c r="V235" s="6" t="n">
        <v>1022.5</v>
      </c>
      <c r="X235" s="6" t="n">
        <f aca="false">X234+V235</f>
        <v>86575.3</v>
      </c>
      <c r="Y235" s="6" t="n">
        <f aca="false">Y234+V235</f>
        <v>8650.8</v>
      </c>
      <c r="AA235" s="6" t="n">
        <v>11.980782651963</v>
      </c>
      <c r="AC235" s="26" t="s">
        <v>47</v>
      </c>
    </row>
    <row r="236" s="6" customFormat="true" ht="15" hidden="false" customHeight="false" outlineLevel="0" collapsed="false">
      <c r="A236" s="33"/>
      <c r="B236" s="12"/>
      <c r="C236" s="7" t="n">
        <v>41352</v>
      </c>
      <c r="D236" s="6" t="n">
        <v>6.4</v>
      </c>
      <c r="E236" s="6" t="n">
        <v>3.1</v>
      </c>
      <c r="F236" s="6" t="n">
        <v>10.5</v>
      </c>
      <c r="G236" s="6" t="n">
        <f aca="false">G235+D236</f>
        <v>1200.1</v>
      </c>
      <c r="H236" s="6" t="n">
        <f aca="false">H235+D236</f>
        <v>82.8</v>
      </c>
      <c r="I236" s="6" t="n">
        <v>374.8</v>
      </c>
      <c r="J236" s="25" t="n">
        <v>1.2</v>
      </c>
      <c r="K236" s="6" t="n">
        <f aca="false">K235+J236</f>
        <v>486.2</v>
      </c>
      <c r="L236" s="6" t="n">
        <v>1.9</v>
      </c>
      <c r="M236" s="6" t="n">
        <f aca="false">M235+L236</f>
        <v>163.8</v>
      </c>
      <c r="N236" s="6" t="n">
        <v>-0.7</v>
      </c>
      <c r="O236" s="6" t="n">
        <f aca="false">O235+N236</f>
        <v>121.4</v>
      </c>
      <c r="P236" s="6" t="n">
        <v>189</v>
      </c>
      <c r="Q236" s="6" t="n">
        <f aca="false">1+((P236-175)/49)*(1.15-1)</f>
        <v>1.04285714285714</v>
      </c>
      <c r="R236" s="14" t="n">
        <f aca="false">Q236*L236</f>
        <v>1.98142857142857</v>
      </c>
      <c r="S236" s="14" t="n">
        <f aca="false">J236-R236</f>
        <v>-0.781428571428572</v>
      </c>
      <c r="T236" s="27" t="n">
        <f aca="false">MIN(122.1,(T235+S236))</f>
        <v>121.318571428571</v>
      </c>
      <c r="U236" s="14" t="n">
        <f aca="false">(U234*100)/122.1</f>
        <v>90.4887091476013</v>
      </c>
      <c r="V236" s="6" t="n">
        <v>1004.4</v>
      </c>
      <c r="X236" s="6" t="n">
        <f aca="false">X235+V236</f>
        <v>87579.7</v>
      </c>
      <c r="Y236" s="6" t="n">
        <f aca="false">Y235+V236</f>
        <v>9655.2</v>
      </c>
      <c r="AA236" s="6" t="n">
        <v>12.037779754133</v>
      </c>
      <c r="AC236" s="15" t="n">
        <f aca="false">(AB194*(60/180))+(AB222*(70/180))+(AB253*(50/180))</f>
        <v>114.757111678005</v>
      </c>
    </row>
    <row r="237" s="6" customFormat="true" ht="15" hidden="false" customHeight="false" outlineLevel="0" collapsed="false">
      <c r="A237" s="33"/>
      <c r="B237" s="12"/>
      <c r="C237" s="7" t="n">
        <v>41353</v>
      </c>
      <c r="D237" s="6" t="n">
        <v>6.4</v>
      </c>
      <c r="E237" s="6" t="n">
        <v>5.1</v>
      </c>
      <c r="F237" s="6" t="n">
        <v>9.6</v>
      </c>
      <c r="G237" s="6" t="n">
        <f aca="false">G236+D237</f>
        <v>1206.5</v>
      </c>
      <c r="H237" s="6" t="n">
        <f aca="false">H236+D237</f>
        <v>89.2</v>
      </c>
      <c r="J237" s="25" t="n">
        <v>1.9</v>
      </c>
      <c r="K237" s="6" t="n">
        <f aca="false">K236+J237</f>
        <v>488.1</v>
      </c>
      <c r="L237" s="6" t="n">
        <v>1.2</v>
      </c>
      <c r="M237" s="6" t="n">
        <f aca="false">M236+L237</f>
        <v>165</v>
      </c>
      <c r="N237" s="6" t="n">
        <v>0.7</v>
      </c>
      <c r="O237" s="6" t="n">
        <f aca="false">O236+N237</f>
        <v>122.1</v>
      </c>
      <c r="P237" s="6" t="n">
        <v>190</v>
      </c>
      <c r="Q237" s="6" t="n">
        <f aca="false">1+((P237-175)/49)*(1.15-1)</f>
        <v>1.04591836734694</v>
      </c>
      <c r="R237" s="14" t="n">
        <f aca="false">Q237*L237</f>
        <v>1.25510204081633</v>
      </c>
      <c r="S237" s="14" t="n">
        <f aca="false">J237-R237</f>
        <v>0.644897959183673</v>
      </c>
      <c r="T237" s="27" t="n">
        <f aca="false">MIN(122.1,(T236+S237))</f>
        <v>121.963469387755</v>
      </c>
      <c r="V237" s="6" t="n">
        <v>643.8</v>
      </c>
      <c r="X237" s="6" t="n">
        <f aca="false">X236+V237</f>
        <v>88223.5</v>
      </c>
      <c r="Y237" s="6" t="n">
        <f aca="false">Y236+V237</f>
        <v>10299</v>
      </c>
      <c r="AA237" s="6" t="n">
        <v>12.0947749708855</v>
      </c>
      <c r="AC237" s="26" t="s">
        <v>48</v>
      </c>
    </row>
    <row r="238" s="6" customFormat="true" ht="15" hidden="false" customHeight="false" outlineLevel="0" collapsed="false">
      <c r="A238" s="33"/>
      <c r="B238" s="12" t="s">
        <v>59</v>
      </c>
      <c r="C238" s="7" t="n">
        <v>41354</v>
      </c>
      <c r="D238" s="6" t="n">
        <v>6.6</v>
      </c>
      <c r="E238" s="6" t="n">
        <v>0.6</v>
      </c>
      <c r="F238" s="6" t="n">
        <v>12.2</v>
      </c>
      <c r="G238" s="6" t="n">
        <f aca="false">G237+D238</f>
        <v>1213.1</v>
      </c>
      <c r="H238" s="6" t="n">
        <f aca="false">H237+D238</f>
        <v>95.8</v>
      </c>
      <c r="J238" s="25" t="n">
        <v>0</v>
      </c>
      <c r="K238" s="6" t="n">
        <f aca="false">K237+J238</f>
        <v>488.1</v>
      </c>
      <c r="L238" s="6" t="n">
        <v>1.6</v>
      </c>
      <c r="M238" s="6" t="n">
        <f aca="false">M237+L238</f>
        <v>166.6</v>
      </c>
      <c r="N238" s="6" t="n">
        <v>-1.6</v>
      </c>
      <c r="O238" s="6" t="n">
        <f aca="false">O237+N238</f>
        <v>120.5</v>
      </c>
      <c r="P238" s="6" t="n">
        <v>191</v>
      </c>
      <c r="Q238" s="6" t="n">
        <f aca="false">1+((P238-175)/49)*(1.15-1)</f>
        <v>1.04897959183673</v>
      </c>
      <c r="R238" s="14" t="n">
        <f aca="false">Q238*L238</f>
        <v>1.67836734693878</v>
      </c>
      <c r="S238" s="14" t="n">
        <f aca="false">J238-R238</f>
        <v>-1.67836734693878</v>
      </c>
      <c r="T238" s="27" t="n">
        <f aca="false">MIN(122.1,(T237+S238))</f>
        <v>120.285102040816</v>
      </c>
      <c r="V238" s="6" t="n">
        <v>1300.2</v>
      </c>
      <c r="X238" s="6" t="n">
        <f aca="false">X237+V238</f>
        <v>89523.7</v>
      </c>
      <c r="Y238" s="6" t="n">
        <f aca="false">Y237+V238</f>
        <v>11599.2</v>
      </c>
      <c r="AA238" s="6" t="n">
        <v>12.1517622932651</v>
      </c>
      <c r="AC238" s="14" t="n">
        <f aca="false">(AB196*(60/180))+(AB224*(70/180))+(AB255*(50/180))</f>
        <v>2.55555555555556</v>
      </c>
    </row>
    <row r="239" s="6" customFormat="true" ht="15" hidden="false" customHeight="false" outlineLevel="0" collapsed="false">
      <c r="A239" s="33"/>
      <c r="B239" s="12"/>
      <c r="C239" s="7" t="n">
        <v>41355</v>
      </c>
      <c r="D239" s="6" t="n">
        <v>8.7</v>
      </c>
      <c r="E239" s="6" t="n">
        <v>3</v>
      </c>
      <c r="F239" s="6" t="n">
        <v>13.2</v>
      </c>
      <c r="G239" s="6" t="n">
        <f aca="false">G238+D239</f>
        <v>1221.8</v>
      </c>
      <c r="H239" s="6" t="n">
        <f aca="false">H238+D239</f>
        <v>104.5</v>
      </c>
      <c r="J239" s="25" t="n">
        <v>0</v>
      </c>
      <c r="K239" s="6" t="n">
        <f aca="false">K238+J239</f>
        <v>488.1</v>
      </c>
      <c r="L239" s="6" t="n">
        <v>1.8</v>
      </c>
      <c r="M239" s="6" t="n">
        <f aca="false">M238+L239</f>
        <v>168.4</v>
      </c>
      <c r="N239" s="6" t="n">
        <v>-1.8</v>
      </c>
      <c r="O239" s="6" t="n">
        <f aca="false">O238+N239</f>
        <v>118.7</v>
      </c>
      <c r="P239" s="6" t="n">
        <v>192</v>
      </c>
      <c r="Q239" s="6" t="n">
        <f aca="false">1+((P239-175)/49)*(1.15-1)</f>
        <v>1.05204081632653</v>
      </c>
      <c r="R239" s="14" t="n">
        <f aca="false">Q239*L239</f>
        <v>1.89367346938776</v>
      </c>
      <c r="S239" s="14" t="n">
        <f aca="false">J239-R239</f>
        <v>-1.89367346938776</v>
      </c>
      <c r="T239" s="27" t="n">
        <f aca="false">MIN(122.1,(T238+S239))</f>
        <v>118.391428571429</v>
      </c>
      <c r="V239" s="6" t="n">
        <v>1280.9</v>
      </c>
      <c r="X239" s="6" t="n">
        <f aca="false">X238+V239</f>
        <v>90804.6</v>
      </c>
      <c r="Y239" s="6" t="n">
        <f aca="false">Y238+V239</f>
        <v>12880.1</v>
      </c>
      <c r="AA239" s="6" t="n">
        <v>12.2087357574025</v>
      </c>
      <c r="AC239" s="26" t="s">
        <v>50</v>
      </c>
    </row>
    <row r="240" s="6" customFormat="true" ht="15" hidden="false" customHeight="false" outlineLevel="0" collapsed="false">
      <c r="A240" s="33"/>
      <c r="B240" s="12"/>
      <c r="C240" s="7" t="n">
        <v>41356</v>
      </c>
      <c r="D240" s="6" t="n">
        <v>8.6</v>
      </c>
      <c r="E240" s="6" t="n">
        <v>7.8</v>
      </c>
      <c r="F240" s="6" t="n">
        <v>9.9</v>
      </c>
      <c r="G240" s="6" t="n">
        <f aca="false">G239+D240</f>
        <v>1230.4</v>
      </c>
      <c r="H240" s="6" t="n">
        <f aca="false">H239+D240</f>
        <v>113.1</v>
      </c>
      <c r="J240" s="25" t="n">
        <v>1.4</v>
      </c>
      <c r="K240" s="6" t="n">
        <f aca="false">K239+J240</f>
        <v>489.5</v>
      </c>
      <c r="L240" s="6" t="n">
        <v>0.8</v>
      </c>
      <c r="M240" s="6" t="n">
        <f aca="false">M239+L240</f>
        <v>169.2</v>
      </c>
      <c r="N240" s="6" t="n">
        <v>0.6</v>
      </c>
      <c r="O240" s="6" t="n">
        <f aca="false">O239+N240</f>
        <v>119.3</v>
      </c>
      <c r="P240" s="6" t="n">
        <v>193</v>
      </c>
      <c r="Q240" s="6" t="n">
        <f aca="false">1+((P240-175)/49)*(1.15-1)</f>
        <v>1.05510204081633</v>
      </c>
      <c r="R240" s="14" t="n">
        <f aca="false">Q240*L240</f>
        <v>0.844081632653061</v>
      </c>
      <c r="S240" s="14" t="n">
        <f aca="false">J240-R240</f>
        <v>0.555918367346939</v>
      </c>
      <c r="T240" s="27" t="n">
        <f aca="false">MIN(122.1,(T239+S240))</f>
        <v>118.947346938776</v>
      </c>
      <c r="V240" s="6" t="n">
        <v>429.8</v>
      </c>
      <c r="X240" s="6" t="n">
        <f aca="false">X239+V240</f>
        <v>91234.4</v>
      </c>
      <c r="Y240" s="6" t="n">
        <f aca="false">Y239+V240</f>
        <v>13309.9</v>
      </c>
      <c r="AA240" s="6" t="n">
        <v>12.2656894276683</v>
      </c>
      <c r="AC240" s="14" t="n">
        <f aca="false">(AB198*(60/180))+(AB226*(70/180))+(AB257*(50/180))</f>
        <v>6.16666666666667</v>
      </c>
    </row>
    <row r="241" s="6" customFormat="true" ht="15" hidden="false" customHeight="false" outlineLevel="0" collapsed="false">
      <c r="A241" s="33"/>
      <c r="B241" s="12"/>
      <c r="C241" s="7" t="n">
        <v>41357</v>
      </c>
      <c r="D241" s="6" t="n">
        <v>5.3</v>
      </c>
      <c r="E241" s="6" t="n">
        <v>4.6</v>
      </c>
      <c r="F241" s="6" t="n">
        <v>6.9</v>
      </c>
      <c r="G241" s="6" t="n">
        <f aca="false">G240+D241</f>
        <v>1235.7</v>
      </c>
      <c r="H241" s="6" t="n">
        <f aca="false">H240+D241</f>
        <v>118.4</v>
      </c>
      <c r="J241" s="25" t="n">
        <v>0</v>
      </c>
      <c r="K241" s="6" t="n">
        <f aca="false">K240+J241</f>
        <v>489.5</v>
      </c>
      <c r="L241" s="6" t="n">
        <v>1.5</v>
      </c>
      <c r="M241" s="6" t="n">
        <f aca="false">M240+L241</f>
        <v>170.7</v>
      </c>
      <c r="N241" s="6" t="n">
        <v>-1.5</v>
      </c>
      <c r="O241" s="6" t="n">
        <f aca="false">O240+N241</f>
        <v>117.8</v>
      </c>
      <c r="P241" s="6" t="n">
        <v>194</v>
      </c>
      <c r="Q241" s="6" t="n">
        <f aca="false">1+((P241-175)/49)*(1.15-1)</f>
        <v>1.05816326530612</v>
      </c>
      <c r="R241" s="14" t="n">
        <f aca="false">Q241*L241</f>
        <v>1.58724489795918</v>
      </c>
      <c r="S241" s="14" t="n">
        <f aca="false">J241-R241</f>
        <v>-1.58724489795918</v>
      </c>
      <c r="T241" s="27" t="n">
        <f aca="false">MIN(122.1,(T240+S241))</f>
        <v>117.360102040816</v>
      </c>
      <c r="V241" s="6" t="n">
        <v>927.8</v>
      </c>
      <c r="X241" s="6" t="n">
        <f aca="false">X240+V241</f>
        <v>92162.2</v>
      </c>
      <c r="Y241" s="6" t="n">
        <f aca="false">Y240+V241</f>
        <v>14237.7</v>
      </c>
      <c r="AA241" s="6" t="n">
        <v>12.3226173799212</v>
      </c>
      <c r="AC241" s="26" t="s">
        <v>51</v>
      </c>
    </row>
    <row r="242" s="6" customFormat="true" ht="15" hidden="false" customHeight="false" outlineLevel="0" collapsed="false">
      <c r="A242" s="33"/>
      <c r="B242" s="12"/>
      <c r="C242" s="7" t="n">
        <v>41358</v>
      </c>
      <c r="D242" s="6" t="n">
        <v>3.9</v>
      </c>
      <c r="E242" s="6" t="n">
        <v>1.1</v>
      </c>
      <c r="F242" s="6" t="n">
        <v>8</v>
      </c>
      <c r="G242" s="6" t="n">
        <f aca="false">G241+D242</f>
        <v>1239.6</v>
      </c>
      <c r="H242" s="6" t="n">
        <f aca="false">H241+D242</f>
        <v>122.3</v>
      </c>
      <c r="J242" s="6" t="n">
        <v>0</v>
      </c>
      <c r="K242" s="6" t="n">
        <f aca="false">K241+J242</f>
        <v>489.5</v>
      </c>
      <c r="L242" s="6" t="n">
        <v>1.9</v>
      </c>
      <c r="M242" s="6" t="n">
        <f aca="false">M241+L242</f>
        <v>172.6</v>
      </c>
      <c r="N242" s="6" t="n">
        <v>-1.9</v>
      </c>
      <c r="O242" s="6" t="n">
        <f aca="false">O241+N242</f>
        <v>115.9</v>
      </c>
      <c r="P242" s="6" t="n">
        <v>195</v>
      </c>
      <c r="Q242" s="6" t="n">
        <f aca="false">1+((P242-175)/49)*(1.15-1)</f>
        <v>1.06122448979592</v>
      </c>
      <c r="R242" s="14" t="n">
        <f aca="false">Q242*L242</f>
        <v>2.01632653061225</v>
      </c>
      <c r="S242" s="14" t="n">
        <f aca="false">J242-R242</f>
        <v>-2.01632653061225</v>
      </c>
      <c r="T242" s="14" t="n">
        <f aca="false">MIN(122.1,(T241+S242))</f>
        <v>115.343775510204</v>
      </c>
      <c r="V242" s="6" t="n">
        <v>1065.7</v>
      </c>
      <c r="X242" s="6" t="n">
        <f aca="false">X241+V242</f>
        <v>93227.9</v>
      </c>
      <c r="Y242" s="6" t="n">
        <f aca="false">Y241+V242</f>
        <v>15303.4</v>
      </c>
      <c r="AA242" s="6" t="n">
        <v>12.3795136848488</v>
      </c>
      <c r="AC242" s="14" t="n">
        <f aca="false">(AB200*(60/180))+(AB228*(70/180))+(AB259*(50/180))</f>
        <v>0.777777777777778</v>
      </c>
    </row>
    <row r="243" s="6" customFormat="true" ht="15" hidden="false" customHeight="false" outlineLevel="0" collapsed="false">
      <c r="A243" s="33"/>
      <c r="B243" s="12"/>
      <c r="C243" s="7" t="n">
        <v>41359</v>
      </c>
      <c r="D243" s="6" t="n">
        <v>2.5</v>
      </c>
      <c r="E243" s="6" t="n">
        <v>0.4</v>
      </c>
      <c r="F243" s="6" t="n">
        <v>4.1</v>
      </c>
      <c r="G243" s="6" t="n">
        <f aca="false">G242+D243</f>
        <v>1242.1</v>
      </c>
      <c r="H243" s="6" t="n">
        <f aca="false">H242+D243</f>
        <v>124.8</v>
      </c>
      <c r="J243" s="6" t="n">
        <v>0</v>
      </c>
      <c r="K243" s="6" t="n">
        <f aca="false">K242+J243</f>
        <v>489.5</v>
      </c>
      <c r="L243" s="6" t="n">
        <v>0.9</v>
      </c>
      <c r="M243" s="6" t="n">
        <f aca="false">M242+L243</f>
        <v>173.5</v>
      </c>
      <c r="N243" s="6" t="n">
        <v>-0.9</v>
      </c>
      <c r="O243" s="6" t="n">
        <f aca="false">O242+N243</f>
        <v>115</v>
      </c>
      <c r="P243" s="6" t="n">
        <v>196</v>
      </c>
      <c r="Q243" s="6" t="n">
        <f aca="false">1+((P243-175)/49)*(1.15-1)</f>
        <v>1.06428571428571</v>
      </c>
      <c r="R243" s="14" t="n">
        <f aca="false">Q243*L243</f>
        <v>0.957857142857143</v>
      </c>
      <c r="S243" s="14" t="n">
        <f aca="false">J243-R243</f>
        <v>-0.957857142857143</v>
      </c>
      <c r="T243" s="14" t="n">
        <f aca="false">MIN(122.1,(T242+S243))</f>
        <v>114.385918367347</v>
      </c>
      <c r="V243" s="6" t="n">
        <v>479.4</v>
      </c>
      <c r="X243" s="6" t="n">
        <f aca="false">X242+V243</f>
        <v>93707.3</v>
      </c>
      <c r="Y243" s="6" t="n">
        <f aca="false">Y242+V243</f>
        <v>15782.8</v>
      </c>
      <c r="AA243" s="6" t="n">
        <v>12.4363723913994</v>
      </c>
      <c r="AC243" s="26" t="s">
        <v>52</v>
      </c>
    </row>
    <row r="244" s="6" customFormat="true" ht="15" hidden="false" customHeight="false" outlineLevel="0" collapsed="false">
      <c r="A244" s="33"/>
      <c r="B244" s="12"/>
      <c r="C244" s="7" t="n">
        <v>41360</v>
      </c>
      <c r="D244" s="6" t="n">
        <v>2.8</v>
      </c>
      <c r="E244" s="6" t="n">
        <v>1.2</v>
      </c>
      <c r="F244" s="6" t="n">
        <v>4.5</v>
      </c>
      <c r="G244" s="6" t="n">
        <f aca="false">G243+D244</f>
        <v>1244.9</v>
      </c>
      <c r="H244" s="6" t="n">
        <f aca="false">H243+D244</f>
        <v>127.6</v>
      </c>
      <c r="J244" s="6" t="n">
        <v>0</v>
      </c>
      <c r="K244" s="6" t="n">
        <f aca="false">K243+J244</f>
        <v>489.5</v>
      </c>
      <c r="L244" s="6" t="n">
        <v>1.1</v>
      </c>
      <c r="M244" s="6" t="n">
        <f aca="false">M243+L244</f>
        <v>174.6</v>
      </c>
      <c r="N244" s="6" t="n">
        <v>-1.1</v>
      </c>
      <c r="O244" s="6" t="n">
        <f aca="false">O243+N244</f>
        <v>113.9</v>
      </c>
      <c r="P244" s="6" t="n">
        <v>197</v>
      </c>
      <c r="Q244" s="6" t="n">
        <f aca="false">1+((P244-175)/49)*(1.15-1)</f>
        <v>1.06734693877551</v>
      </c>
      <c r="R244" s="14" t="n">
        <f aca="false">Q244*L244</f>
        <v>1.17408163265306</v>
      </c>
      <c r="S244" s="14" t="n">
        <f aca="false">J244-R244</f>
        <v>-1.17408163265306</v>
      </c>
      <c r="T244" s="14" t="n">
        <f aca="false">MIN(122.1,(T243+S244))</f>
        <v>113.211836734694</v>
      </c>
      <c r="V244" s="6" t="n">
        <v>785.5</v>
      </c>
      <c r="X244" s="6" t="n">
        <f aca="false">X243+V244</f>
        <v>94492.8</v>
      </c>
      <c r="Y244" s="6" t="n">
        <f aca="false">Y243+V244</f>
        <v>16568.3</v>
      </c>
      <c r="AA244" s="6" t="n">
        <v>12.4931875103012</v>
      </c>
      <c r="AC244" s="14" t="n">
        <f aca="false">(AB202*(60/180))+(AB230*(70/180))+(AB261*(50/180))</f>
        <v>9.91111111111111</v>
      </c>
    </row>
    <row r="245" s="6" customFormat="true" ht="15" hidden="false" customHeight="false" outlineLevel="0" collapsed="false">
      <c r="A245" s="33"/>
      <c r="B245" s="12" t="s">
        <v>60</v>
      </c>
      <c r="C245" s="7" t="n">
        <v>41361</v>
      </c>
      <c r="D245" s="6" t="n">
        <v>2.5</v>
      </c>
      <c r="E245" s="6" t="n">
        <v>0</v>
      </c>
      <c r="F245" s="6" t="n">
        <v>4.6</v>
      </c>
      <c r="G245" s="6" t="n">
        <f aca="false">G244+D245</f>
        <v>1247.4</v>
      </c>
      <c r="H245" s="6" t="n">
        <f aca="false">H244+D245</f>
        <v>130.1</v>
      </c>
      <c r="J245" s="6" t="n">
        <v>0.6</v>
      </c>
      <c r="K245" s="6" t="n">
        <f aca="false">K244+J245</f>
        <v>490.1</v>
      </c>
      <c r="L245" s="6" t="n">
        <v>0.6</v>
      </c>
      <c r="M245" s="6" t="n">
        <f aca="false">M244+L245</f>
        <v>175.2</v>
      </c>
      <c r="N245" s="6" t="n">
        <v>0</v>
      </c>
      <c r="O245" s="6" t="n">
        <f aca="false">O244+N245</f>
        <v>113.9</v>
      </c>
      <c r="P245" s="6" t="n">
        <v>198</v>
      </c>
      <c r="Q245" s="6" t="n">
        <f aca="false">1+((P245-175)/49)*(1.15-1)</f>
        <v>1.07040816326531</v>
      </c>
      <c r="R245" s="14" t="n">
        <f aca="false">Q245*L245</f>
        <v>0.642244897959184</v>
      </c>
      <c r="S245" s="14" t="n">
        <f aca="false">J245-R245</f>
        <v>-0.0422448979591837</v>
      </c>
      <c r="T245" s="14" t="n">
        <f aca="false">MIN(122.1,(T244+S245))</f>
        <v>113.169591836735</v>
      </c>
      <c r="V245" s="6" t="n">
        <v>571</v>
      </c>
      <c r="X245" s="6" t="n">
        <f aca="false">X244+V245</f>
        <v>95063.8</v>
      </c>
      <c r="Y245" s="6" t="n">
        <f aca="false">Y244+V245</f>
        <v>17139.3</v>
      </c>
      <c r="AA245" s="6" t="n">
        <v>12.5499529976693</v>
      </c>
    </row>
    <row r="246" s="6" customFormat="true" ht="15" hidden="false" customHeight="false" outlineLevel="0" collapsed="false">
      <c r="A246" s="33"/>
      <c r="B246" s="12"/>
      <c r="C246" s="7" t="n">
        <v>41362</v>
      </c>
      <c r="D246" s="6" t="n">
        <v>1.9</v>
      </c>
      <c r="E246" s="6" t="n">
        <v>-2</v>
      </c>
      <c r="F246" s="6" t="n">
        <v>4.8</v>
      </c>
      <c r="G246" s="6" t="n">
        <f aca="false">G245+D246</f>
        <v>1249.3</v>
      </c>
      <c r="H246" s="6" t="n">
        <f aca="false">H245+D246</f>
        <v>132</v>
      </c>
      <c r="J246" s="6" t="n">
        <v>1.5</v>
      </c>
      <c r="K246" s="6" t="n">
        <f aca="false">K245+J246</f>
        <v>491.6</v>
      </c>
      <c r="L246" s="6" t="n">
        <v>0.7</v>
      </c>
      <c r="M246" s="6" t="n">
        <f aca="false">M245+L246</f>
        <v>175.9</v>
      </c>
      <c r="N246" s="6" t="n">
        <v>0.8</v>
      </c>
      <c r="O246" s="6" t="n">
        <f aca="false">O245+N246</f>
        <v>114.7</v>
      </c>
      <c r="P246" s="6" t="n">
        <v>199</v>
      </c>
      <c r="Q246" s="6" t="n">
        <f aca="false">1+((P246-175)/49)*(1.15-1)</f>
        <v>1.0734693877551</v>
      </c>
      <c r="R246" s="14" t="n">
        <f aca="false">Q246*L246</f>
        <v>0.751428571428571</v>
      </c>
      <c r="S246" s="14" t="n">
        <f aca="false">J246-R246</f>
        <v>0.748571428571429</v>
      </c>
      <c r="T246" s="14" t="n">
        <f aca="false">MIN(122.1,(T245+S246))</f>
        <v>113.918163265306</v>
      </c>
      <c r="V246" s="6" t="n">
        <v>707.7</v>
      </c>
      <c r="X246" s="6" t="n">
        <f aca="false">X245+V246</f>
        <v>95771.5</v>
      </c>
      <c r="Y246" s="6" t="n">
        <f aca="false">Y245+V246</f>
        <v>17847</v>
      </c>
      <c r="AA246" s="6" t="n">
        <v>12.6066627386971</v>
      </c>
    </row>
    <row r="247" s="6" customFormat="true" ht="15" hidden="false" customHeight="false" outlineLevel="0" collapsed="false">
      <c r="A247" s="33"/>
      <c r="B247" s="12"/>
      <c r="C247" s="7" t="n">
        <v>41363</v>
      </c>
      <c r="D247" s="6" t="n">
        <v>5.2</v>
      </c>
      <c r="E247" s="6" t="n">
        <v>2.9</v>
      </c>
      <c r="F247" s="6" t="n">
        <v>7.7</v>
      </c>
      <c r="G247" s="6" t="n">
        <f aca="false">G246+D247</f>
        <v>1254.5</v>
      </c>
      <c r="H247" s="6" t="n">
        <f aca="false">H246+D247</f>
        <v>137.2</v>
      </c>
      <c r="J247" s="6" t="n">
        <v>2.6</v>
      </c>
      <c r="K247" s="6" t="n">
        <f aca="false">K246+J247</f>
        <v>494.2</v>
      </c>
      <c r="L247" s="6" t="n">
        <v>0.9</v>
      </c>
      <c r="M247" s="6" t="n">
        <f aca="false">M246+L247</f>
        <v>176.8</v>
      </c>
      <c r="N247" s="6" t="n">
        <v>1.7</v>
      </c>
      <c r="O247" s="6" t="n">
        <f aca="false">O246+N247</f>
        <v>116.4</v>
      </c>
      <c r="P247" s="6" t="n">
        <v>200</v>
      </c>
      <c r="Q247" s="6" t="n">
        <f aca="false">1+((P247-175)/49)*(1.15-1)</f>
        <v>1.0765306122449</v>
      </c>
      <c r="R247" s="14" t="n">
        <f aca="false">Q247*L247</f>
        <v>0.968877551020408</v>
      </c>
      <c r="S247" s="14" t="n">
        <f aca="false">J247-R247</f>
        <v>1.63112244897959</v>
      </c>
      <c r="T247" s="14" t="n">
        <f aca="false">MIN(122.1,(T246+S247))</f>
        <v>115.549285714286</v>
      </c>
      <c r="V247" s="6" t="n">
        <v>644.5</v>
      </c>
      <c r="X247" s="6" t="n">
        <f aca="false">X246+V247</f>
        <v>96416</v>
      </c>
      <c r="Y247" s="6" t="n">
        <f aca="false">Y246+V247</f>
        <v>18491.5</v>
      </c>
      <c r="AA247" s="6" t="n">
        <v>12.6633105314329</v>
      </c>
    </row>
    <row r="248" s="6" customFormat="true" ht="15" hidden="false" customHeight="false" outlineLevel="0" collapsed="false">
      <c r="A248" s="33"/>
      <c r="B248" s="12"/>
      <c r="C248" s="7" t="n">
        <v>41364</v>
      </c>
      <c r="D248" s="6" t="n">
        <v>3.2</v>
      </c>
      <c r="E248" s="6" t="n">
        <v>0</v>
      </c>
      <c r="F248" s="6" t="n">
        <v>6.9</v>
      </c>
      <c r="G248" s="6" t="n">
        <f aca="false">G247+D248</f>
        <v>1257.7</v>
      </c>
      <c r="H248" s="6" t="n">
        <f aca="false">H247+D248</f>
        <v>140.4</v>
      </c>
      <c r="J248" s="6" t="n">
        <v>0</v>
      </c>
      <c r="K248" s="6" t="n">
        <f aca="false">K247+J248</f>
        <v>494.2</v>
      </c>
      <c r="L248" s="6" t="n">
        <v>1.8</v>
      </c>
      <c r="M248" s="6" t="n">
        <f aca="false">M247+L248</f>
        <v>178.6</v>
      </c>
      <c r="N248" s="6" t="n">
        <v>-1.8</v>
      </c>
      <c r="O248" s="6" t="n">
        <f aca="false">O247+N248</f>
        <v>114.6</v>
      </c>
      <c r="P248" s="6" t="n">
        <v>201</v>
      </c>
      <c r="Q248" s="6" t="n">
        <f aca="false">1+((P248-175)/49)*(1.15-1)</f>
        <v>1.07959183673469</v>
      </c>
      <c r="R248" s="14" t="n">
        <f aca="false">Q248*L248</f>
        <v>1.94326530612245</v>
      </c>
      <c r="S248" s="14" t="n">
        <f aca="false">J248-R248</f>
        <v>-1.94326530612245</v>
      </c>
      <c r="T248" s="14" t="n">
        <f aca="false">MIN(122.1,(T247+S248))</f>
        <v>113.606020408163</v>
      </c>
      <c r="V248" s="6" t="n">
        <v>1385.3</v>
      </c>
      <c r="X248" s="6" t="n">
        <f aca="false">X247+V248</f>
        <v>97801.3</v>
      </c>
      <c r="Y248" s="6" t="n">
        <f aca="false">Y247+V248</f>
        <v>19876.8</v>
      </c>
      <c r="AA248" s="6" t="n">
        <v>12.719890070641</v>
      </c>
    </row>
    <row r="249" s="6" customFormat="true" ht="15" hidden="false" customHeight="false" outlineLevel="0" collapsed="false">
      <c r="A249" s="33"/>
      <c r="B249" s="12"/>
      <c r="C249" s="7" t="n">
        <v>41365</v>
      </c>
      <c r="D249" s="6" t="n">
        <v>4.9</v>
      </c>
      <c r="E249" s="6" t="n">
        <v>-1.6</v>
      </c>
      <c r="F249" s="6" t="n">
        <v>11.2</v>
      </c>
      <c r="G249" s="6" t="n">
        <f aca="false">G248+D249</f>
        <v>1262.6</v>
      </c>
      <c r="H249" s="6" t="n">
        <f aca="false">H248+D249</f>
        <v>145.3</v>
      </c>
      <c r="J249" s="6" t="n">
        <v>0</v>
      </c>
      <c r="K249" s="6" t="n">
        <f aca="false">K248+J249</f>
        <v>494.2</v>
      </c>
      <c r="L249" s="6" t="n">
        <v>2.6</v>
      </c>
      <c r="M249" s="6" t="n">
        <f aca="false">M248+L249</f>
        <v>181.2</v>
      </c>
      <c r="N249" s="6" t="n">
        <v>-2.6</v>
      </c>
      <c r="O249" s="6" t="n">
        <f aca="false">O248+N249</f>
        <v>112</v>
      </c>
      <c r="P249" s="6" t="n">
        <v>202</v>
      </c>
      <c r="Q249" s="6" t="n">
        <f aca="false">1+((P249-175)/49)*(1.15-1)</f>
        <v>1.08265306122449</v>
      </c>
      <c r="R249" s="14" t="n">
        <f aca="false">Q249*L249</f>
        <v>2.81489795918367</v>
      </c>
      <c r="S249" s="14" t="n">
        <f aca="false">J249-R249</f>
        <v>-2.81489795918367</v>
      </c>
      <c r="T249" s="14" t="n">
        <f aca="false">MIN(122.1,(T248+S249))</f>
        <v>110.79112244898</v>
      </c>
      <c r="V249" s="6" t="n">
        <v>2095.4</v>
      </c>
      <c r="X249" s="6" t="n">
        <f aca="false">X248+V249</f>
        <v>99896.7</v>
      </c>
      <c r="Y249" s="6" t="n">
        <f aca="false">Y248+V249</f>
        <v>21972.2</v>
      </c>
      <c r="AA249" s="6" t="n">
        <v>12.7763949317472</v>
      </c>
    </row>
    <row r="250" s="6" customFormat="true" ht="15" hidden="false" customHeight="false" outlineLevel="0" collapsed="false">
      <c r="A250" s="33"/>
      <c r="B250" s="12"/>
      <c r="C250" s="7" t="n">
        <v>41366</v>
      </c>
      <c r="D250" s="6" t="n">
        <v>6</v>
      </c>
      <c r="E250" s="6" t="n">
        <v>0.2</v>
      </c>
      <c r="F250" s="6" t="n">
        <v>12</v>
      </c>
      <c r="G250" s="6" t="n">
        <f aca="false">G249+D250</f>
        <v>1268.6</v>
      </c>
      <c r="H250" s="6" t="n">
        <f aca="false">H249+D250</f>
        <v>151.3</v>
      </c>
      <c r="J250" s="6" t="n">
        <v>0</v>
      </c>
      <c r="K250" s="6" t="n">
        <f aca="false">K249+J250</f>
        <v>494.2</v>
      </c>
      <c r="L250" s="6" t="n">
        <v>2.3</v>
      </c>
      <c r="M250" s="6" t="n">
        <f aca="false">M249+L250</f>
        <v>183.5</v>
      </c>
      <c r="N250" s="6" t="n">
        <v>-2.3</v>
      </c>
      <c r="O250" s="6" t="n">
        <f aca="false">O249+N250</f>
        <v>109.7</v>
      </c>
      <c r="P250" s="6" t="n">
        <v>203</v>
      </c>
      <c r="Q250" s="6" t="n">
        <f aca="false">1+((P250-175)/49)*(1.15-1)</f>
        <v>1.08571428571429</v>
      </c>
      <c r="R250" s="14" t="n">
        <f aca="false">Q250*L250</f>
        <v>2.49714285714286</v>
      </c>
      <c r="S250" s="14" t="n">
        <f aca="false">J250-R250</f>
        <v>-2.49714285714286</v>
      </c>
      <c r="T250" s="14" t="n">
        <f aca="false">MIN(122.1,(T249+S250))</f>
        <v>108.293979591837</v>
      </c>
      <c r="V250" s="6" t="n">
        <v>1687.8</v>
      </c>
      <c r="X250" s="6" t="n">
        <f aca="false">X249+V250</f>
        <v>101584.5</v>
      </c>
      <c r="Y250" s="6" t="n">
        <f aca="false">Y249+V250</f>
        <v>23660</v>
      </c>
      <c r="AA250" s="6" t="n">
        <v>12.832818554872</v>
      </c>
    </row>
    <row r="251" s="6" customFormat="true" ht="15" hidden="false" customHeight="false" outlineLevel="0" collapsed="false">
      <c r="A251" s="33"/>
      <c r="B251" s="12"/>
      <c r="C251" s="7" t="n">
        <v>41367</v>
      </c>
      <c r="D251" s="6" t="n">
        <v>6.1</v>
      </c>
      <c r="E251" s="6" t="n">
        <v>1</v>
      </c>
      <c r="F251" s="6" t="n">
        <v>12.4</v>
      </c>
      <c r="G251" s="6" t="n">
        <f aca="false">G250+D251</f>
        <v>1274.7</v>
      </c>
      <c r="H251" s="6" t="n">
        <f aca="false">H250+D251</f>
        <v>157.4</v>
      </c>
      <c r="J251" s="6" t="n">
        <v>0</v>
      </c>
      <c r="K251" s="6" t="n">
        <f aca="false">K250+J251</f>
        <v>494.2</v>
      </c>
      <c r="L251" s="6" t="n">
        <v>2.3</v>
      </c>
      <c r="M251" s="6" t="n">
        <f aca="false">M250+L251</f>
        <v>185.8</v>
      </c>
      <c r="N251" s="6" t="n">
        <v>-2.3</v>
      </c>
      <c r="O251" s="6" t="n">
        <f aca="false">O250+N251</f>
        <v>107.4</v>
      </c>
      <c r="P251" s="6" t="n">
        <v>204</v>
      </c>
      <c r="Q251" s="6" t="n">
        <f aca="false">1+((P251-175)/49)*(1.15-1)</f>
        <v>1.08877551020408</v>
      </c>
      <c r="R251" s="14" t="n">
        <f aca="false">Q251*L251</f>
        <v>2.50418367346939</v>
      </c>
      <c r="S251" s="14" t="n">
        <f aca="false">J251-R251</f>
        <v>-2.50418367346939</v>
      </c>
      <c r="T251" s="14" t="n">
        <f aca="false">MIN(122.1,(T250+S251))</f>
        <v>105.789795918367</v>
      </c>
      <c r="V251" s="6" t="n">
        <v>1571</v>
      </c>
      <c r="X251" s="6" t="n">
        <f aca="false">X250+V251</f>
        <v>103155.5</v>
      </c>
      <c r="Y251" s="6" t="n">
        <f aca="false">Y250+V251</f>
        <v>25231</v>
      </c>
      <c r="AA251" s="6" t="n">
        <v>12.8891542289532</v>
      </c>
    </row>
    <row r="252" s="6" customFormat="true" ht="15" hidden="false" customHeight="false" outlineLevel="0" collapsed="false">
      <c r="A252" s="33"/>
      <c r="B252" s="12"/>
      <c r="C252" s="7" t="n">
        <v>41368</v>
      </c>
      <c r="D252" s="6" t="n">
        <v>9</v>
      </c>
      <c r="E252" s="6" t="n">
        <v>2.6</v>
      </c>
      <c r="F252" s="6" t="n">
        <v>16</v>
      </c>
      <c r="G252" s="6" t="n">
        <f aca="false">G251+D252</f>
        <v>1283.7</v>
      </c>
      <c r="H252" s="6" t="n">
        <f aca="false">H251+D252</f>
        <v>166.4</v>
      </c>
      <c r="J252" s="25" t="n">
        <v>0</v>
      </c>
      <c r="K252" s="6" t="n">
        <f aca="false">K251+J252</f>
        <v>494.2</v>
      </c>
      <c r="L252" s="6" t="n">
        <v>2.5</v>
      </c>
      <c r="M252" s="6" t="n">
        <f aca="false">M251+L252</f>
        <v>188.3</v>
      </c>
      <c r="N252" s="6" t="n">
        <v>-2.5</v>
      </c>
      <c r="O252" s="6" t="n">
        <f aca="false">O251+N252</f>
        <v>104.9</v>
      </c>
      <c r="P252" s="6" t="n">
        <v>205</v>
      </c>
      <c r="Q252" s="6" t="n">
        <f aca="false">1+((P252-175)/49)*(1.15-1)</f>
        <v>1.09183673469388</v>
      </c>
      <c r="R252" s="14" t="n">
        <f aca="false">Q252*L252</f>
        <v>2.72959183673469</v>
      </c>
      <c r="S252" s="14" t="n">
        <f aca="false">J252-R252</f>
        <v>-2.72959183673469</v>
      </c>
      <c r="T252" s="14" t="n">
        <f aca="false">MIN(122.1,(T251+S252))</f>
        <v>103.060204081633</v>
      </c>
      <c r="V252" s="6" t="n">
        <v>1687.4</v>
      </c>
      <c r="X252" s="6" t="n">
        <f aca="false">X251+V252</f>
        <v>104842.9</v>
      </c>
      <c r="Y252" s="6" t="n">
        <f aca="false">Y251+V252</f>
        <v>26918.4</v>
      </c>
      <c r="AA252" s="6" t="n">
        <v>12.9453950759628</v>
      </c>
      <c r="AB252" s="26" t="s">
        <v>47</v>
      </c>
    </row>
    <row r="253" s="6" customFormat="true" ht="15" hidden="false" customHeight="false" outlineLevel="0" collapsed="false">
      <c r="A253" s="33"/>
      <c r="B253" s="12"/>
      <c r="C253" s="7" t="n">
        <v>41369</v>
      </c>
      <c r="D253" s="6" t="n">
        <v>7.7</v>
      </c>
      <c r="E253" s="6" t="n">
        <v>5.1</v>
      </c>
      <c r="F253" s="6" t="n">
        <v>11.4</v>
      </c>
      <c r="G253" s="6" t="n">
        <f aca="false">G252+D253</f>
        <v>1291.4</v>
      </c>
      <c r="H253" s="6" t="n">
        <f aca="false">H252+D253</f>
        <v>174.1</v>
      </c>
      <c r="J253" s="25" t="n">
        <v>0</v>
      </c>
      <c r="K253" s="6" t="n">
        <f aca="false">K252+J253</f>
        <v>494.2</v>
      </c>
      <c r="L253" s="6" t="n">
        <v>1.8</v>
      </c>
      <c r="M253" s="6" t="n">
        <f aca="false">M252+L253</f>
        <v>190.1</v>
      </c>
      <c r="N253" s="6" t="n">
        <v>-1.8</v>
      </c>
      <c r="O253" s="6" t="n">
        <f aca="false">O252+N253</f>
        <v>103.1</v>
      </c>
      <c r="P253" s="6" t="n">
        <v>206</v>
      </c>
      <c r="Q253" s="6" t="n">
        <f aca="false">1+((P253-175)/49)*(1.15-1)</f>
        <v>1.09489795918367</v>
      </c>
      <c r="R253" s="14" t="n">
        <f aca="false">Q253*L253</f>
        <v>1.97081632653061</v>
      </c>
      <c r="S253" s="14" t="n">
        <f aca="false">J253-R253</f>
        <v>-1.97081632653061</v>
      </c>
      <c r="T253" s="14" t="n">
        <f aca="false">MIN(122.1,(T252+S253))</f>
        <v>101.089387755102</v>
      </c>
      <c r="V253" s="6" t="n">
        <v>919.9</v>
      </c>
      <c r="X253" s="6" t="n">
        <f aca="false">X252+V253</f>
        <v>105762.8</v>
      </c>
      <c r="Y253" s="6" t="n">
        <f aca="false">Y252+V253</f>
        <v>27838.3</v>
      </c>
      <c r="AA253" s="6" t="n">
        <v>13.0015340352227</v>
      </c>
      <c r="AB253" s="14" t="n">
        <f aca="false">AVERAGE(T259:T272)</f>
        <v>106.731887755102</v>
      </c>
    </row>
    <row r="254" s="6" customFormat="true" ht="15" hidden="false" customHeight="false" outlineLevel="0" collapsed="false">
      <c r="A254" s="33"/>
      <c r="B254" s="12"/>
      <c r="C254" s="7" t="n">
        <v>41370</v>
      </c>
      <c r="D254" s="6" t="n">
        <v>5.9</v>
      </c>
      <c r="E254" s="6" t="n">
        <v>2.3</v>
      </c>
      <c r="F254" s="6" t="n">
        <v>10.5</v>
      </c>
      <c r="G254" s="6" t="n">
        <f aca="false">G253+D254</f>
        <v>1297.3</v>
      </c>
      <c r="H254" s="6" t="n">
        <f aca="false">H253+D254</f>
        <v>180</v>
      </c>
      <c r="J254" s="25" t="n">
        <v>0</v>
      </c>
      <c r="K254" s="6" t="n">
        <f aca="false">K253+J254</f>
        <v>494.2</v>
      </c>
      <c r="L254" s="6" t="n">
        <v>2.5</v>
      </c>
      <c r="M254" s="6" t="n">
        <f aca="false">M253+L254</f>
        <v>192.6</v>
      </c>
      <c r="N254" s="6" t="n">
        <v>-2.5</v>
      </c>
      <c r="O254" s="6" t="n">
        <f aca="false">O253+N254</f>
        <v>100.6</v>
      </c>
      <c r="P254" s="6" t="n">
        <v>207</v>
      </c>
      <c r="Q254" s="6" t="n">
        <f aca="false">1+((P254-175)/49)*(1.15-1)</f>
        <v>1.09795918367347</v>
      </c>
      <c r="R254" s="14" t="n">
        <f aca="false">Q254*L254</f>
        <v>2.74489795918367</v>
      </c>
      <c r="S254" s="14" t="n">
        <f aca="false">J254-R254</f>
        <v>-2.74489795918367</v>
      </c>
      <c r="T254" s="14" t="n">
        <f aca="false">MIN(122.1,(T253+S254))</f>
        <v>98.3444897959184</v>
      </c>
      <c r="V254" s="6" t="n">
        <v>1489.8</v>
      </c>
      <c r="X254" s="6" t="n">
        <f aca="false">X253+V254</f>
        <v>107252.6</v>
      </c>
      <c r="Y254" s="6" t="n">
        <f aca="false">Y253+V254</f>
        <v>29328.1</v>
      </c>
      <c r="AA254" s="6" t="n">
        <v>13.0575638478277</v>
      </c>
      <c r="AB254" s="26" t="s">
        <v>48</v>
      </c>
    </row>
    <row r="255" s="6" customFormat="true" ht="15" hidden="false" customHeight="false" outlineLevel="0" collapsed="false">
      <c r="A255" s="33"/>
      <c r="B255" s="12"/>
      <c r="C255" s="7" t="n">
        <v>41371</v>
      </c>
      <c r="D255" s="6" t="n">
        <v>5.8</v>
      </c>
      <c r="E255" s="6" t="n">
        <v>3.6</v>
      </c>
      <c r="F255" s="6" t="n">
        <v>9.1</v>
      </c>
      <c r="G255" s="6" t="n">
        <f aca="false">G254+D255</f>
        <v>1303.1</v>
      </c>
      <c r="H255" s="6" t="n">
        <f aca="false">H254+D255</f>
        <v>185.8</v>
      </c>
      <c r="J255" s="25" t="n">
        <v>0</v>
      </c>
      <c r="K255" s="6" t="n">
        <f aca="false">K254+J255</f>
        <v>494.2</v>
      </c>
      <c r="L255" s="6" t="n">
        <v>2.5</v>
      </c>
      <c r="M255" s="6" t="n">
        <f aca="false">M254+L255</f>
        <v>195.1</v>
      </c>
      <c r="N255" s="6" t="n">
        <v>-2.5</v>
      </c>
      <c r="O255" s="6" t="n">
        <f aca="false">O254+N255</f>
        <v>98.1</v>
      </c>
      <c r="P255" s="6" t="n">
        <v>208</v>
      </c>
      <c r="Q255" s="6" t="n">
        <f aca="false">1+((P255-175)/49)*(1.15-1)</f>
        <v>1.10102040816327</v>
      </c>
      <c r="R255" s="14" t="n">
        <f aca="false">Q255*L255</f>
        <v>2.75255102040816</v>
      </c>
      <c r="S255" s="14" t="n">
        <f aca="false">J255-R255</f>
        <v>-2.75255102040816</v>
      </c>
      <c r="T255" s="14" t="n">
        <f aca="false">MIN(122.1,(T254+S255))</f>
        <v>95.5919387755102</v>
      </c>
      <c r="V255" s="6" t="n">
        <v>1782.9</v>
      </c>
      <c r="X255" s="6" t="n">
        <f aca="false">X254+V255</f>
        <v>109035.5</v>
      </c>
      <c r="Y255" s="6" t="n">
        <f aca="false">Y254+V255</f>
        <v>31111</v>
      </c>
      <c r="AA255" s="6" t="n">
        <v>13.1134770411841</v>
      </c>
      <c r="AB255" s="6" t="n">
        <v>4</v>
      </c>
    </row>
    <row r="256" s="6" customFormat="true" ht="15" hidden="false" customHeight="false" outlineLevel="0" collapsed="false">
      <c r="A256" s="33"/>
      <c r="B256" s="12"/>
      <c r="C256" s="7" t="n">
        <v>41372</v>
      </c>
      <c r="D256" s="6" t="n">
        <v>5.2</v>
      </c>
      <c r="E256" s="6" t="n">
        <v>2.2</v>
      </c>
      <c r="F256" s="6" t="n">
        <v>7.4</v>
      </c>
      <c r="G256" s="6" t="n">
        <f aca="false">G255+D256</f>
        <v>1308.3</v>
      </c>
      <c r="H256" s="6" t="n">
        <f aca="false">H255+D256</f>
        <v>191</v>
      </c>
      <c r="J256" s="25" t="n">
        <v>4.2</v>
      </c>
      <c r="K256" s="6" t="n">
        <f aca="false">K255+J256</f>
        <v>498.4</v>
      </c>
      <c r="L256" s="6" t="n">
        <v>0.6</v>
      </c>
      <c r="M256" s="6" t="n">
        <f aca="false">M255+L256</f>
        <v>195.7</v>
      </c>
      <c r="N256" s="6" t="n">
        <v>3.6</v>
      </c>
      <c r="O256" s="6" t="n">
        <f aca="false">O255+N256</f>
        <v>101.7</v>
      </c>
      <c r="P256" s="6" t="n">
        <v>209</v>
      </c>
      <c r="Q256" s="6" t="n">
        <f aca="false">1+((P256-175)/49)*(1.15-1)</f>
        <v>1.10408163265306</v>
      </c>
      <c r="R256" s="14" t="n">
        <f aca="false">Q256*L256</f>
        <v>0.662448979591837</v>
      </c>
      <c r="S256" s="14" t="n">
        <f aca="false">J256-R256</f>
        <v>3.53755102040816</v>
      </c>
      <c r="T256" s="14" t="n">
        <f aca="false">MIN(122.1,(T255+S256))</f>
        <v>99.1294897959184</v>
      </c>
      <c r="V256" s="6" t="n">
        <v>555.1</v>
      </c>
      <c r="X256" s="6" t="n">
        <f aca="false">X255+V256</f>
        <v>109590.6</v>
      </c>
      <c r="Y256" s="6" t="n">
        <f aca="false">Y255+V256</f>
        <v>31666.1</v>
      </c>
      <c r="AA256" s="6" t="n">
        <v>13.1692659136741</v>
      </c>
      <c r="AB256" s="26" t="s">
        <v>50</v>
      </c>
    </row>
    <row r="257" s="6" customFormat="true" ht="15" hidden="false" customHeight="false" outlineLevel="0" collapsed="false">
      <c r="A257" s="33"/>
      <c r="B257" s="12"/>
      <c r="C257" s="7" t="n">
        <v>41373</v>
      </c>
      <c r="D257" s="6" t="n">
        <v>8.2</v>
      </c>
      <c r="E257" s="6" t="n">
        <v>4.5</v>
      </c>
      <c r="F257" s="6" t="n">
        <v>11.9</v>
      </c>
      <c r="G257" s="6" t="n">
        <f aca="false">G256+D257</f>
        <v>1316.5</v>
      </c>
      <c r="H257" s="6" t="n">
        <f aca="false">H256+D257</f>
        <v>199.2</v>
      </c>
      <c r="J257" s="25" t="n">
        <v>5.8</v>
      </c>
      <c r="K257" s="6" t="n">
        <f aca="false">K256+J257</f>
        <v>504.2</v>
      </c>
      <c r="L257" s="6" t="n">
        <v>1.2</v>
      </c>
      <c r="M257" s="6" t="n">
        <f aca="false">M256+L257</f>
        <v>196.9</v>
      </c>
      <c r="N257" s="6" t="n">
        <v>4.6</v>
      </c>
      <c r="O257" s="6" t="n">
        <f aca="false">O256+N257</f>
        <v>106.3</v>
      </c>
      <c r="P257" s="6" t="n">
        <v>210</v>
      </c>
      <c r="Q257" s="6" t="n">
        <f aca="false">1+((P257-175)/49)*(1.15-1)</f>
        <v>1.10714285714286</v>
      </c>
      <c r="R257" s="14" t="n">
        <f aca="false">Q257*L257</f>
        <v>1.32857142857143</v>
      </c>
      <c r="S257" s="14" t="n">
        <f aca="false">J257-R257</f>
        <v>4.47142857142857</v>
      </c>
      <c r="T257" s="14" t="n">
        <f aca="false">MIN(122.1,(T256+S257))</f>
        <v>103.600918367347</v>
      </c>
      <c r="V257" s="6" t="n">
        <v>700.4</v>
      </c>
      <c r="X257" s="6" t="n">
        <f aca="false">X256+V257</f>
        <v>110291</v>
      </c>
      <c r="Y257" s="6" t="n">
        <f aca="false">Y256+V257</f>
        <v>32366.5</v>
      </c>
      <c r="AA257" s="6" t="n">
        <v>13.2249225194602</v>
      </c>
      <c r="AB257" s="6" t="n">
        <v>7</v>
      </c>
    </row>
    <row r="258" s="6" customFormat="true" ht="15" hidden="false" customHeight="false" outlineLevel="0" collapsed="false">
      <c r="A258" s="33"/>
      <c r="B258" s="12"/>
      <c r="C258" s="7" t="n">
        <v>41374</v>
      </c>
      <c r="D258" s="6" t="n">
        <v>10.4</v>
      </c>
      <c r="E258" s="6" t="n">
        <v>7.3</v>
      </c>
      <c r="F258" s="6" t="n">
        <v>13</v>
      </c>
      <c r="G258" s="6" t="n">
        <f aca="false">G257+D258</f>
        <v>1326.9</v>
      </c>
      <c r="H258" s="6" t="n">
        <f aca="false">H257+D258</f>
        <v>209.6</v>
      </c>
      <c r="J258" s="25" t="n">
        <v>8.1</v>
      </c>
      <c r="K258" s="6" t="n">
        <f aca="false">K257+J258</f>
        <v>512.3</v>
      </c>
      <c r="L258" s="6" t="n">
        <v>1.7</v>
      </c>
      <c r="M258" s="6" t="n">
        <f aca="false">M257+L258</f>
        <v>198.6</v>
      </c>
      <c r="N258" s="6" t="n">
        <v>6.4</v>
      </c>
      <c r="O258" s="6" t="n">
        <f aca="false">O257+N258</f>
        <v>112.7</v>
      </c>
      <c r="P258" s="6" t="n">
        <v>211</v>
      </c>
      <c r="Q258" s="6" t="n">
        <f aca="false">1+((P258-175)/49)*(1.15-1)</f>
        <v>1.11020408163265</v>
      </c>
      <c r="R258" s="14" t="n">
        <f aca="false">Q258*L258</f>
        <v>1.88734693877551</v>
      </c>
      <c r="S258" s="14" t="n">
        <f aca="false">J258-R258</f>
        <v>6.21265306122449</v>
      </c>
      <c r="T258" s="14" t="n">
        <f aca="false">MIN(122.1,(T257+S258))</f>
        <v>109.813571428571</v>
      </c>
      <c r="V258" s="6" t="n">
        <v>1059.6</v>
      </c>
      <c r="X258" s="6" t="n">
        <f aca="false">X257+V258</f>
        <v>111350.6</v>
      </c>
      <c r="Y258" s="6" t="n">
        <f aca="false">Y257+V258</f>
        <v>33426.1</v>
      </c>
      <c r="AA258" s="6" t="n">
        <v>13.2804386534427</v>
      </c>
      <c r="AB258" s="26" t="s">
        <v>51</v>
      </c>
    </row>
    <row r="259" s="6" customFormat="true" ht="15" hidden="false" customHeight="false" outlineLevel="0" collapsed="false">
      <c r="A259" s="33"/>
      <c r="B259" s="12"/>
      <c r="C259" s="7" t="n">
        <v>41375</v>
      </c>
      <c r="D259" s="6" t="n">
        <v>11.5</v>
      </c>
      <c r="E259" s="6" t="n">
        <v>9.8</v>
      </c>
      <c r="F259" s="6" t="n">
        <v>13.5</v>
      </c>
      <c r="G259" s="6" t="n">
        <f aca="false">G258+D259</f>
        <v>1338.4</v>
      </c>
      <c r="H259" s="6" t="n">
        <f aca="false">H258+D259</f>
        <v>221.1</v>
      </c>
      <c r="J259" s="25" t="n">
        <v>15.6</v>
      </c>
      <c r="K259" s="6" t="n">
        <f aca="false">K258+J259</f>
        <v>527.9</v>
      </c>
      <c r="L259" s="6" t="n">
        <v>1.3</v>
      </c>
      <c r="M259" s="6" t="n">
        <f aca="false">M258+L259</f>
        <v>199.9</v>
      </c>
      <c r="N259" s="6" t="n">
        <v>14.3</v>
      </c>
      <c r="O259" s="6" t="n">
        <v>122.1</v>
      </c>
      <c r="P259" s="6" t="n">
        <v>212</v>
      </c>
      <c r="Q259" s="6" t="n">
        <f aca="false">1+((P259-175)/49)*(1.15-1)</f>
        <v>1.11326530612245</v>
      </c>
      <c r="R259" s="14" t="n">
        <f aca="false">Q259*L259</f>
        <v>1.44724489795918</v>
      </c>
      <c r="S259" s="14" t="n">
        <f aca="false">J259-R259</f>
        <v>14.1527551020408</v>
      </c>
      <c r="T259" s="27" t="n">
        <f aca="false">MIN(122.1,(T258+S259))</f>
        <v>122.1</v>
      </c>
      <c r="V259" s="6" t="n">
        <v>479.7</v>
      </c>
      <c r="X259" s="6" t="n">
        <f aca="false">X258+V259</f>
        <v>111830.3</v>
      </c>
      <c r="Y259" s="6" t="n">
        <f aca="false">Y258+V259</f>
        <v>33905.8</v>
      </c>
      <c r="AA259" s="6" t="n">
        <v>13.3358058363897</v>
      </c>
      <c r="AB259" s="6" t="n">
        <v>0</v>
      </c>
    </row>
    <row r="260" s="6" customFormat="true" ht="15" hidden="false" customHeight="false" outlineLevel="0" collapsed="false">
      <c r="A260" s="33"/>
      <c r="B260" s="12"/>
      <c r="C260" s="7" t="n">
        <v>41376</v>
      </c>
      <c r="D260" s="6" t="n">
        <v>9.3</v>
      </c>
      <c r="E260" s="6" t="n">
        <v>9.1</v>
      </c>
      <c r="F260" s="6" t="n">
        <v>10.2</v>
      </c>
      <c r="G260" s="6" t="n">
        <f aca="false">G259+D260</f>
        <v>1347.7</v>
      </c>
      <c r="H260" s="6" t="n">
        <f aca="false">H259+D260</f>
        <v>230.4</v>
      </c>
      <c r="J260" s="25" t="n">
        <v>5.5</v>
      </c>
      <c r="K260" s="6" t="n">
        <f aca="false">K259+J260</f>
        <v>533.4</v>
      </c>
      <c r="L260" s="6" t="n">
        <v>1.3</v>
      </c>
      <c r="M260" s="6" t="n">
        <f aca="false">M259+L260</f>
        <v>201.2</v>
      </c>
      <c r="N260" s="6" t="n">
        <v>4.2</v>
      </c>
      <c r="O260" s="6" t="n">
        <v>122.1</v>
      </c>
      <c r="P260" s="6" t="n">
        <v>213</v>
      </c>
      <c r="Q260" s="6" t="n">
        <f aca="false">1+((P260-175)/49)*(1.15-1)</f>
        <v>1.11632653061224</v>
      </c>
      <c r="R260" s="14" t="n">
        <f aca="false">Q260*L260</f>
        <v>1.45122448979592</v>
      </c>
      <c r="S260" s="14" t="n">
        <f aca="false">J260-R260</f>
        <v>4.04877551020408</v>
      </c>
      <c r="T260" s="27" t="n">
        <f aca="false">MIN(122.1,(T259+S260))</f>
        <v>122.1</v>
      </c>
      <c r="V260" s="6" t="n">
        <v>939</v>
      </c>
      <c r="X260" s="6" t="n">
        <f aca="false">X259+V260</f>
        <v>112769.3</v>
      </c>
      <c r="Y260" s="6" t="n">
        <f aca="false">Y259+V260</f>
        <v>34844.8</v>
      </c>
      <c r="AA260" s="6" t="n">
        <v>13.3910153002577</v>
      </c>
      <c r="AB260" s="26" t="s">
        <v>52</v>
      </c>
    </row>
    <row r="261" s="6" customFormat="true" ht="15" hidden="false" customHeight="false" outlineLevel="0" collapsed="false">
      <c r="A261" s="33"/>
      <c r="B261" s="12"/>
      <c r="C261" s="7" t="n">
        <v>41377</v>
      </c>
      <c r="D261" s="6" t="n">
        <v>12</v>
      </c>
      <c r="E261" s="6" t="n">
        <v>7.8</v>
      </c>
      <c r="F261" s="6" t="n">
        <v>15.8</v>
      </c>
      <c r="G261" s="6" t="n">
        <f aca="false">G260+D261</f>
        <v>1359.7</v>
      </c>
      <c r="H261" s="6" t="n">
        <f aca="false">H260+D261</f>
        <v>242.4</v>
      </c>
      <c r="J261" s="25" t="n">
        <v>0</v>
      </c>
      <c r="K261" s="6" t="n">
        <f aca="false">K260+J261</f>
        <v>533.4</v>
      </c>
      <c r="L261" s="6" t="n">
        <v>1.8</v>
      </c>
      <c r="M261" s="6" t="n">
        <f aca="false">M260+L261</f>
        <v>203</v>
      </c>
      <c r="N261" s="6" t="n">
        <v>-1.8</v>
      </c>
      <c r="O261" s="6" t="n">
        <f aca="false">O260+N261</f>
        <v>120.3</v>
      </c>
      <c r="P261" s="6" t="n">
        <v>214</v>
      </c>
      <c r="Q261" s="6" t="n">
        <f aca="false">1+((P261-175)/49)*(1.15-1)</f>
        <v>1.11938775510204</v>
      </c>
      <c r="R261" s="14" t="n">
        <f aca="false">Q261*L261</f>
        <v>2.01489795918367</v>
      </c>
      <c r="S261" s="14" t="n">
        <f aca="false">J261-R261</f>
        <v>-2.01489795918367</v>
      </c>
      <c r="T261" s="27" t="n">
        <f aca="false">MIN(122.1,(T260+S261))</f>
        <v>120.085102040816</v>
      </c>
      <c r="V261" s="6" t="n">
        <v>1069.2</v>
      </c>
      <c r="X261" s="6" t="n">
        <f aca="false">X260+V261</f>
        <v>113838.5</v>
      </c>
      <c r="Y261" s="6" t="n">
        <f aca="false">Y260+V261</f>
        <v>35914</v>
      </c>
      <c r="AA261" s="6" t="n">
        <v>13.4460579737258</v>
      </c>
      <c r="AB261" s="6" t="n">
        <f aca="false">SUM(J263:J272)</f>
        <v>0.6</v>
      </c>
    </row>
    <row r="262" s="30" customFormat="true" ht="15" hidden="false" customHeight="false" outlineLevel="0" collapsed="false">
      <c r="A262" s="33"/>
      <c r="B262" s="28" t="s">
        <v>61</v>
      </c>
      <c r="C262" s="29" t="n">
        <v>41378</v>
      </c>
      <c r="D262" s="30" t="n">
        <v>16.1</v>
      </c>
      <c r="E262" s="30" t="n">
        <v>8.5</v>
      </c>
      <c r="F262" s="30" t="n">
        <v>24.2</v>
      </c>
      <c r="G262" s="30" t="n">
        <f aca="false">G261+D262</f>
        <v>1375.8</v>
      </c>
      <c r="H262" s="30" t="n">
        <f aca="false">H261+D262</f>
        <v>258.5</v>
      </c>
      <c r="J262" s="30" t="n">
        <v>0</v>
      </c>
      <c r="K262" s="30" t="n">
        <f aca="false">K261+J262</f>
        <v>533.4</v>
      </c>
      <c r="L262" s="30" t="n">
        <v>4.2</v>
      </c>
      <c r="M262" s="30" t="n">
        <f aca="false">M261+L262</f>
        <v>207.2</v>
      </c>
      <c r="N262" s="30" t="n">
        <v>-4.2</v>
      </c>
      <c r="O262" s="30" t="n">
        <f aca="false">O261+N262</f>
        <v>116.1</v>
      </c>
      <c r="P262" s="30" t="n">
        <v>215</v>
      </c>
      <c r="Q262" s="30" t="n">
        <f aca="false">1+((P262-175)/49)*(1.15-1)</f>
        <v>1.12244897959184</v>
      </c>
      <c r="R262" s="31" t="n">
        <f aca="false">Q262*L262</f>
        <v>4.71428571428571</v>
      </c>
      <c r="S262" s="31" t="n">
        <f aca="false">J262-R262</f>
        <v>-4.71428571428571</v>
      </c>
      <c r="T262" s="31" t="n">
        <f aca="false">MIN(122.1,(T261+S262))</f>
        <v>115.370816326531</v>
      </c>
      <c r="V262" s="30" t="n">
        <v>2047.4</v>
      </c>
      <c r="W262" s="36"/>
      <c r="X262" s="36" t="n">
        <f aca="false">X261+V262</f>
        <v>115885.9</v>
      </c>
      <c r="Y262" s="30" t="n">
        <f aca="false">Y261+V262</f>
        <v>37961.4</v>
      </c>
      <c r="AA262" s="30" t="n">
        <v>13.5009244679692</v>
      </c>
    </row>
    <row r="263" s="6" customFormat="true" ht="15" hidden="false" customHeight="true" outlineLevel="0" collapsed="false">
      <c r="A263" s="33"/>
      <c r="B263" s="12"/>
      <c r="C263" s="7" t="n">
        <v>41379</v>
      </c>
      <c r="D263" s="6" t="n">
        <v>16.4</v>
      </c>
      <c r="E263" s="6" t="n">
        <v>11.2</v>
      </c>
      <c r="F263" s="6" t="n">
        <v>20.8</v>
      </c>
      <c r="G263" s="6" t="n">
        <f aca="false">G262+D263</f>
        <v>1392.2</v>
      </c>
      <c r="H263" s="6" t="n">
        <f aca="false">H262+D263</f>
        <v>274.9</v>
      </c>
      <c r="J263" s="25" t="n">
        <v>0.4</v>
      </c>
      <c r="K263" s="6" t="n">
        <f aca="false">K262+J263</f>
        <v>533.8</v>
      </c>
      <c r="L263" s="6" t="n">
        <v>2.3</v>
      </c>
      <c r="M263" s="6" t="n">
        <f aca="false">M262+L263</f>
        <v>209.5</v>
      </c>
      <c r="N263" s="6" t="n">
        <v>-1.9</v>
      </c>
      <c r="O263" s="6" t="n">
        <f aca="false">O262+N263</f>
        <v>114.2</v>
      </c>
      <c r="P263" s="6" t="n">
        <v>216</v>
      </c>
      <c r="Q263" s="6" t="n">
        <f aca="false">1+((P263-175)/49)*(1.15-1)</f>
        <v>1.12551020408163</v>
      </c>
      <c r="R263" s="14" t="n">
        <f aca="false">Q263*L263</f>
        <v>2.58867346938775</v>
      </c>
      <c r="S263" s="14" t="n">
        <f aca="false">J263-R263</f>
        <v>-2.18867346938775</v>
      </c>
      <c r="T263" s="27" t="n">
        <f aca="false">MIN(122.1,(T262+S263))</f>
        <v>113.182142857143</v>
      </c>
      <c r="U263" s="37"/>
      <c r="V263" s="6" t="n">
        <v>1202.8</v>
      </c>
      <c r="X263" s="6" t="n">
        <f aca="false">X262+V263</f>
        <v>117088.7</v>
      </c>
      <c r="Y263" s="6" t="n">
        <f aca="false">Y262+V263</f>
        <v>39164.2</v>
      </c>
      <c r="AA263" s="6" t="n">
        <v>13.5556050626987</v>
      </c>
    </row>
    <row r="264" s="6" customFormat="true" ht="15" hidden="false" customHeight="false" outlineLevel="0" collapsed="false">
      <c r="A264" s="33"/>
      <c r="B264" s="12"/>
      <c r="C264" s="7" t="n">
        <v>41380</v>
      </c>
      <c r="D264" s="6" t="n">
        <v>16.5</v>
      </c>
      <c r="E264" s="6" t="n">
        <v>10.5</v>
      </c>
      <c r="F264" s="6" t="n">
        <v>22.6</v>
      </c>
      <c r="G264" s="6" t="n">
        <f aca="false">G263+D264</f>
        <v>1408.7</v>
      </c>
      <c r="H264" s="6" t="n">
        <f aca="false">H263+D264</f>
        <v>291.4</v>
      </c>
      <c r="J264" s="25" t="n">
        <v>0</v>
      </c>
      <c r="K264" s="6" t="n">
        <f aca="false">K263+J264</f>
        <v>533.8</v>
      </c>
      <c r="L264" s="6" t="n">
        <v>2.5</v>
      </c>
      <c r="M264" s="6" t="n">
        <f aca="false">M263+L264</f>
        <v>212</v>
      </c>
      <c r="N264" s="6" t="n">
        <v>-2.5</v>
      </c>
      <c r="O264" s="6" t="n">
        <f aca="false">O263+N264</f>
        <v>111.7</v>
      </c>
      <c r="P264" s="6" t="n">
        <v>217</v>
      </c>
      <c r="Q264" s="6" t="n">
        <f aca="false">1+((P264-175)/49)*(1.15-1)</f>
        <v>1.12857142857143</v>
      </c>
      <c r="R264" s="14" t="n">
        <f aca="false">Q264*L264</f>
        <v>2.82142857142857</v>
      </c>
      <c r="S264" s="14" t="n">
        <f aca="false">J264-R264</f>
        <v>-2.82142857142857</v>
      </c>
      <c r="T264" s="27" t="n">
        <f aca="false">MIN(122.1,(T263+S264))</f>
        <v>110.360714285714</v>
      </c>
      <c r="V264" s="6" t="n">
        <v>1393.4</v>
      </c>
      <c r="X264" s="6" t="n">
        <f aca="false">X263+V264</f>
        <v>118482.1</v>
      </c>
      <c r="Y264" s="6" t="n">
        <f aca="false">Y263+V264</f>
        <v>40557.6</v>
      </c>
      <c r="AA264" s="6" t="n">
        <v>13.6100896924989</v>
      </c>
    </row>
    <row r="265" s="6" customFormat="true" ht="15" hidden="false" customHeight="false" outlineLevel="0" collapsed="false">
      <c r="A265" s="33"/>
      <c r="B265" s="12"/>
      <c r="C265" s="7" t="n">
        <v>41381</v>
      </c>
      <c r="D265" s="6" t="n">
        <v>16.8</v>
      </c>
      <c r="E265" s="6" t="n">
        <v>9.7</v>
      </c>
      <c r="F265" s="6" t="n">
        <v>23</v>
      </c>
      <c r="G265" s="6" t="n">
        <f aca="false">G264+D265</f>
        <v>1425.5</v>
      </c>
      <c r="H265" s="6" t="n">
        <f aca="false">H264+D265</f>
        <v>308.2</v>
      </c>
      <c r="J265" s="25" t="n">
        <v>0</v>
      </c>
      <c r="K265" s="6" t="n">
        <f aca="false">K264+J265</f>
        <v>533.8</v>
      </c>
      <c r="L265" s="6" t="n">
        <v>3.6</v>
      </c>
      <c r="M265" s="6" t="n">
        <f aca="false">M264+L265</f>
        <v>215.6</v>
      </c>
      <c r="N265" s="6" t="n">
        <v>-3.6</v>
      </c>
      <c r="O265" s="6" t="n">
        <f aca="false">O264+N265</f>
        <v>108.1</v>
      </c>
      <c r="P265" s="6" t="n">
        <v>218</v>
      </c>
      <c r="Q265" s="6" t="n">
        <f aca="false">1+((P265-175)/49)*(1.15-1)</f>
        <v>1.13163265306122</v>
      </c>
      <c r="R265" s="14" t="n">
        <f aca="false">Q265*L265</f>
        <v>4.07387755102041</v>
      </c>
      <c r="S265" s="14" t="n">
        <f aca="false">J265-R265</f>
        <v>-4.07387755102041</v>
      </c>
      <c r="T265" s="27" t="n">
        <f aca="false">MIN(122.1,(T264+S265))</f>
        <v>106.286836734694</v>
      </c>
      <c r="V265" s="6" t="n">
        <v>1989</v>
      </c>
      <c r="X265" s="6" t="n">
        <f aca="false">X264+V265</f>
        <v>120471.1</v>
      </c>
      <c r="Y265" s="6" t="n">
        <f aca="false">Y264+V265</f>
        <v>42546.6</v>
      </c>
      <c r="AA265" s="6" t="n">
        <v>13.6643679334979</v>
      </c>
    </row>
    <row r="266" s="6" customFormat="true" ht="15" hidden="false" customHeight="false" outlineLevel="0" collapsed="false">
      <c r="A266" s="33"/>
      <c r="B266" s="12"/>
      <c r="C266" s="7" t="n">
        <v>41382</v>
      </c>
      <c r="D266" s="6" t="n">
        <v>15</v>
      </c>
      <c r="E266" s="6" t="n">
        <v>13.2</v>
      </c>
      <c r="F266" s="6" t="n">
        <v>17.5</v>
      </c>
      <c r="G266" s="6" t="n">
        <f aca="false">G265+D266</f>
        <v>1440.5</v>
      </c>
      <c r="H266" s="6" t="n">
        <f aca="false">H265+D266</f>
        <v>323.2</v>
      </c>
      <c r="J266" s="25" t="n">
        <v>0.1</v>
      </c>
      <c r="K266" s="6" t="n">
        <f aca="false">K265+J266</f>
        <v>533.9</v>
      </c>
      <c r="L266" s="6" t="n">
        <v>2.4</v>
      </c>
      <c r="M266" s="6" t="n">
        <f aca="false">M265+L266</f>
        <v>218</v>
      </c>
      <c r="N266" s="6" t="n">
        <v>-2.3</v>
      </c>
      <c r="O266" s="6" t="n">
        <f aca="false">O265+N266</f>
        <v>105.8</v>
      </c>
      <c r="P266" s="6" t="n">
        <v>219</v>
      </c>
      <c r="Q266" s="6" t="n">
        <f aca="false">1+((P266-175)/49)*(1.15-1)</f>
        <v>1.13469387755102</v>
      </c>
      <c r="R266" s="14" t="n">
        <f aca="false">Q266*L266</f>
        <v>2.72326530612245</v>
      </c>
      <c r="S266" s="14" t="n">
        <f aca="false">J266-R266</f>
        <v>-2.62326530612245</v>
      </c>
      <c r="T266" s="27" t="n">
        <f aca="false">MIN(122.1,(T265+S266))</f>
        <v>103.663571428571</v>
      </c>
      <c r="V266" s="6" t="n">
        <v>1211.1</v>
      </c>
      <c r="X266" s="6" t="n">
        <f aca="false">X265+V266</f>
        <v>121682.2</v>
      </c>
      <c r="Y266" s="6" t="n">
        <f aca="false">Y265+V266</f>
        <v>43757.7</v>
      </c>
      <c r="AA266" s="6" t="n">
        <v>13.7184289904069</v>
      </c>
    </row>
    <row r="267" s="6" customFormat="true" ht="15" hidden="false" customHeight="false" outlineLevel="0" collapsed="false">
      <c r="A267" s="33"/>
      <c r="B267" s="12"/>
      <c r="C267" s="7" t="n">
        <v>41383</v>
      </c>
      <c r="D267" s="6" t="n">
        <v>10.8</v>
      </c>
      <c r="E267" s="6" t="n">
        <v>7.4</v>
      </c>
      <c r="F267" s="6" t="n">
        <v>12.2</v>
      </c>
      <c r="G267" s="6" t="n">
        <f aca="false">G266+D267</f>
        <v>1451.3</v>
      </c>
      <c r="H267" s="6" t="n">
        <f aca="false">H266+D267</f>
        <v>334</v>
      </c>
      <c r="J267" s="25" t="n">
        <v>0.1</v>
      </c>
      <c r="K267" s="6" t="n">
        <f aca="false">K266+J267</f>
        <v>534</v>
      </c>
      <c r="L267" s="6" t="n">
        <v>1.8</v>
      </c>
      <c r="M267" s="6" t="n">
        <f aca="false">M266+L267</f>
        <v>219.8</v>
      </c>
      <c r="N267" s="6" t="n">
        <v>-1.7</v>
      </c>
      <c r="O267" s="6" t="n">
        <f aca="false">O266+N267</f>
        <v>104.1</v>
      </c>
      <c r="P267" s="6" t="n">
        <v>220</v>
      </c>
      <c r="Q267" s="6" t="n">
        <f aca="false">1+((P267-175)/49)*(1.15-1)</f>
        <v>1.13775510204082</v>
      </c>
      <c r="R267" s="14" t="n">
        <f aca="false">Q267*L267</f>
        <v>2.04795918367347</v>
      </c>
      <c r="S267" s="14" t="n">
        <f aca="false">J267-R267</f>
        <v>-1.94795918367347</v>
      </c>
      <c r="T267" s="27" t="n">
        <f aca="false">MIN(122.1,(T266+S267))</f>
        <v>101.715612244898</v>
      </c>
      <c r="V267" s="6" t="n">
        <v>1094.8</v>
      </c>
      <c r="X267" s="6" t="n">
        <f aca="false">X266+V267</f>
        <v>122777</v>
      </c>
      <c r="Y267" s="6" t="n">
        <f aca="false">Y266+V267</f>
        <v>44852.5</v>
      </c>
      <c r="AA267" s="6" t="n">
        <v>13.7722616839705</v>
      </c>
    </row>
    <row r="268" s="6" customFormat="true" ht="15" hidden="false" customHeight="false" outlineLevel="0" collapsed="false">
      <c r="A268" s="33"/>
      <c r="B268" s="12"/>
      <c r="C268" s="7" t="n">
        <v>41384</v>
      </c>
      <c r="D268" s="6" t="n">
        <v>8.7</v>
      </c>
      <c r="E268" s="6" t="n">
        <v>7.1</v>
      </c>
      <c r="F268" s="6" t="n">
        <v>9.5</v>
      </c>
      <c r="G268" s="6" t="n">
        <f aca="false">G267+D268</f>
        <v>1460</v>
      </c>
      <c r="H268" s="6" t="n">
        <f aca="false">H267+D268</f>
        <v>342.7</v>
      </c>
      <c r="J268" s="25" t="n">
        <v>0</v>
      </c>
      <c r="K268" s="6" t="n">
        <f aca="false">K267+J268</f>
        <v>534</v>
      </c>
      <c r="L268" s="6" t="n">
        <v>1.6</v>
      </c>
      <c r="M268" s="6" t="n">
        <f aca="false">M267+L268</f>
        <v>221.4</v>
      </c>
      <c r="N268" s="6" t="n">
        <v>-1.6</v>
      </c>
      <c r="O268" s="6" t="n">
        <f aca="false">O267+N268</f>
        <v>102.5</v>
      </c>
      <c r="P268" s="6" t="n">
        <v>221</v>
      </c>
      <c r="Q268" s="6" t="n">
        <f aca="false">1+((P268-175)/49)*(1.15-1)</f>
        <v>1.14081632653061</v>
      </c>
      <c r="R268" s="14" t="n">
        <f aca="false">Q268*L268</f>
        <v>1.82530612244898</v>
      </c>
      <c r="S268" s="14" t="n">
        <f aca="false">J268-R268</f>
        <v>-1.82530612244898</v>
      </c>
      <c r="T268" s="27" t="n">
        <f aca="false">MIN(122.1,(T267+S268))</f>
        <v>99.890306122449</v>
      </c>
      <c r="V268" s="6" t="n">
        <v>711.6</v>
      </c>
      <c r="X268" s="6" t="n">
        <f aca="false">X267+V268</f>
        <v>123488.6</v>
      </c>
      <c r="Y268" s="6" t="n">
        <f aca="false">Y267+V268</f>
        <v>45564.1</v>
      </c>
      <c r="AA268" s="6" t="n">
        <v>13.8258544388717</v>
      </c>
    </row>
    <row r="269" s="6" customFormat="true" ht="15" hidden="false" customHeight="false" outlineLevel="0" collapsed="false">
      <c r="A269" s="33"/>
      <c r="B269" s="12"/>
      <c r="C269" s="7" t="n">
        <v>41385</v>
      </c>
      <c r="D269" s="6" t="n">
        <v>10</v>
      </c>
      <c r="E269" s="6" t="n">
        <v>8.2</v>
      </c>
      <c r="F269" s="6" t="n">
        <v>12.3</v>
      </c>
      <c r="G269" s="6" t="n">
        <f aca="false">G268+D269</f>
        <v>1470</v>
      </c>
      <c r="H269" s="6" t="n">
        <f aca="false">H268+D269</f>
        <v>352.7</v>
      </c>
      <c r="J269" s="25" t="n">
        <v>0</v>
      </c>
      <c r="K269" s="6" t="n">
        <f aca="false">K268+J269</f>
        <v>534</v>
      </c>
      <c r="L269" s="6" t="n">
        <v>1.8</v>
      </c>
      <c r="M269" s="6" t="n">
        <f aca="false">M268+L269</f>
        <v>223.2</v>
      </c>
      <c r="N269" s="6" t="n">
        <v>-1.8</v>
      </c>
      <c r="O269" s="6" t="n">
        <f aca="false">O268+N269</f>
        <v>100.7</v>
      </c>
      <c r="P269" s="6" t="n">
        <v>222</v>
      </c>
      <c r="Q269" s="6" t="n">
        <f aca="false">1+((P269-175)/49)*(1.15-1)</f>
        <v>1.14387755102041</v>
      </c>
      <c r="R269" s="14" t="n">
        <f aca="false">Q269*L269</f>
        <v>2.05897959183673</v>
      </c>
      <c r="S269" s="14" t="n">
        <f aca="false">J269-R269</f>
        <v>-2.05897959183673</v>
      </c>
      <c r="T269" s="27" t="n">
        <f aca="false">MIN(122.1,(T268+S269))</f>
        <v>97.8313265306123</v>
      </c>
      <c r="V269" s="6" t="n">
        <v>1282.7</v>
      </c>
      <c r="X269" s="6" t="n">
        <f aca="false">X268+V269</f>
        <v>124771.3</v>
      </c>
      <c r="Y269" s="6" t="n">
        <f aca="false">Y268+V269</f>
        <v>46846.8</v>
      </c>
      <c r="AA269" s="6" t="n">
        <v>13.8791952721396</v>
      </c>
    </row>
    <row r="270" s="6" customFormat="true" ht="15" hidden="false" customHeight="false" outlineLevel="0" collapsed="false">
      <c r="A270" s="33"/>
      <c r="B270" s="12"/>
      <c r="C270" s="7" t="n">
        <v>41386</v>
      </c>
      <c r="D270" s="6" t="n">
        <v>10.8</v>
      </c>
      <c r="E270" s="6" t="n">
        <v>7.7</v>
      </c>
      <c r="F270" s="6" t="n">
        <v>15.9</v>
      </c>
      <c r="G270" s="6" t="n">
        <f aca="false">G269+D270</f>
        <v>1480.8</v>
      </c>
      <c r="H270" s="6" t="n">
        <f aca="false">H269+D270</f>
        <v>363.5</v>
      </c>
      <c r="J270" s="25" t="n">
        <v>0</v>
      </c>
      <c r="K270" s="6" t="n">
        <f aca="false">K269+J270</f>
        <v>534</v>
      </c>
      <c r="L270" s="6" t="n">
        <v>1.2</v>
      </c>
      <c r="M270" s="6" t="n">
        <f aca="false">M269+L270</f>
        <v>224.4</v>
      </c>
      <c r="N270" s="6" t="n">
        <v>-1.2</v>
      </c>
      <c r="O270" s="6" t="n">
        <f aca="false">O269+N270</f>
        <v>99.5</v>
      </c>
      <c r="P270" s="6" t="n">
        <v>223</v>
      </c>
      <c r="Q270" s="6" t="n">
        <f aca="false">1+((P270-175)/49)*(1.15-1)</f>
        <v>1.1469387755102</v>
      </c>
      <c r="R270" s="14" t="n">
        <f aca="false">Q270*L270</f>
        <v>1.37632653061224</v>
      </c>
      <c r="S270" s="14" t="n">
        <f aca="false">J270-R270</f>
        <v>-1.37632653061224</v>
      </c>
      <c r="T270" s="27" t="n">
        <f aca="false">MIN(122.1,(T269+S270))</f>
        <v>96.455</v>
      </c>
      <c r="V270" s="6" t="n">
        <v>698.8</v>
      </c>
      <c r="X270" s="6" t="n">
        <f aca="false">X269+V270</f>
        <v>125470.1</v>
      </c>
      <c r="Y270" s="6" t="n">
        <f aca="false">Y269+V270</f>
        <v>47545.6</v>
      </c>
      <c r="AA270" s="6" t="n">
        <v>13.9322717821123</v>
      </c>
    </row>
    <row r="271" s="20" customFormat="true" ht="15" hidden="false" customHeight="false" outlineLevel="0" collapsed="false">
      <c r="A271" s="33"/>
      <c r="B271" s="18"/>
      <c r="C271" s="19" t="n">
        <v>41387</v>
      </c>
      <c r="D271" s="20" t="n">
        <v>11.3</v>
      </c>
      <c r="E271" s="20" t="n">
        <v>4.4</v>
      </c>
      <c r="F271" s="20" t="n">
        <v>17</v>
      </c>
      <c r="G271" s="20" t="n">
        <f aca="false">G270+D271</f>
        <v>1492.1</v>
      </c>
      <c r="H271" s="20" t="n">
        <f aca="false">H270+D271</f>
        <v>374.8</v>
      </c>
      <c r="J271" s="32" t="n">
        <v>0</v>
      </c>
      <c r="K271" s="20" t="n">
        <f aca="false">K270+J271</f>
        <v>534</v>
      </c>
      <c r="L271" s="20" t="n">
        <v>1.6</v>
      </c>
      <c r="M271" s="20" t="n">
        <f aca="false">M270+L271</f>
        <v>226</v>
      </c>
      <c r="N271" s="20" t="n">
        <v>-1.6</v>
      </c>
      <c r="O271" s="20" t="n">
        <f aca="false">O270+N271</f>
        <v>97.9</v>
      </c>
      <c r="P271" s="20" t="n">
        <v>224</v>
      </c>
      <c r="Q271" s="20" t="n">
        <f aca="false">1+((P271-175)/49)*(1.15-1)</f>
        <v>1.15</v>
      </c>
      <c r="R271" s="21" t="n">
        <f aca="false">Q271*L271</f>
        <v>1.84</v>
      </c>
      <c r="S271" s="21" t="n">
        <f aca="false">J271-R271</f>
        <v>-1.84</v>
      </c>
      <c r="T271" s="38" t="n">
        <f aca="false">MIN(122.1,(T270+S271))</f>
        <v>94.615</v>
      </c>
      <c r="V271" s="20" t="n">
        <v>1310.2</v>
      </c>
      <c r="X271" s="20" t="n">
        <f aca="false">X270+V271</f>
        <v>126780.3</v>
      </c>
      <c r="Y271" s="20" t="n">
        <f aca="false">Y270+V271</f>
        <v>48855.8</v>
      </c>
      <c r="AA271" s="20" t="n">
        <v>13.985071138009</v>
      </c>
    </row>
    <row r="272" s="6" customFormat="true" ht="15" hidden="false" customHeight="false" outlineLevel="0" collapsed="false">
      <c r="A272" s="39" t="s">
        <v>62</v>
      </c>
      <c r="C272" s="7" t="n">
        <v>41388</v>
      </c>
      <c r="D272" s="6" t="n">
        <v>13.9</v>
      </c>
      <c r="E272" s="6" t="n">
        <v>7.4</v>
      </c>
      <c r="F272" s="6" t="n">
        <v>20.5</v>
      </c>
      <c r="G272" s="6" t="n">
        <f aca="false">G271+D272</f>
        <v>1506</v>
      </c>
      <c r="H272" s="6" t="n">
        <v>13.9</v>
      </c>
      <c r="I272" s="40" t="s">
        <v>29</v>
      </c>
      <c r="J272" s="25" t="n">
        <v>0</v>
      </c>
      <c r="K272" s="6" t="n">
        <f aca="false">K271+J272</f>
        <v>534</v>
      </c>
      <c r="L272" s="6" t="n">
        <v>3.5</v>
      </c>
      <c r="M272" s="6" t="n">
        <f aca="false">M271+L272</f>
        <v>229.5</v>
      </c>
      <c r="N272" s="6" t="n">
        <v>-3.5</v>
      </c>
      <c r="O272" s="6" t="n">
        <f aca="false">O271+N272</f>
        <v>94.4</v>
      </c>
      <c r="P272" s="6" t="n">
        <v>225</v>
      </c>
      <c r="Q272" s="6" t="n">
        <v>1.15</v>
      </c>
      <c r="R272" s="14" t="n">
        <f aca="false">Q272*L272</f>
        <v>4.025</v>
      </c>
      <c r="S272" s="14" t="n">
        <f aca="false">J272-R272</f>
        <v>-4.025</v>
      </c>
      <c r="T272" s="27" t="n">
        <f aca="false">MIN(122.1,(T271+S272))</f>
        <v>90.59</v>
      </c>
      <c r="U272" s="40" t="s">
        <v>30</v>
      </c>
      <c r="V272" s="6" t="n">
        <v>2223.2</v>
      </c>
      <c r="W272" s="41"/>
      <c r="X272" s="41" t="n">
        <f aca="false">X271+V272</f>
        <v>129003.5</v>
      </c>
      <c r="Y272" s="6" t="n">
        <v>2223.2</v>
      </c>
      <c r="Z272" s="40" t="s">
        <v>31</v>
      </c>
      <c r="AA272" s="6" t="n">
        <v>14.0375800701713</v>
      </c>
    </row>
    <row r="273" s="6" customFormat="true" ht="15" hidden="false" customHeight="true" outlineLevel="0" collapsed="false">
      <c r="A273" s="39"/>
      <c r="C273" s="7" t="n">
        <v>41389</v>
      </c>
      <c r="D273" s="6" t="n">
        <v>16.6</v>
      </c>
      <c r="E273" s="6" t="n">
        <v>9.1</v>
      </c>
      <c r="F273" s="6" t="n">
        <v>23.6</v>
      </c>
      <c r="G273" s="6" t="n">
        <f aca="false">G272+D273</f>
        <v>1522.6</v>
      </c>
      <c r="H273" s="6" t="n">
        <f aca="false">H272+D273</f>
        <v>30.5</v>
      </c>
      <c r="I273" s="6" t="n">
        <f aca="false">MIN(E272:E292)</f>
        <v>4.7</v>
      </c>
      <c r="J273" s="6" t="n">
        <v>0</v>
      </c>
      <c r="K273" s="6" t="n">
        <f aca="false">K272+J273</f>
        <v>534</v>
      </c>
      <c r="L273" s="6" t="n">
        <v>4.5</v>
      </c>
      <c r="M273" s="6" t="n">
        <f aca="false">M272+L273</f>
        <v>234</v>
      </c>
      <c r="N273" s="6" t="n">
        <v>-4.5</v>
      </c>
      <c r="O273" s="6" t="n">
        <f aca="false">O272+N273</f>
        <v>89.9</v>
      </c>
      <c r="P273" s="6" t="n">
        <v>226</v>
      </c>
      <c r="Q273" s="6" t="n">
        <v>1.15</v>
      </c>
      <c r="R273" s="14" t="n">
        <f aca="false">Q273*L273</f>
        <v>5.175</v>
      </c>
      <c r="S273" s="14" t="n">
        <f aca="false">J273-R273</f>
        <v>-5.175</v>
      </c>
      <c r="T273" s="14" t="n">
        <f aca="false">MIN(122.1,(T272+S273))</f>
        <v>85.415</v>
      </c>
      <c r="U273" s="6" t="n">
        <v>12</v>
      </c>
      <c r="V273" s="6" t="n">
        <v>2468.4</v>
      </c>
      <c r="X273" s="6" t="n">
        <f aca="false">X272+V273</f>
        <v>131471.9</v>
      </c>
      <c r="Y273" s="6" t="n">
        <f aca="false">Y272+V273</f>
        <v>4691.6</v>
      </c>
      <c r="Z273" s="6" t="n">
        <v>24888.4</v>
      </c>
      <c r="AA273" s="6" t="n">
        <v>14.0897848610359</v>
      </c>
    </row>
    <row r="274" s="6" customFormat="true" ht="15" hidden="false" customHeight="false" outlineLevel="0" collapsed="false">
      <c r="A274" s="39"/>
      <c r="C274" s="7" t="n">
        <v>41390</v>
      </c>
      <c r="D274" s="6" t="n">
        <v>13.7</v>
      </c>
      <c r="E274" s="6" t="n">
        <v>12.5</v>
      </c>
      <c r="F274" s="6" t="n">
        <v>16.5</v>
      </c>
      <c r="G274" s="6" t="n">
        <f aca="false">G273+D274</f>
        <v>1536.3</v>
      </c>
      <c r="H274" s="6" t="n">
        <f aca="false">H273+D274</f>
        <v>44.2</v>
      </c>
      <c r="I274" s="40" t="s">
        <v>32</v>
      </c>
      <c r="J274" s="6" t="n">
        <v>35.9</v>
      </c>
      <c r="K274" s="6" t="n">
        <f aca="false">K273+J274</f>
        <v>569.9</v>
      </c>
      <c r="L274" s="6" t="n">
        <v>1.2</v>
      </c>
      <c r="M274" s="6" t="n">
        <f aca="false">M273+L274</f>
        <v>235.2</v>
      </c>
      <c r="N274" s="6" t="n">
        <v>34.7</v>
      </c>
      <c r="O274" s="6" t="n">
        <v>122.1</v>
      </c>
      <c r="P274" s="6" t="n">
        <v>227</v>
      </c>
      <c r="Q274" s="6" t="n">
        <v>1.15</v>
      </c>
      <c r="R274" s="14" t="n">
        <f aca="false">Q274*L274</f>
        <v>1.38</v>
      </c>
      <c r="S274" s="14" t="n">
        <f aca="false">J274-R274</f>
        <v>34.52</v>
      </c>
      <c r="T274" s="14" t="n">
        <f aca="false">MIN(122.1,(T273+S274))</f>
        <v>119.935</v>
      </c>
      <c r="U274" s="40" t="s">
        <v>33</v>
      </c>
      <c r="V274" s="6" t="n">
        <v>590.9</v>
      </c>
      <c r="X274" s="6" t="n">
        <f aca="false">X273+V274</f>
        <v>132062.8</v>
      </c>
      <c r="Y274" s="6" t="n">
        <f aca="false">Y273+V274</f>
        <v>5282.5</v>
      </c>
      <c r="Z274" s="40" t="s">
        <v>34</v>
      </c>
      <c r="AA274" s="6" t="n">
        <v>14.1416713369059</v>
      </c>
    </row>
    <row r="275" s="6" customFormat="true" ht="15" hidden="false" customHeight="false" outlineLevel="0" collapsed="false">
      <c r="A275" s="39"/>
      <c r="C275" s="7" t="n">
        <v>41391</v>
      </c>
      <c r="D275" s="6" t="n">
        <v>5.5</v>
      </c>
      <c r="E275" s="6" t="n">
        <v>4.8</v>
      </c>
      <c r="F275" s="6" t="n">
        <v>5.6</v>
      </c>
      <c r="G275" s="6" t="n">
        <f aca="false">G274+D275</f>
        <v>1541.8</v>
      </c>
      <c r="H275" s="6" t="n">
        <f aca="false">H274+D275</f>
        <v>49.7</v>
      </c>
      <c r="I275" s="6" t="n">
        <f aca="false">MAX(F272:F292)</f>
        <v>23.6</v>
      </c>
      <c r="J275" s="6" t="n">
        <v>22.4</v>
      </c>
      <c r="K275" s="6" t="n">
        <f aca="false">K274+J275</f>
        <v>592.3</v>
      </c>
      <c r="L275" s="6" t="n">
        <v>0.7</v>
      </c>
      <c r="M275" s="6" t="n">
        <f aca="false">M274+L275</f>
        <v>235.9</v>
      </c>
      <c r="N275" s="6" t="n">
        <v>21.7</v>
      </c>
      <c r="O275" s="6" t="n">
        <v>122.1</v>
      </c>
      <c r="P275" s="6" t="n">
        <v>228</v>
      </c>
      <c r="Q275" s="6" t="n">
        <v>1.15</v>
      </c>
      <c r="R275" s="14" t="n">
        <f aca="false">Q275*L275</f>
        <v>0.805</v>
      </c>
      <c r="S275" s="14" t="n">
        <f aca="false">J275-R275</f>
        <v>21.595</v>
      </c>
      <c r="T275" s="14" t="n">
        <f aca="false">MIN(122.1,(T274+S275))</f>
        <v>122.1</v>
      </c>
      <c r="U275" s="6" t="n">
        <v>0</v>
      </c>
      <c r="V275" s="6" t="n">
        <v>494.8</v>
      </c>
      <c r="X275" s="6" t="n">
        <f aca="false">X274+V275</f>
        <v>132557.6</v>
      </c>
      <c r="Y275" s="6" t="n">
        <f aca="false">Y274+V275</f>
        <v>5777.3</v>
      </c>
      <c r="Z275" s="15" t="n">
        <f aca="false">(Z273/100)/I285</f>
        <v>0.950301641848034</v>
      </c>
      <c r="AA275" s="6" t="n">
        <v>14.1932248605896</v>
      </c>
    </row>
    <row r="276" s="6" customFormat="true" ht="15" hidden="false" customHeight="false" outlineLevel="0" collapsed="false">
      <c r="A276" s="39"/>
      <c r="C276" s="7" t="n">
        <v>41392</v>
      </c>
      <c r="D276" s="6" t="n">
        <v>6.8</v>
      </c>
      <c r="E276" s="6" t="n">
        <v>4.7</v>
      </c>
      <c r="F276" s="6" t="n">
        <v>8.7</v>
      </c>
      <c r="G276" s="6" t="n">
        <f aca="false">G275+D276</f>
        <v>1548.6</v>
      </c>
      <c r="H276" s="6" t="n">
        <f aca="false">H275+D276</f>
        <v>56.5</v>
      </c>
      <c r="I276" s="40" t="s">
        <v>35</v>
      </c>
      <c r="J276" s="6" t="n">
        <v>3.6</v>
      </c>
      <c r="K276" s="6" t="n">
        <f aca="false">K275+J276</f>
        <v>595.9</v>
      </c>
      <c r="L276" s="6" t="n">
        <v>0.6</v>
      </c>
      <c r="M276" s="6" t="n">
        <f aca="false">M275+L276</f>
        <v>236.5</v>
      </c>
      <c r="N276" s="6" t="n">
        <v>3</v>
      </c>
      <c r="O276" s="6" t="n">
        <v>122.1</v>
      </c>
      <c r="P276" s="6" t="n">
        <v>229</v>
      </c>
      <c r="Q276" s="6" t="n">
        <v>1.15</v>
      </c>
      <c r="R276" s="14" t="n">
        <f aca="false">Q276*L276</f>
        <v>0.69</v>
      </c>
      <c r="S276" s="14" t="n">
        <f aca="false">J276-R276</f>
        <v>2.91</v>
      </c>
      <c r="T276" s="14" t="n">
        <f aca="false">MIN(122.1,(T275+S276))</f>
        <v>122.1</v>
      </c>
      <c r="U276" s="40" t="s">
        <v>36</v>
      </c>
      <c r="V276" s="6" t="n">
        <v>559.1</v>
      </c>
      <c r="X276" s="6" t="n">
        <f aca="false">X275+V276</f>
        <v>133116.7</v>
      </c>
      <c r="Y276" s="6" t="n">
        <f aca="false">Y275+V276</f>
        <v>6336.4</v>
      </c>
      <c r="Z276" s="40" t="s">
        <v>37</v>
      </c>
      <c r="AA276" s="6" t="n">
        <v>14.2444303249817</v>
      </c>
    </row>
    <row r="277" s="6" customFormat="true" ht="15" hidden="false" customHeight="false" outlineLevel="0" collapsed="false">
      <c r="A277" s="39"/>
      <c r="C277" s="7" t="n">
        <v>41393</v>
      </c>
      <c r="D277" s="6" t="n">
        <v>9.6</v>
      </c>
      <c r="E277" s="6" t="n">
        <v>6.6</v>
      </c>
      <c r="F277" s="6" t="n">
        <v>12.7</v>
      </c>
      <c r="G277" s="6" t="n">
        <f aca="false">G276+D277</f>
        <v>1558.2</v>
      </c>
      <c r="H277" s="6" t="n">
        <f aca="false">H276+D277</f>
        <v>66.1</v>
      </c>
      <c r="I277" s="14" t="n">
        <f aca="false">AVERAGE(D272:D292)</f>
        <v>12.4714285714286</v>
      </c>
      <c r="J277" s="6" t="n">
        <v>4.3</v>
      </c>
      <c r="K277" s="6" t="n">
        <f aca="false">K276+J277</f>
        <v>600.2</v>
      </c>
      <c r="L277" s="6" t="n">
        <v>0.9</v>
      </c>
      <c r="M277" s="6" t="n">
        <f aca="false">M276+L277</f>
        <v>237.4</v>
      </c>
      <c r="N277" s="6" t="n">
        <v>3.4</v>
      </c>
      <c r="O277" s="6" t="n">
        <v>122.1</v>
      </c>
      <c r="P277" s="6" t="n">
        <v>230</v>
      </c>
      <c r="Q277" s="6" t="n">
        <v>1.15</v>
      </c>
      <c r="R277" s="14" t="n">
        <f aca="false">Q277*L277</f>
        <v>1.035</v>
      </c>
      <c r="S277" s="14" t="n">
        <f aca="false">J277-R277</f>
        <v>3.265</v>
      </c>
      <c r="T277" s="14" t="n">
        <f aca="false">MIN(122.1,(T276+S277))</f>
        <v>122.1</v>
      </c>
      <c r="U277" s="6" t="n">
        <v>0</v>
      </c>
      <c r="V277" s="6" t="n">
        <v>516.9</v>
      </c>
      <c r="X277" s="6" t="n">
        <f aca="false">X276+V277</f>
        <v>133633.6</v>
      </c>
      <c r="Y277" s="6" t="n">
        <f aca="false">Y276+V277</f>
        <v>6853.3</v>
      </c>
      <c r="Z277" s="6" t="n">
        <v>8</v>
      </c>
      <c r="AA277" s="6" t="n">
        <v>14.2952721476636</v>
      </c>
    </row>
    <row r="278" s="6" customFormat="true" ht="15" hidden="false" customHeight="false" outlineLevel="0" collapsed="false">
      <c r="A278" s="39"/>
      <c r="C278" s="7" t="n">
        <v>41394</v>
      </c>
      <c r="D278" s="6" t="n">
        <v>10.8</v>
      </c>
      <c r="E278" s="6" t="n">
        <v>8.8</v>
      </c>
      <c r="F278" s="6" t="n">
        <v>12.5</v>
      </c>
      <c r="G278" s="6" t="n">
        <f aca="false">G277+D278</f>
        <v>1569</v>
      </c>
      <c r="H278" s="6" t="n">
        <f aca="false">H277+D278</f>
        <v>76.9</v>
      </c>
      <c r="I278" s="40" t="s">
        <v>38</v>
      </c>
      <c r="J278" s="6" t="n">
        <v>13.8</v>
      </c>
      <c r="K278" s="6" t="n">
        <f aca="false">K277+J278</f>
        <v>614</v>
      </c>
      <c r="L278" s="6" t="n">
        <v>0.9</v>
      </c>
      <c r="M278" s="6" t="n">
        <f aca="false">M277+L278</f>
        <v>238.3</v>
      </c>
      <c r="N278" s="6" t="n">
        <v>12.9</v>
      </c>
      <c r="O278" s="6" t="n">
        <v>122.1</v>
      </c>
      <c r="P278" s="6" t="n">
        <v>231</v>
      </c>
      <c r="Q278" s="6" t="n">
        <v>1.15</v>
      </c>
      <c r="R278" s="14" t="n">
        <f aca="false">Q278*L278</f>
        <v>1.035</v>
      </c>
      <c r="S278" s="14" t="n">
        <f aca="false">J278-R278</f>
        <v>12.765</v>
      </c>
      <c r="T278" s="14" t="n">
        <f aca="false">MIN(122.1,(T277+S278))</f>
        <v>122.1</v>
      </c>
      <c r="U278" s="40" t="s">
        <v>39</v>
      </c>
      <c r="V278" s="6" t="n">
        <v>484.3</v>
      </c>
      <c r="X278" s="6" t="n">
        <f aca="false">X277+V278</f>
        <v>134117.9</v>
      </c>
      <c r="Y278" s="6" t="n">
        <f aca="false">Y277+V278</f>
        <v>7337.6</v>
      </c>
      <c r="AA278" s="6" t="n">
        <v>14.3457342666027</v>
      </c>
    </row>
    <row r="279" s="6" customFormat="true" ht="15" hidden="false" customHeight="false" outlineLevel="0" collapsed="false">
      <c r="A279" s="39"/>
      <c r="C279" s="7" t="n">
        <v>41395</v>
      </c>
      <c r="D279" s="6" t="n">
        <v>12.6</v>
      </c>
      <c r="E279" s="6" t="n">
        <v>10.3</v>
      </c>
      <c r="F279" s="6" t="n">
        <v>15.8</v>
      </c>
      <c r="G279" s="6" t="n">
        <f aca="false">G278+D279</f>
        <v>1581.6</v>
      </c>
      <c r="H279" s="6" t="n">
        <f aca="false">H278+D279</f>
        <v>89.5</v>
      </c>
      <c r="I279" s="6" t="n">
        <v>0</v>
      </c>
      <c r="J279" s="6" t="n">
        <v>1.1</v>
      </c>
      <c r="K279" s="6" t="n">
        <f aca="false">K278+J279</f>
        <v>615.1</v>
      </c>
      <c r="L279" s="6" t="n">
        <v>1.5</v>
      </c>
      <c r="M279" s="6" t="n">
        <f aca="false">M278+L279</f>
        <v>239.8</v>
      </c>
      <c r="N279" s="6" t="n">
        <v>-0.4</v>
      </c>
      <c r="O279" s="6" t="n">
        <f aca="false">O278+N279</f>
        <v>121.7</v>
      </c>
      <c r="P279" s="6" t="n">
        <v>232</v>
      </c>
      <c r="Q279" s="6" t="n">
        <v>1.15</v>
      </c>
      <c r="R279" s="14" t="n">
        <f aca="false">Q279*L279</f>
        <v>1.725</v>
      </c>
      <c r="S279" s="14" t="n">
        <f aca="false">J279-R279</f>
        <v>-0.625</v>
      </c>
      <c r="T279" s="14" t="n">
        <f aca="false">MIN(122.1,(T278+S279))</f>
        <v>121.475</v>
      </c>
      <c r="U279" s="14" t="n">
        <f aca="false">MIN(T272:T292)</f>
        <v>85.415</v>
      </c>
      <c r="V279" s="6" t="n">
        <v>1070</v>
      </c>
      <c r="X279" s="6" t="n">
        <f aca="false">X278+V279</f>
        <v>135187.9</v>
      </c>
      <c r="Y279" s="6" t="n">
        <f aca="false">Y278+V279</f>
        <v>8407.6</v>
      </c>
      <c r="AA279" s="6" t="n">
        <v>14.3958001370346</v>
      </c>
    </row>
    <row r="280" s="6" customFormat="true" ht="15" hidden="false" customHeight="false" outlineLevel="0" collapsed="false">
      <c r="A280" s="39"/>
      <c r="C280" s="7" t="n">
        <v>41396</v>
      </c>
      <c r="D280" s="6" t="n">
        <v>13.1</v>
      </c>
      <c r="E280" s="6" t="n">
        <v>8.3</v>
      </c>
      <c r="F280" s="6" t="n">
        <v>18.9</v>
      </c>
      <c r="G280" s="6" t="n">
        <f aca="false">G279+D280</f>
        <v>1594.7</v>
      </c>
      <c r="H280" s="6" t="n">
        <f aca="false">H279+D280</f>
        <v>102.6</v>
      </c>
      <c r="I280" s="40" t="s">
        <v>40</v>
      </c>
      <c r="J280" s="6" t="n">
        <v>35.5</v>
      </c>
      <c r="K280" s="6" t="n">
        <f aca="false">K279+J280</f>
        <v>650.6</v>
      </c>
      <c r="L280" s="6" t="n">
        <v>3.2</v>
      </c>
      <c r="M280" s="6" t="n">
        <f aca="false">M279+L280</f>
        <v>243</v>
      </c>
      <c r="N280" s="6" t="n">
        <v>32.3</v>
      </c>
      <c r="O280" s="6" t="n">
        <v>122.1</v>
      </c>
      <c r="P280" s="6" t="n">
        <v>233</v>
      </c>
      <c r="Q280" s="6" t="n">
        <v>1.15</v>
      </c>
      <c r="R280" s="14" t="n">
        <f aca="false">Q280*L280</f>
        <v>3.68</v>
      </c>
      <c r="S280" s="14" t="n">
        <f aca="false">J280-R280</f>
        <v>31.82</v>
      </c>
      <c r="T280" s="14" t="n">
        <f aca="false">MIN(122.1,(T279+S280))</f>
        <v>122.1</v>
      </c>
      <c r="U280" s="40" t="s">
        <v>41</v>
      </c>
      <c r="V280" s="6" t="n">
        <v>2036.1</v>
      </c>
      <c r="X280" s="6" t="n">
        <f aca="false">X279+V280</f>
        <v>137224</v>
      </c>
      <c r="Y280" s="6" t="n">
        <f aca="false">Y279+V280</f>
        <v>10443.7</v>
      </c>
      <c r="AA280" s="6" t="n">
        <v>14.4454527296138</v>
      </c>
    </row>
    <row r="281" s="6" customFormat="true" ht="15" hidden="false" customHeight="false" outlineLevel="0" collapsed="false">
      <c r="A281" s="39"/>
      <c r="C281" s="7" t="n">
        <v>41397</v>
      </c>
      <c r="D281" s="6" t="n">
        <v>11.6</v>
      </c>
      <c r="E281" s="6" t="n">
        <v>11.1</v>
      </c>
      <c r="F281" s="6" t="n">
        <v>11.8</v>
      </c>
      <c r="G281" s="6" t="n">
        <f aca="false">G280+D281</f>
        <v>1606.3</v>
      </c>
      <c r="H281" s="6" t="n">
        <f aca="false">H280+D281</f>
        <v>114.2</v>
      </c>
      <c r="I281" s="6" t="n">
        <v>0</v>
      </c>
      <c r="J281" s="6" t="n">
        <v>18.2</v>
      </c>
      <c r="K281" s="6" t="n">
        <f aca="false">K280+J281</f>
        <v>668.8</v>
      </c>
      <c r="L281" s="6" t="n">
        <v>0.9</v>
      </c>
      <c r="M281" s="6" t="n">
        <f aca="false">M280+L281</f>
        <v>243.9</v>
      </c>
      <c r="N281" s="6" t="n">
        <v>17.3</v>
      </c>
      <c r="O281" s="6" t="n">
        <v>122.1</v>
      </c>
      <c r="P281" s="6" t="n">
        <v>234</v>
      </c>
      <c r="Q281" s="6" t="n">
        <v>1.15</v>
      </c>
      <c r="R281" s="14" t="n">
        <f aca="false">Q281*L281</f>
        <v>1.035</v>
      </c>
      <c r="S281" s="14" t="n">
        <f aca="false">J281-R281</f>
        <v>17.165</v>
      </c>
      <c r="T281" s="14" t="n">
        <f aca="false">MIN(122.1,(T280+S281))</f>
        <v>122.1</v>
      </c>
      <c r="U281" s="14" t="n">
        <f aca="false">MAX(T272:T292)</f>
        <v>122.1</v>
      </c>
      <c r="V281" s="6" t="n">
        <v>458</v>
      </c>
      <c r="X281" s="6" t="n">
        <f aca="false">X280+V281</f>
        <v>137682</v>
      </c>
      <c r="Y281" s="6" t="n">
        <f aca="false">Y280+V281</f>
        <v>10901.7</v>
      </c>
      <c r="AA281" s="6" t="n">
        <v>14.494674529923</v>
      </c>
    </row>
    <row r="282" s="6" customFormat="true" ht="15" hidden="false" customHeight="false" outlineLevel="0" collapsed="false">
      <c r="A282" s="39"/>
      <c r="C282" s="7" t="n">
        <v>41398</v>
      </c>
      <c r="D282" s="6" t="n">
        <v>12.7</v>
      </c>
      <c r="E282" s="6" t="n">
        <v>10.3</v>
      </c>
      <c r="F282" s="6" t="n">
        <v>15.6</v>
      </c>
      <c r="G282" s="6" t="n">
        <f aca="false">G281+D282</f>
        <v>1619</v>
      </c>
      <c r="H282" s="6" t="n">
        <f aca="false">H281+D282</f>
        <v>126.9</v>
      </c>
      <c r="I282" s="40" t="s">
        <v>42</v>
      </c>
      <c r="J282" s="6" t="n">
        <v>0.4</v>
      </c>
      <c r="K282" s="6" t="n">
        <f aca="false">K281+J282</f>
        <v>669.2</v>
      </c>
      <c r="L282" s="6" t="n">
        <v>2.4</v>
      </c>
      <c r="M282" s="6" t="n">
        <f aca="false">M281+L282</f>
        <v>246.3</v>
      </c>
      <c r="N282" s="6" t="n">
        <v>-2</v>
      </c>
      <c r="O282" s="6" t="n">
        <f aca="false">O281+N282</f>
        <v>120.1</v>
      </c>
      <c r="P282" s="6" t="n">
        <v>235</v>
      </c>
      <c r="Q282" s="6" t="n">
        <v>1.15</v>
      </c>
      <c r="R282" s="14" t="n">
        <f aca="false">Q282*L282</f>
        <v>2.76</v>
      </c>
      <c r="S282" s="14" t="n">
        <f aca="false">J282-R282</f>
        <v>-2.36</v>
      </c>
      <c r="T282" s="14" t="n">
        <f aca="false">MIN(122.1,(T281+S282))</f>
        <v>119.74</v>
      </c>
      <c r="U282" s="40" t="s">
        <v>43</v>
      </c>
      <c r="V282" s="6" t="n">
        <v>1762.1</v>
      </c>
      <c r="X282" s="6" t="n">
        <f aca="false">X281+V282</f>
        <v>139444.1</v>
      </c>
      <c r="Y282" s="6" t="n">
        <f aca="false">Y281+V282</f>
        <v>12663.8</v>
      </c>
      <c r="AA282" s="6" t="n">
        <v>14.5434475394284</v>
      </c>
    </row>
    <row r="283" s="6" customFormat="true" ht="15" hidden="false" customHeight="false" outlineLevel="0" collapsed="false">
      <c r="A283" s="39"/>
      <c r="C283" s="7" t="n">
        <v>41399</v>
      </c>
      <c r="D283" s="6" t="n">
        <v>14.9</v>
      </c>
      <c r="E283" s="6" t="n">
        <v>8.3</v>
      </c>
      <c r="F283" s="6" t="n">
        <v>20.7</v>
      </c>
      <c r="G283" s="6" t="n">
        <f aca="false">G282+D283</f>
        <v>1633.9</v>
      </c>
      <c r="H283" s="6" t="n">
        <f aca="false">H282+D283</f>
        <v>141.8</v>
      </c>
      <c r="I283" s="6" t="n">
        <v>2</v>
      </c>
      <c r="J283" s="6" t="n">
        <v>0</v>
      </c>
      <c r="K283" s="6" t="n">
        <f aca="false">K282+J283</f>
        <v>669.2</v>
      </c>
      <c r="L283" s="6" t="n">
        <v>3.3</v>
      </c>
      <c r="M283" s="6" t="n">
        <f aca="false">M282+L283</f>
        <v>249.6</v>
      </c>
      <c r="N283" s="6" t="n">
        <v>-3.3</v>
      </c>
      <c r="O283" s="6" t="n">
        <f aca="false">O282+N283</f>
        <v>116.8</v>
      </c>
      <c r="P283" s="6" t="n">
        <v>236</v>
      </c>
      <c r="Q283" s="6" t="n">
        <v>1.15</v>
      </c>
      <c r="R283" s="14" t="n">
        <f aca="false">Q283*L283</f>
        <v>3.795</v>
      </c>
      <c r="S283" s="14" t="n">
        <f aca="false">J283-R283</f>
        <v>-3.795</v>
      </c>
      <c r="T283" s="14" t="n">
        <f aca="false">MIN(122.1,(T282+S283))</f>
        <v>115.945</v>
      </c>
      <c r="U283" s="15" t="n">
        <f aca="false">AVERAGE(T272:T292)</f>
        <v>113.741666666667</v>
      </c>
      <c r="V283" s="6" t="n">
        <v>1965.1</v>
      </c>
      <c r="X283" s="6" t="n">
        <f aca="false">X282+V283</f>
        <v>141409.2</v>
      </c>
      <c r="Y283" s="6" t="n">
        <f aca="false">Y282+V283</f>
        <v>14628.9</v>
      </c>
      <c r="AA283" s="6" t="n">
        <v>14.591753277977</v>
      </c>
    </row>
    <row r="284" s="6" customFormat="true" ht="15" hidden="false" customHeight="false" outlineLevel="0" collapsed="false">
      <c r="A284" s="39"/>
      <c r="C284" s="7" t="n">
        <v>41400</v>
      </c>
      <c r="D284" s="6" t="n">
        <v>14.7</v>
      </c>
      <c r="E284" s="6" t="n">
        <v>12.8</v>
      </c>
      <c r="F284" s="6" t="n">
        <v>17.3</v>
      </c>
      <c r="G284" s="6" t="n">
        <f aca="false">G283+D284</f>
        <v>1648.6</v>
      </c>
      <c r="H284" s="6" t="n">
        <f aca="false">H283+D284</f>
        <v>156.5</v>
      </c>
      <c r="I284" s="40" t="s">
        <v>44</v>
      </c>
      <c r="J284" s="6" t="n">
        <v>0.1</v>
      </c>
      <c r="K284" s="6" t="n">
        <f aca="false">K283+J284</f>
        <v>669.3</v>
      </c>
      <c r="L284" s="6" t="n">
        <v>1.3</v>
      </c>
      <c r="M284" s="6" t="n">
        <f aca="false">M283+L284</f>
        <v>250.9</v>
      </c>
      <c r="N284" s="6" t="n">
        <v>-1.2</v>
      </c>
      <c r="O284" s="6" t="n">
        <f aca="false">O283+N284</f>
        <v>115.6</v>
      </c>
      <c r="P284" s="6" t="n">
        <v>237</v>
      </c>
      <c r="Q284" s="6" t="n">
        <v>1.15</v>
      </c>
      <c r="R284" s="14" t="n">
        <f aca="false">Q284*L284</f>
        <v>1.495</v>
      </c>
      <c r="S284" s="14" t="n">
        <f aca="false">J284-R284</f>
        <v>-1.395</v>
      </c>
      <c r="T284" s="14" t="n">
        <f aca="false">MIN(122.1,(T283+S284))</f>
        <v>114.55</v>
      </c>
      <c r="V284" s="6" t="n">
        <v>469.1</v>
      </c>
      <c r="X284" s="6" t="n">
        <f aca="false">X283+V284</f>
        <v>141878.3</v>
      </c>
      <c r="Y284" s="6" t="n">
        <f aca="false">Y283+V284</f>
        <v>15098</v>
      </c>
      <c r="AA284" s="6" t="n">
        <v>14.6395727879261</v>
      </c>
    </row>
    <row r="285" s="6" customFormat="true" ht="15" hidden="false" customHeight="false" outlineLevel="0" collapsed="false">
      <c r="A285" s="39"/>
      <c r="C285" s="7" t="n">
        <v>41401</v>
      </c>
      <c r="D285" s="6" t="n">
        <v>14.1</v>
      </c>
      <c r="E285" s="6" t="n">
        <v>9.9</v>
      </c>
      <c r="F285" s="6" t="n">
        <v>19.9</v>
      </c>
      <c r="G285" s="6" t="n">
        <f aca="false">G284+D285</f>
        <v>1662.7</v>
      </c>
      <c r="H285" s="6" t="n">
        <f aca="false">H284+D285</f>
        <v>170.6</v>
      </c>
      <c r="I285" s="6" t="n">
        <v>261.9</v>
      </c>
      <c r="J285" s="6" t="n">
        <v>0</v>
      </c>
      <c r="K285" s="6" t="n">
        <f aca="false">K284+J285</f>
        <v>669.3</v>
      </c>
      <c r="L285" s="6" t="n">
        <v>3.9</v>
      </c>
      <c r="M285" s="6" t="n">
        <f aca="false">M284+L285</f>
        <v>254.8</v>
      </c>
      <c r="N285" s="6" t="n">
        <v>-3.9</v>
      </c>
      <c r="O285" s="6" t="n">
        <f aca="false">O284+N285</f>
        <v>111.7</v>
      </c>
      <c r="P285" s="6" t="n">
        <v>238</v>
      </c>
      <c r="Q285" s="6" t="n">
        <v>1.15</v>
      </c>
      <c r="R285" s="14" t="n">
        <f aca="false">Q285*L285</f>
        <v>4.485</v>
      </c>
      <c r="S285" s="14" t="n">
        <f aca="false">J285-R285</f>
        <v>-4.485</v>
      </c>
      <c r="T285" s="14" t="n">
        <f aca="false">MIN(122.1,(T284+S285))</f>
        <v>110.065</v>
      </c>
      <c r="U285" s="14" t="n">
        <f aca="false">(U283*100)/122.1</f>
        <v>93.1545181545182</v>
      </c>
      <c r="V285" s="6" t="n">
        <v>2552.6</v>
      </c>
      <c r="X285" s="6" t="n">
        <f aca="false">X284+V285</f>
        <v>144430.9</v>
      </c>
      <c r="Y285" s="6" t="n">
        <f aca="false">Y284+V285</f>
        <v>17650.6</v>
      </c>
      <c r="AA285" s="6" t="n">
        <v>14.6868866400001</v>
      </c>
    </row>
    <row r="286" s="6" customFormat="true" ht="15" hidden="false" customHeight="false" outlineLevel="0" collapsed="false">
      <c r="A286" s="39"/>
      <c r="C286" s="7" t="n">
        <v>41402</v>
      </c>
      <c r="D286" s="6" t="n">
        <v>15.4</v>
      </c>
      <c r="E286" s="6" t="n">
        <v>8.4</v>
      </c>
      <c r="F286" s="6" t="n">
        <v>19.6</v>
      </c>
      <c r="G286" s="6" t="n">
        <f aca="false">G285+D286</f>
        <v>1678.1</v>
      </c>
      <c r="H286" s="6" t="n">
        <f aca="false">H285+D286</f>
        <v>186</v>
      </c>
      <c r="J286" s="6" t="n">
        <v>0.9</v>
      </c>
      <c r="K286" s="6" t="n">
        <f aca="false">K285+J286</f>
        <v>670.2</v>
      </c>
      <c r="L286" s="6" t="n">
        <v>1.3</v>
      </c>
      <c r="M286" s="6" t="n">
        <f aca="false">M285+L286</f>
        <v>256.1</v>
      </c>
      <c r="N286" s="6" t="n">
        <v>-0.4</v>
      </c>
      <c r="O286" s="6" t="n">
        <f aca="false">O285+N286</f>
        <v>111.3</v>
      </c>
      <c r="P286" s="6" t="n">
        <v>239</v>
      </c>
      <c r="Q286" s="6" t="n">
        <v>1.15</v>
      </c>
      <c r="R286" s="14" t="n">
        <f aca="false">Q286*L286</f>
        <v>1.495</v>
      </c>
      <c r="S286" s="14" t="n">
        <f aca="false">J286-R286</f>
        <v>-0.595</v>
      </c>
      <c r="T286" s="14" t="n">
        <f aca="false">MIN(122.1,(T285+S286))</f>
        <v>109.47</v>
      </c>
      <c r="V286" s="6" t="n">
        <v>987.1</v>
      </c>
      <c r="X286" s="6" t="n">
        <f aca="false">X285+V286</f>
        <v>145418</v>
      </c>
      <c r="Y286" s="6" t="n">
        <f aca="false">Y285+V286</f>
        <v>18637.7</v>
      </c>
      <c r="AA286" s="6" t="n">
        <v>14.733674940967</v>
      </c>
    </row>
    <row r="287" s="6" customFormat="true" ht="15" hidden="false" customHeight="false" outlineLevel="0" collapsed="false">
      <c r="A287" s="39"/>
      <c r="C287" s="7" t="n">
        <v>41403</v>
      </c>
      <c r="D287" s="6" t="n">
        <v>15.6</v>
      </c>
      <c r="E287" s="6" t="n">
        <v>13.4</v>
      </c>
      <c r="F287" s="6" t="n">
        <v>19.3</v>
      </c>
      <c r="G287" s="6" t="n">
        <f aca="false">G286+D287</f>
        <v>1693.7</v>
      </c>
      <c r="H287" s="6" t="n">
        <f aca="false">H286+D287</f>
        <v>201.6</v>
      </c>
      <c r="J287" s="6" t="n">
        <v>6.5</v>
      </c>
      <c r="K287" s="6" t="n">
        <f aca="false">K286+J287</f>
        <v>676.7</v>
      </c>
      <c r="L287" s="6" t="n">
        <v>1.7</v>
      </c>
      <c r="M287" s="6" t="n">
        <f aca="false">M286+L287</f>
        <v>257.8</v>
      </c>
      <c r="N287" s="6" t="n">
        <v>4.8</v>
      </c>
      <c r="O287" s="6" t="n">
        <f aca="false">O286+N287</f>
        <v>116.1</v>
      </c>
      <c r="P287" s="6" t="n">
        <v>240</v>
      </c>
      <c r="Q287" s="6" t="n">
        <v>1.15</v>
      </c>
      <c r="R287" s="14" t="n">
        <f aca="false">Q287*L287</f>
        <v>1.955</v>
      </c>
      <c r="S287" s="14" t="n">
        <f aca="false">J287-R287</f>
        <v>4.545</v>
      </c>
      <c r="T287" s="14" t="n">
        <f aca="false">MIN(122.1,(T286+S287))</f>
        <v>114.015</v>
      </c>
      <c r="V287" s="6" t="n">
        <v>901.1</v>
      </c>
      <c r="X287" s="6" t="n">
        <f aca="false">X286+V287</f>
        <v>146319.1</v>
      </c>
      <c r="Y287" s="6" t="n">
        <f aca="false">Y286+V287</f>
        <v>19538.8</v>
      </c>
      <c r="AA287" s="6" t="n">
        <v>14.7799173432285</v>
      </c>
    </row>
    <row r="288" s="6" customFormat="true" ht="15" hidden="false" customHeight="false" outlineLevel="0" collapsed="false">
      <c r="A288" s="39"/>
      <c r="C288" s="7" t="n">
        <v>41404</v>
      </c>
      <c r="D288" s="6" t="n">
        <v>12.1</v>
      </c>
      <c r="E288" s="6" t="n">
        <v>9.6</v>
      </c>
      <c r="F288" s="6" t="n">
        <v>13.4</v>
      </c>
      <c r="G288" s="6" t="n">
        <f aca="false">G287+D288</f>
        <v>1705.8</v>
      </c>
      <c r="H288" s="6" t="n">
        <f aca="false">H287+D288</f>
        <v>213.7</v>
      </c>
      <c r="J288" s="6" t="n">
        <v>0</v>
      </c>
      <c r="K288" s="6" t="n">
        <f aca="false">K287+J288</f>
        <v>676.7</v>
      </c>
      <c r="L288" s="6" t="n">
        <v>1.8</v>
      </c>
      <c r="M288" s="6" t="n">
        <f aca="false">M287+L288</f>
        <v>259.6</v>
      </c>
      <c r="N288" s="6" t="n">
        <v>-1.8</v>
      </c>
      <c r="O288" s="6" t="n">
        <f aca="false">O287+N288</f>
        <v>114.3</v>
      </c>
      <c r="P288" s="6" t="n">
        <v>241</v>
      </c>
      <c r="Q288" s="6" t="n">
        <v>1.15</v>
      </c>
      <c r="R288" s="14" t="n">
        <f aca="false">Q288*L288</f>
        <v>2.07</v>
      </c>
      <c r="S288" s="14" t="n">
        <f aca="false">J288-R288</f>
        <v>-2.07</v>
      </c>
      <c r="T288" s="14" t="n">
        <f aca="false">MIN(122.1,(T287+S288))</f>
        <v>111.945</v>
      </c>
      <c r="V288" s="6" t="n">
        <v>1184</v>
      </c>
      <c r="X288" s="6" t="n">
        <f aca="false">X287+V288</f>
        <v>147503.1</v>
      </c>
      <c r="Y288" s="6" t="n">
        <f aca="false">Y287+V288</f>
        <v>20722.8</v>
      </c>
      <c r="AA288" s="6" t="n">
        <v>14.8255930564125</v>
      </c>
    </row>
    <row r="289" s="6" customFormat="true" ht="15" hidden="false" customHeight="false" outlineLevel="0" collapsed="false">
      <c r="A289" s="39"/>
      <c r="C289" s="7" t="n">
        <v>41405</v>
      </c>
      <c r="D289" s="6" t="n">
        <v>12.1</v>
      </c>
      <c r="E289" s="6" t="n">
        <v>10.2</v>
      </c>
      <c r="F289" s="6" t="n">
        <v>14.5</v>
      </c>
      <c r="G289" s="6" t="n">
        <f aca="false">G288+D289</f>
        <v>1717.9</v>
      </c>
      <c r="H289" s="6" t="n">
        <f aca="false">H288+D289</f>
        <v>225.8</v>
      </c>
      <c r="J289" s="6" t="n">
        <v>2.6</v>
      </c>
      <c r="K289" s="6" t="n">
        <f aca="false">K288+J289</f>
        <v>679.3</v>
      </c>
      <c r="L289" s="6" t="n">
        <v>1.4</v>
      </c>
      <c r="M289" s="6" t="n">
        <f aca="false">M288+L289</f>
        <v>261</v>
      </c>
      <c r="N289" s="6" t="n">
        <v>1.2</v>
      </c>
      <c r="O289" s="6" t="n">
        <f aca="false">O288+N289</f>
        <v>115.5</v>
      </c>
      <c r="P289" s="6" t="n">
        <v>242</v>
      </c>
      <c r="Q289" s="6" t="n">
        <v>1.15</v>
      </c>
      <c r="R289" s="14" t="n">
        <f aca="false">Q289*L289</f>
        <v>1.61</v>
      </c>
      <c r="S289" s="14" t="n">
        <f aca="false">J289-R289</f>
        <v>0.99</v>
      </c>
      <c r="T289" s="14" t="n">
        <f aca="false">MIN(122.1,(T288+S289))</f>
        <v>112.935</v>
      </c>
      <c r="V289" s="6" t="n">
        <v>983.2</v>
      </c>
      <c r="X289" s="6" t="n">
        <f aca="false">X288+V289</f>
        <v>148486.3</v>
      </c>
      <c r="Y289" s="6" t="n">
        <f aca="false">Y288+V289</f>
        <v>21706</v>
      </c>
      <c r="AA289" s="6" t="n">
        <v>14.8706808610575</v>
      </c>
    </row>
    <row r="290" s="6" customFormat="true" ht="15" hidden="false" customHeight="false" outlineLevel="0" collapsed="false">
      <c r="A290" s="39"/>
      <c r="C290" s="7" t="n">
        <v>41406</v>
      </c>
      <c r="D290" s="6" t="n">
        <v>10.8</v>
      </c>
      <c r="E290" s="6" t="n">
        <v>8</v>
      </c>
      <c r="F290" s="6" t="n">
        <v>13.7</v>
      </c>
      <c r="G290" s="6" t="n">
        <f aca="false">G289+D290</f>
        <v>1728.7</v>
      </c>
      <c r="H290" s="6" t="n">
        <f aca="false">H289+D290</f>
        <v>236.6</v>
      </c>
      <c r="J290" s="6" t="n">
        <v>0.4</v>
      </c>
      <c r="K290" s="6" t="n">
        <f aca="false">K289+J290</f>
        <v>679.7</v>
      </c>
      <c r="L290" s="6" t="n">
        <v>1.7</v>
      </c>
      <c r="M290" s="6" t="n">
        <f aca="false">M289+L290</f>
        <v>262.7</v>
      </c>
      <c r="N290" s="6" t="n">
        <v>-1.3</v>
      </c>
      <c r="O290" s="6" t="n">
        <f aca="false">O289+N290</f>
        <v>114.2</v>
      </c>
      <c r="P290" s="6" t="n">
        <v>243</v>
      </c>
      <c r="Q290" s="6" t="n">
        <v>1.15</v>
      </c>
      <c r="R290" s="14" t="n">
        <f aca="false">Q290*L290</f>
        <v>1.955</v>
      </c>
      <c r="S290" s="14" t="n">
        <f aca="false">J290-R290</f>
        <v>-1.555</v>
      </c>
      <c r="T290" s="14" t="n">
        <f aca="false">MIN(122.1,(T289+S290))</f>
        <v>111.38</v>
      </c>
      <c r="V290" s="6" t="n">
        <v>1086.6</v>
      </c>
      <c r="X290" s="6" t="n">
        <f aca="false">X289+V290</f>
        <v>149572.9</v>
      </c>
      <c r="Y290" s="6" t="n">
        <f aca="false">Y289+V290</f>
        <v>22792.6</v>
      </c>
      <c r="AA290" s="6" t="n">
        <v>14.9151591244712</v>
      </c>
    </row>
    <row r="291" s="6" customFormat="true" ht="15" hidden="false" customHeight="false" outlineLevel="0" collapsed="false">
      <c r="A291" s="39"/>
      <c r="C291" s="7" t="n">
        <v>41407</v>
      </c>
      <c r="D291" s="6" t="n">
        <v>11</v>
      </c>
      <c r="E291" s="6" t="n">
        <v>6.3</v>
      </c>
      <c r="F291" s="6" t="n">
        <v>14</v>
      </c>
      <c r="G291" s="6" t="n">
        <f aca="false">G290+D291</f>
        <v>1739.7</v>
      </c>
      <c r="H291" s="6" t="n">
        <f aca="false">H290+D291</f>
        <v>247.6</v>
      </c>
      <c r="J291" s="6" t="n">
        <v>0</v>
      </c>
      <c r="K291" s="6" t="n">
        <f aca="false">K290+J291</f>
        <v>679.7</v>
      </c>
      <c r="L291" s="6" t="n">
        <v>0.9</v>
      </c>
      <c r="M291" s="6" t="n">
        <f aca="false">M290+L291</f>
        <v>263.6</v>
      </c>
      <c r="N291" s="6" t="n">
        <v>-0.9</v>
      </c>
      <c r="O291" s="6" t="n">
        <f aca="false">O290+N291</f>
        <v>113.3</v>
      </c>
      <c r="P291" s="6" t="n">
        <v>244</v>
      </c>
      <c r="Q291" s="6" t="n">
        <v>1.15</v>
      </c>
      <c r="R291" s="14" t="n">
        <f aca="false">Q291*L291</f>
        <v>1.035</v>
      </c>
      <c r="S291" s="14" t="n">
        <f aca="false">J291-R291</f>
        <v>-1.035</v>
      </c>
      <c r="T291" s="14" t="n">
        <f aca="false">MIN(122.1,(T290+S291))</f>
        <v>110.345</v>
      </c>
      <c r="V291" s="6" t="n">
        <v>582.7</v>
      </c>
      <c r="X291" s="6" t="n">
        <f aca="false">X290+V291</f>
        <v>150155.6</v>
      </c>
      <c r="Y291" s="6" t="n">
        <f aca="false">Y290+V291</f>
        <v>23375.3</v>
      </c>
      <c r="AA291" s="6" t="n">
        <v>14.959005818845</v>
      </c>
    </row>
    <row r="292" s="20" customFormat="true" ht="15" hidden="false" customHeight="false" outlineLevel="0" collapsed="false">
      <c r="A292" s="42" t="s">
        <v>63</v>
      </c>
      <c r="C292" s="19" t="n">
        <v>41408</v>
      </c>
      <c r="D292" s="20" t="n">
        <v>14.3</v>
      </c>
      <c r="E292" s="20" t="n">
        <v>9.6</v>
      </c>
      <c r="F292" s="20" t="n">
        <v>18.4</v>
      </c>
      <c r="G292" s="20" t="n">
        <f aca="false">G291+D292</f>
        <v>1754</v>
      </c>
      <c r="H292" s="20" t="n">
        <f aca="false">H291+D292</f>
        <v>261.9</v>
      </c>
      <c r="J292" s="20" t="n">
        <v>0.7</v>
      </c>
      <c r="K292" s="20" t="n">
        <f aca="false">K291+J292</f>
        <v>680.4</v>
      </c>
      <c r="L292" s="20" t="n">
        <v>2.5</v>
      </c>
      <c r="M292" s="20" t="n">
        <f aca="false">M291+L292</f>
        <v>266.1</v>
      </c>
      <c r="N292" s="20" t="n">
        <v>-1.8</v>
      </c>
      <c r="O292" s="20" t="n">
        <f aca="false">O291+N292</f>
        <v>111.5</v>
      </c>
      <c r="P292" s="20" t="n">
        <v>245</v>
      </c>
      <c r="Q292" s="20" t="n">
        <v>1.15</v>
      </c>
      <c r="R292" s="21" t="n">
        <f aca="false">Q292*L292</f>
        <v>2.875</v>
      </c>
      <c r="S292" s="21" t="n">
        <f aca="false">J292-R292</f>
        <v>-2.175</v>
      </c>
      <c r="T292" s="21" t="n">
        <f aca="false">MIN(122.1,(T291+S292))</f>
        <v>108.17</v>
      </c>
      <c r="V292" s="20" t="n">
        <v>1513.1</v>
      </c>
      <c r="X292" s="20" t="n">
        <f aca="false">X291+V292</f>
        <v>151668.7</v>
      </c>
      <c r="Y292" s="20" t="n">
        <f aca="false">Y291+V292</f>
        <v>24888.4</v>
      </c>
      <c r="AA292" s="20" t="n">
        <v>15.0021985416956</v>
      </c>
    </row>
    <row r="293" s="6" customFormat="true" ht="15" hidden="false" customHeight="false" outlineLevel="0" collapsed="false">
      <c r="A293" s="43" t="n">
        <v>300</v>
      </c>
      <c r="B293" s="12"/>
      <c r="C293" s="7" t="n">
        <v>41409</v>
      </c>
      <c r="D293" s="6" t="n">
        <v>12.3</v>
      </c>
      <c r="E293" s="6" t="n">
        <v>11.9</v>
      </c>
      <c r="F293" s="6" t="n">
        <v>14</v>
      </c>
      <c r="G293" s="6" t="n">
        <f aca="false">G292+D293</f>
        <v>1766.3</v>
      </c>
      <c r="H293" s="6" t="n">
        <v>12.3</v>
      </c>
      <c r="I293" s="44" t="s">
        <v>29</v>
      </c>
      <c r="J293" s="6" t="n">
        <v>20.3</v>
      </c>
      <c r="K293" s="6" t="n">
        <f aca="false">K292+J293</f>
        <v>700.7</v>
      </c>
      <c r="L293" s="6" t="n">
        <v>1.2</v>
      </c>
      <c r="M293" s="6" t="n">
        <f aca="false">M292+L293</f>
        <v>267.3</v>
      </c>
      <c r="N293" s="6" t="n">
        <v>19.1</v>
      </c>
      <c r="O293" s="6" t="n">
        <v>122.1</v>
      </c>
      <c r="P293" s="6" t="n">
        <v>246</v>
      </c>
      <c r="Q293" s="6" t="n">
        <v>1.15</v>
      </c>
      <c r="R293" s="14" t="n">
        <f aca="false">Q293*L293</f>
        <v>1.38</v>
      </c>
      <c r="S293" s="14" t="n">
        <f aca="false">J293-R293</f>
        <v>18.92</v>
      </c>
      <c r="T293" s="14" t="n">
        <f aca="false">MIN(122.1,(T292+S293))</f>
        <v>122.1</v>
      </c>
      <c r="U293" s="44" t="s">
        <v>30</v>
      </c>
      <c r="V293" s="6" t="n">
        <v>643.9</v>
      </c>
      <c r="X293" s="6" t="n">
        <f aca="false">X292+V293</f>
        <v>152312.6</v>
      </c>
      <c r="Y293" s="6" t="n">
        <v>643.9</v>
      </c>
      <c r="Z293" s="44" t="s">
        <v>31</v>
      </c>
      <c r="AA293" s="6" t="n">
        <v>15.0447145387021</v>
      </c>
    </row>
    <row r="294" s="6" customFormat="true" ht="15" hidden="false" customHeight="false" outlineLevel="0" collapsed="false">
      <c r="A294" s="43"/>
      <c r="B294" s="12"/>
      <c r="C294" s="7" t="n">
        <v>41410</v>
      </c>
      <c r="D294" s="6" t="n">
        <v>9.5</v>
      </c>
      <c r="E294" s="6" t="n">
        <v>8</v>
      </c>
      <c r="F294" s="6" t="n">
        <v>10.7</v>
      </c>
      <c r="G294" s="6" t="n">
        <f aca="false">G293+D294</f>
        <v>1775.8</v>
      </c>
      <c r="H294" s="6" t="n">
        <f aca="false">H293+D294</f>
        <v>21.8</v>
      </c>
      <c r="I294" s="6" t="n">
        <f aca="false">MIN(E293:E317)</f>
        <v>3.7</v>
      </c>
      <c r="J294" s="6" t="n">
        <v>10.7</v>
      </c>
      <c r="K294" s="6" t="n">
        <f aca="false">K293+J294</f>
        <v>711.4</v>
      </c>
      <c r="L294" s="6" t="n">
        <v>1</v>
      </c>
      <c r="M294" s="6" t="n">
        <f aca="false">M293+L294</f>
        <v>268.3</v>
      </c>
      <c r="N294" s="6" t="n">
        <v>9.7</v>
      </c>
      <c r="O294" s="6" t="n">
        <v>122.1</v>
      </c>
      <c r="P294" s="6" t="n">
        <v>247</v>
      </c>
      <c r="Q294" s="6" t="n">
        <v>1.15</v>
      </c>
      <c r="R294" s="14" t="n">
        <f aca="false">Q294*L294</f>
        <v>1.15</v>
      </c>
      <c r="S294" s="14" t="n">
        <f aca="false">J294-R294</f>
        <v>9.55</v>
      </c>
      <c r="T294" s="14" t="n">
        <f aca="false">MIN(122.1,(T293+S294))</f>
        <v>122.1</v>
      </c>
      <c r="U294" s="6" t="n">
        <v>11</v>
      </c>
      <c r="V294" s="6" t="n">
        <v>490.5</v>
      </c>
      <c r="X294" s="6" t="n">
        <f aca="false">X293+V294</f>
        <v>152803.1</v>
      </c>
      <c r="Y294" s="6" t="n">
        <f aca="false">Y293+V294</f>
        <v>1134.4</v>
      </c>
      <c r="Z294" s="6" t="n">
        <f aca="false">Y317</f>
        <v>36215.4</v>
      </c>
      <c r="AA294" s="6" t="n">
        <v>15.0865307289948</v>
      </c>
    </row>
    <row r="295" s="6" customFormat="true" ht="15" hidden="false" customHeight="false" outlineLevel="0" collapsed="false">
      <c r="A295" s="43"/>
      <c r="B295" s="12"/>
      <c r="C295" s="7" t="n">
        <v>41411</v>
      </c>
      <c r="D295" s="6" t="n">
        <v>10.9</v>
      </c>
      <c r="E295" s="6" t="n">
        <v>9.1</v>
      </c>
      <c r="F295" s="6" t="n">
        <v>13.3</v>
      </c>
      <c r="G295" s="6" t="n">
        <f aca="false">G294+D295</f>
        <v>1786.7</v>
      </c>
      <c r="H295" s="6" t="n">
        <f aca="false">H294+D295</f>
        <v>32.7</v>
      </c>
      <c r="I295" s="44" t="s">
        <v>32</v>
      </c>
      <c r="J295" s="6" t="n">
        <v>0.2</v>
      </c>
      <c r="K295" s="6" t="n">
        <f aca="false">K294+J295</f>
        <v>711.6</v>
      </c>
      <c r="L295" s="6" t="n">
        <v>0.8</v>
      </c>
      <c r="M295" s="6" t="n">
        <f aca="false">M294+L295</f>
        <v>269.1</v>
      </c>
      <c r="N295" s="6" t="n">
        <v>-0.6</v>
      </c>
      <c r="O295" s="6" t="n">
        <f aca="false">O294+N295</f>
        <v>121.5</v>
      </c>
      <c r="P295" s="6" t="n">
        <v>248</v>
      </c>
      <c r="Q295" s="6" t="n">
        <v>1.15</v>
      </c>
      <c r="R295" s="14" t="n">
        <f aca="false">Q295*L295</f>
        <v>0.92</v>
      </c>
      <c r="S295" s="14" t="n">
        <f aca="false">J295-R295</f>
        <v>-0.72</v>
      </c>
      <c r="T295" s="14" t="n">
        <f aca="false">MIN(122.1,(T294+S295))</f>
        <v>121.38</v>
      </c>
      <c r="U295" s="44" t="s">
        <v>33</v>
      </c>
      <c r="V295" s="6" t="n">
        <v>744.4</v>
      </c>
      <c r="X295" s="6" t="n">
        <f aca="false">X294+V295</f>
        <v>153547.5</v>
      </c>
      <c r="Y295" s="6" t="n">
        <f aca="false">Y294+V295</f>
        <v>1878.8</v>
      </c>
      <c r="Z295" s="44" t="s">
        <v>34</v>
      </c>
      <c r="AA295" s="6" t="n">
        <v>15.1276237329453</v>
      </c>
    </row>
    <row r="296" s="6" customFormat="true" ht="15" hidden="false" customHeight="false" outlineLevel="0" collapsed="false">
      <c r="A296" s="43"/>
      <c r="B296" s="12"/>
      <c r="C296" s="7" t="n">
        <v>41412</v>
      </c>
      <c r="D296" s="6" t="n">
        <v>11.6</v>
      </c>
      <c r="E296" s="6" t="n">
        <v>8.1</v>
      </c>
      <c r="F296" s="6" t="n">
        <v>16.7</v>
      </c>
      <c r="G296" s="6" t="n">
        <f aca="false">G295+D296</f>
        <v>1798.3</v>
      </c>
      <c r="H296" s="6" t="n">
        <f aca="false">H295+D296</f>
        <v>44.3</v>
      </c>
      <c r="I296" s="6" t="n">
        <f aca="false">MAX(F293:F317)</f>
        <v>25.5</v>
      </c>
      <c r="J296" s="6" t="n">
        <v>9.6</v>
      </c>
      <c r="K296" s="6" t="n">
        <f aca="false">K295+J296</f>
        <v>721.2</v>
      </c>
      <c r="L296" s="6" t="n">
        <v>2.1</v>
      </c>
      <c r="M296" s="6" t="n">
        <f aca="false">M295+L296</f>
        <v>271.2</v>
      </c>
      <c r="N296" s="6" t="n">
        <v>7.5</v>
      </c>
      <c r="O296" s="6" t="n">
        <v>122.1</v>
      </c>
      <c r="P296" s="6" t="n">
        <v>249</v>
      </c>
      <c r="Q296" s="6" t="n">
        <v>1.15</v>
      </c>
      <c r="R296" s="14" t="n">
        <f aca="false">Q296*L296</f>
        <v>2.415</v>
      </c>
      <c r="S296" s="14" t="n">
        <f aca="false">J296-R296</f>
        <v>7.185</v>
      </c>
      <c r="T296" s="14" t="n">
        <f aca="false">MIN(122.1,(T295+S296))</f>
        <v>122.1</v>
      </c>
      <c r="U296" s="6" t="n">
        <v>0</v>
      </c>
      <c r="V296" s="6" t="n">
        <v>1248.6</v>
      </c>
      <c r="X296" s="6" t="n">
        <f aca="false">X295+V296</f>
        <v>154796.1</v>
      </c>
      <c r="Y296" s="6" t="n">
        <f aca="false">Y295+V296</f>
        <v>3127.4</v>
      </c>
      <c r="Z296" s="6" t="n">
        <f aca="false">(Z294/100)/I306</f>
        <v>1.1979953688389</v>
      </c>
      <c r="AA296" s="6" t="n">
        <v>15.167969902495</v>
      </c>
    </row>
    <row r="297" s="6" customFormat="true" ht="15" hidden="false" customHeight="false" outlineLevel="0" collapsed="false">
      <c r="A297" s="43"/>
      <c r="B297" s="12"/>
      <c r="C297" s="7" t="n">
        <v>41413</v>
      </c>
      <c r="D297" s="6" t="n">
        <v>10.2</v>
      </c>
      <c r="E297" s="6" t="n">
        <v>7.5</v>
      </c>
      <c r="F297" s="6" t="n">
        <v>12.9</v>
      </c>
      <c r="G297" s="6" t="n">
        <f aca="false">G296+D297</f>
        <v>1808.5</v>
      </c>
      <c r="H297" s="6" t="n">
        <f aca="false">H296+D297</f>
        <v>54.5</v>
      </c>
      <c r="I297" s="44" t="s">
        <v>35</v>
      </c>
      <c r="J297" s="6" t="n">
        <v>3.1</v>
      </c>
      <c r="K297" s="6" t="n">
        <f aca="false">K296+J297</f>
        <v>724.3</v>
      </c>
      <c r="L297" s="6" t="n">
        <v>1.2</v>
      </c>
      <c r="M297" s="6" t="n">
        <f aca="false">M296+L297</f>
        <v>272.4</v>
      </c>
      <c r="N297" s="6" t="n">
        <v>1.9</v>
      </c>
      <c r="O297" s="6" t="n">
        <v>122.1</v>
      </c>
      <c r="P297" s="6" t="n">
        <v>250</v>
      </c>
      <c r="Q297" s="6" t="n">
        <v>1.15</v>
      </c>
      <c r="R297" s="14" t="n">
        <f aca="false">Q297*L297</f>
        <v>1.38</v>
      </c>
      <c r="S297" s="14" t="n">
        <f aca="false">J297-R297</f>
        <v>1.72</v>
      </c>
      <c r="T297" s="14" t="n">
        <f aca="false">MIN(122.1,(T296+S297))</f>
        <v>122.1</v>
      </c>
      <c r="U297" s="44" t="s">
        <v>36</v>
      </c>
      <c r="V297" s="6" t="n">
        <v>924.3</v>
      </c>
      <c r="W297" s="41"/>
      <c r="X297" s="41" t="n">
        <f aca="false">X296+V297</f>
        <v>155720.4</v>
      </c>
      <c r="Y297" s="6" t="n">
        <f aca="false">Y296+V297</f>
        <v>4051.7</v>
      </c>
      <c r="Z297" s="44" t="s">
        <v>37</v>
      </c>
      <c r="AA297" s="6" t="n">
        <v>15.2075453540461</v>
      </c>
    </row>
    <row r="298" s="6" customFormat="true" ht="15" hidden="false" customHeight="true" outlineLevel="0" collapsed="false">
      <c r="A298" s="43"/>
      <c r="B298" s="12"/>
      <c r="C298" s="7" t="n">
        <v>41414</v>
      </c>
      <c r="D298" s="6" t="n">
        <v>9.6</v>
      </c>
      <c r="E298" s="6" t="n">
        <v>9.1</v>
      </c>
      <c r="F298" s="6" t="n">
        <v>10.2</v>
      </c>
      <c r="G298" s="6" t="n">
        <f aca="false">G297+D298</f>
        <v>1818.1</v>
      </c>
      <c r="H298" s="6" t="n">
        <f aca="false">H297+D298</f>
        <v>64.1</v>
      </c>
      <c r="I298" s="14" t="n">
        <f aca="false">AVERAGE(D293:D317)</f>
        <v>12.092</v>
      </c>
      <c r="J298" s="6" t="n">
        <v>19.1</v>
      </c>
      <c r="K298" s="6" t="n">
        <f aca="false">K297+J298</f>
        <v>743.4</v>
      </c>
      <c r="L298" s="6" t="n">
        <v>1.1</v>
      </c>
      <c r="M298" s="6" t="n">
        <f aca="false">M297+L298</f>
        <v>273.5</v>
      </c>
      <c r="N298" s="6" t="n">
        <v>18</v>
      </c>
      <c r="O298" s="6" t="n">
        <v>122.1</v>
      </c>
      <c r="P298" s="6" t="n">
        <v>251</v>
      </c>
      <c r="Q298" s="6" t="n">
        <v>1.15</v>
      </c>
      <c r="R298" s="14" t="n">
        <f aca="false">Q298*L298</f>
        <v>1.265</v>
      </c>
      <c r="S298" s="14" t="n">
        <f aca="false">J298-R298</f>
        <v>17.835</v>
      </c>
      <c r="T298" s="14" t="n">
        <f aca="false">MIN(122.1,(T297+S298))</f>
        <v>122.1</v>
      </c>
      <c r="U298" s="6" t="n">
        <v>0</v>
      </c>
      <c r="V298" s="6" t="n">
        <v>555.6</v>
      </c>
      <c r="X298" s="6" t="n">
        <f aca="false">X297+V298</f>
        <v>156276</v>
      </c>
      <c r="Y298" s="6" t="n">
        <f aca="false">Y297+V298</f>
        <v>4607.3</v>
      </c>
      <c r="Z298" s="6" t="n">
        <v>9</v>
      </c>
      <c r="AA298" s="6" t="n">
        <v>15.2463260039273</v>
      </c>
    </row>
    <row r="299" s="6" customFormat="true" ht="15" hidden="false" customHeight="false" outlineLevel="0" collapsed="false">
      <c r="A299" s="43"/>
      <c r="B299" s="12"/>
      <c r="C299" s="7" t="n">
        <v>41415</v>
      </c>
      <c r="D299" s="6" t="n">
        <v>10.3</v>
      </c>
      <c r="E299" s="6" t="n">
        <v>9.4</v>
      </c>
      <c r="F299" s="6" t="n">
        <v>11.2</v>
      </c>
      <c r="G299" s="6" t="n">
        <f aca="false">G298+D299</f>
        <v>1828.4</v>
      </c>
      <c r="H299" s="6" t="n">
        <f aca="false">H298+D299</f>
        <v>74.4</v>
      </c>
      <c r="I299" s="44" t="s">
        <v>38</v>
      </c>
      <c r="J299" s="6" t="n">
        <v>5.4</v>
      </c>
      <c r="K299" s="6" t="n">
        <f aca="false">K298+J299</f>
        <v>748.8</v>
      </c>
      <c r="L299" s="6" t="n">
        <v>0.9</v>
      </c>
      <c r="M299" s="6" t="n">
        <f aca="false">M298+L299</f>
        <v>274.4</v>
      </c>
      <c r="N299" s="6" t="n">
        <v>4.5</v>
      </c>
      <c r="O299" s="6" t="n">
        <v>122.1</v>
      </c>
      <c r="P299" s="6" t="n">
        <v>252</v>
      </c>
      <c r="Q299" s="6" t="n">
        <v>1.15</v>
      </c>
      <c r="R299" s="14" t="n">
        <f aca="false">Q299*L299</f>
        <v>1.035</v>
      </c>
      <c r="S299" s="14" t="n">
        <f aca="false">J299-R299</f>
        <v>4.365</v>
      </c>
      <c r="T299" s="14" t="n">
        <f aca="false">MIN(122.1,(T298+S299))</f>
        <v>122.1</v>
      </c>
      <c r="U299" s="44" t="s">
        <v>39</v>
      </c>
      <c r="V299" s="6" t="n">
        <v>492.1</v>
      </c>
      <c r="X299" s="6" t="n">
        <f aca="false">X298+V299</f>
        <v>156768.1</v>
      </c>
      <c r="Y299" s="6" t="n">
        <f aca="false">Y298+V299</f>
        <v>5099.4</v>
      </c>
      <c r="AA299" s="6" t="n">
        <v>15.2842876064292</v>
      </c>
    </row>
    <row r="300" s="6" customFormat="true" ht="15" hidden="false" customHeight="false" outlineLevel="0" collapsed="false">
      <c r="A300" s="43"/>
      <c r="B300" s="12"/>
      <c r="C300" s="7" t="n">
        <v>41416</v>
      </c>
      <c r="D300" s="6" t="n">
        <v>9.3</v>
      </c>
      <c r="E300" s="6" t="n">
        <v>9.1</v>
      </c>
      <c r="F300" s="6" t="n">
        <v>10.2</v>
      </c>
      <c r="G300" s="6" t="n">
        <f aca="false">G299+D300</f>
        <v>1837.7</v>
      </c>
      <c r="H300" s="6" t="n">
        <f aca="false">H299+D300</f>
        <v>83.7</v>
      </c>
      <c r="I300" s="6" t="n">
        <v>0</v>
      </c>
      <c r="J300" s="6" t="n">
        <v>0.2</v>
      </c>
      <c r="K300" s="6" t="n">
        <f aca="false">K299+J300</f>
        <v>749</v>
      </c>
      <c r="L300" s="6" t="n">
        <v>0.9</v>
      </c>
      <c r="M300" s="6" t="n">
        <f aca="false">M299+L300</f>
        <v>275.3</v>
      </c>
      <c r="N300" s="6" t="n">
        <v>-0.7</v>
      </c>
      <c r="O300" s="6" t="n">
        <f aca="false">O299+N300</f>
        <v>121.4</v>
      </c>
      <c r="P300" s="6" t="n">
        <v>253</v>
      </c>
      <c r="Q300" s="6" t="n">
        <v>1.15</v>
      </c>
      <c r="R300" s="14" t="n">
        <f aca="false">Q300*L300</f>
        <v>1.035</v>
      </c>
      <c r="S300" s="14" t="n">
        <f aca="false">J300-R300</f>
        <v>-0.835</v>
      </c>
      <c r="T300" s="14" t="n">
        <f aca="false">MIN(122.1,(T299+S300))</f>
        <v>121.265</v>
      </c>
      <c r="U300" s="14" t="n">
        <f aca="false">MIN(T293:T317)</f>
        <v>86.78</v>
      </c>
      <c r="V300" s="6" t="n">
        <v>553.1</v>
      </c>
      <c r="X300" s="6" t="n">
        <f aca="false">X299+V300</f>
        <v>157321.2</v>
      </c>
      <c r="Y300" s="6" t="n">
        <f aca="false">Y299+V300</f>
        <v>5652.5</v>
      </c>
      <c r="AA300" s="6" t="n">
        <v>15.321405794389</v>
      </c>
    </row>
    <row r="301" s="6" customFormat="true" ht="15" hidden="false" customHeight="false" outlineLevel="0" collapsed="false">
      <c r="A301" s="43"/>
      <c r="B301" s="12"/>
      <c r="C301" s="7" t="n">
        <v>41417</v>
      </c>
      <c r="D301" s="6" t="n">
        <v>6.7</v>
      </c>
      <c r="E301" s="6" t="n">
        <v>6.1</v>
      </c>
      <c r="F301" s="6" t="n">
        <v>7.7</v>
      </c>
      <c r="G301" s="6" t="n">
        <f aca="false">G300+D301</f>
        <v>1844.4</v>
      </c>
      <c r="H301" s="6" t="n">
        <f aca="false">H300+D301</f>
        <v>90.4</v>
      </c>
      <c r="I301" s="44" t="s">
        <v>40</v>
      </c>
      <c r="J301" s="6" t="n">
        <v>3.8</v>
      </c>
      <c r="K301" s="6" t="n">
        <f aca="false">K300+J301</f>
        <v>752.8</v>
      </c>
      <c r="L301" s="6" t="n">
        <v>0.8</v>
      </c>
      <c r="M301" s="6" t="n">
        <f aca="false">M300+L301</f>
        <v>276.1</v>
      </c>
      <c r="N301" s="6" t="n">
        <v>3</v>
      </c>
      <c r="O301" s="6" t="n">
        <v>122.1</v>
      </c>
      <c r="P301" s="6" t="n">
        <v>254</v>
      </c>
      <c r="Q301" s="6" t="n">
        <v>1.15</v>
      </c>
      <c r="R301" s="14" t="n">
        <f aca="false">Q301*L301</f>
        <v>0.92</v>
      </c>
      <c r="S301" s="14" t="n">
        <f aca="false">J301-R301</f>
        <v>2.88</v>
      </c>
      <c r="T301" s="14" t="n">
        <f aca="false">MIN(122.1,(T300+S301))</f>
        <v>122.1</v>
      </c>
      <c r="U301" s="44" t="s">
        <v>41</v>
      </c>
      <c r="V301" s="6" t="n">
        <v>753.3</v>
      </c>
      <c r="X301" s="6" t="n">
        <f aca="false">X300+V301</f>
        <v>158074.5</v>
      </c>
      <c r="Y301" s="6" t="n">
        <f aca="false">Y300+V301</f>
        <v>6405.8</v>
      </c>
      <c r="AA301" s="6" t="n">
        <v>15.3576561222857</v>
      </c>
    </row>
    <row r="302" s="6" customFormat="true" ht="15" hidden="false" customHeight="false" outlineLevel="0" collapsed="false">
      <c r="A302" s="43"/>
      <c r="B302" s="12"/>
      <c r="C302" s="7" t="n">
        <v>41418</v>
      </c>
      <c r="D302" s="6" t="n">
        <v>7.2</v>
      </c>
      <c r="E302" s="6" t="n">
        <v>3.7</v>
      </c>
      <c r="F302" s="6" t="n">
        <v>11.8</v>
      </c>
      <c r="G302" s="6" t="n">
        <f aca="false">G301+D302</f>
        <v>1851.6</v>
      </c>
      <c r="H302" s="6" t="n">
        <f aca="false">H301+D302</f>
        <v>97.6</v>
      </c>
      <c r="I302" s="6" t="n">
        <v>2</v>
      </c>
      <c r="J302" s="6" t="n">
        <v>6.4</v>
      </c>
      <c r="K302" s="6" t="n">
        <f aca="false">K301+J302</f>
        <v>759.2</v>
      </c>
      <c r="L302" s="6" t="n">
        <v>1.6</v>
      </c>
      <c r="M302" s="6" t="n">
        <f aca="false">M301+L302</f>
        <v>277.7</v>
      </c>
      <c r="N302" s="6" t="n">
        <v>4.8</v>
      </c>
      <c r="O302" s="6" t="n">
        <v>122.1</v>
      </c>
      <c r="P302" s="6" t="n">
        <v>255</v>
      </c>
      <c r="Q302" s="6" t="n">
        <v>1.15</v>
      </c>
      <c r="R302" s="14" t="n">
        <f aca="false">Q302*L302</f>
        <v>1.84</v>
      </c>
      <c r="S302" s="14" t="n">
        <f aca="false">J302-R302</f>
        <v>4.56</v>
      </c>
      <c r="T302" s="14" t="n">
        <f aca="false">MIN(122.1,(T301+S302))</f>
        <v>122.1</v>
      </c>
      <c r="U302" s="6" t="n">
        <v>122.1</v>
      </c>
      <c r="V302" s="6" t="n">
        <v>1270.1</v>
      </c>
      <c r="X302" s="6" t="n">
        <f aca="false">X301+V302</f>
        <v>159344.6</v>
      </c>
      <c r="Y302" s="6" t="n">
        <f aca="false">Y301+V302</f>
        <v>7675.9</v>
      </c>
      <c r="AA302" s="6" t="n">
        <v>15.3930141117888</v>
      </c>
    </row>
    <row r="303" s="6" customFormat="true" ht="15" hidden="false" customHeight="false" outlineLevel="0" collapsed="false">
      <c r="A303" s="43"/>
      <c r="B303" s="12"/>
      <c r="C303" s="7" t="n">
        <v>41419</v>
      </c>
      <c r="D303" s="6" t="n">
        <v>7.8</v>
      </c>
      <c r="E303" s="6" t="n">
        <v>4.9</v>
      </c>
      <c r="F303" s="6" t="n">
        <v>11.3</v>
      </c>
      <c r="G303" s="6" t="n">
        <f aca="false">G302+D303</f>
        <v>1859.4</v>
      </c>
      <c r="H303" s="6" t="n">
        <f aca="false">H302+D303</f>
        <v>105.4</v>
      </c>
      <c r="I303" s="44" t="s">
        <v>42</v>
      </c>
      <c r="J303" s="6" t="n">
        <v>2.9</v>
      </c>
      <c r="K303" s="6" t="n">
        <f aca="false">K302+J303</f>
        <v>762.1</v>
      </c>
      <c r="L303" s="6" t="n">
        <v>1.3</v>
      </c>
      <c r="M303" s="6" t="n">
        <f aca="false">M302+L303</f>
        <v>279</v>
      </c>
      <c r="N303" s="6" t="n">
        <v>1.6</v>
      </c>
      <c r="O303" s="6" t="n">
        <v>122.1</v>
      </c>
      <c r="P303" s="6" t="n">
        <v>256</v>
      </c>
      <c r="Q303" s="6" t="n">
        <v>1.15</v>
      </c>
      <c r="R303" s="14" t="n">
        <f aca="false">Q303*L303</f>
        <v>1.495</v>
      </c>
      <c r="S303" s="14" t="n">
        <f aca="false">J303-R303</f>
        <v>1.405</v>
      </c>
      <c r="T303" s="14" t="n">
        <f aca="false">MIN(122.1,(T302+S303))</f>
        <v>122.1</v>
      </c>
      <c r="U303" s="44" t="s">
        <v>43</v>
      </c>
      <c r="V303" s="6" t="n">
        <v>977.4</v>
      </c>
      <c r="X303" s="6" t="n">
        <f aca="false">X302+V303</f>
        <v>160322</v>
      </c>
      <c r="Y303" s="6" t="n">
        <f aca="false">Y302+V303</f>
        <v>8653.3</v>
      </c>
      <c r="AA303" s="6" t="n">
        <v>15.4274552996818</v>
      </c>
    </row>
    <row r="304" s="6" customFormat="true" ht="15" hidden="false" customHeight="false" outlineLevel="0" collapsed="false">
      <c r="A304" s="43"/>
      <c r="B304" s="12"/>
      <c r="C304" s="7" t="n">
        <v>41420</v>
      </c>
      <c r="D304" s="6" t="n">
        <v>9</v>
      </c>
      <c r="E304" s="6" t="n">
        <v>6.4</v>
      </c>
      <c r="F304" s="6" t="n">
        <v>11.1</v>
      </c>
      <c r="G304" s="6" t="n">
        <f aca="false">G303+D304</f>
        <v>1868.4</v>
      </c>
      <c r="H304" s="6" t="n">
        <f aca="false">H303+D304</f>
        <v>114.4</v>
      </c>
      <c r="I304" s="6" t="n">
        <v>2</v>
      </c>
      <c r="J304" s="6" t="n">
        <v>0</v>
      </c>
      <c r="K304" s="6" t="n">
        <f aca="false">K303+J304</f>
        <v>762.1</v>
      </c>
      <c r="L304" s="6" t="n">
        <v>2.2</v>
      </c>
      <c r="M304" s="6" t="n">
        <f aca="false">M303+L304</f>
        <v>281.2</v>
      </c>
      <c r="N304" s="6" t="n">
        <v>-2.2</v>
      </c>
      <c r="O304" s="6" t="n">
        <f aca="false">O303+N304</f>
        <v>119.9</v>
      </c>
      <c r="P304" s="6" t="n">
        <v>257</v>
      </c>
      <c r="Q304" s="6" t="n">
        <v>1.15</v>
      </c>
      <c r="R304" s="14" t="n">
        <f aca="false">Q304*L304</f>
        <v>2.53</v>
      </c>
      <c r="S304" s="14" t="n">
        <f aca="false">J304-R304</f>
        <v>-2.53</v>
      </c>
      <c r="T304" s="14" t="n">
        <f aca="false">MIN(122.1,(T303+S304))</f>
        <v>119.57</v>
      </c>
      <c r="U304" s="15" t="n">
        <f aca="false">AVERAGE(T293:T317)</f>
        <v>115.2386</v>
      </c>
      <c r="V304" s="6" t="n">
        <v>1746.3</v>
      </c>
      <c r="X304" s="6" t="n">
        <f aca="false">X303+V304</f>
        <v>162068.3</v>
      </c>
      <c r="Y304" s="6" t="n">
        <f aca="false">Y303+V304</f>
        <v>10399.6</v>
      </c>
      <c r="AA304" s="6" t="n">
        <v>15.4609552880611</v>
      </c>
    </row>
    <row r="305" s="6" customFormat="true" ht="15" hidden="false" customHeight="false" outlineLevel="0" collapsed="false">
      <c r="A305" s="43"/>
      <c r="B305" s="12"/>
      <c r="C305" s="7" t="n">
        <v>41421</v>
      </c>
      <c r="D305" s="6" t="n">
        <v>12.5</v>
      </c>
      <c r="E305" s="6" t="n">
        <v>7</v>
      </c>
      <c r="F305" s="6" t="n">
        <v>17.6</v>
      </c>
      <c r="G305" s="6" t="n">
        <f aca="false">G304+D305</f>
        <v>1880.9</v>
      </c>
      <c r="H305" s="6" t="n">
        <f aca="false">H304+D305</f>
        <v>126.9</v>
      </c>
      <c r="I305" s="44" t="s">
        <v>44</v>
      </c>
      <c r="J305" s="6" t="n">
        <v>0</v>
      </c>
      <c r="K305" s="6" t="n">
        <f aca="false">K304+J305</f>
        <v>762.1</v>
      </c>
      <c r="L305" s="6" t="n">
        <v>3.5</v>
      </c>
      <c r="M305" s="6" t="n">
        <f aca="false">M304+L305</f>
        <v>284.7</v>
      </c>
      <c r="N305" s="6" t="n">
        <v>-3.5</v>
      </c>
      <c r="O305" s="6" t="n">
        <f aca="false">O304+N305</f>
        <v>116.4</v>
      </c>
      <c r="P305" s="6" t="n">
        <v>258</v>
      </c>
      <c r="Q305" s="6" t="n">
        <v>1.15</v>
      </c>
      <c r="R305" s="14" t="n">
        <f aca="false">Q305*L305</f>
        <v>4.025</v>
      </c>
      <c r="S305" s="14" t="n">
        <f aca="false">J305-R305</f>
        <v>-4.025</v>
      </c>
      <c r="T305" s="14" t="n">
        <f aca="false">MIN(122.1,(T304+S305))</f>
        <v>115.545</v>
      </c>
      <c r="V305" s="6" t="n">
        <v>2532.2</v>
      </c>
      <c r="X305" s="6" t="n">
        <f aca="false">X304+V305</f>
        <v>164600.5</v>
      </c>
      <c r="Y305" s="6" t="n">
        <f aca="false">Y304+V305</f>
        <v>12931.8</v>
      </c>
      <c r="AA305" s="6" t="n">
        <v>15.4934897966899</v>
      </c>
    </row>
    <row r="306" s="6" customFormat="true" ht="15" hidden="false" customHeight="false" outlineLevel="0" collapsed="false">
      <c r="A306" s="43"/>
      <c r="B306" s="12"/>
      <c r="C306" s="7" t="n">
        <v>41422</v>
      </c>
      <c r="D306" s="6" t="n">
        <v>10.8</v>
      </c>
      <c r="E306" s="6" t="n">
        <v>7.4</v>
      </c>
      <c r="F306" s="6" t="n">
        <v>13.1</v>
      </c>
      <c r="G306" s="6" t="n">
        <f aca="false">G305+D306</f>
        <v>1891.7</v>
      </c>
      <c r="H306" s="6" t="n">
        <f aca="false">H305+D306</f>
        <v>137.7</v>
      </c>
      <c r="I306" s="6" t="n">
        <v>302.3</v>
      </c>
      <c r="J306" s="6" t="n">
        <v>2.6</v>
      </c>
      <c r="K306" s="6" t="n">
        <f aca="false">K305+J306</f>
        <v>764.7</v>
      </c>
      <c r="L306" s="6" t="n">
        <v>1.2</v>
      </c>
      <c r="M306" s="6" t="n">
        <f aca="false">M305+L306</f>
        <v>285.9</v>
      </c>
      <c r="N306" s="6" t="n">
        <v>1.4</v>
      </c>
      <c r="O306" s="6" t="n">
        <f aca="false">O305+N306</f>
        <v>117.8</v>
      </c>
      <c r="P306" s="6" t="n">
        <v>259</v>
      </c>
      <c r="Q306" s="6" t="n">
        <v>1.15</v>
      </c>
      <c r="R306" s="14" t="n">
        <f aca="false">Q306*L306</f>
        <v>1.38</v>
      </c>
      <c r="S306" s="14" t="n">
        <f aca="false">J306-R306</f>
        <v>1.22</v>
      </c>
      <c r="T306" s="14" t="n">
        <f aca="false">MIN(122.1,(T305+S306))</f>
        <v>116.765</v>
      </c>
      <c r="U306" s="14" t="n">
        <f aca="false">(U304*100)/122.1</f>
        <v>94.3805077805078</v>
      </c>
      <c r="V306" s="6" t="n">
        <v>986.4</v>
      </c>
      <c r="X306" s="6" t="n">
        <f aca="false">X305+V306</f>
        <v>165586.9</v>
      </c>
      <c r="Y306" s="6" t="n">
        <f aca="false">Y305+V306</f>
        <v>13918.2</v>
      </c>
      <c r="AA306" s="6" t="n">
        <v>15.5250347173626</v>
      </c>
    </row>
    <row r="307" s="6" customFormat="true" ht="15" hidden="false" customHeight="false" outlineLevel="0" collapsed="false">
      <c r="A307" s="43"/>
      <c r="B307" s="12"/>
      <c r="C307" s="7" t="n">
        <v>41423</v>
      </c>
      <c r="D307" s="6" t="n">
        <v>9.5</v>
      </c>
      <c r="E307" s="6" t="n">
        <v>7.8</v>
      </c>
      <c r="F307" s="6" t="n">
        <v>12.6</v>
      </c>
      <c r="G307" s="6" t="n">
        <f aca="false">G306+D307</f>
        <v>1901.2</v>
      </c>
      <c r="H307" s="6" t="n">
        <f aca="false">H306+D307</f>
        <v>147.2</v>
      </c>
      <c r="J307" s="6" t="n">
        <v>5.5</v>
      </c>
      <c r="K307" s="6" t="n">
        <f aca="false">K306+J307</f>
        <v>770.2</v>
      </c>
      <c r="L307" s="6" t="n">
        <v>1.6</v>
      </c>
      <c r="M307" s="6" t="n">
        <f aca="false">M306+L307</f>
        <v>287.5</v>
      </c>
      <c r="N307" s="6" t="n">
        <v>3.9</v>
      </c>
      <c r="O307" s="6" t="n">
        <f aca="false">O306+N307</f>
        <v>121.7</v>
      </c>
      <c r="P307" s="6" t="n">
        <v>260</v>
      </c>
      <c r="Q307" s="6" t="n">
        <v>1.15</v>
      </c>
      <c r="R307" s="14" t="n">
        <f aca="false">Q307*L307</f>
        <v>1.84</v>
      </c>
      <c r="S307" s="14" t="n">
        <f aca="false">J307-R307</f>
        <v>3.66</v>
      </c>
      <c r="T307" s="14" t="n">
        <f aca="false">MIN(122.1,(T306+S307))</f>
        <v>120.425</v>
      </c>
      <c r="V307" s="6" t="n">
        <v>1185.6</v>
      </c>
      <c r="X307" s="6" t="n">
        <f aca="false">X306+V307</f>
        <v>166772.5</v>
      </c>
      <c r="Y307" s="6" t="n">
        <f aca="false">Y306+V307</f>
        <v>15103.8</v>
      </c>
      <c r="AA307" s="6" t="n">
        <v>15.5555661701114</v>
      </c>
    </row>
    <row r="308" s="6" customFormat="true" ht="15" hidden="false" customHeight="false" outlineLevel="0" collapsed="false">
      <c r="A308" s="43"/>
      <c r="B308" s="12"/>
      <c r="C308" s="7" t="n">
        <v>41424</v>
      </c>
      <c r="D308" s="6" t="n">
        <v>10</v>
      </c>
      <c r="E308" s="6" t="n">
        <v>5.7</v>
      </c>
      <c r="F308" s="6" t="n">
        <v>12.3</v>
      </c>
      <c r="G308" s="6" t="n">
        <f aca="false">G307+D308</f>
        <v>1911.2</v>
      </c>
      <c r="H308" s="6" t="n">
        <f aca="false">H307+D308</f>
        <v>157.2</v>
      </c>
      <c r="J308" s="6" t="n">
        <v>3</v>
      </c>
      <c r="K308" s="6" t="n">
        <f aca="false">K307+J308</f>
        <v>773.2</v>
      </c>
      <c r="L308" s="6" t="n">
        <v>0.7</v>
      </c>
      <c r="M308" s="6" t="n">
        <f aca="false">M307+L308</f>
        <v>288.2</v>
      </c>
      <c r="N308" s="6" t="n">
        <v>2.3</v>
      </c>
      <c r="O308" s="6" t="n">
        <v>122.1</v>
      </c>
      <c r="P308" s="6" t="n">
        <v>261</v>
      </c>
      <c r="Q308" s="6" t="n">
        <v>1.15</v>
      </c>
      <c r="R308" s="14" t="n">
        <f aca="false">Q308*L308</f>
        <v>0.805</v>
      </c>
      <c r="S308" s="14" t="n">
        <f aca="false">J308-R308</f>
        <v>2.195</v>
      </c>
      <c r="T308" s="14" t="n">
        <f aca="false">MIN(122.1,(T307+S308))</f>
        <v>122.1</v>
      </c>
      <c r="V308" s="6" t="n">
        <v>692.8</v>
      </c>
      <c r="X308" s="6" t="n">
        <f aca="false">X307+V308</f>
        <v>167465.3</v>
      </c>
      <c r="Y308" s="6" t="n">
        <f aca="false">Y307+V308</f>
        <v>15796.6</v>
      </c>
      <c r="AA308" s="6" t="n">
        <v>15.5850605610659</v>
      </c>
    </row>
    <row r="309" s="6" customFormat="true" ht="15" hidden="false" customHeight="false" outlineLevel="0" collapsed="false">
      <c r="A309" s="43"/>
      <c r="B309" s="12"/>
      <c r="C309" s="7" t="n">
        <v>41425</v>
      </c>
      <c r="D309" s="6" t="n">
        <v>11.7</v>
      </c>
      <c r="E309" s="6" t="n">
        <v>8.9</v>
      </c>
      <c r="F309" s="6" t="n">
        <v>13.4</v>
      </c>
      <c r="G309" s="6" t="n">
        <f aca="false">G308+D309</f>
        <v>1922.9</v>
      </c>
      <c r="H309" s="6" t="n">
        <f aca="false">H308+D309</f>
        <v>168.9</v>
      </c>
      <c r="J309" s="6" t="n">
        <v>10.1</v>
      </c>
      <c r="K309" s="6" t="n">
        <f aca="false">K308+J309</f>
        <v>783.3</v>
      </c>
      <c r="L309" s="6" t="n">
        <v>1</v>
      </c>
      <c r="M309" s="6" t="n">
        <f aca="false">M308+L309</f>
        <v>289.2</v>
      </c>
      <c r="N309" s="6" t="n">
        <v>9.1</v>
      </c>
      <c r="O309" s="6" t="n">
        <v>122.1</v>
      </c>
      <c r="P309" s="6" t="n">
        <v>262</v>
      </c>
      <c r="Q309" s="6" t="n">
        <v>1.15</v>
      </c>
      <c r="R309" s="14" t="n">
        <f aca="false">Q309*L309</f>
        <v>1.15</v>
      </c>
      <c r="S309" s="14" t="n">
        <f aca="false">J309-R309</f>
        <v>8.95</v>
      </c>
      <c r="T309" s="14" t="n">
        <f aca="false">MIN(122.1,(T308+S309))</f>
        <v>122.1</v>
      </c>
      <c r="V309" s="6" t="n">
        <v>654.4</v>
      </c>
      <c r="X309" s="6" t="n">
        <f aca="false">X308+V309</f>
        <v>168119.7</v>
      </c>
      <c r="Y309" s="6" t="n">
        <f aca="false">Y308+V309</f>
        <v>16451</v>
      </c>
      <c r="AA309" s="6" t="n">
        <v>15.6134946417505</v>
      </c>
    </row>
    <row r="310" s="6" customFormat="true" ht="15" hidden="false" customHeight="false" outlineLevel="0" collapsed="false">
      <c r="A310" s="43"/>
      <c r="B310" s="12"/>
      <c r="C310" s="7" t="n">
        <v>41426</v>
      </c>
      <c r="D310" s="6" t="n">
        <v>13.7</v>
      </c>
      <c r="E310" s="6" t="n">
        <v>11.6</v>
      </c>
      <c r="F310" s="6" t="n">
        <v>16.5</v>
      </c>
      <c r="G310" s="6" t="n">
        <f aca="false">G309+D310</f>
        <v>1936.6</v>
      </c>
      <c r="H310" s="6" t="n">
        <f aca="false">H309+D310</f>
        <v>182.6</v>
      </c>
      <c r="J310" s="6" t="n">
        <v>0.1</v>
      </c>
      <c r="K310" s="6" t="n">
        <f aca="false">K309+J310</f>
        <v>783.4</v>
      </c>
      <c r="L310" s="6" t="n">
        <v>2.2</v>
      </c>
      <c r="M310" s="6" t="n">
        <f aca="false">M309+L310</f>
        <v>291.4</v>
      </c>
      <c r="N310" s="6" t="n">
        <v>-2.1</v>
      </c>
      <c r="O310" s="6" t="n">
        <f aca="false">O309+N310</f>
        <v>120</v>
      </c>
      <c r="P310" s="6" t="n">
        <v>263</v>
      </c>
      <c r="Q310" s="6" t="n">
        <v>1.15</v>
      </c>
      <c r="R310" s="14" t="n">
        <f aca="false">Q310*L310</f>
        <v>2.53</v>
      </c>
      <c r="S310" s="14" t="n">
        <f aca="false">J310-R310</f>
        <v>-2.43</v>
      </c>
      <c r="T310" s="14" t="n">
        <f aca="false">MIN(122.1,(T309+S310))</f>
        <v>119.67</v>
      </c>
      <c r="V310" s="6" t="n">
        <v>1489.1</v>
      </c>
      <c r="X310" s="6" t="n">
        <f aca="false">X309+V310</f>
        <v>169608.8</v>
      </c>
      <c r="Y310" s="6" t="n">
        <f aca="false">Y309+V310</f>
        <v>17940.1</v>
      </c>
      <c r="AA310" s="6" t="n">
        <v>15.6408455695819</v>
      </c>
    </row>
    <row r="311" s="6" customFormat="true" ht="15" hidden="false" customHeight="false" outlineLevel="0" collapsed="false">
      <c r="A311" s="43"/>
      <c r="B311" s="12"/>
      <c r="C311" s="7" t="n">
        <v>41427</v>
      </c>
      <c r="D311" s="6" t="n">
        <v>13.9</v>
      </c>
      <c r="E311" s="6" t="n">
        <v>10.5</v>
      </c>
      <c r="F311" s="6" t="n">
        <v>17.8</v>
      </c>
      <c r="G311" s="6" t="n">
        <f aca="false">G310+D311</f>
        <v>1950.5</v>
      </c>
      <c r="H311" s="6" t="n">
        <f aca="false">H310+D311</f>
        <v>196.5</v>
      </c>
      <c r="J311" s="6" t="n">
        <v>0</v>
      </c>
      <c r="K311" s="6" t="n">
        <f aca="false">K310+J311</f>
        <v>783.4</v>
      </c>
      <c r="L311" s="6" t="n">
        <v>2.8</v>
      </c>
      <c r="M311" s="6" t="n">
        <f aca="false">M310+L311</f>
        <v>294.2</v>
      </c>
      <c r="N311" s="6" t="n">
        <v>-2.8</v>
      </c>
      <c r="O311" s="6" t="n">
        <f aca="false">O310+N311</f>
        <v>117.2</v>
      </c>
      <c r="P311" s="6" t="n">
        <v>264</v>
      </c>
      <c r="Q311" s="6" t="n">
        <v>1.15</v>
      </c>
      <c r="R311" s="14" t="n">
        <f aca="false">Q311*L311</f>
        <v>3.22</v>
      </c>
      <c r="S311" s="14" t="n">
        <f aca="false">J311-R311</f>
        <v>-3.22</v>
      </c>
      <c r="T311" s="14" t="n">
        <f aca="false">MIN(122.1,(T310+S311))</f>
        <v>116.45</v>
      </c>
      <c r="V311" s="6" t="n">
        <v>1223</v>
      </c>
      <c r="X311" s="6" t="n">
        <f aca="false">X310+V311</f>
        <v>170831.8</v>
      </c>
      <c r="Y311" s="6" t="n">
        <f aca="false">Y310+V311</f>
        <v>19163.1</v>
      </c>
      <c r="AA311" s="6" t="n">
        <v>15.6670909693091</v>
      </c>
    </row>
    <row r="312" s="6" customFormat="true" ht="15" hidden="false" customHeight="false" outlineLevel="0" collapsed="false">
      <c r="A312" s="43"/>
      <c r="B312" s="12"/>
      <c r="C312" s="7" t="n">
        <v>41428</v>
      </c>
      <c r="D312" s="6" t="n">
        <v>13.2</v>
      </c>
      <c r="E312" s="6" t="n">
        <v>10.5</v>
      </c>
      <c r="F312" s="6" t="n">
        <v>16.9</v>
      </c>
      <c r="G312" s="6" t="n">
        <f aca="false">G311+D312</f>
        <v>1963.7</v>
      </c>
      <c r="H312" s="6" t="n">
        <f aca="false">H311+D312</f>
        <v>209.7</v>
      </c>
      <c r="J312" s="6" t="n">
        <v>0</v>
      </c>
      <c r="K312" s="6" t="n">
        <f aca="false">K311+J312</f>
        <v>783.4</v>
      </c>
      <c r="L312" s="6" t="n">
        <v>4.6</v>
      </c>
      <c r="M312" s="6" t="n">
        <f aca="false">M311+L312</f>
        <v>298.8</v>
      </c>
      <c r="N312" s="6" t="n">
        <v>-4.6</v>
      </c>
      <c r="O312" s="6" t="n">
        <f aca="false">O311+N312</f>
        <v>112.6</v>
      </c>
      <c r="P312" s="6" t="n">
        <v>265</v>
      </c>
      <c r="Q312" s="6" t="n">
        <v>1.15</v>
      </c>
      <c r="R312" s="14" t="n">
        <f aca="false">Q312*L312</f>
        <v>5.29</v>
      </c>
      <c r="S312" s="14" t="n">
        <f aca="false">J312-R312</f>
        <v>-5.29</v>
      </c>
      <c r="T312" s="14" t="n">
        <f aca="false">MIN(122.1,(T311+S312))</f>
        <v>111.16</v>
      </c>
      <c r="V312" s="6" t="n">
        <v>2497.8</v>
      </c>
      <c r="X312" s="6" t="n">
        <f aca="false">X311+V312</f>
        <v>173329.6</v>
      </c>
      <c r="Y312" s="6" t="n">
        <f aca="false">Y311+V312</f>
        <v>21660.9</v>
      </c>
      <c r="AA312" s="6" t="n">
        <v>15.6922089951128</v>
      </c>
    </row>
    <row r="313" s="6" customFormat="true" ht="15" hidden="false" customHeight="false" outlineLevel="0" collapsed="false">
      <c r="A313" s="43"/>
      <c r="B313" s="12"/>
      <c r="C313" s="7" t="n">
        <v>41429</v>
      </c>
      <c r="D313" s="6" t="n">
        <v>15</v>
      </c>
      <c r="E313" s="6" t="n">
        <v>9.1</v>
      </c>
      <c r="F313" s="6" t="n">
        <v>19.1</v>
      </c>
      <c r="G313" s="6" t="n">
        <f aca="false">G312+D313</f>
        <v>1978.7</v>
      </c>
      <c r="H313" s="6" t="n">
        <f aca="false">H312+D313</f>
        <v>224.7</v>
      </c>
      <c r="J313" s="6" t="n">
        <v>0</v>
      </c>
      <c r="K313" s="6" t="n">
        <f aca="false">K312+J313</f>
        <v>783.4</v>
      </c>
      <c r="L313" s="6" t="n">
        <v>4.6</v>
      </c>
      <c r="M313" s="6" t="n">
        <f aca="false">M312+L313</f>
        <v>303.4</v>
      </c>
      <c r="N313" s="6" t="n">
        <v>-4.6</v>
      </c>
      <c r="O313" s="6" t="n">
        <f aca="false">O312+N313</f>
        <v>108</v>
      </c>
      <c r="P313" s="6" t="n">
        <v>266</v>
      </c>
      <c r="Q313" s="6" t="n">
        <v>1.15</v>
      </c>
      <c r="R313" s="14" t="n">
        <f aca="false">Q313*L313</f>
        <v>5.29</v>
      </c>
      <c r="S313" s="14" t="n">
        <f aca="false">J313-R313</f>
        <v>-5.29</v>
      </c>
      <c r="T313" s="14" t="n">
        <f aca="false">MIN(122.1,(T312+S313))</f>
        <v>105.87</v>
      </c>
      <c r="V313" s="6" t="n">
        <v>2934.8</v>
      </c>
      <c r="X313" s="6" t="n">
        <f aca="false">X312+V313</f>
        <v>176264.4</v>
      </c>
      <c r="Y313" s="6" t="n">
        <f aca="false">Y312+V313</f>
        <v>24595.7</v>
      </c>
      <c r="AA313" s="6" t="n">
        <v>15.7161783930653</v>
      </c>
    </row>
    <row r="314" s="6" customFormat="true" ht="15" hidden="false" customHeight="false" outlineLevel="0" collapsed="false">
      <c r="A314" s="43"/>
      <c r="B314" s="12"/>
      <c r="C314" s="7" t="n">
        <v>41430</v>
      </c>
      <c r="D314" s="6" t="n">
        <v>18.4</v>
      </c>
      <c r="E314" s="6" t="n">
        <v>12.6</v>
      </c>
      <c r="F314" s="6" t="n">
        <v>23.5</v>
      </c>
      <c r="G314" s="6" t="n">
        <f aca="false">G313+D314</f>
        <v>1997.1</v>
      </c>
      <c r="H314" s="6" t="n">
        <f aca="false">H313+D314</f>
        <v>243.1</v>
      </c>
      <c r="J314" s="6" t="n">
        <v>0</v>
      </c>
      <c r="K314" s="6" t="n">
        <f aca="false">K313+J314</f>
        <v>783.4</v>
      </c>
      <c r="L314" s="6" t="n">
        <v>5.6</v>
      </c>
      <c r="M314" s="6" t="n">
        <f aca="false">M313+L314</f>
        <v>309</v>
      </c>
      <c r="N314" s="6" t="n">
        <v>-5.6</v>
      </c>
      <c r="O314" s="6" t="n">
        <f aca="false">O313+N314</f>
        <v>102.4</v>
      </c>
      <c r="P314" s="6" t="n">
        <v>267</v>
      </c>
      <c r="Q314" s="6" t="n">
        <v>1.15</v>
      </c>
      <c r="R314" s="14" t="n">
        <f aca="false">Q314*L314</f>
        <v>6.44</v>
      </c>
      <c r="S314" s="14" t="n">
        <f aca="false">J314-R314</f>
        <v>-6.44</v>
      </c>
      <c r="T314" s="14" t="n">
        <f aca="false">MIN(122.1,(T313+S314))</f>
        <v>99.43</v>
      </c>
      <c r="V314" s="6" t="n">
        <v>3241.7</v>
      </c>
      <c r="X314" s="6" t="n">
        <f aca="false">X313+V314</f>
        <v>179506.1</v>
      </c>
      <c r="Y314" s="6" t="n">
        <f aca="false">Y313+V314</f>
        <v>27837.4</v>
      </c>
      <c r="AA314" s="6" t="n">
        <v>15.7389785636304</v>
      </c>
    </row>
    <row r="315" s="6" customFormat="true" ht="15" hidden="false" customHeight="false" outlineLevel="0" collapsed="false">
      <c r="A315" s="43"/>
      <c r="B315" s="12"/>
      <c r="C315" s="7" t="n">
        <v>41431</v>
      </c>
      <c r="D315" s="6" t="n">
        <v>19.5</v>
      </c>
      <c r="E315" s="6" t="n">
        <v>13.7</v>
      </c>
      <c r="F315" s="6" t="n">
        <v>24.8</v>
      </c>
      <c r="G315" s="6" t="n">
        <f aca="false">G314+D315</f>
        <v>2016.6</v>
      </c>
      <c r="H315" s="6" t="n">
        <f aca="false">H314+D315</f>
        <v>262.6</v>
      </c>
      <c r="J315" s="6" t="n">
        <v>0</v>
      </c>
      <c r="K315" s="6" t="n">
        <f aca="false">K314+J315</f>
        <v>783.4</v>
      </c>
      <c r="L315" s="6" t="n">
        <v>5.3</v>
      </c>
      <c r="M315" s="6" t="n">
        <f aca="false">M314+L315</f>
        <v>314.3</v>
      </c>
      <c r="N315" s="6" t="n">
        <v>-5.3</v>
      </c>
      <c r="O315" s="6" t="n">
        <f aca="false">O314+N315</f>
        <v>97.1</v>
      </c>
      <c r="P315" s="6" t="n">
        <v>268</v>
      </c>
      <c r="Q315" s="6" t="n">
        <v>1.15</v>
      </c>
      <c r="R315" s="14" t="n">
        <f aca="false">Q315*L315</f>
        <v>6.095</v>
      </c>
      <c r="S315" s="14" t="n">
        <f aca="false">J315-R315</f>
        <v>-6.095</v>
      </c>
      <c r="T315" s="14" t="n">
        <f aca="false">MIN(122.1,(T314+S315))</f>
        <v>93.335</v>
      </c>
      <c r="V315" s="6" t="n">
        <v>2971.2</v>
      </c>
      <c r="X315" s="6" t="n">
        <f aca="false">X314+V315</f>
        <v>182477.3</v>
      </c>
      <c r="Y315" s="6" t="n">
        <f aca="false">Y314+V315</f>
        <v>30808.6</v>
      </c>
      <c r="AA315" s="6" t="n">
        <v>15.7605896238698</v>
      </c>
    </row>
    <row r="316" s="6" customFormat="true" ht="15" hidden="false" customHeight="false" outlineLevel="0" collapsed="false">
      <c r="A316" s="43"/>
      <c r="B316" s="12"/>
      <c r="C316" s="7" t="n">
        <v>41432</v>
      </c>
      <c r="D316" s="6" t="n">
        <v>20.2</v>
      </c>
      <c r="E316" s="6" t="n">
        <v>14.5</v>
      </c>
      <c r="F316" s="6" t="n">
        <v>25.5</v>
      </c>
      <c r="G316" s="6" t="n">
        <f aca="false">G315+D316</f>
        <v>2036.8</v>
      </c>
      <c r="H316" s="6" t="n">
        <f aca="false">H315+D316</f>
        <v>282.8</v>
      </c>
      <c r="J316" s="6" t="n">
        <v>0</v>
      </c>
      <c r="K316" s="6" t="n">
        <f aca="false">K315+J316</f>
        <v>783.4</v>
      </c>
      <c r="L316" s="6" t="n">
        <v>5.7</v>
      </c>
      <c r="M316" s="6" t="n">
        <f aca="false">M315+L316</f>
        <v>320</v>
      </c>
      <c r="N316" s="6" t="n">
        <v>-5.7</v>
      </c>
      <c r="O316" s="6" t="n">
        <f aca="false">O315+N316</f>
        <v>91.4</v>
      </c>
      <c r="P316" s="6" t="n">
        <v>269</v>
      </c>
      <c r="Q316" s="6" t="n">
        <v>1.15</v>
      </c>
      <c r="R316" s="14" t="n">
        <f aca="false">Q316*L316</f>
        <v>6.555</v>
      </c>
      <c r="S316" s="14" t="n">
        <f aca="false">J316-R316</f>
        <v>-6.555</v>
      </c>
      <c r="T316" s="14" t="n">
        <f aca="false">MIN(122.1,(T315+S316))</f>
        <v>86.78</v>
      </c>
      <c r="V316" s="6" t="n">
        <v>3016.8</v>
      </c>
      <c r="X316" s="6" t="n">
        <f aca="false">X315+V316</f>
        <v>185494.1</v>
      </c>
      <c r="Y316" s="6" t="n">
        <f aca="false">Y315+V316</f>
        <v>33825.4</v>
      </c>
      <c r="AA316" s="6" t="n">
        <v>15.7809924690058</v>
      </c>
    </row>
    <row r="317" s="20" customFormat="true" ht="15" hidden="false" customHeight="false" outlineLevel="0" collapsed="false">
      <c r="A317" s="43"/>
      <c r="B317" s="18" t="n">
        <v>300</v>
      </c>
      <c r="C317" s="19" t="n">
        <v>41433</v>
      </c>
      <c r="D317" s="20" t="n">
        <v>19.5</v>
      </c>
      <c r="E317" s="20" t="n">
        <v>14.8</v>
      </c>
      <c r="F317" s="20" t="n">
        <v>25.4</v>
      </c>
      <c r="G317" s="20" t="n">
        <f aca="false">G316+D317</f>
        <v>2056.3</v>
      </c>
      <c r="H317" s="20" t="n">
        <f aca="false">H316+D317</f>
        <v>302.3</v>
      </c>
      <c r="J317" s="20" t="n">
        <v>8.5</v>
      </c>
      <c r="K317" s="20" t="n">
        <f aca="false">K316+J317</f>
        <v>791.9</v>
      </c>
      <c r="L317" s="20" t="n">
        <v>4.4</v>
      </c>
      <c r="M317" s="20" t="n">
        <f aca="false">M316+L317</f>
        <v>324.4</v>
      </c>
      <c r="N317" s="20" t="n">
        <v>4.1</v>
      </c>
      <c r="O317" s="20" t="n">
        <f aca="false">O316+N317</f>
        <v>95.5</v>
      </c>
      <c r="P317" s="20" t="n">
        <v>270</v>
      </c>
      <c r="Q317" s="20" t="n">
        <v>1.15</v>
      </c>
      <c r="R317" s="21" t="n">
        <f aca="false">Q317*L317</f>
        <v>5.06</v>
      </c>
      <c r="S317" s="21" t="n">
        <f aca="false">J317-R317</f>
        <v>3.44</v>
      </c>
      <c r="T317" s="21" t="n">
        <f aca="false">MIN(122.1,(T316+S317))</f>
        <v>90.22</v>
      </c>
      <c r="V317" s="20" t="n">
        <v>2390</v>
      </c>
      <c r="X317" s="20" t="n">
        <f aca="false">X316+V317</f>
        <v>187884.1</v>
      </c>
      <c r="Y317" s="20" t="n">
        <f aca="false">Y316+V317</f>
        <v>36215.4</v>
      </c>
      <c r="AA317" s="20" t="n">
        <v>15.8001688329819</v>
      </c>
    </row>
    <row r="318" s="6" customFormat="true" ht="15" hidden="false" customHeight="false" outlineLevel="0" collapsed="false">
      <c r="A318" s="45" t="n">
        <v>600</v>
      </c>
      <c r="B318" s="12"/>
      <c r="C318" s="7" t="n">
        <v>41434</v>
      </c>
      <c r="D318" s="6" t="n">
        <v>16.5</v>
      </c>
      <c r="E318" s="6" t="n">
        <v>13.9</v>
      </c>
      <c r="F318" s="6" t="n">
        <v>21.7</v>
      </c>
      <c r="G318" s="6" t="n">
        <f aca="false">G317+D318</f>
        <v>2072.8</v>
      </c>
      <c r="H318" s="6" t="n">
        <v>16.5</v>
      </c>
      <c r="I318" s="46" t="s">
        <v>29</v>
      </c>
      <c r="J318" s="6" t="n">
        <v>0</v>
      </c>
      <c r="K318" s="6" t="n">
        <f aca="false">K317+J318</f>
        <v>791.9</v>
      </c>
      <c r="L318" s="6" t="n">
        <v>3.3</v>
      </c>
      <c r="M318" s="6" t="n">
        <f aca="false">M317+L318</f>
        <v>327.7</v>
      </c>
      <c r="N318" s="6" t="n">
        <v>-3.3</v>
      </c>
      <c r="O318" s="6" t="n">
        <f aca="false">O317+N318</f>
        <v>92.2</v>
      </c>
      <c r="P318" s="6" t="n">
        <v>271</v>
      </c>
      <c r="Q318" s="15" t="n">
        <f aca="false">1.15+((P318-270)/58)*(0.35-1.15)</f>
        <v>1.13620689655172</v>
      </c>
      <c r="R318" s="14" t="n">
        <f aca="false">Q318*L318</f>
        <v>3.74948275862069</v>
      </c>
      <c r="S318" s="14" t="n">
        <f aca="false">J318-R318</f>
        <v>-3.74948275862069</v>
      </c>
      <c r="T318" s="14" t="n">
        <f aca="false">MIN(122.1,(T317+S318))</f>
        <v>86.4705172413793</v>
      </c>
      <c r="U318" s="46" t="s">
        <v>30</v>
      </c>
      <c r="V318" s="6" t="n">
        <v>1817.5</v>
      </c>
      <c r="X318" s="6" t="n">
        <f aca="false">X317+V318</f>
        <v>189701.6</v>
      </c>
      <c r="Y318" s="6" t="n">
        <v>1817.5</v>
      </c>
      <c r="Z318" s="46" t="s">
        <v>31</v>
      </c>
      <c r="AA318" s="6" t="n">
        <v>15.8181013476534</v>
      </c>
    </row>
    <row r="319" s="6" customFormat="true" ht="15" hidden="false" customHeight="false" outlineLevel="0" collapsed="false">
      <c r="A319" s="45"/>
      <c r="B319" s="12"/>
      <c r="C319" s="7" t="n">
        <v>41435</v>
      </c>
      <c r="D319" s="6" t="n">
        <v>16.4</v>
      </c>
      <c r="E319" s="6" t="n">
        <v>13.6</v>
      </c>
      <c r="F319" s="6" t="n">
        <v>19.5</v>
      </c>
      <c r="G319" s="6" t="n">
        <f aca="false">G318+D319</f>
        <v>2089.2</v>
      </c>
      <c r="H319" s="6" t="n">
        <f aca="false">H318+D319</f>
        <v>32.9</v>
      </c>
      <c r="I319" s="6" t="n">
        <f aca="false">MIN(E318:E334)</f>
        <v>10.3</v>
      </c>
      <c r="J319" s="6" t="n">
        <v>0.8</v>
      </c>
      <c r="K319" s="6" t="n">
        <f aca="false">K318+J319</f>
        <v>792.7</v>
      </c>
      <c r="L319" s="6" t="n">
        <v>2.3</v>
      </c>
      <c r="M319" s="6" t="n">
        <f aca="false">M318+L319</f>
        <v>330</v>
      </c>
      <c r="N319" s="6" t="n">
        <v>-1.5</v>
      </c>
      <c r="O319" s="6" t="n">
        <f aca="false">O318+N319</f>
        <v>90.7</v>
      </c>
      <c r="P319" s="6" t="n">
        <v>272</v>
      </c>
      <c r="Q319" s="15" t="n">
        <f aca="false">1.15+((P319-270)/58)*(0.35-1.15)</f>
        <v>1.12241379310345</v>
      </c>
      <c r="R319" s="14" t="n">
        <f aca="false">Q319*L319</f>
        <v>2.58155172413793</v>
      </c>
      <c r="S319" s="14" t="n">
        <f aca="false">J319-R319</f>
        <v>-1.78155172413793</v>
      </c>
      <c r="T319" s="14" t="n">
        <f aca="false">MIN(122.1,(T318+S319))</f>
        <v>84.6889655172414</v>
      </c>
      <c r="U319" s="6" t="n">
        <v>14</v>
      </c>
      <c r="V319" s="6" t="n">
        <v>1567</v>
      </c>
      <c r="X319" s="6" t="n">
        <f aca="false">X318+V319</f>
        <v>191268.6</v>
      </c>
      <c r="Y319" s="6" t="n">
        <f aca="false">Y318+V319</f>
        <v>3384.5</v>
      </c>
      <c r="Z319" s="6" t="n">
        <f aca="false">Y334</f>
        <v>31646.4</v>
      </c>
      <c r="AA319" s="6" t="n">
        <v>15.834773600236</v>
      </c>
    </row>
    <row r="320" s="6" customFormat="true" ht="15" hidden="false" customHeight="false" outlineLevel="0" collapsed="false">
      <c r="A320" s="45"/>
      <c r="B320" s="12"/>
      <c r="C320" s="7" t="n">
        <v>41436</v>
      </c>
      <c r="D320" s="6" t="n">
        <v>17.3</v>
      </c>
      <c r="E320" s="6" t="n">
        <v>14.4</v>
      </c>
      <c r="F320" s="6" t="n">
        <v>20.9</v>
      </c>
      <c r="G320" s="6" t="n">
        <f aca="false">G319+D320</f>
        <v>2106.5</v>
      </c>
      <c r="H320" s="6" t="n">
        <f aca="false">H319+D320</f>
        <v>50.2</v>
      </c>
      <c r="I320" s="46" t="s">
        <v>32</v>
      </c>
      <c r="J320" s="6" t="n">
        <v>0</v>
      </c>
      <c r="K320" s="6" t="n">
        <f aca="false">K319+J320</f>
        <v>792.7</v>
      </c>
      <c r="L320" s="6" t="n">
        <v>3.4</v>
      </c>
      <c r="M320" s="6" t="n">
        <f aca="false">M319+L320</f>
        <v>333.4</v>
      </c>
      <c r="N320" s="6" t="n">
        <v>-3.4</v>
      </c>
      <c r="O320" s="6" t="n">
        <f aca="false">O319+N320</f>
        <v>87.3</v>
      </c>
      <c r="P320" s="6" t="n">
        <v>273</v>
      </c>
      <c r="Q320" s="15" t="n">
        <f aca="false">1.15+((P320-270)/58)*(0.35-1.15)</f>
        <v>1.10862068965517</v>
      </c>
      <c r="R320" s="14" t="n">
        <f aca="false">Q320*L320</f>
        <v>3.76931034482759</v>
      </c>
      <c r="S320" s="14" t="n">
        <f aca="false">J320-R320</f>
        <v>-3.76931034482759</v>
      </c>
      <c r="T320" s="14" t="n">
        <f aca="false">MIN(122.1,(T319+S320))</f>
        <v>80.9196551724138</v>
      </c>
      <c r="U320" s="46" t="s">
        <v>33</v>
      </c>
      <c r="V320" s="6" t="n">
        <v>1897.3</v>
      </c>
      <c r="X320" s="6" t="n">
        <f aca="false">X319+V320</f>
        <v>193165.9</v>
      </c>
      <c r="Y320" s="6" t="n">
        <f aca="false">Y319+V320</f>
        <v>5281.8</v>
      </c>
      <c r="Z320" s="46" t="s">
        <v>34</v>
      </c>
      <c r="AA320" s="6" t="n">
        <v>15.8501701886402</v>
      </c>
    </row>
    <row r="321" s="6" customFormat="true" ht="15" hidden="false" customHeight="false" outlineLevel="0" collapsed="false">
      <c r="A321" s="45"/>
      <c r="B321" s="12"/>
      <c r="C321" s="7" t="n">
        <v>41437</v>
      </c>
      <c r="D321" s="6" t="n">
        <v>19.1</v>
      </c>
      <c r="E321" s="6" t="n">
        <v>14.4</v>
      </c>
      <c r="F321" s="6" t="n">
        <v>23.8</v>
      </c>
      <c r="G321" s="6" t="n">
        <f aca="false">G320+D321</f>
        <v>2125.6</v>
      </c>
      <c r="H321" s="6" t="n">
        <f aca="false">H320+D321</f>
        <v>69.3</v>
      </c>
      <c r="I321" s="6" t="n">
        <f aca="false">MAX(F318:F334)</f>
        <v>31.8</v>
      </c>
      <c r="J321" s="6" t="n">
        <v>0</v>
      </c>
      <c r="K321" s="6" t="n">
        <f aca="false">K320+J321</f>
        <v>792.7</v>
      </c>
      <c r="L321" s="6" t="n">
        <v>1.8</v>
      </c>
      <c r="M321" s="6" t="n">
        <f aca="false">M320+L321</f>
        <v>335.2</v>
      </c>
      <c r="N321" s="6" t="n">
        <v>-1.8</v>
      </c>
      <c r="O321" s="6" t="n">
        <f aca="false">O320+N321</f>
        <v>85.5</v>
      </c>
      <c r="P321" s="6" t="n">
        <v>274</v>
      </c>
      <c r="Q321" s="15" t="n">
        <f aca="false">1.15+((P321-270)/58)*(0.35-1.15)</f>
        <v>1.0948275862069</v>
      </c>
      <c r="R321" s="14" t="n">
        <f aca="false">Q321*L321</f>
        <v>1.97068965517241</v>
      </c>
      <c r="S321" s="14" t="n">
        <f aca="false">J321-R321</f>
        <v>-1.97068965517241</v>
      </c>
      <c r="T321" s="14" t="n">
        <f aca="false">MIN(122.1,(T320+S321))</f>
        <v>78.9489655172414</v>
      </c>
      <c r="U321" s="6" t="n">
        <v>0</v>
      </c>
      <c r="V321" s="6" t="n">
        <v>1040.2</v>
      </c>
      <c r="W321" s="41"/>
      <c r="X321" s="41" t="n">
        <f aca="false">X320+V321</f>
        <v>194206.1</v>
      </c>
      <c r="Y321" s="6" t="n">
        <f aca="false">Y320+V321</f>
        <v>6322</v>
      </c>
      <c r="Z321" s="6" t="n">
        <f aca="false">(Z319/100)/I331</f>
        <v>1.02019342359768</v>
      </c>
      <c r="AA321" s="6" t="n">
        <v>15.8642767743228</v>
      </c>
    </row>
    <row r="322" s="6" customFormat="true" ht="15" hidden="false" customHeight="true" outlineLevel="0" collapsed="false">
      <c r="A322" s="45"/>
      <c r="B322" s="12"/>
      <c r="C322" s="7" t="n">
        <v>41438</v>
      </c>
      <c r="D322" s="6" t="n">
        <v>17.2</v>
      </c>
      <c r="E322" s="6" t="n">
        <v>13</v>
      </c>
      <c r="F322" s="6" t="n">
        <v>26.9</v>
      </c>
      <c r="G322" s="6" t="n">
        <f aca="false">G321+D322</f>
        <v>2142.8</v>
      </c>
      <c r="H322" s="6" t="n">
        <f aca="false">H321+D322</f>
        <v>86.5</v>
      </c>
      <c r="I322" s="46" t="s">
        <v>35</v>
      </c>
      <c r="J322" s="6" t="n">
        <v>19.7</v>
      </c>
      <c r="K322" s="6" t="n">
        <f aca="false">K321+J322</f>
        <v>812.4</v>
      </c>
      <c r="L322" s="6" t="n">
        <v>5.2</v>
      </c>
      <c r="M322" s="6" t="n">
        <f aca="false">M321+L322</f>
        <v>340.4</v>
      </c>
      <c r="N322" s="6" t="n">
        <v>14.5</v>
      </c>
      <c r="O322" s="6" t="n">
        <f aca="false">O321+N322</f>
        <v>100</v>
      </c>
      <c r="P322" s="6" t="n">
        <v>275</v>
      </c>
      <c r="Q322" s="15" t="n">
        <f aca="false">1.15+((P322-270)/58)*(0.35-1.15)</f>
        <v>1.08103448275862</v>
      </c>
      <c r="R322" s="14" t="n">
        <f aca="false">Q322*L322</f>
        <v>5.62137931034483</v>
      </c>
      <c r="S322" s="14" t="n">
        <f aca="false">J322-R322</f>
        <v>14.0786206896552</v>
      </c>
      <c r="T322" s="14" t="n">
        <f aca="false">MIN(122.1,(T321+S322))</f>
        <v>93.0275862068966</v>
      </c>
      <c r="U322" s="46" t="s">
        <v>36</v>
      </c>
      <c r="V322" s="6" t="n">
        <v>2664</v>
      </c>
      <c r="X322" s="6" t="n">
        <f aca="false">X321+V322</f>
        <v>196870.1</v>
      </c>
      <c r="Y322" s="6" t="n">
        <f aca="false">Y321+V322</f>
        <v>8986</v>
      </c>
      <c r="Z322" s="46" t="s">
        <v>37</v>
      </c>
      <c r="AA322" s="6" t="n">
        <v>15.8770801322909</v>
      </c>
    </row>
    <row r="323" s="6" customFormat="true" ht="15" hidden="false" customHeight="false" outlineLevel="0" collapsed="false">
      <c r="A323" s="45"/>
      <c r="B323" s="12"/>
      <c r="C323" s="7" t="n">
        <v>41439</v>
      </c>
      <c r="D323" s="6" t="n">
        <v>14.7</v>
      </c>
      <c r="E323" s="6" t="n">
        <v>10.3</v>
      </c>
      <c r="F323" s="6" t="n">
        <v>18.7</v>
      </c>
      <c r="G323" s="6" t="n">
        <f aca="false">G322+D323</f>
        <v>2157.5</v>
      </c>
      <c r="H323" s="6" t="n">
        <f aca="false">H322+D323</f>
        <v>101.2</v>
      </c>
      <c r="I323" s="14" t="n">
        <f aca="false">AVERAGE(D318:D334)</f>
        <v>18.2470588235294</v>
      </c>
      <c r="J323" s="6" t="n">
        <v>0</v>
      </c>
      <c r="K323" s="6" t="n">
        <f aca="false">K322+J323</f>
        <v>812.4</v>
      </c>
      <c r="L323" s="6" t="n">
        <v>2.7</v>
      </c>
      <c r="M323" s="6" t="n">
        <f aca="false">M322+L323</f>
        <v>343.1</v>
      </c>
      <c r="N323" s="6" t="n">
        <v>-2.7</v>
      </c>
      <c r="O323" s="6" t="n">
        <f aca="false">O322+N323</f>
        <v>97.3</v>
      </c>
      <c r="P323" s="6" t="n">
        <v>276</v>
      </c>
      <c r="Q323" s="15" t="n">
        <f aca="false">1.15+((P323-270)/58)*(0.35-1.15)</f>
        <v>1.06724137931034</v>
      </c>
      <c r="R323" s="14" t="n">
        <f aca="false">Q323*L323</f>
        <v>2.88155172413793</v>
      </c>
      <c r="S323" s="14" t="n">
        <f aca="false">J323-R323</f>
        <v>-2.88155172413793</v>
      </c>
      <c r="T323" s="14" t="n">
        <f aca="false">MIN(122.1,(T322+S323))</f>
        <v>90.1460344827586</v>
      </c>
      <c r="U323" s="6" t="n">
        <v>0</v>
      </c>
      <c r="V323" s="6" t="n">
        <v>1871.9</v>
      </c>
      <c r="X323" s="6" t="n">
        <f aca="false">X322+V323</f>
        <v>198742</v>
      </c>
      <c r="Y323" s="6" t="n">
        <f aca="false">Y322+V323</f>
        <v>10857.9</v>
      </c>
      <c r="Z323" s="6" t="n">
        <v>1</v>
      </c>
      <c r="AA323" s="6" t="n">
        <v>15.8885681979102</v>
      </c>
    </row>
    <row r="324" s="6" customFormat="true" ht="15" hidden="false" customHeight="false" outlineLevel="0" collapsed="false">
      <c r="A324" s="45"/>
      <c r="B324" s="12"/>
      <c r="C324" s="7" t="n">
        <v>41440</v>
      </c>
      <c r="D324" s="6" t="n">
        <v>17.8</v>
      </c>
      <c r="E324" s="6" t="n">
        <v>11.6</v>
      </c>
      <c r="F324" s="6" t="n">
        <v>23.8</v>
      </c>
      <c r="G324" s="6" t="n">
        <f aca="false">G323+D324</f>
        <v>2175.3</v>
      </c>
      <c r="H324" s="6" t="n">
        <f aca="false">H323+D324</f>
        <v>119</v>
      </c>
      <c r="I324" s="46" t="s">
        <v>38</v>
      </c>
      <c r="J324" s="6" t="n">
        <v>0</v>
      </c>
      <c r="K324" s="6" t="n">
        <f aca="false">K323+J324</f>
        <v>812.4</v>
      </c>
      <c r="L324" s="6" t="n">
        <v>3.6</v>
      </c>
      <c r="M324" s="6" t="n">
        <f aca="false">M323+L324</f>
        <v>346.7</v>
      </c>
      <c r="N324" s="6" t="n">
        <v>-3.6</v>
      </c>
      <c r="O324" s="6" t="n">
        <f aca="false">O323+N324</f>
        <v>93.7</v>
      </c>
      <c r="P324" s="6" t="n">
        <v>277</v>
      </c>
      <c r="Q324" s="15" t="n">
        <f aca="false">1.15+((P324-270)/58)*(0.35-1.15)</f>
        <v>1.05344827586207</v>
      </c>
      <c r="R324" s="14" t="n">
        <f aca="false">Q324*L324</f>
        <v>3.79241379310345</v>
      </c>
      <c r="S324" s="14" t="n">
        <f aca="false">J324-R324</f>
        <v>-3.79241379310345</v>
      </c>
      <c r="T324" s="14" t="n">
        <f aca="false">MIN(122.1,(T323+S324))</f>
        <v>86.3536206896552</v>
      </c>
      <c r="U324" s="46" t="s">
        <v>39</v>
      </c>
      <c r="V324" s="6" t="n">
        <v>2044.9</v>
      </c>
      <c r="X324" s="6" t="n">
        <f aca="false">X323+V324</f>
        <v>200786.9</v>
      </c>
      <c r="Y324" s="6" t="n">
        <f aca="false">Y323+V324</f>
        <v>12902.8</v>
      </c>
      <c r="AA324" s="6" t="n">
        <v>15.898730110178</v>
      </c>
    </row>
    <row r="325" s="6" customFormat="true" ht="15" hidden="false" customHeight="false" outlineLevel="0" collapsed="false">
      <c r="A325" s="45"/>
      <c r="B325" s="12"/>
      <c r="C325" s="7" t="n">
        <v>41441</v>
      </c>
      <c r="D325" s="6" t="n">
        <v>20.9</v>
      </c>
      <c r="E325" s="6" t="n">
        <v>13.1</v>
      </c>
      <c r="F325" s="6" t="n">
        <v>26.7</v>
      </c>
      <c r="G325" s="6" t="n">
        <f aca="false">G324+D325</f>
        <v>2196.2</v>
      </c>
      <c r="H325" s="6" t="n">
        <f aca="false">H324+D325</f>
        <v>139.9</v>
      </c>
      <c r="I325" s="6" t="n">
        <v>0</v>
      </c>
      <c r="J325" s="6" t="n">
        <v>0</v>
      </c>
      <c r="K325" s="6" t="n">
        <f aca="false">K324+J325</f>
        <v>812.4</v>
      </c>
      <c r="L325" s="6" t="n">
        <v>4.7</v>
      </c>
      <c r="M325" s="6" t="n">
        <f aca="false">M324+L325</f>
        <v>351.4</v>
      </c>
      <c r="N325" s="6" t="n">
        <v>-4.7</v>
      </c>
      <c r="O325" s="6" t="n">
        <f aca="false">O324+N325</f>
        <v>89</v>
      </c>
      <c r="P325" s="6" t="n">
        <v>278</v>
      </c>
      <c r="Q325" s="15" t="n">
        <f aca="false">1.15+((P325-270)/58)*(0.35-1.15)</f>
        <v>1.03965517241379</v>
      </c>
      <c r="R325" s="14" t="n">
        <f aca="false">Q325*L325</f>
        <v>4.88637931034483</v>
      </c>
      <c r="S325" s="14" t="n">
        <f aca="false">J325-R325</f>
        <v>-4.88637931034483</v>
      </c>
      <c r="T325" s="14" t="n">
        <f aca="false">MIN(122.1,(T324+S325))</f>
        <v>81.4672413793104</v>
      </c>
      <c r="U325" s="14" t="n">
        <f aca="false">MIN(T318:T334)</f>
        <v>68.8189655172414</v>
      </c>
      <c r="V325" s="6" t="n">
        <v>2665.4</v>
      </c>
      <c r="X325" s="6" t="n">
        <f aca="false">X324+V325</f>
        <v>203452.3</v>
      </c>
      <c r="Y325" s="6" t="n">
        <f aca="false">Y324+V325</f>
        <v>15568.2</v>
      </c>
      <c r="AA325" s="6" t="n">
        <v>15.9075562511475</v>
      </c>
    </row>
    <row r="326" s="6" customFormat="true" ht="15" hidden="false" customHeight="false" outlineLevel="0" collapsed="false">
      <c r="A326" s="45"/>
      <c r="B326" s="12"/>
      <c r="C326" s="7" t="n">
        <v>41442</v>
      </c>
      <c r="D326" s="6" t="n">
        <v>24.1</v>
      </c>
      <c r="E326" s="6" t="n">
        <v>18.2</v>
      </c>
      <c r="F326" s="6" t="n">
        <v>30</v>
      </c>
      <c r="G326" s="6" t="n">
        <f aca="false">G325+D326</f>
        <v>2220.3</v>
      </c>
      <c r="H326" s="6" t="n">
        <f aca="false">H325+D326</f>
        <v>164</v>
      </c>
      <c r="I326" s="46" t="s">
        <v>40</v>
      </c>
      <c r="J326" s="6" t="n">
        <v>0</v>
      </c>
      <c r="K326" s="6" t="n">
        <f aca="false">K325+J326</f>
        <v>812.4</v>
      </c>
      <c r="L326" s="6" t="n">
        <v>6.8</v>
      </c>
      <c r="M326" s="6" t="n">
        <f aca="false">M325+L326</f>
        <v>358.2</v>
      </c>
      <c r="N326" s="6" t="n">
        <v>-6.8</v>
      </c>
      <c r="O326" s="6" t="n">
        <f aca="false">O325+N326</f>
        <v>82.2</v>
      </c>
      <c r="P326" s="6" t="n">
        <v>279</v>
      </c>
      <c r="Q326" s="15" t="n">
        <f aca="false">1.15+((P326-270)/58)*(0.35-1.15)</f>
        <v>1.02586206896552</v>
      </c>
      <c r="R326" s="14" t="n">
        <f aca="false">Q326*L326</f>
        <v>6.97586206896552</v>
      </c>
      <c r="S326" s="14" t="n">
        <f aca="false">J326-R326</f>
        <v>-6.97586206896552</v>
      </c>
      <c r="T326" s="14" t="n">
        <f aca="false">MIN(122.1,(T325+S326))</f>
        <v>74.4913793103448</v>
      </c>
      <c r="U326" s="46" t="s">
        <v>41</v>
      </c>
      <c r="V326" s="6" t="n">
        <v>2841.8</v>
      </c>
      <c r="X326" s="6" t="n">
        <f aca="false">X325+V326</f>
        <v>206294.1</v>
      </c>
      <c r="Y326" s="6" t="n">
        <f aca="false">Y325+V326</f>
        <v>18410</v>
      </c>
      <c r="AA326" s="6" t="n">
        <v>15.9150382812065</v>
      </c>
    </row>
    <row r="327" s="6" customFormat="true" ht="15" hidden="false" customHeight="false" outlineLevel="0" collapsed="false">
      <c r="A327" s="45"/>
      <c r="B327" s="12"/>
      <c r="C327" s="7" t="n">
        <v>41443</v>
      </c>
      <c r="D327" s="6" t="n">
        <v>26.1</v>
      </c>
      <c r="E327" s="6" t="n">
        <v>19.8</v>
      </c>
      <c r="F327" s="6" t="n">
        <v>31.8</v>
      </c>
      <c r="G327" s="6" t="n">
        <f aca="false">G326+D327</f>
        <v>2246.4</v>
      </c>
      <c r="H327" s="6" t="n">
        <f aca="false">H326+D327</f>
        <v>190.1</v>
      </c>
      <c r="I327" s="6" t="n">
        <v>5</v>
      </c>
      <c r="J327" s="6" t="n">
        <v>0.4</v>
      </c>
      <c r="K327" s="6" t="n">
        <f aca="false">K326+J327</f>
        <v>812.8</v>
      </c>
      <c r="L327" s="6" t="n">
        <v>6</v>
      </c>
      <c r="M327" s="6" t="n">
        <f aca="false">M326+L327</f>
        <v>364.2</v>
      </c>
      <c r="N327" s="6" t="n">
        <v>-5.6</v>
      </c>
      <c r="O327" s="6" t="n">
        <f aca="false">O326+N327</f>
        <v>76.6</v>
      </c>
      <c r="P327" s="6" t="n">
        <v>280</v>
      </c>
      <c r="Q327" s="15" t="n">
        <f aca="false">1.15+((P327-270)/58)*(0.35-1.15)</f>
        <v>1.01206896551724</v>
      </c>
      <c r="R327" s="14" t="n">
        <f aca="false">Q327*L327</f>
        <v>6.07241379310345</v>
      </c>
      <c r="S327" s="14" t="n">
        <f aca="false">J327-R327</f>
        <v>-5.67241379310345</v>
      </c>
      <c r="T327" s="14" t="n">
        <f aca="false">MIN(122.1,(T326+S327))</f>
        <v>68.8189655172414</v>
      </c>
      <c r="U327" s="14" t="n">
        <f aca="false">MAX(T318:T334)</f>
        <v>119.151206896552</v>
      </c>
      <c r="V327" s="6" t="n">
        <v>2737.6</v>
      </c>
      <c r="X327" s="6" t="n">
        <f aca="false">X326+V327</f>
        <v>209031.7</v>
      </c>
      <c r="Y327" s="6" t="n">
        <f aca="false">Y326+V327</f>
        <v>21147.6</v>
      </c>
      <c r="AA327" s="6" t="n">
        <v>15.9211691699458</v>
      </c>
    </row>
    <row r="328" s="6" customFormat="true" ht="15" hidden="false" customHeight="false" outlineLevel="0" collapsed="false">
      <c r="A328" s="45"/>
      <c r="B328" s="12"/>
      <c r="C328" s="7" t="n">
        <v>41444</v>
      </c>
      <c r="D328" s="6" t="n">
        <v>24.6</v>
      </c>
      <c r="E328" s="6" t="n">
        <v>20.8</v>
      </c>
      <c r="F328" s="6" t="n">
        <v>29.4</v>
      </c>
      <c r="G328" s="6" t="n">
        <f aca="false">G327+D328</f>
        <v>2271</v>
      </c>
      <c r="H328" s="6" t="n">
        <f aca="false">H327+D328</f>
        <v>214.7</v>
      </c>
      <c r="I328" s="46" t="s">
        <v>42</v>
      </c>
      <c r="J328" s="6" t="n">
        <v>50.6</v>
      </c>
      <c r="K328" s="6" t="n">
        <f aca="false">K327+J328</f>
        <v>863.4</v>
      </c>
      <c r="L328" s="6" t="n">
        <v>3.4</v>
      </c>
      <c r="M328" s="6" t="n">
        <f aca="false">M327+L328</f>
        <v>367.6</v>
      </c>
      <c r="N328" s="6" t="n">
        <v>47.2</v>
      </c>
      <c r="O328" s="6" t="n">
        <v>122.1</v>
      </c>
      <c r="P328" s="6" t="n">
        <v>281</v>
      </c>
      <c r="Q328" s="15" t="n">
        <f aca="false">1.15+((P328-270)/58)*(0.35-1.15)</f>
        <v>0.998275862068966</v>
      </c>
      <c r="R328" s="14" t="n">
        <f aca="false">Q328*L328</f>
        <v>3.39413793103448</v>
      </c>
      <c r="S328" s="14" t="n">
        <f aca="false">J328-R328</f>
        <v>47.2058620689655</v>
      </c>
      <c r="T328" s="14" t="n">
        <f aca="false">MIN(122.1,(T327+S328))</f>
        <v>116.024827586207</v>
      </c>
      <c r="U328" s="46" t="s">
        <v>43</v>
      </c>
      <c r="V328" s="6" t="n">
        <v>1686.7</v>
      </c>
      <c r="X328" s="6" t="n">
        <f aca="false">X327+V328</f>
        <v>210718.4</v>
      </c>
      <c r="Y328" s="6" t="n">
        <f aca="false">Y327+V328</f>
        <v>22834.3</v>
      </c>
      <c r="AA328" s="6" t="n">
        <v>15.9259432223794</v>
      </c>
    </row>
    <row r="329" s="6" customFormat="true" ht="15" hidden="false" customHeight="false" outlineLevel="0" collapsed="false">
      <c r="A329" s="45"/>
      <c r="B329" s="12"/>
      <c r="C329" s="7" t="n">
        <v>41445</v>
      </c>
      <c r="D329" s="6" t="n">
        <v>18</v>
      </c>
      <c r="E329" s="6" t="n">
        <v>16</v>
      </c>
      <c r="F329" s="6" t="n">
        <v>19.6</v>
      </c>
      <c r="G329" s="6" t="n">
        <f aca="false">G328+D329</f>
        <v>2289</v>
      </c>
      <c r="H329" s="6" t="n">
        <f aca="false">H328+D329</f>
        <v>232.7</v>
      </c>
      <c r="I329" s="6" t="n">
        <v>0</v>
      </c>
      <c r="J329" s="6" t="n">
        <v>4.8</v>
      </c>
      <c r="K329" s="6" t="n">
        <f aca="false">K328+J329</f>
        <v>868.2</v>
      </c>
      <c r="L329" s="6" t="n">
        <v>1.7</v>
      </c>
      <c r="M329" s="6" t="n">
        <f aca="false">M328+L329</f>
        <v>369.3</v>
      </c>
      <c r="N329" s="6" t="n">
        <v>3.1</v>
      </c>
      <c r="O329" s="6" t="n">
        <v>122.1</v>
      </c>
      <c r="P329" s="6" t="n">
        <v>282</v>
      </c>
      <c r="Q329" s="15" t="n">
        <f aca="false">1.15+((P329-270)/58)*(0.35-1.15)</f>
        <v>0.98448275862069</v>
      </c>
      <c r="R329" s="14" t="n">
        <f aca="false">Q329*L329</f>
        <v>1.67362068965517</v>
      </c>
      <c r="S329" s="14" t="n">
        <f aca="false">J329-R329</f>
        <v>3.12637931034483</v>
      </c>
      <c r="T329" s="14" t="n">
        <f aca="false">MIN(122.1,(T328+S329))</f>
        <v>119.151206896552</v>
      </c>
      <c r="U329" s="15" t="n">
        <f aca="false">AVERAGE(T318:T334)</f>
        <v>95.1180730223124</v>
      </c>
      <c r="V329" s="6" t="n">
        <v>872.1</v>
      </c>
      <c r="X329" s="6" t="n">
        <f aca="false">X328+V329</f>
        <v>211590.5</v>
      </c>
      <c r="Y329" s="6" t="n">
        <f aca="false">Y328+V329</f>
        <v>23706.4</v>
      </c>
      <c r="AA329" s="6" t="n">
        <v>15.9293561003129</v>
      </c>
    </row>
    <row r="330" s="6" customFormat="true" ht="15" hidden="false" customHeight="false" outlineLevel="0" collapsed="false">
      <c r="A330" s="45"/>
      <c r="B330" s="12"/>
      <c r="C330" s="7" t="n">
        <v>41446</v>
      </c>
      <c r="D330" s="6" t="n">
        <v>17.2</v>
      </c>
      <c r="E330" s="6" t="n">
        <v>14.7</v>
      </c>
      <c r="F330" s="6" t="n">
        <v>19.9</v>
      </c>
      <c r="G330" s="6" t="n">
        <f aca="false">G329+D330</f>
        <v>2306.2</v>
      </c>
      <c r="H330" s="6" t="n">
        <f aca="false">H329+D330</f>
        <v>249.9</v>
      </c>
      <c r="I330" s="46" t="s">
        <v>44</v>
      </c>
      <c r="J330" s="6" t="n">
        <v>0</v>
      </c>
      <c r="K330" s="6" t="n">
        <f aca="false">K329+J330</f>
        <v>868.2</v>
      </c>
      <c r="L330" s="6" t="n">
        <v>2.8</v>
      </c>
      <c r="M330" s="6" t="n">
        <f aca="false">M329+L330</f>
        <v>372.1</v>
      </c>
      <c r="N330" s="6" t="n">
        <v>-2.8</v>
      </c>
      <c r="O330" s="6" t="n">
        <f aca="false">O329+N330</f>
        <v>119.3</v>
      </c>
      <c r="P330" s="6" t="n">
        <v>283</v>
      </c>
      <c r="Q330" s="15" t="n">
        <f aca="false">1.15+((P330-270)/58)*(0.35-1.15)</f>
        <v>0.970689655172414</v>
      </c>
      <c r="R330" s="14" t="n">
        <f aca="false">Q330*L330</f>
        <v>2.71793103448276</v>
      </c>
      <c r="S330" s="14" t="n">
        <f aca="false">J330-R330</f>
        <v>-2.71793103448276</v>
      </c>
      <c r="T330" s="14" t="n">
        <f aca="false">MIN(122.1,(T329+S330))</f>
        <v>116.433275862069</v>
      </c>
      <c r="V330" s="6" t="n">
        <v>1517.7</v>
      </c>
      <c r="X330" s="6" t="n">
        <f aca="false">X329+V330</f>
        <v>213108.2</v>
      </c>
      <c r="Y330" s="6" t="n">
        <f aca="false">Y329+V330</f>
        <v>25224.1</v>
      </c>
      <c r="AA330" s="6" t="n">
        <v>15.9314048386947</v>
      </c>
    </row>
    <row r="331" s="6" customFormat="true" ht="15" hidden="false" customHeight="false" outlineLevel="0" collapsed="false">
      <c r="A331" s="45"/>
      <c r="B331" s="12"/>
      <c r="C331" s="7" t="n">
        <v>41447</v>
      </c>
      <c r="D331" s="6" t="n">
        <v>17.5</v>
      </c>
      <c r="E331" s="6" t="n">
        <v>12.2</v>
      </c>
      <c r="F331" s="6" t="n">
        <v>21.8</v>
      </c>
      <c r="G331" s="6" t="n">
        <f aca="false">G330+D331</f>
        <v>2323.7</v>
      </c>
      <c r="H331" s="6" t="n">
        <f aca="false">H330+D331</f>
        <v>267.4</v>
      </c>
      <c r="I331" s="6" t="n">
        <v>310.2</v>
      </c>
      <c r="J331" s="6" t="n">
        <v>0</v>
      </c>
      <c r="K331" s="6" t="n">
        <f aca="false">K330+J331</f>
        <v>868.2</v>
      </c>
      <c r="L331" s="6" t="n">
        <v>3.3</v>
      </c>
      <c r="M331" s="6" t="n">
        <f aca="false">M330+L331</f>
        <v>375.4</v>
      </c>
      <c r="N331" s="6" t="n">
        <v>-3.3</v>
      </c>
      <c r="O331" s="6" t="n">
        <f aca="false">O330+N331</f>
        <v>116</v>
      </c>
      <c r="P331" s="6" t="n">
        <v>284</v>
      </c>
      <c r="Q331" s="15" t="n">
        <f aca="false">1.15+((P331-270)/58)*(0.35-1.15)</f>
        <v>0.956896551724138</v>
      </c>
      <c r="R331" s="14" t="n">
        <f aca="false">Q331*L331</f>
        <v>3.15775862068966</v>
      </c>
      <c r="S331" s="14" t="n">
        <f aca="false">J331-R331</f>
        <v>-3.15775862068966</v>
      </c>
      <c r="T331" s="14" t="n">
        <f aca="false">MIN(122.1,(T330+S331))</f>
        <v>113.275517241379</v>
      </c>
      <c r="U331" s="14" t="n">
        <f aca="false">(U329*100)/122.1</f>
        <v>77.9017797070536</v>
      </c>
      <c r="V331" s="6" t="n">
        <v>1733.6</v>
      </c>
      <c r="X331" s="6" t="n">
        <f aca="false">X330+V331</f>
        <v>214841.8</v>
      </c>
      <c r="Y331" s="6" t="n">
        <f aca="false">Y330+V331</f>
        <v>26957.7</v>
      </c>
      <c r="AA331" s="6" t="n">
        <v>15.9320878568184</v>
      </c>
    </row>
    <row r="332" s="6" customFormat="true" ht="15" hidden="false" customHeight="false" outlineLevel="0" collapsed="false">
      <c r="A332" s="45"/>
      <c r="B332" s="12"/>
      <c r="C332" s="7" t="n">
        <v>41448</v>
      </c>
      <c r="D332" s="6" t="n">
        <v>15.6</v>
      </c>
      <c r="E332" s="6" t="n">
        <v>15.1</v>
      </c>
      <c r="F332" s="6" t="n">
        <v>17</v>
      </c>
      <c r="G332" s="6" t="n">
        <f aca="false">G331+D332</f>
        <v>2339.3</v>
      </c>
      <c r="H332" s="6" t="n">
        <f aca="false">H331+D332</f>
        <v>283</v>
      </c>
      <c r="J332" s="6" t="n">
        <v>1.3</v>
      </c>
      <c r="K332" s="6" t="n">
        <f aca="false">K331+J332</f>
        <v>869.5</v>
      </c>
      <c r="L332" s="6" t="n">
        <v>4.2</v>
      </c>
      <c r="M332" s="6" t="n">
        <f aca="false">M331+L332</f>
        <v>379.6</v>
      </c>
      <c r="N332" s="6" t="n">
        <v>-2.9</v>
      </c>
      <c r="O332" s="6" t="n">
        <f aca="false">O331+N332</f>
        <v>113.1</v>
      </c>
      <c r="P332" s="6" t="n">
        <v>285</v>
      </c>
      <c r="Q332" s="15" t="n">
        <f aca="false">1.15+((P332-270)/58)*(0.35-1.15)</f>
        <v>0.943103448275862</v>
      </c>
      <c r="R332" s="14" t="n">
        <f aca="false">Q332*L332</f>
        <v>3.96103448275862</v>
      </c>
      <c r="S332" s="14" t="n">
        <f aca="false">J332-R332</f>
        <v>-2.66103448275862</v>
      </c>
      <c r="T332" s="14" t="n">
        <f aca="false">MIN(122.1,(T331+S332))</f>
        <v>110.614482758621</v>
      </c>
      <c r="V332" s="6" t="n">
        <v>2278.3</v>
      </c>
      <c r="X332" s="6" t="n">
        <f aca="false">X331+V332</f>
        <v>217120.1</v>
      </c>
      <c r="Y332" s="6" t="n">
        <f aca="false">Y331+V332</f>
        <v>29236</v>
      </c>
      <c r="AA332" s="6" t="n">
        <v>15.9314049642899</v>
      </c>
    </row>
    <row r="333" s="6" customFormat="true" ht="15" hidden="false" customHeight="false" outlineLevel="0" collapsed="false">
      <c r="A333" s="45"/>
      <c r="B333" s="12"/>
      <c r="C333" s="7" t="n">
        <v>41449</v>
      </c>
      <c r="D333" s="6" t="n">
        <v>13.6</v>
      </c>
      <c r="E333" s="6" t="n">
        <v>12.7</v>
      </c>
      <c r="F333" s="6" t="n">
        <v>14.9</v>
      </c>
      <c r="G333" s="6" t="n">
        <f aca="false">G332+D333</f>
        <v>2352.9</v>
      </c>
      <c r="H333" s="6" t="n">
        <f aca="false">H332+D333</f>
        <v>296.6</v>
      </c>
      <c r="J333" s="6" t="n">
        <v>0.2</v>
      </c>
      <c r="K333" s="6" t="n">
        <f aca="false">K332+J333</f>
        <v>869.7</v>
      </c>
      <c r="L333" s="6" t="n">
        <v>1.9</v>
      </c>
      <c r="M333" s="6" t="n">
        <f aca="false">M332+L333</f>
        <v>381.5</v>
      </c>
      <c r="N333" s="6" t="n">
        <v>-1.7</v>
      </c>
      <c r="O333" s="6" t="n">
        <f aca="false">O332+N333</f>
        <v>111.4</v>
      </c>
      <c r="P333" s="6" t="n">
        <v>286</v>
      </c>
      <c r="Q333" s="15" t="n">
        <f aca="false">1.15+((P333-270)/58)*(0.35-1.15)</f>
        <v>0.929310344827586</v>
      </c>
      <c r="R333" s="14" t="n">
        <f aca="false">Q333*L333</f>
        <v>1.76568965517241</v>
      </c>
      <c r="S333" s="14" t="n">
        <f aca="false">J333-R333</f>
        <v>-1.56568965517241</v>
      </c>
      <c r="T333" s="14" t="n">
        <f aca="false">MIN(122.1,(T332+S333))</f>
        <v>109.048793103448</v>
      </c>
      <c r="V333" s="6" t="n">
        <v>1086.2</v>
      </c>
      <c r="X333" s="6" t="n">
        <f aca="false">X332+V333</f>
        <v>218206.3</v>
      </c>
      <c r="Y333" s="6" t="n">
        <f aca="false">Y332+V333</f>
        <v>30322.2</v>
      </c>
      <c r="AA333" s="6" t="n">
        <v>15.9293573617103</v>
      </c>
    </row>
    <row r="334" s="20" customFormat="true" ht="15" hidden="false" customHeight="false" outlineLevel="0" collapsed="false">
      <c r="A334" s="45"/>
      <c r="B334" s="18" t="n">
        <v>600</v>
      </c>
      <c r="C334" s="19" t="n">
        <v>41450</v>
      </c>
      <c r="D334" s="20" t="n">
        <v>13.6</v>
      </c>
      <c r="E334" s="20" t="n">
        <v>11.2</v>
      </c>
      <c r="F334" s="20" t="n">
        <v>16</v>
      </c>
      <c r="G334" s="20" t="n">
        <f aca="false">G333+D334</f>
        <v>2366.5</v>
      </c>
      <c r="H334" s="20" t="n">
        <f aca="false">H333+D334</f>
        <v>310.2</v>
      </c>
      <c r="J334" s="20" t="n">
        <v>0</v>
      </c>
      <c r="K334" s="20" t="n">
        <f aca="false">K333+J334</f>
        <v>869.7</v>
      </c>
      <c r="L334" s="20" t="n">
        <v>2.1</v>
      </c>
      <c r="M334" s="20" t="n">
        <f aca="false">M333+L334</f>
        <v>383.6</v>
      </c>
      <c r="N334" s="20" t="n">
        <v>-2.1</v>
      </c>
      <c r="O334" s="20" t="n">
        <f aca="false">O333+N334</f>
        <v>109.3</v>
      </c>
      <c r="P334" s="20" t="n">
        <v>287</v>
      </c>
      <c r="Q334" s="47" t="n">
        <f aca="false">1.15+((P334-270)/58)*(0.35-1.15)</f>
        <v>0.91551724137931</v>
      </c>
      <c r="R334" s="21" t="n">
        <f aca="false">Q334*L334</f>
        <v>1.92258620689655</v>
      </c>
      <c r="S334" s="21" t="n">
        <f aca="false">J334-R334</f>
        <v>-1.92258620689655</v>
      </c>
      <c r="T334" s="21" t="n">
        <f aca="false">MIN(122.1,(T333+S334))</f>
        <v>107.126206896552</v>
      </c>
      <c r="V334" s="20" t="n">
        <v>1324.2</v>
      </c>
      <c r="X334" s="20" t="n">
        <f aca="false">X333+V334</f>
        <v>219530.5</v>
      </c>
      <c r="Y334" s="20" t="n">
        <f aca="false">Y333+V334</f>
        <v>31646.4</v>
      </c>
      <c r="AA334" s="20" t="n">
        <v>15.9259476360702</v>
      </c>
    </row>
    <row r="335" s="6" customFormat="true" ht="15" hidden="false" customHeight="false" outlineLevel="0" collapsed="false">
      <c r="A335" s="48" t="n">
        <v>1000</v>
      </c>
      <c r="B335" s="12"/>
      <c r="C335" s="7" t="n">
        <v>41451</v>
      </c>
      <c r="D335" s="6" t="n">
        <v>14.6</v>
      </c>
      <c r="E335" s="6" t="n">
        <v>10.3</v>
      </c>
      <c r="F335" s="6" t="n">
        <v>18.6</v>
      </c>
      <c r="G335" s="6" t="n">
        <f aca="false">G334+D335</f>
        <v>2381.1</v>
      </c>
      <c r="H335" s="6" t="n">
        <v>14.6</v>
      </c>
      <c r="I335" s="49" t="s">
        <v>29</v>
      </c>
      <c r="J335" s="6" t="n">
        <v>0</v>
      </c>
      <c r="K335" s="6" t="n">
        <f aca="false">K334+J335</f>
        <v>869.7</v>
      </c>
      <c r="L335" s="6" t="n">
        <v>3.6</v>
      </c>
      <c r="M335" s="6" t="n">
        <f aca="false">M334+L335</f>
        <v>387.2</v>
      </c>
      <c r="N335" s="6" t="n">
        <v>-3.6</v>
      </c>
      <c r="O335" s="6" t="n">
        <f aca="false">O334+N335</f>
        <v>105.7</v>
      </c>
      <c r="P335" s="6" t="n">
        <v>288</v>
      </c>
      <c r="Q335" s="15" t="n">
        <f aca="false">1.15+((P335-270)/58)*(0.35-1.15)</f>
        <v>0.901724137931034</v>
      </c>
      <c r="R335" s="14" t="n">
        <f aca="false">Q335*L335</f>
        <v>3.24620689655172</v>
      </c>
      <c r="S335" s="14" t="n">
        <f aca="false">J335-R335</f>
        <v>-3.24620689655172</v>
      </c>
      <c r="T335" s="14" t="n">
        <f aca="false">MIN(122.1,(T334+S335))</f>
        <v>103.88</v>
      </c>
      <c r="U335" s="49" t="s">
        <v>30</v>
      </c>
      <c r="V335" s="6" t="n">
        <v>2303.3</v>
      </c>
      <c r="X335" s="6" t="n">
        <f aca="false">X334+V335</f>
        <v>221833.8</v>
      </c>
      <c r="Y335" s="6" t="n">
        <v>2303.3</v>
      </c>
      <c r="Z335" s="49" t="s">
        <v>31</v>
      </c>
      <c r="AA335" s="6" t="n">
        <v>15.9211797508908</v>
      </c>
    </row>
    <row r="336" s="6" customFormat="true" ht="15" hidden="false" customHeight="false" outlineLevel="0" collapsed="false">
      <c r="A336" s="48"/>
      <c r="B336" s="12"/>
      <c r="C336" s="7" t="n">
        <v>41452</v>
      </c>
      <c r="D336" s="6" t="n">
        <v>13.6</v>
      </c>
      <c r="E336" s="6" t="n">
        <v>9.5</v>
      </c>
      <c r="F336" s="6" t="n">
        <v>18.7</v>
      </c>
      <c r="G336" s="6" t="n">
        <f aca="false">G335+D336</f>
        <v>2394.7</v>
      </c>
      <c r="H336" s="6" t="n">
        <f aca="false">H335+D336</f>
        <v>28.2</v>
      </c>
      <c r="I336" s="6" t="n">
        <f aca="false">MIN(E335:E355)</f>
        <v>9.5</v>
      </c>
      <c r="J336" s="6" t="n">
        <v>2.3</v>
      </c>
      <c r="K336" s="6" t="n">
        <f aca="false">K335+J336</f>
        <v>872</v>
      </c>
      <c r="L336" s="6" t="n">
        <v>2.6</v>
      </c>
      <c r="M336" s="6" t="n">
        <f aca="false">M335+L336</f>
        <v>389.8</v>
      </c>
      <c r="N336" s="6" t="n">
        <v>-0.3</v>
      </c>
      <c r="O336" s="6" t="n">
        <f aca="false">O335+N336</f>
        <v>105.4</v>
      </c>
      <c r="P336" s="6" t="n">
        <v>289</v>
      </c>
      <c r="Q336" s="15" t="n">
        <f aca="false">1.15+((P336-270)/58)*(0.35-1.15)</f>
        <v>0.887931034482759</v>
      </c>
      <c r="R336" s="14" t="n">
        <f aca="false">Q336*L336</f>
        <v>2.30862068965517</v>
      </c>
      <c r="S336" s="14" t="n">
        <f aca="false">J336-R336</f>
        <v>-0.0086206896551726</v>
      </c>
      <c r="T336" s="14" t="n">
        <f aca="false">MIN(122.1,(T335+S336))</f>
        <v>103.871379310345</v>
      </c>
      <c r="U336" s="6" t="n">
        <v>17</v>
      </c>
      <c r="V336" s="6" t="n">
        <v>1783</v>
      </c>
      <c r="X336" s="6" t="n">
        <f aca="false">X335+V336</f>
        <v>223616.8</v>
      </c>
      <c r="Y336" s="6" t="n">
        <f aca="false">Y335+V336</f>
        <v>4086.3</v>
      </c>
      <c r="Z336" s="6" t="n">
        <f aca="false">Y355</f>
        <v>49686.3</v>
      </c>
      <c r="AA336" s="6" t="n">
        <v>15.9150590311907</v>
      </c>
    </row>
    <row r="337" s="6" customFormat="true" ht="15" hidden="false" customHeight="false" outlineLevel="0" collapsed="false">
      <c r="A337" s="48"/>
      <c r="B337" s="12"/>
      <c r="C337" s="7" t="n">
        <v>41453</v>
      </c>
      <c r="D337" s="6" t="n">
        <v>13</v>
      </c>
      <c r="E337" s="6" t="n">
        <v>9.5</v>
      </c>
      <c r="F337" s="6" t="n">
        <v>15.9</v>
      </c>
      <c r="G337" s="6" t="n">
        <f aca="false">G336+D337</f>
        <v>2407.7</v>
      </c>
      <c r="H337" s="6" t="n">
        <f aca="false">H336+D337</f>
        <v>41.2</v>
      </c>
      <c r="I337" s="49" t="s">
        <v>32</v>
      </c>
      <c r="J337" s="6" t="n">
        <v>5.3</v>
      </c>
      <c r="K337" s="6" t="n">
        <f aca="false">K336+J337</f>
        <v>877.3</v>
      </c>
      <c r="L337" s="6" t="n">
        <v>2.6</v>
      </c>
      <c r="M337" s="6" t="n">
        <f aca="false">M336+L337</f>
        <v>392.4</v>
      </c>
      <c r="N337" s="6" t="n">
        <v>2.7</v>
      </c>
      <c r="O337" s="6" t="n">
        <f aca="false">O336+N337</f>
        <v>108.1</v>
      </c>
      <c r="P337" s="6" t="n">
        <v>290</v>
      </c>
      <c r="Q337" s="15" t="n">
        <f aca="false">1.15+((P337-270)/58)*(0.35-1.15)</f>
        <v>0.874137931034483</v>
      </c>
      <c r="R337" s="14" t="n">
        <f aca="false">Q337*L337</f>
        <v>2.27275862068966</v>
      </c>
      <c r="S337" s="14" t="n">
        <f aca="false">J337-R337</f>
        <v>3.02724137931035</v>
      </c>
      <c r="T337" s="14" t="n">
        <f aca="false">MIN(122.1,(T336+S337))</f>
        <v>106.898620689655</v>
      </c>
      <c r="U337" s="49" t="s">
        <v>33</v>
      </c>
      <c r="V337" s="6" t="n">
        <v>1793.6</v>
      </c>
      <c r="X337" s="6" t="n">
        <f aca="false">X336+V337</f>
        <v>225410.4</v>
      </c>
      <c r="Y337" s="6" t="n">
        <f aca="false">Y336+V337</f>
        <v>5879.9</v>
      </c>
      <c r="Z337" s="49" t="s">
        <v>34</v>
      </c>
      <c r="AA337" s="6" t="n">
        <v>15.9075921433968</v>
      </c>
    </row>
    <row r="338" s="6" customFormat="true" ht="15" hidden="false" customHeight="false" outlineLevel="0" collapsed="false">
      <c r="A338" s="48"/>
      <c r="B338" s="12"/>
      <c r="C338" s="7" t="n">
        <v>41454</v>
      </c>
      <c r="D338" s="6" t="n">
        <v>15.4</v>
      </c>
      <c r="E338" s="6" t="n">
        <v>13.3</v>
      </c>
      <c r="F338" s="6" t="n">
        <v>18.7</v>
      </c>
      <c r="G338" s="6" t="n">
        <f aca="false">G337+D338</f>
        <v>2423.1</v>
      </c>
      <c r="H338" s="6" t="n">
        <f aca="false">H337+D338</f>
        <v>56.6</v>
      </c>
      <c r="I338" s="6" t="n">
        <f aca="false">MAX(F335:F355)</f>
        <v>29.2</v>
      </c>
      <c r="J338" s="6" t="n">
        <v>2.4</v>
      </c>
      <c r="K338" s="6" t="n">
        <f aca="false">K337+J338</f>
        <v>879.7</v>
      </c>
      <c r="L338" s="6" t="n">
        <v>1.1</v>
      </c>
      <c r="M338" s="6" t="n">
        <f aca="false">M337+L338</f>
        <v>393.5</v>
      </c>
      <c r="N338" s="6" t="n">
        <v>1.3</v>
      </c>
      <c r="O338" s="6" t="n">
        <f aca="false">O337+N338</f>
        <v>109.4</v>
      </c>
      <c r="P338" s="6" t="n">
        <v>291</v>
      </c>
      <c r="Q338" s="15" t="n">
        <f aca="false">1.15+((P338-270)/58)*(0.35-1.15)</f>
        <v>0.860344827586207</v>
      </c>
      <c r="R338" s="14" t="n">
        <f aca="false">Q338*L338</f>
        <v>0.946379310344828</v>
      </c>
      <c r="S338" s="14" t="n">
        <f aca="false">J338-R338</f>
        <v>1.45362068965517</v>
      </c>
      <c r="T338" s="14" t="n">
        <f aca="false">MIN(122.1,(T337+S338))</f>
        <v>108.35224137931</v>
      </c>
      <c r="U338" s="6" t="n">
        <v>0</v>
      </c>
      <c r="V338" s="6" t="n">
        <v>661.7</v>
      </c>
      <c r="X338" s="6" t="n">
        <f aca="false">X337+V338</f>
        <v>226072.1</v>
      </c>
      <c r="Y338" s="6" t="n">
        <f aca="false">Y337+V338</f>
        <v>6541.6</v>
      </c>
      <c r="Z338" s="6" t="n">
        <f aca="false">(Z336/100)/I348</f>
        <v>1.20276688453159</v>
      </c>
      <c r="AA338" s="6" t="n">
        <v>15.8987870703568</v>
      </c>
    </row>
    <row r="339" s="6" customFormat="true" ht="15" hidden="false" customHeight="false" outlineLevel="0" collapsed="false">
      <c r="A339" s="48"/>
      <c r="B339" s="12"/>
      <c r="C339" s="7" t="n">
        <v>41455</v>
      </c>
      <c r="D339" s="6" t="n">
        <v>16.3</v>
      </c>
      <c r="E339" s="6" t="n">
        <v>11.1</v>
      </c>
      <c r="F339" s="6" t="n">
        <v>21.2</v>
      </c>
      <c r="G339" s="6" t="n">
        <f aca="false">G338+D339</f>
        <v>2439.4</v>
      </c>
      <c r="H339" s="6" t="n">
        <f aca="false">H338+D339</f>
        <v>72.9</v>
      </c>
      <c r="I339" s="49" t="s">
        <v>35</v>
      </c>
      <c r="J339" s="6" t="n">
        <v>0</v>
      </c>
      <c r="K339" s="6" t="n">
        <f aca="false">K338+J339</f>
        <v>879.7</v>
      </c>
      <c r="L339" s="6" t="n">
        <v>4.2</v>
      </c>
      <c r="M339" s="6" t="n">
        <f aca="false">M338+L339</f>
        <v>397.7</v>
      </c>
      <c r="N339" s="6" t="n">
        <v>-4.2</v>
      </c>
      <c r="O339" s="6" t="n">
        <f aca="false">O338+N339</f>
        <v>105.2</v>
      </c>
      <c r="P339" s="6" t="n">
        <v>292</v>
      </c>
      <c r="Q339" s="15" t="n">
        <f aca="false">1.15+((P339-270)/58)*(0.35-1.15)</f>
        <v>0.846551724137931</v>
      </c>
      <c r="R339" s="14" t="n">
        <f aca="false">Q339*L339</f>
        <v>3.55551724137931</v>
      </c>
      <c r="S339" s="14" t="n">
        <f aca="false">J339-R339</f>
        <v>-3.55551724137931</v>
      </c>
      <c r="T339" s="14" t="n">
        <f aca="false">MIN(122.1,(T338+S339))</f>
        <v>104.796724137931</v>
      </c>
      <c r="U339" s="49" t="s">
        <v>36</v>
      </c>
      <c r="V339" s="6" t="n">
        <v>2535.1</v>
      </c>
      <c r="X339" s="6" t="n">
        <f aca="false">X338+V339</f>
        <v>228607.2</v>
      </c>
      <c r="Y339" s="6" t="n">
        <f aca="false">Y338+V339</f>
        <v>9076.7</v>
      </c>
      <c r="Z339" s="49" t="s">
        <v>37</v>
      </c>
      <c r="AA339" s="6" t="n">
        <v>15.8886530816473</v>
      </c>
    </row>
    <row r="340" s="6" customFormat="true" ht="15" hidden="false" customHeight="false" outlineLevel="0" collapsed="false">
      <c r="A340" s="48"/>
      <c r="B340" s="12"/>
      <c r="C340" s="7" t="n">
        <v>41456</v>
      </c>
      <c r="D340" s="6" t="n">
        <v>18.5</v>
      </c>
      <c r="E340" s="6" t="n">
        <v>11.3</v>
      </c>
      <c r="F340" s="6" t="n">
        <v>23.8</v>
      </c>
      <c r="G340" s="6" t="n">
        <f aca="false">G339+D340</f>
        <v>2457.9</v>
      </c>
      <c r="H340" s="6" t="n">
        <f aca="false">H339+D340</f>
        <v>91.4</v>
      </c>
      <c r="I340" s="14" t="n">
        <f aca="false">AVERAGE(D335:D355)</f>
        <v>19.6714285714286</v>
      </c>
      <c r="J340" s="6" t="n">
        <v>0</v>
      </c>
      <c r="K340" s="6" t="n">
        <f aca="false">K339+J340</f>
        <v>879.7</v>
      </c>
      <c r="L340" s="6" t="n">
        <v>4.7</v>
      </c>
      <c r="M340" s="6" t="n">
        <f aca="false">M339+L340</f>
        <v>402.4</v>
      </c>
      <c r="N340" s="6" t="n">
        <v>-4.7</v>
      </c>
      <c r="O340" s="6" t="n">
        <f aca="false">O339+N340</f>
        <v>100.5</v>
      </c>
      <c r="P340" s="6" t="n">
        <v>293</v>
      </c>
      <c r="Q340" s="15" t="n">
        <f aca="false">1.15+((P340-270)/58)*(0.35-1.15)</f>
        <v>0.832758620689655</v>
      </c>
      <c r="R340" s="14" t="n">
        <f aca="false">Q340*L340</f>
        <v>3.91396551724138</v>
      </c>
      <c r="S340" s="14" t="n">
        <f aca="false">J340-R340</f>
        <v>-3.91396551724138</v>
      </c>
      <c r="T340" s="14" t="n">
        <f aca="false">MIN(122.1,(T339+S340))</f>
        <v>100.88275862069</v>
      </c>
      <c r="U340" s="6" t="n">
        <v>0</v>
      </c>
      <c r="V340" s="6" t="n">
        <v>2942.4</v>
      </c>
      <c r="X340" s="6" t="n">
        <f aca="false">X339+V340</f>
        <v>231549.6</v>
      </c>
      <c r="Y340" s="6" t="n">
        <f aca="false">Y339+V340</f>
        <v>12019.1</v>
      </c>
      <c r="Z340" s="6" t="n">
        <v>2</v>
      </c>
      <c r="AA340" s="6" t="n">
        <v>15.8772006994061</v>
      </c>
    </row>
    <row r="341" s="6" customFormat="true" ht="15" hidden="false" customHeight="false" outlineLevel="0" collapsed="false">
      <c r="A341" s="48"/>
      <c r="B341" s="12"/>
      <c r="C341" s="7" t="n">
        <v>41457</v>
      </c>
      <c r="D341" s="6" t="n">
        <v>20</v>
      </c>
      <c r="E341" s="6" t="n">
        <v>14.6</v>
      </c>
      <c r="F341" s="6" t="n">
        <v>26</v>
      </c>
      <c r="G341" s="6" t="n">
        <f aca="false">G340+D341</f>
        <v>2477.9</v>
      </c>
      <c r="H341" s="6" t="n">
        <f aca="false">H340+D341</f>
        <v>111.4</v>
      </c>
      <c r="I341" s="49" t="s">
        <v>38</v>
      </c>
      <c r="J341" s="6" t="n">
        <v>20.4</v>
      </c>
      <c r="K341" s="6" t="n">
        <f aca="false">K340+J341</f>
        <v>900.1</v>
      </c>
      <c r="L341" s="6" t="n">
        <v>4.8</v>
      </c>
      <c r="M341" s="6" t="n">
        <f aca="false">M340+L341</f>
        <v>407.2</v>
      </c>
      <c r="N341" s="6" t="n">
        <v>15.6</v>
      </c>
      <c r="O341" s="6" t="n">
        <f aca="false">O340+N341</f>
        <v>116.1</v>
      </c>
      <c r="P341" s="6" t="n">
        <v>294</v>
      </c>
      <c r="Q341" s="15" t="n">
        <f aca="false">1.15+((P341-270)/58)*(0.35-1.15)</f>
        <v>0.818965517241379</v>
      </c>
      <c r="R341" s="14" t="n">
        <f aca="false">Q341*L341</f>
        <v>3.93103448275862</v>
      </c>
      <c r="S341" s="14" t="n">
        <f aca="false">J341-R341</f>
        <v>16.4689655172414</v>
      </c>
      <c r="T341" s="14" t="n">
        <f aca="false">MIN(122.1,(T340+S341))</f>
        <v>117.351724137931</v>
      </c>
      <c r="U341" s="49" t="s">
        <v>39</v>
      </c>
      <c r="V341" s="6" t="n">
        <v>2551.8</v>
      </c>
      <c r="X341" s="6" t="n">
        <f aca="false">X340+V341</f>
        <v>234101.4</v>
      </c>
      <c r="Y341" s="6" t="n">
        <f aca="false">Y340+V341</f>
        <v>14570.9</v>
      </c>
      <c r="AA341" s="6" t="n">
        <v>15.8644416599484</v>
      </c>
    </row>
    <row r="342" s="6" customFormat="true" ht="15" hidden="false" customHeight="false" outlineLevel="0" collapsed="false">
      <c r="A342" s="48"/>
      <c r="B342" s="12"/>
      <c r="C342" s="7" t="n">
        <v>41458</v>
      </c>
      <c r="D342" s="6" t="n">
        <v>17.2</v>
      </c>
      <c r="E342" s="6" t="n">
        <v>14.9</v>
      </c>
      <c r="F342" s="6" t="n">
        <v>19.1</v>
      </c>
      <c r="G342" s="6" t="n">
        <f aca="false">G341+D342</f>
        <v>2495.1</v>
      </c>
      <c r="H342" s="6" t="n">
        <f aca="false">H341+D342</f>
        <v>128.6</v>
      </c>
      <c r="I342" s="6" t="n">
        <v>0</v>
      </c>
      <c r="J342" s="6" t="n">
        <v>3.8</v>
      </c>
      <c r="K342" s="6" t="n">
        <f aca="false">K341+J342</f>
        <v>903.9</v>
      </c>
      <c r="L342" s="6" t="n">
        <v>1.1</v>
      </c>
      <c r="M342" s="6" t="n">
        <f aca="false">M341+L342</f>
        <v>408.3</v>
      </c>
      <c r="N342" s="6" t="n">
        <v>2.7</v>
      </c>
      <c r="O342" s="6" t="n">
        <f aca="false">O341+N342</f>
        <v>118.8</v>
      </c>
      <c r="P342" s="6" t="n">
        <v>295</v>
      </c>
      <c r="Q342" s="15" t="n">
        <f aca="false">1.15+((P342-270)/58)*(0.35-1.15)</f>
        <v>0.805172413793103</v>
      </c>
      <c r="R342" s="14" t="n">
        <f aca="false">Q342*L342</f>
        <v>0.885689655172414</v>
      </c>
      <c r="S342" s="14" t="n">
        <f aca="false">J342-R342</f>
        <v>2.91431034482759</v>
      </c>
      <c r="T342" s="14" t="n">
        <f aca="false">MIN(122.1,(T341+S342))</f>
        <v>120.266034482759</v>
      </c>
      <c r="U342" s="14" t="n">
        <f aca="false">MIN(T335:T355)</f>
        <v>68.2134482758621</v>
      </c>
      <c r="V342" s="6" t="n">
        <v>518.9</v>
      </c>
      <c r="X342" s="6" t="n">
        <f aca="false">X341+V342</f>
        <v>234620.3</v>
      </c>
      <c r="Y342" s="6" t="n">
        <f aca="false">Y341+V342</f>
        <v>15089.8</v>
      </c>
      <c r="AA342" s="6" t="n">
        <v>15.8503888714531</v>
      </c>
    </row>
    <row r="343" s="6" customFormat="true" ht="15" hidden="false" customHeight="false" outlineLevel="0" collapsed="false">
      <c r="A343" s="48"/>
      <c r="B343" s="12"/>
      <c r="C343" s="7" t="n">
        <v>41459</v>
      </c>
      <c r="D343" s="6" t="n">
        <v>18.3</v>
      </c>
      <c r="E343" s="6" t="n">
        <v>15.8</v>
      </c>
      <c r="F343" s="6" t="n">
        <v>20.8</v>
      </c>
      <c r="G343" s="6" t="n">
        <f aca="false">G342+D343</f>
        <v>2513.4</v>
      </c>
      <c r="H343" s="6" t="n">
        <f aca="false">H342+D343</f>
        <v>146.9</v>
      </c>
      <c r="I343" s="49" t="s">
        <v>40</v>
      </c>
      <c r="J343" s="6" t="n">
        <v>0.2</v>
      </c>
      <c r="K343" s="6" t="n">
        <f aca="false">K342+J343</f>
        <v>904.1</v>
      </c>
      <c r="L343" s="6" t="n">
        <v>2</v>
      </c>
      <c r="M343" s="6" t="n">
        <f aca="false">M342+L343</f>
        <v>410.3</v>
      </c>
      <c r="N343" s="6" t="n">
        <v>-1.8</v>
      </c>
      <c r="O343" s="6" t="n">
        <f aca="false">O342+N343</f>
        <v>117</v>
      </c>
      <c r="P343" s="6" t="n">
        <v>296</v>
      </c>
      <c r="Q343" s="15" t="n">
        <f aca="false">1.15+((P343-270)/58)*(0.35-1.15)</f>
        <v>0.791379310344827</v>
      </c>
      <c r="R343" s="14" t="n">
        <f aca="false">Q343*L343</f>
        <v>1.58275862068966</v>
      </c>
      <c r="S343" s="14" t="n">
        <f aca="false">J343-R343</f>
        <v>-1.38275862068966</v>
      </c>
      <c r="T343" s="14" t="n">
        <f aca="false">MIN(122.1,(T342+S343))</f>
        <v>118.883275862069</v>
      </c>
      <c r="U343" s="49" t="s">
        <v>41</v>
      </c>
      <c r="V343" s="6" t="n">
        <v>958.2</v>
      </c>
      <c r="X343" s="6" t="n">
        <f aca="false">X342+V343</f>
        <v>235578.5</v>
      </c>
      <c r="Y343" s="6" t="n">
        <f aca="false">Y342+V343</f>
        <v>16048</v>
      </c>
      <c r="AA343" s="6" t="n">
        <v>15.8350563680323</v>
      </c>
    </row>
    <row r="344" s="6" customFormat="true" ht="15" hidden="false" customHeight="false" outlineLevel="0" collapsed="false">
      <c r="A344" s="48"/>
      <c r="B344" s="12"/>
      <c r="C344" s="7" t="n">
        <v>41460</v>
      </c>
      <c r="D344" s="6" t="n">
        <v>19.6</v>
      </c>
      <c r="E344" s="6" t="n">
        <v>17.1</v>
      </c>
      <c r="F344" s="6" t="n">
        <v>22.5</v>
      </c>
      <c r="G344" s="6" t="n">
        <f aca="false">G343+D344</f>
        <v>2533</v>
      </c>
      <c r="H344" s="6" t="n">
        <f aca="false">H343+D344</f>
        <v>166.5</v>
      </c>
      <c r="I344" s="6" t="n">
        <v>11</v>
      </c>
      <c r="J344" s="6" t="n">
        <v>0</v>
      </c>
      <c r="K344" s="6" t="n">
        <f aca="false">K343+J344</f>
        <v>904.1</v>
      </c>
      <c r="L344" s="6" t="n">
        <v>2.5</v>
      </c>
      <c r="M344" s="6" t="n">
        <f aca="false">M343+L344</f>
        <v>412.8</v>
      </c>
      <c r="N344" s="6" t="n">
        <v>-2.5</v>
      </c>
      <c r="O344" s="6" t="n">
        <f aca="false">O343+N344</f>
        <v>114.5</v>
      </c>
      <c r="P344" s="6" t="n">
        <v>297</v>
      </c>
      <c r="Q344" s="15" t="n">
        <f aca="false">1.15+((P344-270)/58)*(0.35-1.15)</f>
        <v>0.777586206896552</v>
      </c>
      <c r="R344" s="14" t="n">
        <f aca="false">Q344*L344</f>
        <v>1.94396551724138</v>
      </c>
      <c r="S344" s="14" t="n">
        <f aca="false">J344-R344</f>
        <v>-1.94396551724138</v>
      </c>
      <c r="T344" s="14" t="n">
        <f aca="false">MIN(122.1,(T343+S344))</f>
        <v>116.939310344828</v>
      </c>
      <c r="U344" s="14" t="n">
        <f aca="false">MAX(T335:T355)</f>
        <v>120.266034482759</v>
      </c>
      <c r="V344" s="6" t="n">
        <v>1057.9</v>
      </c>
      <c r="W344" s="41"/>
      <c r="X344" s="41" t="n">
        <f aca="false">X343+V344</f>
        <v>236636.4</v>
      </c>
      <c r="Y344" s="6" t="n">
        <f aca="false">Y343+V344</f>
        <v>17105.9</v>
      </c>
      <c r="AA344" s="6" t="n">
        <v>15.8184592605141</v>
      </c>
    </row>
    <row r="345" s="6" customFormat="true" ht="15" hidden="false" customHeight="true" outlineLevel="0" collapsed="false">
      <c r="A345" s="48"/>
      <c r="B345" s="50"/>
      <c r="C345" s="7" t="n">
        <v>41461</v>
      </c>
      <c r="D345" s="6" t="n">
        <v>21.8</v>
      </c>
      <c r="E345" s="6" t="n">
        <v>15.7</v>
      </c>
      <c r="F345" s="6" t="n">
        <v>26.5</v>
      </c>
      <c r="G345" s="6" t="n">
        <f aca="false">G344+D345</f>
        <v>2554.8</v>
      </c>
      <c r="H345" s="6" t="n">
        <f aca="false">H344+D345</f>
        <v>188.3</v>
      </c>
      <c r="I345" s="49" t="s">
        <v>42</v>
      </c>
      <c r="J345" s="6" t="n">
        <v>0</v>
      </c>
      <c r="K345" s="6" t="n">
        <f aca="false">K344+J345</f>
        <v>904.1</v>
      </c>
      <c r="L345" s="6" t="n">
        <v>5.6</v>
      </c>
      <c r="M345" s="6" t="n">
        <f aca="false">M344+L345</f>
        <v>418.4</v>
      </c>
      <c r="N345" s="6" t="n">
        <v>-5.6</v>
      </c>
      <c r="O345" s="6" t="n">
        <f aca="false">O344+N345</f>
        <v>108.9</v>
      </c>
      <c r="P345" s="6" t="n">
        <v>298</v>
      </c>
      <c r="Q345" s="15" t="n">
        <f aca="false">1.15+((P345-270)/58)*(0.35-1.15)</f>
        <v>0.763793103448276</v>
      </c>
      <c r="R345" s="14" t="n">
        <f aca="false">Q345*L345</f>
        <v>4.27724137931034</v>
      </c>
      <c r="S345" s="14" t="n">
        <f aca="false">J345-R345</f>
        <v>-4.27724137931034</v>
      </c>
      <c r="T345" s="14" t="n">
        <f aca="false">MIN(122.1,(T344+S345))</f>
        <v>112.662068965517</v>
      </c>
      <c r="U345" s="49" t="s">
        <v>43</v>
      </c>
      <c r="V345" s="6" t="n">
        <v>3013</v>
      </c>
      <c r="X345" s="6" t="n">
        <f aca="false">X344+V345</f>
        <v>239649.4</v>
      </c>
      <c r="Y345" s="6" t="n">
        <f aca="false">Y344+V345</f>
        <v>20118.9</v>
      </c>
      <c r="AA345" s="6" t="n">
        <v>15.8006136842875</v>
      </c>
    </row>
    <row r="346" s="6" customFormat="true" ht="15" hidden="false" customHeight="false" outlineLevel="0" collapsed="false">
      <c r="A346" s="48"/>
      <c r="B346" s="50"/>
      <c r="C346" s="7" t="n">
        <v>41462</v>
      </c>
      <c r="D346" s="6" t="n">
        <v>23</v>
      </c>
      <c r="E346" s="6" t="n">
        <v>17.4</v>
      </c>
      <c r="F346" s="6" t="n">
        <v>27.4</v>
      </c>
      <c r="G346" s="6" t="n">
        <f aca="false">G345+D346</f>
        <v>2577.8</v>
      </c>
      <c r="H346" s="6" t="n">
        <f aca="false">H345+D346</f>
        <v>211.3</v>
      </c>
      <c r="I346" s="6" t="n">
        <v>0</v>
      </c>
      <c r="J346" s="6" t="n">
        <v>0</v>
      </c>
      <c r="K346" s="6" t="n">
        <f aca="false">K345+J346</f>
        <v>904.1</v>
      </c>
      <c r="L346" s="6" t="n">
        <v>6.1</v>
      </c>
      <c r="M346" s="6" t="n">
        <f aca="false">M345+L346</f>
        <v>424.5</v>
      </c>
      <c r="N346" s="6" t="n">
        <v>-6.1</v>
      </c>
      <c r="O346" s="6" t="n">
        <f aca="false">O345+N346</f>
        <v>102.8</v>
      </c>
      <c r="P346" s="6" t="n">
        <v>299</v>
      </c>
      <c r="Q346" s="15" t="n">
        <f aca="false">1.15+((P346-270)/58)*(0.35-1.15)</f>
        <v>0.75</v>
      </c>
      <c r="R346" s="14" t="n">
        <f aca="false">Q346*L346</f>
        <v>4.575</v>
      </c>
      <c r="S346" s="14" t="n">
        <f aca="false">J346-R346</f>
        <v>-4.575</v>
      </c>
      <c r="T346" s="14" t="n">
        <f aca="false">MIN(122.1,(T345+S346))</f>
        <v>108.087068965517</v>
      </c>
      <c r="U346" s="15" t="n">
        <f aca="false">AVERAGE(T335:T355)</f>
        <v>99.4928653530377</v>
      </c>
      <c r="V346" s="6" t="n">
        <v>2882.1</v>
      </c>
      <c r="X346" s="6" t="n">
        <f aca="false">X345+V346</f>
        <v>242531.5</v>
      </c>
      <c r="Y346" s="6" t="n">
        <f aca="false">Y345+V346</f>
        <v>23001</v>
      </c>
      <c r="AA346" s="6" t="n">
        <v>15.7815367445688</v>
      </c>
    </row>
    <row r="347" s="6" customFormat="true" ht="15" hidden="false" customHeight="false" outlineLevel="0" collapsed="false">
      <c r="A347" s="48"/>
      <c r="B347" s="50"/>
      <c r="C347" s="7" t="n">
        <v>41463</v>
      </c>
      <c r="D347" s="6" t="n">
        <v>23.3</v>
      </c>
      <c r="E347" s="6" t="n">
        <v>19.4</v>
      </c>
      <c r="F347" s="6" t="n">
        <v>27.8</v>
      </c>
      <c r="G347" s="6" t="n">
        <f aca="false">G346+D347</f>
        <v>2601.1</v>
      </c>
      <c r="H347" s="6" t="n">
        <f aca="false">H346+D347</f>
        <v>234.6</v>
      </c>
      <c r="I347" s="49" t="s">
        <v>44</v>
      </c>
      <c r="J347" s="6" t="n">
        <v>0</v>
      </c>
      <c r="K347" s="6" t="n">
        <f aca="false">K346+J347</f>
        <v>904.1</v>
      </c>
      <c r="L347" s="6" t="n">
        <v>7.4</v>
      </c>
      <c r="M347" s="6" t="n">
        <f aca="false">M346+L347</f>
        <v>431.9</v>
      </c>
      <c r="N347" s="6" t="n">
        <v>-7.4</v>
      </c>
      <c r="O347" s="6" t="n">
        <f aca="false">O346+N347</f>
        <v>95.4</v>
      </c>
      <c r="P347" s="6" t="n">
        <v>300</v>
      </c>
      <c r="Q347" s="15" t="n">
        <f aca="false">1.15+((P347-270)/58)*(0.35-1.15)</f>
        <v>0.736206896551724</v>
      </c>
      <c r="R347" s="14" t="n">
        <f aca="false">Q347*L347</f>
        <v>5.44793103448276</v>
      </c>
      <c r="S347" s="14" t="n">
        <f aca="false">J347-R347</f>
        <v>-5.44793103448276</v>
      </c>
      <c r="T347" s="14" t="n">
        <f aca="false">MIN(122.1,(T346+S347))</f>
        <v>102.639137931034</v>
      </c>
      <c r="V347" s="6" t="n">
        <v>3196.8</v>
      </c>
      <c r="X347" s="6" t="n">
        <f aca="false">X346+V347</f>
        <v>245728.3</v>
      </c>
      <c r="Y347" s="6" t="n">
        <f aca="false">Y346+V347</f>
        <v>26197.8</v>
      </c>
      <c r="AA347" s="6" t="n">
        <v>15.7612464594589</v>
      </c>
    </row>
    <row r="348" s="6" customFormat="true" ht="15" hidden="false" customHeight="false" outlineLevel="0" collapsed="false">
      <c r="A348" s="48"/>
      <c r="B348" s="50"/>
      <c r="C348" s="7" t="n">
        <v>41464</v>
      </c>
      <c r="D348" s="6" t="n">
        <v>23.3</v>
      </c>
      <c r="E348" s="6" t="n">
        <v>17.7</v>
      </c>
      <c r="F348" s="6" t="n">
        <v>27.7</v>
      </c>
      <c r="G348" s="6" t="n">
        <f aca="false">G347+D348</f>
        <v>2624.4</v>
      </c>
      <c r="H348" s="6" t="n">
        <f aca="false">H347+D348</f>
        <v>257.9</v>
      </c>
      <c r="I348" s="6" t="n">
        <v>413.1</v>
      </c>
      <c r="J348" s="6" t="n">
        <v>0</v>
      </c>
      <c r="K348" s="6" t="n">
        <f aca="false">K347+J348</f>
        <v>904.1</v>
      </c>
      <c r="L348" s="6" t="n">
        <v>5.3</v>
      </c>
      <c r="M348" s="6" t="n">
        <f aca="false">M347+L348</f>
        <v>437.2</v>
      </c>
      <c r="N348" s="6" t="n">
        <v>-5.3</v>
      </c>
      <c r="O348" s="6" t="n">
        <f aca="false">O347+N348</f>
        <v>90.1</v>
      </c>
      <c r="P348" s="6" t="n">
        <v>301</v>
      </c>
      <c r="Q348" s="15" t="n">
        <f aca="false">1.15+((P348-270)/58)*(0.35-1.15)</f>
        <v>0.722413793103448</v>
      </c>
      <c r="R348" s="14" t="n">
        <f aca="false">Q348*L348</f>
        <v>3.82879310344828</v>
      </c>
      <c r="S348" s="14" t="n">
        <f aca="false">J348-R348</f>
        <v>-3.82879310344828</v>
      </c>
      <c r="T348" s="14" t="n">
        <f aca="false">MIN(122.1,(T347+S348))</f>
        <v>98.8103448275862</v>
      </c>
      <c r="U348" s="14" t="n">
        <f aca="false">(U346*100)/122.1</f>
        <v>81.4847382088761</v>
      </c>
      <c r="V348" s="6" t="n">
        <v>2624.6</v>
      </c>
      <c r="X348" s="6" t="n">
        <f aca="false">X347+V348</f>
        <v>248352.9</v>
      </c>
      <c r="Y348" s="6" t="n">
        <f aca="false">Y347+V348</f>
        <v>28822.4</v>
      </c>
      <c r="AA348" s="6" t="n">
        <v>15.7397617011619</v>
      </c>
    </row>
    <row r="349" s="6" customFormat="true" ht="15" hidden="false" customHeight="false" outlineLevel="0" collapsed="false">
      <c r="A349" s="48"/>
      <c r="B349" s="50"/>
      <c r="C349" s="7" t="n">
        <v>41465</v>
      </c>
      <c r="D349" s="6" t="n">
        <v>24.1</v>
      </c>
      <c r="E349" s="6" t="n">
        <v>19.9</v>
      </c>
      <c r="F349" s="6" t="n">
        <v>29.2</v>
      </c>
      <c r="G349" s="6" t="n">
        <f aca="false">G348+D349</f>
        <v>2648.5</v>
      </c>
      <c r="H349" s="6" t="n">
        <f aca="false">H348+D349</f>
        <v>282</v>
      </c>
      <c r="J349" s="6" t="n">
        <v>0</v>
      </c>
      <c r="K349" s="6" t="n">
        <f aca="false">K348+J349</f>
        <v>904.1</v>
      </c>
      <c r="L349" s="6" t="n">
        <v>6.7</v>
      </c>
      <c r="M349" s="6" t="n">
        <f aca="false">M348+L349</f>
        <v>443.9</v>
      </c>
      <c r="N349" s="6" t="n">
        <v>-6.7</v>
      </c>
      <c r="O349" s="6" t="n">
        <f aca="false">O348+N349</f>
        <v>83.4</v>
      </c>
      <c r="P349" s="6" t="n">
        <v>302</v>
      </c>
      <c r="Q349" s="15" t="n">
        <f aca="false">1.15+((P349-270)/58)*(0.35-1.15)</f>
        <v>0.708620689655172</v>
      </c>
      <c r="R349" s="14" t="n">
        <f aca="false">Q349*L349</f>
        <v>4.74775862068965</v>
      </c>
      <c r="S349" s="14" t="n">
        <f aca="false">J349-R349</f>
        <v>-4.74775862068965</v>
      </c>
      <c r="T349" s="14" t="n">
        <f aca="false">MIN(122.1,(T348+S349))</f>
        <v>94.0625862068965</v>
      </c>
      <c r="V349" s="6" t="n">
        <v>2666.1</v>
      </c>
      <c r="X349" s="6" t="n">
        <f aca="false">X348+V349</f>
        <v>251019</v>
      </c>
      <c r="Y349" s="6" t="n">
        <f aca="false">Y348+V349</f>
        <v>31488.5</v>
      </c>
      <c r="AA349" s="6" t="n">
        <v>15.7171021357391</v>
      </c>
    </row>
    <row r="350" s="6" customFormat="true" ht="15" hidden="false" customHeight="false" outlineLevel="0" collapsed="false">
      <c r="A350" s="48"/>
      <c r="B350" s="50"/>
      <c r="C350" s="7" t="n">
        <v>41466</v>
      </c>
      <c r="D350" s="6" t="n">
        <v>20.7</v>
      </c>
      <c r="E350" s="6" t="n">
        <v>15.9</v>
      </c>
      <c r="F350" s="6" t="n">
        <v>24.7</v>
      </c>
      <c r="G350" s="6" t="n">
        <f aca="false">G349+D350</f>
        <v>2669.2</v>
      </c>
      <c r="H350" s="6" t="n">
        <f aca="false">H349+D350</f>
        <v>302.7</v>
      </c>
      <c r="J350" s="6" t="n">
        <v>0</v>
      </c>
      <c r="K350" s="6" t="n">
        <f aca="false">K349+J350</f>
        <v>904.1</v>
      </c>
      <c r="L350" s="6" t="n">
        <v>6.3</v>
      </c>
      <c r="M350" s="6" t="n">
        <f aca="false">M349+L350</f>
        <v>450.2</v>
      </c>
      <c r="N350" s="6" t="n">
        <v>-6.3</v>
      </c>
      <c r="O350" s="6" t="n">
        <f aca="false">O349+N350</f>
        <v>77.1</v>
      </c>
      <c r="P350" s="6" t="n">
        <v>303</v>
      </c>
      <c r="Q350" s="15" t="n">
        <f aca="false">1.15+((P350-270)/58)*(0.35-1.15)</f>
        <v>0.694827586206896</v>
      </c>
      <c r="R350" s="14" t="n">
        <f aca="false">Q350*L350</f>
        <v>4.37741379310345</v>
      </c>
      <c r="S350" s="14" t="n">
        <f aca="false">J350-R350</f>
        <v>-4.37741379310345</v>
      </c>
      <c r="T350" s="14" t="n">
        <f aca="false">MIN(122.1,(T349+S350))</f>
        <v>89.6851724137931</v>
      </c>
      <c r="V350" s="6" t="n">
        <v>3266.1</v>
      </c>
      <c r="X350" s="6" t="n">
        <f aca="false">X349+V350</f>
        <v>254285.1</v>
      </c>
      <c r="Y350" s="6" t="n">
        <f aca="false">Y349+V350</f>
        <v>34754.6</v>
      </c>
      <c r="AA350" s="6" t="n">
        <v>15.6932881617669</v>
      </c>
    </row>
    <row r="351" s="6" customFormat="true" ht="15" hidden="false" customHeight="false" outlineLevel="0" collapsed="false">
      <c r="A351" s="48"/>
      <c r="B351" s="50"/>
      <c r="C351" s="7" t="n">
        <v>41467</v>
      </c>
      <c r="D351" s="6" t="n">
        <v>20.6</v>
      </c>
      <c r="E351" s="6" t="n">
        <v>15.5</v>
      </c>
      <c r="F351" s="6" t="n">
        <v>25.7</v>
      </c>
      <c r="G351" s="6" t="n">
        <f aca="false">G350+D351</f>
        <v>2689.8</v>
      </c>
      <c r="H351" s="6" t="n">
        <f aca="false">H350+D351</f>
        <v>323.3</v>
      </c>
      <c r="J351" s="6" t="n">
        <v>0</v>
      </c>
      <c r="K351" s="6" t="n">
        <f aca="false">K350+J351</f>
        <v>904.1</v>
      </c>
      <c r="L351" s="6" t="n">
        <v>6.9</v>
      </c>
      <c r="M351" s="6" t="n">
        <f aca="false">M350+L351</f>
        <v>457.1</v>
      </c>
      <c r="N351" s="6" t="n">
        <v>-6.9</v>
      </c>
      <c r="O351" s="6" t="n">
        <f aca="false">O350+N351</f>
        <v>70.2</v>
      </c>
      <c r="P351" s="6" t="n">
        <v>304</v>
      </c>
      <c r="Q351" s="15" t="n">
        <f aca="false">1.15+((P351-270)/58)*(0.35-1.15)</f>
        <v>0.681034482758621</v>
      </c>
      <c r="R351" s="14" t="n">
        <f aca="false">Q351*L351</f>
        <v>4.69913793103448</v>
      </c>
      <c r="S351" s="14" t="n">
        <f aca="false">J351-R351</f>
        <v>-4.69913793103448</v>
      </c>
      <c r="T351" s="14" t="n">
        <f aca="false">MIN(122.1,(T350+S351))</f>
        <v>84.9860344827586</v>
      </c>
      <c r="V351" s="6" t="n">
        <v>3259.3</v>
      </c>
      <c r="X351" s="6" t="n">
        <f aca="false">X350+V351</f>
        <v>257544.4</v>
      </c>
      <c r="Y351" s="6" t="n">
        <f aca="false">Y350+V351</f>
        <v>38013.9</v>
      </c>
      <c r="AA351" s="6" t="n">
        <v>15.66834084826</v>
      </c>
    </row>
    <row r="352" s="6" customFormat="true" ht="15" hidden="false" customHeight="false" outlineLevel="0" collapsed="false">
      <c r="A352" s="48"/>
      <c r="B352" s="50"/>
      <c r="C352" s="7" t="n">
        <v>41468</v>
      </c>
      <c r="D352" s="6" t="n">
        <v>21.5</v>
      </c>
      <c r="E352" s="6" t="n">
        <v>16.7</v>
      </c>
      <c r="F352" s="6" t="n">
        <v>27.4</v>
      </c>
      <c r="G352" s="6" t="n">
        <f aca="false">G351+D352</f>
        <v>2711.3</v>
      </c>
      <c r="H352" s="6" t="n">
        <f aca="false">H351+D352</f>
        <v>344.8</v>
      </c>
      <c r="J352" s="6" t="n">
        <v>0</v>
      </c>
      <c r="K352" s="6" t="n">
        <f aca="false">K351+J352</f>
        <v>904.1</v>
      </c>
      <c r="L352" s="6" t="n">
        <v>7.2</v>
      </c>
      <c r="M352" s="6" t="n">
        <f aca="false">M351+L352</f>
        <v>464.3</v>
      </c>
      <c r="N352" s="6" t="n">
        <v>-7.2</v>
      </c>
      <c r="O352" s="6" t="n">
        <f aca="false">O351+N352</f>
        <v>63</v>
      </c>
      <c r="P352" s="6" t="n">
        <v>305</v>
      </c>
      <c r="Q352" s="15" t="n">
        <f aca="false">1.15+((P352-270)/58)*(0.35-1.15)</f>
        <v>0.667241379310345</v>
      </c>
      <c r="R352" s="14" t="n">
        <f aca="false">Q352*L352</f>
        <v>4.80413793103448</v>
      </c>
      <c r="S352" s="14" t="n">
        <f aca="false">J352-R352</f>
        <v>-4.80413793103448</v>
      </c>
      <c r="T352" s="14" t="n">
        <f aca="false">MIN(122.1,(T351+S352))</f>
        <v>80.1818965517241</v>
      </c>
      <c r="V352" s="6" t="n">
        <v>3253</v>
      </c>
      <c r="X352" s="6" t="n">
        <f aca="false">X351+V352</f>
        <v>260797.4</v>
      </c>
      <c r="Y352" s="6" t="n">
        <f aca="false">Y351+V352</f>
        <v>41266.9</v>
      </c>
      <c r="AA352" s="6" t="n">
        <v>15.6422818722123</v>
      </c>
    </row>
    <row r="353" s="6" customFormat="true" ht="15" hidden="false" customHeight="false" outlineLevel="0" collapsed="false">
      <c r="A353" s="48"/>
      <c r="B353" s="50"/>
      <c r="C353" s="7" t="n">
        <v>41469</v>
      </c>
      <c r="D353" s="6" t="n">
        <v>22.1</v>
      </c>
      <c r="E353" s="6" t="n">
        <v>16.5</v>
      </c>
      <c r="F353" s="6" t="n">
        <v>27.1</v>
      </c>
      <c r="G353" s="6" t="n">
        <f aca="false">G352+D353</f>
        <v>2733.4</v>
      </c>
      <c r="H353" s="6" t="n">
        <f aca="false">H352+D353</f>
        <v>366.9</v>
      </c>
      <c r="J353" s="6" t="n">
        <v>0</v>
      </c>
      <c r="K353" s="6" t="n">
        <f aca="false">K352+J353</f>
        <v>904.1</v>
      </c>
      <c r="L353" s="6" t="n">
        <v>6.6</v>
      </c>
      <c r="M353" s="6" t="n">
        <f aca="false">M352+L353</f>
        <v>470.9</v>
      </c>
      <c r="N353" s="6" t="n">
        <v>-6.6</v>
      </c>
      <c r="O353" s="6" t="n">
        <f aca="false">O352+N353</f>
        <v>56.4</v>
      </c>
      <c r="P353" s="6" t="n">
        <v>306</v>
      </c>
      <c r="Q353" s="15" t="n">
        <f aca="false">1.15+((P353-270)/58)*(0.35-1.15)</f>
        <v>0.653448275862069</v>
      </c>
      <c r="R353" s="14" t="n">
        <f aca="false">Q353*L353</f>
        <v>4.31275862068965</v>
      </c>
      <c r="S353" s="14" t="n">
        <f aca="false">J353-R353</f>
        <v>-4.31275862068965</v>
      </c>
      <c r="T353" s="14" t="n">
        <f aca="false">MIN(122.1,(T352+S353))</f>
        <v>75.8691379310345</v>
      </c>
      <c r="V353" s="6" t="n">
        <v>2948.6</v>
      </c>
      <c r="X353" s="6" t="n">
        <f aca="false">X352+V353</f>
        <v>263746</v>
      </c>
      <c r="Y353" s="6" t="n">
        <f aca="false">Y352+V353</f>
        <v>44215.5</v>
      </c>
      <c r="AA353" s="6" t="n">
        <v>15.6151334560947</v>
      </c>
    </row>
    <row r="354" s="6" customFormat="true" ht="15" hidden="false" customHeight="false" outlineLevel="0" collapsed="false">
      <c r="A354" s="48"/>
      <c r="B354" s="50"/>
      <c r="C354" s="7" t="n">
        <v>41470</v>
      </c>
      <c r="D354" s="6" t="n">
        <v>22.6</v>
      </c>
      <c r="E354" s="6" t="n">
        <v>17.4</v>
      </c>
      <c r="F354" s="6" t="n">
        <v>27.6</v>
      </c>
      <c r="G354" s="6" t="n">
        <f aca="false">G353+D354</f>
        <v>2756</v>
      </c>
      <c r="H354" s="6" t="n">
        <f aca="false">H353+D354</f>
        <v>389.5</v>
      </c>
      <c r="J354" s="6" t="n">
        <v>0</v>
      </c>
      <c r="K354" s="6" t="n">
        <f aca="false">K353+J354</f>
        <v>904.1</v>
      </c>
      <c r="L354" s="6" t="n">
        <v>6</v>
      </c>
      <c r="M354" s="6" t="n">
        <f aca="false">M353+L354</f>
        <v>476.9</v>
      </c>
      <c r="N354" s="6" t="n">
        <v>-6</v>
      </c>
      <c r="O354" s="6" t="n">
        <f aca="false">O353+N354</f>
        <v>50.4</v>
      </c>
      <c r="P354" s="6" t="n">
        <v>307</v>
      </c>
      <c r="Q354" s="15" t="n">
        <f aca="false">1.15+((P354-270)/58)*(0.35-1.15)</f>
        <v>0.639655172413793</v>
      </c>
      <c r="R354" s="14" t="n">
        <f aca="false">Q354*L354</f>
        <v>3.83793103448276</v>
      </c>
      <c r="S354" s="14" t="n">
        <f aca="false">J354-R354</f>
        <v>-3.83793103448276</v>
      </c>
      <c r="T354" s="14" t="n">
        <f aca="false">MIN(122.1,(T353+S354))</f>
        <v>72.0312068965517</v>
      </c>
      <c r="V354" s="6" t="n">
        <v>2688.2</v>
      </c>
      <c r="X354" s="6" t="n">
        <f aca="false">X353+V354</f>
        <v>266434.2</v>
      </c>
      <c r="Y354" s="6" t="n">
        <f aca="false">Y353+V354</f>
        <v>46903.7</v>
      </c>
      <c r="AA354" s="6" t="n">
        <v>15.5869183056326</v>
      </c>
    </row>
    <row r="355" s="20" customFormat="true" ht="15" hidden="false" customHeight="false" outlineLevel="0" collapsed="false">
      <c r="A355" s="48"/>
      <c r="B355" s="51" t="n">
        <v>1000</v>
      </c>
      <c r="C355" s="19" t="n">
        <v>41471</v>
      </c>
      <c r="D355" s="20" t="n">
        <v>23.6</v>
      </c>
      <c r="E355" s="20" t="n">
        <v>17.5</v>
      </c>
      <c r="F355" s="20" t="n">
        <v>28.7</v>
      </c>
      <c r="G355" s="20" t="n">
        <f aca="false">G354+D355</f>
        <v>2779.6</v>
      </c>
      <c r="H355" s="20" t="n">
        <f aca="false">H354+D355</f>
        <v>413.1</v>
      </c>
      <c r="J355" s="20" t="n">
        <v>0</v>
      </c>
      <c r="K355" s="20" t="n">
        <f aca="false">K354+J355</f>
        <v>904.1</v>
      </c>
      <c r="L355" s="20" t="n">
        <v>6.1</v>
      </c>
      <c r="M355" s="20" t="n">
        <f aca="false">M354+L355</f>
        <v>483</v>
      </c>
      <c r="N355" s="20" t="n">
        <v>-6.1</v>
      </c>
      <c r="O355" s="20" t="n">
        <f aca="false">O354+N355</f>
        <v>44.3</v>
      </c>
      <c r="P355" s="20" t="n">
        <v>308</v>
      </c>
      <c r="Q355" s="47" t="n">
        <f aca="false">1.15+((P355-270)/58)*(0.35-1.15)</f>
        <v>0.625862068965517</v>
      </c>
      <c r="R355" s="21" t="n">
        <f aca="false">Q355*L355</f>
        <v>3.81775862068965</v>
      </c>
      <c r="S355" s="21" t="n">
        <f aca="false">J355-R355</f>
        <v>-3.81775862068965</v>
      </c>
      <c r="T355" s="21" t="n">
        <f aca="false">MIN(122.1,(T354+S355))</f>
        <v>68.2134482758621</v>
      </c>
      <c r="V355" s="20" t="n">
        <v>2782.6</v>
      </c>
      <c r="X355" s="20" t="n">
        <f aca="false">X354+V355</f>
        <v>269216.8</v>
      </c>
      <c r="Y355" s="20" t="n">
        <f aca="false">Y354+V355</f>
        <v>49686.3</v>
      </c>
      <c r="AA355" s="20" t="n">
        <v>15.5576595481683</v>
      </c>
    </row>
    <row r="356" s="6" customFormat="true" ht="15" hidden="false" customHeight="false" outlineLevel="0" collapsed="false">
      <c r="A356" s="52"/>
      <c r="B356" s="50"/>
      <c r="C356" s="7" t="n">
        <v>41472</v>
      </c>
      <c r="D356" s="6" t="n">
        <v>24.3</v>
      </c>
      <c r="E356" s="6" t="n">
        <v>18.6</v>
      </c>
      <c r="F356" s="6" t="n">
        <v>29.8</v>
      </c>
      <c r="G356" s="6" t="n">
        <f aca="false">G355+D356</f>
        <v>2803.9</v>
      </c>
      <c r="H356" s="6" t="n">
        <v>24.3</v>
      </c>
      <c r="J356" s="6" t="n">
        <v>0.5</v>
      </c>
      <c r="K356" s="6" t="n">
        <f aca="false">K355+J356</f>
        <v>904.6</v>
      </c>
      <c r="L356" s="6" t="n">
        <v>3.8</v>
      </c>
      <c r="M356" s="6" t="n">
        <f aca="false">M355+L356</f>
        <v>486.8</v>
      </c>
      <c r="N356" s="6" t="n">
        <v>-3.3</v>
      </c>
      <c r="O356" s="6" t="n">
        <f aca="false">O355+N356</f>
        <v>41</v>
      </c>
      <c r="P356" s="6" t="n">
        <v>309</v>
      </c>
      <c r="Q356" s="15" t="n">
        <f aca="false">1.15+((P356-270)/58)*(0.35-1.15)</f>
        <v>0.612068965517241</v>
      </c>
      <c r="R356" s="14" t="n">
        <f aca="false">Q356*L356</f>
        <v>2.32586206896552</v>
      </c>
      <c r="S356" s="14" t="n">
        <f aca="false">J356-R356</f>
        <v>-1.82586206896552</v>
      </c>
      <c r="T356" s="14" t="n">
        <f aca="false">MIN(122.1,(T355+S356))</f>
        <v>66.3875862068965</v>
      </c>
      <c r="V356" s="6" t="n">
        <v>1386.6</v>
      </c>
      <c r="X356" s="6" t="n">
        <f aca="false">X355+V356</f>
        <v>270603.4</v>
      </c>
      <c r="Y356" s="6" t="n">
        <v>1386.6</v>
      </c>
      <c r="AA356" s="6" t="n">
        <v>15.5273806718955</v>
      </c>
    </row>
    <row r="357" s="6" customFormat="true" ht="15" hidden="false" customHeight="false" outlineLevel="0" collapsed="false">
      <c r="A357" s="52"/>
      <c r="B357" s="50"/>
      <c r="C357" s="7" t="n">
        <v>41473</v>
      </c>
      <c r="D357" s="6" t="n">
        <v>23.4</v>
      </c>
      <c r="E357" s="6" t="n">
        <v>20.6</v>
      </c>
      <c r="F357" s="6" t="n">
        <v>29.3</v>
      </c>
      <c r="G357" s="6" t="n">
        <f aca="false">G356+D357</f>
        <v>2827.3</v>
      </c>
      <c r="H357" s="6" t="n">
        <f aca="false">H356+D357</f>
        <v>47.7</v>
      </c>
      <c r="J357" s="6" t="n">
        <v>8.3</v>
      </c>
      <c r="K357" s="6" t="n">
        <f aca="false">K356+J357</f>
        <v>912.9</v>
      </c>
      <c r="L357" s="6" t="n">
        <v>3.1</v>
      </c>
      <c r="M357" s="6" t="n">
        <f aca="false">M356+L357</f>
        <v>489.9</v>
      </c>
      <c r="N357" s="6" t="n">
        <v>5.2</v>
      </c>
      <c r="O357" s="6" t="n">
        <f aca="false">O356+N357</f>
        <v>46.2</v>
      </c>
      <c r="P357" s="6" t="n">
        <v>310</v>
      </c>
      <c r="Q357" s="15" t="n">
        <f aca="false">1.15+((P357-270)/58)*(0.35-1.15)</f>
        <v>0.598275862068965</v>
      </c>
      <c r="R357" s="14" t="n">
        <f aca="false">Q357*L357</f>
        <v>1.85465517241379</v>
      </c>
      <c r="S357" s="14" t="n">
        <f aca="false">J357-R357</f>
        <v>6.44534482758621</v>
      </c>
      <c r="T357" s="14" t="n">
        <f aca="false">MIN(122.1,(T356+S357))</f>
        <v>72.8329310344827</v>
      </c>
      <c r="V357" s="6" t="n">
        <v>1259.8</v>
      </c>
      <c r="X357" s="6" t="n">
        <f aca="false">X356+V357</f>
        <v>271863.2</v>
      </c>
      <c r="Y357" s="6" t="n">
        <f aca="false">Y356+V357</f>
        <v>2646.4</v>
      </c>
      <c r="AA357" s="6" t="n">
        <v>15.4961054662296</v>
      </c>
    </row>
    <row r="358" s="6" customFormat="true" ht="15" hidden="false" customHeight="false" outlineLevel="0" collapsed="false">
      <c r="A358" s="52"/>
      <c r="B358" s="50"/>
      <c r="C358" s="7" t="n">
        <v>41474</v>
      </c>
      <c r="D358" s="6" t="n">
        <v>22.4</v>
      </c>
      <c r="E358" s="6" t="n">
        <v>18.4</v>
      </c>
      <c r="F358" s="6" t="n">
        <v>28.2</v>
      </c>
      <c r="G358" s="6" t="n">
        <f aca="false">G357+D358</f>
        <v>2849.7</v>
      </c>
      <c r="H358" s="6" t="n">
        <f aca="false">H357+D358</f>
        <v>70.1</v>
      </c>
      <c r="J358" s="6" t="n">
        <v>0.6</v>
      </c>
      <c r="K358" s="6" t="n">
        <f aca="false">K357+J358</f>
        <v>913.5</v>
      </c>
      <c r="L358" s="6" t="n">
        <v>3.2</v>
      </c>
      <c r="M358" s="6" t="n">
        <f aca="false">M357+L358</f>
        <v>493.1</v>
      </c>
      <c r="N358" s="6" t="n">
        <v>-2.6</v>
      </c>
      <c r="O358" s="6" t="n">
        <f aca="false">O357+N358</f>
        <v>43.6</v>
      </c>
      <c r="P358" s="6" t="n">
        <v>311</v>
      </c>
      <c r="Q358" s="15" t="n">
        <f aca="false">1.15+((P358-270)/58)*(0.35-1.15)</f>
        <v>0.58448275862069</v>
      </c>
      <c r="R358" s="14" t="n">
        <f aca="false">Q358*L358</f>
        <v>1.87034482758621</v>
      </c>
      <c r="S358" s="14" t="n">
        <f aca="false">J358-R358</f>
        <v>-1.27034482758621</v>
      </c>
      <c r="T358" s="14" t="n">
        <f aca="false">MIN(122.1,(T357+S358))</f>
        <v>71.5625862068965</v>
      </c>
      <c r="V358" s="6" t="n">
        <v>1398.8</v>
      </c>
      <c r="X358" s="6" t="n">
        <f aca="false">X357+V358</f>
        <v>273262</v>
      </c>
      <c r="Y358" s="6" t="n">
        <f aca="false">Y357+V358</f>
        <v>4045.2</v>
      </c>
      <c r="AA358" s="6" t="n">
        <v>15.4638579635573</v>
      </c>
    </row>
    <row r="359" s="6" customFormat="true" ht="15" hidden="false" customHeight="false" outlineLevel="0" collapsed="false">
      <c r="A359" s="52"/>
      <c r="B359" s="50"/>
      <c r="C359" s="7" t="n">
        <v>41475</v>
      </c>
      <c r="D359" s="6" t="n">
        <v>24.4</v>
      </c>
      <c r="E359" s="6" t="n">
        <v>20.3</v>
      </c>
      <c r="F359" s="6" t="n">
        <v>28.8</v>
      </c>
      <c r="G359" s="6" t="n">
        <f aca="false">G358+D359</f>
        <v>2874.1</v>
      </c>
      <c r="H359" s="6" t="n">
        <f aca="false">H358+D359</f>
        <v>94.5</v>
      </c>
      <c r="J359" s="6" t="n">
        <v>0</v>
      </c>
      <c r="K359" s="6" t="n">
        <f aca="false">K358+J359</f>
        <v>913.5</v>
      </c>
      <c r="L359" s="6" t="n">
        <v>6.2</v>
      </c>
      <c r="M359" s="6" t="n">
        <f aca="false">M358+L359</f>
        <v>499.3</v>
      </c>
      <c r="N359" s="6" t="n">
        <v>-6.2</v>
      </c>
      <c r="O359" s="6" t="n">
        <f aca="false">O358+N359</f>
        <v>37.4</v>
      </c>
      <c r="P359" s="6" t="n">
        <v>312</v>
      </c>
      <c r="Q359" s="15" t="n">
        <f aca="false">1.15+((P359-270)/58)*(0.35-1.15)</f>
        <v>0.570689655172414</v>
      </c>
      <c r="R359" s="14" t="n">
        <f aca="false">Q359*L359</f>
        <v>3.53827586206897</v>
      </c>
      <c r="S359" s="14" t="n">
        <f aca="false">J359-R359</f>
        <v>-3.53827586206897</v>
      </c>
      <c r="T359" s="14" t="n">
        <f aca="false">MIN(122.1,(T358+S359))</f>
        <v>68.0243103448276</v>
      </c>
      <c r="V359" s="6" t="n">
        <v>2875.4</v>
      </c>
      <c r="X359" s="6" t="n">
        <f aca="false">X358+V359</f>
        <v>276137.4</v>
      </c>
      <c r="Y359" s="6" t="n">
        <f aca="false">Y358+V359</f>
        <v>6920.6</v>
      </c>
      <c r="AA359" s="6" t="n">
        <v>15.4306623825854</v>
      </c>
    </row>
    <row r="360" s="6" customFormat="true" ht="15" hidden="false" customHeight="false" outlineLevel="0" collapsed="false">
      <c r="A360" s="52"/>
      <c r="B360" s="50"/>
      <c r="C360" s="7" t="n">
        <v>41476</v>
      </c>
      <c r="D360" s="6" t="n">
        <v>25.9</v>
      </c>
      <c r="E360" s="6" t="n">
        <v>20.5</v>
      </c>
      <c r="F360" s="6" t="n">
        <v>31.5</v>
      </c>
      <c r="G360" s="6" t="n">
        <f aca="false">G359+D360</f>
        <v>2900</v>
      </c>
      <c r="H360" s="6" t="n">
        <f aca="false">H359+D360</f>
        <v>120.4</v>
      </c>
      <c r="J360" s="6" t="n">
        <v>0</v>
      </c>
      <c r="K360" s="6" t="n">
        <f aca="false">K359+J360</f>
        <v>913.5</v>
      </c>
      <c r="L360" s="6" t="n">
        <v>6.7</v>
      </c>
      <c r="M360" s="6" t="n">
        <f aca="false">M359+L360</f>
        <v>506</v>
      </c>
      <c r="N360" s="6" t="n">
        <v>-6.7</v>
      </c>
      <c r="O360" s="6" t="n">
        <f aca="false">O359+N360</f>
        <v>30.7</v>
      </c>
      <c r="P360" s="6" t="n">
        <v>313</v>
      </c>
      <c r="Q360" s="15" t="n">
        <f aca="false">1.15+((P360-270)/58)*(0.35-1.15)</f>
        <v>0.556896551724138</v>
      </c>
      <c r="R360" s="14" t="n">
        <f aca="false">Q360*L360</f>
        <v>3.73120689655172</v>
      </c>
      <c r="S360" s="14" t="n">
        <f aca="false">J360-R360</f>
        <v>-3.73120689655172</v>
      </c>
      <c r="T360" s="14" t="n">
        <f aca="false">MIN(122.1,(T359+S360))</f>
        <v>64.2931034482758</v>
      </c>
      <c r="V360" s="6" t="n">
        <v>3030.3</v>
      </c>
      <c r="X360" s="6" t="n">
        <f aca="false">X359+V360</f>
        <v>279167.7</v>
      </c>
      <c r="Y360" s="6" t="n">
        <f aca="false">Y359+V360</f>
        <v>9950.9</v>
      </c>
      <c r="AA360" s="6" t="n">
        <v>15.3965430734845</v>
      </c>
    </row>
    <row r="361" s="6" customFormat="true" ht="15" hidden="false" customHeight="false" outlineLevel="0" collapsed="false">
      <c r="A361" s="52"/>
      <c r="B361" s="50"/>
      <c r="C361" s="7" t="n">
        <v>41477</v>
      </c>
      <c r="D361" s="6" t="n">
        <v>26</v>
      </c>
      <c r="E361" s="6" t="n">
        <v>20.1</v>
      </c>
      <c r="F361" s="6" t="n">
        <v>32.4</v>
      </c>
      <c r="G361" s="6" t="n">
        <f aca="false">G360+D361</f>
        <v>2926</v>
      </c>
      <c r="H361" s="6" t="n">
        <f aca="false">H360+D361</f>
        <v>146.4</v>
      </c>
      <c r="J361" s="6" t="n">
        <v>0</v>
      </c>
      <c r="K361" s="6" t="n">
        <f aca="false">K360+J361</f>
        <v>913.5</v>
      </c>
      <c r="L361" s="6" t="n">
        <v>5.9</v>
      </c>
      <c r="M361" s="6" t="n">
        <f aca="false">M360+L361</f>
        <v>511.9</v>
      </c>
      <c r="N361" s="6" t="n">
        <v>-5.9</v>
      </c>
      <c r="O361" s="6" t="n">
        <f aca="false">O360+N361</f>
        <v>24.8</v>
      </c>
      <c r="P361" s="6" t="n">
        <v>314</v>
      </c>
      <c r="Q361" s="15" t="n">
        <f aca="false">1.15+((P361-270)/58)*(0.35-1.15)</f>
        <v>0.543103448275862</v>
      </c>
      <c r="R361" s="14" t="n">
        <f aca="false">Q361*L361</f>
        <v>3.20431034482759</v>
      </c>
      <c r="S361" s="14" t="n">
        <f aca="false">J361-R361</f>
        <v>-3.20431034482759</v>
      </c>
      <c r="T361" s="14" t="n">
        <f aca="false">MIN(122.1,(T360+S361))</f>
        <v>61.0887931034483</v>
      </c>
      <c r="V361" s="6" t="n">
        <v>2543.1</v>
      </c>
      <c r="X361" s="6" t="n">
        <f aca="false">X360+V361</f>
        <v>281710.8</v>
      </c>
      <c r="Y361" s="6" t="n">
        <f aca="false">Y360+V361</f>
        <v>12494</v>
      </c>
      <c r="AA361" s="6" t="n">
        <v>15.3615244650017</v>
      </c>
    </row>
    <row r="362" s="6" customFormat="true" ht="15" hidden="false" customHeight="false" outlineLevel="0" collapsed="false">
      <c r="A362" s="52"/>
      <c r="B362" s="50"/>
      <c r="C362" s="7" t="n">
        <v>41478</v>
      </c>
      <c r="D362" s="6" t="n">
        <v>24.2</v>
      </c>
      <c r="E362" s="6" t="n">
        <v>20.5</v>
      </c>
      <c r="F362" s="6" t="n">
        <v>30.6</v>
      </c>
      <c r="G362" s="6" t="n">
        <f aca="false">G361+D362</f>
        <v>2950.2</v>
      </c>
      <c r="H362" s="6" t="n">
        <f aca="false">H361+D362</f>
        <v>170.6</v>
      </c>
      <c r="J362" s="6" t="n">
        <v>1.4</v>
      </c>
      <c r="K362" s="6" t="n">
        <f aca="false">K361+J362</f>
        <v>914.9</v>
      </c>
      <c r="L362" s="6" t="n">
        <v>4.3</v>
      </c>
      <c r="M362" s="6" t="n">
        <f aca="false">M361+L362</f>
        <v>516.2</v>
      </c>
      <c r="N362" s="6" t="n">
        <v>-2.9</v>
      </c>
      <c r="O362" s="6" t="n">
        <f aca="false">O361+N362</f>
        <v>21.9</v>
      </c>
      <c r="P362" s="6" t="n">
        <v>315</v>
      </c>
      <c r="Q362" s="15" t="n">
        <f aca="false">1.15+((P362-270)/58)*(0.35-1.15)</f>
        <v>0.529310344827586</v>
      </c>
      <c r="R362" s="14" t="n">
        <f aca="false">Q362*L362</f>
        <v>2.27603448275862</v>
      </c>
      <c r="S362" s="14" t="n">
        <f aca="false">J362-R362</f>
        <v>-0.876034482758621</v>
      </c>
      <c r="T362" s="14" t="n">
        <f aca="false">MIN(122.1,(T361+S362))</f>
        <v>60.2127586206896</v>
      </c>
      <c r="V362" s="6" t="n">
        <v>2008.7</v>
      </c>
      <c r="X362" s="6" t="n">
        <f aca="false">X361+V362</f>
        <v>283719.5</v>
      </c>
      <c r="Y362" s="6" t="n">
        <f aca="false">Y361+V362</f>
        <v>14502.7</v>
      </c>
      <c r="AA362" s="6" t="n">
        <v>15.3256310136911</v>
      </c>
    </row>
    <row r="363" s="6" customFormat="true" ht="15" hidden="false" customHeight="false" outlineLevel="0" collapsed="false">
      <c r="A363" s="52"/>
      <c r="B363" s="50"/>
      <c r="C363" s="7" t="n">
        <v>41479</v>
      </c>
      <c r="D363" s="6" t="n">
        <v>24.1</v>
      </c>
      <c r="E363" s="6" t="n">
        <v>17.8</v>
      </c>
      <c r="F363" s="6" t="n">
        <v>28.8</v>
      </c>
      <c r="G363" s="6" t="n">
        <f aca="false">G362+D363</f>
        <v>2974.3</v>
      </c>
      <c r="H363" s="6" t="n">
        <f aca="false">H362+D363</f>
        <v>194.7</v>
      </c>
      <c r="J363" s="6" t="n">
        <v>0</v>
      </c>
      <c r="K363" s="6" t="n">
        <f aca="false">K362+J363</f>
        <v>914.9</v>
      </c>
      <c r="L363" s="6" t="n">
        <v>4.4</v>
      </c>
      <c r="M363" s="6" t="n">
        <f aca="false">M362+L363</f>
        <v>520.6</v>
      </c>
      <c r="N363" s="6" t="n">
        <v>-4.4</v>
      </c>
      <c r="O363" s="6" t="n">
        <f aca="false">O362+N363</f>
        <v>17.5</v>
      </c>
      <c r="P363" s="6" t="n">
        <v>316</v>
      </c>
      <c r="Q363" s="15" t="n">
        <f aca="false">1.15+((P363-270)/58)*(0.35-1.15)</f>
        <v>0.51551724137931</v>
      </c>
      <c r="R363" s="14" t="n">
        <f aca="false">Q363*L363</f>
        <v>2.26827586206897</v>
      </c>
      <c r="S363" s="14" t="n">
        <f aca="false">J363-R363</f>
        <v>-2.26827586206897</v>
      </c>
      <c r="T363" s="14" t="n">
        <f aca="false">MIN(122.1,(T362+S363))</f>
        <v>57.9444827586207</v>
      </c>
      <c r="V363" s="6" t="n">
        <v>1862.5</v>
      </c>
      <c r="X363" s="6" t="n">
        <f aca="false">X362+V363</f>
        <v>285582</v>
      </c>
      <c r="Y363" s="6" t="n">
        <f aca="false">Y362+V363</f>
        <v>16365.2</v>
      </c>
      <c r="AA363" s="6" t="n">
        <v>15.2888871553889</v>
      </c>
    </row>
    <row r="364" s="6" customFormat="true" ht="15" hidden="false" customHeight="false" outlineLevel="0" collapsed="false">
      <c r="A364" s="52"/>
      <c r="B364" s="50"/>
      <c r="C364" s="7" t="n">
        <v>41480</v>
      </c>
      <c r="D364" s="6" t="n">
        <v>25.7</v>
      </c>
      <c r="E364" s="6" t="n">
        <v>21.3</v>
      </c>
      <c r="F364" s="6" t="n">
        <v>30.1</v>
      </c>
      <c r="G364" s="6" t="n">
        <f aca="false">G363+D364</f>
        <v>3000</v>
      </c>
      <c r="H364" s="6" t="n">
        <f aca="false">H363+D364</f>
        <v>220.4</v>
      </c>
      <c r="J364" s="6" t="n">
        <v>0</v>
      </c>
      <c r="K364" s="6" t="n">
        <f aca="false">K363+J364</f>
        <v>914.9</v>
      </c>
      <c r="L364" s="6" t="n">
        <v>5</v>
      </c>
      <c r="M364" s="6" t="n">
        <f aca="false">M363+L364</f>
        <v>525.6</v>
      </c>
      <c r="N364" s="6" t="n">
        <v>-5</v>
      </c>
      <c r="O364" s="6" t="n">
        <f aca="false">O363+N364</f>
        <v>12.5</v>
      </c>
      <c r="P364" s="6" t="n">
        <v>317</v>
      </c>
      <c r="Q364" s="15" t="n">
        <f aca="false">1.15+((P364-270)/58)*(0.35-1.15)</f>
        <v>0.501724137931034</v>
      </c>
      <c r="R364" s="14" t="n">
        <f aca="false">Q364*L364</f>
        <v>2.50862068965517</v>
      </c>
      <c r="S364" s="14" t="n">
        <f aca="false">J364-R364</f>
        <v>-2.50862068965517</v>
      </c>
      <c r="T364" s="14" t="n">
        <f aca="false">MIN(122.1,(T363+S364))</f>
        <v>55.4358620689655</v>
      </c>
      <c r="V364" s="6" t="n">
        <v>2203.9</v>
      </c>
      <c r="X364" s="6" t="n">
        <f aca="false">X363+V364</f>
        <v>287785.9</v>
      </c>
      <c r="Y364" s="6" t="n">
        <f aca="false">Y363+V364</f>
        <v>18569.1</v>
      </c>
      <c r="AA364" s="6" t="n">
        <v>15.2513172590373</v>
      </c>
    </row>
    <row r="365" s="6" customFormat="true" ht="15" hidden="false" customHeight="false" outlineLevel="0" collapsed="false">
      <c r="A365" s="52"/>
      <c r="B365" s="50"/>
      <c r="C365" s="7" t="n">
        <v>41481</v>
      </c>
      <c r="D365" s="6" t="n">
        <v>26.1</v>
      </c>
      <c r="E365" s="6" t="n">
        <v>20.2</v>
      </c>
      <c r="F365" s="6" t="n">
        <v>31.7</v>
      </c>
      <c r="G365" s="6" t="n">
        <f aca="false">G364+D365</f>
        <v>3026.1</v>
      </c>
      <c r="H365" s="6" t="n">
        <f aca="false">H364+D365</f>
        <v>246.5</v>
      </c>
      <c r="J365" s="6" t="n">
        <v>0.1</v>
      </c>
      <c r="K365" s="6" t="n">
        <f aca="false">K364+J365</f>
        <v>915</v>
      </c>
      <c r="L365" s="6" t="n">
        <v>2.5</v>
      </c>
      <c r="M365" s="6" t="n">
        <f aca="false">M364+L365</f>
        <v>528.1</v>
      </c>
      <c r="N365" s="6" t="n">
        <v>-2.4</v>
      </c>
      <c r="O365" s="6" t="n">
        <f aca="false">O364+N365</f>
        <v>10.1</v>
      </c>
      <c r="P365" s="6" t="n">
        <v>318</v>
      </c>
      <c r="Q365" s="15" t="n">
        <f aca="false">1.15+((P365-270)/58)*(0.35-1.15)</f>
        <v>0.487931034482759</v>
      </c>
      <c r="R365" s="14" t="n">
        <f aca="false">Q365*L365</f>
        <v>1.2198275862069</v>
      </c>
      <c r="S365" s="14" t="n">
        <f aca="false">J365-R365</f>
        <v>-1.1198275862069</v>
      </c>
      <c r="T365" s="14" t="n">
        <f aca="false">MIN(122.1,(T364+S365))</f>
        <v>54.3160344827586</v>
      </c>
      <c r="V365" s="6" t="n">
        <v>949</v>
      </c>
      <c r="X365" s="6" t="n">
        <f aca="false">X364+V365</f>
        <v>288734.9</v>
      </c>
      <c r="Y365" s="6" t="n">
        <f aca="false">Y364+V365</f>
        <v>19518.1</v>
      </c>
      <c r="AA365" s="6" t="n">
        <v>15.2129455829404</v>
      </c>
    </row>
    <row r="366" s="6" customFormat="true" ht="15" hidden="false" customHeight="false" outlineLevel="0" collapsed="false">
      <c r="A366" s="52"/>
      <c r="B366" s="50"/>
      <c r="C366" s="7" t="n">
        <v>41482</v>
      </c>
      <c r="D366" s="6" t="n">
        <v>27.7</v>
      </c>
      <c r="E366" s="6" t="n">
        <v>21.7</v>
      </c>
      <c r="F366" s="6" t="n">
        <v>34.7</v>
      </c>
      <c r="G366" s="6" t="n">
        <f aca="false">G365+D366</f>
        <v>3053.8</v>
      </c>
      <c r="H366" s="6" t="n">
        <f aca="false">H365+D366</f>
        <v>274.2</v>
      </c>
      <c r="J366" s="6" t="n">
        <v>0.6</v>
      </c>
      <c r="K366" s="6" t="n">
        <f aca="false">K365+J366</f>
        <v>915.6</v>
      </c>
      <c r="L366" s="6" t="n">
        <v>8</v>
      </c>
      <c r="M366" s="6" t="n">
        <f aca="false">M365+L366</f>
        <v>536.1</v>
      </c>
      <c r="N366" s="6" t="n">
        <v>-7.4</v>
      </c>
      <c r="O366" s="6" t="n">
        <f aca="false">O365+N366</f>
        <v>2.7</v>
      </c>
      <c r="P366" s="6" t="n">
        <v>319</v>
      </c>
      <c r="Q366" s="15" t="n">
        <f aca="false">1.15+((P366-270)/58)*(0.35-1.15)</f>
        <v>0.474137931034483</v>
      </c>
      <c r="R366" s="14" t="n">
        <f aca="false">Q366*L366</f>
        <v>3.79310344827586</v>
      </c>
      <c r="S366" s="14" t="n">
        <f aca="false">J366-R366</f>
        <v>-3.19310344827586</v>
      </c>
      <c r="T366" s="14" t="n">
        <f aca="false">MIN(122.1,(T365+S366))</f>
        <v>51.1229310344827</v>
      </c>
      <c r="V366" s="6" t="n">
        <v>2332.1</v>
      </c>
      <c r="X366" s="6" t="n">
        <f aca="false">X365+V366</f>
        <v>291067</v>
      </c>
      <c r="Y366" s="6" t="n">
        <f aca="false">Y365+V366</f>
        <v>21850.2</v>
      </c>
      <c r="AA366" s="6" t="n">
        <v>15.1737962335136</v>
      </c>
    </row>
    <row r="367" s="6" customFormat="true" ht="15" hidden="false" customHeight="false" outlineLevel="0" collapsed="false">
      <c r="A367" s="52"/>
      <c r="B367" s="50"/>
      <c r="C367" s="7" t="n">
        <v>41483</v>
      </c>
      <c r="D367" s="6" t="n">
        <v>19.6</v>
      </c>
      <c r="E367" s="6" t="n">
        <v>18.5</v>
      </c>
      <c r="F367" s="6" t="n">
        <v>20.1</v>
      </c>
      <c r="G367" s="6" t="n">
        <f aca="false">G366+D367</f>
        <v>3073.4</v>
      </c>
      <c r="H367" s="6" t="n">
        <f aca="false">H366+D367</f>
        <v>293.8</v>
      </c>
      <c r="J367" s="6" t="n">
        <v>59.3</v>
      </c>
      <c r="K367" s="6" t="n">
        <f aca="false">K366+J367</f>
        <v>974.9</v>
      </c>
      <c r="L367" s="6" t="n">
        <v>1.4</v>
      </c>
      <c r="M367" s="6" t="n">
        <f aca="false">M366+L367</f>
        <v>537.5</v>
      </c>
      <c r="N367" s="6" t="n">
        <v>57.9</v>
      </c>
      <c r="O367" s="6" t="n">
        <f aca="false">O366+N367</f>
        <v>60.6</v>
      </c>
      <c r="P367" s="6" t="n">
        <v>320</v>
      </c>
      <c r="Q367" s="15" t="n">
        <f aca="false">1.15+((P367-270)/58)*(0.35-1.15)</f>
        <v>0.460344827586207</v>
      </c>
      <c r="R367" s="14" t="n">
        <f aca="false">Q367*L367</f>
        <v>0.64448275862069</v>
      </c>
      <c r="S367" s="14" t="n">
        <f aca="false">J367-R367</f>
        <v>58.6555172413793</v>
      </c>
      <c r="T367" s="14" t="n">
        <f aca="false">MIN(122.1,(T366+S367))</f>
        <v>109.778448275862</v>
      </c>
      <c r="V367" s="6" t="n">
        <v>596.7</v>
      </c>
      <c r="X367" s="6" t="n">
        <f aca="false">X366+V367</f>
        <v>291663.7</v>
      </c>
      <c r="Y367" s="6" t="n">
        <f aca="false">Y366+V367</f>
        <v>22446.9</v>
      </c>
      <c r="AA367" s="6" t="n">
        <v>15.1338931265691</v>
      </c>
    </row>
    <row r="368" s="6" customFormat="true" ht="15" hidden="false" customHeight="false" outlineLevel="0" collapsed="false">
      <c r="A368" s="52"/>
      <c r="B368" s="50"/>
      <c r="C368" s="7" t="n">
        <v>41484</v>
      </c>
      <c r="D368" s="6" t="n">
        <v>19.4</v>
      </c>
      <c r="E368" s="6" t="n">
        <v>17.3</v>
      </c>
      <c r="F368" s="6" t="n">
        <v>22.8</v>
      </c>
      <c r="G368" s="6" t="n">
        <f aca="false">G367+D368</f>
        <v>3092.8</v>
      </c>
      <c r="H368" s="6" t="n">
        <f aca="false">H367+D368</f>
        <v>313.2</v>
      </c>
      <c r="J368" s="6" t="n">
        <v>2.5</v>
      </c>
      <c r="K368" s="6" t="n">
        <f aca="false">K367+J368</f>
        <v>977.4</v>
      </c>
      <c r="L368" s="6" t="n">
        <v>3.1</v>
      </c>
      <c r="M368" s="6" t="n">
        <f aca="false">M367+L368</f>
        <v>540.6</v>
      </c>
      <c r="N368" s="6" t="n">
        <v>-0.6</v>
      </c>
      <c r="O368" s="6" t="n">
        <f aca="false">O367+N368</f>
        <v>60</v>
      </c>
      <c r="P368" s="6" t="n">
        <v>321</v>
      </c>
      <c r="Q368" s="15" t="n">
        <f aca="false">1.15+((P368-270)/58)*(0.35-1.15)</f>
        <v>0.446551724137931</v>
      </c>
      <c r="R368" s="14" t="n">
        <f aca="false">Q368*L368</f>
        <v>1.38431034482759</v>
      </c>
      <c r="S368" s="14" t="n">
        <f aca="false">J368-R368</f>
        <v>1.11568965517241</v>
      </c>
      <c r="T368" s="14" t="n">
        <f aca="false">MIN(122.1,(T367+S368))</f>
        <v>110.894137931034</v>
      </c>
      <c r="V368" s="6" t="n">
        <v>1516.9</v>
      </c>
      <c r="X368" s="6" t="n">
        <f aca="false">X367+V368</f>
        <v>293180.6</v>
      </c>
      <c r="Y368" s="6" t="n">
        <f aca="false">Y367+V368</f>
        <v>23963.8</v>
      </c>
      <c r="AA368" s="6" t="n">
        <v>15.0932599511633</v>
      </c>
    </row>
    <row r="369" s="6" customFormat="true" ht="15" hidden="false" customHeight="false" outlineLevel="0" collapsed="false">
      <c r="A369" s="52"/>
      <c r="B369" s="50"/>
      <c r="C369" s="7" t="n">
        <v>41485</v>
      </c>
      <c r="D369" s="6" t="n">
        <v>20.3</v>
      </c>
      <c r="E369" s="6" t="n">
        <v>16.4</v>
      </c>
      <c r="F369" s="6" t="n">
        <v>23.7</v>
      </c>
      <c r="G369" s="6" t="n">
        <f aca="false">G368+D369</f>
        <v>3113.1</v>
      </c>
      <c r="H369" s="6" t="n">
        <f aca="false">H368+D369</f>
        <v>333.5</v>
      </c>
      <c r="J369" s="6" t="n">
        <v>0.2</v>
      </c>
      <c r="K369" s="6" t="n">
        <f aca="false">K368+J369</f>
        <v>977.6</v>
      </c>
      <c r="L369" s="6" t="n">
        <v>3.3</v>
      </c>
      <c r="M369" s="6" t="n">
        <f aca="false">M368+L369</f>
        <v>543.9</v>
      </c>
      <c r="N369" s="6" t="n">
        <v>-3.1</v>
      </c>
      <c r="O369" s="6" t="n">
        <f aca="false">O368+N369</f>
        <v>56.9</v>
      </c>
      <c r="P369" s="6" t="n">
        <v>322</v>
      </c>
      <c r="Q369" s="15" t="n">
        <f aca="false">1.15+((P369-270)/58)*(0.35-1.15)</f>
        <v>0.432758620689655</v>
      </c>
      <c r="R369" s="14" t="n">
        <f aca="false">Q369*L369</f>
        <v>1.42810344827586</v>
      </c>
      <c r="S369" s="14" t="n">
        <f aca="false">J369-R369</f>
        <v>-1.22810344827586</v>
      </c>
      <c r="T369" s="14" t="n">
        <f aca="false">MIN(122.1,(T368+S369))</f>
        <v>109.666034482759</v>
      </c>
      <c r="V369" s="6" t="n">
        <v>1533.6</v>
      </c>
      <c r="X369" s="6" t="n">
        <f aca="false">X368+V369</f>
        <v>294714.2</v>
      </c>
      <c r="Y369" s="6" t="n">
        <f aca="false">Y368+V369</f>
        <v>25497.4</v>
      </c>
      <c r="AA369" s="6" t="n">
        <v>15.0519201360116</v>
      </c>
    </row>
    <row r="370" s="6" customFormat="true" ht="15" hidden="false" customHeight="false" outlineLevel="0" collapsed="false">
      <c r="A370" s="52"/>
      <c r="B370" s="50"/>
      <c r="C370" s="7" t="n">
        <v>41486</v>
      </c>
      <c r="D370" s="6" t="n">
        <v>22.8</v>
      </c>
      <c r="E370" s="6" t="n">
        <v>17.7</v>
      </c>
      <c r="F370" s="6" t="n">
        <v>27.2</v>
      </c>
      <c r="G370" s="6" t="n">
        <f aca="false">G369+D370</f>
        <v>3135.9</v>
      </c>
      <c r="H370" s="6" t="n">
        <f aca="false">H369+D370</f>
        <v>356.3</v>
      </c>
      <c r="J370" s="6" t="n">
        <v>0</v>
      </c>
      <c r="K370" s="6" t="n">
        <f aca="false">K369+J370</f>
        <v>977.6</v>
      </c>
      <c r="L370" s="6" t="n">
        <v>4.4</v>
      </c>
      <c r="M370" s="6" t="n">
        <f aca="false">M369+L370</f>
        <v>548.3</v>
      </c>
      <c r="N370" s="6" t="n">
        <v>-4.4</v>
      </c>
      <c r="O370" s="6" t="n">
        <f aca="false">O369+N370</f>
        <v>52.5</v>
      </c>
      <c r="P370" s="6" t="n">
        <v>323</v>
      </c>
      <c r="Q370" s="15" t="n">
        <f aca="false">1.15+((P370-270)/58)*(0.35-1.15)</f>
        <v>0.418965517241379</v>
      </c>
      <c r="R370" s="14" t="n">
        <f aca="false">Q370*L370</f>
        <v>1.84344827586207</v>
      </c>
      <c r="S370" s="14" t="n">
        <f aca="false">J370-R370</f>
        <v>-1.84344827586207</v>
      </c>
      <c r="T370" s="14" t="n">
        <f aca="false">MIN(122.1,(T369+S370))</f>
        <v>107.822586206897</v>
      </c>
      <c r="V370" s="6" t="n">
        <v>2224.6</v>
      </c>
      <c r="X370" s="6" t="n">
        <f aca="false">X369+V370</f>
        <v>296938.8</v>
      </c>
      <c r="Y370" s="6" t="n">
        <f aca="false">Y369+V370</f>
        <v>27722</v>
      </c>
      <c r="AA370" s="6" t="n">
        <v>15.0098968184643</v>
      </c>
    </row>
    <row r="371" s="6" customFormat="true" ht="15" hidden="false" customHeight="false" outlineLevel="0" collapsed="false">
      <c r="A371" s="52"/>
      <c r="B371" s="50"/>
      <c r="C371" s="7" t="n">
        <v>41487</v>
      </c>
      <c r="D371" s="6" t="n">
        <v>25.1</v>
      </c>
      <c r="E371" s="6" t="n">
        <v>16.5</v>
      </c>
      <c r="F371" s="6" t="n">
        <v>30.8</v>
      </c>
      <c r="G371" s="6" t="n">
        <f aca="false">G370+D371</f>
        <v>3161</v>
      </c>
      <c r="H371" s="6" t="n">
        <f aca="false">H370+D371</f>
        <v>381.4</v>
      </c>
      <c r="J371" s="6" t="n">
        <v>0</v>
      </c>
      <c r="K371" s="6" t="n">
        <f aca="false">K370+J371</f>
        <v>977.6</v>
      </c>
      <c r="L371" s="6" t="n">
        <v>6.3</v>
      </c>
      <c r="M371" s="6" t="n">
        <f aca="false">M370+L371</f>
        <v>554.6</v>
      </c>
      <c r="N371" s="6" t="n">
        <v>-6.3</v>
      </c>
      <c r="O371" s="6" t="n">
        <f aca="false">O370+N371</f>
        <v>46.2</v>
      </c>
      <c r="P371" s="6" t="n">
        <v>324</v>
      </c>
      <c r="Q371" s="15" t="n">
        <f aca="false">1.15+((P371-270)/58)*(0.35-1.15)</f>
        <v>0.405172413793103</v>
      </c>
      <c r="R371" s="14" t="n">
        <f aca="false">Q371*L371</f>
        <v>2.55258620689655</v>
      </c>
      <c r="S371" s="14" t="n">
        <f aca="false">J371-R371</f>
        <v>-2.55258620689655</v>
      </c>
      <c r="T371" s="14" t="n">
        <f aca="false">MIN(122.1,(T370+S371))</f>
        <v>105.27</v>
      </c>
      <c r="V371" s="6" t="n">
        <v>2880.6</v>
      </c>
      <c r="X371" s="6" t="n">
        <f aca="false">X370+V371</f>
        <v>299819.4</v>
      </c>
      <c r="Y371" s="6" t="n">
        <f aca="false">Y370+V371</f>
        <v>30602.6</v>
      </c>
      <c r="AA371" s="6" t="n">
        <v>14.9672128160205</v>
      </c>
    </row>
    <row r="372" s="6" customFormat="true" ht="15" hidden="false" customHeight="false" outlineLevel="0" collapsed="false">
      <c r="A372" s="52"/>
      <c r="B372" s="50"/>
      <c r="C372" s="7" t="n">
        <v>41488</v>
      </c>
      <c r="D372" s="6" t="n">
        <v>26</v>
      </c>
      <c r="E372" s="6" t="n">
        <v>20</v>
      </c>
      <c r="F372" s="6" t="n">
        <v>31.8</v>
      </c>
      <c r="G372" s="6" t="n">
        <f aca="false">G371+D372</f>
        <v>3187</v>
      </c>
      <c r="H372" s="6" t="n">
        <f aca="false">H371+D372</f>
        <v>407.4</v>
      </c>
      <c r="J372" s="6" t="n">
        <v>0</v>
      </c>
      <c r="K372" s="6" t="n">
        <f aca="false">K371+J372</f>
        <v>977.6</v>
      </c>
      <c r="L372" s="6" t="n">
        <v>6.7</v>
      </c>
      <c r="M372" s="6" t="n">
        <f aca="false">M371+L372</f>
        <v>561.3</v>
      </c>
      <c r="N372" s="6" t="n">
        <v>-6.7</v>
      </c>
      <c r="O372" s="6" t="n">
        <f aca="false">O371+N372</f>
        <v>39.5</v>
      </c>
      <c r="P372" s="6" t="n">
        <v>325</v>
      </c>
      <c r="Q372" s="15" t="n">
        <f aca="false">1.15+((P372-270)/58)*(0.35-1.15)</f>
        <v>0.391379310344828</v>
      </c>
      <c r="R372" s="14" t="n">
        <f aca="false">Q372*L372</f>
        <v>2.62224137931034</v>
      </c>
      <c r="S372" s="14" t="n">
        <f aca="false">J372-R372</f>
        <v>-2.62224137931034</v>
      </c>
      <c r="T372" s="14" t="n">
        <f aca="false">MIN(122.1,(T371+S372))</f>
        <v>102.64775862069</v>
      </c>
      <c r="V372" s="6" t="n">
        <v>2540.9</v>
      </c>
      <c r="X372" s="6" t="n">
        <f aca="false">X371+V372</f>
        <v>302360.3</v>
      </c>
      <c r="Y372" s="6" t="n">
        <f aca="false">Y371+V372</f>
        <v>33143.5</v>
      </c>
      <c r="AA372" s="6" t="n">
        <v>14.9238906003454</v>
      </c>
    </row>
    <row r="373" s="6" customFormat="true" ht="15" hidden="false" customHeight="false" outlineLevel="0" collapsed="false">
      <c r="A373" s="52"/>
      <c r="B373" s="50"/>
      <c r="C373" s="7" t="n">
        <v>41489</v>
      </c>
      <c r="D373" s="6" t="n">
        <v>23.6</v>
      </c>
      <c r="E373" s="6" t="n">
        <v>21.5</v>
      </c>
      <c r="F373" s="6" t="n">
        <v>26.8</v>
      </c>
      <c r="G373" s="6" t="n">
        <f aca="false">G372+D373</f>
        <v>3210.6</v>
      </c>
      <c r="H373" s="6" t="n">
        <f aca="false">H372+D373</f>
        <v>431</v>
      </c>
      <c r="J373" s="6" t="n">
        <v>0.4</v>
      </c>
      <c r="K373" s="6" t="n">
        <f aca="false">K372+J373</f>
        <v>978</v>
      </c>
      <c r="L373" s="6" t="n">
        <v>3.6</v>
      </c>
      <c r="M373" s="6" t="n">
        <f aca="false">M372+L373</f>
        <v>564.9</v>
      </c>
      <c r="N373" s="6" t="n">
        <v>-3.2</v>
      </c>
      <c r="O373" s="6" t="n">
        <f aca="false">O372+N373</f>
        <v>36.3</v>
      </c>
      <c r="P373" s="6" t="n">
        <v>326</v>
      </c>
      <c r="Q373" s="15" t="n">
        <f aca="false">1.15+((P373-270)/58)*(0.35-1.15)</f>
        <v>0.377586206896552</v>
      </c>
      <c r="R373" s="14" t="n">
        <f aca="false">Q373*L373</f>
        <v>1.35931034482759</v>
      </c>
      <c r="S373" s="14" t="n">
        <f aca="false">J373-R373</f>
        <v>-0.959310344827586</v>
      </c>
      <c r="T373" s="14" t="n">
        <f aca="false">MIN(122.1,(T372+S373))</f>
        <v>101.688448275862</v>
      </c>
      <c r="V373" s="6" t="n">
        <v>1334.3</v>
      </c>
      <c r="X373" s="6" t="n">
        <f aca="false">X372+V373</f>
        <v>303694.6</v>
      </c>
      <c r="Y373" s="6" t="n">
        <f aca="false">Y372+V373</f>
        <v>34477.8</v>
      </c>
      <c r="AA373" s="6" t="n">
        <v>14.8799522737445</v>
      </c>
    </row>
    <row r="374" s="6" customFormat="true" ht="15" hidden="false" customHeight="false" outlineLevel="0" collapsed="false">
      <c r="A374" s="52"/>
      <c r="B374" s="50"/>
      <c r="C374" s="7" t="n">
        <v>41490</v>
      </c>
      <c r="D374" s="6" t="n">
        <v>23</v>
      </c>
      <c r="E374" s="6" t="n">
        <v>19</v>
      </c>
      <c r="F374" s="6" t="n">
        <v>26.7</v>
      </c>
      <c r="G374" s="6" t="n">
        <f aca="false">G373+D374</f>
        <v>3233.6</v>
      </c>
      <c r="H374" s="6" t="n">
        <f aca="false">H373+D374</f>
        <v>454</v>
      </c>
      <c r="J374" s="6" t="n">
        <v>0.1</v>
      </c>
      <c r="K374" s="6" t="n">
        <f aca="false">K373+J374</f>
        <v>978.1</v>
      </c>
      <c r="L374" s="6" t="n">
        <v>4.4</v>
      </c>
      <c r="M374" s="6" t="n">
        <f aca="false">M373+L374</f>
        <v>569.3</v>
      </c>
      <c r="N374" s="6" t="n">
        <v>-4.3</v>
      </c>
      <c r="O374" s="6" t="n">
        <f aca="false">O373+N374</f>
        <v>32</v>
      </c>
      <c r="P374" s="6" t="n">
        <v>327</v>
      </c>
      <c r="Q374" s="15" t="n">
        <f aca="false">1.15+((P374-270)/58)*(0.35-1.15)</f>
        <v>0.363793103448276</v>
      </c>
      <c r="R374" s="14" t="n">
        <f aca="false">Q374*L374</f>
        <v>1.60068965517241</v>
      </c>
      <c r="S374" s="14" t="n">
        <f aca="false">J374-R374</f>
        <v>-1.50068965517241</v>
      </c>
      <c r="T374" s="14" t="n">
        <f aca="false">MIN(122.1,(T373+S374))</f>
        <v>100.18775862069</v>
      </c>
      <c r="V374" s="6" t="n">
        <v>1964.5</v>
      </c>
      <c r="X374" s="6" t="n">
        <f aca="false">X373+V374</f>
        <v>305659.1</v>
      </c>
      <c r="Y374" s="6" t="n">
        <f aca="false">Y373+V374</f>
        <v>36442.3</v>
      </c>
      <c r="AA374" s="6" t="n">
        <v>14.8354195480385</v>
      </c>
    </row>
    <row r="375" s="6" customFormat="true" ht="15" hidden="false" customHeight="false" outlineLevel="0" collapsed="false">
      <c r="A375" s="52"/>
      <c r="B375" s="50"/>
      <c r="C375" s="7" t="n">
        <v>41491</v>
      </c>
      <c r="D375" s="6" t="n">
        <v>24.7</v>
      </c>
      <c r="E375" s="6" t="n">
        <v>19.1</v>
      </c>
      <c r="F375" s="6" t="n">
        <v>30.3</v>
      </c>
      <c r="G375" s="6" t="n">
        <f aca="false">G374+D375</f>
        <v>3258.3</v>
      </c>
      <c r="H375" s="6" t="n">
        <f aca="false">H374+D375</f>
        <v>478.7</v>
      </c>
      <c r="J375" s="6" t="n">
        <v>0.2</v>
      </c>
      <c r="K375" s="6" t="n">
        <f aca="false">K374+J375</f>
        <v>978.3</v>
      </c>
      <c r="L375" s="6" t="n">
        <v>5</v>
      </c>
      <c r="M375" s="6" t="n">
        <f aca="false">M374+L375</f>
        <v>574.3</v>
      </c>
      <c r="N375" s="6" t="n">
        <v>-4.8</v>
      </c>
      <c r="O375" s="6" t="n">
        <f aca="false">O374+N375</f>
        <v>27.2</v>
      </c>
      <c r="P375" s="6" t="n">
        <v>328</v>
      </c>
      <c r="Q375" s="15" t="n">
        <f aca="false">1.15+((P375-270)/58)*(0.35-1.15)</f>
        <v>0.35</v>
      </c>
      <c r="R375" s="14" t="n">
        <f aca="false">Q375*L375</f>
        <v>1.75</v>
      </c>
      <c r="S375" s="14" t="n">
        <f aca="false">J375-R375</f>
        <v>-1.55</v>
      </c>
      <c r="T375" s="14" t="n">
        <f aca="false">MIN(122.1,(T374+S375))</f>
        <v>98.6377586206897</v>
      </c>
      <c r="V375" s="6" t="n">
        <v>2258.5</v>
      </c>
      <c r="X375" s="6" t="n">
        <f aca="false">X374+V375</f>
        <v>307917.6</v>
      </c>
      <c r="Y375" s="6" t="n">
        <f aca="false">Y374+V375</f>
        <v>38700.8</v>
      </c>
      <c r="AA375" s="6" t="n">
        <v>14.7903137257729</v>
      </c>
    </row>
    <row r="376" s="6" customFormat="true" ht="15" hidden="false" customHeight="false" outlineLevel="0" collapsed="false">
      <c r="A376" s="53" t="s">
        <v>64</v>
      </c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</sheetData>
  <mergeCells count="14">
    <mergeCell ref="D1:I2"/>
    <mergeCell ref="J1:U2"/>
    <mergeCell ref="V1:Z2"/>
    <mergeCell ref="P3:T3"/>
    <mergeCell ref="G4:H4"/>
    <mergeCell ref="X4:Y4"/>
    <mergeCell ref="A47:Z47"/>
    <mergeCell ref="A48:A164"/>
    <mergeCell ref="A165:A222"/>
    <mergeCell ref="A223:A271"/>
    <mergeCell ref="A293:A317"/>
    <mergeCell ref="A318:A334"/>
    <mergeCell ref="A335:A355"/>
    <mergeCell ref="A376:Z376"/>
  </mergeCells>
  <conditionalFormatting sqref="T1:T4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40.7</formula>
    </cfRule>
  </conditionalFormatting>
  <conditionalFormatting sqref="T5:T376">
    <cfRule type="cellIs" priority="4" operator="equal" aboveAverage="0" equalAverage="0" bottom="0" percent="0" rank="0" text="" dxfId="2">
      <formula>0</formula>
    </cfRule>
    <cfRule type="cellIs" priority="5" operator="lessThanOrEqual" aboveAverage="0" equalAverage="0" bottom="0" percent="0" rank="0" text="" dxfId="3">
      <formula>40.7</formula>
    </cfRule>
  </conditionalFormatting>
  <conditionalFormatting sqref="S48:S375">
    <cfRule type="cellIs" priority="6" operator="lessThanOrEqual" aboveAverage="0" equalAverage="0" bottom="0" percent="0" rank="0" text="" dxfId="4">
      <formula>0</formula>
    </cfRule>
  </conditionalFormatting>
  <conditionalFormatting sqref="V48:V375">
    <cfRule type="cellIs" priority="7" operator="lessThan" aboveAverage="0" equalAverage="0" bottom="0" percent="0" rank="0" text="" dxfId="5">
      <formula>900</formula>
    </cfRule>
  </conditionalFormatting>
  <conditionalFormatting sqref="N5:N46 N48:N375">
    <cfRule type="cellIs" priority="8" operator="lessThanOrEqual" aboveAverage="0" equalAverage="0" bottom="0" percent="0" rank="0" text="" dxfId="6">
      <formula>0</formula>
    </cfRule>
  </conditionalFormatting>
  <conditionalFormatting sqref="D5:F46 D48:F375 I55 I57 I59 I61 I178 I174 I172 I176 I230 I232 I234 I236 I279 I281 I283 I285 I300 I302 I304 I306 I325 I327 I329 I331 I342 I344 I346 I348">
    <cfRule type="cellIs" priority="9" operator="greaterThanOrEqual" aboveAverage="0" equalAverage="0" bottom="0" percent="0" rank="0" text="" dxfId="7">
      <formula>25</formula>
    </cfRule>
    <cfRule type="cellIs" priority="10" operator="greaterThanOrEqual" aboveAverage="0" equalAverage="0" bottom="0" percent="0" rank="0" text="" dxfId="8">
      <formula>25</formula>
    </cfRule>
    <cfRule type="cellIs" priority="11" operator="between" aboveAverage="0" equalAverage="0" bottom="0" percent="0" rank="0" text="" dxfId="9">
      <formula>0</formula>
      <formula>5</formula>
    </cfRule>
    <cfRule type="cellIs" priority="12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4" topLeftCell="D202" activePane="bottomRight" state="frozen"/>
      <selection pane="topLeft" activeCell="A1" activeCellId="0" sqref="A1"/>
      <selection pane="topRight" activeCell="D1" activeCellId="0" sqref="D1"/>
      <selection pane="bottomLeft" activeCell="A202" activeCellId="0" sqref="A202"/>
      <selection pane="bottomRight" activeCell="Y238" activeCellId="0" sqref="Y238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 t="s">
        <v>3</v>
      </c>
      <c r="Q3" s="2"/>
      <c r="R3" s="2"/>
      <c r="S3" s="2"/>
      <c r="T3" s="2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4" t="s">
        <v>9</v>
      </c>
      <c r="H4" s="4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5" t="s">
        <v>21</v>
      </c>
      <c r="U4" s="1" t="s">
        <v>10</v>
      </c>
      <c r="V4" s="1" t="s">
        <v>22</v>
      </c>
      <c r="W4" s="1" t="s">
        <v>23</v>
      </c>
      <c r="X4" s="4" t="s">
        <v>65</v>
      </c>
      <c r="Y4" s="4"/>
      <c r="Z4" s="1" t="s">
        <v>10</v>
      </c>
    </row>
    <row r="5" s="6" customFormat="true" ht="15" hidden="false" customHeight="false" outlineLevel="0" collapsed="false">
      <c r="C5" s="7" t="n">
        <v>41122</v>
      </c>
      <c r="D5" s="6" t="n">
        <v>22.7</v>
      </c>
      <c r="E5" s="6" t="n">
        <v>15.7</v>
      </c>
      <c r="F5" s="6" t="n">
        <v>28.1</v>
      </c>
      <c r="J5" s="6" t="n">
        <v>3.1</v>
      </c>
      <c r="L5" s="6" t="n">
        <v>3.4</v>
      </c>
      <c r="N5" s="6" t="n">
        <v>-0.3</v>
      </c>
      <c r="O5" s="6" t="n">
        <v>0</v>
      </c>
      <c r="V5" s="6" t="n">
        <v>1519</v>
      </c>
    </row>
    <row r="6" s="6" customFormat="true" ht="15" hidden="false" customHeight="false" outlineLevel="0" collapsed="false">
      <c r="C6" s="7" t="n">
        <v>41123</v>
      </c>
      <c r="D6" s="6" t="n">
        <v>21.2</v>
      </c>
      <c r="E6" s="6" t="n">
        <v>18.1</v>
      </c>
      <c r="F6" s="6" t="n">
        <v>24.8</v>
      </c>
      <c r="J6" s="6" t="n">
        <v>0</v>
      </c>
      <c r="L6" s="6" t="n">
        <v>3.8</v>
      </c>
      <c r="N6" s="6" t="n">
        <v>-3.8</v>
      </c>
      <c r="O6" s="6" t="n">
        <v>0</v>
      </c>
      <c r="V6" s="6" t="n">
        <v>1754.9</v>
      </c>
    </row>
    <row r="7" s="6" customFormat="true" ht="15" hidden="false" customHeight="false" outlineLevel="0" collapsed="false">
      <c r="C7" s="7" t="n">
        <v>41124</v>
      </c>
      <c r="D7" s="6" t="n">
        <v>21</v>
      </c>
      <c r="E7" s="6" t="n">
        <v>16</v>
      </c>
      <c r="F7" s="6" t="n">
        <v>25</v>
      </c>
      <c r="J7" s="6" t="n">
        <v>0</v>
      </c>
      <c r="L7" s="6" t="n">
        <v>2.9</v>
      </c>
      <c r="N7" s="6" t="n">
        <v>-2.9</v>
      </c>
      <c r="O7" s="6" t="n">
        <v>0</v>
      </c>
      <c r="V7" s="6" t="n">
        <v>1476.6</v>
      </c>
    </row>
    <row r="8" s="6" customFormat="true" ht="15" hidden="false" customHeight="false" outlineLevel="0" collapsed="false">
      <c r="C8" s="7" t="n">
        <v>41125</v>
      </c>
      <c r="D8" s="6" t="n">
        <v>21.6</v>
      </c>
      <c r="E8" s="6" t="n">
        <v>16.7</v>
      </c>
      <c r="F8" s="6" t="n">
        <v>27</v>
      </c>
      <c r="J8" s="6" t="n">
        <v>0.1</v>
      </c>
      <c r="L8" s="6" t="n">
        <v>3.1</v>
      </c>
      <c r="N8" s="6" t="n">
        <v>-3</v>
      </c>
      <c r="O8" s="6" t="n">
        <v>0</v>
      </c>
      <c r="V8" s="6" t="n">
        <v>1546.1</v>
      </c>
    </row>
    <row r="9" s="6" customFormat="true" ht="15" hidden="false" customHeight="false" outlineLevel="0" collapsed="false">
      <c r="C9" s="7" t="n">
        <v>41126</v>
      </c>
      <c r="D9" s="6" t="n">
        <v>20.6</v>
      </c>
      <c r="E9" s="6" t="n">
        <v>16.5</v>
      </c>
      <c r="F9" s="6" t="n">
        <v>25</v>
      </c>
      <c r="J9" s="6" t="n">
        <v>7.5</v>
      </c>
      <c r="L9" s="6" t="n">
        <v>2.5</v>
      </c>
      <c r="N9" s="6" t="n">
        <v>5</v>
      </c>
      <c r="O9" s="6" t="n">
        <f aca="false">O8+N9</f>
        <v>5</v>
      </c>
      <c r="V9" s="6" t="n">
        <v>1230.1</v>
      </c>
    </row>
    <row r="10" s="6" customFormat="true" ht="15" hidden="false" customHeight="false" outlineLevel="0" collapsed="false">
      <c r="C10" s="7" t="n">
        <v>41127</v>
      </c>
      <c r="D10" s="6" t="n">
        <v>18.1</v>
      </c>
      <c r="E10" s="6" t="n">
        <v>14.9</v>
      </c>
      <c r="F10" s="6" t="n">
        <v>20.5</v>
      </c>
      <c r="J10" s="6" t="n">
        <v>1</v>
      </c>
      <c r="L10" s="6" t="n">
        <v>2.4</v>
      </c>
      <c r="N10" s="6" t="n">
        <v>-1.4</v>
      </c>
      <c r="O10" s="6" t="n">
        <f aca="false">O9+N10</f>
        <v>3.6</v>
      </c>
      <c r="V10" s="6" t="n">
        <v>1313.4</v>
      </c>
    </row>
    <row r="11" s="6" customFormat="true" ht="15" hidden="false" customHeight="false" outlineLevel="0" collapsed="false">
      <c r="C11" s="7" t="n">
        <v>41128</v>
      </c>
      <c r="D11" s="6" t="n">
        <v>18.2</v>
      </c>
      <c r="E11" s="6" t="n">
        <v>13.9</v>
      </c>
      <c r="F11" s="6" t="n">
        <v>22.7</v>
      </c>
      <c r="J11" s="6" t="n">
        <v>0</v>
      </c>
      <c r="L11" s="6" t="n">
        <v>4.3</v>
      </c>
      <c r="N11" s="6" t="n">
        <v>-4.3</v>
      </c>
      <c r="O11" s="6" t="n">
        <v>0</v>
      </c>
      <c r="V11" s="6" t="n">
        <v>2417.1</v>
      </c>
    </row>
    <row r="12" s="6" customFormat="true" ht="15" hidden="false" customHeight="false" outlineLevel="0" collapsed="false">
      <c r="C12" s="7" t="n">
        <v>41129</v>
      </c>
      <c r="D12" s="6" t="n">
        <v>19.5</v>
      </c>
      <c r="E12" s="6" t="n">
        <v>13.6</v>
      </c>
      <c r="F12" s="6" t="n">
        <v>25</v>
      </c>
      <c r="J12" s="6" t="n">
        <v>0</v>
      </c>
      <c r="L12" s="6" t="n">
        <v>4.7</v>
      </c>
      <c r="N12" s="6" t="n">
        <v>-4.7</v>
      </c>
      <c r="O12" s="6" t="n">
        <v>0</v>
      </c>
      <c r="V12" s="6" t="n">
        <v>2489</v>
      </c>
    </row>
    <row r="13" s="6" customFormat="true" ht="15" hidden="false" customHeight="false" outlineLevel="0" collapsed="false">
      <c r="C13" s="7" t="n">
        <v>41130</v>
      </c>
      <c r="D13" s="6" t="n">
        <v>21.4</v>
      </c>
      <c r="E13" s="6" t="n">
        <v>16</v>
      </c>
      <c r="F13" s="6" t="n">
        <v>27.2</v>
      </c>
      <c r="J13" s="6" t="n">
        <v>0</v>
      </c>
      <c r="L13" s="6" t="n">
        <v>5.4</v>
      </c>
      <c r="N13" s="6" t="n">
        <v>-5.4</v>
      </c>
      <c r="O13" s="6" t="n">
        <v>0</v>
      </c>
      <c r="V13" s="6" t="n">
        <v>2561.7</v>
      </c>
    </row>
    <row r="14" s="6" customFormat="true" ht="15" hidden="false" customHeight="false" outlineLevel="0" collapsed="false">
      <c r="C14" s="7" t="n">
        <v>41131</v>
      </c>
      <c r="D14" s="6" t="n">
        <v>21.5</v>
      </c>
      <c r="E14" s="6" t="n">
        <v>16.8</v>
      </c>
      <c r="F14" s="6" t="n">
        <v>27.3</v>
      </c>
      <c r="J14" s="6" t="n">
        <v>0</v>
      </c>
      <c r="L14" s="6" t="n">
        <v>6.6</v>
      </c>
      <c r="N14" s="6" t="n">
        <v>-6.6</v>
      </c>
      <c r="O14" s="6" t="n">
        <v>0</v>
      </c>
      <c r="V14" s="6" t="n">
        <v>2875.6</v>
      </c>
    </row>
    <row r="15" s="6" customFormat="true" ht="15" hidden="false" customHeight="false" outlineLevel="0" collapsed="false">
      <c r="C15" s="7" t="n">
        <v>41132</v>
      </c>
      <c r="D15" s="6" t="n">
        <v>21.3</v>
      </c>
      <c r="E15" s="6" t="n">
        <v>14.4</v>
      </c>
      <c r="F15" s="6" t="n">
        <v>27.9</v>
      </c>
      <c r="J15" s="6" t="n">
        <v>0</v>
      </c>
      <c r="L15" s="6" t="n">
        <v>6.3</v>
      </c>
      <c r="N15" s="6" t="n">
        <v>-6.3</v>
      </c>
      <c r="O15" s="6" t="n">
        <v>0</v>
      </c>
      <c r="V15" s="6" t="n">
        <v>2861.1</v>
      </c>
    </row>
    <row r="16" s="6" customFormat="true" ht="15" hidden="false" customHeight="false" outlineLevel="0" collapsed="false">
      <c r="C16" s="7" t="n">
        <v>41133</v>
      </c>
      <c r="D16" s="6" t="n">
        <v>19.6</v>
      </c>
      <c r="E16" s="6" t="n">
        <v>13.3</v>
      </c>
      <c r="F16" s="6" t="n">
        <v>25.6</v>
      </c>
      <c r="J16" s="6" t="n">
        <v>0.2</v>
      </c>
      <c r="L16" s="6" t="n">
        <v>3.2</v>
      </c>
      <c r="N16" s="6" t="n">
        <v>-3</v>
      </c>
      <c r="O16" s="6" t="n">
        <v>0</v>
      </c>
      <c r="V16" s="6" t="n">
        <v>1770.3</v>
      </c>
    </row>
    <row r="17" s="6" customFormat="true" ht="15" hidden="false" customHeight="false" outlineLevel="0" collapsed="false">
      <c r="C17" s="7" t="n">
        <v>41134</v>
      </c>
      <c r="D17" s="6" t="n">
        <v>20.7</v>
      </c>
      <c r="E17" s="6" t="n">
        <v>14</v>
      </c>
      <c r="F17" s="6" t="n">
        <v>27</v>
      </c>
      <c r="J17" s="6" t="n">
        <v>0</v>
      </c>
      <c r="L17" s="6" t="n">
        <v>2.3</v>
      </c>
      <c r="N17" s="6" t="n">
        <v>-2.3</v>
      </c>
      <c r="O17" s="6" t="n">
        <v>0</v>
      </c>
      <c r="V17" s="6" t="n">
        <v>1430.9</v>
      </c>
    </row>
    <row r="18" s="6" customFormat="true" ht="15" hidden="false" customHeight="false" outlineLevel="0" collapsed="false">
      <c r="C18" s="7" t="n">
        <v>41135</v>
      </c>
      <c r="D18" s="6" t="n">
        <v>22.8</v>
      </c>
      <c r="E18" s="6" t="n">
        <v>15.1</v>
      </c>
      <c r="F18" s="6" t="n">
        <v>28.1</v>
      </c>
      <c r="J18" s="6" t="n">
        <v>0</v>
      </c>
      <c r="L18" s="6" t="n">
        <v>2</v>
      </c>
      <c r="N18" s="6" t="n">
        <v>-2</v>
      </c>
      <c r="O18" s="6" t="n">
        <v>0</v>
      </c>
      <c r="V18" s="6" t="n">
        <v>1098.5</v>
      </c>
    </row>
    <row r="19" s="6" customFormat="true" ht="15" hidden="false" customHeight="false" outlineLevel="0" collapsed="false">
      <c r="C19" s="7" t="n">
        <v>41136</v>
      </c>
      <c r="D19" s="6" t="n">
        <v>21.8</v>
      </c>
      <c r="E19" s="6" t="n">
        <v>17</v>
      </c>
      <c r="F19" s="6" t="n">
        <v>30.8</v>
      </c>
      <c r="J19" s="6" t="n">
        <v>15.7</v>
      </c>
      <c r="L19" s="6" t="n">
        <v>4.8</v>
      </c>
      <c r="N19" s="6" t="n">
        <v>10.9</v>
      </c>
      <c r="O19" s="6" t="n">
        <f aca="false">O18+N19</f>
        <v>10.9</v>
      </c>
      <c r="V19" s="6" t="n">
        <v>1694</v>
      </c>
    </row>
    <row r="20" s="6" customFormat="true" ht="15" hidden="false" customHeight="false" outlineLevel="0" collapsed="false">
      <c r="C20" s="7" t="n">
        <v>41137</v>
      </c>
      <c r="D20" s="6" t="n">
        <v>19.5</v>
      </c>
      <c r="E20" s="6" t="n">
        <v>15.8</v>
      </c>
      <c r="F20" s="6" t="n">
        <v>23.7</v>
      </c>
      <c r="J20" s="6" t="n">
        <v>0</v>
      </c>
      <c r="L20" s="6" t="n">
        <v>4.1</v>
      </c>
      <c r="N20" s="6" t="n">
        <v>-4.1</v>
      </c>
      <c r="O20" s="6" t="n">
        <f aca="false">O19+N20</f>
        <v>6.8</v>
      </c>
      <c r="V20" s="6" t="n">
        <v>2368.1</v>
      </c>
    </row>
    <row r="21" s="6" customFormat="true" ht="15" hidden="false" customHeight="false" outlineLevel="0" collapsed="false">
      <c r="C21" s="7" t="n">
        <v>41138</v>
      </c>
      <c r="D21" s="6" t="n">
        <v>21.3</v>
      </c>
      <c r="E21" s="6" t="n">
        <v>14.2</v>
      </c>
      <c r="F21" s="6" t="n">
        <v>27.4</v>
      </c>
      <c r="J21" s="6" t="n">
        <v>0</v>
      </c>
      <c r="L21" s="6" t="n">
        <v>4.3</v>
      </c>
      <c r="N21" s="6" t="n">
        <v>-4.3</v>
      </c>
      <c r="O21" s="6" t="n">
        <f aca="false">O20+N21</f>
        <v>2.5</v>
      </c>
      <c r="V21" s="6" t="n">
        <v>2315.7</v>
      </c>
    </row>
    <row r="22" s="6" customFormat="true" ht="15" hidden="false" customHeight="false" outlineLevel="0" collapsed="false">
      <c r="C22" s="7" t="n">
        <v>41139</v>
      </c>
      <c r="D22" s="6" t="n">
        <v>24.1</v>
      </c>
      <c r="E22" s="6" t="n">
        <v>17.2</v>
      </c>
      <c r="F22" s="6" t="n">
        <v>30.8</v>
      </c>
      <c r="J22" s="6" t="n">
        <v>0</v>
      </c>
      <c r="L22" s="6" t="n">
        <v>5.7</v>
      </c>
      <c r="N22" s="6" t="n">
        <v>-5.7</v>
      </c>
      <c r="O22" s="6" t="n">
        <v>0</v>
      </c>
      <c r="V22" s="6" t="n">
        <v>2631.8</v>
      </c>
    </row>
    <row r="23" s="6" customFormat="true" ht="15" hidden="false" customHeight="false" outlineLevel="0" collapsed="false">
      <c r="C23" s="7" t="n">
        <v>41140</v>
      </c>
      <c r="D23" s="6" t="n">
        <v>25.7</v>
      </c>
      <c r="E23" s="6" t="n">
        <v>18.3</v>
      </c>
      <c r="F23" s="6" t="n">
        <v>34.5</v>
      </c>
      <c r="J23" s="6" t="n">
        <v>0</v>
      </c>
      <c r="L23" s="6" t="n">
        <v>6.2</v>
      </c>
      <c r="N23" s="6" t="n">
        <v>-6.2</v>
      </c>
      <c r="O23" s="6" t="n">
        <v>0</v>
      </c>
      <c r="V23" s="6" t="n">
        <v>2522.7</v>
      </c>
    </row>
    <row r="24" s="6" customFormat="true" ht="15" hidden="false" customHeight="false" outlineLevel="0" collapsed="false">
      <c r="C24" s="7" t="n">
        <v>41141</v>
      </c>
      <c r="D24" s="6" t="n">
        <v>22.8</v>
      </c>
      <c r="E24" s="6" t="n">
        <v>19.9</v>
      </c>
      <c r="F24" s="6" t="n">
        <v>26.5</v>
      </c>
      <c r="J24" s="6" t="n">
        <v>1</v>
      </c>
      <c r="L24" s="6" t="n">
        <v>1.4</v>
      </c>
      <c r="N24" s="6" t="n">
        <v>-0.4</v>
      </c>
      <c r="O24" s="6" t="n">
        <v>0</v>
      </c>
      <c r="V24" s="6" t="n">
        <v>890</v>
      </c>
    </row>
    <row r="25" s="6" customFormat="true" ht="15" hidden="false" customHeight="false" outlineLevel="0" collapsed="false">
      <c r="C25" s="7" t="n">
        <v>41142</v>
      </c>
      <c r="D25" s="6" t="n">
        <v>24.2</v>
      </c>
      <c r="E25" s="6" t="n">
        <v>17.8</v>
      </c>
      <c r="F25" s="6" t="n">
        <v>31.5</v>
      </c>
      <c r="J25" s="6" t="n">
        <v>0</v>
      </c>
      <c r="L25" s="6" t="n">
        <v>4.3</v>
      </c>
      <c r="N25" s="6" t="n">
        <v>-4.3</v>
      </c>
      <c r="O25" s="6" t="n">
        <v>0</v>
      </c>
      <c r="V25" s="6" t="n">
        <v>1852.9</v>
      </c>
    </row>
    <row r="26" s="6" customFormat="true" ht="15" hidden="false" customHeight="false" outlineLevel="0" collapsed="false">
      <c r="C26" s="7" t="n">
        <v>41143</v>
      </c>
      <c r="D26" s="6" t="n">
        <v>22.7</v>
      </c>
      <c r="E26" s="6" t="n">
        <v>18.9</v>
      </c>
      <c r="F26" s="6" t="n">
        <v>27.9</v>
      </c>
      <c r="J26" s="6" t="n">
        <v>0</v>
      </c>
      <c r="L26" s="6" t="n">
        <v>4.1</v>
      </c>
      <c r="N26" s="6" t="n">
        <v>-4.1</v>
      </c>
      <c r="O26" s="6" t="n">
        <v>0</v>
      </c>
      <c r="V26" s="6" t="n">
        <v>1575.9</v>
      </c>
    </row>
    <row r="27" s="6" customFormat="true" ht="15" hidden="false" customHeight="false" outlineLevel="0" collapsed="false">
      <c r="C27" s="7" t="n">
        <v>41144</v>
      </c>
      <c r="D27" s="6" t="n">
        <v>22.2</v>
      </c>
      <c r="E27" s="6" t="n">
        <v>17.4</v>
      </c>
      <c r="F27" s="6" t="n">
        <v>27.9</v>
      </c>
      <c r="J27" s="6" t="n">
        <v>5.3</v>
      </c>
      <c r="L27" s="6" t="n">
        <v>3.8</v>
      </c>
      <c r="N27" s="6" t="n">
        <v>1.5</v>
      </c>
      <c r="O27" s="6" t="n">
        <f aca="false">O26+N27</f>
        <v>1.5</v>
      </c>
      <c r="V27" s="6" t="n">
        <v>1183.5</v>
      </c>
    </row>
    <row r="28" s="6" customFormat="true" ht="15" hidden="false" customHeight="false" outlineLevel="0" collapsed="false">
      <c r="C28" s="7" t="n">
        <v>41145</v>
      </c>
      <c r="D28" s="6" t="n">
        <v>19</v>
      </c>
      <c r="E28" s="6" t="n">
        <v>19.3</v>
      </c>
      <c r="F28" s="6" t="n">
        <v>19.5</v>
      </c>
      <c r="J28" s="6" t="n">
        <v>6.3</v>
      </c>
      <c r="L28" s="6" t="n">
        <v>1.3</v>
      </c>
      <c r="N28" s="6" t="n">
        <v>5</v>
      </c>
      <c r="O28" s="6" t="n">
        <f aca="false">O27+N28</f>
        <v>6.5</v>
      </c>
      <c r="V28" s="6" t="n">
        <v>471.3</v>
      </c>
    </row>
    <row r="29" s="6" customFormat="true" ht="15" hidden="false" customHeight="false" outlineLevel="0" collapsed="false">
      <c r="C29" s="7" t="n">
        <v>41146</v>
      </c>
      <c r="D29" s="6" t="n">
        <v>17.6</v>
      </c>
      <c r="E29" s="6" t="n">
        <v>16.8</v>
      </c>
      <c r="F29" s="6" t="n">
        <v>20</v>
      </c>
      <c r="J29" s="6" t="n">
        <v>1.6</v>
      </c>
      <c r="L29" s="6" t="n">
        <v>2.7</v>
      </c>
      <c r="N29" s="6" t="n">
        <v>-1.1</v>
      </c>
      <c r="O29" s="6" t="n">
        <f aca="false">O28+N29</f>
        <v>5.4</v>
      </c>
      <c r="V29" s="6" t="n">
        <v>1448.3</v>
      </c>
    </row>
    <row r="30" s="6" customFormat="true" ht="15" hidden="false" customHeight="false" outlineLevel="0" collapsed="false">
      <c r="C30" s="7" t="n">
        <v>41147</v>
      </c>
      <c r="D30" s="6" t="n">
        <v>16.2</v>
      </c>
      <c r="E30" s="6" t="n">
        <v>13.4</v>
      </c>
      <c r="F30" s="6" t="n">
        <v>19.2</v>
      </c>
      <c r="J30" s="6" t="n">
        <v>0.1</v>
      </c>
      <c r="L30" s="6" t="n">
        <v>1.9</v>
      </c>
      <c r="N30" s="6" t="n">
        <v>-1.8</v>
      </c>
      <c r="O30" s="6" t="n">
        <f aca="false">O29+N30</f>
        <v>3.6</v>
      </c>
      <c r="V30" s="6" t="n">
        <v>933.3</v>
      </c>
    </row>
    <row r="31" s="6" customFormat="true" ht="15" hidden="false" customHeight="false" outlineLevel="0" collapsed="false">
      <c r="C31" s="7" t="n">
        <v>41148</v>
      </c>
      <c r="D31" s="6" t="n">
        <v>17.4</v>
      </c>
      <c r="E31" s="6" t="n">
        <v>11.4</v>
      </c>
      <c r="F31" s="6" t="n">
        <v>25.5</v>
      </c>
      <c r="J31" s="6" t="n">
        <v>0</v>
      </c>
      <c r="L31" s="6" t="n">
        <v>3.9</v>
      </c>
      <c r="N31" s="6" t="n">
        <v>-3.9</v>
      </c>
      <c r="O31" s="6" t="n">
        <v>0</v>
      </c>
      <c r="V31" s="6" t="n">
        <v>2167.9</v>
      </c>
    </row>
    <row r="32" s="6" customFormat="true" ht="15" hidden="false" customHeight="false" outlineLevel="0" collapsed="false">
      <c r="C32" s="7" t="n">
        <v>41149</v>
      </c>
      <c r="D32" s="6" t="n">
        <v>17</v>
      </c>
      <c r="E32" s="6" t="n">
        <v>13</v>
      </c>
      <c r="F32" s="6" t="n">
        <v>21.3</v>
      </c>
      <c r="J32" s="6" t="n">
        <v>1.7</v>
      </c>
      <c r="L32" s="6" t="n">
        <v>1.6</v>
      </c>
      <c r="N32" s="6" t="n">
        <v>0.0999999999999999</v>
      </c>
      <c r="O32" s="6" t="n">
        <f aca="false">O31+N32</f>
        <v>0.0999999999999999</v>
      </c>
      <c r="V32" s="6" t="n">
        <v>1060.7</v>
      </c>
    </row>
    <row r="33" s="6" customFormat="true" ht="15" hidden="false" customHeight="false" outlineLevel="0" collapsed="false">
      <c r="C33" s="7" t="n">
        <v>41150</v>
      </c>
      <c r="D33" s="6" t="n">
        <v>20.3</v>
      </c>
      <c r="E33" s="6" t="n">
        <v>14.5</v>
      </c>
      <c r="F33" s="6" t="n">
        <v>26.7</v>
      </c>
      <c r="J33" s="6" t="n">
        <v>6.6</v>
      </c>
      <c r="L33" s="6" t="n">
        <v>3.3</v>
      </c>
      <c r="N33" s="6" t="n">
        <v>3.3</v>
      </c>
      <c r="O33" s="6" t="n">
        <f aca="false">O32+N33</f>
        <v>3.4</v>
      </c>
      <c r="V33" s="6" t="n">
        <v>1595.3</v>
      </c>
    </row>
    <row r="34" s="6" customFormat="true" ht="15" hidden="false" customHeight="false" outlineLevel="0" collapsed="false">
      <c r="C34" s="7" t="n">
        <v>41151</v>
      </c>
      <c r="D34" s="6" t="n">
        <v>18.8</v>
      </c>
      <c r="E34" s="6" t="n">
        <v>17.6</v>
      </c>
      <c r="F34" s="6" t="n">
        <v>22.4</v>
      </c>
      <c r="J34" s="6" t="n">
        <v>0.2</v>
      </c>
      <c r="L34" s="6" t="n">
        <v>2.3</v>
      </c>
      <c r="N34" s="6" t="n">
        <v>-2.1</v>
      </c>
      <c r="O34" s="6" t="n">
        <f aca="false">O33+N34</f>
        <v>1.3</v>
      </c>
      <c r="V34" s="6" t="n">
        <v>1032.2</v>
      </c>
    </row>
    <row r="35" s="6" customFormat="true" ht="15" hidden="false" customHeight="false" outlineLevel="0" collapsed="false">
      <c r="C35" s="7" t="n">
        <v>41152</v>
      </c>
      <c r="D35" s="6" t="n">
        <v>14.3</v>
      </c>
      <c r="E35" s="6" t="n">
        <v>12.5</v>
      </c>
      <c r="F35" s="6" t="n">
        <v>15.5</v>
      </c>
      <c r="J35" s="6" t="n">
        <v>0.4</v>
      </c>
      <c r="L35" s="6" t="n">
        <v>1.7</v>
      </c>
      <c r="N35" s="6" t="n">
        <v>-1.3</v>
      </c>
      <c r="O35" s="6" t="n">
        <f aca="false">O34+N35</f>
        <v>0</v>
      </c>
      <c r="V35" s="6" t="n">
        <v>892.4</v>
      </c>
    </row>
    <row r="36" s="6" customFormat="true" ht="15" hidden="false" customHeight="false" outlineLevel="0" collapsed="false">
      <c r="C36" s="7" t="n">
        <v>41153</v>
      </c>
      <c r="D36" s="6" t="n">
        <v>13.8</v>
      </c>
      <c r="E36" s="6" t="n">
        <v>9.9</v>
      </c>
      <c r="F36" s="6" t="n">
        <v>16.5</v>
      </c>
      <c r="J36" s="6" t="n">
        <v>0</v>
      </c>
      <c r="L36" s="6" t="n">
        <v>2.1</v>
      </c>
      <c r="N36" s="6" t="n">
        <v>-2.1</v>
      </c>
      <c r="O36" s="6" t="n">
        <v>0</v>
      </c>
      <c r="V36" s="6" t="n">
        <v>965.1</v>
      </c>
    </row>
    <row r="37" s="6" customFormat="true" ht="15" hidden="false" customHeight="false" outlineLevel="0" collapsed="false">
      <c r="C37" s="7" t="n">
        <v>41154</v>
      </c>
      <c r="D37" s="6" t="n">
        <v>17.9</v>
      </c>
      <c r="E37" s="6" t="n">
        <v>14.2</v>
      </c>
      <c r="F37" s="6" t="n">
        <v>22.5</v>
      </c>
      <c r="J37" s="6" t="n">
        <v>0</v>
      </c>
      <c r="L37" s="6" t="n">
        <v>2.9</v>
      </c>
      <c r="N37" s="6" t="n">
        <v>-2.9</v>
      </c>
      <c r="O37" s="6" t="n">
        <v>0</v>
      </c>
      <c r="V37" s="6" t="n">
        <v>822.2</v>
      </c>
    </row>
    <row r="38" s="6" customFormat="true" ht="15" hidden="false" customHeight="false" outlineLevel="0" collapsed="false">
      <c r="A38" s="8"/>
      <c r="B38" s="8"/>
      <c r="C38" s="9" t="n">
        <v>41155</v>
      </c>
      <c r="D38" s="6" t="n">
        <v>20.2</v>
      </c>
      <c r="E38" s="6" t="n">
        <v>15.3</v>
      </c>
      <c r="F38" s="6" t="n">
        <v>24.8</v>
      </c>
      <c r="J38" s="6" t="n">
        <v>0</v>
      </c>
      <c r="L38" s="6" t="n">
        <v>4.6</v>
      </c>
      <c r="N38" s="6" t="n">
        <v>-4.6</v>
      </c>
      <c r="O38" s="6" t="n">
        <v>0</v>
      </c>
      <c r="P38" s="8"/>
      <c r="Q38" s="8"/>
      <c r="R38" s="8"/>
      <c r="S38" s="8"/>
      <c r="T38" s="6" t="n">
        <v>0</v>
      </c>
      <c r="U38" s="6" t="s">
        <v>26</v>
      </c>
      <c r="V38" s="6" t="n">
        <v>1506.5</v>
      </c>
    </row>
    <row r="39" s="6" customFormat="true" ht="15" hidden="false" customHeight="false" outlineLevel="0" collapsed="false">
      <c r="C39" s="7" t="n">
        <v>41156</v>
      </c>
      <c r="D39" s="6" t="n">
        <v>21.3</v>
      </c>
      <c r="E39" s="6" t="n">
        <v>15.8</v>
      </c>
      <c r="F39" s="6" t="n">
        <v>27.1</v>
      </c>
      <c r="J39" s="6" t="n">
        <v>0</v>
      </c>
      <c r="L39" s="6" t="n">
        <v>5</v>
      </c>
      <c r="N39" s="6" t="n">
        <v>-5</v>
      </c>
      <c r="O39" s="6" t="n">
        <v>0</v>
      </c>
      <c r="T39" s="6" t="n">
        <v>0</v>
      </c>
      <c r="V39" s="6" t="n">
        <v>1720.1</v>
      </c>
    </row>
    <row r="40" s="6" customFormat="true" ht="15" hidden="false" customHeight="false" outlineLevel="0" collapsed="false">
      <c r="C40" s="7" t="n">
        <v>41157</v>
      </c>
      <c r="D40" s="6" t="n">
        <v>20.8</v>
      </c>
      <c r="E40" s="6" t="n">
        <v>15.9</v>
      </c>
      <c r="F40" s="6" t="n">
        <v>26.6</v>
      </c>
      <c r="J40" s="6" t="n">
        <v>0</v>
      </c>
      <c r="L40" s="6" t="n">
        <v>4.3</v>
      </c>
      <c r="N40" s="6" t="n">
        <v>-4.3</v>
      </c>
      <c r="O40" s="6" t="n">
        <v>0</v>
      </c>
      <c r="T40" s="6" t="n">
        <v>0</v>
      </c>
      <c r="V40" s="6" t="n">
        <v>1625.7</v>
      </c>
    </row>
    <row r="41" s="6" customFormat="true" ht="15" hidden="false" customHeight="false" outlineLevel="0" collapsed="false">
      <c r="C41" s="7" t="n">
        <v>41158</v>
      </c>
      <c r="D41" s="6" t="n">
        <v>18.9</v>
      </c>
      <c r="E41" s="6" t="n">
        <v>13.8</v>
      </c>
      <c r="F41" s="6" t="n">
        <v>24.7</v>
      </c>
      <c r="J41" s="6" t="n">
        <v>0</v>
      </c>
      <c r="L41" s="6" t="n">
        <v>4.8</v>
      </c>
      <c r="N41" s="6" t="n">
        <v>-4.8</v>
      </c>
      <c r="O41" s="6" t="n">
        <v>0</v>
      </c>
      <c r="T41" s="6" t="n">
        <v>0</v>
      </c>
      <c r="V41" s="6" t="n">
        <v>2272.7</v>
      </c>
    </row>
    <row r="42" s="6" customFormat="true" ht="15" hidden="false" customHeight="false" outlineLevel="0" collapsed="false">
      <c r="C42" s="7" t="n">
        <v>41159</v>
      </c>
      <c r="D42" s="6" t="n">
        <v>17.8</v>
      </c>
      <c r="E42" s="6" t="n">
        <v>10.6</v>
      </c>
      <c r="F42" s="6" t="n">
        <v>25.5</v>
      </c>
      <c r="J42" s="6" t="n">
        <v>0</v>
      </c>
      <c r="L42" s="6" t="n">
        <v>4.3</v>
      </c>
      <c r="N42" s="6" t="n">
        <v>-4.3</v>
      </c>
      <c r="O42" s="6" t="n">
        <v>0</v>
      </c>
      <c r="T42" s="6" t="n">
        <v>0</v>
      </c>
      <c r="V42" s="6" t="n">
        <v>2096.9</v>
      </c>
    </row>
    <row r="43" s="6" customFormat="true" ht="15" hidden="false" customHeight="false" outlineLevel="0" collapsed="false">
      <c r="C43" s="7" t="n">
        <v>41160</v>
      </c>
      <c r="D43" s="6" t="n">
        <v>18.5</v>
      </c>
      <c r="E43" s="6" t="n">
        <v>10.4</v>
      </c>
      <c r="F43" s="6" t="n">
        <v>26.8</v>
      </c>
      <c r="J43" s="6" t="n">
        <v>0</v>
      </c>
      <c r="L43" s="6" t="n">
        <v>4.2</v>
      </c>
      <c r="N43" s="6" t="n">
        <v>-4.2</v>
      </c>
      <c r="O43" s="6" t="n">
        <v>0</v>
      </c>
      <c r="T43" s="6" t="n">
        <v>0</v>
      </c>
      <c r="V43" s="6" t="n">
        <v>2245.2</v>
      </c>
    </row>
    <row r="44" s="6" customFormat="true" ht="15" hidden="false" customHeight="false" outlineLevel="0" collapsed="false">
      <c r="C44" s="7" t="n">
        <v>41161</v>
      </c>
      <c r="D44" s="6" t="n">
        <v>20.1</v>
      </c>
      <c r="E44" s="6" t="n">
        <v>12.7</v>
      </c>
      <c r="F44" s="6" t="n">
        <v>29.9</v>
      </c>
      <c r="J44" s="6" t="n">
        <v>0</v>
      </c>
      <c r="L44" s="6" t="n">
        <v>4.8</v>
      </c>
      <c r="N44" s="6" t="n">
        <v>-4.8</v>
      </c>
      <c r="O44" s="6" t="n">
        <v>0</v>
      </c>
      <c r="T44" s="6" t="n">
        <v>0</v>
      </c>
      <c r="V44" s="6" t="n">
        <v>2167.2</v>
      </c>
    </row>
    <row r="45" s="6" customFormat="true" ht="15" hidden="false" customHeight="false" outlineLevel="0" collapsed="false">
      <c r="C45" s="7" t="n">
        <v>41162</v>
      </c>
      <c r="D45" s="6" t="n">
        <v>20</v>
      </c>
      <c r="E45" s="6" t="n">
        <v>12.2</v>
      </c>
      <c r="F45" s="6" t="n">
        <v>27.5</v>
      </c>
      <c r="J45" s="6" t="n">
        <v>0</v>
      </c>
      <c r="L45" s="6" t="n">
        <v>3.2</v>
      </c>
      <c r="N45" s="6" t="n">
        <v>-3.2</v>
      </c>
      <c r="O45" s="6" t="n">
        <v>0</v>
      </c>
      <c r="T45" s="6" t="n">
        <v>0</v>
      </c>
      <c r="V45" s="6" t="n">
        <v>1747.8</v>
      </c>
    </row>
    <row r="46" s="6" customFormat="true" ht="15" hidden="false" customHeight="false" outlineLevel="0" collapsed="false">
      <c r="C46" s="7" t="n">
        <v>41163</v>
      </c>
      <c r="D46" s="6" t="n">
        <v>20</v>
      </c>
      <c r="E46" s="6" t="n">
        <v>16.8</v>
      </c>
      <c r="F46" s="6" t="n">
        <v>25.6</v>
      </c>
      <c r="J46" s="6" t="n">
        <v>2.1</v>
      </c>
      <c r="L46" s="6" t="n">
        <v>2.6</v>
      </c>
      <c r="N46" s="6" t="n">
        <v>-0.5</v>
      </c>
      <c r="O46" s="6" t="n">
        <v>0</v>
      </c>
      <c r="T46" s="6" t="n">
        <v>0</v>
      </c>
      <c r="V46" s="6" t="n">
        <v>810</v>
      </c>
    </row>
    <row r="47" s="6" customFormat="true" ht="15" hidden="false" customHeight="false" outlineLevel="0" collapsed="false">
      <c r="A47" s="10" t="s">
        <v>27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="6" customFormat="true" ht="15" hidden="false" customHeight="true" outlineLevel="0" collapsed="false">
      <c r="A48" s="11" t="s">
        <v>28</v>
      </c>
      <c r="B48" s="12"/>
      <c r="C48" s="7" t="n">
        <v>41164</v>
      </c>
      <c r="D48" s="6" t="n">
        <v>13.5</v>
      </c>
      <c r="E48" s="6" t="n">
        <v>12.6</v>
      </c>
      <c r="F48" s="6" t="n">
        <v>15.7</v>
      </c>
      <c r="G48" s="6" t="n">
        <f aca="false">D48</f>
        <v>13.5</v>
      </c>
      <c r="I48" s="13" t="s">
        <v>29</v>
      </c>
      <c r="J48" s="6" t="n">
        <v>1.6</v>
      </c>
      <c r="K48" s="6" t="n">
        <f aca="false">J48</f>
        <v>1.6</v>
      </c>
      <c r="L48" s="6" t="n">
        <v>1.2</v>
      </c>
      <c r="M48" s="6" t="n">
        <f aca="false">L48</f>
        <v>1.2</v>
      </c>
      <c r="N48" s="6" t="n">
        <v>0.4</v>
      </c>
      <c r="O48" s="6" t="n">
        <f aca="false">O46+N48</f>
        <v>0.4</v>
      </c>
      <c r="P48" s="6" t="n">
        <v>1</v>
      </c>
      <c r="Q48" s="6" t="n">
        <v>0.35</v>
      </c>
      <c r="R48" s="14" t="n">
        <f aca="false">Q48*L48</f>
        <v>0.42</v>
      </c>
      <c r="S48" s="14" t="n">
        <f aca="false">J48-R48</f>
        <v>1.18</v>
      </c>
      <c r="T48" s="14" t="n">
        <f aca="false">T46+S48</f>
        <v>1.18</v>
      </c>
      <c r="U48" s="13" t="s">
        <v>30</v>
      </c>
      <c r="V48" s="6" t="n">
        <v>689.3</v>
      </c>
      <c r="X48" s="6" t="n">
        <f aca="false">V48</f>
        <v>689.3</v>
      </c>
      <c r="Z48" s="13" t="s">
        <v>31</v>
      </c>
      <c r="AA48" s="6" t="n">
        <v>12.8156664427709</v>
      </c>
    </row>
    <row r="49" s="6" customFormat="true" ht="15" hidden="false" customHeight="false" outlineLevel="0" collapsed="false">
      <c r="A49" s="11"/>
      <c r="B49" s="12"/>
      <c r="C49" s="7" t="n">
        <v>41165</v>
      </c>
      <c r="D49" s="6" t="n">
        <v>12.6</v>
      </c>
      <c r="E49" s="6" t="n">
        <v>9.1</v>
      </c>
      <c r="F49" s="6" t="n">
        <v>16.8</v>
      </c>
      <c r="G49" s="6" t="n">
        <f aca="false">G48+D49</f>
        <v>26.1</v>
      </c>
      <c r="I49" s="6" t="n">
        <f aca="false">MIN(E48:E164)</f>
        <v>-6.5</v>
      </c>
      <c r="J49" s="6" t="n">
        <v>0.8</v>
      </c>
      <c r="K49" s="6" t="n">
        <f aca="false">K48+J49</f>
        <v>2.4</v>
      </c>
      <c r="L49" s="6" t="n">
        <v>1.2</v>
      </c>
      <c r="M49" s="6" t="n">
        <f aca="false">M48+L49</f>
        <v>2.4</v>
      </c>
      <c r="N49" s="6" t="n">
        <v>-0.4</v>
      </c>
      <c r="O49" s="6" t="n">
        <f aca="false">O48+N49</f>
        <v>0</v>
      </c>
      <c r="P49" s="6" t="n">
        <v>2</v>
      </c>
      <c r="Q49" s="6" t="n">
        <v>0.35</v>
      </c>
      <c r="R49" s="14" t="n">
        <f aca="false">Q49*L49</f>
        <v>0.42</v>
      </c>
      <c r="S49" s="14" t="n">
        <f aca="false">J49-R49</f>
        <v>0.38</v>
      </c>
      <c r="T49" s="14" t="n">
        <f aca="false">MIN(122.1,(T48+S49))</f>
        <v>1.56</v>
      </c>
      <c r="U49" s="6" t="n">
        <v>61</v>
      </c>
      <c r="V49" s="6" t="n">
        <v>728.1</v>
      </c>
      <c r="X49" s="6" t="n">
        <f aca="false">X48+V49</f>
        <v>1417.4</v>
      </c>
      <c r="Z49" s="6" t="n">
        <v>53852.6</v>
      </c>
      <c r="AA49" s="6" t="n">
        <v>12.760012022418</v>
      </c>
    </row>
    <row r="50" s="6" customFormat="true" ht="15" hidden="false" customHeight="false" outlineLevel="0" collapsed="false">
      <c r="A50" s="11"/>
      <c r="B50" s="12"/>
      <c r="C50" s="7" t="n">
        <v>41166</v>
      </c>
      <c r="D50" s="6" t="n">
        <v>14.6</v>
      </c>
      <c r="E50" s="6" t="n">
        <v>9.8</v>
      </c>
      <c r="F50" s="6" t="n">
        <v>19.8</v>
      </c>
      <c r="G50" s="6" t="n">
        <f aca="false">G49+D50</f>
        <v>40.7</v>
      </c>
      <c r="I50" s="13" t="s">
        <v>32</v>
      </c>
      <c r="J50" s="6" t="n">
        <v>0</v>
      </c>
      <c r="K50" s="6" t="n">
        <f aca="false">K49+J50</f>
        <v>2.4</v>
      </c>
      <c r="L50" s="6" t="n">
        <v>2.6</v>
      </c>
      <c r="M50" s="6" t="n">
        <f aca="false">M49+L50</f>
        <v>5</v>
      </c>
      <c r="N50" s="6" t="n">
        <v>-2.6</v>
      </c>
      <c r="O50" s="6" t="n">
        <v>0</v>
      </c>
      <c r="P50" s="6" t="n">
        <v>3</v>
      </c>
      <c r="Q50" s="6" t="n">
        <v>0.35</v>
      </c>
      <c r="R50" s="14" t="n">
        <f aca="false">Q50*L50</f>
        <v>0.91</v>
      </c>
      <c r="S50" s="14" t="n">
        <f aca="false">J50-R50</f>
        <v>-0.91</v>
      </c>
      <c r="T50" s="14" t="n">
        <f aca="false">MIN(122.1,(T49+S50))</f>
        <v>0.65</v>
      </c>
      <c r="U50" s="13" t="s">
        <v>33</v>
      </c>
      <c r="V50" s="6" t="n">
        <v>1637</v>
      </c>
      <c r="X50" s="6" t="n">
        <f aca="false">X49+V50</f>
        <v>3054.4</v>
      </c>
      <c r="Z50" s="13" t="s">
        <v>34</v>
      </c>
      <c r="AA50" s="6" t="n">
        <v>12.7042825302381</v>
      </c>
    </row>
    <row r="51" s="6" customFormat="true" ht="15" hidden="false" customHeight="false" outlineLevel="0" collapsed="false">
      <c r="A51" s="11"/>
      <c r="B51" s="12"/>
      <c r="C51" s="7" t="n">
        <v>41167</v>
      </c>
      <c r="D51" s="6" t="n">
        <v>14.7</v>
      </c>
      <c r="E51" s="6" t="n">
        <v>10.7</v>
      </c>
      <c r="F51" s="6" t="n">
        <v>20.2</v>
      </c>
      <c r="G51" s="6" t="n">
        <f aca="false">G50+D51</f>
        <v>55.4</v>
      </c>
      <c r="I51" s="6" t="n">
        <f aca="false">MAX(F48:F164)</f>
        <v>25.1</v>
      </c>
      <c r="J51" s="6" t="n">
        <v>0</v>
      </c>
      <c r="K51" s="6" t="n">
        <f aca="false">K50+J51</f>
        <v>2.4</v>
      </c>
      <c r="L51" s="6" t="n">
        <v>2.2</v>
      </c>
      <c r="M51" s="6" t="n">
        <f aca="false">M50+L51</f>
        <v>7.2</v>
      </c>
      <c r="N51" s="6" t="n">
        <v>-2.2</v>
      </c>
      <c r="O51" s="6" t="n">
        <v>0</v>
      </c>
      <c r="P51" s="6" t="n">
        <v>4</v>
      </c>
      <c r="Q51" s="6" t="n">
        <v>0.35</v>
      </c>
      <c r="R51" s="14" t="n">
        <f aca="false">Q51*L51</f>
        <v>0.77</v>
      </c>
      <c r="S51" s="14" t="n">
        <f aca="false">J51-R51</f>
        <v>-0.77</v>
      </c>
      <c r="T51" s="14" t="n">
        <v>0</v>
      </c>
      <c r="U51" s="6" t="n">
        <v>6</v>
      </c>
      <c r="V51" s="6" t="n">
        <v>1266.5</v>
      </c>
      <c r="X51" s="6" t="n">
        <f aca="false">X50+V51</f>
        <v>4320.9</v>
      </c>
      <c r="Z51" s="6" t="n">
        <f aca="false">(Z49/100)/I61</f>
        <v>0.536808213716108</v>
      </c>
      <c r="AA51" s="6" t="n">
        <v>12.6484839908678</v>
      </c>
    </row>
    <row r="52" s="6" customFormat="true" ht="15" hidden="false" customHeight="false" outlineLevel="0" collapsed="false">
      <c r="A52" s="11"/>
      <c r="B52" s="12"/>
      <c r="C52" s="7" t="n">
        <v>41168</v>
      </c>
      <c r="D52" s="6" t="n">
        <v>15.1</v>
      </c>
      <c r="E52" s="6" t="n">
        <v>8.7</v>
      </c>
      <c r="F52" s="6" t="n">
        <v>22.8</v>
      </c>
      <c r="G52" s="6" t="n">
        <f aca="false">G51+D52</f>
        <v>70.5</v>
      </c>
      <c r="I52" s="13" t="s">
        <v>35</v>
      </c>
      <c r="J52" s="6" t="n">
        <v>0</v>
      </c>
      <c r="K52" s="6" t="n">
        <f aca="false">K51+J52</f>
        <v>2.4</v>
      </c>
      <c r="L52" s="6" t="n">
        <v>2.8</v>
      </c>
      <c r="M52" s="6" t="n">
        <f aca="false">M51+L52</f>
        <v>10</v>
      </c>
      <c r="N52" s="6" t="n">
        <v>-2.8</v>
      </c>
      <c r="O52" s="6" t="n">
        <v>0</v>
      </c>
      <c r="P52" s="6" t="n">
        <v>5</v>
      </c>
      <c r="Q52" s="6" t="n">
        <v>0.35</v>
      </c>
      <c r="R52" s="14" t="n">
        <f aca="false">Q52*L52</f>
        <v>0.98</v>
      </c>
      <c r="S52" s="14" t="n">
        <f aca="false">J52-R52</f>
        <v>-0.98</v>
      </c>
      <c r="T52" s="14" t="n">
        <v>0</v>
      </c>
      <c r="U52" s="13" t="s">
        <v>36</v>
      </c>
      <c r="V52" s="6" t="n">
        <v>1723.1</v>
      </c>
      <c r="X52" s="6" t="n">
        <f aca="false">X51+V52</f>
        <v>6044</v>
      </c>
      <c r="Z52" s="13" t="s">
        <v>37</v>
      </c>
      <c r="AA52" s="6" t="n">
        <v>12.5926223024091</v>
      </c>
    </row>
    <row r="53" s="6" customFormat="true" ht="15" hidden="false" customHeight="false" outlineLevel="0" collapsed="false">
      <c r="A53" s="11"/>
      <c r="B53" s="12"/>
      <c r="C53" s="7" t="n">
        <v>41169</v>
      </c>
      <c r="D53" s="6" t="n">
        <v>16.6</v>
      </c>
      <c r="E53" s="6" t="n">
        <v>10.7</v>
      </c>
      <c r="F53" s="6" t="n">
        <v>25.1</v>
      </c>
      <c r="G53" s="6" t="n">
        <f aca="false">G52+D53</f>
        <v>87.1</v>
      </c>
      <c r="I53" s="14" t="n">
        <f aca="false">AVERAGE(D48:D164)</f>
        <v>8.53675213675214</v>
      </c>
      <c r="J53" s="6" t="n">
        <v>0</v>
      </c>
      <c r="K53" s="6" t="n">
        <f aca="false">K52+J53</f>
        <v>2.4</v>
      </c>
      <c r="L53" s="6" t="n">
        <v>1.7</v>
      </c>
      <c r="M53" s="6" t="n">
        <f aca="false">M52+L53</f>
        <v>11.7</v>
      </c>
      <c r="N53" s="6" t="n">
        <v>-1.7</v>
      </c>
      <c r="O53" s="6" t="n">
        <v>0</v>
      </c>
      <c r="P53" s="6" t="n">
        <v>6</v>
      </c>
      <c r="Q53" s="6" t="n">
        <v>0.35</v>
      </c>
      <c r="R53" s="14" t="n">
        <f aca="false">Q53*L53</f>
        <v>0.595</v>
      </c>
      <c r="S53" s="14" t="n">
        <f aca="false">J53-R53</f>
        <v>-0.595</v>
      </c>
      <c r="T53" s="14" t="n">
        <v>0</v>
      </c>
      <c r="U53" s="6" t="n">
        <v>7</v>
      </c>
      <c r="V53" s="6" t="n">
        <v>999.5</v>
      </c>
      <c r="X53" s="6" t="n">
        <f aca="false">X52+V53</f>
        <v>7043.5</v>
      </c>
      <c r="Z53" s="6" t="n">
        <v>97</v>
      </c>
      <c r="AA53" s="6" t="n">
        <v>12.5367032516716</v>
      </c>
    </row>
    <row r="54" s="6" customFormat="true" ht="15" hidden="false" customHeight="false" outlineLevel="0" collapsed="false">
      <c r="A54" s="11"/>
      <c r="B54" s="12"/>
      <c r="C54" s="7" t="n">
        <v>41170</v>
      </c>
      <c r="D54" s="6" t="n">
        <v>16.2</v>
      </c>
      <c r="E54" s="6" t="n">
        <v>10.1</v>
      </c>
      <c r="F54" s="6" t="n">
        <v>23.1</v>
      </c>
      <c r="G54" s="6" t="n">
        <f aca="false">G53+D54</f>
        <v>103.3</v>
      </c>
      <c r="I54" s="13" t="s">
        <v>38</v>
      </c>
      <c r="J54" s="6" t="n">
        <v>0.7</v>
      </c>
      <c r="K54" s="6" t="n">
        <f aca="false">K53+J54</f>
        <v>3.1</v>
      </c>
      <c r="L54" s="6" t="n">
        <v>2</v>
      </c>
      <c r="M54" s="6" t="n">
        <f aca="false">M53+L54</f>
        <v>13.7</v>
      </c>
      <c r="N54" s="6" t="n">
        <v>-1.3</v>
      </c>
      <c r="O54" s="6" t="n">
        <v>0</v>
      </c>
      <c r="P54" s="6" t="n">
        <v>7</v>
      </c>
      <c r="Q54" s="6" t="n">
        <v>0.35</v>
      </c>
      <c r="R54" s="14" t="n">
        <f aca="false">Q54*L54</f>
        <v>0.7</v>
      </c>
      <c r="S54" s="14" t="n">
        <f aca="false">J54-R54</f>
        <v>0</v>
      </c>
      <c r="T54" s="14" t="n">
        <v>0</v>
      </c>
      <c r="U54" s="13" t="s">
        <v>39</v>
      </c>
      <c r="V54" s="6" t="n">
        <v>952.4</v>
      </c>
      <c r="X54" s="6" t="n">
        <f aca="false">X53+V54</f>
        <v>7995.9</v>
      </c>
      <c r="AA54" s="6" t="n">
        <v>12.4807325294801</v>
      </c>
    </row>
    <row r="55" s="6" customFormat="true" ht="15" hidden="false" customHeight="false" outlineLevel="0" collapsed="false">
      <c r="A55" s="11"/>
      <c r="B55" s="12"/>
      <c r="C55" s="7" t="n">
        <v>41171</v>
      </c>
      <c r="D55" s="6" t="n">
        <v>13.5</v>
      </c>
      <c r="E55" s="6" t="n">
        <v>10.6</v>
      </c>
      <c r="F55" s="6" t="n">
        <v>18</v>
      </c>
      <c r="G55" s="6" t="n">
        <f aca="false">G54+D55</f>
        <v>116.8</v>
      </c>
      <c r="I55" s="6" t="n">
        <v>12</v>
      </c>
      <c r="J55" s="6" t="n">
        <v>0</v>
      </c>
      <c r="K55" s="6" t="n">
        <f aca="false">K54+J55</f>
        <v>3.1</v>
      </c>
      <c r="L55" s="6" t="n">
        <v>3</v>
      </c>
      <c r="M55" s="6" t="n">
        <f aca="false">M54+L55</f>
        <v>16.7</v>
      </c>
      <c r="N55" s="6" t="n">
        <v>-3</v>
      </c>
      <c r="O55" s="6" t="n">
        <v>0</v>
      </c>
      <c r="P55" s="6" t="n">
        <v>8</v>
      </c>
      <c r="Q55" s="6" t="n">
        <v>0.35</v>
      </c>
      <c r="R55" s="14" t="n">
        <f aca="false">Q55*L55</f>
        <v>1.05</v>
      </c>
      <c r="S55" s="14" t="n">
        <f aca="false">J55-R55</f>
        <v>-1.05</v>
      </c>
      <c r="T55" s="14" t="n">
        <v>0</v>
      </c>
      <c r="U55" s="6" t="n">
        <v>0</v>
      </c>
      <c r="V55" s="6" t="n">
        <v>1353.3</v>
      </c>
      <c r="X55" s="6" t="n">
        <f aca="false">X54+V55</f>
        <v>9349.2</v>
      </c>
      <c r="AA55" s="6" t="n">
        <v>12.4247157460469</v>
      </c>
    </row>
    <row r="56" s="6" customFormat="true" ht="15" hidden="false" customHeight="false" outlineLevel="0" collapsed="false">
      <c r="A56" s="11"/>
      <c r="B56" s="12"/>
      <c r="C56" s="7" t="n">
        <v>41172</v>
      </c>
      <c r="D56" s="6" t="n">
        <v>11.3</v>
      </c>
      <c r="E56" s="6" t="n">
        <v>5.5</v>
      </c>
      <c r="F56" s="6" t="n">
        <v>19.1</v>
      </c>
      <c r="G56" s="6" t="n">
        <f aca="false">G55+D56</f>
        <v>128.1</v>
      </c>
      <c r="I56" s="13" t="s">
        <v>40</v>
      </c>
      <c r="J56" s="6" t="n">
        <v>0</v>
      </c>
      <c r="K56" s="6" t="n">
        <f aca="false">K55+J56</f>
        <v>3.1</v>
      </c>
      <c r="L56" s="6" t="n">
        <v>2.6</v>
      </c>
      <c r="M56" s="6" t="n">
        <f aca="false">M55+L56</f>
        <v>19.3</v>
      </c>
      <c r="N56" s="6" t="n">
        <v>-2.6</v>
      </c>
      <c r="O56" s="6" t="n">
        <v>0</v>
      </c>
      <c r="P56" s="6" t="n">
        <v>9</v>
      </c>
      <c r="Q56" s="6" t="n">
        <v>0.35</v>
      </c>
      <c r="R56" s="14" t="n">
        <f aca="false">Q56*L56</f>
        <v>0.91</v>
      </c>
      <c r="S56" s="14" t="n">
        <f aca="false">J56-R56</f>
        <v>-0.91</v>
      </c>
      <c r="T56" s="14" t="n">
        <v>0</v>
      </c>
      <c r="U56" s="13" t="s">
        <v>41</v>
      </c>
      <c r="V56" s="6" t="n">
        <v>1410.9</v>
      </c>
      <c r="X56" s="6" t="n">
        <f aca="false">X55+V56</f>
        <v>10760.1</v>
      </c>
      <c r="AA56" s="6" t="n">
        <v>12.3686584464126</v>
      </c>
    </row>
    <row r="57" s="6" customFormat="true" ht="15" hidden="false" customHeight="false" outlineLevel="0" collapsed="false">
      <c r="A57" s="11"/>
      <c r="B57" s="12"/>
      <c r="C57" s="7" t="n">
        <v>41173</v>
      </c>
      <c r="D57" s="6" t="n">
        <v>14.1</v>
      </c>
      <c r="E57" s="6" t="n">
        <v>4.7</v>
      </c>
      <c r="F57" s="6" t="n">
        <v>23</v>
      </c>
      <c r="G57" s="6" t="n">
        <f aca="false">G56+D57</f>
        <v>142.2</v>
      </c>
      <c r="I57" s="6" t="n">
        <v>1</v>
      </c>
      <c r="J57" s="6" t="n">
        <v>21.2</v>
      </c>
      <c r="K57" s="6" t="n">
        <f aca="false">K56+J57</f>
        <v>24.3</v>
      </c>
      <c r="L57" s="6" t="n">
        <v>2.6</v>
      </c>
      <c r="M57" s="6" t="n">
        <f aca="false">M56+L57</f>
        <v>21.9</v>
      </c>
      <c r="N57" s="6" t="n">
        <v>18.6</v>
      </c>
      <c r="O57" s="6" t="n">
        <f aca="false">O56+N57</f>
        <v>18.6</v>
      </c>
      <c r="P57" s="6" t="n">
        <v>10</v>
      </c>
      <c r="Q57" s="6" t="n">
        <v>0.35</v>
      </c>
      <c r="R57" s="14" t="n">
        <f aca="false">Q57*L57</f>
        <v>0.91</v>
      </c>
      <c r="S57" s="14" t="n">
        <f aca="false">J57-R57</f>
        <v>20.29</v>
      </c>
      <c r="T57" s="14" t="n">
        <f aca="false">MIN(122.1,(T56+S57))</f>
        <v>20.29</v>
      </c>
      <c r="U57" s="14" t="n">
        <f aca="false">MAX(T48:T164)</f>
        <v>122.1</v>
      </c>
      <c r="V57" s="6" t="n">
        <v>1484.6</v>
      </c>
      <c r="X57" s="6" t="n">
        <f aca="false">X56+V57</f>
        <v>12244.7</v>
      </c>
      <c r="AA57" s="6" t="n">
        <v>12.3125661259556</v>
      </c>
    </row>
    <row r="58" s="6" customFormat="true" ht="15" hidden="false" customHeight="false" outlineLevel="0" collapsed="false">
      <c r="A58" s="11"/>
      <c r="B58" s="12"/>
      <c r="C58" s="7" t="n">
        <v>41174</v>
      </c>
      <c r="D58" s="6" t="n">
        <v>13.6</v>
      </c>
      <c r="E58" s="6" t="n">
        <v>12.6</v>
      </c>
      <c r="F58" s="6" t="n">
        <v>15</v>
      </c>
      <c r="G58" s="6" t="n">
        <f aca="false">G57+D58</f>
        <v>155.8</v>
      </c>
      <c r="I58" s="13" t="s">
        <v>42</v>
      </c>
      <c r="J58" s="6" t="n">
        <v>1.8</v>
      </c>
      <c r="K58" s="6" t="n">
        <f aca="false">K57+J58</f>
        <v>26.1</v>
      </c>
      <c r="L58" s="6" t="n">
        <v>0.5</v>
      </c>
      <c r="M58" s="6" t="n">
        <f aca="false">M57+L58</f>
        <v>22.4</v>
      </c>
      <c r="N58" s="6" t="n">
        <v>1.3</v>
      </c>
      <c r="O58" s="6" t="n">
        <f aca="false">O57+N58</f>
        <v>19.9</v>
      </c>
      <c r="P58" s="6" t="n">
        <v>11</v>
      </c>
      <c r="Q58" s="6" t="n">
        <f aca="false">0.35+((P58-10)/107)*(1-0.35)</f>
        <v>0.35607476635514</v>
      </c>
      <c r="R58" s="14" t="n">
        <f aca="false">Q58*L58</f>
        <v>0.17803738317757</v>
      </c>
      <c r="S58" s="14" t="n">
        <f aca="false">J58-R58</f>
        <v>1.62196261682243</v>
      </c>
      <c r="T58" s="14" t="n">
        <f aca="false">MIN(122.1,(T57+S58))</f>
        <v>21.9119626168224</v>
      </c>
      <c r="U58" s="13" t="s">
        <v>43</v>
      </c>
      <c r="V58" s="6" t="n">
        <v>397.8</v>
      </c>
      <c r="X58" s="6" t="n">
        <f aca="false">X57+V58</f>
        <v>12642.5</v>
      </c>
      <c r="AA58" s="6" t="n">
        <v>12.2564442459744</v>
      </c>
    </row>
    <row r="59" s="6" customFormat="true" ht="15" hidden="false" customHeight="false" outlineLevel="0" collapsed="false">
      <c r="A59" s="11"/>
      <c r="B59" s="12"/>
      <c r="C59" s="7" t="n">
        <v>41175</v>
      </c>
      <c r="D59" s="6" t="n">
        <v>16.4</v>
      </c>
      <c r="E59" s="6" t="n">
        <v>11.2</v>
      </c>
      <c r="F59" s="6" t="n">
        <v>20.8</v>
      </c>
      <c r="G59" s="6" t="n">
        <f aca="false">G58+D59</f>
        <v>172.2</v>
      </c>
      <c r="I59" s="6" t="n">
        <v>39</v>
      </c>
      <c r="J59" s="6" t="n">
        <v>9.2</v>
      </c>
      <c r="K59" s="6" t="n">
        <f aca="false">K58+J59</f>
        <v>35.3</v>
      </c>
      <c r="L59" s="6" t="n">
        <v>1</v>
      </c>
      <c r="M59" s="6" t="n">
        <f aca="false">M58+L59</f>
        <v>23.4</v>
      </c>
      <c r="N59" s="6" t="n">
        <v>8.2</v>
      </c>
      <c r="O59" s="6" t="n">
        <f aca="false">O58+N59</f>
        <v>28.1</v>
      </c>
      <c r="P59" s="6" t="n">
        <v>12</v>
      </c>
      <c r="Q59" s="6" t="n">
        <f aca="false">0.35+((P59-10)/107)*(1-0.35)</f>
        <v>0.36214953271028</v>
      </c>
      <c r="R59" s="14" t="n">
        <f aca="false">Q59*L59</f>
        <v>0.36214953271028</v>
      </c>
      <c r="S59" s="14" t="n">
        <f aca="false">J59-R59</f>
        <v>8.83785046728972</v>
      </c>
      <c r="T59" s="14" t="n">
        <f aca="false">MIN(122.1,(T58+S59))</f>
        <v>30.7498130841121</v>
      </c>
      <c r="U59" s="15" t="n">
        <f aca="false">AVERAGE(T48:T164)</f>
        <v>103.496578800224</v>
      </c>
      <c r="V59" s="6" t="n">
        <v>584.5</v>
      </c>
      <c r="X59" s="6" t="n">
        <f aca="false">X58+V59</f>
        <v>13227</v>
      </c>
      <c r="AA59" s="6" t="n">
        <v>12.2002982493455</v>
      </c>
    </row>
    <row r="60" s="6" customFormat="true" ht="15" hidden="false" customHeight="false" outlineLevel="0" collapsed="false">
      <c r="A60" s="11"/>
      <c r="B60" s="12"/>
      <c r="C60" s="7" t="n">
        <v>41176</v>
      </c>
      <c r="D60" s="6" t="n">
        <v>16.6</v>
      </c>
      <c r="E60" s="6" t="n">
        <v>14.8</v>
      </c>
      <c r="F60" s="6" t="n">
        <v>18.9</v>
      </c>
      <c r="G60" s="6" t="n">
        <f aca="false">G59+D60</f>
        <v>188.8</v>
      </c>
      <c r="I60" s="13" t="s">
        <v>44</v>
      </c>
      <c r="J60" s="6" t="n">
        <v>3.4</v>
      </c>
      <c r="K60" s="6" t="n">
        <f aca="false">K59+J60</f>
        <v>38.7</v>
      </c>
      <c r="L60" s="6" t="n">
        <v>2.1</v>
      </c>
      <c r="M60" s="6" t="n">
        <f aca="false">M59+L60</f>
        <v>25.5</v>
      </c>
      <c r="N60" s="6" t="n">
        <v>1.3</v>
      </c>
      <c r="O60" s="6" t="n">
        <f aca="false">O59+N60</f>
        <v>29.4</v>
      </c>
      <c r="P60" s="6" t="n">
        <v>13</v>
      </c>
      <c r="Q60" s="6" t="n">
        <f aca="false">0.35+((P60-10)/107)*(1-0.35)</f>
        <v>0.368224299065421</v>
      </c>
      <c r="R60" s="14" t="n">
        <f aca="false">Q60*L60</f>
        <v>0.773271028037383</v>
      </c>
      <c r="S60" s="14" t="n">
        <f aca="false">J60-R60</f>
        <v>2.62672897196262</v>
      </c>
      <c r="T60" s="14" t="n">
        <f aca="false">MIN(122.1,(T59+S60))</f>
        <v>33.3765420560748</v>
      </c>
      <c r="V60" s="6" t="n">
        <v>758</v>
      </c>
      <c r="X60" s="6" t="n">
        <f aca="false">X59+V60</f>
        <v>13985</v>
      </c>
      <c r="AA60" s="6" t="n">
        <v>12.144133576261</v>
      </c>
    </row>
    <row r="61" s="6" customFormat="true" ht="15" hidden="false" customHeight="false" outlineLevel="0" collapsed="false">
      <c r="A61" s="11"/>
      <c r="B61" s="12"/>
      <c r="C61" s="7" t="n">
        <v>41177</v>
      </c>
      <c r="D61" s="6" t="n">
        <v>14.1</v>
      </c>
      <c r="E61" s="6" t="n">
        <v>13.6</v>
      </c>
      <c r="F61" s="6" t="n">
        <v>15</v>
      </c>
      <c r="G61" s="6" t="n">
        <f aca="false">G60+D61</f>
        <v>202.9</v>
      </c>
      <c r="I61" s="6" t="n">
        <v>1003.2</v>
      </c>
      <c r="J61" s="6" t="n">
        <v>22</v>
      </c>
      <c r="K61" s="6" t="n">
        <f aca="false">K60+J61</f>
        <v>60.7</v>
      </c>
      <c r="L61" s="6" t="n">
        <v>1.1</v>
      </c>
      <c r="M61" s="6" t="n">
        <f aca="false">M60+L61</f>
        <v>26.6</v>
      </c>
      <c r="N61" s="6" t="n">
        <v>20.9</v>
      </c>
      <c r="O61" s="6" t="n">
        <f aca="false">O60+N61</f>
        <v>50.3</v>
      </c>
      <c r="P61" s="6" t="n">
        <v>14</v>
      </c>
      <c r="Q61" s="6" t="n">
        <f aca="false">0.35+((P61-10)/107)*(1-0.35)</f>
        <v>0.374299065420561</v>
      </c>
      <c r="R61" s="14" t="n">
        <f aca="false">Q61*L61</f>
        <v>0.411728971962617</v>
      </c>
      <c r="S61" s="14" t="n">
        <f aca="false">J61-R61</f>
        <v>21.5882710280374</v>
      </c>
      <c r="T61" s="14" t="n">
        <f aca="false">MIN(122.1,(T60+S61))</f>
        <v>54.9648130841122</v>
      </c>
      <c r="U61" s="14" t="n">
        <f aca="false">(U59*100)/122.1</f>
        <v>84.7637828011661</v>
      </c>
      <c r="V61" s="6" t="n">
        <v>327.8</v>
      </c>
      <c r="X61" s="6" t="n">
        <f aca="false">X60+V61</f>
        <v>14312.8</v>
      </c>
      <c r="AA61" s="6" t="n">
        <v>12.0879556800494</v>
      </c>
    </row>
    <row r="62" s="6" customFormat="true" ht="15" hidden="false" customHeight="false" outlineLevel="0" collapsed="false">
      <c r="A62" s="11"/>
      <c r="B62" s="12"/>
      <c r="C62" s="7" t="n">
        <v>41178</v>
      </c>
      <c r="D62" s="6" t="n">
        <v>11.3</v>
      </c>
      <c r="E62" s="6" t="n">
        <v>10.9</v>
      </c>
      <c r="F62" s="6" t="n">
        <v>11.9</v>
      </c>
      <c r="G62" s="6" t="n">
        <f aca="false">G61+D62</f>
        <v>214.2</v>
      </c>
      <c r="J62" s="6" t="n">
        <v>23.2</v>
      </c>
      <c r="K62" s="6" t="n">
        <f aca="false">K61+J62</f>
        <v>83.9</v>
      </c>
      <c r="L62" s="6" t="n">
        <v>0.7</v>
      </c>
      <c r="M62" s="6" t="n">
        <f aca="false">M61+L62</f>
        <v>27.3</v>
      </c>
      <c r="N62" s="6" t="n">
        <v>22.5</v>
      </c>
      <c r="O62" s="6" t="n">
        <f aca="false">O61+N62</f>
        <v>72.8</v>
      </c>
      <c r="P62" s="6" t="n">
        <v>15</v>
      </c>
      <c r="Q62" s="6" t="n">
        <f aca="false">0.35+((P62-10)/107)*(1-0.35)</f>
        <v>0.380373831775701</v>
      </c>
      <c r="R62" s="14" t="n">
        <f aca="false">Q62*L62</f>
        <v>0.266261682242991</v>
      </c>
      <c r="S62" s="14" t="n">
        <f aca="false">J62-R62</f>
        <v>22.933738317757</v>
      </c>
      <c r="T62" s="14" t="n">
        <f aca="false">MIN(122.1,(T61+S62))</f>
        <v>77.8985514018692</v>
      </c>
      <c r="V62" s="6" t="n">
        <v>303.2</v>
      </c>
      <c r="X62" s="6" t="n">
        <f aca="false">X61+V62</f>
        <v>14616</v>
      </c>
      <c r="AA62" s="6" t="n">
        <v>12.0317700430846</v>
      </c>
    </row>
    <row r="63" s="6" customFormat="true" ht="15" hidden="false" customHeight="false" outlineLevel="0" collapsed="false">
      <c r="A63" s="11"/>
      <c r="B63" s="12"/>
      <c r="C63" s="7" t="n">
        <v>41179</v>
      </c>
      <c r="D63" s="6" t="n">
        <v>11.9</v>
      </c>
      <c r="E63" s="6" t="n">
        <v>10.2</v>
      </c>
      <c r="F63" s="6" t="n">
        <v>14.9</v>
      </c>
      <c r="G63" s="6" t="n">
        <f aca="false">G62+D63</f>
        <v>226.1</v>
      </c>
      <c r="J63" s="6" t="n">
        <v>2.5</v>
      </c>
      <c r="K63" s="6" t="n">
        <f aca="false">K62+J63</f>
        <v>86.4</v>
      </c>
      <c r="L63" s="6" t="n">
        <v>2</v>
      </c>
      <c r="M63" s="6" t="n">
        <f aca="false">M62+L63</f>
        <v>29.3</v>
      </c>
      <c r="N63" s="6" t="n">
        <v>0.5</v>
      </c>
      <c r="O63" s="6" t="n">
        <f aca="false">O62+N63</f>
        <v>73.3</v>
      </c>
      <c r="P63" s="6" t="n">
        <v>16</v>
      </c>
      <c r="Q63" s="6" t="n">
        <f aca="false">0.35+((P63-10)/107)*(1-0.35)</f>
        <v>0.386448598130841</v>
      </c>
      <c r="R63" s="14" t="n">
        <f aca="false">Q63*L63</f>
        <v>0.772897196261682</v>
      </c>
      <c r="S63" s="14" t="n">
        <f aca="false">J63-R63</f>
        <v>1.72710280373832</v>
      </c>
      <c r="T63" s="14" t="n">
        <f aca="false">MIN(122.1,(T62+S63))</f>
        <v>79.6256542056075</v>
      </c>
      <c r="V63" s="6" t="n">
        <v>1139.4</v>
      </c>
      <c r="X63" s="6" t="n">
        <f aca="false">X62+V63</f>
        <v>15755.4</v>
      </c>
      <c r="AA63" s="6" t="n">
        <v>11.9755821927857</v>
      </c>
    </row>
    <row r="64" s="6" customFormat="true" ht="15" hidden="false" customHeight="false" outlineLevel="0" collapsed="false">
      <c r="A64" s="11"/>
      <c r="B64" s="12"/>
      <c r="C64" s="7" t="n">
        <v>41180</v>
      </c>
      <c r="D64" s="6" t="n">
        <v>12.5</v>
      </c>
      <c r="E64" s="6" t="n">
        <v>6.6</v>
      </c>
      <c r="F64" s="6" t="n">
        <v>20.4</v>
      </c>
      <c r="G64" s="6" t="n">
        <f aca="false">G63+D64</f>
        <v>238.6</v>
      </c>
      <c r="J64" s="6" t="n">
        <v>0</v>
      </c>
      <c r="K64" s="6" t="n">
        <f aca="false">K63+J64</f>
        <v>86.4</v>
      </c>
      <c r="L64" s="6" t="n">
        <v>2.3</v>
      </c>
      <c r="M64" s="6" t="n">
        <f aca="false">M63+L64</f>
        <v>31.6</v>
      </c>
      <c r="N64" s="6" t="n">
        <v>-2.3</v>
      </c>
      <c r="O64" s="6" t="n">
        <f aca="false">O63+N64</f>
        <v>71</v>
      </c>
      <c r="P64" s="6" t="n">
        <v>17</v>
      </c>
      <c r="Q64" s="6" t="n">
        <f aca="false">0.35+((P64-10)/107)*(1-0.35)</f>
        <v>0.392523364485981</v>
      </c>
      <c r="R64" s="14" t="n">
        <f aca="false">Q64*L64</f>
        <v>0.902803738317757</v>
      </c>
      <c r="S64" s="14" t="n">
        <f aca="false">J64-R64</f>
        <v>-0.902803738317757</v>
      </c>
      <c r="T64" s="14" t="n">
        <f aca="false">MIN(122.1,(T63+S64))</f>
        <v>78.7228504672897</v>
      </c>
      <c r="V64" s="6" t="n">
        <v>1535.3</v>
      </c>
      <c r="X64" s="6" t="n">
        <f aca="false">X63+V64</f>
        <v>17290.7</v>
      </c>
      <c r="AA64" s="6" t="n">
        <v>11.9193977177122</v>
      </c>
    </row>
    <row r="65" s="6" customFormat="true" ht="15" hidden="false" customHeight="false" outlineLevel="0" collapsed="false">
      <c r="A65" s="11"/>
      <c r="B65" s="12"/>
      <c r="C65" s="7" t="n">
        <v>41181</v>
      </c>
      <c r="D65" s="6" t="n">
        <v>12.3</v>
      </c>
      <c r="E65" s="6" t="n">
        <v>8</v>
      </c>
      <c r="F65" s="6" t="n">
        <v>18.4</v>
      </c>
      <c r="G65" s="6" t="n">
        <f aca="false">G64+D65</f>
        <v>250.9</v>
      </c>
      <c r="J65" s="6" t="n">
        <v>0</v>
      </c>
      <c r="K65" s="6" t="n">
        <f aca="false">K64+J65</f>
        <v>86.4</v>
      </c>
      <c r="L65" s="6" t="n">
        <v>1.5</v>
      </c>
      <c r="M65" s="6" t="n">
        <f aca="false">M64+L65</f>
        <v>33.1</v>
      </c>
      <c r="N65" s="6" t="n">
        <v>-1.5</v>
      </c>
      <c r="O65" s="6" t="n">
        <f aca="false">O64+N65</f>
        <v>69.5</v>
      </c>
      <c r="P65" s="6" t="n">
        <v>18</v>
      </c>
      <c r="Q65" s="6" t="n">
        <f aca="false">0.35+((P65-10)/107)*(1-0.35)</f>
        <v>0.398598130841122</v>
      </c>
      <c r="R65" s="14" t="n">
        <f aca="false">Q65*L65</f>
        <v>0.597897196261682</v>
      </c>
      <c r="S65" s="14" t="n">
        <f aca="false">J65-R65</f>
        <v>-0.597897196261682</v>
      </c>
      <c r="T65" s="14" t="n">
        <f aca="false">MIN(122.1,(T64+S65))</f>
        <v>78.124953271028</v>
      </c>
      <c r="V65" s="6" t="n">
        <v>1006.6</v>
      </c>
      <c r="X65" s="6" t="n">
        <f aca="false">X64+V65</f>
        <v>18297.3</v>
      </c>
      <c r="AA65" s="6" t="n">
        <v>11.8632222837584</v>
      </c>
    </row>
    <row r="66" s="6" customFormat="true" ht="15" hidden="false" customHeight="false" outlineLevel="0" collapsed="false">
      <c r="A66" s="11"/>
      <c r="B66" s="12"/>
      <c r="C66" s="7" t="n">
        <v>41182</v>
      </c>
      <c r="D66" s="6" t="n">
        <v>12.6</v>
      </c>
      <c r="E66" s="6" t="n">
        <v>9</v>
      </c>
      <c r="F66" s="6" t="n">
        <v>17.4</v>
      </c>
      <c r="G66" s="6" t="n">
        <f aca="false">G65+D66</f>
        <v>263.5</v>
      </c>
      <c r="J66" s="6" t="n">
        <v>0</v>
      </c>
      <c r="K66" s="6" t="n">
        <f aca="false">K65+J66</f>
        <v>86.4</v>
      </c>
      <c r="L66" s="6" t="n">
        <v>1.7</v>
      </c>
      <c r="M66" s="6" t="n">
        <f aca="false">M65+L66</f>
        <v>34.8</v>
      </c>
      <c r="N66" s="6" t="n">
        <v>-1.7</v>
      </c>
      <c r="O66" s="6" t="n">
        <f aca="false">O65+N66</f>
        <v>67.8</v>
      </c>
      <c r="P66" s="6" t="n">
        <v>19</v>
      </c>
      <c r="Q66" s="6" t="n">
        <f aca="false">0.35+((P66-10)/107)*(1-0.35)</f>
        <v>0.404672897196262</v>
      </c>
      <c r="R66" s="14" t="n">
        <f aca="false">Q66*L66</f>
        <v>0.687943925233645</v>
      </c>
      <c r="S66" s="14" t="n">
        <f aca="false">J66-R66</f>
        <v>-0.687943925233645</v>
      </c>
      <c r="T66" s="14" t="n">
        <f aca="false">MIN(122.1,(T65+S66))</f>
        <v>77.4370093457944</v>
      </c>
      <c r="V66" s="6" t="n">
        <v>1065.3</v>
      </c>
      <c r="X66" s="6" t="n">
        <f aca="false">X65+V66</f>
        <v>19362.6</v>
      </c>
      <c r="AA66" s="6" t="n">
        <v>11.8070616504488</v>
      </c>
    </row>
    <row r="67" s="6" customFormat="true" ht="15" hidden="false" customHeight="false" outlineLevel="0" collapsed="false">
      <c r="A67" s="11"/>
      <c r="B67" s="12"/>
      <c r="C67" s="7" t="n">
        <v>41183</v>
      </c>
      <c r="D67" s="6" t="n">
        <v>12.3</v>
      </c>
      <c r="E67" s="6" t="n">
        <v>7.5</v>
      </c>
      <c r="F67" s="6" t="n">
        <v>19.5</v>
      </c>
      <c r="G67" s="6" t="n">
        <f aca="false">G66+D67</f>
        <v>275.8</v>
      </c>
      <c r="J67" s="6" t="n">
        <v>0</v>
      </c>
      <c r="K67" s="6" t="n">
        <f aca="false">K66+J67</f>
        <v>86.4</v>
      </c>
      <c r="L67" s="6" t="n">
        <v>1.6</v>
      </c>
      <c r="M67" s="6" t="n">
        <f aca="false">M66+L67</f>
        <v>36.4</v>
      </c>
      <c r="N67" s="6" t="n">
        <v>-1.6</v>
      </c>
      <c r="O67" s="6" t="n">
        <f aca="false">O66+N67</f>
        <v>66.2</v>
      </c>
      <c r="P67" s="6" t="n">
        <v>20</v>
      </c>
      <c r="Q67" s="6" t="n">
        <f aca="false">0.35+((P67-10)/107)*(1-0.35)</f>
        <v>0.410747663551402</v>
      </c>
      <c r="R67" s="14" t="n">
        <f aca="false">Q67*L67</f>
        <v>0.657196261682243</v>
      </c>
      <c r="S67" s="14" t="n">
        <f aca="false">J67-R67</f>
        <v>-0.657196261682243</v>
      </c>
      <c r="T67" s="14" t="n">
        <f aca="false">MIN(122.1,(T66+S67))</f>
        <v>76.7798130841122</v>
      </c>
      <c r="V67" s="6" t="n">
        <v>1069.5</v>
      </c>
      <c r="X67" s="6" t="n">
        <f aca="false">X66+V67</f>
        <v>20432.1</v>
      </c>
      <c r="AA67" s="6" t="n">
        <v>11.750921687338</v>
      </c>
    </row>
    <row r="68" s="6" customFormat="true" ht="15" hidden="false" customHeight="false" outlineLevel="0" collapsed="false">
      <c r="A68" s="11"/>
      <c r="B68" s="12"/>
      <c r="C68" s="7" t="n">
        <v>41184</v>
      </c>
      <c r="D68" s="6" t="n">
        <v>13.1</v>
      </c>
      <c r="E68" s="6" t="n">
        <v>7.2</v>
      </c>
      <c r="F68" s="6" t="n">
        <v>18.8</v>
      </c>
      <c r="G68" s="6" t="n">
        <f aca="false">G67+D68</f>
        <v>288.9</v>
      </c>
      <c r="J68" s="6" t="n">
        <v>1.6</v>
      </c>
      <c r="K68" s="6" t="n">
        <f aca="false">K67+J68</f>
        <v>88</v>
      </c>
      <c r="L68" s="6" t="n">
        <v>1.9</v>
      </c>
      <c r="M68" s="6" t="n">
        <f aca="false">M67+L68</f>
        <v>38.3</v>
      </c>
      <c r="N68" s="6" t="n">
        <v>-0.3</v>
      </c>
      <c r="O68" s="6" t="n">
        <f aca="false">O67+N68</f>
        <v>65.9</v>
      </c>
      <c r="P68" s="6" t="n">
        <v>21</v>
      </c>
      <c r="Q68" s="6" t="n">
        <f aca="false">0.35+((P68-10)/107)*(1-0.35)</f>
        <v>0.416822429906542</v>
      </c>
      <c r="R68" s="14" t="n">
        <f aca="false">Q68*L68</f>
        <v>0.79196261682243</v>
      </c>
      <c r="S68" s="14" t="n">
        <f aca="false">J68-R68</f>
        <v>0.80803738317757</v>
      </c>
      <c r="T68" s="14" t="n">
        <f aca="false">MIN(122.1,(T67+S68))</f>
        <v>77.5878504672897</v>
      </c>
      <c r="V68" s="6" t="n">
        <v>1192.7</v>
      </c>
      <c r="X68" s="6" t="n">
        <f aca="false">X67+V68</f>
        <v>21624.8</v>
      </c>
      <c r="AA68" s="6" t="n">
        <v>11.6948083905158</v>
      </c>
    </row>
    <row r="69" s="6" customFormat="true" ht="15" hidden="false" customHeight="false" outlineLevel="0" collapsed="false">
      <c r="A69" s="11"/>
      <c r="B69" s="12"/>
      <c r="C69" s="7" t="n">
        <v>41185</v>
      </c>
      <c r="D69" s="6" t="n">
        <v>15.7</v>
      </c>
      <c r="E69" s="6" t="n">
        <v>12.1</v>
      </c>
      <c r="F69" s="6" t="n">
        <v>20.1</v>
      </c>
      <c r="G69" s="6" t="n">
        <f aca="false">G68+D69</f>
        <v>304.6</v>
      </c>
      <c r="J69" s="6" t="n">
        <v>0</v>
      </c>
      <c r="K69" s="6" t="n">
        <f aca="false">K68+J69</f>
        <v>88</v>
      </c>
      <c r="L69" s="6" t="n">
        <v>1.7</v>
      </c>
      <c r="M69" s="6" t="n">
        <f aca="false">M68+L69</f>
        <v>40</v>
      </c>
      <c r="N69" s="6" t="n">
        <v>-1.7</v>
      </c>
      <c r="O69" s="6" t="n">
        <f aca="false">O68+N69</f>
        <v>64.2</v>
      </c>
      <c r="P69" s="6" t="n">
        <v>22</v>
      </c>
      <c r="Q69" s="6" t="n">
        <f aca="false">0.35+((P69-10)/107)*(1-0.35)</f>
        <v>0.422897196261682</v>
      </c>
      <c r="R69" s="14" t="n">
        <f aca="false">Q69*L69</f>
        <v>0.71892523364486</v>
      </c>
      <c r="S69" s="14" t="n">
        <f aca="false">J69-R69</f>
        <v>-0.71892523364486</v>
      </c>
      <c r="T69" s="14" t="n">
        <f aca="false">MIN(122.1,(T68+S69))</f>
        <v>76.8689252336449</v>
      </c>
      <c r="V69" s="6" t="n">
        <v>747.8</v>
      </c>
      <c r="X69" s="6" t="n">
        <f aca="false">X68+V69</f>
        <v>22372.6</v>
      </c>
      <c r="AA69" s="6" t="n">
        <v>11.6387278992187</v>
      </c>
    </row>
    <row r="70" s="6" customFormat="true" ht="15" hidden="false" customHeight="false" outlineLevel="0" collapsed="false">
      <c r="A70" s="11"/>
      <c r="B70" s="12"/>
      <c r="C70" s="7" t="n">
        <v>41186</v>
      </c>
      <c r="D70" s="6" t="n">
        <v>15.2</v>
      </c>
      <c r="E70" s="6" t="n">
        <v>14</v>
      </c>
      <c r="F70" s="6" t="n">
        <v>17.8</v>
      </c>
      <c r="G70" s="6" t="n">
        <f aca="false">G69+D70</f>
        <v>319.8</v>
      </c>
      <c r="J70" s="6" t="n">
        <v>0.8</v>
      </c>
      <c r="K70" s="6" t="n">
        <f aca="false">K69+J70</f>
        <v>88.8</v>
      </c>
      <c r="L70" s="6" t="n">
        <v>1.7</v>
      </c>
      <c r="M70" s="6" t="n">
        <f aca="false">M69+L70</f>
        <v>41.7</v>
      </c>
      <c r="N70" s="6" t="n">
        <v>-0.9</v>
      </c>
      <c r="O70" s="6" t="n">
        <f aca="false">O69+N70</f>
        <v>63.3</v>
      </c>
      <c r="P70" s="6" t="n">
        <v>23</v>
      </c>
      <c r="Q70" s="6" t="n">
        <f aca="false">0.35+((P70-10)/107)*(1-0.35)</f>
        <v>0.428971962616822</v>
      </c>
      <c r="R70" s="14" t="n">
        <f aca="false">Q70*L70</f>
        <v>0.729252336448598</v>
      </c>
      <c r="S70" s="14" t="n">
        <f aca="false">J70-R70</f>
        <v>0.0707476635514019</v>
      </c>
      <c r="T70" s="14" t="n">
        <f aca="false">MIN(122.1,(T69+S70))</f>
        <v>76.9396728971963</v>
      </c>
      <c r="V70" s="6" t="n">
        <v>301.2</v>
      </c>
      <c r="X70" s="6" t="n">
        <f aca="false">X69+V70</f>
        <v>22673.8</v>
      </c>
      <c r="AA70" s="6" t="n">
        <v>11.5826865125461</v>
      </c>
    </row>
    <row r="71" s="6" customFormat="true" ht="15" hidden="false" customHeight="false" outlineLevel="0" collapsed="false">
      <c r="A71" s="11"/>
      <c r="B71" s="12"/>
      <c r="C71" s="7" t="n">
        <v>41187</v>
      </c>
      <c r="D71" s="6" t="n">
        <v>15</v>
      </c>
      <c r="E71" s="6" t="n">
        <v>10</v>
      </c>
      <c r="F71" s="6" t="n">
        <v>21.5</v>
      </c>
      <c r="G71" s="6" t="n">
        <f aca="false">G70+D71</f>
        <v>334.8</v>
      </c>
      <c r="J71" s="6" t="n">
        <v>0.1</v>
      </c>
      <c r="K71" s="6" t="n">
        <f aca="false">K70+J71</f>
        <v>88.9</v>
      </c>
      <c r="L71" s="6" t="n">
        <v>2.1</v>
      </c>
      <c r="M71" s="6" t="n">
        <f aca="false">M70+L71</f>
        <v>43.8</v>
      </c>
      <c r="N71" s="6" t="n">
        <v>-2</v>
      </c>
      <c r="O71" s="6" t="n">
        <f aca="false">O70+N71</f>
        <v>61.3</v>
      </c>
      <c r="P71" s="6" t="n">
        <v>24</v>
      </c>
      <c r="Q71" s="6" t="n">
        <f aca="false">0.35+((P71-10)/107)*(1-0.35)</f>
        <v>0.435046728971963</v>
      </c>
      <c r="R71" s="14" t="n">
        <f aca="false">Q71*L71</f>
        <v>0.913598130841122</v>
      </c>
      <c r="S71" s="14" t="n">
        <f aca="false">J71-R71</f>
        <v>-0.813598130841122</v>
      </c>
      <c r="T71" s="14" t="n">
        <f aca="false">MIN(122.1,(T70+S71))</f>
        <v>76.1260747663552</v>
      </c>
      <c r="V71" s="6" t="n">
        <v>1160.6</v>
      </c>
      <c r="X71" s="6" t="n">
        <f aca="false">X70+V71</f>
        <v>23834.4</v>
      </c>
      <c r="AA71" s="6" t="n">
        <v>11.5266907062811</v>
      </c>
    </row>
    <row r="72" s="6" customFormat="true" ht="15" hidden="false" customHeight="false" outlineLevel="0" collapsed="false">
      <c r="A72" s="11"/>
      <c r="B72" s="12"/>
      <c r="C72" s="7" t="n">
        <v>41188</v>
      </c>
      <c r="D72" s="6" t="n">
        <v>16.9</v>
      </c>
      <c r="E72" s="6" t="n">
        <v>9.8</v>
      </c>
      <c r="F72" s="6" t="n">
        <v>23.6</v>
      </c>
      <c r="G72" s="6" t="n">
        <f aca="false">G71+D72</f>
        <v>351.7</v>
      </c>
      <c r="J72" s="6" t="n">
        <v>8.4</v>
      </c>
      <c r="K72" s="6" t="n">
        <f aca="false">K71+J72</f>
        <v>97.3</v>
      </c>
      <c r="L72" s="6" t="n">
        <v>1.8</v>
      </c>
      <c r="M72" s="6" t="n">
        <f aca="false">M71+L72</f>
        <v>45.6</v>
      </c>
      <c r="N72" s="6" t="n">
        <v>6.6</v>
      </c>
      <c r="O72" s="6" t="n">
        <f aca="false">O71+N72</f>
        <v>67.9</v>
      </c>
      <c r="P72" s="6" t="n">
        <v>25</v>
      </c>
      <c r="Q72" s="6" t="n">
        <f aca="false">0.35+((P72-10)/107)*(1-0.35)</f>
        <v>0.441121495327103</v>
      </c>
      <c r="R72" s="14" t="n">
        <f aca="false">Q72*L72</f>
        <v>0.794018691588785</v>
      </c>
      <c r="S72" s="14" t="n">
        <f aca="false">J72-R72</f>
        <v>7.60598130841122</v>
      </c>
      <c r="T72" s="14" t="n">
        <f aca="false">MIN(122.1,(T71+S72))</f>
        <v>83.7320560747664</v>
      </c>
      <c r="V72" s="6" t="n">
        <v>983.9</v>
      </c>
      <c r="X72" s="6" t="n">
        <f aca="false">X71+V72</f>
        <v>24818.3</v>
      </c>
      <c r="AA72" s="6" t="n">
        <v>11.4707471498109</v>
      </c>
    </row>
    <row r="73" s="6" customFormat="true" ht="15" hidden="false" customHeight="false" outlineLevel="0" collapsed="false">
      <c r="A73" s="11"/>
      <c r="B73" s="12"/>
      <c r="C73" s="7" t="n">
        <v>41189</v>
      </c>
      <c r="D73" s="6" t="n">
        <v>15</v>
      </c>
      <c r="E73" s="6" t="n">
        <v>13.8</v>
      </c>
      <c r="F73" s="6" t="n">
        <v>18.4</v>
      </c>
      <c r="G73" s="6" t="n">
        <f aca="false">G72+D73</f>
        <v>366.7</v>
      </c>
      <c r="J73" s="6" t="n">
        <v>1</v>
      </c>
      <c r="K73" s="6" t="n">
        <f aca="false">K72+J73</f>
        <v>98.3</v>
      </c>
      <c r="L73" s="6" t="n">
        <v>1.1</v>
      </c>
      <c r="M73" s="6" t="n">
        <f aca="false">M72+L73</f>
        <v>46.7</v>
      </c>
      <c r="N73" s="6" t="n">
        <v>-0.1</v>
      </c>
      <c r="O73" s="6" t="n">
        <f aca="false">O72+N73</f>
        <v>67.8</v>
      </c>
      <c r="P73" s="6" t="n">
        <v>26</v>
      </c>
      <c r="Q73" s="6" t="n">
        <f aca="false">0.35+((P73-10)/107)*(1-0.35)</f>
        <v>0.447196261682243</v>
      </c>
      <c r="R73" s="14" t="n">
        <f aca="false">Q73*L73</f>
        <v>0.491915887850467</v>
      </c>
      <c r="S73" s="14" t="n">
        <f aca="false">J73-R73</f>
        <v>0.508084112149533</v>
      </c>
      <c r="T73" s="14" t="n">
        <f aca="false">MIN(122.1,(T72+S73))</f>
        <v>84.2401401869159</v>
      </c>
      <c r="V73" s="6" t="n">
        <v>586.9</v>
      </c>
      <c r="X73" s="6" t="n">
        <f aca="false">X72+V73</f>
        <v>25405.2</v>
      </c>
      <c r="AA73" s="6" t="n">
        <v>11.4148627231427</v>
      </c>
    </row>
    <row r="74" s="6" customFormat="true" ht="15" hidden="false" customHeight="false" outlineLevel="0" collapsed="false">
      <c r="A74" s="11"/>
      <c r="B74" s="12"/>
      <c r="C74" s="7" t="n">
        <v>41190</v>
      </c>
      <c r="D74" s="6" t="n">
        <v>12.4</v>
      </c>
      <c r="E74" s="6" t="n">
        <v>9.7</v>
      </c>
      <c r="F74" s="6" t="n">
        <v>16.3</v>
      </c>
      <c r="G74" s="6" t="n">
        <f aca="false">G73+D74</f>
        <v>379.1</v>
      </c>
      <c r="J74" s="6" t="n">
        <v>23.4</v>
      </c>
      <c r="K74" s="6" t="n">
        <f aca="false">K73+J74</f>
        <v>121.7</v>
      </c>
      <c r="L74" s="6" t="n">
        <v>0.8</v>
      </c>
      <c r="M74" s="6" t="n">
        <f aca="false">M73+L74</f>
        <v>47.5</v>
      </c>
      <c r="N74" s="6" t="n">
        <v>22.6</v>
      </c>
      <c r="O74" s="6" t="n">
        <f aca="false">O73+N74</f>
        <v>90.4</v>
      </c>
      <c r="P74" s="6" t="n">
        <v>27</v>
      </c>
      <c r="Q74" s="6" t="n">
        <f aca="false">0.35+((P74-10)/107)*(1-0.35)</f>
        <v>0.453271028037383</v>
      </c>
      <c r="R74" s="14" t="n">
        <f aca="false">Q74*L74</f>
        <v>0.362616822429907</v>
      </c>
      <c r="S74" s="14" t="n">
        <f aca="false">J74-R74</f>
        <v>23.0373831775701</v>
      </c>
      <c r="T74" s="14" t="n">
        <f aca="false">MIN(122.1,(T73+S74))</f>
        <v>107.277523364486</v>
      </c>
      <c r="V74" s="6" t="n">
        <v>304.3</v>
      </c>
      <c r="X74" s="6" t="n">
        <f aca="false">X73+V74</f>
        <v>25709.5</v>
      </c>
      <c r="AA74" s="6" t="n">
        <v>11.3590445340079</v>
      </c>
    </row>
    <row r="75" s="6" customFormat="true" ht="15" hidden="false" customHeight="false" outlineLevel="0" collapsed="false">
      <c r="A75" s="11"/>
      <c r="B75" s="12"/>
      <c r="C75" s="7" t="n">
        <v>41191</v>
      </c>
      <c r="D75" s="6" t="n">
        <v>16.9</v>
      </c>
      <c r="E75" s="6" t="n">
        <v>14</v>
      </c>
      <c r="F75" s="6" t="n">
        <v>19.2</v>
      </c>
      <c r="G75" s="6" t="n">
        <f aca="false">G74+D75</f>
        <v>396</v>
      </c>
      <c r="J75" s="6" t="n">
        <v>8.8</v>
      </c>
      <c r="K75" s="6" t="n">
        <f aca="false">K74+J75</f>
        <v>130.5</v>
      </c>
      <c r="L75" s="6" t="n">
        <v>0.8</v>
      </c>
      <c r="M75" s="6" t="n">
        <f aca="false">M74+L75</f>
        <v>48.3</v>
      </c>
      <c r="N75" s="6" t="n">
        <v>8</v>
      </c>
      <c r="O75" s="6" t="n">
        <f aca="false">O74+N75</f>
        <v>98.4</v>
      </c>
      <c r="P75" s="6" t="n">
        <v>28</v>
      </c>
      <c r="Q75" s="6" t="n">
        <f aca="false">0.35+((P75-10)/107)*(1-0.35)</f>
        <v>0.459345794392523</v>
      </c>
      <c r="R75" s="14" t="n">
        <f aca="false">Q75*L75</f>
        <v>0.367476635514019</v>
      </c>
      <c r="S75" s="14" t="n">
        <f aca="false">J75-R75</f>
        <v>8.43252336448598</v>
      </c>
      <c r="T75" s="14" t="n">
        <f aca="false">MIN(122.1,(T74+S75))</f>
        <v>115.710046728972</v>
      </c>
      <c r="V75" s="6" t="n">
        <v>402.3</v>
      </c>
      <c r="X75" s="6" t="n">
        <f aca="false">X74+V75</f>
        <v>26111.8</v>
      </c>
      <c r="AA75" s="6" t="n">
        <v>11.3032999350458</v>
      </c>
    </row>
    <row r="76" s="6" customFormat="true" ht="15" hidden="false" customHeight="false" outlineLevel="0" collapsed="false">
      <c r="A76" s="11"/>
      <c r="B76" s="12"/>
      <c r="C76" s="7" t="n">
        <v>41192</v>
      </c>
      <c r="D76" s="6" t="n">
        <v>16.6</v>
      </c>
      <c r="E76" s="6" t="n">
        <v>15.2</v>
      </c>
      <c r="F76" s="6" t="n">
        <v>20.2</v>
      </c>
      <c r="G76" s="6" t="n">
        <f aca="false">G75+D76</f>
        <v>412.6</v>
      </c>
      <c r="J76" s="6" t="n">
        <v>4.5</v>
      </c>
      <c r="K76" s="6" t="n">
        <f aca="false">K75+J76</f>
        <v>135</v>
      </c>
      <c r="L76" s="6" t="n">
        <v>1.7</v>
      </c>
      <c r="M76" s="6" t="n">
        <f aca="false">M75+L76</f>
        <v>50</v>
      </c>
      <c r="N76" s="6" t="n">
        <v>2.8</v>
      </c>
      <c r="O76" s="6" t="n">
        <f aca="false">O75+N76</f>
        <v>101.2</v>
      </c>
      <c r="P76" s="6" t="n">
        <v>29</v>
      </c>
      <c r="Q76" s="6" t="n">
        <f aca="false">0.35+((P76-10)/107)*(1-0.35)</f>
        <v>0.465420560747664</v>
      </c>
      <c r="R76" s="14" t="n">
        <f aca="false">Q76*L76</f>
        <v>0.791214953271028</v>
      </c>
      <c r="S76" s="14" t="n">
        <f aca="false">J76-R76</f>
        <v>3.70878504672897</v>
      </c>
      <c r="T76" s="14" t="n">
        <f aca="false">MIN(122.1,(T75+S76))</f>
        <v>119.418831775701</v>
      </c>
      <c r="V76" s="6" t="n">
        <v>909.6</v>
      </c>
      <c r="X76" s="6" t="n">
        <f aca="false">X75+V76</f>
        <v>27021.4</v>
      </c>
      <c r="AA76" s="6" t="n">
        <v>11.2476365410563</v>
      </c>
    </row>
    <row r="77" s="6" customFormat="true" ht="15" hidden="false" customHeight="false" outlineLevel="0" collapsed="false">
      <c r="A77" s="11"/>
      <c r="B77" s="12"/>
      <c r="C77" s="7" t="n">
        <v>41193</v>
      </c>
      <c r="D77" s="6" t="n">
        <v>15.2</v>
      </c>
      <c r="E77" s="6" t="n">
        <v>14</v>
      </c>
      <c r="F77" s="6" t="n">
        <v>16.7</v>
      </c>
      <c r="G77" s="6" t="n">
        <f aca="false">G76+D77</f>
        <v>427.8</v>
      </c>
      <c r="J77" s="6" t="n">
        <v>4.5</v>
      </c>
      <c r="K77" s="6" t="n">
        <f aca="false">K76+J77</f>
        <v>139.5</v>
      </c>
      <c r="L77" s="6" t="n">
        <v>0.6</v>
      </c>
      <c r="M77" s="6" t="n">
        <f aca="false">M76+L77</f>
        <v>50.6</v>
      </c>
      <c r="N77" s="6" t="n">
        <v>3.9</v>
      </c>
      <c r="O77" s="6" t="n">
        <f aca="false">O76+N77</f>
        <v>105.1</v>
      </c>
      <c r="P77" s="6" t="n">
        <v>30</v>
      </c>
      <c r="Q77" s="6" t="n">
        <f aca="false">0.35+((P77-10)/107)*(1-0.35)</f>
        <v>0.471495327102804</v>
      </c>
      <c r="R77" s="14" t="n">
        <f aca="false">Q77*L77</f>
        <v>0.282897196261682</v>
      </c>
      <c r="S77" s="14" t="n">
        <f aca="false">J77-R77</f>
        <v>4.21710280373832</v>
      </c>
      <c r="T77" s="14" t="n">
        <f aca="false">MIN(122.1,(T76+S77))</f>
        <v>122.1</v>
      </c>
      <c r="V77" s="6" t="n">
        <v>221.3</v>
      </c>
      <c r="X77" s="6" t="n">
        <f aca="false">X76+V77</f>
        <v>27242.7</v>
      </c>
      <c r="AA77" s="6" t="n">
        <v>11.192062246306</v>
      </c>
    </row>
    <row r="78" s="6" customFormat="true" ht="15" hidden="false" customHeight="false" outlineLevel="0" collapsed="false">
      <c r="A78" s="11"/>
      <c r="B78" s="12"/>
      <c r="C78" s="7" t="n">
        <v>41194</v>
      </c>
      <c r="D78" s="6" t="n">
        <v>12.4</v>
      </c>
      <c r="E78" s="6" t="n">
        <v>10.7</v>
      </c>
      <c r="F78" s="6" t="n">
        <v>14.6</v>
      </c>
      <c r="G78" s="6" t="n">
        <f aca="false">G77+D78</f>
        <v>440.2</v>
      </c>
      <c r="J78" s="6" t="n">
        <v>0.5</v>
      </c>
      <c r="K78" s="6" t="n">
        <f aca="false">K77+J78</f>
        <v>140</v>
      </c>
      <c r="L78" s="6" t="n">
        <v>0.9</v>
      </c>
      <c r="M78" s="6" t="n">
        <f aca="false">M77+L78</f>
        <v>51.5</v>
      </c>
      <c r="N78" s="6" t="n">
        <v>-0.4</v>
      </c>
      <c r="O78" s="6" t="n">
        <f aca="false">O77+N78</f>
        <v>104.7</v>
      </c>
      <c r="P78" s="6" t="n">
        <v>31</v>
      </c>
      <c r="Q78" s="6" t="n">
        <f aca="false">0.35+((P78-10)/107)*(1-0.35)</f>
        <v>0.477570093457944</v>
      </c>
      <c r="R78" s="14" t="n">
        <f aca="false">Q78*L78</f>
        <v>0.42981308411215</v>
      </c>
      <c r="S78" s="14" t="n">
        <f aca="false">J78-R78</f>
        <v>0.0701869158878505</v>
      </c>
      <c r="T78" s="14" t="n">
        <f aca="false">MIN(122.1,(T77+S78))</f>
        <v>122.1</v>
      </c>
      <c r="V78" s="6" t="n">
        <v>717.1</v>
      </c>
      <c r="X78" s="6" t="n">
        <f aca="false">X77+V78</f>
        <v>27959.8</v>
      </c>
      <c r="AA78" s="6" t="n">
        <v>11.136585241874</v>
      </c>
    </row>
    <row r="79" s="6" customFormat="true" ht="15" hidden="false" customHeight="false" outlineLevel="0" collapsed="false">
      <c r="A79" s="11"/>
      <c r="B79" s="12"/>
      <c r="C79" s="7" t="n">
        <v>41195</v>
      </c>
      <c r="D79" s="6" t="n">
        <v>9.3</v>
      </c>
      <c r="E79" s="6" t="n">
        <v>3.2</v>
      </c>
      <c r="F79" s="6" t="n">
        <v>15.1</v>
      </c>
      <c r="G79" s="6" t="n">
        <f aca="false">G78+D79</f>
        <v>449.5</v>
      </c>
      <c r="J79" s="6" t="n">
        <v>5.2</v>
      </c>
      <c r="K79" s="6" t="n">
        <f aca="false">K78+J79</f>
        <v>145.2</v>
      </c>
      <c r="L79" s="6" t="n">
        <v>0.8</v>
      </c>
      <c r="M79" s="6" t="n">
        <f aca="false">M78+L79</f>
        <v>52.3</v>
      </c>
      <c r="N79" s="6" t="n">
        <v>4.4</v>
      </c>
      <c r="O79" s="6" t="n">
        <f aca="false">O78+N79</f>
        <v>109.1</v>
      </c>
      <c r="P79" s="6" t="n">
        <v>32</v>
      </c>
      <c r="Q79" s="6" t="n">
        <f aca="false">0.35+((P79-10)/107)*(1-0.35)</f>
        <v>0.483644859813084</v>
      </c>
      <c r="R79" s="14" t="n">
        <f aca="false">Q79*L79</f>
        <v>0.386915887850467</v>
      </c>
      <c r="S79" s="14" t="n">
        <f aca="false">J79-R79</f>
        <v>4.81308411214953</v>
      </c>
      <c r="T79" s="14" t="n">
        <f aca="false">MIN(122.1,(T78+S79))</f>
        <v>122.1</v>
      </c>
      <c r="V79" s="6" t="n">
        <v>734.2</v>
      </c>
      <c r="X79" s="6" t="n">
        <f aca="false">X78+V79</f>
        <v>28694</v>
      </c>
      <c r="AA79" s="6" t="n">
        <v>11.0812140330164</v>
      </c>
    </row>
    <row r="80" s="6" customFormat="true" ht="15" hidden="false" customHeight="false" outlineLevel="0" collapsed="false">
      <c r="A80" s="11"/>
      <c r="B80" s="12"/>
      <c r="C80" s="7" t="n">
        <v>41196</v>
      </c>
      <c r="D80" s="6" t="n">
        <v>10.7</v>
      </c>
      <c r="E80" s="6" t="n">
        <v>9.5</v>
      </c>
      <c r="F80" s="6" t="n">
        <v>13.6</v>
      </c>
      <c r="G80" s="6" t="n">
        <f aca="false">G79+D80</f>
        <v>460.2</v>
      </c>
      <c r="J80" s="6" t="n">
        <v>5.6</v>
      </c>
      <c r="K80" s="6" t="n">
        <f aca="false">K79+J80</f>
        <v>150.8</v>
      </c>
      <c r="L80" s="6" t="n">
        <v>1.1</v>
      </c>
      <c r="M80" s="6" t="n">
        <f aca="false">M79+L80</f>
        <v>53.4</v>
      </c>
      <c r="N80" s="6" t="n">
        <v>4.5</v>
      </c>
      <c r="O80" s="6" t="n">
        <f aca="false">O79+N80</f>
        <v>113.6</v>
      </c>
      <c r="P80" s="6" t="n">
        <v>33</v>
      </c>
      <c r="Q80" s="6" t="n">
        <f aca="false">0.35+((P80-10)/107)*(1-0.35)</f>
        <v>0.489719626168224</v>
      </c>
      <c r="R80" s="14" t="n">
        <f aca="false">Q80*L80</f>
        <v>0.538691588785047</v>
      </c>
      <c r="S80" s="14" t="n">
        <f aca="false">J80-R80</f>
        <v>5.06130841121495</v>
      </c>
      <c r="T80" s="14" t="n">
        <f aca="false">MIN(122.1,(T79+S80))</f>
        <v>122.1</v>
      </c>
      <c r="V80" s="6" t="n">
        <v>203.9</v>
      </c>
      <c r="X80" s="6" t="n">
        <f aca="false">X79+V80</f>
        <v>28897.9</v>
      </c>
      <c r="AA80" s="6" t="n">
        <v>11.0259574565276</v>
      </c>
    </row>
    <row r="81" s="6" customFormat="true" ht="15" hidden="false" customHeight="false" outlineLevel="0" collapsed="false">
      <c r="A81" s="11"/>
      <c r="B81" s="12"/>
      <c r="C81" s="7" t="n">
        <v>41197</v>
      </c>
      <c r="D81" s="6" t="n">
        <v>7.1</v>
      </c>
      <c r="E81" s="6" t="n">
        <v>4.2</v>
      </c>
      <c r="F81" s="6" t="n">
        <v>11.9</v>
      </c>
      <c r="G81" s="6" t="n">
        <f aca="false">G80+D81</f>
        <v>467.3</v>
      </c>
      <c r="J81" s="6" t="n">
        <v>0</v>
      </c>
      <c r="K81" s="6" t="n">
        <f aca="false">K80+J81</f>
        <v>150.8</v>
      </c>
      <c r="L81" s="6" t="n">
        <v>0.9</v>
      </c>
      <c r="M81" s="6" t="n">
        <f aca="false">M80+L81</f>
        <v>54.3</v>
      </c>
      <c r="N81" s="6" t="n">
        <v>-0.9</v>
      </c>
      <c r="O81" s="6" t="n">
        <f aca="false">O80+N81</f>
        <v>112.7</v>
      </c>
      <c r="P81" s="6" t="n">
        <v>34</v>
      </c>
      <c r="Q81" s="6" t="n">
        <f aca="false">0.35+((P81-10)/107)*(1-0.35)</f>
        <v>0.495794392523364</v>
      </c>
      <c r="R81" s="14" t="n">
        <f aca="false">Q81*L81</f>
        <v>0.446214953271028</v>
      </c>
      <c r="S81" s="14" t="n">
        <f aca="false">J81-R81</f>
        <v>-0.446214953271028</v>
      </c>
      <c r="T81" s="14" t="n">
        <f aca="false">MIN(122.1,(T80+S81))</f>
        <v>121.653785046729</v>
      </c>
      <c r="V81" s="6" t="n">
        <v>480.3</v>
      </c>
      <c r="X81" s="6" t="n">
        <f aca="false">X80+V81</f>
        <v>29378.2</v>
      </c>
      <c r="AA81" s="6" t="n">
        <v>10.9708246980731</v>
      </c>
    </row>
    <row r="82" s="6" customFormat="true" ht="15" hidden="false" customHeight="false" outlineLevel="0" collapsed="false">
      <c r="A82" s="11"/>
      <c r="B82" s="12"/>
      <c r="C82" s="7" t="n">
        <v>41198</v>
      </c>
      <c r="D82" s="6" t="n">
        <v>5.9</v>
      </c>
      <c r="E82" s="6" t="n">
        <v>1</v>
      </c>
      <c r="F82" s="6" t="n">
        <v>9.2</v>
      </c>
      <c r="G82" s="6" t="n">
        <f aca="false">G81+D82</f>
        <v>473.2</v>
      </c>
      <c r="J82" s="6" t="n">
        <v>1.2</v>
      </c>
      <c r="K82" s="6" t="n">
        <f aca="false">K81+J82</f>
        <v>152</v>
      </c>
      <c r="L82" s="6" t="n">
        <v>0.2</v>
      </c>
      <c r="M82" s="6" t="n">
        <f aca="false">M81+L82</f>
        <v>54.5</v>
      </c>
      <c r="N82" s="6" t="n">
        <v>1</v>
      </c>
      <c r="O82" s="6" t="n">
        <f aca="false">O81+N82</f>
        <v>113.7</v>
      </c>
      <c r="P82" s="6" t="n">
        <v>35</v>
      </c>
      <c r="Q82" s="6" t="n">
        <f aca="false">0.35+((P82-10)/107)*(1-0.35)</f>
        <v>0.501869158878505</v>
      </c>
      <c r="R82" s="14" t="n">
        <f aca="false">Q82*L82</f>
        <v>0.100373831775701</v>
      </c>
      <c r="S82" s="14" t="n">
        <f aca="false">J82-R82</f>
        <v>1.0996261682243</v>
      </c>
      <c r="T82" s="14" t="n">
        <f aca="false">MIN(122.1,(T81+S82))</f>
        <v>122.1</v>
      </c>
      <c r="V82" s="6" t="n">
        <v>295.8</v>
      </c>
      <c r="X82" s="6" t="n">
        <f aca="false">X81+V82</f>
        <v>29674</v>
      </c>
      <c r="AA82" s="6" t="n">
        <v>10.9158253094635</v>
      </c>
    </row>
    <row r="83" s="6" customFormat="true" ht="15" hidden="false" customHeight="false" outlineLevel="0" collapsed="false">
      <c r="A83" s="11"/>
      <c r="B83" s="12"/>
      <c r="C83" s="7" t="n">
        <v>41199</v>
      </c>
      <c r="D83" s="6" t="n">
        <v>14.6</v>
      </c>
      <c r="E83" s="6" t="n">
        <v>6.8</v>
      </c>
      <c r="F83" s="6" t="n">
        <v>19</v>
      </c>
      <c r="G83" s="6" t="n">
        <f aca="false">G82+D83</f>
        <v>487.8</v>
      </c>
      <c r="J83" s="6" t="n">
        <v>0</v>
      </c>
      <c r="K83" s="6" t="n">
        <f aca="false">K82+J83</f>
        <v>152</v>
      </c>
      <c r="L83" s="6" t="n">
        <v>1.2</v>
      </c>
      <c r="M83" s="6" t="n">
        <f aca="false">M82+L83</f>
        <v>55.7</v>
      </c>
      <c r="N83" s="6" t="n">
        <v>-1.2</v>
      </c>
      <c r="O83" s="6" t="n">
        <f aca="false">O82+N83</f>
        <v>112.5</v>
      </c>
      <c r="P83" s="6" t="n">
        <v>36</v>
      </c>
      <c r="Q83" s="6" t="n">
        <f aca="false">0.35+((P83-10)/107)*(1-0.35)</f>
        <v>0.507943925233645</v>
      </c>
      <c r="R83" s="14" t="n">
        <f aca="false">Q83*L83</f>
        <v>0.609532710280374</v>
      </c>
      <c r="S83" s="14" t="n">
        <f aca="false">J83-R83</f>
        <v>-0.609532710280374</v>
      </c>
      <c r="T83" s="14" t="n">
        <f aca="false">MIN(122.1,(T82+S83))</f>
        <v>121.49046728972</v>
      </c>
      <c r="V83" s="6" t="n">
        <v>510.4</v>
      </c>
      <c r="X83" s="6" t="n">
        <f aca="false">X82+V83</f>
        <v>30184.4</v>
      </c>
      <c r="AA83" s="6" t="n">
        <v>10.860969225838</v>
      </c>
    </row>
    <row r="84" s="6" customFormat="true" ht="15" hidden="false" customHeight="false" outlineLevel="0" collapsed="false">
      <c r="A84" s="11"/>
      <c r="B84" s="12"/>
      <c r="C84" s="7" t="n">
        <v>41200</v>
      </c>
      <c r="D84" s="6" t="n">
        <v>18</v>
      </c>
      <c r="E84" s="6" t="n">
        <v>16.6</v>
      </c>
      <c r="F84" s="6" t="n">
        <v>22.1</v>
      </c>
      <c r="G84" s="6" t="n">
        <f aca="false">G83+D84</f>
        <v>505.8</v>
      </c>
      <c r="J84" s="6" t="n">
        <v>0</v>
      </c>
      <c r="K84" s="6" t="n">
        <f aca="false">K83+J84</f>
        <v>152</v>
      </c>
      <c r="L84" s="6" t="n">
        <v>4</v>
      </c>
      <c r="M84" s="6" t="n">
        <f aca="false">M83+L84</f>
        <v>59.7</v>
      </c>
      <c r="N84" s="6" t="n">
        <v>-4</v>
      </c>
      <c r="O84" s="6" t="n">
        <f aca="false">O83+N84</f>
        <v>108.5</v>
      </c>
      <c r="P84" s="6" t="n">
        <v>37</v>
      </c>
      <c r="Q84" s="6" t="n">
        <f aca="false">0.35+((P84-10)/107)*(1-0.35)</f>
        <v>0.514018691588785</v>
      </c>
      <c r="R84" s="14" t="n">
        <f aca="false">Q84*L84</f>
        <v>2.05607476635514</v>
      </c>
      <c r="S84" s="14" t="n">
        <f aca="false">J84-R84</f>
        <v>-2.05607476635514</v>
      </c>
      <c r="T84" s="14" t="n">
        <f aca="false">MIN(122.1,(T83+S84))</f>
        <v>119.434392523364</v>
      </c>
      <c r="V84" s="6" t="n">
        <v>944.9</v>
      </c>
      <c r="X84" s="6" t="n">
        <f aca="false">X83+V84</f>
        <v>31129.3</v>
      </c>
      <c r="AA84" s="6" t="n">
        <v>10.8062667827186</v>
      </c>
    </row>
    <row r="85" s="6" customFormat="true" ht="15" hidden="false" customHeight="false" outlineLevel="0" collapsed="false">
      <c r="A85" s="11"/>
      <c r="B85" s="12"/>
      <c r="C85" s="7" t="n">
        <v>41201</v>
      </c>
      <c r="D85" s="6" t="n">
        <v>16.8</v>
      </c>
      <c r="E85" s="6" t="n">
        <v>14.6</v>
      </c>
      <c r="F85" s="6" t="n">
        <v>22.3</v>
      </c>
      <c r="G85" s="6" t="n">
        <f aca="false">G84+D85</f>
        <v>522.6</v>
      </c>
      <c r="J85" s="6" t="n">
        <v>0</v>
      </c>
      <c r="K85" s="6" t="n">
        <f aca="false">K84+J85</f>
        <v>152</v>
      </c>
      <c r="L85" s="6" t="n">
        <v>2.5</v>
      </c>
      <c r="M85" s="6" t="n">
        <f aca="false">M84+L85</f>
        <v>62.2</v>
      </c>
      <c r="N85" s="6" t="n">
        <v>-2.5</v>
      </c>
      <c r="O85" s="6" t="n">
        <f aca="false">O84+N85</f>
        <v>106</v>
      </c>
      <c r="P85" s="6" t="n">
        <v>38</v>
      </c>
      <c r="Q85" s="6" t="n">
        <f aca="false">0.35+((P85-10)/107)*(1-0.35)</f>
        <v>0.520093457943925</v>
      </c>
      <c r="R85" s="14" t="n">
        <f aca="false">Q85*L85</f>
        <v>1.30023364485981</v>
      </c>
      <c r="S85" s="14" t="n">
        <f aca="false">J85-R85</f>
        <v>-1.30023364485981</v>
      </c>
      <c r="T85" s="14" t="n">
        <f aca="false">MIN(122.1,(T84+S85))</f>
        <v>118.134158878505</v>
      </c>
      <c r="V85" s="6" t="n">
        <v>631.7</v>
      </c>
      <c r="X85" s="6" t="n">
        <f aca="false">X84+V85</f>
        <v>31761</v>
      </c>
      <c r="AA85" s="6" t="n">
        <v>10.7517287328947</v>
      </c>
    </row>
    <row r="86" s="6" customFormat="true" ht="15" hidden="false" customHeight="false" outlineLevel="0" collapsed="false">
      <c r="A86" s="11"/>
      <c r="B86" s="12"/>
      <c r="C86" s="7" t="n">
        <v>41202</v>
      </c>
      <c r="D86" s="6" t="n">
        <v>15.8</v>
      </c>
      <c r="E86" s="6" t="n">
        <v>11.2</v>
      </c>
      <c r="F86" s="6" t="n">
        <v>21.5</v>
      </c>
      <c r="G86" s="6" t="n">
        <f aca="false">G85+D86</f>
        <v>538.4</v>
      </c>
      <c r="J86" s="6" t="n">
        <v>0</v>
      </c>
      <c r="K86" s="6" t="n">
        <f aca="false">K85+J86</f>
        <v>152</v>
      </c>
      <c r="L86" s="6" t="n">
        <v>1</v>
      </c>
      <c r="M86" s="6" t="n">
        <f aca="false">M85+L86</f>
        <v>63.2</v>
      </c>
      <c r="N86" s="6" t="n">
        <v>-1</v>
      </c>
      <c r="O86" s="6" t="n">
        <f aca="false">O85+N86</f>
        <v>105</v>
      </c>
      <c r="P86" s="6" t="n">
        <v>39</v>
      </c>
      <c r="Q86" s="6" t="n">
        <f aca="false">0.35+((P86-10)/107)*(1-0.35)</f>
        <v>0.526168224299065</v>
      </c>
      <c r="R86" s="14" t="n">
        <f aca="false">Q86*L86</f>
        <v>0.526168224299065</v>
      </c>
      <c r="S86" s="14" t="n">
        <f aca="false">J86-R86</f>
        <v>-0.526168224299065</v>
      </c>
      <c r="T86" s="14" t="n">
        <f aca="false">MIN(122.1,(T85+S86))</f>
        <v>117.607990654206</v>
      </c>
      <c r="V86" s="6" t="n">
        <v>268.8</v>
      </c>
      <c r="X86" s="6" t="n">
        <f aca="false">X85+V86</f>
        <v>32029.8</v>
      </c>
      <c r="AA86" s="6" t="n">
        <v>10.6973662630909</v>
      </c>
    </row>
    <row r="87" s="6" customFormat="true" ht="15" hidden="false" customHeight="false" outlineLevel="0" collapsed="false">
      <c r="A87" s="11"/>
      <c r="B87" s="12"/>
      <c r="C87" s="7" t="n">
        <v>41203</v>
      </c>
      <c r="D87" s="6" t="n">
        <v>15.8</v>
      </c>
      <c r="E87" s="6" t="n">
        <v>11.7</v>
      </c>
      <c r="F87" s="6" t="n">
        <v>21.2</v>
      </c>
      <c r="G87" s="6" t="n">
        <f aca="false">G86+D87</f>
        <v>554.2</v>
      </c>
      <c r="J87" s="6" t="n">
        <v>0</v>
      </c>
      <c r="K87" s="6" t="n">
        <f aca="false">K86+J87</f>
        <v>152</v>
      </c>
      <c r="L87" s="6" t="n">
        <v>1</v>
      </c>
      <c r="M87" s="6" t="n">
        <f aca="false">M86+L87</f>
        <v>64.2</v>
      </c>
      <c r="N87" s="6" t="n">
        <v>-1</v>
      </c>
      <c r="O87" s="6" t="n">
        <f aca="false">O86+N87</f>
        <v>104</v>
      </c>
      <c r="P87" s="6" t="n">
        <v>40</v>
      </c>
      <c r="Q87" s="6" t="n">
        <f aca="false">0.35+((P87-10)/107)*(1-0.35)</f>
        <v>0.532242990654206</v>
      </c>
      <c r="R87" s="14" t="n">
        <f aca="false">Q87*L87</f>
        <v>0.532242990654206</v>
      </c>
      <c r="S87" s="14" t="n">
        <f aca="false">J87-R87</f>
        <v>-0.532242990654206</v>
      </c>
      <c r="T87" s="14" t="n">
        <f aca="false">MIN(122.1,(T86+S87))</f>
        <v>117.075747663551</v>
      </c>
      <c r="V87" s="6" t="n">
        <v>426.9</v>
      </c>
      <c r="X87" s="6" t="n">
        <f aca="false">X86+V87</f>
        <v>32456.7</v>
      </c>
      <c r="AA87" s="6" t="n">
        <v>10.6431910103682</v>
      </c>
    </row>
    <row r="88" s="6" customFormat="true" ht="15" hidden="false" customHeight="false" outlineLevel="0" collapsed="false">
      <c r="A88" s="11"/>
      <c r="B88" s="12"/>
      <c r="C88" s="7" t="n">
        <v>41204</v>
      </c>
      <c r="D88" s="6" t="n">
        <v>15.8</v>
      </c>
      <c r="E88" s="6" t="n">
        <v>10.8</v>
      </c>
      <c r="F88" s="6" t="n">
        <v>22.8</v>
      </c>
      <c r="G88" s="6" t="n">
        <f aca="false">G87+D88</f>
        <v>570</v>
      </c>
      <c r="J88" s="6" t="n">
        <v>0</v>
      </c>
      <c r="K88" s="6" t="n">
        <f aca="false">K87+J88</f>
        <v>152</v>
      </c>
      <c r="L88" s="6" t="n">
        <v>1.3</v>
      </c>
      <c r="M88" s="6" t="n">
        <f aca="false">M87+L88</f>
        <v>65.5</v>
      </c>
      <c r="N88" s="6" t="n">
        <v>-1.3</v>
      </c>
      <c r="O88" s="6" t="n">
        <f aca="false">O87+N88</f>
        <v>102.7</v>
      </c>
      <c r="P88" s="6" t="n">
        <v>41</v>
      </c>
      <c r="Q88" s="6" t="n">
        <f aca="false">0.35+((P88-10)/107)*(1-0.35)</f>
        <v>0.538317757009346</v>
      </c>
      <c r="R88" s="14" t="n">
        <f aca="false">Q88*L88</f>
        <v>0.69981308411215</v>
      </c>
      <c r="S88" s="14" t="n">
        <f aca="false">J88-R88</f>
        <v>-0.69981308411215</v>
      </c>
      <c r="T88" s="14" t="n">
        <f aca="false">MIN(122.1,(T87+S88))</f>
        <v>116.375934579439</v>
      </c>
      <c r="V88" s="6" t="n">
        <v>864.1</v>
      </c>
      <c r="X88" s="6" t="n">
        <f aca="false">X87+V88</f>
        <v>33320.8</v>
      </c>
      <c r="AA88" s="6" t="n">
        <v>10.5892150782014</v>
      </c>
    </row>
    <row r="89" s="6" customFormat="true" ht="15" hidden="false" customHeight="false" outlineLevel="0" collapsed="false">
      <c r="A89" s="11"/>
      <c r="B89" s="12"/>
      <c r="C89" s="7" t="n">
        <v>41205</v>
      </c>
      <c r="D89" s="6" t="n">
        <v>11.2</v>
      </c>
      <c r="E89" s="6" t="n">
        <v>10.8</v>
      </c>
      <c r="F89" s="6" t="n">
        <v>11.3</v>
      </c>
      <c r="G89" s="6" t="n">
        <f aca="false">G88+D89</f>
        <v>581.2</v>
      </c>
      <c r="J89" s="6" t="n">
        <v>0.1</v>
      </c>
      <c r="K89" s="6" t="n">
        <f aca="false">K88+J89</f>
        <v>152.1</v>
      </c>
      <c r="L89" s="6" t="n">
        <v>0.7</v>
      </c>
      <c r="M89" s="6" t="n">
        <f aca="false">M88+L89</f>
        <v>66.2</v>
      </c>
      <c r="N89" s="6" t="n">
        <v>-0.6</v>
      </c>
      <c r="O89" s="6" t="n">
        <f aca="false">O88+N89</f>
        <v>102.1</v>
      </c>
      <c r="P89" s="6" t="n">
        <v>42</v>
      </c>
      <c r="Q89" s="6" t="n">
        <f aca="false">0.35+((P89-10)/107)*(1-0.35)</f>
        <v>0.544392523364486</v>
      </c>
      <c r="R89" s="14" t="n">
        <f aca="false">Q89*L89</f>
        <v>0.38107476635514</v>
      </c>
      <c r="S89" s="14" t="n">
        <f aca="false">J89-R89</f>
        <v>-0.28107476635514</v>
      </c>
      <c r="T89" s="14" t="n">
        <f aca="false">MIN(122.1,(T88+S89))</f>
        <v>116.094859813084</v>
      </c>
      <c r="V89" s="6" t="n">
        <v>293.8</v>
      </c>
      <c r="X89" s="6" t="n">
        <f aca="false">X88+V89</f>
        <v>33614.6</v>
      </c>
      <c r="AA89" s="6" t="n">
        <v>10.5354510521725</v>
      </c>
    </row>
    <row r="90" s="6" customFormat="true" ht="15" hidden="false" customHeight="false" outlineLevel="0" collapsed="false">
      <c r="A90" s="11"/>
      <c r="B90" s="12"/>
      <c r="C90" s="7" t="n">
        <v>41206</v>
      </c>
      <c r="D90" s="6" t="n">
        <v>10.9</v>
      </c>
      <c r="E90" s="6" t="n">
        <v>9.8</v>
      </c>
      <c r="F90" s="6" t="n">
        <v>12.4</v>
      </c>
      <c r="G90" s="6" t="n">
        <f aca="false">G89+D90</f>
        <v>592.1</v>
      </c>
      <c r="J90" s="6" t="n">
        <v>0</v>
      </c>
      <c r="K90" s="6" t="n">
        <f aca="false">K89+J90</f>
        <v>152.1</v>
      </c>
      <c r="L90" s="6" t="n">
        <v>0.6</v>
      </c>
      <c r="M90" s="6" t="n">
        <f aca="false">M89+L90</f>
        <v>66.8</v>
      </c>
      <c r="N90" s="6" t="n">
        <v>-0.6</v>
      </c>
      <c r="O90" s="6" t="n">
        <f aca="false">O89+N90</f>
        <v>101.5</v>
      </c>
      <c r="P90" s="6" t="n">
        <v>43</v>
      </c>
      <c r="Q90" s="6" t="n">
        <f aca="false">0.35+((P90-10)/107)*(1-0.35)</f>
        <v>0.550467289719626</v>
      </c>
      <c r="R90" s="14" t="n">
        <f aca="false">Q90*L90</f>
        <v>0.330280373831776</v>
      </c>
      <c r="S90" s="14" t="n">
        <f aca="false">J90-R90</f>
        <v>-0.330280373831776</v>
      </c>
      <c r="T90" s="14" t="n">
        <f aca="false">MIN(122.1,(T89+S90))</f>
        <v>115.764579439252</v>
      </c>
      <c r="V90" s="6" t="n">
        <v>218.3</v>
      </c>
      <c r="X90" s="6" t="n">
        <f aca="false">X89+V90</f>
        <v>33832.9</v>
      </c>
      <c r="AA90" s="6" t="n">
        <v>10.4819120152137</v>
      </c>
    </row>
    <row r="91" s="6" customFormat="true" ht="15" hidden="false" customHeight="false" outlineLevel="0" collapsed="false">
      <c r="A91" s="11"/>
      <c r="B91" s="12"/>
      <c r="C91" s="7" t="n">
        <v>41207</v>
      </c>
      <c r="D91" s="6" t="n">
        <v>11.2</v>
      </c>
      <c r="E91" s="6" t="n">
        <v>9.4</v>
      </c>
      <c r="F91" s="6" t="n">
        <v>15.3</v>
      </c>
      <c r="G91" s="6" t="n">
        <f aca="false">G90+D91</f>
        <v>603.3</v>
      </c>
      <c r="J91" s="6" t="n">
        <v>0</v>
      </c>
      <c r="K91" s="6" t="n">
        <f aca="false">K90+J91</f>
        <v>152.1</v>
      </c>
      <c r="L91" s="6" t="n">
        <v>1.1</v>
      </c>
      <c r="M91" s="6" t="n">
        <f aca="false">M90+L91</f>
        <v>67.9</v>
      </c>
      <c r="N91" s="6" t="n">
        <v>-1.1</v>
      </c>
      <c r="O91" s="6" t="n">
        <f aca="false">O90+N91</f>
        <v>100.4</v>
      </c>
      <c r="P91" s="6" t="n">
        <v>44</v>
      </c>
      <c r="Q91" s="6" t="n">
        <f aca="false">0.35+((P91-10)/107)*(1-0.35)</f>
        <v>0.556542056074766</v>
      </c>
      <c r="R91" s="14" t="n">
        <f aca="false">Q91*L91</f>
        <v>0.612196261682243</v>
      </c>
      <c r="S91" s="14" t="n">
        <f aca="false">J91-R91</f>
        <v>-0.612196261682243</v>
      </c>
      <c r="T91" s="14" t="n">
        <f aca="false">MIN(122.1,(T90+S91))</f>
        <v>115.15238317757</v>
      </c>
      <c r="V91" s="6" t="n">
        <v>462.5</v>
      </c>
      <c r="X91" s="6" t="n">
        <f aca="false">X90+V91</f>
        <v>34295.4</v>
      </c>
      <c r="AA91" s="6" t="n">
        <v>10.4286115623264</v>
      </c>
    </row>
    <row r="92" s="6" customFormat="true" ht="15" hidden="false" customHeight="false" outlineLevel="0" collapsed="false">
      <c r="A92" s="11"/>
      <c r="B92" s="12"/>
      <c r="C92" s="7" t="n">
        <v>41208</v>
      </c>
      <c r="D92" s="6" t="n">
        <v>9.7</v>
      </c>
      <c r="E92" s="6" t="n">
        <v>8.1</v>
      </c>
      <c r="F92" s="6" t="n">
        <v>11.2</v>
      </c>
      <c r="G92" s="6" t="n">
        <f aca="false">G91+D92</f>
        <v>613</v>
      </c>
      <c r="J92" s="6" t="n">
        <v>17.9</v>
      </c>
      <c r="K92" s="6" t="n">
        <f aca="false">K91+J92</f>
        <v>170</v>
      </c>
      <c r="L92" s="6" t="n">
        <v>0.4</v>
      </c>
      <c r="M92" s="6" t="n">
        <f aca="false">M91+L92</f>
        <v>68.3</v>
      </c>
      <c r="N92" s="6" t="n">
        <v>17.5</v>
      </c>
      <c r="O92" s="6" t="n">
        <f aca="false">O91+N92</f>
        <v>117.9</v>
      </c>
      <c r="P92" s="6" t="n">
        <v>45</v>
      </c>
      <c r="Q92" s="6" t="n">
        <f aca="false">0.35+((P92-10)/107)*(1-0.35)</f>
        <v>0.562616822429907</v>
      </c>
      <c r="R92" s="14" t="n">
        <f aca="false">Q92*L92</f>
        <v>0.225046728971963</v>
      </c>
      <c r="S92" s="14" t="n">
        <f aca="false">J92-R92</f>
        <v>17.674953271028</v>
      </c>
      <c r="T92" s="14" t="n">
        <f aca="false">MIN(122.1,(T91+S92))</f>
        <v>122.1</v>
      </c>
      <c r="V92" s="6" t="n">
        <v>138</v>
      </c>
      <c r="X92" s="6" t="n">
        <f aca="false">X91+V92</f>
        <v>34433.4</v>
      </c>
      <c r="AA92" s="6" t="n">
        <v>10.3755638147004</v>
      </c>
    </row>
    <row r="93" s="6" customFormat="true" ht="15" hidden="false" customHeight="false" outlineLevel="0" collapsed="false">
      <c r="A93" s="11"/>
      <c r="B93" s="12"/>
      <c r="C93" s="7" t="n">
        <v>41209</v>
      </c>
      <c r="D93" s="6" t="n">
        <v>4.1</v>
      </c>
      <c r="E93" s="6" t="n">
        <v>3.1</v>
      </c>
      <c r="F93" s="6" t="n">
        <v>5.2</v>
      </c>
      <c r="G93" s="6" t="n">
        <f aca="false">G92+D93</f>
        <v>617.1</v>
      </c>
      <c r="J93" s="6" t="n">
        <v>0.3</v>
      </c>
      <c r="K93" s="6" t="n">
        <f aca="false">K92+J93</f>
        <v>170.3</v>
      </c>
      <c r="L93" s="6" t="n">
        <v>0.8</v>
      </c>
      <c r="M93" s="6" t="n">
        <f aca="false">M92+L93</f>
        <v>69.1</v>
      </c>
      <c r="N93" s="6" t="n">
        <v>-0.5</v>
      </c>
      <c r="O93" s="6" t="n">
        <f aca="false">O92+N93</f>
        <v>117.4</v>
      </c>
      <c r="P93" s="6" t="n">
        <v>46</v>
      </c>
      <c r="Q93" s="6" t="n">
        <f aca="false">0.35+((P93-10)/107)*(1-0.35)</f>
        <v>0.568691588785047</v>
      </c>
      <c r="R93" s="14" t="n">
        <f aca="false">Q93*L93</f>
        <v>0.454953271028037</v>
      </c>
      <c r="S93" s="14" t="n">
        <f aca="false">J93-R93</f>
        <v>-0.154953271028037</v>
      </c>
      <c r="T93" s="14" t="n">
        <f aca="false">MIN(122.1,(T92+S93))</f>
        <v>121.945046728972</v>
      </c>
      <c r="V93" s="6" t="n">
        <v>199.6</v>
      </c>
      <c r="X93" s="6" t="n">
        <f aca="false">X92+V93</f>
        <v>34633</v>
      </c>
      <c r="AA93" s="6" t="n">
        <v>10.3227834331477</v>
      </c>
    </row>
    <row r="94" s="6" customFormat="true" ht="15" hidden="false" customHeight="false" outlineLevel="0" collapsed="false">
      <c r="A94" s="11"/>
      <c r="B94" s="12"/>
      <c r="C94" s="7" t="n">
        <v>41210</v>
      </c>
      <c r="D94" s="6" t="n">
        <v>2.2</v>
      </c>
      <c r="E94" s="6" t="n">
        <v>0.8</v>
      </c>
      <c r="F94" s="6" t="n">
        <v>6.1</v>
      </c>
      <c r="G94" s="6" t="n">
        <f aca="false">G93+D94</f>
        <v>619.3</v>
      </c>
      <c r="J94" s="6" t="n">
        <v>0</v>
      </c>
      <c r="K94" s="6" t="n">
        <f aca="false">K93+J94</f>
        <v>170.3</v>
      </c>
      <c r="L94" s="6" t="n">
        <v>1.8</v>
      </c>
      <c r="M94" s="6" t="n">
        <f aca="false">M93+L94</f>
        <v>70.9</v>
      </c>
      <c r="N94" s="6" t="n">
        <v>-1.8</v>
      </c>
      <c r="O94" s="6" t="n">
        <f aca="false">O93+N94</f>
        <v>115.6</v>
      </c>
      <c r="P94" s="6" t="n">
        <v>47</v>
      </c>
      <c r="Q94" s="6" t="n">
        <f aca="false">0.35+((P94-10)/107)*(1-0.35)</f>
        <v>0.574766355140187</v>
      </c>
      <c r="R94" s="14" t="n">
        <f aca="false">Q94*L94</f>
        <v>1.03457943925234</v>
      </c>
      <c r="S94" s="14" t="n">
        <f aca="false">J94-R94</f>
        <v>-1.03457943925234</v>
      </c>
      <c r="T94" s="14" t="n">
        <f aca="false">MIN(122.1,(T93+S94))</f>
        <v>120.91046728972</v>
      </c>
      <c r="V94" s="6" t="n">
        <v>636.9</v>
      </c>
      <c r="X94" s="6" t="n">
        <f aca="false">X93+V94</f>
        <v>35269.9</v>
      </c>
      <c r="AA94" s="6" t="n">
        <v>10.2702856307623</v>
      </c>
    </row>
    <row r="95" s="6" customFormat="true" ht="15" hidden="false" customHeight="false" outlineLevel="0" collapsed="false">
      <c r="A95" s="11"/>
      <c r="B95" s="12"/>
      <c r="C95" s="7" t="n">
        <v>41211</v>
      </c>
      <c r="D95" s="6" t="n">
        <v>1</v>
      </c>
      <c r="E95" s="6" t="n">
        <v>-4.1</v>
      </c>
      <c r="F95" s="6" t="n">
        <v>7.8</v>
      </c>
      <c r="G95" s="6" t="n">
        <f aca="false">G94+D95</f>
        <v>620.3</v>
      </c>
      <c r="J95" s="6" t="n">
        <v>0</v>
      </c>
      <c r="K95" s="6" t="n">
        <f aca="false">K94+J95</f>
        <v>170.3</v>
      </c>
      <c r="L95" s="6" t="n">
        <v>0.6</v>
      </c>
      <c r="M95" s="6" t="n">
        <f aca="false">M94+L95</f>
        <v>71.5</v>
      </c>
      <c r="N95" s="6" t="n">
        <v>-0.6</v>
      </c>
      <c r="O95" s="6" t="n">
        <f aca="false">O94+N95</f>
        <v>115</v>
      </c>
      <c r="P95" s="6" t="n">
        <v>48</v>
      </c>
      <c r="Q95" s="6" t="n">
        <f aca="false">0.35+((P95-10)/107)*(1-0.35)</f>
        <v>0.580841121495327</v>
      </c>
      <c r="R95" s="14" t="n">
        <f aca="false">Q95*L95</f>
        <v>0.348504672897196</v>
      </c>
      <c r="S95" s="14" t="n">
        <f aca="false">J95-R95</f>
        <v>-0.348504672897196</v>
      </c>
      <c r="T95" s="14" t="n">
        <f aca="false">MIN(122.1,(T94+S95))</f>
        <v>120.561962616822</v>
      </c>
      <c r="V95" s="6" t="n">
        <v>544.5</v>
      </c>
      <c r="X95" s="6" t="n">
        <f aca="false">X94+V95</f>
        <v>35814.4</v>
      </c>
      <c r="AA95" s="6" t="n">
        <v>10.2180861847098</v>
      </c>
    </row>
    <row r="96" s="6" customFormat="true" ht="15" hidden="false" customHeight="false" outlineLevel="0" collapsed="false">
      <c r="A96" s="11"/>
      <c r="B96" s="12"/>
      <c r="C96" s="7" t="n">
        <v>41212</v>
      </c>
      <c r="D96" s="6" t="n">
        <v>2.3</v>
      </c>
      <c r="E96" s="6" t="n">
        <v>-1.9</v>
      </c>
      <c r="F96" s="6" t="n">
        <v>10.1</v>
      </c>
      <c r="G96" s="6" t="n">
        <f aca="false">G95+D96</f>
        <v>622.6</v>
      </c>
      <c r="J96" s="6" t="n">
        <v>0</v>
      </c>
      <c r="K96" s="6" t="n">
        <f aca="false">K95+J96</f>
        <v>170.3</v>
      </c>
      <c r="L96" s="6" t="n">
        <v>1.1</v>
      </c>
      <c r="M96" s="6" t="n">
        <f aca="false">M95+L96</f>
        <v>72.6</v>
      </c>
      <c r="N96" s="6" t="n">
        <v>-1.1</v>
      </c>
      <c r="O96" s="6" t="n">
        <f aca="false">O95+N96</f>
        <v>113.9</v>
      </c>
      <c r="P96" s="6" t="n">
        <v>49</v>
      </c>
      <c r="Q96" s="6" t="n">
        <f aca="false">0.35+((P96-10)/107)*(1-0.35)</f>
        <v>0.586915887850467</v>
      </c>
      <c r="R96" s="14" t="n">
        <f aca="false">Q96*L96</f>
        <v>0.645607476635514</v>
      </c>
      <c r="S96" s="14" t="n">
        <f aca="false">J96-R96</f>
        <v>-0.645607476635514</v>
      </c>
      <c r="T96" s="14" t="n">
        <f aca="false">MIN(122.1,(T95+S96))</f>
        <v>119.916355140187</v>
      </c>
      <c r="V96" s="6" t="n">
        <v>976</v>
      </c>
      <c r="X96" s="6" t="n">
        <f aca="false">X95+V96</f>
        <v>36790.4</v>
      </c>
      <c r="AA96" s="6" t="n">
        <v>10.166201447046</v>
      </c>
    </row>
    <row r="97" s="6" customFormat="true" ht="15" hidden="false" customHeight="false" outlineLevel="0" collapsed="false">
      <c r="A97" s="11"/>
      <c r="B97" s="12"/>
      <c r="C97" s="7" t="n">
        <v>41213</v>
      </c>
      <c r="D97" s="6" t="n">
        <v>2.8</v>
      </c>
      <c r="E97" s="6" t="n">
        <v>-2.8</v>
      </c>
      <c r="F97" s="6" t="n">
        <v>8.3</v>
      </c>
      <c r="G97" s="6" t="n">
        <f aca="false">G96+D97</f>
        <v>625.4</v>
      </c>
      <c r="J97" s="6" t="n">
        <v>0</v>
      </c>
      <c r="K97" s="6" t="n">
        <f aca="false">K96+J97</f>
        <v>170.3</v>
      </c>
      <c r="L97" s="6" t="n">
        <v>0.5</v>
      </c>
      <c r="M97" s="6" t="n">
        <f aca="false">M96+L97</f>
        <v>73.1</v>
      </c>
      <c r="N97" s="6" t="n">
        <v>-0.5</v>
      </c>
      <c r="O97" s="6" t="n">
        <f aca="false">O96+N97</f>
        <v>113.4</v>
      </c>
      <c r="P97" s="6" t="n">
        <v>50</v>
      </c>
      <c r="Q97" s="6" t="n">
        <f aca="false">0.35+((P97-10)/107)*(1-0.35)</f>
        <v>0.592990654205608</v>
      </c>
      <c r="R97" s="14" t="n">
        <f aca="false">Q97*L97</f>
        <v>0.296495327102804</v>
      </c>
      <c r="S97" s="14" t="n">
        <f aca="false">J97-R97</f>
        <v>-0.296495327102804</v>
      </c>
      <c r="T97" s="14" t="n">
        <f aca="false">MIN(122.1,(T96+S97))</f>
        <v>119.619859813084</v>
      </c>
      <c r="V97" s="6" t="n">
        <v>545.6</v>
      </c>
      <c r="X97" s="6" t="n">
        <f aca="false">X96+V97</f>
        <v>37336</v>
      </c>
      <c r="AA97" s="6" t="n">
        <v>10.1146483544551</v>
      </c>
    </row>
    <row r="98" s="6" customFormat="true" ht="15" hidden="false" customHeight="false" outlineLevel="0" collapsed="false">
      <c r="A98" s="11"/>
      <c r="B98" s="12"/>
      <c r="C98" s="7" t="n">
        <v>41214</v>
      </c>
      <c r="D98" s="6" t="n">
        <v>6</v>
      </c>
      <c r="E98" s="6" t="n">
        <v>2.3</v>
      </c>
      <c r="F98" s="6" t="n">
        <v>9</v>
      </c>
      <c r="G98" s="6" t="n">
        <f aca="false">G97+D98</f>
        <v>631.4</v>
      </c>
      <c r="J98" s="6" t="n">
        <v>3.2</v>
      </c>
      <c r="K98" s="6" t="n">
        <f aca="false">K97+J98</f>
        <v>173.5</v>
      </c>
      <c r="L98" s="6" t="n">
        <v>0.5</v>
      </c>
      <c r="M98" s="6" t="n">
        <f aca="false">M97+L98</f>
        <v>73.6</v>
      </c>
      <c r="N98" s="6" t="n">
        <v>2.7</v>
      </c>
      <c r="O98" s="6" t="n">
        <f aca="false">O97+N98</f>
        <v>116.1</v>
      </c>
      <c r="P98" s="6" t="n">
        <v>51</v>
      </c>
      <c r="Q98" s="6" t="n">
        <f aca="false">0.35+((P98-10)/107)*(1-0.35)</f>
        <v>0.599065420560748</v>
      </c>
      <c r="R98" s="14" t="n">
        <f aca="false">Q98*L98</f>
        <v>0.299532710280374</v>
      </c>
      <c r="S98" s="14" t="n">
        <f aca="false">J98-R98</f>
        <v>2.90046728971963</v>
      </c>
      <c r="T98" s="14" t="n">
        <f aca="false">MIN(122.1,(T97+S98))</f>
        <v>122.1</v>
      </c>
      <c r="V98" s="6" t="n">
        <v>165.3</v>
      </c>
      <c r="X98" s="6" t="n">
        <f aca="false">X97+V98</f>
        <v>37501.3</v>
      </c>
      <c r="AA98" s="6" t="n">
        <v>10.0634444367965</v>
      </c>
    </row>
    <row r="99" s="6" customFormat="true" ht="15" hidden="false" customHeight="false" outlineLevel="0" collapsed="false">
      <c r="A99" s="11"/>
      <c r="B99" s="12"/>
      <c r="C99" s="7" t="n">
        <v>41215</v>
      </c>
      <c r="D99" s="6" t="n">
        <v>9.8</v>
      </c>
      <c r="E99" s="6" t="n">
        <v>6.7</v>
      </c>
      <c r="F99" s="6" t="n">
        <v>12.3</v>
      </c>
      <c r="G99" s="6" t="n">
        <f aca="false">G98+D99</f>
        <v>641.2</v>
      </c>
      <c r="J99" s="6" t="n">
        <v>12.2</v>
      </c>
      <c r="K99" s="6" t="n">
        <f aca="false">K98+J99</f>
        <v>185.7</v>
      </c>
      <c r="L99" s="6" t="n">
        <v>1.4</v>
      </c>
      <c r="M99" s="6" t="n">
        <f aca="false">M98+L99</f>
        <v>75</v>
      </c>
      <c r="N99" s="6" t="n">
        <v>10.8</v>
      </c>
      <c r="O99" s="6" t="n">
        <v>122.1</v>
      </c>
      <c r="P99" s="6" t="n">
        <v>52</v>
      </c>
      <c r="Q99" s="6" t="n">
        <f aca="false">0.35+((P99-10)/107)*(1-0.35)</f>
        <v>0.605140186915888</v>
      </c>
      <c r="R99" s="14" t="n">
        <f aca="false">Q99*L99</f>
        <v>0.847196261682243</v>
      </c>
      <c r="S99" s="14" t="n">
        <f aca="false">J99-R99</f>
        <v>11.3528037383178</v>
      </c>
      <c r="T99" s="14" t="n">
        <f aca="false">MIN(122.1,(T98+S99))</f>
        <v>122.1</v>
      </c>
      <c r="V99" s="6" t="n">
        <v>205.2</v>
      </c>
      <c r="X99" s="6" t="n">
        <f aca="false">X98+V99</f>
        <v>37706.5</v>
      </c>
      <c r="AA99" s="6" t="n">
        <v>10.0126078243393</v>
      </c>
    </row>
    <row r="100" s="6" customFormat="true" ht="15" hidden="false" customHeight="false" outlineLevel="0" collapsed="false">
      <c r="A100" s="11"/>
      <c r="B100" s="12"/>
      <c r="C100" s="7" t="n">
        <v>41216</v>
      </c>
      <c r="D100" s="6" t="n">
        <v>13.5</v>
      </c>
      <c r="E100" s="6" t="n">
        <v>10</v>
      </c>
      <c r="F100" s="6" t="n">
        <v>17.2</v>
      </c>
      <c r="G100" s="6" t="n">
        <f aca="false">G99+D100</f>
        <v>654.7</v>
      </c>
      <c r="J100" s="6" t="n">
        <v>7.7</v>
      </c>
      <c r="K100" s="6" t="n">
        <f aca="false">K99+J100</f>
        <v>193.4</v>
      </c>
      <c r="L100" s="6" t="n">
        <v>2</v>
      </c>
      <c r="M100" s="6" t="n">
        <f aca="false">M99+L100</f>
        <v>77</v>
      </c>
      <c r="N100" s="6" t="n">
        <v>5.7</v>
      </c>
      <c r="O100" s="6" t="n">
        <v>122.1</v>
      </c>
      <c r="P100" s="6" t="n">
        <v>53</v>
      </c>
      <c r="Q100" s="6" t="n">
        <f aca="false">0.35+((P100-10)/107)*(1-0.35)</f>
        <v>0.611214953271028</v>
      </c>
      <c r="R100" s="14" t="n">
        <f aca="false">Q100*L100</f>
        <v>1.22242990654206</v>
      </c>
      <c r="S100" s="14" t="n">
        <f aca="false">J100-R100</f>
        <v>6.47757009345794</v>
      </c>
      <c r="T100" s="14" t="n">
        <f aca="false">MIN(122.1,(T99+S100))</f>
        <v>122.1</v>
      </c>
      <c r="V100" s="6" t="n">
        <v>183.1</v>
      </c>
      <c r="X100" s="6" t="n">
        <f aca="false">X99+V100</f>
        <v>37889.6</v>
      </c>
      <c r="AA100" s="6" t="n">
        <v>9.96215725356092</v>
      </c>
    </row>
    <row r="101" s="6" customFormat="true" ht="15" hidden="false" customHeight="false" outlineLevel="0" collapsed="false">
      <c r="A101" s="11"/>
      <c r="B101" s="12"/>
      <c r="C101" s="7" t="n">
        <v>41217</v>
      </c>
      <c r="D101" s="6" t="n">
        <v>10.5</v>
      </c>
      <c r="E101" s="6" t="n">
        <v>8.7</v>
      </c>
      <c r="F101" s="6" t="n">
        <v>13.9</v>
      </c>
      <c r="G101" s="6" t="n">
        <f aca="false">G100+D101</f>
        <v>665.2</v>
      </c>
      <c r="J101" s="6" t="n">
        <v>8.5</v>
      </c>
      <c r="K101" s="6" t="n">
        <f aca="false">K100+J101</f>
        <v>201.9</v>
      </c>
      <c r="L101" s="6" t="n">
        <v>0.6</v>
      </c>
      <c r="M101" s="6" t="n">
        <f aca="false">M100+L101</f>
        <v>77.6</v>
      </c>
      <c r="N101" s="6" t="n">
        <v>7.9</v>
      </c>
      <c r="O101" s="6" t="n">
        <v>122.1</v>
      </c>
      <c r="P101" s="6" t="n">
        <v>54</v>
      </c>
      <c r="Q101" s="6" t="n">
        <f aca="false">0.35+((P101-10)/107)*(1-0.35)</f>
        <v>0.617289719626168</v>
      </c>
      <c r="R101" s="14" t="n">
        <f aca="false">Q101*L101</f>
        <v>0.370373831775701</v>
      </c>
      <c r="S101" s="14" t="n">
        <f aca="false">J101-R101</f>
        <v>8.1296261682243</v>
      </c>
      <c r="T101" s="14" t="n">
        <f aca="false">MIN(122.1,(T100+S101))</f>
        <v>122.1</v>
      </c>
      <c r="V101" s="6" t="n">
        <v>270.8</v>
      </c>
      <c r="X101" s="6" t="n">
        <f aca="false">X100+V101</f>
        <v>38160.4</v>
      </c>
      <c r="AA101" s="6" t="n">
        <v>9.91211207138021</v>
      </c>
    </row>
    <row r="102" s="6" customFormat="true" ht="15" hidden="false" customHeight="false" outlineLevel="0" collapsed="false">
      <c r="A102" s="11"/>
      <c r="B102" s="12"/>
      <c r="C102" s="7" t="n">
        <v>41218</v>
      </c>
      <c r="D102" s="6" t="n">
        <v>7.9</v>
      </c>
      <c r="E102" s="6" t="n">
        <v>5.9</v>
      </c>
      <c r="F102" s="6" t="n">
        <v>10.3</v>
      </c>
      <c r="G102" s="6" t="n">
        <f aca="false">G101+D102</f>
        <v>673.1</v>
      </c>
      <c r="J102" s="6" t="n">
        <v>4.2</v>
      </c>
      <c r="K102" s="6" t="n">
        <f aca="false">K101+J102</f>
        <v>206.1</v>
      </c>
      <c r="L102" s="6" t="n">
        <v>0.5</v>
      </c>
      <c r="M102" s="6" t="n">
        <f aca="false">M101+L102</f>
        <v>78.1</v>
      </c>
      <c r="N102" s="6" t="n">
        <v>3.7</v>
      </c>
      <c r="O102" s="6" t="n">
        <v>122.1</v>
      </c>
      <c r="P102" s="6" t="n">
        <v>55</v>
      </c>
      <c r="Q102" s="6" t="n">
        <f aca="false">0.35+((P102-10)/107)*(1-0.35)</f>
        <v>0.623364485981308</v>
      </c>
      <c r="R102" s="14" t="n">
        <f aca="false">Q102*L102</f>
        <v>0.311682242990654</v>
      </c>
      <c r="S102" s="14" t="n">
        <f aca="false">J102-R102</f>
        <v>3.88831775700935</v>
      </c>
      <c r="T102" s="14" t="n">
        <f aca="false">MIN(122.1,(T101+S102))</f>
        <v>122.1</v>
      </c>
      <c r="V102" s="6" t="n">
        <v>161.6</v>
      </c>
      <c r="X102" s="6" t="n">
        <f aca="false">X101+V102</f>
        <v>38322</v>
      </c>
      <c r="AA102" s="6" t="n">
        <v>9.86249223769184</v>
      </c>
    </row>
    <row r="103" s="6" customFormat="true" ht="15" hidden="false" customHeight="false" outlineLevel="0" collapsed="false">
      <c r="A103" s="11"/>
      <c r="B103" s="12"/>
      <c r="C103" s="7" t="n">
        <v>41219</v>
      </c>
      <c r="D103" s="6" t="n">
        <v>5.7</v>
      </c>
      <c r="E103" s="6" t="n">
        <v>4.7</v>
      </c>
      <c r="F103" s="6" t="n">
        <v>9.3</v>
      </c>
      <c r="G103" s="6" t="n">
        <f aca="false">G102+D103</f>
        <v>678.8</v>
      </c>
      <c r="J103" s="6" t="n">
        <v>0.2</v>
      </c>
      <c r="K103" s="6" t="n">
        <f aca="false">K102+J103</f>
        <v>206.3</v>
      </c>
      <c r="L103" s="6" t="n">
        <v>0.5</v>
      </c>
      <c r="M103" s="6" t="n">
        <f aca="false">M102+L103</f>
        <v>78.6</v>
      </c>
      <c r="N103" s="6" t="n">
        <v>-0.3</v>
      </c>
      <c r="O103" s="6" t="n">
        <f aca="false">O102+N103</f>
        <v>121.8</v>
      </c>
      <c r="P103" s="6" t="n">
        <v>56</v>
      </c>
      <c r="Q103" s="6" t="n">
        <f aca="false">0.35+((P103-10)/107)*(1-0.35)</f>
        <v>0.629439252336449</v>
      </c>
      <c r="R103" s="14" t="n">
        <f aca="false">Q103*L103</f>
        <v>0.314719626168224</v>
      </c>
      <c r="S103" s="14" t="n">
        <f aca="false">J103-R103</f>
        <v>-0.114719626168224</v>
      </c>
      <c r="T103" s="14" t="n">
        <f aca="false">MIN(122.1,(T102+S103))</f>
        <v>121.985280373832</v>
      </c>
      <c r="V103" s="6" t="n">
        <v>450.5</v>
      </c>
      <c r="X103" s="6" t="n">
        <f aca="false">X102+V103</f>
        <v>38772.5</v>
      </c>
      <c r="AA103" s="6" t="n">
        <v>9.81331832606298</v>
      </c>
    </row>
    <row r="104" s="6" customFormat="true" ht="15" hidden="false" customHeight="false" outlineLevel="0" collapsed="false">
      <c r="A104" s="11"/>
      <c r="B104" s="12"/>
      <c r="C104" s="7" t="n">
        <v>41220</v>
      </c>
      <c r="D104" s="6" t="n">
        <v>4.9</v>
      </c>
      <c r="E104" s="6" t="n">
        <v>1.6</v>
      </c>
      <c r="F104" s="6" t="n">
        <v>8.5</v>
      </c>
      <c r="G104" s="6" t="n">
        <f aca="false">G103+D104</f>
        <v>683.7</v>
      </c>
      <c r="J104" s="6" t="n">
        <v>0</v>
      </c>
      <c r="K104" s="6" t="n">
        <f aca="false">K103+J104</f>
        <v>206.3</v>
      </c>
      <c r="L104" s="6" t="n">
        <v>0.3</v>
      </c>
      <c r="M104" s="6" t="n">
        <f aca="false">M103+L104</f>
        <v>78.9</v>
      </c>
      <c r="N104" s="6" t="n">
        <v>-0.3</v>
      </c>
      <c r="O104" s="6" t="n">
        <f aca="false">O103+N104</f>
        <v>121.5</v>
      </c>
      <c r="P104" s="6" t="n">
        <v>57</v>
      </c>
      <c r="Q104" s="6" t="n">
        <f aca="false">0.35+((P104-10)/107)*(1-0.35)</f>
        <v>0.635514018691589</v>
      </c>
      <c r="R104" s="14" t="n">
        <f aca="false">Q104*L104</f>
        <v>0.190654205607477</v>
      </c>
      <c r="S104" s="14" t="n">
        <f aca="false">J104-R104</f>
        <v>-0.190654205607477</v>
      </c>
      <c r="T104" s="14" t="n">
        <f aca="false">MIN(122.1,(T103+S104))</f>
        <v>121.794626168224</v>
      </c>
      <c r="V104" s="6" t="n">
        <v>178.7</v>
      </c>
      <c r="X104" s="6" t="n">
        <f aca="false">X103+V104</f>
        <v>38951.2</v>
      </c>
      <c r="AA104" s="6" t="n">
        <v>9.76461152245181</v>
      </c>
    </row>
    <row r="105" s="6" customFormat="true" ht="15" hidden="false" customHeight="false" outlineLevel="0" collapsed="false">
      <c r="A105" s="11"/>
      <c r="B105" s="12"/>
      <c r="C105" s="7" t="n">
        <v>41221</v>
      </c>
      <c r="D105" s="6" t="n">
        <v>4</v>
      </c>
      <c r="E105" s="6" t="n">
        <v>1.7</v>
      </c>
      <c r="F105" s="6" t="n">
        <v>6.4</v>
      </c>
      <c r="G105" s="6" t="n">
        <f aca="false">G104+D105</f>
        <v>687.7</v>
      </c>
      <c r="J105" s="6" t="n">
        <v>0</v>
      </c>
      <c r="K105" s="6" t="n">
        <f aca="false">K104+J105</f>
        <v>206.3</v>
      </c>
      <c r="L105" s="6" t="n">
        <v>0.3</v>
      </c>
      <c r="M105" s="6" t="n">
        <f aca="false">M104+L105</f>
        <v>79.2</v>
      </c>
      <c r="N105" s="6" t="n">
        <v>-0.3</v>
      </c>
      <c r="O105" s="6" t="n">
        <f aca="false">O104+N105</f>
        <v>121.2</v>
      </c>
      <c r="P105" s="6" t="n">
        <v>58</v>
      </c>
      <c r="Q105" s="6" t="n">
        <f aca="false">0.35+((P105-10)/107)*(1-0.35)</f>
        <v>0.641588785046729</v>
      </c>
      <c r="R105" s="14" t="n">
        <f aca="false">Q105*L105</f>
        <v>0.192476635514019</v>
      </c>
      <c r="S105" s="14" t="n">
        <f aca="false">J105-R105</f>
        <v>-0.192476635514019</v>
      </c>
      <c r="T105" s="14" t="n">
        <f aca="false">MIN(122.1,(T104+S105))</f>
        <v>121.60214953271</v>
      </c>
      <c r="V105" s="6" t="n">
        <v>259.9</v>
      </c>
      <c r="X105" s="6" t="n">
        <f aca="false">X104+V105</f>
        <v>39211.1</v>
      </c>
      <c r="AA105" s="6" t="n">
        <v>9.71639362180369</v>
      </c>
    </row>
    <row r="106" s="6" customFormat="true" ht="15" hidden="false" customHeight="false" outlineLevel="0" collapsed="false">
      <c r="A106" s="11"/>
      <c r="B106" s="12"/>
      <c r="C106" s="7" t="n">
        <v>41222</v>
      </c>
      <c r="D106" s="6" t="n">
        <v>4.6</v>
      </c>
      <c r="E106" s="6" t="n">
        <v>0.7</v>
      </c>
      <c r="F106" s="6" t="n">
        <v>10.6</v>
      </c>
      <c r="G106" s="6" t="n">
        <f aca="false">G105+D106</f>
        <v>692.3</v>
      </c>
      <c r="J106" s="6" t="n">
        <v>6.5</v>
      </c>
      <c r="K106" s="6" t="n">
        <f aca="false">K105+J106</f>
        <v>212.8</v>
      </c>
      <c r="L106" s="6" t="n">
        <v>0.7</v>
      </c>
      <c r="M106" s="6" t="n">
        <f aca="false">M105+L106</f>
        <v>79.9</v>
      </c>
      <c r="N106" s="6" t="n">
        <v>5.8</v>
      </c>
      <c r="O106" s="6" t="n">
        <v>122.1</v>
      </c>
      <c r="P106" s="6" t="n">
        <v>59</v>
      </c>
      <c r="Q106" s="6" t="n">
        <f aca="false">0.35+((P106-10)/107)*(1-0.35)</f>
        <v>0.647663551401869</v>
      </c>
      <c r="R106" s="14" t="n">
        <f aca="false">Q106*L106</f>
        <v>0.453364485981308</v>
      </c>
      <c r="S106" s="14" t="n">
        <f aca="false">J106-R106</f>
        <v>6.04663551401869</v>
      </c>
      <c r="T106" s="14" t="n">
        <f aca="false">MIN(122.1,(T105+S106))</f>
        <v>122.1</v>
      </c>
      <c r="V106" s="6" t="n">
        <v>392.2</v>
      </c>
      <c r="X106" s="6" t="n">
        <f aca="false">X105+V106</f>
        <v>39603.3</v>
      </c>
      <c r="AA106" s="6" t="n">
        <v>9.66868702237976</v>
      </c>
    </row>
    <row r="107" s="6" customFormat="true" ht="15" hidden="false" customHeight="false" outlineLevel="0" collapsed="false">
      <c r="A107" s="11"/>
      <c r="B107" s="12"/>
      <c r="C107" s="7" t="n">
        <v>41223</v>
      </c>
      <c r="D107" s="6" t="n">
        <v>10.9</v>
      </c>
      <c r="E107" s="6" t="n">
        <v>7.2</v>
      </c>
      <c r="F107" s="6" t="n">
        <v>12.1</v>
      </c>
      <c r="G107" s="6" t="n">
        <f aca="false">G106+D107</f>
        <v>703.2</v>
      </c>
      <c r="J107" s="6" t="n">
        <v>12.1</v>
      </c>
      <c r="K107" s="6" t="n">
        <f aca="false">K106+J107</f>
        <v>224.9</v>
      </c>
      <c r="L107" s="6" t="n">
        <v>0.2</v>
      </c>
      <c r="M107" s="6" t="n">
        <f aca="false">M106+L107</f>
        <v>80.1</v>
      </c>
      <c r="N107" s="6" t="n">
        <v>11.9</v>
      </c>
      <c r="O107" s="6" t="n">
        <v>122.1</v>
      </c>
      <c r="P107" s="6" t="n">
        <v>60</v>
      </c>
      <c r="Q107" s="6" t="n">
        <f aca="false">0.35+((P107-10)/107)*(1-0.35)</f>
        <v>0.653738317757009</v>
      </c>
      <c r="R107" s="14" t="n">
        <f aca="false">Q107*L107</f>
        <v>0.130747663551402</v>
      </c>
      <c r="S107" s="14" t="n">
        <f aca="false">J107-R107</f>
        <v>11.9692523364486</v>
      </c>
      <c r="T107" s="14" t="n">
        <f aca="false">MIN(122.1,(T106+S107))</f>
        <v>122.1</v>
      </c>
      <c r="V107" s="6" t="n">
        <v>123.2</v>
      </c>
      <c r="X107" s="6" t="n">
        <f aca="false">X106+V107</f>
        <v>39726.5</v>
      </c>
      <c r="AA107" s="6" t="n">
        <v>9.62151471767155</v>
      </c>
    </row>
    <row r="108" s="6" customFormat="true" ht="15" hidden="false" customHeight="false" outlineLevel="0" collapsed="false">
      <c r="A108" s="11"/>
      <c r="B108" s="12"/>
      <c r="C108" s="7" t="n">
        <v>41224</v>
      </c>
      <c r="D108" s="6" t="n">
        <v>8.7</v>
      </c>
      <c r="E108" s="6" t="n">
        <v>7.3</v>
      </c>
      <c r="F108" s="6" t="n">
        <v>10.4</v>
      </c>
      <c r="G108" s="6" t="n">
        <f aca="false">G107+D108</f>
        <v>711.9</v>
      </c>
      <c r="J108" s="6" t="n">
        <v>0</v>
      </c>
      <c r="K108" s="6" t="n">
        <f aca="false">K107+J108</f>
        <v>224.9</v>
      </c>
      <c r="L108" s="6" t="n">
        <v>0.4</v>
      </c>
      <c r="M108" s="6" t="n">
        <f aca="false">M107+L108</f>
        <v>80.5</v>
      </c>
      <c r="N108" s="6" t="n">
        <v>-0.4</v>
      </c>
      <c r="O108" s="6" t="n">
        <f aca="false">O107+N108</f>
        <v>121.7</v>
      </c>
      <c r="P108" s="6" t="n">
        <v>61</v>
      </c>
      <c r="Q108" s="6" t="n">
        <f aca="false">0.35+((P108-10)/107)*(1-0.35)</f>
        <v>0.65981308411215</v>
      </c>
      <c r="R108" s="14" t="n">
        <f aca="false">Q108*L108</f>
        <v>0.26392523364486</v>
      </c>
      <c r="S108" s="14" t="n">
        <f aca="false">J108-R108</f>
        <v>-0.26392523364486</v>
      </c>
      <c r="T108" s="14" t="n">
        <f aca="false">MIN(122.1,(T107+S108))</f>
        <v>121.836074766355</v>
      </c>
      <c r="V108" s="6" t="n">
        <v>482.1</v>
      </c>
      <c r="X108" s="6" t="n">
        <f aca="false">X107+V108</f>
        <v>40208.6</v>
      </c>
      <c r="AA108" s="6" t="n">
        <v>9.57490028575641</v>
      </c>
    </row>
    <row r="109" s="6" customFormat="true" ht="15" hidden="false" customHeight="false" outlineLevel="0" collapsed="false">
      <c r="A109" s="11"/>
      <c r="B109" s="12"/>
      <c r="C109" s="7" t="n">
        <v>41225</v>
      </c>
      <c r="D109" s="6" t="n">
        <v>4.7</v>
      </c>
      <c r="E109" s="6" t="n">
        <v>1.7</v>
      </c>
      <c r="F109" s="6" t="n">
        <v>7.4</v>
      </c>
      <c r="G109" s="6" t="n">
        <f aca="false">G108+D109</f>
        <v>716.6</v>
      </c>
      <c r="J109" s="6" t="n">
        <v>0</v>
      </c>
      <c r="K109" s="6" t="n">
        <f aca="false">K108+J109</f>
        <v>224.9</v>
      </c>
      <c r="L109" s="6" t="n">
        <v>0.2</v>
      </c>
      <c r="M109" s="6" t="n">
        <f aca="false">M108+L109</f>
        <v>80.7</v>
      </c>
      <c r="N109" s="6" t="n">
        <v>-0.2</v>
      </c>
      <c r="O109" s="6" t="n">
        <f aca="false">O108+N109</f>
        <v>121.5</v>
      </c>
      <c r="P109" s="6" t="n">
        <v>62</v>
      </c>
      <c r="Q109" s="6" t="n">
        <f aca="false">0.35+((P109-10)/107)*(1-0.35)</f>
        <v>0.66588785046729</v>
      </c>
      <c r="R109" s="14" t="n">
        <f aca="false">Q109*L109</f>
        <v>0.133177570093458</v>
      </c>
      <c r="S109" s="14" t="n">
        <f aca="false">J109-R109</f>
        <v>-0.133177570093458</v>
      </c>
      <c r="T109" s="14" t="n">
        <f aca="false">MIN(122.1,(T108+S109))</f>
        <v>121.702897196262</v>
      </c>
      <c r="V109" s="6" t="n">
        <v>314</v>
      </c>
      <c r="X109" s="6" t="n">
        <f aca="false">X108+V109</f>
        <v>40522.6</v>
      </c>
      <c r="AA109" s="6" t="n">
        <v>9.52886787594983</v>
      </c>
    </row>
    <row r="110" s="6" customFormat="true" ht="15" hidden="false" customHeight="false" outlineLevel="0" collapsed="false">
      <c r="A110" s="11"/>
      <c r="B110" s="12"/>
      <c r="C110" s="7" t="n">
        <v>41226</v>
      </c>
      <c r="D110" s="6" t="n">
        <v>5.3</v>
      </c>
      <c r="E110" s="6" t="n">
        <v>2.7</v>
      </c>
      <c r="F110" s="6" t="n">
        <v>7.9</v>
      </c>
      <c r="G110" s="6" t="n">
        <f aca="false">G109+D110</f>
        <v>721.9</v>
      </c>
      <c r="J110" s="6" t="n">
        <v>0</v>
      </c>
      <c r="K110" s="6" t="n">
        <f aca="false">K109+J110</f>
        <v>224.9</v>
      </c>
      <c r="L110" s="6" t="n">
        <v>0.6</v>
      </c>
      <c r="M110" s="6" t="n">
        <f aca="false">M109+L110</f>
        <v>81.3</v>
      </c>
      <c r="N110" s="6" t="n">
        <v>-0.6</v>
      </c>
      <c r="O110" s="6" t="n">
        <f aca="false">O109+N110</f>
        <v>120.9</v>
      </c>
      <c r="P110" s="6" t="n">
        <v>63</v>
      </c>
      <c r="Q110" s="6" t="n">
        <f aca="false">0.35+((P110-10)/107)*(1-0.35)</f>
        <v>0.67196261682243</v>
      </c>
      <c r="R110" s="14" t="n">
        <f aca="false">Q110*L110</f>
        <v>0.403177570093458</v>
      </c>
      <c r="S110" s="14" t="n">
        <f aca="false">J110-R110</f>
        <v>-0.403177570093458</v>
      </c>
      <c r="T110" s="14" t="n">
        <f aca="false">MIN(122.1,(T109+S110))</f>
        <v>121.299719626168</v>
      </c>
      <c r="V110" s="6" t="n">
        <v>430.3</v>
      </c>
      <c r="X110" s="6" t="n">
        <f aca="false">X109+V110</f>
        <v>40952.9</v>
      </c>
      <c r="AA110" s="6" t="n">
        <v>9.48344219261443</v>
      </c>
    </row>
    <row r="111" s="6" customFormat="true" ht="15" hidden="false" customHeight="false" outlineLevel="0" collapsed="false">
      <c r="A111" s="11"/>
      <c r="B111" s="12"/>
      <c r="C111" s="7" t="n">
        <v>41227</v>
      </c>
      <c r="D111" s="6" t="n">
        <v>4.7</v>
      </c>
      <c r="E111" s="6" t="n">
        <v>4.3</v>
      </c>
      <c r="F111" s="6" t="n">
        <v>5</v>
      </c>
      <c r="G111" s="6" t="n">
        <f aca="false">G110+D111</f>
        <v>726.6</v>
      </c>
      <c r="J111" s="6" t="n">
        <v>0</v>
      </c>
      <c r="K111" s="6" t="n">
        <f aca="false">K110+J111</f>
        <v>224.9</v>
      </c>
      <c r="L111" s="6" t="n">
        <v>0.7</v>
      </c>
      <c r="M111" s="6" t="n">
        <f aca="false">M110+L111</f>
        <v>82</v>
      </c>
      <c r="N111" s="6" t="n">
        <v>-0.7</v>
      </c>
      <c r="O111" s="6" t="n">
        <f aca="false">O110+N111</f>
        <v>120.2</v>
      </c>
      <c r="P111" s="6" t="n">
        <v>64</v>
      </c>
      <c r="Q111" s="6" t="n">
        <f aca="false">0.35+((P111-10)/107)*(1-0.35)</f>
        <v>0.67803738317757</v>
      </c>
      <c r="R111" s="14" t="n">
        <f aca="false">Q111*L111</f>
        <v>0.474626168224299</v>
      </c>
      <c r="S111" s="14" t="n">
        <f aca="false">J111-R111</f>
        <v>-0.474626168224299</v>
      </c>
      <c r="T111" s="14" t="n">
        <f aca="false">MIN(122.1,(T110+S111))</f>
        <v>120.825093457944</v>
      </c>
      <c r="V111" s="6" t="n">
        <v>293.2</v>
      </c>
      <c r="X111" s="6" t="n">
        <f aca="false">X110+V111</f>
        <v>41246.1</v>
      </c>
      <c r="AA111" s="6" t="n">
        <v>9.43864847599014</v>
      </c>
    </row>
    <row r="112" s="6" customFormat="true" ht="15" hidden="false" customHeight="false" outlineLevel="0" collapsed="false">
      <c r="A112" s="11"/>
      <c r="B112" s="12"/>
      <c r="C112" s="7" t="n">
        <v>41228</v>
      </c>
      <c r="D112" s="6" t="n">
        <v>4</v>
      </c>
      <c r="E112" s="6" t="n">
        <v>3.1</v>
      </c>
      <c r="F112" s="6" t="n">
        <v>4.9</v>
      </c>
      <c r="G112" s="6" t="n">
        <f aca="false">G111+D112</f>
        <v>730.6</v>
      </c>
      <c r="J112" s="6" t="n">
        <v>0.3</v>
      </c>
      <c r="K112" s="6" t="n">
        <f aca="false">K111+J112</f>
        <v>225.2</v>
      </c>
      <c r="L112" s="6" t="n">
        <v>0.6</v>
      </c>
      <c r="M112" s="6" t="n">
        <f aca="false">M111+L112</f>
        <v>82.6</v>
      </c>
      <c r="N112" s="6" t="n">
        <v>-0.3</v>
      </c>
      <c r="O112" s="6" t="n">
        <f aca="false">O111+N112</f>
        <v>119.9</v>
      </c>
      <c r="P112" s="6" t="n">
        <v>65</v>
      </c>
      <c r="Q112" s="6" t="n">
        <f aca="false">0.35+((P112-10)/107)*(1-0.35)</f>
        <v>0.68411214953271</v>
      </c>
      <c r="R112" s="14" t="n">
        <f aca="false">Q112*L112</f>
        <v>0.410467289719626</v>
      </c>
      <c r="S112" s="14" t="n">
        <f aca="false">J112-R112</f>
        <v>-0.110467289719626</v>
      </c>
      <c r="T112" s="14" t="n">
        <f aca="false">MIN(122.1,(T111+S112))</f>
        <v>120.714626168224</v>
      </c>
      <c r="V112" s="6" t="n">
        <v>191.1</v>
      </c>
      <c r="X112" s="6" t="n">
        <f aca="false">X111+V112</f>
        <v>41437.2</v>
      </c>
      <c r="AA112" s="6" t="n">
        <v>9.39451247991683</v>
      </c>
    </row>
    <row r="113" s="6" customFormat="true" ht="15" hidden="false" customHeight="false" outlineLevel="0" collapsed="false">
      <c r="A113" s="11"/>
      <c r="B113" s="12"/>
      <c r="C113" s="7" t="n">
        <v>41229</v>
      </c>
      <c r="D113" s="6" t="n">
        <v>4.5</v>
      </c>
      <c r="E113" s="6" t="n">
        <v>3.2</v>
      </c>
      <c r="F113" s="6" t="n">
        <v>5.9</v>
      </c>
      <c r="G113" s="6" t="n">
        <f aca="false">G112+D113</f>
        <v>735.1</v>
      </c>
      <c r="J113" s="6" t="n">
        <v>0.3</v>
      </c>
      <c r="K113" s="6" t="n">
        <f aca="false">K112+J113</f>
        <v>225.5</v>
      </c>
      <c r="L113" s="6" t="n">
        <v>0.8</v>
      </c>
      <c r="M113" s="6" t="n">
        <f aca="false">M112+L113</f>
        <v>83.4</v>
      </c>
      <c r="N113" s="6" t="n">
        <v>-0.5</v>
      </c>
      <c r="O113" s="6" t="n">
        <f aca="false">O112+N113</f>
        <v>119.4</v>
      </c>
      <c r="P113" s="6" t="n">
        <v>66</v>
      </c>
      <c r="Q113" s="6" t="n">
        <f aca="false">0.35+((P113-10)/107)*(1-0.35)</f>
        <v>0.69018691588785</v>
      </c>
      <c r="R113" s="14" t="n">
        <f aca="false">Q113*L113</f>
        <v>0.55214953271028</v>
      </c>
      <c r="S113" s="14" t="n">
        <f aca="false">J113-R113</f>
        <v>-0.25214953271028</v>
      </c>
      <c r="T113" s="14" t="n">
        <f aca="false">MIN(122.1,(T112+S113))</f>
        <v>120.462476635514</v>
      </c>
      <c r="V113" s="6" t="n">
        <v>356.7</v>
      </c>
      <c r="X113" s="6" t="n">
        <f aca="false">X112+V113</f>
        <v>41793.9</v>
      </c>
      <c r="AA113" s="6" t="n">
        <v>9.35106044632921</v>
      </c>
    </row>
    <row r="114" s="6" customFormat="true" ht="15" hidden="false" customHeight="false" outlineLevel="0" collapsed="false">
      <c r="A114" s="11"/>
      <c r="B114" s="12"/>
      <c r="C114" s="7" t="n">
        <v>41230</v>
      </c>
      <c r="D114" s="6" t="n">
        <v>6.6</v>
      </c>
      <c r="E114" s="6" t="n">
        <v>5.4</v>
      </c>
      <c r="F114" s="6" t="n">
        <v>9.9</v>
      </c>
      <c r="G114" s="6" t="n">
        <f aca="false">G113+D114</f>
        <v>741.7</v>
      </c>
      <c r="J114" s="6" t="n">
        <v>0.1</v>
      </c>
      <c r="K114" s="6" t="n">
        <f aca="false">K113+J114</f>
        <v>225.6</v>
      </c>
      <c r="L114" s="6" t="n">
        <v>0.5</v>
      </c>
      <c r="M114" s="6" t="n">
        <f aca="false">M113+L114</f>
        <v>83.9</v>
      </c>
      <c r="N114" s="6" t="n">
        <v>-0.4</v>
      </c>
      <c r="O114" s="6" t="n">
        <f aca="false">O113+N114</f>
        <v>119</v>
      </c>
      <c r="P114" s="6" t="n">
        <v>67</v>
      </c>
      <c r="Q114" s="6" t="n">
        <f aca="false">0.35+((P114-10)/107)*(1-0.35)</f>
        <v>0.696261682242991</v>
      </c>
      <c r="R114" s="14" t="n">
        <f aca="false">Q114*L114</f>
        <v>0.348130841121495</v>
      </c>
      <c r="S114" s="14" t="n">
        <f aca="false">J114-R114</f>
        <v>-0.248130841121495</v>
      </c>
      <c r="T114" s="14" t="n">
        <f aca="false">MIN(122.1,(T113+S114))</f>
        <v>120.214345794393</v>
      </c>
      <c r="V114" s="6" t="n">
        <v>279.5</v>
      </c>
      <c r="X114" s="6" t="n">
        <f aca="false">X113+V114</f>
        <v>42073.4</v>
      </c>
      <c r="AA114" s="6" t="n">
        <v>9.30831907641425</v>
      </c>
    </row>
    <row r="115" s="6" customFormat="true" ht="15" hidden="false" customHeight="false" outlineLevel="0" collapsed="false">
      <c r="A115" s="11"/>
      <c r="B115" s="12"/>
      <c r="C115" s="7" t="n">
        <v>41231</v>
      </c>
      <c r="D115" s="6" t="n">
        <v>7.2</v>
      </c>
      <c r="E115" s="6" t="n">
        <v>4.7</v>
      </c>
      <c r="F115" s="6" t="n">
        <v>12.6</v>
      </c>
      <c r="G115" s="6" t="n">
        <f aca="false">G114+D115</f>
        <v>748.9</v>
      </c>
      <c r="J115" s="6" t="n">
        <v>0</v>
      </c>
      <c r="K115" s="6" t="n">
        <f aca="false">K114+J115</f>
        <v>225.6</v>
      </c>
      <c r="L115" s="6" t="n">
        <v>0.5</v>
      </c>
      <c r="M115" s="6" t="n">
        <f aca="false">M114+L115</f>
        <v>84.4</v>
      </c>
      <c r="N115" s="6" t="n">
        <v>-0.5</v>
      </c>
      <c r="O115" s="6" t="n">
        <f aca="false">O114+N115</f>
        <v>118.5</v>
      </c>
      <c r="P115" s="6" t="n">
        <v>68</v>
      </c>
      <c r="Q115" s="6" t="n">
        <f aca="false">0.35+((P115-10)/107)*(1-0.35)</f>
        <v>0.702336448598131</v>
      </c>
      <c r="R115" s="14" t="n">
        <f aca="false">Q115*L115</f>
        <v>0.351168224299065</v>
      </c>
      <c r="S115" s="14" t="n">
        <f aca="false">J115-R115</f>
        <v>-0.351168224299065</v>
      </c>
      <c r="T115" s="14" t="n">
        <f aca="false">MIN(122.1,(T114+S115))</f>
        <v>119.863177570093</v>
      </c>
      <c r="V115" s="6" t="n">
        <v>344.7</v>
      </c>
      <c r="X115" s="6" t="n">
        <f aca="false">X114+V115</f>
        <v>42418.1</v>
      </c>
      <c r="AA115" s="6" t="n">
        <v>9.26631549833416</v>
      </c>
    </row>
    <row r="116" s="6" customFormat="true" ht="15" hidden="false" customHeight="false" outlineLevel="0" collapsed="false">
      <c r="A116" s="11"/>
      <c r="B116" s="12"/>
      <c r="C116" s="7" t="n">
        <v>41232</v>
      </c>
      <c r="D116" s="6" t="n">
        <v>4.9</v>
      </c>
      <c r="E116" s="6" t="n">
        <v>2.3</v>
      </c>
      <c r="F116" s="6" t="n">
        <v>9.4</v>
      </c>
      <c r="G116" s="6" t="n">
        <f aca="false">G115+D116</f>
        <v>753.8</v>
      </c>
      <c r="J116" s="6" t="n">
        <v>0.6</v>
      </c>
      <c r="K116" s="6" t="n">
        <f aca="false">K115+J116</f>
        <v>226.2</v>
      </c>
      <c r="L116" s="6" t="n">
        <v>0.9</v>
      </c>
      <c r="M116" s="6" t="n">
        <f aca="false">M115+L116</f>
        <v>85.3</v>
      </c>
      <c r="N116" s="6" t="n">
        <v>-0.3</v>
      </c>
      <c r="O116" s="6" t="n">
        <f aca="false">O115+N116</f>
        <v>118.2</v>
      </c>
      <c r="P116" s="6" t="n">
        <v>69</v>
      </c>
      <c r="Q116" s="6" t="n">
        <f aca="false">0.35+((P116-10)/107)*(1-0.35)</f>
        <v>0.708411214953271</v>
      </c>
      <c r="R116" s="14" t="n">
        <f aca="false">Q116*L116</f>
        <v>0.637570093457944</v>
      </c>
      <c r="S116" s="14" t="n">
        <f aca="false">J116-R116</f>
        <v>-0.0375700934579439</v>
      </c>
      <c r="T116" s="14" t="n">
        <f aca="false">MIN(122.1,(T115+S116))</f>
        <v>119.825607476636</v>
      </c>
      <c r="V116" s="6" t="n">
        <v>658.3</v>
      </c>
      <c r="X116" s="6" t="n">
        <f aca="false">X115+V116</f>
        <v>43076.4</v>
      </c>
      <c r="AA116" s="6" t="n">
        <v>9.22507723143275</v>
      </c>
    </row>
    <row r="117" s="6" customFormat="true" ht="15" hidden="false" customHeight="false" outlineLevel="0" collapsed="false">
      <c r="A117" s="11"/>
      <c r="B117" s="12"/>
      <c r="C117" s="7" t="n">
        <v>41233</v>
      </c>
      <c r="D117" s="6" t="n">
        <v>3</v>
      </c>
      <c r="E117" s="6" t="n">
        <v>2.8</v>
      </c>
      <c r="F117" s="6" t="n">
        <v>3.2</v>
      </c>
      <c r="G117" s="6" t="n">
        <f aca="false">G116+D117</f>
        <v>756.8</v>
      </c>
      <c r="J117" s="6" t="n">
        <v>0.2</v>
      </c>
      <c r="K117" s="6" t="n">
        <f aca="false">K116+J117</f>
        <v>226.4</v>
      </c>
      <c r="L117" s="6" t="n">
        <v>0.3</v>
      </c>
      <c r="M117" s="6" t="n">
        <f aca="false">M116+L117</f>
        <v>85.6</v>
      </c>
      <c r="N117" s="6" t="n">
        <v>-0.1</v>
      </c>
      <c r="O117" s="6" t="n">
        <f aca="false">O116+N117</f>
        <v>118.1</v>
      </c>
      <c r="P117" s="6" t="n">
        <v>70</v>
      </c>
      <c r="Q117" s="6" t="n">
        <f aca="false">0.35+((P117-10)/107)*(1-0.35)</f>
        <v>0.714485981308411</v>
      </c>
      <c r="R117" s="14" t="n">
        <f aca="false">Q117*L117</f>
        <v>0.214345794392523</v>
      </c>
      <c r="S117" s="14" t="n">
        <f aca="false">J117-R117</f>
        <v>-0.0143457943925233</v>
      </c>
      <c r="T117" s="14" t="n">
        <f aca="false">MIN(122.1,(T116+S117))</f>
        <v>119.811261682243</v>
      </c>
      <c r="V117" s="6" t="n">
        <v>262.2</v>
      </c>
      <c r="X117" s="6" t="n">
        <f aca="false">X116+V117</f>
        <v>43338.6</v>
      </c>
      <c r="AA117" s="6" t="n">
        <v>9.18463214686021</v>
      </c>
    </row>
    <row r="118" s="6" customFormat="true" ht="15" hidden="false" customHeight="false" outlineLevel="0" collapsed="false">
      <c r="A118" s="11"/>
      <c r="B118" s="12"/>
      <c r="C118" s="7" t="n">
        <v>41234</v>
      </c>
      <c r="D118" s="6" t="n">
        <v>4.6</v>
      </c>
      <c r="E118" s="6" t="n">
        <v>2</v>
      </c>
      <c r="F118" s="6" t="n">
        <v>7.3</v>
      </c>
      <c r="G118" s="6" t="n">
        <f aca="false">G117+D118</f>
        <v>761.4</v>
      </c>
      <c r="J118" s="6" t="n">
        <v>2</v>
      </c>
      <c r="K118" s="6" t="n">
        <f aca="false">K117+J118</f>
        <v>228.4</v>
      </c>
      <c r="L118" s="6" t="n">
        <v>0.3</v>
      </c>
      <c r="M118" s="6" t="n">
        <f aca="false">M117+L118</f>
        <v>85.9</v>
      </c>
      <c r="N118" s="6" t="n">
        <v>1.7</v>
      </c>
      <c r="O118" s="6" t="n">
        <f aca="false">O117+N118</f>
        <v>119.8</v>
      </c>
      <c r="P118" s="6" t="n">
        <v>71</v>
      </c>
      <c r="Q118" s="6" t="n">
        <f aca="false">0.35+((P118-10)/107)*(1-0.35)</f>
        <v>0.720560747663551</v>
      </c>
      <c r="R118" s="14" t="n">
        <f aca="false">Q118*L118</f>
        <v>0.216168224299065</v>
      </c>
      <c r="S118" s="14" t="n">
        <f aca="false">J118-R118</f>
        <v>1.78383177570093</v>
      </c>
      <c r="T118" s="14" t="n">
        <f aca="false">MIN(122.1,(T117+S118))</f>
        <v>121.595093457944</v>
      </c>
      <c r="V118" s="6" t="n">
        <v>185.1</v>
      </c>
      <c r="X118" s="6" t="n">
        <f aca="false">X117+V118</f>
        <v>43523.7</v>
      </c>
      <c r="AA118" s="6" t="n">
        <v>9.1450084245708</v>
      </c>
    </row>
    <row r="119" s="6" customFormat="true" ht="15" hidden="false" customHeight="false" outlineLevel="0" collapsed="false">
      <c r="A119" s="11"/>
      <c r="B119" s="12"/>
      <c r="C119" s="7" t="n">
        <v>41235</v>
      </c>
      <c r="D119" s="6" t="n">
        <v>5.7</v>
      </c>
      <c r="E119" s="6" t="n">
        <v>3.9</v>
      </c>
      <c r="F119" s="6" t="n">
        <v>6.9</v>
      </c>
      <c r="G119" s="6" t="n">
        <f aca="false">G118+D119</f>
        <v>767.1</v>
      </c>
      <c r="J119" s="6" t="n">
        <v>0.2</v>
      </c>
      <c r="K119" s="6" t="n">
        <f aca="false">K118+J119</f>
        <v>228.6</v>
      </c>
      <c r="L119" s="6" t="n">
        <v>0.2</v>
      </c>
      <c r="M119" s="6" t="n">
        <f aca="false">M118+L119</f>
        <v>86.1</v>
      </c>
      <c r="N119" s="6" t="n">
        <v>0</v>
      </c>
      <c r="O119" s="6" t="n">
        <f aca="false">O118+N119</f>
        <v>119.8</v>
      </c>
      <c r="P119" s="6" t="n">
        <v>72</v>
      </c>
      <c r="Q119" s="6" t="n">
        <f aca="false">0.35+((P119-10)/107)*(1-0.35)</f>
        <v>0.726635514018692</v>
      </c>
      <c r="R119" s="14" t="n">
        <f aca="false">Q119*L119</f>
        <v>0.145327102803738</v>
      </c>
      <c r="S119" s="14" t="n">
        <f aca="false">J119-R119</f>
        <v>0.0546728971962617</v>
      </c>
      <c r="T119" s="14" t="n">
        <f aca="false">MIN(122.1,(T118+S119))</f>
        <v>121.64976635514</v>
      </c>
      <c r="V119" s="6" t="n">
        <v>166.8</v>
      </c>
      <c r="X119" s="6" t="n">
        <f aca="false">X118+V119</f>
        <v>43690.5</v>
      </c>
      <c r="AA119" s="6" t="n">
        <v>9.10623450666983</v>
      </c>
    </row>
    <row r="120" s="6" customFormat="true" ht="15" hidden="false" customHeight="false" outlineLevel="0" collapsed="false">
      <c r="A120" s="11"/>
      <c r="B120" s="12"/>
      <c r="C120" s="7" t="n">
        <v>41236</v>
      </c>
      <c r="D120" s="6" t="n">
        <v>7.6</v>
      </c>
      <c r="E120" s="6" t="n">
        <v>6.4</v>
      </c>
      <c r="F120" s="6" t="n">
        <v>10.1</v>
      </c>
      <c r="G120" s="6" t="n">
        <f aca="false">G119+D120</f>
        <v>774.7</v>
      </c>
      <c r="J120" s="6" t="n">
        <v>0.2</v>
      </c>
      <c r="K120" s="6" t="n">
        <f aca="false">K119+J120</f>
        <v>228.8</v>
      </c>
      <c r="L120" s="6" t="n">
        <v>0.5</v>
      </c>
      <c r="M120" s="6" t="n">
        <f aca="false">M119+L120</f>
        <v>86.6</v>
      </c>
      <c r="N120" s="6" t="n">
        <v>-0.3</v>
      </c>
      <c r="O120" s="6" t="n">
        <f aca="false">O119+N120</f>
        <v>119.5</v>
      </c>
      <c r="P120" s="6" t="n">
        <v>73</v>
      </c>
      <c r="Q120" s="6" t="n">
        <f aca="false">0.35+((P120-10)/107)*(1-0.35)</f>
        <v>0.732710280373832</v>
      </c>
      <c r="R120" s="14" t="n">
        <f aca="false">Q120*L120</f>
        <v>0.366355140186916</v>
      </c>
      <c r="S120" s="14" t="n">
        <f aca="false">J120-R120</f>
        <v>-0.166355140186916</v>
      </c>
      <c r="T120" s="14" t="n">
        <f aca="false">MIN(122.1,(T119+S120))</f>
        <v>121.483411214953</v>
      </c>
      <c r="V120" s="6" t="n">
        <v>325.5</v>
      </c>
      <c r="X120" s="6" t="n">
        <f aca="false">X119+V120</f>
        <v>44016</v>
      </c>
      <c r="AA120" s="6" t="n">
        <v>9.06833904711065</v>
      </c>
    </row>
    <row r="121" s="6" customFormat="true" ht="15" hidden="false" customHeight="false" outlineLevel="0" collapsed="false">
      <c r="A121" s="11"/>
      <c r="B121" s="12"/>
      <c r="C121" s="7" t="n">
        <v>41237</v>
      </c>
      <c r="D121" s="6" t="n">
        <v>9.2</v>
      </c>
      <c r="E121" s="6" t="n">
        <v>3.3</v>
      </c>
      <c r="F121" s="6" t="n">
        <v>14.1</v>
      </c>
      <c r="G121" s="6" t="n">
        <f aca="false">G120+D121</f>
        <v>783.9</v>
      </c>
      <c r="J121" s="6" t="n">
        <v>0</v>
      </c>
      <c r="K121" s="6" t="n">
        <f aca="false">K120+J121</f>
        <v>228.8</v>
      </c>
      <c r="L121" s="6" t="n">
        <v>0.4</v>
      </c>
      <c r="M121" s="6" t="n">
        <f aca="false">M120+L121</f>
        <v>87</v>
      </c>
      <c r="N121" s="6" t="n">
        <v>-0.4</v>
      </c>
      <c r="O121" s="6" t="n">
        <f aca="false">O120+N121</f>
        <v>119.1</v>
      </c>
      <c r="P121" s="6" t="n">
        <v>74</v>
      </c>
      <c r="Q121" s="6" t="n">
        <f aca="false">0.35+((P121-10)/107)*(1-0.35)</f>
        <v>0.738785046728972</v>
      </c>
      <c r="R121" s="14" t="n">
        <f aca="false">Q121*L121</f>
        <v>0.295514018691589</v>
      </c>
      <c r="S121" s="14" t="n">
        <f aca="false">J121-R121</f>
        <v>-0.295514018691589</v>
      </c>
      <c r="T121" s="14" t="n">
        <f aca="false">MIN(122.1,(T120+S121))</f>
        <v>121.187897196262</v>
      </c>
      <c r="V121" s="6" t="n">
        <v>145.4</v>
      </c>
      <c r="X121" s="6" t="n">
        <f aca="false">X120+V121</f>
        <v>44161.4</v>
      </c>
      <c r="AA121" s="6" t="n">
        <v>9.0313508577686</v>
      </c>
    </row>
    <row r="122" s="6" customFormat="true" ht="15" hidden="false" customHeight="false" outlineLevel="0" collapsed="false">
      <c r="A122" s="11"/>
      <c r="B122" s="12"/>
      <c r="C122" s="7" t="n">
        <v>41238</v>
      </c>
      <c r="D122" s="6" t="n">
        <v>11.3</v>
      </c>
      <c r="E122" s="6" t="n">
        <v>9.2</v>
      </c>
      <c r="F122" s="6" t="n">
        <v>12.8</v>
      </c>
      <c r="G122" s="6" t="n">
        <f aca="false">G121+D122</f>
        <v>795.2</v>
      </c>
      <c r="J122" s="6" t="n">
        <v>6.4</v>
      </c>
      <c r="K122" s="6" t="n">
        <f aca="false">K121+J122</f>
        <v>235.2</v>
      </c>
      <c r="L122" s="6" t="n">
        <v>1.1</v>
      </c>
      <c r="M122" s="6" t="n">
        <f aca="false">M121+L122</f>
        <v>88.1</v>
      </c>
      <c r="N122" s="6" t="n">
        <v>5.3</v>
      </c>
      <c r="O122" s="6" t="n">
        <v>122.1</v>
      </c>
      <c r="P122" s="6" t="n">
        <v>75</v>
      </c>
      <c r="Q122" s="6" t="n">
        <f aca="false">0.35+((P122-10)/107)*(1-0.35)</f>
        <v>0.744859813084112</v>
      </c>
      <c r="R122" s="14" t="n">
        <f aca="false">Q122*L122</f>
        <v>0.819345794392523</v>
      </c>
      <c r="S122" s="14" t="n">
        <f aca="false">J122-R122</f>
        <v>5.58065420560748</v>
      </c>
      <c r="T122" s="14" t="n">
        <f aca="false">MIN(122.1,(T121+S122))</f>
        <v>122.1</v>
      </c>
      <c r="V122" s="6" t="n">
        <v>474.7</v>
      </c>
      <c r="X122" s="6" t="n">
        <f aca="false">X121+V122</f>
        <v>44636.1</v>
      </c>
      <c r="AA122" s="16" t="n">
        <v>8.99529885094801</v>
      </c>
    </row>
    <row r="123" s="6" customFormat="true" ht="15" hidden="false" customHeight="false" outlineLevel="0" collapsed="false">
      <c r="A123" s="11"/>
      <c r="B123" s="12"/>
      <c r="C123" s="7" t="n">
        <v>41239</v>
      </c>
      <c r="D123" s="6" t="n">
        <v>9.4</v>
      </c>
      <c r="E123" s="6" t="n">
        <v>8.2</v>
      </c>
      <c r="F123" s="6" t="n">
        <v>11.5</v>
      </c>
      <c r="G123" s="6" t="n">
        <f aca="false">G122+D123</f>
        <v>804.6</v>
      </c>
      <c r="J123" s="6" t="n">
        <v>21.6</v>
      </c>
      <c r="K123" s="6" t="n">
        <f aca="false">K122+J123</f>
        <v>256.8</v>
      </c>
      <c r="L123" s="6" t="n">
        <v>0.5</v>
      </c>
      <c r="M123" s="6" t="n">
        <f aca="false">M122+L123</f>
        <v>88.6</v>
      </c>
      <c r="N123" s="6" t="n">
        <v>21.1</v>
      </c>
      <c r="O123" s="6" t="n">
        <v>122.1</v>
      </c>
      <c r="P123" s="6" t="n">
        <v>76</v>
      </c>
      <c r="Q123" s="6" t="n">
        <f aca="false">0.35+((P123-10)/107)*(1-0.35)</f>
        <v>0.750934579439252</v>
      </c>
      <c r="R123" s="14" t="n">
        <f aca="false">Q123*L123</f>
        <v>0.375467289719626</v>
      </c>
      <c r="S123" s="14" t="n">
        <f aca="false">J123-R123</f>
        <v>21.2245327102804</v>
      </c>
      <c r="T123" s="14" t="n">
        <f aca="false">MIN(122.1,(T122+S123))</f>
        <v>122.1</v>
      </c>
      <c r="V123" s="6" t="n">
        <v>97.1</v>
      </c>
      <c r="X123" s="6" t="n">
        <f aca="false">X122+V123</f>
        <v>44733.2</v>
      </c>
      <c r="AA123" s="16" t="n">
        <v>8.96021197840891</v>
      </c>
    </row>
    <row r="124" s="6" customFormat="true" ht="15" hidden="false" customHeight="false" outlineLevel="0" collapsed="false">
      <c r="A124" s="11"/>
      <c r="B124" s="12"/>
      <c r="C124" s="7" t="n">
        <v>41240</v>
      </c>
      <c r="D124" s="6" t="n">
        <v>6.5</v>
      </c>
      <c r="E124" s="6" t="n">
        <v>6.2</v>
      </c>
      <c r="F124" s="6" t="n">
        <v>7.5</v>
      </c>
      <c r="G124" s="6" t="n">
        <f aca="false">G123+D124</f>
        <v>811.1</v>
      </c>
      <c r="J124" s="6" t="n">
        <v>0</v>
      </c>
      <c r="K124" s="6" t="n">
        <f aca="false">K123+J124</f>
        <v>256.8</v>
      </c>
      <c r="L124" s="6" t="n">
        <v>0.3</v>
      </c>
      <c r="M124" s="6" t="n">
        <f aca="false">M123+L124</f>
        <v>88.9</v>
      </c>
      <c r="N124" s="6" t="n">
        <v>-0.3</v>
      </c>
      <c r="O124" s="6" t="n">
        <f aca="false">O123+N124</f>
        <v>121.8</v>
      </c>
      <c r="P124" s="6" t="n">
        <v>77</v>
      </c>
      <c r="Q124" s="6" t="n">
        <f aca="false">0.35+((P124-10)/107)*(1-0.35)</f>
        <v>0.757009345794393</v>
      </c>
      <c r="R124" s="14" t="n">
        <f aca="false">Q124*L124</f>
        <v>0.227102803738318</v>
      </c>
      <c r="S124" s="14" t="n">
        <f aca="false">J124-R124</f>
        <v>-0.227102803738318</v>
      </c>
      <c r="T124" s="14" t="n">
        <f aca="false">MIN(122.1,(T123+S124))</f>
        <v>121.872897196262</v>
      </c>
      <c r="V124" s="6" t="n">
        <v>143.6</v>
      </c>
      <c r="X124" s="6" t="n">
        <f aca="false">X123+V124</f>
        <v>44876.8</v>
      </c>
      <c r="AA124" s="16" t="n">
        <v>8.92611916703292</v>
      </c>
    </row>
    <row r="125" s="6" customFormat="true" ht="15" hidden="false" customHeight="false" outlineLevel="0" collapsed="false">
      <c r="A125" s="11"/>
      <c r="B125" s="12"/>
      <c r="C125" s="7" t="n">
        <v>41241</v>
      </c>
      <c r="D125" s="6" t="n">
        <v>5.9</v>
      </c>
      <c r="E125" s="6" t="n">
        <v>5.1</v>
      </c>
      <c r="F125" s="6" t="n">
        <v>7.3</v>
      </c>
      <c r="G125" s="6" t="n">
        <f aca="false">G124+D125</f>
        <v>817</v>
      </c>
      <c r="J125" s="6" t="n">
        <v>0.3</v>
      </c>
      <c r="K125" s="6" t="n">
        <f aca="false">K124+J125</f>
        <v>257.1</v>
      </c>
      <c r="L125" s="6" t="n">
        <v>0.8</v>
      </c>
      <c r="M125" s="6" t="n">
        <f aca="false">M124+L125</f>
        <v>89.7</v>
      </c>
      <c r="N125" s="6" t="n">
        <v>-0.5</v>
      </c>
      <c r="O125" s="6" t="n">
        <f aca="false">O124+N125</f>
        <v>121.3</v>
      </c>
      <c r="P125" s="6" t="n">
        <v>78</v>
      </c>
      <c r="Q125" s="6" t="n">
        <f aca="false">0.35+((P125-10)/107)*(1-0.35)</f>
        <v>0.763084112149533</v>
      </c>
      <c r="R125" s="14" t="n">
        <f aca="false">Q125*L125</f>
        <v>0.610467289719626</v>
      </c>
      <c r="S125" s="14" t="n">
        <f aca="false">J125-R125</f>
        <v>-0.310467289719626</v>
      </c>
      <c r="T125" s="14" t="n">
        <f aca="false">MIN(122.1,(T124+S125))</f>
        <v>121.562429906542</v>
      </c>
      <c r="V125" s="6" t="n">
        <v>127.3</v>
      </c>
      <c r="X125" s="6" t="n">
        <f aca="false">X124+V125</f>
        <v>45004.1</v>
      </c>
      <c r="AA125" s="16" t="n">
        <v>8.89304925128208</v>
      </c>
    </row>
    <row r="126" s="6" customFormat="true" ht="15" hidden="false" customHeight="false" outlineLevel="0" collapsed="false">
      <c r="A126" s="11"/>
      <c r="B126" s="17" t="n">
        <v>1</v>
      </c>
      <c r="C126" s="7" t="n">
        <v>41242</v>
      </c>
      <c r="D126" s="6" t="n">
        <v>4.5</v>
      </c>
      <c r="E126" s="6" t="n">
        <v>4.3</v>
      </c>
      <c r="F126" s="6" t="n">
        <v>5.7</v>
      </c>
      <c r="G126" s="6" t="n">
        <f aca="false">G125+D126</f>
        <v>821.5</v>
      </c>
      <c r="J126" s="6" t="n">
        <v>0</v>
      </c>
      <c r="K126" s="6" t="n">
        <f aca="false">K125+J126</f>
        <v>257.1</v>
      </c>
      <c r="L126" s="6" t="n">
        <v>1.1</v>
      </c>
      <c r="M126" s="6" t="n">
        <f aca="false">M125+L126</f>
        <v>90.8</v>
      </c>
      <c r="N126" s="6" t="n">
        <v>-1.1</v>
      </c>
      <c r="O126" s="6" t="n">
        <f aca="false">O125+N126</f>
        <v>120.2</v>
      </c>
      <c r="P126" s="6" t="n">
        <v>79</v>
      </c>
      <c r="Q126" s="6" t="n">
        <f aca="false">0.35+((P126-10)/107)*(1-0.35)</f>
        <v>0.769158878504673</v>
      </c>
      <c r="R126" s="14" t="n">
        <f aca="false">Q126*L126</f>
        <v>0.84607476635514</v>
      </c>
      <c r="S126" s="14" t="n">
        <f aca="false">J126-R126</f>
        <v>-0.84607476635514</v>
      </c>
      <c r="T126" s="14" t="n">
        <f aca="false">MIN(122.1,(T125+S126))</f>
        <v>120.716355140187</v>
      </c>
      <c r="V126" s="6" t="n">
        <v>254</v>
      </c>
      <c r="X126" s="6" t="n">
        <f aca="false">X125+V126</f>
        <v>45258.1</v>
      </c>
      <c r="AA126" s="16" t="n">
        <v>8.86103090264026</v>
      </c>
    </row>
    <row r="127" s="6" customFormat="true" ht="15" hidden="false" customHeight="false" outlineLevel="0" collapsed="false">
      <c r="A127" s="11"/>
      <c r="B127" s="17" t="n">
        <v>2</v>
      </c>
      <c r="C127" s="7" t="n">
        <v>41243</v>
      </c>
      <c r="D127" s="6" t="n">
        <v>1.7</v>
      </c>
      <c r="E127" s="6" t="n">
        <v>0.8</v>
      </c>
      <c r="F127" s="6" t="n">
        <v>4.9</v>
      </c>
      <c r="G127" s="6" t="n">
        <f aca="false">G126+D127</f>
        <v>823.2</v>
      </c>
      <c r="J127" s="6" t="n">
        <v>0.2</v>
      </c>
      <c r="K127" s="6" t="n">
        <f aca="false">K126+J127</f>
        <v>257.3</v>
      </c>
      <c r="L127" s="6" t="n">
        <v>1.1</v>
      </c>
      <c r="M127" s="6" t="n">
        <f aca="false">M126+L127</f>
        <v>91.9</v>
      </c>
      <c r="N127" s="6" t="n">
        <v>-0.9</v>
      </c>
      <c r="O127" s="6" t="n">
        <f aca="false">O126+N127</f>
        <v>119.3</v>
      </c>
      <c r="P127" s="6" t="n">
        <v>80</v>
      </c>
      <c r="Q127" s="6" t="n">
        <f aca="false">0.35+((P127-10)/107)*(1-0.35)</f>
        <v>0.775233644859813</v>
      </c>
      <c r="R127" s="14" t="n">
        <f aca="false">Q127*L127</f>
        <v>0.852757009345795</v>
      </c>
      <c r="S127" s="14" t="n">
        <f aca="false">J127-R127</f>
        <v>-0.652757009345794</v>
      </c>
      <c r="T127" s="14" t="n">
        <f aca="false">MIN(122.1,(T126+S127))</f>
        <v>120.063598130841</v>
      </c>
      <c r="V127" s="6" t="n">
        <v>565.3</v>
      </c>
      <c r="X127" s="6" t="n">
        <f aca="false">X126+V127</f>
        <v>45823.4</v>
      </c>
      <c r="AA127" s="16" t="n">
        <v>8.83009255626333</v>
      </c>
    </row>
    <row r="128" s="6" customFormat="true" ht="15" hidden="false" customHeight="false" outlineLevel="0" collapsed="false">
      <c r="A128" s="11"/>
      <c r="B128" s="17" t="n">
        <v>3</v>
      </c>
      <c r="C128" s="7" t="n">
        <v>41244</v>
      </c>
      <c r="D128" s="6" t="n">
        <v>-0.2</v>
      </c>
      <c r="E128" s="6" t="n">
        <v>-1.9</v>
      </c>
      <c r="F128" s="6" t="n">
        <v>3.2</v>
      </c>
      <c r="G128" s="6" t="n">
        <v>823.2</v>
      </c>
      <c r="J128" s="6" t="n">
        <v>0</v>
      </c>
      <c r="K128" s="6" t="n">
        <f aca="false">K127+J128</f>
        <v>257.3</v>
      </c>
      <c r="L128" s="6" t="n">
        <v>0.7</v>
      </c>
      <c r="M128" s="6" t="n">
        <f aca="false">M127+L128</f>
        <v>92.6</v>
      </c>
      <c r="N128" s="6" t="n">
        <v>-0.7</v>
      </c>
      <c r="O128" s="6" t="n">
        <f aca="false">O127+N128</f>
        <v>118.6</v>
      </c>
      <c r="P128" s="6" t="n">
        <v>81</v>
      </c>
      <c r="Q128" s="6" t="n">
        <f aca="false">0.35+((P128-10)/107)*(1-0.35)</f>
        <v>0.781308411214953</v>
      </c>
      <c r="R128" s="14" t="n">
        <f aca="false">Q128*L128</f>
        <v>0.546915887850467</v>
      </c>
      <c r="S128" s="14" t="n">
        <f aca="false">J128-R128</f>
        <v>-0.546915887850467</v>
      </c>
      <c r="T128" s="14" t="n">
        <f aca="false">MIN(122.1,(T127+S128))</f>
        <v>119.516682242991</v>
      </c>
      <c r="V128" s="6" t="n">
        <v>610</v>
      </c>
      <c r="X128" s="6" t="n">
        <f aca="false">X127+V128</f>
        <v>46433.4</v>
      </c>
      <c r="AA128" s="16" t="n">
        <v>8.80026233510171</v>
      </c>
    </row>
    <row r="129" s="6" customFormat="true" ht="15" hidden="false" customHeight="false" outlineLevel="0" collapsed="false">
      <c r="A129" s="11"/>
      <c r="B129" s="17" t="n">
        <v>4</v>
      </c>
      <c r="C129" s="7" t="n">
        <v>41245</v>
      </c>
      <c r="D129" s="6" t="n">
        <v>-0.2</v>
      </c>
      <c r="E129" s="6" t="n">
        <v>-1.7</v>
      </c>
      <c r="F129" s="6" t="n">
        <v>3.2</v>
      </c>
      <c r="G129" s="6" t="n">
        <v>823.2</v>
      </c>
      <c r="J129" s="6" t="n">
        <v>0.4</v>
      </c>
      <c r="K129" s="6" t="n">
        <f aca="false">K128+J129</f>
        <v>257.7</v>
      </c>
      <c r="L129" s="6" t="n">
        <v>0.4</v>
      </c>
      <c r="M129" s="6" t="n">
        <f aca="false">M128+L129</f>
        <v>93</v>
      </c>
      <c r="N129" s="6" t="n">
        <v>0</v>
      </c>
      <c r="O129" s="6" t="n">
        <f aca="false">O128+N129</f>
        <v>118.6</v>
      </c>
      <c r="P129" s="6" t="n">
        <v>82</v>
      </c>
      <c r="Q129" s="6" t="n">
        <f aca="false">0.35+((P129-10)/107)*(1-0.35)</f>
        <v>0.787383177570094</v>
      </c>
      <c r="R129" s="14" t="n">
        <f aca="false">Q129*L129</f>
        <v>0.314953271028037</v>
      </c>
      <c r="S129" s="14" t="n">
        <f aca="false">J129-R129</f>
        <v>0.0850467289719626</v>
      </c>
      <c r="T129" s="14" t="n">
        <f aca="false">MIN(122.1,(T128+S129))</f>
        <v>119.601728971963</v>
      </c>
      <c r="V129" s="6" t="n">
        <v>243.7</v>
      </c>
      <c r="X129" s="6" t="n">
        <f aca="false">X128+V129</f>
        <v>46677.1</v>
      </c>
      <c r="AA129" s="16" t="n">
        <v>8.7715679717963</v>
      </c>
    </row>
    <row r="130" s="6" customFormat="true" ht="15" hidden="false" customHeight="false" outlineLevel="0" collapsed="false">
      <c r="A130" s="11"/>
      <c r="B130" s="17" t="n">
        <v>5</v>
      </c>
      <c r="C130" s="7" t="n">
        <v>41246</v>
      </c>
      <c r="D130" s="6" t="n">
        <v>0.2</v>
      </c>
      <c r="E130" s="6" t="n">
        <v>-2.4</v>
      </c>
      <c r="F130" s="6" t="n">
        <v>6.1</v>
      </c>
      <c r="G130" s="6" t="n">
        <f aca="false">G129+D130</f>
        <v>823.4</v>
      </c>
      <c r="J130" s="6" t="n">
        <v>17.4</v>
      </c>
      <c r="K130" s="6" t="n">
        <f aca="false">K129+J130</f>
        <v>275.1</v>
      </c>
      <c r="L130" s="6" t="n">
        <v>0.5</v>
      </c>
      <c r="M130" s="6" t="n">
        <f aca="false">M129+L130</f>
        <v>93.5</v>
      </c>
      <c r="N130" s="6" t="n">
        <v>16.9</v>
      </c>
      <c r="O130" s="6" t="n">
        <v>122.1</v>
      </c>
      <c r="P130" s="6" t="n">
        <v>83</v>
      </c>
      <c r="Q130" s="6" t="n">
        <f aca="false">0.35+((P130-10)/107)*(1-0.35)</f>
        <v>0.793457943925234</v>
      </c>
      <c r="R130" s="14" t="n">
        <f aca="false">Q130*L130</f>
        <v>0.396728971962617</v>
      </c>
      <c r="S130" s="14" t="n">
        <f aca="false">J130-R130</f>
        <v>17.0032710280374</v>
      </c>
      <c r="T130" s="14" t="n">
        <f aca="false">MIN(122.1,(T129+S130))</f>
        <v>122.1</v>
      </c>
      <c r="V130" s="6" t="n">
        <v>75.9</v>
      </c>
      <c r="X130" s="6" t="n">
        <f aca="false">X129+V130</f>
        <v>46753</v>
      </c>
      <c r="AA130" s="16" t="n">
        <v>8.74403672868584</v>
      </c>
    </row>
    <row r="131" s="6" customFormat="true" ht="15" hidden="false" customHeight="false" outlineLevel="0" collapsed="false">
      <c r="A131" s="11"/>
      <c r="B131" s="17" t="n">
        <v>6</v>
      </c>
      <c r="C131" s="7" t="n">
        <v>41247</v>
      </c>
      <c r="D131" s="6" t="n">
        <v>5</v>
      </c>
      <c r="E131" s="6" t="n">
        <v>2.1</v>
      </c>
      <c r="F131" s="6" t="n">
        <v>6.1</v>
      </c>
      <c r="G131" s="6" t="n">
        <f aca="false">G130+D131</f>
        <v>828.4</v>
      </c>
      <c r="J131" s="6" t="n">
        <v>2.3</v>
      </c>
      <c r="K131" s="6" t="n">
        <f aca="false">K130+J131</f>
        <v>277.4</v>
      </c>
      <c r="L131" s="6" t="n">
        <v>0.3</v>
      </c>
      <c r="M131" s="6" t="n">
        <f aca="false">M130+L131</f>
        <v>93.8</v>
      </c>
      <c r="N131" s="6" t="n">
        <v>2</v>
      </c>
      <c r="O131" s="6" t="n">
        <v>122.1</v>
      </c>
      <c r="P131" s="6" t="n">
        <v>84</v>
      </c>
      <c r="Q131" s="6" t="n">
        <f aca="false">0.35+((P131-10)/107)*(1-0.35)</f>
        <v>0.799532710280374</v>
      </c>
      <c r="R131" s="14" t="n">
        <f aca="false">Q131*L131</f>
        <v>0.239859813084112</v>
      </c>
      <c r="S131" s="14" t="n">
        <f aca="false">J131-R131</f>
        <v>2.06014018691589</v>
      </c>
      <c r="T131" s="14" t="n">
        <f aca="false">MIN(122.1,(T130+S131))</f>
        <v>122.1</v>
      </c>
      <c r="V131" s="6" t="n">
        <v>133.8</v>
      </c>
      <c r="X131" s="6" t="n">
        <f aca="false">X130+V131</f>
        <v>46886.8</v>
      </c>
      <c r="AA131" s="16" t="n">
        <v>8.71769531630004</v>
      </c>
    </row>
    <row r="132" s="6" customFormat="true" ht="15" hidden="false" customHeight="false" outlineLevel="0" collapsed="false">
      <c r="A132" s="11"/>
      <c r="B132" s="17" t="n">
        <v>7</v>
      </c>
      <c r="C132" s="7" t="n">
        <v>41248</v>
      </c>
      <c r="D132" s="6" t="n">
        <v>3.3</v>
      </c>
      <c r="E132" s="6" t="n">
        <v>2.2</v>
      </c>
      <c r="F132" s="6" t="n">
        <v>4.9</v>
      </c>
      <c r="G132" s="6" t="n">
        <f aca="false">G131+D132</f>
        <v>831.7</v>
      </c>
      <c r="J132" s="6" t="n">
        <v>3.2</v>
      </c>
      <c r="K132" s="6" t="n">
        <f aca="false">K131+J132</f>
        <v>280.6</v>
      </c>
      <c r="L132" s="6" t="n">
        <v>0.5</v>
      </c>
      <c r="M132" s="6" t="n">
        <f aca="false">M131+L132</f>
        <v>94.3</v>
      </c>
      <c r="N132" s="6" t="n">
        <v>2.7</v>
      </c>
      <c r="O132" s="6" t="n">
        <v>122.1</v>
      </c>
      <c r="P132" s="6" t="n">
        <v>85</v>
      </c>
      <c r="Q132" s="6" t="n">
        <f aca="false">0.35+((P132-10)/107)*(1-0.35)</f>
        <v>0.805607476635514</v>
      </c>
      <c r="R132" s="14" t="n">
        <f aca="false">Q132*L132</f>
        <v>0.402803738317757</v>
      </c>
      <c r="S132" s="14" t="n">
        <f aca="false">J132-R132</f>
        <v>2.79719626168224</v>
      </c>
      <c r="T132" s="14" t="n">
        <f aca="false">MIN(122.1,(T131+S132))</f>
        <v>122.1</v>
      </c>
      <c r="V132" s="6" t="n">
        <v>145.9</v>
      </c>
      <c r="X132" s="6" t="n">
        <f aca="false">X131+V132</f>
        <v>47032.7</v>
      </c>
      <c r="AA132" s="16" t="n">
        <v>8.69256981074726</v>
      </c>
    </row>
    <row r="133" s="6" customFormat="true" ht="15" hidden="false" customHeight="false" outlineLevel="0" collapsed="false">
      <c r="A133" s="11"/>
      <c r="B133" s="17" t="n">
        <v>8</v>
      </c>
      <c r="C133" s="7" t="n">
        <v>41249</v>
      </c>
      <c r="D133" s="6" t="n">
        <v>0.9</v>
      </c>
      <c r="E133" s="6" t="n">
        <v>-1.2</v>
      </c>
      <c r="F133" s="6" t="n">
        <v>3.6</v>
      </c>
      <c r="G133" s="6" t="n">
        <f aca="false">G132+D133</f>
        <v>832.6</v>
      </c>
      <c r="J133" s="6" t="n">
        <v>0</v>
      </c>
      <c r="K133" s="6" t="n">
        <f aca="false">K132+J133</f>
        <v>280.6</v>
      </c>
      <c r="L133" s="6" t="n">
        <v>0.5</v>
      </c>
      <c r="M133" s="6" t="n">
        <f aca="false">M132+L133</f>
        <v>94.8</v>
      </c>
      <c r="N133" s="6" t="n">
        <v>-0.5</v>
      </c>
      <c r="O133" s="6" t="n">
        <f aca="false">O132+N133</f>
        <v>121.6</v>
      </c>
      <c r="P133" s="6" t="n">
        <v>86</v>
      </c>
      <c r="Q133" s="6" t="n">
        <f aca="false">0.35+((P133-10)/107)*(1-0.35)</f>
        <v>0.811682242990654</v>
      </c>
      <c r="R133" s="14" t="n">
        <f aca="false">Q133*L133</f>
        <v>0.405841121495327</v>
      </c>
      <c r="S133" s="14" t="n">
        <f aca="false">J133-R133</f>
        <v>-0.405841121495327</v>
      </c>
      <c r="T133" s="14" t="n">
        <f aca="false">MIN(122.1,(T132+S133))</f>
        <v>121.694158878505</v>
      </c>
      <c r="V133" s="6" t="n">
        <v>533.1</v>
      </c>
      <c r="X133" s="6" t="n">
        <f aca="false">X132+V133</f>
        <v>47565.8</v>
      </c>
      <c r="AA133" s="16" t="n">
        <v>8.66868557043816</v>
      </c>
    </row>
    <row r="134" s="6" customFormat="true" ht="15" hidden="false" customHeight="false" outlineLevel="0" collapsed="false">
      <c r="A134" s="11"/>
      <c r="B134" s="17" t="n">
        <v>9</v>
      </c>
      <c r="C134" s="7" t="n">
        <v>41250</v>
      </c>
      <c r="D134" s="6" t="n">
        <v>0.5</v>
      </c>
      <c r="E134" s="6" t="n">
        <v>-2</v>
      </c>
      <c r="F134" s="6" t="n">
        <v>2.4</v>
      </c>
      <c r="G134" s="6" t="n">
        <f aca="false">G133+D134</f>
        <v>833.1</v>
      </c>
      <c r="J134" s="6" t="n">
        <v>3.1</v>
      </c>
      <c r="K134" s="6" t="n">
        <f aca="false">K133+J134</f>
        <v>283.7</v>
      </c>
      <c r="L134" s="6" t="n">
        <v>0.2</v>
      </c>
      <c r="M134" s="6" t="n">
        <f aca="false">M133+L134</f>
        <v>95</v>
      </c>
      <c r="N134" s="6" t="n">
        <v>2.9</v>
      </c>
      <c r="O134" s="6" t="n">
        <v>122.1</v>
      </c>
      <c r="P134" s="6" t="n">
        <v>87</v>
      </c>
      <c r="Q134" s="6" t="n">
        <f aca="false">0.35+((P134-10)/107)*(1-0.35)</f>
        <v>0.817757009345794</v>
      </c>
      <c r="R134" s="14" t="n">
        <f aca="false">Q134*L134</f>
        <v>0.163551401869159</v>
      </c>
      <c r="S134" s="14" t="n">
        <f aca="false">J134-R134</f>
        <v>2.93644859813084</v>
      </c>
      <c r="T134" s="14" t="n">
        <f aca="false">MIN(122.1,(T133+S134))</f>
        <v>122.1</v>
      </c>
      <c r="V134" s="6" t="n">
        <v>115.5</v>
      </c>
      <c r="X134" s="6" t="n">
        <f aca="false">X133+V134</f>
        <v>47681.3</v>
      </c>
      <c r="AA134" s="16" t="n">
        <v>8.64606715261643</v>
      </c>
    </row>
    <row r="135" s="6" customFormat="true" ht="15" hidden="false" customHeight="false" outlineLevel="0" collapsed="false">
      <c r="A135" s="11"/>
      <c r="B135" s="17" t="n">
        <v>10</v>
      </c>
      <c r="C135" s="7" t="n">
        <v>41251</v>
      </c>
      <c r="D135" s="6" t="n">
        <v>1.3</v>
      </c>
      <c r="E135" s="6" t="n">
        <v>0.7</v>
      </c>
      <c r="F135" s="6" t="n">
        <v>2</v>
      </c>
      <c r="G135" s="6" t="n">
        <f aca="false">G134+D135</f>
        <v>834.4</v>
      </c>
      <c r="J135" s="6" t="n">
        <v>0</v>
      </c>
      <c r="K135" s="6" t="n">
        <f aca="false">K134+J135</f>
        <v>283.7</v>
      </c>
      <c r="L135" s="6" t="n">
        <v>0.4</v>
      </c>
      <c r="M135" s="6" t="n">
        <f aca="false">M134+L135</f>
        <v>95.4</v>
      </c>
      <c r="N135" s="6" t="n">
        <v>-0.4</v>
      </c>
      <c r="O135" s="6" t="n">
        <f aca="false">O134+N135</f>
        <v>121.7</v>
      </c>
      <c r="P135" s="6" t="n">
        <v>88</v>
      </c>
      <c r="Q135" s="6" t="n">
        <f aca="false">0.35+((P135-10)/107)*(1-0.35)</f>
        <v>0.823831775700935</v>
      </c>
      <c r="R135" s="14" t="n">
        <f aca="false">Q135*L135</f>
        <v>0.329532710280374</v>
      </c>
      <c r="S135" s="14" t="n">
        <f aca="false">J135-R135</f>
        <v>-0.329532710280374</v>
      </c>
      <c r="T135" s="14" t="n">
        <f aca="false">MIN(122.1,(T134+S135))</f>
        <v>121.77046728972</v>
      </c>
      <c r="V135" s="6" t="n">
        <v>220.7</v>
      </c>
      <c r="X135" s="6" t="n">
        <f aca="false">X134+V135</f>
        <v>47902</v>
      </c>
      <c r="AA135" s="16" t="n">
        <v>8.62473823019423</v>
      </c>
    </row>
    <row r="136" s="6" customFormat="true" ht="15" hidden="false" customHeight="false" outlineLevel="0" collapsed="false">
      <c r="A136" s="11"/>
      <c r="B136" s="17" t="n">
        <v>11</v>
      </c>
      <c r="C136" s="7" t="n">
        <v>41252</v>
      </c>
      <c r="D136" s="6" t="n">
        <v>1.6</v>
      </c>
      <c r="E136" s="6" t="n">
        <v>-0.6</v>
      </c>
      <c r="F136" s="6" t="n">
        <v>3.3</v>
      </c>
      <c r="G136" s="6" t="n">
        <f aca="false">G135+D136</f>
        <v>836</v>
      </c>
      <c r="J136" s="6" t="n">
        <v>1.2</v>
      </c>
      <c r="K136" s="6" t="n">
        <f aca="false">K135+J136</f>
        <v>284.9</v>
      </c>
      <c r="L136" s="6" t="n">
        <v>0.5</v>
      </c>
      <c r="M136" s="6" t="n">
        <f aca="false">M135+L136</f>
        <v>95.9</v>
      </c>
      <c r="N136" s="6" t="n">
        <v>0.7</v>
      </c>
      <c r="O136" s="6" t="n">
        <v>122.1</v>
      </c>
      <c r="P136" s="6" t="n">
        <v>89</v>
      </c>
      <c r="Q136" s="6" t="n">
        <f aca="false">0.35+((P136-10)/107)*(1-0.35)</f>
        <v>0.829906542056075</v>
      </c>
      <c r="R136" s="14" t="n">
        <f aca="false">Q136*L136</f>
        <v>0.414953271028037</v>
      </c>
      <c r="S136" s="14" t="n">
        <f aca="false">J136-R136</f>
        <v>0.785046728971963</v>
      </c>
      <c r="T136" s="14" t="n">
        <f aca="false">MIN(122.1,(T135+S136))</f>
        <v>122.1</v>
      </c>
      <c r="V136" s="6" t="n">
        <v>310.5</v>
      </c>
      <c r="X136" s="6" t="n">
        <f aca="false">X135+V136</f>
        <v>48212.5</v>
      </c>
      <c r="AA136" s="16" t="n">
        <v>8.60472150941196</v>
      </c>
    </row>
    <row r="137" s="6" customFormat="true" ht="15" hidden="false" customHeight="false" outlineLevel="0" collapsed="false">
      <c r="A137" s="11"/>
      <c r="B137" s="17" t="n">
        <v>12</v>
      </c>
      <c r="C137" s="7" t="n">
        <v>41253</v>
      </c>
      <c r="D137" s="6" t="n">
        <v>3.3</v>
      </c>
      <c r="E137" s="6" t="n">
        <v>2.1</v>
      </c>
      <c r="F137" s="6" t="n">
        <v>5.3</v>
      </c>
      <c r="G137" s="6" t="n">
        <f aca="false">G136+D137</f>
        <v>839.3</v>
      </c>
      <c r="J137" s="6" t="n">
        <v>0.7</v>
      </c>
      <c r="K137" s="6" t="n">
        <f aca="false">K136+J137</f>
        <v>285.6</v>
      </c>
      <c r="L137" s="6" t="n">
        <v>0.6</v>
      </c>
      <c r="M137" s="6" t="n">
        <f aca="false">M136+L137</f>
        <v>96.5</v>
      </c>
      <c r="N137" s="6" t="n">
        <v>0.1</v>
      </c>
      <c r="O137" s="6" t="n">
        <v>122.1</v>
      </c>
      <c r="P137" s="6" t="n">
        <v>90</v>
      </c>
      <c r="Q137" s="6" t="n">
        <f aca="false">0.35+((P137-10)/107)*(1-0.35)</f>
        <v>0.835981308411215</v>
      </c>
      <c r="R137" s="14" t="n">
        <f aca="false">Q137*L137</f>
        <v>0.501588785046729</v>
      </c>
      <c r="S137" s="14" t="n">
        <f aca="false">J137-R137</f>
        <v>0.198411214953271</v>
      </c>
      <c r="T137" s="14" t="n">
        <f aca="false">MIN(122.1,(T136+S137))</f>
        <v>122.1</v>
      </c>
      <c r="V137" s="6" t="n">
        <v>310.1</v>
      </c>
      <c r="X137" s="6" t="n">
        <f aca="false">X136+V137</f>
        <v>48522.6</v>
      </c>
      <c r="AA137" s="16" t="n">
        <v>8.58603864886015</v>
      </c>
    </row>
    <row r="138" s="6" customFormat="true" ht="15" hidden="false" customHeight="false" outlineLevel="0" collapsed="false">
      <c r="A138" s="11"/>
      <c r="B138" s="17" t="n">
        <v>13</v>
      </c>
      <c r="C138" s="7" t="n">
        <v>41254</v>
      </c>
      <c r="D138" s="6" t="n">
        <v>0.4</v>
      </c>
      <c r="E138" s="6" t="n">
        <v>0</v>
      </c>
      <c r="F138" s="6" t="n">
        <v>1.3</v>
      </c>
      <c r="G138" s="6" t="n">
        <f aca="false">G137+D138</f>
        <v>839.7</v>
      </c>
      <c r="J138" s="6" t="n">
        <v>0</v>
      </c>
      <c r="K138" s="6" t="n">
        <f aca="false">K137+J138</f>
        <v>285.6</v>
      </c>
      <c r="L138" s="6" t="n">
        <v>0.7</v>
      </c>
      <c r="M138" s="6" t="n">
        <f aca="false">M137+L138</f>
        <v>97.2</v>
      </c>
      <c r="N138" s="6" t="n">
        <v>-0.7</v>
      </c>
      <c r="O138" s="6" t="n">
        <f aca="false">O137+N138</f>
        <v>121.4</v>
      </c>
      <c r="P138" s="6" t="n">
        <v>91</v>
      </c>
      <c r="Q138" s="6" t="n">
        <f aca="false">0.35+((P138-10)/107)*(1-0.35)</f>
        <v>0.842056074766355</v>
      </c>
      <c r="R138" s="14" t="n">
        <f aca="false">Q138*L138</f>
        <v>0.589439252336449</v>
      </c>
      <c r="S138" s="14" t="n">
        <f aca="false">J138-R138</f>
        <v>-0.589439252336449</v>
      </c>
      <c r="T138" s="14" t="n">
        <f aca="false">MIN(122.1,(T137+S138))</f>
        <v>121.510560747664</v>
      </c>
      <c r="V138" s="6" t="n">
        <v>232.1</v>
      </c>
      <c r="X138" s="6" t="n">
        <f aca="false">X137+V138</f>
        <v>48754.7</v>
      </c>
      <c r="AA138" s="16" t="n">
        <v>8.56871018041351</v>
      </c>
    </row>
    <row r="139" s="6" customFormat="true" ht="15" hidden="false" customHeight="false" outlineLevel="0" collapsed="false">
      <c r="A139" s="11"/>
      <c r="B139" s="17" t="n">
        <v>14</v>
      </c>
      <c r="C139" s="7" t="n">
        <v>41255</v>
      </c>
      <c r="D139" s="6" t="n">
        <v>-3.5</v>
      </c>
      <c r="E139" s="6" t="n">
        <v>-4.5</v>
      </c>
      <c r="F139" s="6" t="n">
        <v>-1.1</v>
      </c>
      <c r="G139" s="6" t="n">
        <v>839.7</v>
      </c>
      <c r="J139" s="6" t="n">
        <v>0</v>
      </c>
      <c r="K139" s="6" t="n">
        <f aca="false">K138+J139</f>
        <v>285.6</v>
      </c>
      <c r="L139" s="6" t="n">
        <v>0.3</v>
      </c>
      <c r="M139" s="6" t="n">
        <f aca="false">M138+L139</f>
        <v>97.5</v>
      </c>
      <c r="N139" s="6" t="n">
        <v>-0.3</v>
      </c>
      <c r="O139" s="6" t="n">
        <f aca="false">O138+N139</f>
        <v>121.1</v>
      </c>
      <c r="P139" s="6" t="n">
        <v>92</v>
      </c>
      <c r="Q139" s="6" t="n">
        <f aca="false">0.35+((P139-10)/107)*(1-0.35)</f>
        <v>0.848130841121495</v>
      </c>
      <c r="R139" s="14" t="n">
        <f aca="false">Q139*L139</f>
        <v>0.254439252336449</v>
      </c>
      <c r="S139" s="14" t="n">
        <f aca="false">J139-R139</f>
        <v>-0.254439252336449</v>
      </c>
      <c r="T139" s="14" t="n">
        <f aca="false">MIN(122.1,(T138+S139))</f>
        <v>121.256121495327</v>
      </c>
      <c r="V139" s="6" t="n">
        <v>371</v>
      </c>
      <c r="X139" s="6" t="n">
        <f aca="false">X138+V139</f>
        <v>49125.7</v>
      </c>
      <c r="AA139" s="16" t="n">
        <v>8.55275543263421</v>
      </c>
    </row>
    <row r="140" s="6" customFormat="true" ht="15" hidden="false" customHeight="false" outlineLevel="0" collapsed="false">
      <c r="A140" s="11"/>
      <c r="B140" s="17" t="n">
        <v>15</v>
      </c>
      <c r="C140" s="7" t="n">
        <v>41256</v>
      </c>
      <c r="D140" s="6" t="n">
        <v>-0.5</v>
      </c>
      <c r="E140" s="6" t="n">
        <v>-6.5</v>
      </c>
      <c r="F140" s="6" t="n">
        <v>3.3</v>
      </c>
      <c r="G140" s="6" t="n">
        <v>839.7</v>
      </c>
      <c r="J140" s="6" t="n">
        <v>3.8</v>
      </c>
      <c r="K140" s="6" t="n">
        <f aca="false">K139+J140</f>
        <v>289.4</v>
      </c>
      <c r="L140" s="6" t="n">
        <v>0.1</v>
      </c>
      <c r="M140" s="6" t="n">
        <f aca="false">M139+L140</f>
        <v>97.6</v>
      </c>
      <c r="N140" s="6" t="n">
        <v>3.7</v>
      </c>
      <c r="O140" s="6" t="n">
        <v>122.1</v>
      </c>
      <c r="P140" s="6" t="n">
        <v>93</v>
      </c>
      <c r="Q140" s="6" t="n">
        <f aca="false">0.35+((P140-10)/107)*(1-0.35)</f>
        <v>0.854205607476636</v>
      </c>
      <c r="R140" s="14" t="n">
        <f aca="false">Q140*L140</f>
        <v>0.0854205607476636</v>
      </c>
      <c r="S140" s="14" t="n">
        <f aca="false">J140-R140</f>
        <v>3.71457943925234</v>
      </c>
      <c r="T140" s="14" t="n">
        <f aca="false">MIN(122.1,(T139+S140))</f>
        <v>122.1</v>
      </c>
      <c r="V140" s="6" t="n">
        <v>182.3</v>
      </c>
      <c r="X140" s="6" t="n">
        <f aca="false">X139+V140</f>
        <v>49308</v>
      </c>
      <c r="AA140" s="16" t="n">
        <v>8.53819245720233</v>
      </c>
    </row>
    <row r="141" s="6" customFormat="true" ht="15" hidden="false" customHeight="false" outlineLevel="0" collapsed="false">
      <c r="A141" s="11"/>
      <c r="B141" s="12"/>
      <c r="C141" s="7" t="n">
        <v>41257</v>
      </c>
      <c r="D141" s="6" t="n">
        <v>7.2</v>
      </c>
      <c r="E141" s="6" t="n">
        <v>2.6</v>
      </c>
      <c r="F141" s="6" t="n">
        <v>9.5</v>
      </c>
      <c r="G141" s="6" t="n">
        <f aca="false">G140+D141</f>
        <v>846.9</v>
      </c>
      <c r="J141" s="6" t="n">
        <v>18.9</v>
      </c>
      <c r="K141" s="6" t="n">
        <f aca="false">K140+J141</f>
        <v>308.3</v>
      </c>
      <c r="L141" s="6" t="n">
        <v>0.3</v>
      </c>
      <c r="M141" s="6" t="n">
        <f aca="false">M140+L141</f>
        <v>97.9</v>
      </c>
      <c r="N141" s="6" t="n">
        <v>18.6</v>
      </c>
      <c r="O141" s="6" t="n">
        <v>122.1</v>
      </c>
      <c r="P141" s="6" t="n">
        <v>94</v>
      </c>
      <c r="Q141" s="6" t="n">
        <f aca="false">0.35+((P141-10)/107)*(1-0.35)</f>
        <v>0.860280373831776</v>
      </c>
      <c r="R141" s="14" t="n">
        <f aca="false">Q141*L141</f>
        <v>0.258084112149533</v>
      </c>
      <c r="S141" s="14" t="n">
        <f aca="false">J141-R141</f>
        <v>18.6419158878505</v>
      </c>
      <c r="T141" s="14" t="n">
        <f aca="false">MIN(122.1,(T140+S141))</f>
        <v>122.1</v>
      </c>
      <c r="V141" s="6" t="n">
        <v>257.1</v>
      </c>
      <c r="X141" s="6" t="n">
        <f aca="false">X140+V141</f>
        <v>49565.1</v>
      </c>
      <c r="AA141" s="16" t="n">
        <v>8.52503795892559</v>
      </c>
    </row>
    <row r="142" s="6" customFormat="true" ht="15" hidden="false" customHeight="false" outlineLevel="0" collapsed="false">
      <c r="A142" s="11"/>
      <c r="B142" s="12"/>
      <c r="C142" s="7" t="n">
        <v>41258</v>
      </c>
      <c r="D142" s="6" t="n">
        <v>9.2</v>
      </c>
      <c r="E142" s="6" t="n">
        <v>8.9</v>
      </c>
      <c r="F142" s="6" t="n">
        <v>9.8</v>
      </c>
      <c r="G142" s="6" t="n">
        <f aca="false">G141+D142</f>
        <v>856.1</v>
      </c>
      <c r="J142" s="6" t="n">
        <v>2.2</v>
      </c>
      <c r="K142" s="6" t="n">
        <f aca="false">K141+J142</f>
        <v>310.5</v>
      </c>
      <c r="L142" s="6" t="n">
        <v>0.8</v>
      </c>
      <c r="M142" s="6" t="n">
        <f aca="false">M141+L142</f>
        <v>98.7</v>
      </c>
      <c r="N142" s="6" t="n">
        <v>1.4</v>
      </c>
      <c r="O142" s="6" t="n">
        <v>122.1</v>
      </c>
      <c r="P142" s="6" t="n">
        <v>95</v>
      </c>
      <c r="Q142" s="6" t="n">
        <f aca="false">0.35+((P142-10)/107)*(1-0.35)</f>
        <v>0.866355140186916</v>
      </c>
      <c r="R142" s="14" t="n">
        <f aca="false">Q142*L142</f>
        <v>0.693084112149533</v>
      </c>
      <c r="S142" s="14" t="n">
        <f aca="false">J142-R142</f>
        <v>1.50691588785047</v>
      </c>
      <c r="T142" s="14" t="n">
        <f aca="false">MIN(122.1,(T141+S142))</f>
        <v>122.1</v>
      </c>
      <c r="V142" s="6" t="n">
        <v>87</v>
      </c>
      <c r="X142" s="6" t="n">
        <f aca="false">X141+V142</f>
        <v>49652.1</v>
      </c>
      <c r="AA142" s="16" t="n">
        <v>8.51330722986839</v>
      </c>
    </row>
    <row r="143" s="6" customFormat="true" ht="15" hidden="false" customHeight="false" outlineLevel="0" collapsed="false">
      <c r="A143" s="11"/>
      <c r="B143" s="12"/>
      <c r="C143" s="7" t="n">
        <v>41259</v>
      </c>
      <c r="D143" s="6" t="n">
        <v>8.6</v>
      </c>
      <c r="E143" s="6" t="n">
        <v>8.2</v>
      </c>
      <c r="F143" s="6" t="n">
        <v>9.9</v>
      </c>
      <c r="G143" s="6" t="n">
        <f aca="false">G142+D143</f>
        <v>864.7</v>
      </c>
      <c r="J143" s="6" t="n">
        <v>3.7</v>
      </c>
      <c r="K143" s="6" t="n">
        <f aca="false">K142+J143</f>
        <v>314.2</v>
      </c>
      <c r="L143" s="6" t="n">
        <v>1.2</v>
      </c>
      <c r="M143" s="6" t="n">
        <f aca="false">M142+L143</f>
        <v>99.9</v>
      </c>
      <c r="N143" s="6" t="n">
        <v>2.5</v>
      </c>
      <c r="O143" s="6" t="n">
        <v>122.1</v>
      </c>
      <c r="P143" s="6" t="n">
        <v>96</v>
      </c>
      <c r="Q143" s="6" t="n">
        <f aca="false">0.35+((P143-10)/107)*(1-0.35)</f>
        <v>0.872429906542056</v>
      </c>
      <c r="R143" s="14" t="n">
        <f aca="false">Q143*L143</f>
        <v>1.04691588785047</v>
      </c>
      <c r="S143" s="14" t="n">
        <f aca="false">J143-R143</f>
        <v>2.65308411214953</v>
      </c>
      <c r="T143" s="14" t="n">
        <f aca="false">MIN(122.1,(T142+S143))</f>
        <v>122.1</v>
      </c>
      <c r="V143" s="6" t="n">
        <v>247.5</v>
      </c>
      <c r="X143" s="6" t="n">
        <f aca="false">X142+V143</f>
        <v>49899.6</v>
      </c>
      <c r="AA143" s="16" t="n">
        <v>8.50301408812104</v>
      </c>
    </row>
    <row r="144" s="6" customFormat="true" ht="15" hidden="false" customHeight="false" outlineLevel="0" collapsed="false">
      <c r="A144" s="11"/>
      <c r="B144" s="12"/>
      <c r="C144" s="7" t="n">
        <v>41260</v>
      </c>
      <c r="D144" s="6" t="n">
        <v>7.1</v>
      </c>
      <c r="E144" s="6" t="n">
        <v>6.7</v>
      </c>
      <c r="F144" s="6" t="n">
        <v>8</v>
      </c>
      <c r="G144" s="6" t="n">
        <f aca="false">G143+D144</f>
        <v>871.8</v>
      </c>
      <c r="J144" s="6" t="n">
        <v>4.3</v>
      </c>
      <c r="K144" s="6" t="n">
        <f aca="false">K143+J144</f>
        <v>318.5</v>
      </c>
      <c r="L144" s="6" t="n">
        <v>0.6</v>
      </c>
      <c r="M144" s="6" t="n">
        <f aca="false">M143+L144</f>
        <v>100.5</v>
      </c>
      <c r="N144" s="6" t="n">
        <v>3.7</v>
      </c>
      <c r="O144" s="6" t="n">
        <v>122.1</v>
      </c>
      <c r="P144" s="6" t="n">
        <v>97</v>
      </c>
      <c r="Q144" s="6" t="n">
        <f aca="false">0.35+((P144-10)/107)*(1-0.35)</f>
        <v>0.878504672897196</v>
      </c>
      <c r="R144" s="14" t="n">
        <f aca="false">Q144*L144</f>
        <v>0.527102803738318</v>
      </c>
      <c r="S144" s="14" t="n">
        <f aca="false">J144-R144</f>
        <v>3.77289719626168</v>
      </c>
      <c r="T144" s="14" t="n">
        <f aca="false">MIN(122.1,(T143+S144))</f>
        <v>122.1</v>
      </c>
      <c r="V144" s="6" t="n">
        <v>93.3</v>
      </c>
      <c r="X144" s="6" t="n">
        <f aca="false">X143+V144</f>
        <v>49992.9</v>
      </c>
      <c r="AA144" s="16" t="n">
        <v>8.49417082170416</v>
      </c>
    </row>
    <row r="145" s="6" customFormat="true" ht="15" hidden="false" customHeight="false" outlineLevel="0" collapsed="false">
      <c r="A145" s="11"/>
      <c r="B145" s="12"/>
      <c r="C145" s="7" t="n">
        <v>41261</v>
      </c>
      <c r="D145" s="6" t="n">
        <v>6.2</v>
      </c>
      <c r="E145" s="6" t="n">
        <v>5.5</v>
      </c>
      <c r="F145" s="6" t="n">
        <v>8.3</v>
      </c>
      <c r="G145" s="6" t="n">
        <f aca="false">G144+D145</f>
        <v>878</v>
      </c>
      <c r="J145" s="6" t="n">
        <v>4.4</v>
      </c>
      <c r="K145" s="6" t="n">
        <f aca="false">K144+J145</f>
        <v>322.9</v>
      </c>
      <c r="L145" s="6" t="n">
        <v>0.6</v>
      </c>
      <c r="M145" s="6" t="n">
        <f aca="false">M144+L145</f>
        <v>101.1</v>
      </c>
      <c r="N145" s="6" t="n">
        <v>3.8</v>
      </c>
      <c r="O145" s="6" t="n">
        <v>122.1</v>
      </c>
      <c r="P145" s="6" t="n">
        <v>98</v>
      </c>
      <c r="Q145" s="6" t="n">
        <f aca="false">0.35+((P145-10)/107)*(1-0.35)</f>
        <v>0.884579439252336</v>
      </c>
      <c r="R145" s="14" t="n">
        <f aca="false">Q145*L145</f>
        <v>0.530747663551402</v>
      </c>
      <c r="S145" s="14" t="n">
        <f aca="false">J145-R145</f>
        <v>3.8692523364486</v>
      </c>
      <c r="T145" s="14" t="n">
        <f aca="false">MIN(122.1,(T144+S145))</f>
        <v>122.1</v>
      </c>
      <c r="V145" s="6" t="n">
        <v>73.3</v>
      </c>
      <c r="X145" s="6" t="n">
        <f aca="false">X144+V145</f>
        <v>50066.2</v>
      </c>
      <c r="AA145" s="16" t="n">
        <v>8.48678813807072</v>
      </c>
    </row>
    <row r="146" s="6" customFormat="true" ht="15" hidden="false" customHeight="false" outlineLevel="0" collapsed="false">
      <c r="A146" s="11"/>
      <c r="B146" s="17" t="n">
        <v>16</v>
      </c>
      <c r="C146" s="7" t="n">
        <v>41262</v>
      </c>
      <c r="D146" s="6" t="n">
        <v>3.7</v>
      </c>
      <c r="E146" s="6" t="n">
        <v>2.5</v>
      </c>
      <c r="F146" s="6" t="n">
        <v>4.2</v>
      </c>
      <c r="G146" s="6" t="n">
        <f aca="false">G145+D146</f>
        <v>881.7</v>
      </c>
      <c r="J146" s="6" t="n">
        <v>0.2</v>
      </c>
      <c r="K146" s="6" t="n">
        <f aca="false">K145+J146</f>
        <v>323.1</v>
      </c>
      <c r="L146" s="6" t="n">
        <v>0.3</v>
      </c>
      <c r="M146" s="6" t="n">
        <f aca="false">M145+L146</f>
        <v>101.4</v>
      </c>
      <c r="N146" s="6" t="n">
        <v>-0.1</v>
      </c>
      <c r="O146" s="6" t="n">
        <f aca="false">O145+N146</f>
        <v>122</v>
      </c>
      <c r="P146" s="6" t="n">
        <v>99</v>
      </c>
      <c r="Q146" s="6" t="n">
        <f aca="false">0.35+((P146-10)/107)*(1-0.35)</f>
        <v>0.890654205607477</v>
      </c>
      <c r="R146" s="14" t="n">
        <f aca="false">Q146*L146</f>
        <v>0.267196261682243</v>
      </c>
      <c r="S146" s="14" t="n">
        <f aca="false">J146-R146</f>
        <v>-0.067196261682243</v>
      </c>
      <c r="T146" s="14" t="n">
        <f aca="false">MIN(122.1,(T145+S146))</f>
        <v>122.032803738318</v>
      </c>
      <c r="V146" s="6" t="n">
        <v>386.4</v>
      </c>
      <c r="X146" s="6" t="n">
        <f aca="false">X145+V146</f>
        <v>50452.6</v>
      </c>
      <c r="AA146" s="16" t="n">
        <v>8.48087511962942</v>
      </c>
    </row>
    <row r="147" s="6" customFormat="true" ht="15" hidden="false" customHeight="false" outlineLevel="0" collapsed="false">
      <c r="A147" s="11"/>
      <c r="B147" s="17" t="n">
        <v>17</v>
      </c>
      <c r="C147" s="7" t="n">
        <v>41263</v>
      </c>
      <c r="D147" s="6" t="n">
        <v>4.9</v>
      </c>
      <c r="E147" s="6" t="n">
        <v>3</v>
      </c>
      <c r="F147" s="6" t="n">
        <v>7.4</v>
      </c>
      <c r="G147" s="6" t="n">
        <f aca="false">G146+D147</f>
        <v>886.6</v>
      </c>
      <c r="J147" s="6" t="n">
        <v>10.5</v>
      </c>
      <c r="K147" s="6" t="n">
        <f aca="false">K146+J147</f>
        <v>333.6</v>
      </c>
      <c r="L147" s="6" t="n">
        <v>0.3</v>
      </c>
      <c r="M147" s="6" t="n">
        <f aca="false">M146+L147</f>
        <v>101.7</v>
      </c>
      <c r="N147" s="6" t="n">
        <v>10.2</v>
      </c>
      <c r="O147" s="6" t="n">
        <v>122.1</v>
      </c>
      <c r="P147" s="6" t="n">
        <v>100</v>
      </c>
      <c r="Q147" s="6" t="n">
        <f aca="false">0.35+((P147-10)/107)*(1-0.35)</f>
        <v>0.896728971962617</v>
      </c>
      <c r="R147" s="14" t="n">
        <f aca="false">Q147*L147</f>
        <v>0.269018691588785</v>
      </c>
      <c r="S147" s="14" t="n">
        <f aca="false">J147-R147</f>
        <v>10.2309813084112</v>
      </c>
      <c r="T147" s="14" t="n">
        <f aca="false">MIN(122.1,(T146+S147))</f>
        <v>122.1</v>
      </c>
      <c r="V147" s="6" t="n">
        <v>70</v>
      </c>
      <c r="X147" s="6" t="n">
        <f aca="false">X146+V147</f>
        <v>50522.6</v>
      </c>
      <c r="AA147" s="16" t="n">
        <v>8.47643918566801</v>
      </c>
    </row>
    <row r="148" s="6" customFormat="true" ht="15" hidden="false" customHeight="false" outlineLevel="0" collapsed="false">
      <c r="A148" s="11"/>
      <c r="B148" s="12"/>
      <c r="C148" s="7" t="n">
        <v>41264</v>
      </c>
      <c r="D148" s="6" t="n">
        <v>6.4</v>
      </c>
      <c r="E148" s="6" t="n">
        <v>5.5</v>
      </c>
      <c r="F148" s="6" t="n">
        <v>7.4</v>
      </c>
      <c r="G148" s="6" t="n">
        <f aca="false">G147+D148</f>
        <v>893</v>
      </c>
      <c r="J148" s="6" t="n">
        <v>1.7</v>
      </c>
      <c r="K148" s="6" t="n">
        <f aca="false">K147+J148</f>
        <v>335.3</v>
      </c>
      <c r="L148" s="6" t="n">
        <v>0.2</v>
      </c>
      <c r="M148" s="6" t="n">
        <f aca="false">M147+L148</f>
        <v>101.9</v>
      </c>
      <c r="N148" s="6" t="n">
        <v>1.5</v>
      </c>
      <c r="O148" s="6" t="n">
        <v>122.1</v>
      </c>
      <c r="P148" s="6" t="n">
        <v>101</v>
      </c>
      <c r="Q148" s="6" t="n">
        <f aca="false">0.35+((P148-10)/107)*(1-0.35)</f>
        <v>0.902803738317757</v>
      </c>
      <c r="R148" s="14" t="n">
        <f aca="false">Q148*L148</f>
        <v>0.180560747663551</v>
      </c>
      <c r="S148" s="14" t="n">
        <f aca="false">J148-R148</f>
        <v>1.51943925233645</v>
      </c>
      <c r="T148" s="14" t="n">
        <f aca="false">MIN(122.1,(T147+S148))</f>
        <v>122.1</v>
      </c>
      <c r="V148" s="6" t="n">
        <v>183.8</v>
      </c>
      <c r="X148" s="6" t="n">
        <f aca="false">X147+V148</f>
        <v>50706.4</v>
      </c>
      <c r="AA148" s="16" t="n">
        <v>8.47348606100485</v>
      </c>
    </row>
    <row r="149" s="6" customFormat="true" ht="15" hidden="false" customHeight="false" outlineLevel="0" collapsed="false">
      <c r="A149" s="11"/>
      <c r="B149" s="12"/>
      <c r="C149" s="7" t="n">
        <v>41265</v>
      </c>
      <c r="D149" s="6" t="n">
        <v>5.8</v>
      </c>
      <c r="E149" s="6" t="n">
        <v>3.2</v>
      </c>
      <c r="F149" s="6" t="n">
        <v>10.6</v>
      </c>
      <c r="G149" s="6" t="n">
        <f aca="false">G148+D149</f>
        <v>898.8</v>
      </c>
      <c r="J149" s="6" t="n">
        <v>10.3</v>
      </c>
      <c r="K149" s="6" t="n">
        <f aca="false">K148+J149</f>
        <v>345.6</v>
      </c>
      <c r="L149" s="6" t="n">
        <v>0.7</v>
      </c>
      <c r="M149" s="6" t="n">
        <f aca="false">M148+L149</f>
        <v>102.6</v>
      </c>
      <c r="N149" s="6" t="n">
        <v>9.6</v>
      </c>
      <c r="O149" s="6" t="n">
        <v>122.1</v>
      </c>
      <c r="P149" s="6" t="n">
        <v>102</v>
      </c>
      <c r="Q149" s="6" t="n">
        <f aca="false">0.35+((P149-10)/107)*(1-0.35)</f>
        <v>0.908878504672897</v>
      </c>
      <c r="R149" s="14" t="n">
        <f aca="false">Q149*L149</f>
        <v>0.636214953271028</v>
      </c>
      <c r="S149" s="14" t="n">
        <f aca="false">J149-R149</f>
        <v>9.66378504672897</v>
      </c>
      <c r="T149" s="14" t="n">
        <f aca="false">MIN(122.1,(T148+S149))</f>
        <v>122.1</v>
      </c>
      <c r="V149" s="6" t="n">
        <v>101.9</v>
      </c>
      <c r="X149" s="6" t="n">
        <f aca="false">X148+V149</f>
        <v>50808.3</v>
      </c>
      <c r="AA149" s="16" t="n">
        <v>8.47201975164208</v>
      </c>
    </row>
    <row r="150" s="6" customFormat="true" ht="15" hidden="false" customHeight="false" outlineLevel="0" collapsed="false">
      <c r="A150" s="11"/>
      <c r="B150" s="12"/>
      <c r="C150" s="7" t="n">
        <v>41266</v>
      </c>
      <c r="D150" s="6" t="n">
        <v>10.3</v>
      </c>
      <c r="E150" s="6" t="n">
        <v>6.9</v>
      </c>
      <c r="F150" s="6" t="n">
        <v>13</v>
      </c>
      <c r="G150" s="6" t="n">
        <f aca="false">G149+D150</f>
        <v>909.1</v>
      </c>
      <c r="J150" s="6" t="n">
        <v>0</v>
      </c>
      <c r="K150" s="6" t="n">
        <f aca="false">K149+J150</f>
        <v>345.6</v>
      </c>
      <c r="L150" s="6" t="n">
        <v>0.7</v>
      </c>
      <c r="M150" s="6" t="n">
        <f aca="false">M149+L150</f>
        <v>103.3</v>
      </c>
      <c r="N150" s="6" t="n">
        <v>-0.7</v>
      </c>
      <c r="O150" s="6" t="n">
        <f aca="false">O149+N150</f>
        <v>121.4</v>
      </c>
      <c r="P150" s="6" t="n">
        <v>103</v>
      </c>
      <c r="Q150" s="6" t="n">
        <f aca="false">0.35+((P150-10)/107)*(1-0.35)</f>
        <v>0.914953271028037</v>
      </c>
      <c r="R150" s="14" t="n">
        <f aca="false">Q150*L150</f>
        <v>0.640467289719626</v>
      </c>
      <c r="S150" s="14" t="n">
        <f aca="false">J150-R150</f>
        <v>-0.640467289719626</v>
      </c>
      <c r="T150" s="14" t="n">
        <f aca="false">MIN(122.1,(T149+S150))</f>
        <v>121.45953271028</v>
      </c>
      <c r="V150" s="6" t="n">
        <v>223.2</v>
      </c>
      <c r="X150" s="6" t="n">
        <f aca="false">X149+V150</f>
        <v>51031.5</v>
      </c>
      <c r="AA150" s="16" t="n">
        <v>8.47204252763407</v>
      </c>
    </row>
    <row r="151" s="6" customFormat="true" ht="15" hidden="false" customHeight="false" outlineLevel="0" collapsed="false">
      <c r="A151" s="11"/>
      <c r="B151" s="12"/>
      <c r="C151" s="7" t="n">
        <v>41267</v>
      </c>
      <c r="D151" s="6" t="n">
        <v>8.8</v>
      </c>
      <c r="E151" s="6" t="n">
        <v>3.1</v>
      </c>
      <c r="F151" s="6" t="n">
        <v>12.2</v>
      </c>
      <c r="G151" s="6" t="n">
        <f aca="false">G150+D151</f>
        <v>917.9</v>
      </c>
      <c r="J151" s="6" t="n">
        <v>0</v>
      </c>
      <c r="K151" s="6" t="n">
        <f aca="false">K150+J151</f>
        <v>345.6</v>
      </c>
      <c r="L151" s="6" t="n">
        <v>0.5</v>
      </c>
      <c r="M151" s="6" t="n">
        <f aca="false">M150+L151</f>
        <v>103.8</v>
      </c>
      <c r="N151" s="6" t="n">
        <v>-0.5</v>
      </c>
      <c r="O151" s="6" t="n">
        <f aca="false">O150+N151</f>
        <v>120.9</v>
      </c>
      <c r="P151" s="6" t="n">
        <v>104</v>
      </c>
      <c r="Q151" s="6" t="n">
        <f aca="false">0.35+((P151-10)/107)*(1-0.35)</f>
        <v>0.921028037383178</v>
      </c>
      <c r="R151" s="14" t="n">
        <f aca="false">Q151*L151</f>
        <v>0.460514018691589</v>
      </c>
      <c r="S151" s="14" t="n">
        <f aca="false">J151-R151</f>
        <v>-0.460514018691589</v>
      </c>
      <c r="T151" s="14" t="n">
        <f aca="false">MIN(122.1,(T150+S151))</f>
        <v>120.999018691589</v>
      </c>
      <c r="V151" s="6" t="n">
        <v>245.7</v>
      </c>
      <c r="X151" s="6" t="n">
        <f aca="false">X150+V151</f>
        <v>51277.2</v>
      </c>
      <c r="AA151" s="16" t="n">
        <v>8.47355491332281</v>
      </c>
    </row>
    <row r="152" s="6" customFormat="true" ht="15" hidden="false" customHeight="false" outlineLevel="0" collapsed="false">
      <c r="A152" s="11"/>
      <c r="B152" s="12"/>
      <c r="C152" s="7" t="n">
        <v>41268</v>
      </c>
      <c r="D152" s="6" t="n">
        <v>11</v>
      </c>
      <c r="E152" s="6" t="n">
        <v>10.1</v>
      </c>
      <c r="F152" s="6" t="n">
        <v>12.7</v>
      </c>
      <c r="G152" s="6" t="n">
        <f aca="false">G151+D152</f>
        <v>928.9</v>
      </c>
      <c r="J152" s="6" t="n">
        <v>1.8</v>
      </c>
      <c r="K152" s="6" t="n">
        <f aca="false">K151+J152</f>
        <v>347.4</v>
      </c>
      <c r="L152" s="6" t="n">
        <v>1.9</v>
      </c>
      <c r="M152" s="6" t="n">
        <f aca="false">M151+L152</f>
        <v>105.7</v>
      </c>
      <c r="N152" s="6" t="n">
        <v>-0.0999999999999999</v>
      </c>
      <c r="O152" s="6" t="n">
        <f aca="false">O151+N152</f>
        <v>120.8</v>
      </c>
      <c r="P152" s="6" t="n">
        <v>105</v>
      </c>
      <c r="Q152" s="6" t="n">
        <f aca="false">0.35+((P152-10)/107)*(1-0.35)</f>
        <v>0.927102803738318</v>
      </c>
      <c r="R152" s="14" t="n">
        <f aca="false">Q152*L152</f>
        <v>1.7614953271028</v>
      </c>
      <c r="S152" s="14" t="n">
        <f aca="false">J152-R152</f>
        <v>0.0385046728971963</v>
      </c>
      <c r="T152" s="14" t="n">
        <f aca="false">MIN(122.1,(T151+S152))</f>
        <v>121.037523364486</v>
      </c>
      <c r="V152" s="6" t="n">
        <v>143.8</v>
      </c>
      <c r="X152" s="6" t="n">
        <f aca="false">X151+V152</f>
        <v>51421</v>
      </c>
      <c r="AA152" s="16" t="n">
        <v>8.4765556850269</v>
      </c>
    </row>
    <row r="153" s="6" customFormat="true" ht="15" hidden="false" customHeight="false" outlineLevel="0" collapsed="false">
      <c r="A153" s="11"/>
      <c r="B153" s="12"/>
      <c r="C153" s="7" t="n">
        <v>41269</v>
      </c>
      <c r="D153" s="6" t="n">
        <v>8.1</v>
      </c>
      <c r="E153" s="6" t="n">
        <v>7.2</v>
      </c>
      <c r="F153" s="6" t="n">
        <v>9.4</v>
      </c>
      <c r="G153" s="6" t="n">
        <f aca="false">G152+D153</f>
        <v>937</v>
      </c>
      <c r="J153" s="6" t="n">
        <v>2</v>
      </c>
      <c r="K153" s="6" t="n">
        <f aca="false">K152+J153</f>
        <v>349.4</v>
      </c>
      <c r="L153" s="6" t="n">
        <v>1.1</v>
      </c>
      <c r="M153" s="6" t="n">
        <f aca="false">M152+L153</f>
        <v>106.8</v>
      </c>
      <c r="N153" s="6" t="n">
        <v>0.9</v>
      </c>
      <c r="O153" s="6" t="n">
        <f aca="false">O152+N153</f>
        <v>121.7</v>
      </c>
      <c r="P153" s="6" t="n">
        <v>106</v>
      </c>
      <c r="Q153" s="6" t="n">
        <f aca="false">0.35+((P153-10)/107)*(1-0.35)</f>
        <v>0.933177570093458</v>
      </c>
      <c r="R153" s="14" t="n">
        <f aca="false">Q153*L153</f>
        <v>1.0264953271028</v>
      </c>
      <c r="S153" s="14" t="n">
        <f aca="false">J153-R153</f>
        <v>0.973504672897196</v>
      </c>
      <c r="T153" s="14" t="n">
        <f aca="false">MIN(122.1,(T152+S153))</f>
        <v>122.011028037383</v>
      </c>
      <c r="V153" s="6" t="n">
        <v>313.6</v>
      </c>
      <c r="X153" s="6" t="n">
        <f aca="false">X152+V153</f>
        <v>51734.6</v>
      </c>
      <c r="AA153" s="16" t="n">
        <v>8.48104187620463</v>
      </c>
    </row>
    <row r="154" s="6" customFormat="true" ht="15" hidden="false" customHeight="false" outlineLevel="0" collapsed="false">
      <c r="A154" s="11"/>
      <c r="B154" s="12"/>
      <c r="C154" s="7" t="n">
        <v>41270</v>
      </c>
      <c r="D154" s="6" t="n">
        <v>8.7</v>
      </c>
      <c r="E154" s="6" t="n">
        <v>7.4</v>
      </c>
      <c r="F154" s="6" t="n">
        <v>10.3</v>
      </c>
      <c r="G154" s="6" t="n">
        <f aca="false">G153+D154</f>
        <v>945.7</v>
      </c>
      <c r="J154" s="6" t="n">
        <v>9</v>
      </c>
      <c r="K154" s="6" t="n">
        <f aca="false">K153+J154</f>
        <v>358.4</v>
      </c>
      <c r="L154" s="6" t="n">
        <v>1.3</v>
      </c>
      <c r="M154" s="6" t="n">
        <f aca="false">M153+L154</f>
        <v>108.1</v>
      </c>
      <c r="N154" s="6" t="n">
        <v>7.7</v>
      </c>
      <c r="O154" s="6" t="n">
        <v>122.1</v>
      </c>
      <c r="P154" s="6" t="n">
        <v>107</v>
      </c>
      <c r="Q154" s="6" t="n">
        <f aca="false">0.35+((P154-10)/107)*(1-0.35)</f>
        <v>0.939252336448598</v>
      </c>
      <c r="R154" s="14" t="n">
        <f aca="false">Q154*L154</f>
        <v>1.22102803738318</v>
      </c>
      <c r="S154" s="14" t="n">
        <f aca="false">J154-R154</f>
        <v>7.77897196261682</v>
      </c>
      <c r="T154" s="14" t="n">
        <f aca="false">MIN(122.1,(T153+S154))</f>
        <v>122.1</v>
      </c>
      <c r="V154" s="6" t="n">
        <v>105.4</v>
      </c>
      <c r="X154" s="6" t="n">
        <f aca="false">X153+V154</f>
        <v>51840</v>
      </c>
      <c r="AA154" s="16" t="n">
        <v>8.48700879004572</v>
      </c>
    </row>
    <row r="155" s="6" customFormat="true" ht="15" hidden="false" customHeight="false" outlineLevel="0" collapsed="false">
      <c r="A155" s="11"/>
      <c r="B155" s="12"/>
      <c r="C155" s="7" t="n">
        <v>41271</v>
      </c>
      <c r="D155" s="6" t="n">
        <v>6.8</v>
      </c>
      <c r="E155" s="6" t="n">
        <v>5.1</v>
      </c>
      <c r="F155" s="6" t="n">
        <v>7.6</v>
      </c>
      <c r="G155" s="6" t="n">
        <f aca="false">G154+D155</f>
        <v>952.5</v>
      </c>
      <c r="J155" s="6" t="n">
        <v>0.1</v>
      </c>
      <c r="K155" s="6" t="n">
        <f aca="false">K154+J155</f>
        <v>358.5</v>
      </c>
      <c r="L155" s="6" t="n">
        <v>0.4</v>
      </c>
      <c r="M155" s="6" t="n">
        <f aca="false">M154+L155</f>
        <v>108.5</v>
      </c>
      <c r="N155" s="6" t="n">
        <v>-0.3</v>
      </c>
      <c r="O155" s="6" t="n">
        <f aca="false">O154+N155</f>
        <v>121.8</v>
      </c>
      <c r="P155" s="6" t="n">
        <v>108</v>
      </c>
      <c r="Q155" s="6" t="n">
        <f aca="false">0.35+((P155-10)/107)*(1-0.35)</f>
        <v>0.945327102803738</v>
      </c>
      <c r="R155" s="14" t="n">
        <f aca="false">Q155*L155</f>
        <v>0.378130841121495</v>
      </c>
      <c r="S155" s="14" t="n">
        <f aca="false">J155-R155</f>
        <v>-0.278130841121495</v>
      </c>
      <c r="T155" s="14" t="n">
        <f aca="false">MIN(122.1,(T154+S155))</f>
        <v>121.821869158879</v>
      </c>
      <c r="V155" s="6" t="n">
        <v>144.7</v>
      </c>
      <c r="X155" s="6" t="n">
        <f aca="false">X154+V155</f>
        <v>51984.7</v>
      </c>
      <c r="AA155" s="16" t="n">
        <v>8.49445001937997</v>
      </c>
    </row>
    <row r="156" s="6" customFormat="true" ht="15" hidden="false" customHeight="false" outlineLevel="0" collapsed="false">
      <c r="A156" s="11"/>
      <c r="B156" s="12"/>
      <c r="C156" s="7" t="n">
        <v>41272</v>
      </c>
      <c r="D156" s="6" t="n">
        <v>7.9</v>
      </c>
      <c r="E156" s="6" t="n">
        <v>2.7</v>
      </c>
      <c r="F156" s="6" t="n">
        <v>10.7</v>
      </c>
      <c r="G156" s="6" t="n">
        <f aca="false">G155+D156</f>
        <v>960.4</v>
      </c>
      <c r="J156" s="6" t="n">
        <v>0</v>
      </c>
      <c r="K156" s="6" t="n">
        <f aca="false">K155+J156</f>
        <v>358.5</v>
      </c>
      <c r="L156" s="6" t="n">
        <v>0.9</v>
      </c>
      <c r="M156" s="6" t="n">
        <f aca="false">M155+L156</f>
        <v>109.4</v>
      </c>
      <c r="N156" s="6" t="n">
        <v>-0.9</v>
      </c>
      <c r="O156" s="6" t="n">
        <f aca="false">O155+N156</f>
        <v>120.9</v>
      </c>
      <c r="P156" s="6" t="n">
        <v>109</v>
      </c>
      <c r="Q156" s="6" t="n">
        <f aca="false">0.35+((P156-10)/107)*(1-0.35)</f>
        <v>0.951401869158879</v>
      </c>
      <c r="R156" s="14" t="n">
        <f aca="false">Q156*L156</f>
        <v>0.856261682242991</v>
      </c>
      <c r="S156" s="14" t="n">
        <f aca="false">J156-R156</f>
        <v>-0.856261682242991</v>
      </c>
      <c r="T156" s="14" t="n">
        <f aca="false">MIN(122.1,(T155+S156))</f>
        <v>120.965607476636</v>
      </c>
      <c r="V156" s="6" t="n">
        <v>297.9</v>
      </c>
      <c r="X156" s="6" t="n">
        <f aca="false">X155+V156</f>
        <v>52282.6</v>
      </c>
      <c r="AA156" s="16" t="n">
        <v>8.50335747372761</v>
      </c>
    </row>
    <row r="157" s="6" customFormat="true" ht="15" hidden="false" customHeight="false" outlineLevel="0" collapsed="false">
      <c r="A157" s="11"/>
      <c r="B157" s="12"/>
      <c r="C157" s="7" t="n">
        <v>41273</v>
      </c>
      <c r="D157" s="6" t="n">
        <v>7.4</v>
      </c>
      <c r="E157" s="6" t="n">
        <v>6</v>
      </c>
      <c r="F157" s="6" t="n">
        <v>10.4</v>
      </c>
      <c r="G157" s="6" t="n">
        <f aca="false">G156+D157</f>
        <v>967.8</v>
      </c>
      <c r="J157" s="6" t="n">
        <v>0.2</v>
      </c>
      <c r="K157" s="6" t="n">
        <f aca="false">K156+J157</f>
        <v>358.7</v>
      </c>
      <c r="L157" s="6" t="n">
        <v>1.4</v>
      </c>
      <c r="M157" s="6" t="n">
        <f aca="false">M156+L157</f>
        <v>110.8</v>
      </c>
      <c r="N157" s="6" t="n">
        <v>-1.2</v>
      </c>
      <c r="O157" s="6" t="n">
        <f aca="false">O156+N157</f>
        <v>119.7</v>
      </c>
      <c r="P157" s="6" t="n">
        <v>110</v>
      </c>
      <c r="Q157" s="6" t="n">
        <f aca="false">0.35+((P157-10)/107)*(1-0.35)</f>
        <v>0.957476635514019</v>
      </c>
      <c r="R157" s="14" t="n">
        <f aca="false">Q157*L157</f>
        <v>1.34046728971963</v>
      </c>
      <c r="S157" s="14" t="n">
        <f aca="false">J157-R157</f>
        <v>-1.14046728971963</v>
      </c>
      <c r="T157" s="14" t="n">
        <f aca="false">MIN(122.1,(T156+S157))</f>
        <v>119.825140186916</v>
      </c>
      <c r="V157" s="6" t="n">
        <v>353.2</v>
      </c>
      <c r="X157" s="6" t="n">
        <f aca="false">X156+V157</f>
        <v>52635.8</v>
      </c>
      <c r="AA157" s="16" t="n">
        <v>8.51372141325442</v>
      </c>
    </row>
    <row r="158" s="6" customFormat="true" ht="15" hidden="false" customHeight="false" outlineLevel="0" collapsed="false">
      <c r="A158" s="11"/>
      <c r="B158" s="12"/>
      <c r="C158" s="7" t="n">
        <v>41274</v>
      </c>
      <c r="D158" s="6" t="n">
        <v>5.6</v>
      </c>
      <c r="E158" s="6" t="n">
        <v>3.3</v>
      </c>
      <c r="F158" s="6" t="n">
        <v>8.7</v>
      </c>
      <c r="G158" s="6" t="n">
        <f aca="false">G157+D158</f>
        <v>973.4</v>
      </c>
      <c r="J158" s="6" t="n">
        <v>3.2</v>
      </c>
      <c r="K158" s="6" t="n">
        <f aca="false">K157+J158</f>
        <v>361.9</v>
      </c>
      <c r="L158" s="6" t="n">
        <v>0.8</v>
      </c>
      <c r="M158" s="6" t="n">
        <f aca="false">M157+L158</f>
        <v>111.6</v>
      </c>
      <c r="N158" s="6" t="n">
        <v>2.4</v>
      </c>
      <c r="O158" s="6" t="n">
        <f aca="false">O157+N158</f>
        <v>122.1</v>
      </c>
      <c r="P158" s="6" t="n">
        <v>111</v>
      </c>
      <c r="Q158" s="6" t="n">
        <f aca="false">0.35+((P158-10)/107)*(1-0.35)</f>
        <v>0.963551401869159</v>
      </c>
      <c r="R158" s="14" t="n">
        <f aca="false">Q158*L158</f>
        <v>0.770841121495327</v>
      </c>
      <c r="S158" s="14" t="n">
        <f aca="false">J158-R158</f>
        <v>2.42915887850467</v>
      </c>
      <c r="T158" s="14" t="n">
        <f aca="false">MIN(122.1,(T157+S158))</f>
        <v>122.1</v>
      </c>
      <c r="V158" s="6" t="n">
        <v>276.8</v>
      </c>
      <c r="X158" s="6" t="n">
        <f aca="false">X157+V158</f>
        <v>52912.6</v>
      </c>
      <c r="AA158" s="16" t="n">
        <v>8.52553048933725</v>
      </c>
    </row>
    <row r="159" s="6" customFormat="true" ht="15" hidden="false" customHeight="false" outlineLevel="0" collapsed="false">
      <c r="A159" s="11"/>
      <c r="B159" s="12"/>
      <c r="C159" s="7" t="n">
        <v>41275</v>
      </c>
      <c r="D159" s="6" t="n">
        <v>5.8</v>
      </c>
      <c r="E159" s="6" t="n">
        <v>4.2</v>
      </c>
      <c r="F159" s="6" t="n">
        <v>7.3</v>
      </c>
      <c r="G159" s="6" t="n">
        <f aca="false">G158+D159</f>
        <v>979.2</v>
      </c>
      <c r="J159" s="6" t="n">
        <v>7</v>
      </c>
      <c r="K159" s="6" t="n">
        <f aca="false">K158+J159</f>
        <v>368.9</v>
      </c>
      <c r="L159" s="6" t="n">
        <v>0.3</v>
      </c>
      <c r="M159" s="6" t="n">
        <f aca="false">M158+L159</f>
        <v>111.9</v>
      </c>
      <c r="N159" s="6" t="n">
        <v>6.7</v>
      </c>
      <c r="O159" s="6" t="n">
        <v>122.1</v>
      </c>
      <c r="P159" s="6" t="n">
        <v>112</v>
      </c>
      <c r="Q159" s="6" t="n">
        <f aca="false">0.35+((P159-10)/107)*(1-0.35)</f>
        <v>0.969626168224299</v>
      </c>
      <c r="R159" s="14" t="n">
        <f aca="false">Q159*L159</f>
        <v>0.29088785046729</v>
      </c>
      <c r="S159" s="14" t="n">
        <f aca="false">J159-R159</f>
        <v>6.70911214953271</v>
      </c>
      <c r="T159" s="14" t="n">
        <f aca="false">MIN(122.1,(T158+S159))</f>
        <v>122.1</v>
      </c>
      <c r="V159" s="6" t="n">
        <v>88.6</v>
      </c>
      <c r="X159" s="6" t="n">
        <f aca="false">X158+V159</f>
        <v>53001.2</v>
      </c>
      <c r="AA159" s="16" t="n">
        <v>8.54304250452668</v>
      </c>
    </row>
    <row r="160" s="6" customFormat="true" ht="15" hidden="false" customHeight="false" outlineLevel="0" collapsed="false">
      <c r="A160" s="11"/>
      <c r="B160" s="17" t="n">
        <v>18</v>
      </c>
      <c r="C160" s="7" t="n">
        <v>41276</v>
      </c>
      <c r="D160" s="6" t="n">
        <v>2</v>
      </c>
      <c r="E160" s="6" t="n">
        <v>0.7</v>
      </c>
      <c r="F160" s="6" t="n">
        <v>4.9</v>
      </c>
      <c r="G160" s="6" t="n">
        <f aca="false">G159+D160</f>
        <v>981.2</v>
      </c>
      <c r="J160" s="6" t="n">
        <v>0</v>
      </c>
      <c r="K160" s="6" t="n">
        <f aca="false">K159+J160</f>
        <v>368.9</v>
      </c>
      <c r="L160" s="6" t="n">
        <v>0.2</v>
      </c>
      <c r="M160" s="6" t="n">
        <f aca="false">M159+L160</f>
        <v>112.1</v>
      </c>
      <c r="N160" s="6" t="n">
        <v>-0.2</v>
      </c>
      <c r="O160" s="6" t="n">
        <f aca="false">O159+N160</f>
        <v>121.9</v>
      </c>
      <c r="P160" s="6" t="n">
        <v>113</v>
      </c>
      <c r="Q160" s="6" t="n">
        <f aca="false">0.35+((P160-10)/107)*(1-0.35)</f>
        <v>0.975700934579439</v>
      </c>
      <c r="R160" s="14" t="n">
        <f aca="false">Q160*L160</f>
        <v>0.195140186915888</v>
      </c>
      <c r="S160" s="14" t="n">
        <f aca="false">J160-R160</f>
        <v>-0.195140186915888</v>
      </c>
      <c r="T160" s="14" t="n">
        <f aca="false">MIN(122.1,(T159+S160))</f>
        <v>121.904859813084</v>
      </c>
      <c r="V160" s="6" t="n">
        <v>218.3</v>
      </c>
      <c r="X160" s="6" t="n">
        <f aca="false">X159+V160</f>
        <v>53219.5</v>
      </c>
      <c r="AA160" s="16" t="n">
        <v>8.55812599175033</v>
      </c>
    </row>
    <row r="161" s="6" customFormat="true" ht="15" hidden="false" customHeight="false" outlineLevel="0" collapsed="false">
      <c r="A161" s="11"/>
      <c r="B161" s="17" t="n">
        <v>19</v>
      </c>
      <c r="C161" s="7" t="n">
        <v>41277</v>
      </c>
      <c r="D161" s="6" t="n">
        <v>2.9</v>
      </c>
      <c r="E161" s="6" t="n">
        <v>-1.3</v>
      </c>
      <c r="F161" s="6" t="n">
        <v>5</v>
      </c>
      <c r="G161" s="6" t="n">
        <f aca="false">G160+D161</f>
        <v>984.1</v>
      </c>
      <c r="J161" s="6" t="n">
        <v>0.4</v>
      </c>
      <c r="K161" s="6" t="n">
        <f aca="false">K160+J161</f>
        <v>369.3</v>
      </c>
      <c r="L161" s="6" t="n">
        <v>0.3</v>
      </c>
      <c r="M161" s="6" t="n">
        <f aca="false">M160+L161</f>
        <v>112.4</v>
      </c>
      <c r="N161" s="6" t="n">
        <v>0.1</v>
      </c>
      <c r="O161" s="6" t="n">
        <f aca="false">O160+N161</f>
        <v>122</v>
      </c>
      <c r="P161" s="6" t="n">
        <v>114</v>
      </c>
      <c r="Q161" s="6" t="n">
        <f aca="false">0.35+((P161-10)/107)*(1-0.35)</f>
        <v>0.981775700934579</v>
      </c>
      <c r="R161" s="14" t="n">
        <f aca="false">Q161*L161</f>
        <v>0.294532710280374</v>
      </c>
      <c r="S161" s="14" t="n">
        <f aca="false">J161-R161</f>
        <v>0.105467289719626</v>
      </c>
      <c r="T161" s="14" t="n">
        <f aca="false">MIN(122.1,(T160+S161))</f>
        <v>122.010327102804</v>
      </c>
      <c r="V161" s="6" t="n">
        <v>124.1</v>
      </c>
      <c r="X161" s="6" t="n">
        <f aca="false">X160+V161</f>
        <v>53343.6</v>
      </c>
      <c r="AA161" s="16" t="n">
        <v>8.57460635413208</v>
      </c>
    </row>
    <row r="162" s="6" customFormat="true" ht="15" hidden="false" customHeight="false" outlineLevel="0" collapsed="false">
      <c r="A162" s="11"/>
      <c r="B162" s="12"/>
      <c r="C162" s="7" t="n">
        <v>41278</v>
      </c>
      <c r="D162" s="6" t="n">
        <v>6.4</v>
      </c>
      <c r="E162" s="6" t="n">
        <v>4.8</v>
      </c>
      <c r="F162" s="6" t="n">
        <v>7.8</v>
      </c>
      <c r="G162" s="6" t="n">
        <f aca="false">G161+D162</f>
        <v>990.5</v>
      </c>
      <c r="J162" s="6" t="n">
        <v>0.4</v>
      </c>
      <c r="K162" s="6" t="n">
        <f aca="false">K161+J162</f>
        <v>369.7</v>
      </c>
      <c r="L162" s="6" t="n">
        <v>0.3</v>
      </c>
      <c r="M162" s="6" t="n">
        <f aca="false">M161+L162</f>
        <v>112.7</v>
      </c>
      <c r="N162" s="6" t="n">
        <v>0.1</v>
      </c>
      <c r="O162" s="6" t="n">
        <f aca="false">O161+N162</f>
        <v>122.1</v>
      </c>
      <c r="P162" s="6" t="n">
        <v>115</v>
      </c>
      <c r="Q162" s="6" t="n">
        <f aca="false">0.35+((P162-10)/107)*(1-0.35)</f>
        <v>0.98785046728972</v>
      </c>
      <c r="R162" s="14" t="n">
        <f aca="false">Q162*L162</f>
        <v>0.296355140186916</v>
      </c>
      <c r="S162" s="14" t="n">
        <f aca="false">J162-R162</f>
        <v>0.103644859813084</v>
      </c>
      <c r="T162" s="14" t="n">
        <f aca="false">MIN(122.1,(T161+S162))</f>
        <v>122.1</v>
      </c>
      <c r="V162" s="6" t="n">
        <v>146.4</v>
      </c>
      <c r="X162" s="6" t="n">
        <f aca="false">X161+V162</f>
        <v>53490</v>
      </c>
      <c r="AA162" s="16" t="n">
        <v>8.59246592719072</v>
      </c>
    </row>
    <row r="163" s="6" customFormat="true" ht="15" hidden="false" customHeight="false" outlineLevel="0" collapsed="false">
      <c r="A163" s="11"/>
      <c r="B163" s="12"/>
      <c r="C163" s="7" t="n">
        <v>41279</v>
      </c>
      <c r="D163" s="6" t="n">
        <v>6.5</v>
      </c>
      <c r="E163" s="6" t="n">
        <v>6.3</v>
      </c>
      <c r="F163" s="6" t="n">
        <v>6.8</v>
      </c>
      <c r="G163" s="6" t="n">
        <f aca="false">G162+D163</f>
        <v>997</v>
      </c>
      <c r="J163" s="6" t="n">
        <v>0</v>
      </c>
      <c r="K163" s="6" t="n">
        <f aca="false">K162+J163</f>
        <v>369.7</v>
      </c>
      <c r="L163" s="6" t="n">
        <v>0.2</v>
      </c>
      <c r="M163" s="6" t="n">
        <f aca="false">M162+L163</f>
        <v>112.9</v>
      </c>
      <c r="N163" s="6" t="n">
        <v>-0.2</v>
      </c>
      <c r="O163" s="6" t="n">
        <f aca="false">O162+N163</f>
        <v>121.9</v>
      </c>
      <c r="P163" s="6" t="n">
        <v>116</v>
      </c>
      <c r="Q163" s="6" t="n">
        <f aca="false">0.35+((P163-10)/107)*(1-0.35)</f>
        <v>0.99392523364486</v>
      </c>
      <c r="R163" s="14" t="n">
        <f aca="false">Q163*L163</f>
        <v>0.198785046728972</v>
      </c>
      <c r="S163" s="14" t="n">
        <f aca="false">J163-R163</f>
        <v>-0.198785046728972</v>
      </c>
      <c r="T163" s="14" t="n">
        <f aca="false">MIN(122.1,(T162+S163))</f>
        <v>121.901214953271</v>
      </c>
      <c r="V163" s="6" t="n">
        <v>127.6</v>
      </c>
      <c r="X163" s="6" t="n">
        <f aca="false">X162+V163</f>
        <v>53617.6</v>
      </c>
      <c r="AA163" s="16" t="n">
        <v>8.61168574703658</v>
      </c>
    </row>
    <row r="164" s="20" customFormat="true" ht="15" hidden="false" customHeight="false" outlineLevel="0" collapsed="false">
      <c r="A164" s="11"/>
      <c r="B164" s="18"/>
      <c r="C164" s="19" t="n">
        <v>41280</v>
      </c>
      <c r="D164" s="20" t="n">
        <v>6.2</v>
      </c>
      <c r="E164" s="20" t="n">
        <v>5.8</v>
      </c>
      <c r="F164" s="20" t="n">
        <v>7</v>
      </c>
      <c r="G164" s="20" t="n">
        <f aca="false">G163+D164</f>
        <v>1003.2</v>
      </c>
      <c r="J164" s="20" t="n">
        <v>0</v>
      </c>
      <c r="K164" s="20" t="n">
        <f aca="false">K163+J164</f>
        <v>369.7</v>
      </c>
      <c r="L164" s="20" t="n">
        <v>0.5</v>
      </c>
      <c r="M164" s="20" t="n">
        <f aca="false">M163+L164</f>
        <v>113.4</v>
      </c>
      <c r="N164" s="20" t="n">
        <v>-0.5</v>
      </c>
      <c r="O164" s="20" t="n">
        <f aca="false">O163+N164</f>
        <v>121.4</v>
      </c>
      <c r="P164" s="20" t="n">
        <v>117</v>
      </c>
      <c r="Q164" s="20" t="n">
        <f aca="false">0.35+((P164-10)/107)*(1-0.35)</f>
        <v>1</v>
      </c>
      <c r="R164" s="21" t="n">
        <f aca="false">Q164*L164</f>
        <v>0.5</v>
      </c>
      <c r="S164" s="21" t="n">
        <f aca="false">J164-R164</f>
        <v>-0.5</v>
      </c>
      <c r="T164" s="21" t="n">
        <f aca="false">MIN(122.1,(T163+S164))</f>
        <v>121.401214953271</v>
      </c>
      <c r="V164" s="20" t="n">
        <v>235</v>
      </c>
      <c r="W164" s="20" t="n">
        <f aca="false">(X164/100)/G164</f>
        <v>0.536808213716108</v>
      </c>
      <c r="X164" s="20" t="n">
        <f aca="false">X163+V164</f>
        <v>53852.6</v>
      </c>
      <c r="AA164" s="22" t="n">
        <v>8.63224562288088</v>
      </c>
    </row>
    <row r="165" s="6" customFormat="true" ht="15" hidden="false" customHeight="false" outlineLevel="0" collapsed="false">
      <c r="A165" s="23" t="s">
        <v>45</v>
      </c>
      <c r="B165" s="17" t="n">
        <v>20</v>
      </c>
      <c r="C165" s="7" t="n">
        <v>41281</v>
      </c>
      <c r="D165" s="6" t="n">
        <v>4.7</v>
      </c>
      <c r="E165" s="6" t="n">
        <v>4.2</v>
      </c>
      <c r="F165" s="6" t="n">
        <v>5.3</v>
      </c>
      <c r="G165" s="6" t="n">
        <f aca="false">G164+D165</f>
        <v>1007.9</v>
      </c>
      <c r="H165" s="6" t="n">
        <f aca="false">D165</f>
        <v>4.7</v>
      </c>
      <c r="I165" s="24" t="s">
        <v>29</v>
      </c>
      <c r="J165" s="6" t="n">
        <v>0</v>
      </c>
      <c r="K165" s="6" t="n">
        <f aca="false">K164+J165</f>
        <v>369.7</v>
      </c>
      <c r="L165" s="6" t="n">
        <v>0.3</v>
      </c>
      <c r="M165" s="6" t="n">
        <f aca="false">M164+L165</f>
        <v>113.7</v>
      </c>
      <c r="N165" s="6" t="n">
        <v>-0.3</v>
      </c>
      <c r="O165" s="6" t="n">
        <f aca="false">O164+N165</f>
        <v>121.1</v>
      </c>
      <c r="P165" s="6" t="n">
        <v>118</v>
      </c>
      <c r="Q165" s="6" t="n">
        <v>1</v>
      </c>
      <c r="R165" s="14" t="n">
        <f aca="false">Q165*L165</f>
        <v>0.3</v>
      </c>
      <c r="S165" s="14" t="n">
        <f aca="false">J165-R165</f>
        <v>-0.3</v>
      </c>
      <c r="T165" s="14" t="n">
        <f aca="false">MIN(122.1,(T164+S165))</f>
        <v>121.101214953271</v>
      </c>
      <c r="U165" s="24" t="s">
        <v>30</v>
      </c>
      <c r="V165" s="6" t="n">
        <v>179.6</v>
      </c>
      <c r="X165" s="6" t="n">
        <f aca="false">X164+V165</f>
        <v>54032.2</v>
      </c>
      <c r="Y165" s="6" t="n">
        <f aca="false">V165</f>
        <v>179.6</v>
      </c>
      <c r="Z165" s="24" t="s">
        <v>31</v>
      </c>
      <c r="AA165" s="16" t="n">
        <v>8.65412421275026</v>
      </c>
    </row>
    <row r="166" s="6" customFormat="true" ht="15" hidden="false" customHeight="false" outlineLevel="0" collapsed="false">
      <c r="A166" s="23"/>
      <c r="B166" s="17" t="n">
        <v>21</v>
      </c>
      <c r="C166" s="7" t="n">
        <v>41282</v>
      </c>
      <c r="D166" s="6" t="n">
        <v>2.6</v>
      </c>
      <c r="E166" s="6" t="n">
        <v>2.2</v>
      </c>
      <c r="F166" s="6" t="n">
        <v>3</v>
      </c>
      <c r="G166" s="6" t="n">
        <f aca="false">G165+D166</f>
        <v>1010.5</v>
      </c>
      <c r="H166" s="6" t="n">
        <f aca="false">H165+D166</f>
        <v>7.3</v>
      </c>
      <c r="I166" s="6" t="n">
        <f aca="false">MIN(E165:E222)</f>
        <v>-6.2</v>
      </c>
      <c r="J166" s="6" t="n">
        <v>0</v>
      </c>
      <c r="K166" s="6" t="n">
        <f aca="false">K165+J166</f>
        <v>369.7</v>
      </c>
      <c r="L166" s="6" t="n">
        <v>0.3</v>
      </c>
      <c r="M166" s="6" t="n">
        <f aca="false">M165+L166</f>
        <v>114</v>
      </c>
      <c r="N166" s="6" t="n">
        <v>-0.3</v>
      </c>
      <c r="O166" s="6" t="n">
        <f aca="false">O165+N166</f>
        <v>120.8</v>
      </c>
      <c r="P166" s="6" t="n">
        <v>119</v>
      </c>
      <c r="Q166" s="6" t="n">
        <v>1</v>
      </c>
      <c r="R166" s="14" t="n">
        <f aca="false">Q166*L166</f>
        <v>0.3</v>
      </c>
      <c r="S166" s="14" t="n">
        <f aca="false">J166-R166</f>
        <v>-0.3</v>
      </c>
      <c r="T166" s="14" t="n">
        <f aca="false">MIN(122.1,(T165+S166))</f>
        <v>120.801214953271</v>
      </c>
      <c r="U166" s="6" t="n">
        <v>39</v>
      </c>
      <c r="V166" s="6" t="n">
        <v>194</v>
      </c>
      <c r="X166" s="6" t="n">
        <f aca="false">X165+V166</f>
        <v>54226.2</v>
      </c>
      <c r="Y166" s="6" t="n">
        <f aca="false">Y165+V166</f>
        <v>373.6</v>
      </c>
      <c r="Z166" s="6" t="n">
        <v>24071.9</v>
      </c>
      <c r="AA166" s="16" t="n">
        <v>8.67729910184935</v>
      </c>
    </row>
    <row r="167" s="6" customFormat="true" ht="15" hidden="false" customHeight="false" outlineLevel="0" collapsed="false">
      <c r="A167" s="23"/>
      <c r="B167" s="17" t="n">
        <v>22</v>
      </c>
      <c r="C167" s="7" t="n">
        <v>41283</v>
      </c>
      <c r="D167" s="6" t="n">
        <v>0.8</v>
      </c>
      <c r="E167" s="6" t="n">
        <v>0.6</v>
      </c>
      <c r="F167" s="6" t="n">
        <v>1</v>
      </c>
      <c r="G167" s="6" t="n">
        <f aca="false">G166+D167</f>
        <v>1011.3</v>
      </c>
      <c r="H167" s="6" t="n">
        <f aca="false">H166+D167</f>
        <v>8.1</v>
      </c>
      <c r="I167" s="24" t="s">
        <v>32</v>
      </c>
      <c r="J167" s="6" t="n">
        <v>2.1</v>
      </c>
      <c r="K167" s="6" t="n">
        <f aca="false">K166+J167</f>
        <v>371.8</v>
      </c>
      <c r="L167" s="6" t="n">
        <v>0.4</v>
      </c>
      <c r="M167" s="6" t="n">
        <f aca="false">M166+L167</f>
        <v>114.4</v>
      </c>
      <c r="N167" s="6" t="n">
        <v>1.7</v>
      </c>
      <c r="O167" s="6" t="n">
        <v>122.1</v>
      </c>
      <c r="P167" s="6" t="n">
        <v>120</v>
      </c>
      <c r="Q167" s="6" t="n">
        <v>1</v>
      </c>
      <c r="R167" s="14" t="n">
        <f aca="false">Q167*L167</f>
        <v>0.4</v>
      </c>
      <c r="S167" s="14" t="n">
        <f aca="false">J167-R167</f>
        <v>1.7</v>
      </c>
      <c r="T167" s="14" t="n">
        <f aca="false">MIN(122.1,(T166+S167))</f>
        <v>122.1</v>
      </c>
      <c r="U167" s="24" t="s">
        <v>33</v>
      </c>
      <c r="V167" s="6" t="n">
        <v>113.4</v>
      </c>
      <c r="X167" s="6" t="n">
        <f aca="false">X166+V167</f>
        <v>54339.6</v>
      </c>
      <c r="Y167" s="6" t="n">
        <f aca="false">Y166+V167</f>
        <v>487</v>
      </c>
      <c r="Z167" s="24" t="s">
        <v>34</v>
      </c>
      <c r="AA167" s="16" t="n">
        <v>8.70174688301341</v>
      </c>
    </row>
    <row r="168" s="6" customFormat="true" ht="15" hidden="false" customHeight="false" outlineLevel="0" collapsed="false">
      <c r="A168" s="23"/>
      <c r="B168" s="17" t="n">
        <v>23</v>
      </c>
      <c r="C168" s="7" t="n">
        <v>41284</v>
      </c>
      <c r="D168" s="6" t="n">
        <v>2.4</v>
      </c>
      <c r="E168" s="6" t="n">
        <v>0.8</v>
      </c>
      <c r="F168" s="6" t="n">
        <v>6.1</v>
      </c>
      <c r="G168" s="6" t="n">
        <f aca="false">G167+D168</f>
        <v>1013.7</v>
      </c>
      <c r="H168" s="6" t="n">
        <f aca="false">H167+D168</f>
        <v>10.5</v>
      </c>
      <c r="I168" s="6" t="n">
        <f aca="false">MAX(F165:F222)</f>
        <v>15.2</v>
      </c>
      <c r="J168" s="6" t="n">
        <v>9.3</v>
      </c>
      <c r="K168" s="6" t="n">
        <f aca="false">K167+J168</f>
        <v>381.1</v>
      </c>
      <c r="L168" s="6" t="n">
        <v>0.5</v>
      </c>
      <c r="M168" s="6" t="n">
        <f aca="false">M167+L168</f>
        <v>114.9</v>
      </c>
      <c r="N168" s="6" t="n">
        <v>8.8</v>
      </c>
      <c r="O168" s="6" t="n">
        <v>122.1</v>
      </c>
      <c r="P168" s="6" t="n">
        <v>121</v>
      </c>
      <c r="Q168" s="6" t="n">
        <v>1</v>
      </c>
      <c r="R168" s="14" t="n">
        <f aca="false">Q168*L168</f>
        <v>0.5</v>
      </c>
      <c r="S168" s="14" t="n">
        <f aca="false">J168-R168</f>
        <v>8.8</v>
      </c>
      <c r="T168" s="14" t="n">
        <f aca="false">MIN(122.1,(T167+S168))</f>
        <v>122.1</v>
      </c>
      <c r="U168" s="6" t="n">
        <v>0</v>
      </c>
      <c r="V168" s="6" t="n">
        <v>106.1</v>
      </c>
      <c r="X168" s="6" t="n">
        <f aca="false">X167+V168</f>
        <v>54445.7</v>
      </c>
      <c r="Y168" s="6" t="n">
        <f aca="false">Y167+V168</f>
        <v>593.1</v>
      </c>
      <c r="Z168" s="6" t="n">
        <f aca="false">(Z166/100)/I178</f>
        <v>2.10971954425942</v>
      </c>
      <c r="AA168" s="16" t="n">
        <v>8.72744323869805</v>
      </c>
    </row>
    <row r="169" s="6" customFormat="true" ht="15" hidden="false" customHeight="false" outlineLevel="0" collapsed="false">
      <c r="A169" s="23"/>
      <c r="B169" s="17" t="n">
        <v>24</v>
      </c>
      <c r="C169" s="7" t="n">
        <v>41285</v>
      </c>
      <c r="D169" s="6" t="n">
        <v>4.5</v>
      </c>
      <c r="E169" s="6" t="n">
        <v>3.4</v>
      </c>
      <c r="F169" s="6" t="n">
        <v>6</v>
      </c>
      <c r="G169" s="6" t="n">
        <f aca="false">G168+D169</f>
        <v>1018.2</v>
      </c>
      <c r="H169" s="6" t="n">
        <f aca="false">H168+D169</f>
        <v>15</v>
      </c>
      <c r="I169" s="24" t="s">
        <v>35</v>
      </c>
      <c r="J169" s="6" t="n">
        <v>0.3</v>
      </c>
      <c r="K169" s="6" t="n">
        <f aca="false">K168+J169</f>
        <v>381.4</v>
      </c>
      <c r="L169" s="6" t="n">
        <v>0.4</v>
      </c>
      <c r="M169" s="6" t="n">
        <f aca="false">M168+L169</f>
        <v>115.3</v>
      </c>
      <c r="N169" s="6" t="n">
        <v>-0.1</v>
      </c>
      <c r="O169" s="6" t="n">
        <f aca="false">O168+N169</f>
        <v>122</v>
      </c>
      <c r="P169" s="6" t="n">
        <v>122</v>
      </c>
      <c r="Q169" s="6" t="n">
        <v>1</v>
      </c>
      <c r="R169" s="14" t="n">
        <f aca="false">Q169*L169</f>
        <v>0.4</v>
      </c>
      <c r="S169" s="14" t="n">
        <f aca="false">J169-R169</f>
        <v>-0.1</v>
      </c>
      <c r="T169" s="14" t="n">
        <f aca="false">MIN(122.1,(T168+S169))</f>
        <v>122</v>
      </c>
      <c r="U169" s="24" t="s">
        <v>36</v>
      </c>
      <c r="V169" s="6" t="n">
        <v>126.6</v>
      </c>
      <c r="X169" s="6" t="n">
        <f aca="false">X168+V169</f>
        <v>54572.3</v>
      </c>
      <c r="Y169" s="6" t="n">
        <f aca="false">Y168+V169</f>
        <v>719.7</v>
      </c>
      <c r="Z169" s="24" t="s">
        <v>37</v>
      </c>
      <c r="AA169" s="16" t="n">
        <v>8.75436302396349</v>
      </c>
    </row>
    <row r="170" s="6" customFormat="true" ht="15" hidden="false" customHeight="false" outlineLevel="0" collapsed="false">
      <c r="A170" s="23"/>
      <c r="B170" s="17" t="n">
        <v>25</v>
      </c>
      <c r="C170" s="7" t="n">
        <v>41286</v>
      </c>
      <c r="D170" s="6" t="n">
        <v>1.7</v>
      </c>
      <c r="E170" s="6" t="n">
        <v>0.3</v>
      </c>
      <c r="F170" s="6" t="n">
        <v>2.6</v>
      </c>
      <c r="G170" s="6" t="n">
        <f aca="false">G169+D170</f>
        <v>1019.9</v>
      </c>
      <c r="H170" s="6" t="n">
        <f aca="false">H169+D170</f>
        <v>16.7</v>
      </c>
      <c r="I170" s="14" t="n">
        <f aca="false">AVERAGE(D165:D222)</f>
        <v>1.31206896551724</v>
      </c>
      <c r="J170" s="6" t="n">
        <v>0.3</v>
      </c>
      <c r="K170" s="6" t="n">
        <f aca="false">K169+J170</f>
        <v>381.7</v>
      </c>
      <c r="L170" s="6" t="n">
        <v>0.2</v>
      </c>
      <c r="M170" s="6" t="n">
        <f aca="false">M169+L170</f>
        <v>115.5</v>
      </c>
      <c r="N170" s="6" t="n">
        <v>0.1</v>
      </c>
      <c r="O170" s="6" t="n">
        <f aca="false">O169+N170</f>
        <v>122.1</v>
      </c>
      <c r="P170" s="6" t="n">
        <v>123</v>
      </c>
      <c r="Q170" s="6" t="n">
        <v>1</v>
      </c>
      <c r="R170" s="14" t="n">
        <f aca="false">Q170*L170</f>
        <v>0.2</v>
      </c>
      <c r="S170" s="14" t="n">
        <f aca="false">J170-R170</f>
        <v>0.1</v>
      </c>
      <c r="T170" s="14" t="n">
        <f aca="false">MIN(122.1,(T169+S170))</f>
        <v>122.1</v>
      </c>
      <c r="U170" s="6" t="n">
        <v>0</v>
      </c>
      <c r="V170" s="6" t="n">
        <v>227.3</v>
      </c>
      <c r="X170" s="6" t="n">
        <f aca="false">X169+V170</f>
        <v>54799.6</v>
      </c>
      <c r="Y170" s="6" t="n">
        <f aca="false">Y169+V170</f>
        <v>947</v>
      </c>
      <c r="Z170" s="6" t="n">
        <v>55</v>
      </c>
      <c r="AA170" s="16" t="n">
        <v>8.78248034992729</v>
      </c>
    </row>
    <row r="171" s="6" customFormat="true" ht="15" hidden="false" customHeight="false" outlineLevel="0" collapsed="false">
      <c r="A171" s="23"/>
      <c r="B171" s="17" t="n">
        <v>26</v>
      </c>
      <c r="C171" s="7" t="n">
        <v>41287</v>
      </c>
      <c r="D171" s="6" t="n">
        <v>3.1</v>
      </c>
      <c r="E171" s="6" t="n">
        <v>2.5</v>
      </c>
      <c r="F171" s="6" t="n">
        <v>4</v>
      </c>
      <c r="G171" s="6" t="n">
        <f aca="false">G170+D171</f>
        <v>1023</v>
      </c>
      <c r="H171" s="6" t="n">
        <f aca="false">H170+D171</f>
        <v>19.8</v>
      </c>
      <c r="I171" s="24" t="s">
        <v>38</v>
      </c>
      <c r="J171" s="6" t="n">
        <v>0</v>
      </c>
      <c r="K171" s="6" t="n">
        <f aca="false">K170+J171</f>
        <v>381.7</v>
      </c>
      <c r="L171" s="6" t="n">
        <v>0.2</v>
      </c>
      <c r="M171" s="6" t="n">
        <f aca="false">M170+L171</f>
        <v>115.7</v>
      </c>
      <c r="N171" s="6" t="n">
        <v>-0.2</v>
      </c>
      <c r="O171" s="6" t="n">
        <f aca="false">O170+N171</f>
        <v>121.9</v>
      </c>
      <c r="P171" s="6" t="n">
        <v>124</v>
      </c>
      <c r="Q171" s="6" t="n">
        <v>1</v>
      </c>
      <c r="R171" s="14" t="n">
        <f aca="false">Q171*L171</f>
        <v>0.2</v>
      </c>
      <c r="S171" s="14" t="n">
        <f aca="false">J171-R171</f>
        <v>-0.2</v>
      </c>
      <c r="T171" s="14" t="n">
        <f aca="false">MIN(122.1,(T170+S171))</f>
        <v>121.9</v>
      </c>
      <c r="U171" s="24" t="s">
        <v>39</v>
      </c>
      <c r="V171" s="6" t="n">
        <v>134.2</v>
      </c>
      <c r="X171" s="6" t="n">
        <f aca="false">X170+V171</f>
        <v>54933.8</v>
      </c>
      <c r="Y171" s="6" t="n">
        <f aca="false">Y170+V171</f>
        <v>1081.2</v>
      </c>
      <c r="AA171" s="16" t="n">
        <v>8.81176866718012</v>
      </c>
    </row>
    <row r="172" s="6" customFormat="true" ht="15" hidden="false" customHeight="false" outlineLevel="0" collapsed="false">
      <c r="A172" s="23"/>
      <c r="B172" s="17" t="n">
        <v>27</v>
      </c>
      <c r="C172" s="7" t="n">
        <v>41288</v>
      </c>
      <c r="D172" s="6" t="n">
        <v>-0.1</v>
      </c>
      <c r="E172" s="6" t="n">
        <v>-2.3</v>
      </c>
      <c r="F172" s="6" t="n">
        <v>1.6</v>
      </c>
      <c r="G172" s="6" t="n">
        <v>1023</v>
      </c>
      <c r="H172" s="6" t="n">
        <v>19.8</v>
      </c>
      <c r="I172" s="6" t="n">
        <v>34</v>
      </c>
      <c r="J172" s="6" t="n">
        <v>0.2</v>
      </c>
      <c r="K172" s="6" t="n">
        <f aca="false">K171+J172</f>
        <v>381.9</v>
      </c>
      <c r="L172" s="6" t="n">
        <v>0.3</v>
      </c>
      <c r="M172" s="6" t="n">
        <f aca="false">M171+L172</f>
        <v>116</v>
      </c>
      <c r="N172" s="6" t="n">
        <v>-0.1</v>
      </c>
      <c r="O172" s="6" t="n">
        <f aca="false">O171+N172</f>
        <v>121.8</v>
      </c>
      <c r="P172" s="6" t="n">
        <v>125</v>
      </c>
      <c r="Q172" s="6" t="n">
        <v>1</v>
      </c>
      <c r="R172" s="14" t="n">
        <f aca="false">Q172*L172</f>
        <v>0.3</v>
      </c>
      <c r="S172" s="14" t="n">
        <f aca="false">J172-R172</f>
        <v>-0.1</v>
      </c>
      <c r="T172" s="14" t="n">
        <f aca="false">MIN(122.1,(T171+S172))</f>
        <v>121.8</v>
      </c>
      <c r="U172" s="14" t="n">
        <f aca="false">MIN(T165:T222)</f>
        <v>105.6</v>
      </c>
      <c r="V172" s="6" t="n">
        <v>213.2</v>
      </c>
      <c r="X172" s="6" t="n">
        <f aca="false">X171+V172</f>
        <v>55147</v>
      </c>
      <c r="Y172" s="6" t="n">
        <f aca="false">Y171+V172</f>
        <v>1294.4</v>
      </c>
      <c r="AA172" s="16" t="n">
        <v>8.84220084868418</v>
      </c>
    </row>
    <row r="173" s="6" customFormat="true" ht="15" hidden="false" customHeight="false" outlineLevel="0" collapsed="false">
      <c r="A173" s="23"/>
      <c r="B173" s="17" t="n">
        <v>28</v>
      </c>
      <c r="C173" s="7" t="n">
        <v>41289</v>
      </c>
      <c r="D173" s="6" t="n">
        <v>-0.8</v>
      </c>
      <c r="E173" s="6" t="n">
        <v>-2.8</v>
      </c>
      <c r="F173" s="6" t="n">
        <v>0.6</v>
      </c>
      <c r="G173" s="6" t="n">
        <v>1023</v>
      </c>
      <c r="H173" s="6" t="n">
        <v>19.8</v>
      </c>
      <c r="I173" s="24" t="s">
        <v>40</v>
      </c>
      <c r="J173" s="6" t="n">
        <v>0.2</v>
      </c>
      <c r="K173" s="6" t="n">
        <f aca="false">K172+J173</f>
        <v>382.1</v>
      </c>
      <c r="L173" s="6" t="n">
        <v>0.3</v>
      </c>
      <c r="M173" s="6" t="n">
        <f aca="false">M172+L173</f>
        <v>116.3</v>
      </c>
      <c r="N173" s="6" t="n">
        <v>-0.1</v>
      </c>
      <c r="O173" s="6" t="n">
        <f aca="false">O172+N173</f>
        <v>121.7</v>
      </c>
      <c r="P173" s="6" t="n">
        <v>126</v>
      </c>
      <c r="Q173" s="6" t="n">
        <v>1</v>
      </c>
      <c r="R173" s="14" t="n">
        <f aca="false">Q173*L173</f>
        <v>0.3</v>
      </c>
      <c r="S173" s="14" t="n">
        <f aca="false">J173-R173</f>
        <v>-0.1</v>
      </c>
      <c r="T173" s="14" t="n">
        <f aca="false">MIN(122.1,(T172+S173))</f>
        <v>121.7</v>
      </c>
      <c r="U173" s="24" t="s">
        <v>41</v>
      </c>
      <c r="V173" s="6" t="n">
        <v>257.9</v>
      </c>
      <c r="X173" s="6" t="n">
        <f aca="false">X172+V173</f>
        <v>55404.9</v>
      </c>
      <c r="Y173" s="6" t="n">
        <f aca="false">Y172+V173</f>
        <v>1552.3</v>
      </c>
      <c r="AA173" s="16" t="n">
        <v>8.87374927170292</v>
      </c>
    </row>
    <row r="174" s="6" customFormat="true" ht="15" hidden="false" customHeight="false" outlineLevel="0" collapsed="false">
      <c r="A174" s="23"/>
      <c r="B174" s="17" t="n">
        <v>29</v>
      </c>
      <c r="C174" s="7" t="n">
        <v>41290</v>
      </c>
      <c r="D174" s="6" t="n">
        <v>-2.1</v>
      </c>
      <c r="E174" s="6" t="n">
        <v>-2.6</v>
      </c>
      <c r="F174" s="6" t="n">
        <v>0.5</v>
      </c>
      <c r="G174" s="6" t="n">
        <v>1023</v>
      </c>
      <c r="H174" s="6" t="n">
        <v>19.8</v>
      </c>
      <c r="I174" s="6" t="n">
        <v>0</v>
      </c>
      <c r="J174" s="6" t="n">
        <v>0</v>
      </c>
      <c r="K174" s="6" t="n">
        <f aca="false">K173+J174</f>
        <v>382.1</v>
      </c>
      <c r="L174" s="6" t="n">
        <v>0.5</v>
      </c>
      <c r="M174" s="6" t="n">
        <f aca="false">M173+L174</f>
        <v>116.8</v>
      </c>
      <c r="N174" s="6" t="n">
        <v>-0.5</v>
      </c>
      <c r="O174" s="6" t="n">
        <f aca="false">O173+N174</f>
        <v>121.2</v>
      </c>
      <c r="P174" s="6" t="n">
        <v>127</v>
      </c>
      <c r="Q174" s="6" t="n">
        <v>1</v>
      </c>
      <c r="R174" s="14" t="n">
        <f aca="false">Q174*L174</f>
        <v>0.5</v>
      </c>
      <c r="S174" s="14" t="n">
        <f aca="false">J174-R174</f>
        <v>-0.5</v>
      </c>
      <c r="T174" s="14" t="n">
        <f aca="false">MIN(122.1,(T173+S174))</f>
        <v>121.2</v>
      </c>
      <c r="U174" s="6" t="n">
        <v>122.1</v>
      </c>
      <c r="V174" s="6" t="n">
        <v>264</v>
      </c>
      <c r="X174" s="6" t="n">
        <f aca="false">X173+V174</f>
        <v>55668.9</v>
      </c>
      <c r="Y174" s="6" t="n">
        <f aca="false">Y173+V174</f>
        <v>1816.3</v>
      </c>
      <c r="AA174" s="16" t="n">
        <v>8.90638589834182</v>
      </c>
    </row>
    <row r="175" s="6" customFormat="true" ht="15" hidden="false" customHeight="false" outlineLevel="0" collapsed="false">
      <c r="A175" s="23"/>
      <c r="B175" s="17" t="n">
        <v>30</v>
      </c>
      <c r="C175" s="7" t="n">
        <v>41291</v>
      </c>
      <c r="D175" s="6" t="n">
        <v>-3.9</v>
      </c>
      <c r="E175" s="6" t="n">
        <v>-6.2</v>
      </c>
      <c r="F175" s="6" t="n">
        <v>-2</v>
      </c>
      <c r="G175" s="6" t="n">
        <v>1023</v>
      </c>
      <c r="H175" s="6" t="n">
        <v>19.8</v>
      </c>
      <c r="I175" s="24" t="s">
        <v>42</v>
      </c>
      <c r="J175" s="6" t="n">
        <v>0</v>
      </c>
      <c r="K175" s="6" t="n">
        <f aca="false">K174+J175</f>
        <v>382.1</v>
      </c>
      <c r="L175" s="6" t="n">
        <v>0.4</v>
      </c>
      <c r="M175" s="6" t="n">
        <f aca="false">M174+L175</f>
        <v>117.2</v>
      </c>
      <c r="N175" s="6" t="n">
        <v>-0.4</v>
      </c>
      <c r="O175" s="6" t="n">
        <f aca="false">O174+N175</f>
        <v>120.8</v>
      </c>
      <c r="P175" s="6" t="n">
        <v>128</v>
      </c>
      <c r="Q175" s="6" t="n">
        <v>1</v>
      </c>
      <c r="R175" s="14" t="n">
        <f aca="false">Q175*L175</f>
        <v>0.4</v>
      </c>
      <c r="S175" s="14" t="n">
        <f aca="false">J175-R175</f>
        <v>-0.4</v>
      </c>
      <c r="T175" s="14" t="n">
        <f aca="false">MIN(122.1,(T174+S175))</f>
        <v>120.8</v>
      </c>
      <c r="U175" s="24" t="s">
        <v>43</v>
      </c>
      <c r="V175" s="6" t="n">
        <v>151.8</v>
      </c>
      <c r="X175" s="6" t="n">
        <f aca="false">X174+V175</f>
        <v>55820.7</v>
      </c>
      <c r="Y175" s="6" t="n">
        <f aca="false">Y174+V175</f>
        <v>1968.1</v>
      </c>
      <c r="AA175" s="16" t="n">
        <v>8.94008235431446</v>
      </c>
    </row>
    <row r="176" s="6" customFormat="true" ht="15" hidden="false" customHeight="false" outlineLevel="0" collapsed="false">
      <c r="A176" s="23"/>
      <c r="B176" s="17" t="n">
        <v>31</v>
      </c>
      <c r="C176" s="7" t="n">
        <v>41292</v>
      </c>
      <c r="D176" s="6" t="n">
        <v>-3.7</v>
      </c>
      <c r="E176" s="6" t="n">
        <v>-4.8</v>
      </c>
      <c r="F176" s="6" t="n">
        <v>-2.4</v>
      </c>
      <c r="G176" s="6" t="n">
        <v>1023</v>
      </c>
      <c r="H176" s="6" t="n">
        <v>19.8</v>
      </c>
      <c r="I176" s="6" t="n">
        <v>22</v>
      </c>
      <c r="J176" s="6" t="n">
        <v>0</v>
      </c>
      <c r="K176" s="6" t="n">
        <f aca="false">K175+J176</f>
        <v>382.1</v>
      </c>
      <c r="L176" s="6" t="n">
        <v>0.4</v>
      </c>
      <c r="M176" s="6" t="n">
        <f aca="false">M175+L176</f>
        <v>117.6</v>
      </c>
      <c r="N176" s="6" t="n">
        <v>-0.4</v>
      </c>
      <c r="O176" s="6" t="n">
        <f aca="false">O175+N176</f>
        <v>120.4</v>
      </c>
      <c r="P176" s="6" t="n">
        <v>129</v>
      </c>
      <c r="Q176" s="6" t="n">
        <v>1</v>
      </c>
      <c r="R176" s="14" t="n">
        <f aca="false">Q176*L176</f>
        <v>0.4</v>
      </c>
      <c r="S176" s="14" t="n">
        <f aca="false">J176-R176</f>
        <v>-0.4</v>
      </c>
      <c r="T176" s="14" t="n">
        <f aca="false">MIN(122.1,(T175+S176))</f>
        <v>120.4</v>
      </c>
      <c r="U176" s="15" t="n">
        <f aca="false">AVERAGE(T165:T222)</f>
        <v>119.160386722527</v>
      </c>
      <c r="V176" s="6" t="n">
        <v>503.7</v>
      </c>
      <c r="X176" s="6" t="n">
        <f aca="false">X175+V176</f>
        <v>56324.4</v>
      </c>
      <c r="Y176" s="6" t="n">
        <f aca="false">Y175+V176</f>
        <v>2471.8</v>
      </c>
      <c r="AA176" s="16" t="n">
        <v>8.97481000558343</v>
      </c>
    </row>
    <row r="177" s="6" customFormat="true" ht="15" hidden="false" customHeight="false" outlineLevel="0" collapsed="false">
      <c r="A177" s="23"/>
      <c r="B177" s="12" t="n">
        <v>7</v>
      </c>
      <c r="C177" s="7" t="n">
        <v>41293</v>
      </c>
      <c r="D177" s="6" t="n">
        <v>-0.7</v>
      </c>
      <c r="E177" s="6" t="n">
        <v>-4</v>
      </c>
      <c r="F177" s="6" t="n">
        <v>1</v>
      </c>
      <c r="G177" s="6" t="n">
        <v>1023</v>
      </c>
      <c r="H177" s="6" t="n">
        <v>19.8</v>
      </c>
      <c r="I177" s="24" t="s">
        <v>44</v>
      </c>
      <c r="J177" s="6" t="n">
        <v>12.7</v>
      </c>
      <c r="K177" s="6" t="n">
        <f aca="false">K176+J177</f>
        <v>394.8</v>
      </c>
      <c r="L177" s="6" t="n">
        <v>0.2</v>
      </c>
      <c r="M177" s="6" t="n">
        <f aca="false">M176+L177</f>
        <v>117.8</v>
      </c>
      <c r="N177" s="6" t="n">
        <v>12.5</v>
      </c>
      <c r="O177" s="6" t="n">
        <v>122.1</v>
      </c>
      <c r="P177" s="6" t="n">
        <v>130</v>
      </c>
      <c r="Q177" s="6" t="n">
        <v>1</v>
      </c>
      <c r="R177" s="14" t="n">
        <f aca="false">Q177*L177</f>
        <v>0.2</v>
      </c>
      <c r="S177" s="14" t="n">
        <f aca="false">J177-R177</f>
        <v>12.5</v>
      </c>
      <c r="T177" s="14" t="n">
        <f aca="false">MIN(122.1,(T176+S177))</f>
        <v>122.1</v>
      </c>
      <c r="U177" s="24" t="s">
        <v>46</v>
      </c>
      <c r="V177" s="6" t="n">
        <v>122.3</v>
      </c>
      <c r="X177" s="6" t="n">
        <f aca="false">X176+V177</f>
        <v>56446.7</v>
      </c>
      <c r="Y177" s="6" t="n">
        <f aca="false">Y176+V177</f>
        <v>2594.1</v>
      </c>
      <c r="AA177" s="6" t="n">
        <v>9.01054003256259</v>
      </c>
    </row>
    <row r="178" s="6" customFormat="true" ht="15" hidden="false" customHeight="false" outlineLevel="0" collapsed="false">
      <c r="A178" s="23"/>
      <c r="B178" s="12"/>
      <c r="C178" s="7" t="n">
        <v>41294</v>
      </c>
      <c r="D178" s="6" t="n">
        <v>1</v>
      </c>
      <c r="E178" s="6" t="n">
        <v>-0.4</v>
      </c>
      <c r="F178" s="6" t="n">
        <v>3.3</v>
      </c>
      <c r="G178" s="6" t="n">
        <f aca="false">G177+D178</f>
        <v>1024</v>
      </c>
      <c r="H178" s="6" t="n">
        <f aca="false">H177+D178</f>
        <v>20.8</v>
      </c>
      <c r="I178" s="6" t="n">
        <v>114.1</v>
      </c>
      <c r="J178" s="6" t="n">
        <v>0.9</v>
      </c>
      <c r="K178" s="6" t="n">
        <f aca="false">K177+J178</f>
        <v>395.7</v>
      </c>
      <c r="L178" s="6" t="n">
        <v>0.5</v>
      </c>
      <c r="M178" s="6" t="n">
        <f aca="false">M177+L178</f>
        <v>118.3</v>
      </c>
      <c r="N178" s="6" t="n">
        <v>0.4</v>
      </c>
      <c r="O178" s="6" t="n">
        <v>122.1</v>
      </c>
      <c r="P178" s="6" t="n">
        <v>131</v>
      </c>
      <c r="Q178" s="6" t="n">
        <v>1</v>
      </c>
      <c r="R178" s="14" t="n">
        <f aca="false">Q178*L178</f>
        <v>0.5</v>
      </c>
      <c r="S178" s="14" t="n">
        <f aca="false">J178-R178</f>
        <v>0.4</v>
      </c>
      <c r="T178" s="14" t="n">
        <f aca="false">MIN(122.1,(T177+S178))</f>
        <v>122.1</v>
      </c>
      <c r="U178" s="6" t="n">
        <v>31</v>
      </c>
      <c r="V178" s="6" t="n">
        <v>290</v>
      </c>
      <c r="X178" s="6" t="n">
        <f aca="false">X177+V178</f>
        <v>56736.7</v>
      </c>
      <c r="Y178" s="6" t="n">
        <f aca="false">Y177+V178</f>
        <v>2884.1</v>
      </c>
      <c r="AA178" s="6" t="n">
        <v>9.04724350160456</v>
      </c>
    </row>
    <row r="179" s="6" customFormat="true" ht="15" hidden="false" customHeight="false" outlineLevel="0" collapsed="false">
      <c r="A179" s="23"/>
      <c r="B179" s="12"/>
      <c r="C179" s="7" t="n">
        <v>41295</v>
      </c>
      <c r="D179" s="6" t="n">
        <v>1.5</v>
      </c>
      <c r="E179" s="6" t="n">
        <v>-0.6</v>
      </c>
      <c r="F179" s="6" t="n">
        <v>4.7</v>
      </c>
      <c r="G179" s="6" t="n">
        <f aca="false">G178+D179</f>
        <v>1025.5</v>
      </c>
      <c r="H179" s="6" t="n">
        <f aca="false">H178+D179</f>
        <v>22.3</v>
      </c>
      <c r="J179" s="6" t="n">
        <v>1.1</v>
      </c>
      <c r="K179" s="6" t="n">
        <f aca="false">K178+J179</f>
        <v>396.8</v>
      </c>
      <c r="L179" s="6" t="n">
        <v>0.5</v>
      </c>
      <c r="M179" s="6" t="n">
        <f aca="false">M178+L179</f>
        <v>118.8</v>
      </c>
      <c r="N179" s="6" t="n">
        <v>0.6</v>
      </c>
      <c r="O179" s="6" t="n">
        <v>122.1</v>
      </c>
      <c r="P179" s="6" t="n">
        <v>132</v>
      </c>
      <c r="Q179" s="6" t="n">
        <v>1</v>
      </c>
      <c r="R179" s="14" t="n">
        <f aca="false">Q179*L179</f>
        <v>0.5</v>
      </c>
      <c r="S179" s="14" t="n">
        <f aca="false">J179-R179</f>
        <v>0.6</v>
      </c>
      <c r="T179" s="14" t="n">
        <f aca="false">MIN(122.1,(T178+S179))</f>
        <v>122.1</v>
      </c>
      <c r="V179" s="6" t="n">
        <v>163.4</v>
      </c>
      <c r="X179" s="6" t="n">
        <f aca="false">X178+V179</f>
        <v>56900.1</v>
      </c>
      <c r="Y179" s="6" t="n">
        <f aca="false">Y178+V179</f>
        <v>3047.5</v>
      </c>
      <c r="AA179" s="6" t="n">
        <v>9.08489143353448</v>
      </c>
    </row>
    <row r="180" s="6" customFormat="true" ht="15" hidden="false" customHeight="false" outlineLevel="0" collapsed="false">
      <c r="A180" s="23"/>
      <c r="B180" s="12"/>
      <c r="C180" s="7" t="n">
        <v>41296</v>
      </c>
      <c r="D180" s="6" t="n">
        <v>2.5</v>
      </c>
      <c r="E180" s="6" t="n">
        <v>1.4</v>
      </c>
      <c r="F180" s="6" t="n">
        <v>5.8</v>
      </c>
      <c r="G180" s="6" t="n">
        <f aca="false">G179+D180</f>
        <v>1028</v>
      </c>
      <c r="H180" s="6" t="n">
        <f aca="false">H179+D180</f>
        <v>24.8</v>
      </c>
      <c r="J180" s="6" t="n">
        <v>0</v>
      </c>
      <c r="K180" s="6" t="n">
        <f aca="false">K179+J180</f>
        <v>396.8</v>
      </c>
      <c r="L180" s="6" t="n">
        <v>0.7</v>
      </c>
      <c r="M180" s="6" t="n">
        <f aca="false">M179+L180</f>
        <v>119.5</v>
      </c>
      <c r="N180" s="6" t="n">
        <v>-0.7</v>
      </c>
      <c r="O180" s="6" t="n">
        <f aca="false">O179+N180</f>
        <v>121.4</v>
      </c>
      <c r="P180" s="6" t="n">
        <v>133</v>
      </c>
      <c r="Q180" s="6" t="n">
        <v>1</v>
      </c>
      <c r="R180" s="14" t="n">
        <f aca="false">Q180*L180</f>
        <v>0.7</v>
      </c>
      <c r="S180" s="14" t="n">
        <f aca="false">J180-R180</f>
        <v>-0.7</v>
      </c>
      <c r="T180" s="14" t="n">
        <f aca="false">MIN(122.1,(T179+S180))</f>
        <v>121.4</v>
      </c>
      <c r="U180" s="14" t="n">
        <f aca="false">(U176*100)/122.1</f>
        <v>97.5924543182036</v>
      </c>
      <c r="V180" s="6" t="n">
        <v>236.3</v>
      </c>
      <c r="X180" s="6" t="n">
        <f aca="false">X179+V180</f>
        <v>57136.4</v>
      </c>
      <c r="Y180" s="6" t="n">
        <f aca="false">Y179+V180</f>
        <v>3283.8</v>
      </c>
      <c r="AA180" s="6" t="n">
        <v>9.12345486902835</v>
      </c>
    </row>
    <row r="181" s="6" customFormat="true" ht="15" hidden="false" customHeight="false" outlineLevel="0" collapsed="false">
      <c r="A181" s="23"/>
      <c r="B181" s="12"/>
      <c r="C181" s="7" t="n">
        <v>41297</v>
      </c>
      <c r="D181" s="6" t="n">
        <v>1.1</v>
      </c>
      <c r="E181" s="6" t="n">
        <v>-1.5</v>
      </c>
      <c r="F181" s="6" t="n">
        <v>3.6</v>
      </c>
      <c r="G181" s="6" t="n">
        <f aca="false">G180+D181</f>
        <v>1029.1</v>
      </c>
      <c r="H181" s="6" t="n">
        <f aca="false">H180+D181</f>
        <v>25.9</v>
      </c>
      <c r="J181" s="6" t="n">
        <v>0</v>
      </c>
      <c r="K181" s="6" t="n">
        <f aca="false">K180+J181</f>
        <v>396.8</v>
      </c>
      <c r="L181" s="6" t="n">
        <v>0.6</v>
      </c>
      <c r="M181" s="6" t="n">
        <f aca="false">M180+L181</f>
        <v>120.1</v>
      </c>
      <c r="N181" s="6" t="n">
        <v>-0.6</v>
      </c>
      <c r="O181" s="6" t="n">
        <f aca="false">O180+N181</f>
        <v>120.8</v>
      </c>
      <c r="P181" s="6" t="n">
        <v>134</v>
      </c>
      <c r="Q181" s="6" t="n">
        <v>1</v>
      </c>
      <c r="R181" s="14" t="n">
        <f aca="false">Q181*L181</f>
        <v>0.6</v>
      </c>
      <c r="S181" s="14" t="n">
        <f aca="false">J181-R181</f>
        <v>-0.6</v>
      </c>
      <c r="T181" s="14" t="n">
        <f aca="false">MIN(122.1,(T180+S181))</f>
        <v>120.8</v>
      </c>
      <c r="V181" s="6" t="n">
        <v>591.1</v>
      </c>
      <c r="X181" s="6" t="n">
        <f aca="false">X180+V181</f>
        <v>57727.5</v>
      </c>
      <c r="Y181" s="6" t="n">
        <f aca="false">Y180+V181</f>
        <v>3874.9</v>
      </c>
      <c r="AA181" s="6" t="n">
        <v>9.16290493066994</v>
      </c>
    </row>
    <row r="182" s="6" customFormat="true" ht="15" hidden="false" customHeight="false" outlineLevel="0" collapsed="false">
      <c r="A182" s="23"/>
      <c r="B182" s="12"/>
      <c r="C182" s="7" t="n">
        <v>41298</v>
      </c>
      <c r="D182" s="6" t="n">
        <v>0.4</v>
      </c>
      <c r="E182" s="6" t="n">
        <v>-0.5</v>
      </c>
      <c r="F182" s="6" t="n">
        <v>1.8</v>
      </c>
      <c r="G182" s="6" t="n">
        <f aca="false">G181+D182</f>
        <v>1029.5</v>
      </c>
      <c r="H182" s="6" t="n">
        <f aca="false">H181+D182</f>
        <v>26.3</v>
      </c>
      <c r="J182" s="6" t="n">
        <v>0</v>
      </c>
      <c r="K182" s="6" t="n">
        <f aca="false">K181+J182</f>
        <v>396.8</v>
      </c>
      <c r="L182" s="6" t="n">
        <v>0.6</v>
      </c>
      <c r="M182" s="6" t="n">
        <f aca="false">M181+L182</f>
        <v>120.7</v>
      </c>
      <c r="N182" s="6" t="n">
        <v>-0.6</v>
      </c>
      <c r="O182" s="6" t="n">
        <f aca="false">O181+N182</f>
        <v>120.2</v>
      </c>
      <c r="P182" s="6" t="n">
        <v>135</v>
      </c>
      <c r="Q182" s="6" t="n">
        <v>1</v>
      </c>
      <c r="R182" s="14" t="n">
        <f aca="false">Q182*L182</f>
        <v>0.6</v>
      </c>
      <c r="S182" s="14" t="n">
        <f aca="false">J182-R182</f>
        <v>-0.6</v>
      </c>
      <c r="T182" s="14" t="n">
        <f aca="false">MIN(122.1,(T181+S182))</f>
        <v>120.2</v>
      </c>
      <c r="V182" s="6" t="n">
        <v>231</v>
      </c>
      <c r="X182" s="6" t="n">
        <f aca="false">X181+V182</f>
        <v>57958.5</v>
      </c>
      <c r="Y182" s="6" t="n">
        <f aca="false">Y181+V182</f>
        <v>4105.9</v>
      </c>
      <c r="AA182" s="6" t="n">
        <v>9.20321288155533</v>
      </c>
    </row>
    <row r="183" s="6" customFormat="true" ht="15" hidden="false" customHeight="false" outlineLevel="0" collapsed="false">
      <c r="A183" s="23"/>
      <c r="B183" s="12"/>
      <c r="C183" s="7" t="n">
        <v>41299</v>
      </c>
      <c r="D183" s="6" t="n">
        <v>-3</v>
      </c>
      <c r="E183" s="6" t="n">
        <v>-3.4</v>
      </c>
      <c r="F183" s="6" t="n">
        <v>-2.1</v>
      </c>
      <c r="G183" s="6" t="n">
        <v>1029.5</v>
      </c>
      <c r="H183" s="6" t="n">
        <v>26.3</v>
      </c>
      <c r="J183" s="6" t="n">
        <v>0</v>
      </c>
      <c r="K183" s="6" t="n">
        <f aca="false">K182+J183</f>
        <v>396.8</v>
      </c>
      <c r="L183" s="6" t="n">
        <v>0.4</v>
      </c>
      <c r="M183" s="6" t="n">
        <f aca="false">M182+L183</f>
        <v>121.1</v>
      </c>
      <c r="N183" s="6" t="n">
        <v>-0.4</v>
      </c>
      <c r="O183" s="6" t="n">
        <f aca="false">O182+N183</f>
        <v>119.8</v>
      </c>
      <c r="P183" s="6" t="n">
        <v>136</v>
      </c>
      <c r="Q183" s="6" t="n">
        <v>1</v>
      </c>
      <c r="R183" s="14" t="n">
        <f aca="false">Q183*L183</f>
        <v>0.4</v>
      </c>
      <c r="S183" s="14" t="n">
        <f aca="false">J183-R183</f>
        <v>-0.4</v>
      </c>
      <c r="T183" s="14" t="n">
        <f aca="false">MIN(122.1,(T182+S183))</f>
        <v>119.8</v>
      </c>
      <c r="V183" s="6" t="n">
        <v>296.8</v>
      </c>
      <c r="X183" s="6" t="n">
        <f aca="false">X182+V183</f>
        <v>58255.3</v>
      </c>
      <c r="Y183" s="6" t="n">
        <f aca="false">Y182+V183</f>
        <v>4402.7</v>
      </c>
      <c r="AA183" s="6" t="n">
        <v>9.24435018034748</v>
      </c>
    </row>
    <row r="184" s="6" customFormat="true" ht="15" hidden="false" customHeight="false" outlineLevel="0" collapsed="false">
      <c r="A184" s="23"/>
      <c r="B184" s="12" t="n">
        <v>8</v>
      </c>
      <c r="C184" s="7" t="n">
        <v>41300</v>
      </c>
      <c r="D184" s="6" t="n">
        <v>-2.2</v>
      </c>
      <c r="E184" s="6" t="n">
        <v>-5.9</v>
      </c>
      <c r="F184" s="6" t="n">
        <v>0.8</v>
      </c>
      <c r="G184" s="6" t="n">
        <v>1029.5</v>
      </c>
      <c r="H184" s="6" t="n">
        <v>26.3</v>
      </c>
      <c r="J184" s="6" t="n">
        <v>0</v>
      </c>
      <c r="K184" s="6" t="n">
        <f aca="false">K183+J184</f>
        <v>396.8</v>
      </c>
      <c r="L184" s="6" t="n">
        <v>0.5</v>
      </c>
      <c r="M184" s="6" t="n">
        <f aca="false">M183+L184</f>
        <v>121.6</v>
      </c>
      <c r="N184" s="6" t="n">
        <v>-0.5</v>
      </c>
      <c r="O184" s="6" t="n">
        <f aca="false">O183+N184</f>
        <v>119.3</v>
      </c>
      <c r="P184" s="6" t="n">
        <v>137</v>
      </c>
      <c r="Q184" s="6" t="n">
        <v>1</v>
      </c>
      <c r="R184" s="14" t="n">
        <f aca="false">Q184*L184</f>
        <v>0.5</v>
      </c>
      <c r="S184" s="14" t="n">
        <f aca="false">J184-R184</f>
        <v>-0.5</v>
      </c>
      <c r="T184" s="14" t="n">
        <f aca="false">MIN(122.1,(T183+S184))</f>
        <v>119.3</v>
      </c>
      <c r="V184" s="6" t="n">
        <v>579.4</v>
      </c>
      <c r="X184" s="6" t="n">
        <f aca="false">X183+V184</f>
        <v>58834.7</v>
      </c>
      <c r="Y184" s="6" t="n">
        <f aca="false">Y183+V184</f>
        <v>4982.1</v>
      </c>
      <c r="AA184" s="6" t="n">
        <v>9.28628853271427</v>
      </c>
    </row>
    <row r="185" s="6" customFormat="true" ht="15" hidden="false" customHeight="false" outlineLevel="0" collapsed="false">
      <c r="A185" s="23"/>
      <c r="B185" s="12"/>
      <c r="C185" s="7" t="n">
        <v>41301</v>
      </c>
      <c r="D185" s="6" t="n">
        <v>2</v>
      </c>
      <c r="E185" s="6" t="n">
        <v>-0.2</v>
      </c>
      <c r="F185" s="6" t="n">
        <v>3</v>
      </c>
      <c r="G185" s="6" t="n">
        <f aca="false">G184+D185</f>
        <v>1031.5</v>
      </c>
      <c r="H185" s="6" t="n">
        <f aca="false">H184+D185</f>
        <v>28.3</v>
      </c>
      <c r="J185" s="6" t="n">
        <v>8.1</v>
      </c>
      <c r="K185" s="6" t="n">
        <f aca="false">K184+J185</f>
        <v>404.9</v>
      </c>
      <c r="L185" s="6" t="n">
        <v>0.2</v>
      </c>
      <c r="M185" s="6" t="n">
        <f aca="false">M184+L185</f>
        <v>121.8</v>
      </c>
      <c r="N185" s="6" t="n">
        <v>7.9</v>
      </c>
      <c r="O185" s="6" t="n">
        <v>122.1</v>
      </c>
      <c r="P185" s="6" t="n">
        <v>138</v>
      </c>
      <c r="Q185" s="6" t="n">
        <v>1</v>
      </c>
      <c r="R185" s="14" t="n">
        <f aca="false">Q185*L185</f>
        <v>0.2</v>
      </c>
      <c r="S185" s="14" t="n">
        <f aca="false">J185-R185</f>
        <v>7.9</v>
      </c>
      <c r="T185" s="14" t="n">
        <f aca="false">MIN(122.1,(T184+S185))</f>
        <v>122.1</v>
      </c>
      <c r="V185" s="6" t="n">
        <v>95.4</v>
      </c>
      <c r="X185" s="6" t="n">
        <f aca="false">X184+V185</f>
        <v>58930.1</v>
      </c>
      <c r="Y185" s="6" t="n">
        <f aca="false">Y184+V185</f>
        <v>5077.5</v>
      </c>
      <c r="AA185" s="6" t="n">
        <v>9.32899993911346</v>
      </c>
    </row>
    <row r="186" s="6" customFormat="true" ht="15" hidden="false" customHeight="false" outlineLevel="0" collapsed="false">
      <c r="A186" s="23"/>
      <c r="B186" s="12"/>
      <c r="C186" s="7" t="n">
        <v>41302</v>
      </c>
      <c r="D186" s="6" t="n">
        <v>3.4</v>
      </c>
      <c r="E186" s="6" t="n">
        <v>0.4</v>
      </c>
      <c r="F186" s="6" t="n">
        <v>5.7</v>
      </c>
      <c r="G186" s="6" t="n">
        <f aca="false">G185+D186</f>
        <v>1034.9</v>
      </c>
      <c r="H186" s="6" t="n">
        <f aca="false">H185+D186</f>
        <v>31.7</v>
      </c>
      <c r="J186" s="6" t="n">
        <v>0.2</v>
      </c>
      <c r="K186" s="6" t="n">
        <f aca="false">K185+J186</f>
        <v>405.1</v>
      </c>
      <c r="L186" s="6" t="n">
        <v>0.1</v>
      </c>
      <c r="M186" s="6" t="n">
        <f aca="false">M185+L186</f>
        <v>121.9</v>
      </c>
      <c r="N186" s="6" t="n">
        <v>0.1</v>
      </c>
      <c r="O186" s="6" t="n">
        <v>122.1</v>
      </c>
      <c r="P186" s="6" t="n">
        <v>139</v>
      </c>
      <c r="Q186" s="6" t="n">
        <v>1</v>
      </c>
      <c r="R186" s="14" t="n">
        <f aca="false">Q186*L186</f>
        <v>0.1</v>
      </c>
      <c r="S186" s="14" t="n">
        <f aca="false">J186-R186</f>
        <v>0.1</v>
      </c>
      <c r="T186" s="14" t="n">
        <f aca="false">MIN(122.1,(T185+S186))</f>
        <v>122.1</v>
      </c>
      <c r="V186" s="6" t="n">
        <v>184.2</v>
      </c>
      <c r="X186" s="6" t="n">
        <f aca="false">X185+V186</f>
        <v>59114.3</v>
      </c>
      <c r="Y186" s="6" t="n">
        <f aca="false">Y185+V186</f>
        <v>5261.7</v>
      </c>
      <c r="AA186" s="6" t="n">
        <v>9.37245673891483</v>
      </c>
    </row>
    <row r="187" s="6" customFormat="true" ht="15" hidden="false" customHeight="false" outlineLevel="0" collapsed="false">
      <c r="A187" s="23"/>
      <c r="B187" s="12"/>
      <c r="C187" s="7" t="n">
        <v>41303</v>
      </c>
      <c r="D187" s="6" t="n">
        <v>6.3</v>
      </c>
      <c r="E187" s="6" t="n">
        <v>4.1</v>
      </c>
      <c r="F187" s="6" t="n">
        <v>8.8</v>
      </c>
      <c r="G187" s="6" t="n">
        <f aca="false">G186+D187</f>
        <v>1041.2</v>
      </c>
      <c r="H187" s="6" t="n">
        <f aca="false">H186+D187</f>
        <v>38</v>
      </c>
      <c r="J187" s="6" t="n">
        <v>4</v>
      </c>
      <c r="K187" s="6" t="n">
        <f aca="false">K186+J187</f>
        <v>409.1</v>
      </c>
      <c r="L187" s="6" t="n">
        <v>0.8</v>
      </c>
      <c r="M187" s="6" t="n">
        <f aca="false">M186+L187</f>
        <v>122.7</v>
      </c>
      <c r="N187" s="6" t="n">
        <v>3.2</v>
      </c>
      <c r="O187" s="6" t="n">
        <v>122.1</v>
      </c>
      <c r="P187" s="6" t="n">
        <v>140</v>
      </c>
      <c r="Q187" s="6" t="n">
        <v>1</v>
      </c>
      <c r="R187" s="14" t="n">
        <f aca="false">Q187*L187</f>
        <v>0.8</v>
      </c>
      <c r="S187" s="14" t="n">
        <f aca="false">J187-R187</f>
        <v>3.2</v>
      </c>
      <c r="T187" s="14" t="n">
        <f aca="false">MIN(122.1,(T186+S187))</f>
        <v>122.1</v>
      </c>
      <c r="V187" s="6" t="n">
        <v>141.3</v>
      </c>
      <c r="X187" s="6" t="n">
        <f aca="false">X186+V187</f>
        <v>59255.6</v>
      </c>
      <c r="Y187" s="6" t="n">
        <f aca="false">Y186+V187</f>
        <v>5403</v>
      </c>
      <c r="AA187" s="6" t="n">
        <v>9.41663165087511</v>
      </c>
    </row>
    <row r="188" s="6" customFormat="true" ht="15" hidden="false" customHeight="false" outlineLevel="0" collapsed="false">
      <c r="A188" s="23"/>
      <c r="B188" s="12"/>
      <c r="C188" s="7" t="n">
        <v>41304</v>
      </c>
      <c r="D188" s="6" t="n">
        <v>10.6</v>
      </c>
      <c r="E188" s="6" t="n">
        <v>6.9</v>
      </c>
      <c r="F188" s="6" t="n">
        <v>15.2</v>
      </c>
      <c r="G188" s="6" t="n">
        <f aca="false">G187+D188</f>
        <v>1051.8</v>
      </c>
      <c r="H188" s="6" t="n">
        <f aca="false">H187+D188</f>
        <v>48.6</v>
      </c>
      <c r="J188" s="6" t="n">
        <v>1.9</v>
      </c>
      <c r="K188" s="6" t="n">
        <f aca="false">K187+J188</f>
        <v>411</v>
      </c>
      <c r="L188" s="6" t="n">
        <v>1.2</v>
      </c>
      <c r="M188" s="6" t="n">
        <f aca="false">M187+L188</f>
        <v>123.9</v>
      </c>
      <c r="N188" s="6" t="n">
        <v>0.7</v>
      </c>
      <c r="O188" s="6" t="n">
        <v>122.1</v>
      </c>
      <c r="P188" s="6" t="n">
        <v>141</v>
      </c>
      <c r="Q188" s="6" t="n">
        <v>1</v>
      </c>
      <c r="R188" s="14" t="n">
        <f aca="false">Q188*L188</f>
        <v>1.2</v>
      </c>
      <c r="S188" s="14" t="n">
        <f aca="false">J188-R188</f>
        <v>0.7</v>
      </c>
      <c r="T188" s="14" t="n">
        <f aca="false">MIN(122.1,(T187+S188))</f>
        <v>122.1</v>
      </c>
      <c r="V188" s="6" t="n">
        <v>240.5</v>
      </c>
      <c r="X188" s="6" t="n">
        <f aca="false">X187+V188</f>
        <v>59496.1</v>
      </c>
      <c r="Y188" s="6" t="n">
        <f aca="false">Y187+V188</f>
        <v>5643.5</v>
      </c>
      <c r="AA188" s="6" t="n">
        <v>9.46149781000361</v>
      </c>
    </row>
    <row r="189" s="6" customFormat="true" ht="15" hidden="false" customHeight="false" outlineLevel="0" collapsed="false">
      <c r="A189" s="23"/>
      <c r="B189" s="12"/>
      <c r="C189" s="7" t="n">
        <v>41305</v>
      </c>
      <c r="D189" s="6" t="n">
        <v>7.6</v>
      </c>
      <c r="E189" s="6" t="n">
        <v>2.8</v>
      </c>
      <c r="F189" s="6" t="n">
        <v>10.3</v>
      </c>
      <c r="G189" s="6" t="n">
        <f aca="false">G188+D189</f>
        <v>1059.4</v>
      </c>
      <c r="H189" s="6" t="n">
        <f aca="false">H188+D189</f>
        <v>56.2</v>
      </c>
      <c r="J189" s="6" t="n">
        <v>3.1</v>
      </c>
      <c r="K189" s="6" t="n">
        <f aca="false">K188+J189</f>
        <v>414.1</v>
      </c>
      <c r="L189" s="6" t="n">
        <v>0.3</v>
      </c>
      <c r="M189" s="6" t="n">
        <f aca="false">M188+L189</f>
        <v>124.2</v>
      </c>
      <c r="N189" s="6" t="n">
        <v>2.8</v>
      </c>
      <c r="O189" s="6" t="n">
        <v>122.1</v>
      </c>
      <c r="P189" s="6" t="n">
        <v>142</v>
      </c>
      <c r="Q189" s="6" t="n">
        <v>1</v>
      </c>
      <c r="R189" s="14" t="n">
        <f aca="false">Q189*L189</f>
        <v>0.3</v>
      </c>
      <c r="S189" s="14" t="n">
        <f aca="false">J189-R189</f>
        <v>2.8</v>
      </c>
      <c r="T189" s="14" t="n">
        <f aca="false">MIN(122.1,(T188+S189))</f>
        <v>122.1</v>
      </c>
      <c r="V189" s="6" t="n">
        <v>259.2</v>
      </c>
      <c r="X189" s="6" t="n">
        <f aca="false">X188+V189</f>
        <v>59755.3</v>
      </c>
      <c r="Y189" s="6" t="n">
        <f aca="false">Y188+V189</f>
        <v>5902.7</v>
      </c>
      <c r="AA189" s="6" t="n">
        <v>9.50702880087715</v>
      </c>
    </row>
    <row r="190" s="6" customFormat="true" ht="15" hidden="false" customHeight="false" outlineLevel="0" collapsed="false">
      <c r="A190" s="23"/>
      <c r="B190" s="12"/>
      <c r="C190" s="7" t="n">
        <v>41306</v>
      </c>
      <c r="D190" s="6" t="n">
        <v>8.2</v>
      </c>
      <c r="E190" s="6" t="n">
        <v>6.3</v>
      </c>
      <c r="F190" s="6" t="n">
        <v>10.3</v>
      </c>
      <c r="G190" s="6" t="n">
        <f aca="false">G189+D190</f>
        <v>1067.6</v>
      </c>
      <c r="H190" s="6" t="n">
        <f aca="false">H189+D190</f>
        <v>64.4</v>
      </c>
      <c r="J190" s="6" t="n">
        <v>17.8</v>
      </c>
      <c r="K190" s="6" t="n">
        <f aca="false">K189+J190</f>
        <v>431.9</v>
      </c>
      <c r="L190" s="6" t="n">
        <v>0.6</v>
      </c>
      <c r="M190" s="6" t="n">
        <f aca="false">M189+L190</f>
        <v>124.8</v>
      </c>
      <c r="N190" s="6" t="n">
        <v>17.2</v>
      </c>
      <c r="O190" s="6" t="n">
        <v>122.1</v>
      </c>
      <c r="P190" s="6" t="n">
        <v>143</v>
      </c>
      <c r="Q190" s="6" t="n">
        <v>1</v>
      </c>
      <c r="R190" s="14" t="n">
        <f aca="false">Q190*L190</f>
        <v>0.6</v>
      </c>
      <c r="S190" s="14" t="n">
        <f aca="false">J190-R190</f>
        <v>17.2</v>
      </c>
      <c r="T190" s="14" t="n">
        <f aca="false">MIN(122.1,(T189+S190))</f>
        <v>122.1</v>
      </c>
      <c r="V190" s="6" t="n">
        <v>132.2</v>
      </c>
      <c r="X190" s="6" t="n">
        <f aca="false">X189+V190</f>
        <v>59887.5</v>
      </c>
      <c r="Y190" s="6" t="n">
        <f aca="false">Y189+V190</f>
        <v>6034.9</v>
      </c>
      <c r="AA190" s="6" t="n">
        <v>9.55319868748051</v>
      </c>
    </row>
    <row r="191" s="6" customFormat="true" ht="15" hidden="false" customHeight="false" outlineLevel="0" collapsed="false">
      <c r="A191" s="23"/>
      <c r="B191" s="12" t="n">
        <v>9</v>
      </c>
      <c r="C191" s="7" t="n">
        <v>41307</v>
      </c>
      <c r="D191" s="6" t="n">
        <v>4.1</v>
      </c>
      <c r="E191" s="6" t="n">
        <v>3.5</v>
      </c>
      <c r="F191" s="6" t="n">
        <v>5.8</v>
      </c>
      <c r="G191" s="6" t="n">
        <f aca="false">G190+D191</f>
        <v>1071.7</v>
      </c>
      <c r="H191" s="6" t="n">
        <f aca="false">H190+D191</f>
        <v>68.5</v>
      </c>
      <c r="J191" s="6" t="n">
        <v>0.2</v>
      </c>
      <c r="K191" s="6" t="n">
        <f aca="false">K190+J191</f>
        <v>432.1</v>
      </c>
      <c r="L191" s="6" t="n">
        <v>1</v>
      </c>
      <c r="M191" s="6" t="n">
        <f aca="false">M190+L191</f>
        <v>125.8</v>
      </c>
      <c r="N191" s="6" t="n">
        <v>-0.8</v>
      </c>
      <c r="O191" s="6" t="n">
        <f aca="false">O190+N191</f>
        <v>121.3</v>
      </c>
      <c r="P191" s="6" t="n">
        <v>144</v>
      </c>
      <c r="Q191" s="6" t="n">
        <v>1</v>
      </c>
      <c r="R191" s="14" t="n">
        <f aca="false">Q191*L191</f>
        <v>1</v>
      </c>
      <c r="S191" s="14" t="n">
        <f aca="false">J191-R191</f>
        <v>-0.8</v>
      </c>
      <c r="T191" s="14" t="n">
        <f aca="false">MIN(122.1,(T190+S191))</f>
        <v>121.3</v>
      </c>
      <c r="V191" s="6" t="n">
        <v>498.3</v>
      </c>
      <c r="X191" s="6" t="n">
        <f aca="false">X190+V191</f>
        <v>60385.8</v>
      </c>
      <c r="Y191" s="6" t="n">
        <f aca="false">Y190+V191</f>
        <v>6533.2</v>
      </c>
      <c r="AA191" s="6" t="n">
        <v>9.59998203966452</v>
      </c>
    </row>
    <row r="192" s="6" customFormat="true" ht="15" hidden="false" customHeight="false" outlineLevel="0" collapsed="false">
      <c r="A192" s="23"/>
      <c r="B192" s="12"/>
      <c r="C192" s="7" t="n">
        <v>41308</v>
      </c>
      <c r="D192" s="6" t="n">
        <v>2.4</v>
      </c>
      <c r="E192" s="6" t="n">
        <v>1</v>
      </c>
      <c r="F192" s="6" t="n">
        <v>3.9</v>
      </c>
      <c r="G192" s="6" t="n">
        <f aca="false">G191+D192</f>
        <v>1074.1</v>
      </c>
      <c r="H192" s="6" t="n">
        <f aca="false">H191+D192</f>
        <v>70.9</v>
      </c>
      <c r="J192" s="6" t="n">
        <v>3.1</v>
      </c>
      <c r="K192" s="6" t="n">
        <f aca="false">K191+J192</f>
        <v>435.2</v>
      </c>
      <c r="L192" s="6" t="n">
        <v>0.8</v>
      </c>
      <c r="M192" s="6" t="n">
        <f aca="false">M191+L192</f>
        <v>126.6</v>
      </c>
      <c r="N192" s="6" t="n">
        <v>2.3</v>
      </c>
      <c r="O192" s="6" t="n">
        <v>122.1</v>
      </c>
      <c r="P192" s="6" t="n">
        <v>145</v>
      </c>
      <c r="Q192" s="6" t="n">
        <v>1</v>
      </c>
      <c r="R192" s="14" t="n">
        <f aca="false">Q192*L192</f>
        <v>0.8</v>
      </c>
      <c r="S192" s="14" t="n">
        <f aca="false">J192-R192</f>
        <v>2.3</v>
      </c>
      <c r="T192" s="14" t="n">
        <f aca="false">MIN(122.1,(T191+S192))</f>
        <v>122.1</v>
      </c>
      <c r="V192" s="6" t="n">
        <v>303.6</v>
      </c>
      <c r="X192" s="6" t="n">
        <f aca="false">X191+V192</f>
        <v>60689.4</v>
      </c>
      <c r="Y192" s="6" t="n">
        <f aca="false">Y191+V192</f>
        <v>6836.8</v>
      </c>
      <c r="AA192" s="6" t="n">
        <v>9.647353956327</v>
      </c>
    </row>
    <row r="193" s="6" customFormat="true" ht="15" hidden="false" customHeight="false" outlineLevel="0" collapsed="false">
      <c r="A193" s="23"/>
      <c r="B193" s="12"/>
      <c r="C193" s="7" t="n">
        <v>41309</v>
      </c>
      <c r="D193" s="6" t="n">
        <v>4.3</v>
      </c>
      <c r="E193" s="6" t="n">
        <v>1.6</v>
      </c>
      <c r="F193" s="6" t="n">
        <v>6.9</v>
      </c>
      <c r="G193" s="6" t="n">
        <f aca="false">G192+D193</f>
        <v>1078.4</v>
      </c>
      <c r="H193" s="6" t="n">
        <f aca="false">H192+D193</f>
        <v>75.2</v>
      </c>
      <c r="J193" s="25" t="n">
        <v>4.4</v>
      </c>
      <c r="K193" s="6" t="n">
        <f aca="false">K192+J193</f>
        <v>439.6</v>
      </c>
      <c r="L193" s="6" t="n">
        <v>0.4</v>
      </c>
      <c r="M193" s="6" t="n">
        <f aca="false">M192+L193</f>
        <v>127</v>
      </c>
      <c r="N193" s="6" t="n">
        <v>4</v>
      </c>
      <c r="O193" s="6" t="n">
        <v>122.1</v>
      </c>
      <c r="P193" s="6" t="n">
        <v>146</v>
      </c>
      <c r="Q193" s="6" t="n">
        <v>1</v>
      </c>
      <c r="R193" s="14" t="n">
        <f aca="false">Q193*L193</f>
        <v>0.4</v>
      </c>
      <c r="S193" s="14" t="n">
        <f aca="false">J193-R193</f>
        <v>4</v>
      </c>
      <c r="T193" s="14" t="n">
        <f aca="false">MIN(122.1,(T192+S193))</f>
        <v>122.1</v>
      </c>
      <c r="V193" s="6" t="n">
        <v>157.1</v>
      </c>
      <c r="X193" s="6" t="n">
        <f aca="false">X192+V193</f>
        <v>60846.5</v>
      </c>
      <c r="Y193" s="6" t="n">
        <f aca="false">Y192+V193</f>
        <v>6993.9</v>
      </c>
      <c r="AA193" s="6" t="n">
        <v>9.69529008543343</v>
      </c>
      <c r="AB193" s="26" t="s">
        <v>47</v>
      </c>
    </row>
    <row r="194" s="6" customFormat="true" ht="15" hidden="false" customHeight="false" outlineLevel="0" collapsed="false">
      <c r="A194" s="23"/>
      <c r="B194" s="12"/>
      <c r="C194" s="7" t="n">
        <v>41310</v>
      </c>
      <c r="D194" s="6" t="n">
        <v>5.5</v>
      </c>
      <c r="E194" s="6" t="n">
        <v>3.2</v>
      </c>
      <c r="F194" s="6" t="n">
        <v>8.8</v>
      </c>
      <c r="G194" s="6" t="n">
        <f aca="false">G193+D194</f>
        <v>1083.9</v>
      </c>
      <c r="H194" s="6" t="n">
        <f aca="false">H193+D194</f>
        <v>80.7</v>
      </c>
      <c r="J194" s="25" t="n">
        <v>2.6</v>
      </c>
      <c r="K194" s="6" t="n">
        <f aca="false">K193+J194</f>
        <v>442.2</v>
      </c>
      <c r="L194" s="6" t="n">
        <v>0.9</v>
      </c>
      <c r="M194" s="6" t="n">
        <f aca="false">M193+L194</f>
        <v>127.9</v>
      </c>
      <c r="N194" s="6" t="n">
        <v>1.7</v>
      </c>
      <c r="O194" s="6" t="n">
        <v>122.1</v>
      </c>
      <c r="P194" s="6" t="n">
        <v>147</v>
      </c>
      <c r="Q194" s="6" t="n">
        <v>1</v>
      </c>
      <c r="R194" s="14" t="n">
        <f aca="false">Q194*L194</f>
        <v>0.9</v>
      </c>
      <c r="S194" s="14" t="n">
        <f aca="false">J194-R194</f>
        <v>1.7</v>
      </c>
      <c r="T194" s="14" t="n">
        <f aca="false">MIN(122.1,(T193+S194))</f>
        <v>122.1</v>
      </c>
      <c r="V194" s="6" t="n">
        <v>620.8</v>
      </c>
      <c r="X194" s="6" t="n">
        <f aca="false">X193+V194</f>
        <v>61467.3</v>
      </c>
      <c r="Y194" s="6" t="n">
        <f aca="false">Y193+V194</f>
        <v>7614.7</v>
      </c>
      <c r="AA194" s="6" t="n">
        <v>9.74376664100304</v>
      </c>
      <c r="AB194" s="14" t="n">
        <f aca="false">AVERAGE(T200:T213)</f>
        <v>118.928571428571</v>
      </c>
    </row>
    <row r="195" s="6" customFormat="true" ht="15" hidden="false" customHeight="false" outlineLevel="0" collapsed="false">
      <c r="A195" s="23"/>
      <c r="B195" s="12"/>
      <c r="C195" s="7" t="n">
        <v>41311</v>
      </c>
      <c r="D195" s="6" t="n">
        <v>1.5</v>
      </c>
      <c r="E195" s="6" t="n">
        <v>0.6</v>
      </c>
      <c r="F195" s="6" t="n">
        <v>3.9</v>
      </c>
      <c r="G195" s="6" t="n">
        <f aca="false">G194+D195</f>
        <v>1085.4</v>
      </c>
      <c r="H195" s="6" t="n">
        <f aca="false">H194+D195</f>
        <v>82.2</v>
      </c>
      <c r="J195" s="25" t="n">
        <v>3.5</v>
      </c>
      <c r="K195" s="6" t="n">
        <f aca="false">K194+J195</f>
        <v>445.7</v>
      </c>
      <c r="L195" s="6" t="n">
        <v>0.6</v>
      </c>
      <c r="M195" s="6" t="n">
        <f aca="false">M194+L195</f>
        <v>128.5</v>
      </c>
      <c r="N195" s="6" t="n">
        <v>2.9</v>
      </c>
      <c r="O195" s="6" t="n">
        <v>122.1</v>
      </c>
      <c r="P195" s="6" t="n">
        <v>148</v>
      </c>
      <c r="Q195" s="6" t="n">
        <v>1</v>
      </c>
      <c r="R195" s="14" t="n">
        <f aca="false">Q195*L195</f>
        <v>0.6</v>
      </c>
      <c r="S195" s="14" t="n">
        <f aca="false">J195-R195</f>
        <v>2.9</v>
      </c>
      <c r="T195" s="14" t="n">
        <f aca="false">MIN(122.1,(T194+S195))</f>
        <v>122.1</v>
      </c>
      <c r="V195" s="6" t="n">
        <v>110.6</v>
      </c>
      <c r="X195" s="6" t="n">
        <f aca="false">X194+V195</f>
        <v>61577.9</v>
      </c>
      <c r="Y195" s="6" t="n">
        <f aca="false">Y194+V195</f>
        <v>7725.3</v>
      </c>
      <c r="AA195" s="6" t="n">
        <v>9.79276041719366</v>
      </c>
      <c r="AB195" s="26" t="s">
        <v>48</v>
      </c>
    </row>
    <row r="196" s="6" customFormat="true" ht="15" hidden="false" customHeight="false" outlineLevel="0" collapsed="false">
      <c r="A196" s="23"/>
      <c r="B196" s="12" t="s">
        <v>49</v>
      </c>
      <c r="C196" s="7" t="n">
        <v>41312</v>
      </c>
      <c r="D196" s="6" t="n">
        <v>1</v>
      </c>
      <c r="E196" s="6" t="n">
        <v>-0.2</v>
      </c>
      <c r="F196" s="6" t="n">
        <v>3.6</v>
      </c>
      <c r="G196" s="6" t="n">
        <f aca="false">G195+D196</f>
        <v>1086.4</v>
      </c>
      <c r="H196" s="6" t="n">
        <f aca="false">H195+D196</f>
        <v>83.2</v>
      </c>
      <c r="J196" s="25" t="n">
        <v>0.1</v>
      </c>
      <c r="K196" s="6" t="n">
        <f aca="false">K195+J196</f>
        <v>445.8</v>
      </c>
      <c r="L196" s="6" t="n">
        <v>0.4</v>
      </c>
      <c r="M196" s="6" t="n">
        <f aca="false">M195+L196</f>
        <v>128.9</v>
      </c>
      <c r="N196" s="6" t="n">
        <v>-0.3</v>
      </c>
      <c r="O196" s="6" t="n">
        <f aca="false">O195+N196</f>
        <v>121.8</v>
      </c>
      <c r="P196" s="6" t="n">
        <v>149</v>
      </c>
      <c r="Q196" s="6" t="n">
        <v>1</v>
      </c>
      <c r="R196" s="14" t="n">
        <f aca="false">Q196*L196</f>
        <v>0.4</v>
      </c>
      <c r="S196" s="14" t="n">
        <f aca="false">J196-R196</f>
        <v>-0.3</v>
      </c>
      <c r="T196" s="14" t="n">
        <f aca="false">MIN(122.1,(T195+S196))</f>
        <v>121.8</v>
      </c>
      <c r="V196" s="6" t="n">
        <v>214.9</v>
      </c>
      <c r="X196" s="6" t="n">
        <f aca="false">X195+V196</f>
        <v>61792.8</v>
      </c>
      <c r="Y196" s="6" t="n">
        <f aca="false">Y195+V196</f>
        <v>7940.2</v>
      </c>
      <c r="AA196" s="6" t="n">
        <v>9.84224879962381</v>
      </c>
      <c r="AB196" s="6" t="n">
        <v>2</v>
      </c>
    </row>
    <row r="197" s="6" customFormat="true" ht="15" hidden="false" customHeight="false" outlineLevel="0" collapsed="false">
      <c r="A197" s="23"/>
      <c r="B197" s="12"/>
      <c r="C197" s="7" t="n">
        <v>41313</v>
      </c>
      <c r="D197" s="6" t="n">
        <v>0.1</v>
      </c>
      <c r="E197" s="6" t="n">
        <v>-2.3</v>
      </c>
      <c r="F197" s="6" t="n">
        <v>3</v>
      </c>
      <c r="G197" s="6" t="n">
        <f aca="false">G196+D197</f>
        <v>1086.5</v>
      </c>
      <c r="H197" s="6" t="n">
        <f aca="false">H196+D197</f>
        <v>83.3</v>
      </c>
      <c r="J197" s="25" t="n">
        <v>0</v>
      </c>
      <c r="K197" s="6" t="n">
        <f aca="false">K196+J197</f>
        <v>445.8</v>
      </c>
      <c r="L197" s="6" t="n">
        <v>0.3</v>
      </c>
      <c r="M197" s="6" t="n">
        <f aca="false">M196+L197</f>
        <v>129.2</v>
      </c>
      <c r="N197" s="6" t="n">
        <v>-0.3</v>
      </c>
      <c r="O197" s="6" t="n">
        <f aca="false">O196+N197</f>
        <v>121.5</v>
      </c>
      <c r="P197" s="6" t="n">
        <v>150</v>
      </c>
      <c r="Q197" s="6" t="n">
        <v>1</v>
      </c>
      <c r="R197" s="14" t="n">
        <f aca="false">Q197*L197</f>
        <v>0.3</v>
      </c>
      <c r="S197" s="14" t="n">
        <f aca="false">J197-R197</f>
        <v>-0.3</v>
      </c>
      <c r="T197" s="14" t="n">
        <f aca="false">MIN(122.1,(T196+S197))</f>
        <v>121.5</v>
      </c>
      <c r="V197" s="6" t="n">
        <v>515.6</v>
      </c>
      <c r="X197" s="6" t="n">
        <f aca="false">X196+V197</f>
        <v>62308.4</v>
      </c>
      <c r="Y197" s="6" t="n">
        <f aca="false">Y196+V197</f>
        <v>8455.8</v>
      </c>
      <c r="AA197" s="6" t="n">
        <v>9.89220977407483</v>
      </c>
      <c r="AB197" s="26" t="s">
        <v>50</v>
      </c>
    </row>
    <row r="198" s="6" customFormat="true" ht="15" hidden="false" customHeight="false" outlineLevel="0" collapsed="false">
      <c r="A198" s="23"/>
      <c r="B198" s="12" t="n">
        <v>10</v>
      </c>
      <c r="C198" s="7" t="n">
        <v>41314</v>
      </c>
      <c r="D198" s="6" t="n">
        <v>-0.8</v>
      </c>
      <c r="E198" s="6" t="n">
        <v>-3.8</v>
      </c>
      <c r="F198" s="6" t="n">
        <v>3.7</v>
      </c>
      <c r="G198" s="6" t="n">
        <v>1086.5</v>
      </c>
      <c r="H198" s="6" t="n">
        <v>83.3</v>
      </c>
      <c r="J198" s="25" t="n">
        <v>0</v>
      </c>
      <c r="K198" s="6" t="n">
        <f aca="false">K197+J198</f>
        <v>445.8</v>
      </c>
      <c r="L198" s="6" t="n">
        <v>0.4</v>
      </c>
      <c r="M198" s="6" t="n">
        <f aca="false">M197+L198</f>
        <v>129.6</v>
      </c>
      <c r="N198" s="6" t="n">
        <v>-0.4</v>
      </c>
      <c r="O198" s="6" t="n">
        <f aca="false">O197+N198</f>
        <v>121.1</v>
      </c>
      <c r="P198" s="6" t="n">
        <v>151</v>
      </c>
      <c r="Q198" s="6" t="n">
        <v>1</v>
      </c>
      <c r="R198" s="14" t="n">
        <f aca="false">Q198*L198</f>
        <v>0.4</v>
      </c>
      <c r="S198" s="14" t="n">
        <f aca="false">J198-R198</f>
        <v>-0.4</v>
      </c>
      <c r="T198" s="14" t="n">
        <f aca="false">MIN(122.1,(T197+S198))</f>
        <v>121.1</v>
      </c>
      <c r="V198" s="6" t="n">
        <v>569.3</v>
      </c>
      <c r="X198" s="6" t="n">
        <f aca="false">X197+V198</f>
        <v>62877.7</v>
      </c>
      <c r="Y198" s="6" t="n">
        <f aca="false">Y197+V198</f>
        <v>9025.1</v>
      </c>
      <c r="AA198" s="6" t="n">
        <v>9.94262193271781</v>
      </c>
      <c r="AB198" s="6" t="n">
        <v>8</v>
      </c>
    </row>
    <row r="199" s="6" customFormat="true" ht="15" hidden="false" customHeight="false" outlineLevel="0" collapsed="false">
      <c r="A199" s="23"/>
      <c r="B199" s="12"/>
      <c r="C199" s="7" t="n">
        <v>41315</v>
      </c>
      <c r="D199" s="6" t="n">
        <v>-1.7</v>
      </c>
      <c r="E199" s="6" t="n">
        <v>-4.5</v>
      </c>
      <c r="F199" s="6" t="n">
        <v>1.2</v>
      </c>
      <c r="G199" s="6" t="n">
        <v>1086.5</v>
      </c>
      <c r="H199" s="6" t="n">
        <v>83.3</v>
      </c>
      <c r="J199" s="25" t="n">
        <v>2.1</v>
      </c>
      <c r="K199" s="6" t="n">
        <f aca="false">K198+J199</f>
        <v>447.9</v>
      </c>
      <c r="L199" s="6" t="n">
        <v>0.4</v>
      </c>
      <c r="M199" s="6" t="n">
        <f aca="false">M198+L199</f>
        <v>130</v>
      </c>
      <c r="N199" s="6" t="n">
        <v>1.7</v>
      </c>
      <c r="O199" s="6" t="n">
        <v>122.1</v>
      </c>
      <c r="P199" s="6" t="n">
        <v>152</v>
      </c>
      <c r="Q199" s="6" t="n">
        <v>1</v>
      </c>
      <c r="R199" s="14" t="n">
        <f aca="false">Q199*L199</f>
        <v>0.4</v>
      </c>
      <c r="S199" s="14" t="n">
        <f aca="false">J199-R199</f>
        <v>1.7</v>
      </c>
      <c r="T199" s="14" t="n">
        <f aca="false">MIN(122.1,(T198+S199))</f>
        <v>122.1</v>
      </c>
      <c r="V199" s="6" t="n">
        <v>476.8</v>
      </c>
      <c r="X199" s="6" t="n">
        <f aca="false">X198+V199</f>
        <v>63354.5</v>
      </c>
      <c r="Y199" s="6" t="n">
        <f aca="false">Y198+V199</f>
        <v>9501.9</v>
      </c>
      <c r="AA199" s="6" t="n">
        <v>9.99346447801124</v>
      </c>
      <c r="AB199" s="26" t="s">
        <v>51</v>
      </c>
    </row>
    <row r="200" s="6" customFormat="true" ht="15" hidden="false" customHeight="false" outlineLevel="0" collapsed="false">
      <c r="A200" s="23"/>
      <c r="B200" s="12"/>
      <c r="C200" s="7" t="n">
        <v>41316</v>
      </c>
      <c r="D200" s="6" t="n">
        <v>1.9</v>
      </c>
      <c r="E200" s="6" t="n">
        <v>0.3</v>
      </c>
      <c r="F200" s="6" t="n">
        <v>2.8</v>
      </c>
      <c r="G200" s="6" t="n">
        <f aca="false">G199+D200</f>
        <v>1088.4</v>
      </c>
      <c r="H200" s="6" t="n">
        <f aca="false">H199+D200</f>
        <v>85.2</v>
      </c>
      <c r="J200" s="25" t="n">
        <v>1.1</v>
      </c>
      <c r="K200" s="6" t="n">
        <f aca="false">K199+J200</f>
        <v>449</v>
      </c>
      <c r="L200" s="6" t="n">
        <v>0.1</v>
      </c>
      <c r="M200" s="6" t="n">
        <f aca="false">M199+L200</f>
        <v>130.1</v>
      </c>
      <c r="N200" s="6" t="n">
        <v>1</v>
      </c>
      <c r="O200" s="6" t="n">
        <v>122.1</v>
      </c>
      <c r="P200" s="6" t="n">
        <v>153</v>
      </c>
      <c r="Q200" s="6" t="n">
        <v>1</v>
      </c>
      <c r="R200" s="14" t="n">
        <f aca="false">Q200*L200</f>
        <v>0.1</v>
      </c>
      <c r="S200" s="14" t="n">
        <f aca="false">J200-R200</f>
        <v>1</v>
      </c>
      <c r="T200" s="27" t="n">
        <f aca="false">MIN(122.1,(T199+S200))</f>
        <v>122.1</v>
      </c>
      <c r="V200" s="6" t="n">
        <v>163.4</v>
      </c>
      <c r="X200" s="6" t="n">
        <f aca="false">X199+V200</f>
        <v>63517.9</v>
      </c>
      <c r="Y200" s="6" t="n">
        <f aca="false">Y199+V200</f>
        <v>9665.3</v>
      </c>
      <c r="AA200" s="6" t="n">
        <v>10.0447172244153</v>
      </c>
      <c r="AB200" s="6" t="n">
        <v>0</v>
      </c>
    </row>
    <row r="201" s="6" customFormat="true" ht="15" hidden="false" customHeight="false" outlineLevel="0" collapsed="false">
      <c r="A201" s="23"/>
      <c r="B201" s="12"/>
      <c r="C201" s="7" t="n">
        <v>41317</v>
      </c>
      <c r="D201" s="6" t="n">
        <v>-0.1</v>
      </c>
      <c r="E201" s="6" t="n">
        <v>-0.8</v>
      </c>
      <c r="F201" s="6" t="n">
        <v>0.5</v>
      </c>
      <c r="G201" s="6" t="n">
        <v>1088.4</v>
      </c>
      <c r="H201" s="6" t="n">
        <v>85.2</v>
      </c>
      <c r="J201" s="25" t="n">
        <v>0</v>
      </c>
      <c r="K201" s="6" t="n">
        <f aca="false">K200+J201</f>
        <v>449</v>
      </c>
      <c r="L201" s="6" t="n">
        <v>0.3</v>
      </c>
      <c r="M201" s="6" t="n">
        <f aca="false">M200+L201</f>
        <v>130.4</v>
      </c>
      <c r="N201" s="6" t="n">
        <v>-0.3</v>
      </c>
      <c r="O201" s="6" t="n">
        <f aca="false">O200+N201</f>
        <v>121.8</v>
      </c>
      <c r="P201" s="6" t="n">
        <v>154</v>
      </c>
      <c r="Q201" s="6" t="n">
        <v>1</v>
      </c>
      <c r="R201" s="14" t="n">
        <f aca="false">Q201*L201</f>
        <v>0.3</v>
      </c>
      <c r="S201" s="14" t="n">
        <f aca="false">J201-R201</f>
        <v>-0.3</v>
      </c>
      <c r="T201" s="27" t="n">
        <f aca="false">MIN(122.1,(T200+S201))</f>
        <v>121.8</v>
      </c>
      <c r="V201" s="6" t="n">
        <v>145</v>
      </c>
      <c r="X201" s="6" t="n">
        <f aca="false">X200+V201</f>
        <v>63662.9</v>
      </c>
      <c r="Y201" s="6" t="n">
        <f aca="false">Y200+V201</f>
        <v>9810.3</v>
      </c>
      <c r="AA201" s="6" t="n">
        <v>10.0963605980666</v>
      </c>
      <c r="AB201" s="26" t="s">
        <v>52</v>
      </c>
    </row>
    <row r="202" s="6" customFormat="true" ht="15" hidden="false" customHeight="false" outlineLevel="0" collapsed="false">
      <c r="A202" s="23"/>
      <c r="B202" s="12"/>
      <c r="C202" s="7" t="n">
        <v>41318</v>
      </c>
      <c r="D202" s="6" t="n">
        <v>-1.4</v>
      </c>
      <c r="E202" s="6" t="n">
        <v>-1.8</v>
      </c>
      <c r="F202" s="6" t="n">
        <v>-0.4</v>
      </c>
      <c r="G202" s="6" t="n">
        <v>1088.4</v>
      </c>
      <c r="H202" s="6" t="n">
        <v>85.2</v>
      </c>
      <c r="J202" s="25" t="n">
        <v>0</v>
      </c>
      <c r="K202" s="6" t="n">
        <f aca="false">K201+J202</f>
        <v>449</v>
      </c>
      <c r="L202" s="6" t="n">
        <v>0.8</v>
      </c>
      <c r="M202" s="6" t="n">
        <f aca="false">M201+L202</f>
        <v>131.2</v>
      </c>
      <c r="N202" s="6" t="n">
        <v>-0.8</v>
      </c>
      <c r="O202" s="6" t="n">
        <f aca="false">O201+N202</f>
        <v>121</v>
      </c>
      <c r="P202" s="6" t="n">
        <v>155</v>
      </c>
      <c r="Q202" s="6" t="n">
        <v>1</v>
      </c>
      <c r="R202" s="14" t="n">
        <f aca="false">Q202*L202</f>
        <v>0.8</v>
      </c>
      <c r="S202" s="14" t="n">
        <f aca="false">J202-R202</f>
        <v>-0.8</v>
      </c>
      <c r="T202" s="27" t="n">
        <f aca="false">MIN(122.1,(T201+S202))</f>
        <v>121</v>
      </c>
      <c r="V202" s="6" t="n">
        <v>441</v>
      </c>
      <c r="X202" s="6" t="n">
        <f aca="false">X201+V202</f>
        <v>64103.9</v>
      </c>
      <c r="Y202" s="6" t="n">
        <f aca="false">Y201+V202</f>
        <v>10251.3</v>
      </c>
      <c r="AA202" s="6" t="n">
        <v>10.1483756345569</v>
      </c>
      <c r="AB202" s="6" t="n">
        <f aca="false">SUM(J204:J213)</f>
        <v>0.3</v>
      </c>
    </row>
    <row r="203" s="30" customFormat="true" ht="15" hidden="false" customHeight="false" outlineLevel="0" collapsed="false">
      <c r="A203" s="23"/>
      <c r="B203" s="28" t="s">
        <v>61</v>
      </c>
      <c r="C203" s="29" t="n">
        <v>41319</v>
      </c>
      <c r="D203" s="30" t="n">
        <v>-1.7</v>
      </c>
      <c r="E203" s="30" t="n">
        <v>-5.1</v>
      </c>
      <c r="F203" s="30" t="n">
        <v>0.6</v>
      </c>
      <c r="G203" s="30" t="n">
        <v>1088.4</v>
      </c>
      <c r="H203" s="30" t="n">
        <v>85.2</v>
      </c>
      <c r="J203" s="30" t="n">
        <v>1.1</v>
      </c>
      <c r="K203" s="30" t="n">
        <f aca="false">K202+J203</f>
        <v>450.1</v>
      </c>
      <c r="L203" s="30" t="n">
        <v>0.3</v>
      </c>
      <c r="M203" s="30" t="n">
        <f aca="false">M202+L203</f>
        <v>131.5</v>
      </c>
      <c r="N203" s="30" t="n">
        <v>0.8</v>
      </c>
      <c r="O203" s="30" t="n">
        <f aca="false">O202+N203</f>
        <v>121.8</v>
      </c>
      <c r="P203" s="30" t="n">
        <v>156</v>
      </c>
      <c r="Q203" s="30" t="n">
        <v>1</v>
      </c>
      <c r="R203" s="31" t="n">
        <f aca="false">Q203*L203</f>
        <v>0.3</v>
      </c>
      <c r="S203" s="31" t="n">
        <f aca="false">J203-R203</f>
        <v>0.8</v>
      </c>
      <c r="T203" s="31" t="n">
        <f aca="false">MIN(122.1,(T202+S203))</f>
        <v>121.8</v>
      </c>
      <c r="V203" s="30" t="n">
        <v>179.4</v>
      </c>
      <c r="X203" s="30" t="n">
        <f aca="false">X202+V203</f>
        <v>64283.3</v>
      </c>
      <c r="Y203" s="30" t="n">
        <f aca="false">Y202+V203</f>
        <v>10430.7</v>
      </c>
      <c r="AA203" s="30" t="n">
        <v>10.2007439749524</v>
      </c>
    </row>
    <row r="204" s="6" customFormat="true" ht="15" hidden="false" customHeight="false" outlineLevel="0" collapsed="false">
      <c r="A204" s="23"/>
      <c r="B204" s="12"/>
      <c r="C204" s="7" t="n">
        <v>41320</v>
      </c>
      <c r="D204" s="6" t="n">
        <v>2.7</v>
      </c>
      <c r="E204" s="6" t="n">
        <v>-1.1</v>
      </c>
      <c r="F204" s="6" t="n">
        <v>7.6</v>
      </c>
      <c r="G204" s="6" t="n">
        <f aca="false">G203+D204</f>
        <v>1091.1</v>
      </c>
      <c r="H204" s="6" t="n">
        <f aca="false">H203+D204</f>
        <v>87.9</v>
      </c>
      <c r="J204" s="25" t="n">
        <v>0.2</v>
      </c>
      <c r="K204" s="6" t="n">
        <f aca="false">K203+J204</f>
        <v>450.3</v>
      </c>
      <c r="L204" s="6" t="n">
        <v>0.4</v>
      </c>
      <c r="M204" s="6" t="n">
        <f aca="false">M203+L204</f>
        <v>131.9</v>
      </c>
      <c r="N204" s="6" t="n">
        <v>-0.2</v>
      </c>
      <c r="O204" s="6" t="n">
        <f aca="false">O203+N204</f>
        <v>121.6</v>
      </c>
      <c r="P204" s="6" t="n">
        <v>157</v>
      </c>
      <c r="Q204" s="6" t="n">
        <v>1</v>
      </c>
      <c r="R204" s="14" t="n">
        <f aca="false">Q204*L204</f>
        <v>0.4</v>
      </c>
      <c r="S204" s="14" t="n">
        <f aca="false">J204-R204</f>
        <v>-0.2</v>
      </c>
      <c r="T204" s="27" t="n">
        <f aca="false">MIN(122.1,(T203+S204))</f>
        <v>121.6</v>
      </c>
      <c r="V204" s="6" t="n">
        <v>283.1</v>
      </c>
      <c r="X204" s="6" t="n">
        <f aca="false">X203+V204</f>
        <v>64566.4</v>
      </c>
      <c r="Y204" s="6" t="n">
        <f aca="false">Y203+V204</f>
        <v>10713.8</v>
      </c>
      <c r="AA204" s="6" t="n">
        <v>10.2534478601918</v>
      </c>
    </row>
    <row r="205" s="6" customFormat="true" ht="15" hidden="false" customHeight="false" outlineLevel="0" collapsed="false">
      <c r="A205" s="23"/>
      <c r="B205" s="12"/>
      <c r="C205" s="7" t="n">
        <v>41321</v>
      </c>
      <c r="D205" s="6" t="n">
        <v>2.4</v>
      </c>
      <c r="E205" s="6" t="n">
        <v>-0.5</v>
      </c>
      <c r="F205" s="6" t="n">
        <v>7.2</v>
      </c>
      <c r="G205" s="6" t="n">
        <f aca="false">G204+D205</f>
        <v>1093.5</v>
      </c>
      <c r="H205" s="6" t="n">
        <f aca="false">H204+D205</f>
        <v>90.3</v>
      </c>
      <c r="J205" s="25" t="n">
        <v>0</v>
      </c>
      <c r="K205" s="6" t="n">
        <f aca="false">K204+J205</f>
        <v>450.3</v>
      </c>
      <c r="L205" s="6" t="n">
        <v>0.5</v>
      </c>
      <c r="M205" s="6" t="n">
        <f aca="false">M204+L205</f>
        <v>132.4</v>
      </c>
      <c r="N205" s="6" t="n">
        <v>-0.5</v>
      </c>
      <c r="O205" s="6" t="n">
        <f aca="false">O204+N205</f>
        <v>121.1</v>
      </c>
      <c r="P205" s="6" t="n">
        <v>158</v>
      </c>
      <c r="Q205" s="6" t="n">
        <v>1</v>
      </c>
      <c r="R205" s="14" t="n">
        <f aca="false">Q205*L205</f>
        <v>0.5</v>
      </c>
      <c r="S205" s="14" t="n">
        <f aca="false">J205-R205</f>
        <v>-0.5</v>
      </c>
      <c r="T205" s="27" t="n">
        <f aca="false">MIN(122.1,(T204+S205))</f>
        <v>121.1</v>
      </c>
      <c r="V205" s="6" t="n">
        <v>591.3</v>
      </c>
      <c r="X205" s="6" t="n">
        <f aca="false">X204+V205</f>
        <v>65157.7</v>
      </c>
      <c r="Y205" s="6" t="n">
        <f aca="false">Y204+V205</f>
        <v>11305.1</v>
      </c>
      <c r="AA205" s="6" t="n">
        <v>10.3064701239922</v>
      </c>
    </row>
    <row r="206" s="6" customFormat="true" ht="15" hidden="false" customHeight="false" outlineLevel="0" collapsed="false">
      <c r="A206" s="23"/>
      <c r="B206" s="12"/>
      <c r="C206" s="7" t="n">
        <v>41322</v>
      </c>
      <c r="D206" s="6" t="n">
        <v>2.3</v>
      </c>
      <c r="E206" s="6" t="n">
        <v>0.2</v>
      </c>
      <c r="F206" s="6" t="n">
        <v>6.9</v>
      </c>
      <c r="G206" s="6" t="n">
        <f aca="false">G205+D206</f>
        <v>1095.8</v>
      </c>
      <c r="H206" s="6" t="n">
        <f aca="false">H205+D206</f>
        <v>92.6</v>
      </c>
      <c r="J206" s="25" t="n">
        <v>0</v>
      </c>
      <c r="K206" s="6" t="n">
        <f aca="false">K205+J206</f>
        <v>450.3</v>
      </c>
      <c r="L206" s="6" t="n">
        <v>1.1</v>
      </c>
      <c r="M206" s="6" t="n">
        <f aca="false">M205+L206</f>
        <v>133.5</v>
      </c>
      <c r="N206" s="6" t="n">
        <v>-1.1</v>
      </c>
      <c r="O206" s="6" t="n">
        <f aca="false">O205+N206</f>
        <v>120</v>
      </c>
      <c r="P206" s="6" t="n">
        <v>159</v>
      </c>
      <c r="Q206" s="6" t="n">
        <v>1</v>
      </c>
      <c r="R206" s="14" t="n">
        <f aca="false">Q206*L206</f>
        <v>1.1</v>
      </c>
      <c r="S206" s="14" t="n">
        <f aca="false">J206-R206</f>
        <v>-1.1</v>
      </c>
      <c r="T206" s="27" t="n">
        <f aca="false">MIN(122.1,(T205+S206))</f>
        <v>120</v>
      </c>
      <c r="V206" s="6" t="n">
        <v>803.7</v>
      </c>
      <c r="X206" s="6" t="n">
        <f aca="false">X205+V206</f>
        <v>65961.4</v>
      </c>
      <c r="Y206" s="6" t="n">
        <f aca="false">Y205+V206</f>
        <v>12108.8</v>
      </c>
      <c r="AA206" s="6" t="n">
        <v>10.3597941843887</v>
      </c>
    </row>
    <row r="207" s="6" customFormat="true" ht="15" hidden="false" customHeight="false" outlineLevel="0" collapsed="false">
      <c r="A207" s="23"/>
      <c r="B207" s="12"/>
      <c r="C207" s="7" t="n">
        <v>41323</v>
      </c>
      <c r="D207" s="6" t="n">
        <v>-1.1</v>
      </c>
      <c r="E207" s="6" t="n">
        <v>-2.8</v>
      </c>
      <c r="F207" s="6" t="n">
        <v>1.7</v>
      </c>
      <c r="G207" s="6" t="n">
        <v>1095.8</v>
      </c>
      <c r="H207" s="6" t="n">
        <v>92.6</v>
      </c>
      <c r="J207" s="25" t="n">
        <v>0</v>
      </c>
      <c r="K207" s="6" t="n">
        <f aca="false">K206+J207</f>
        <v>450.3</v>
      </c>
      <c r="L207" s="6" t="n">
        <v>0.8</v>
      </c>
      <c r="M207" s="6" t="n">
        <f aca="false">M206+L207</f>
        <v>134.3</v>
      </c>
      <c r="N207" s="6" t="n">
        <v>-0.8</v>
      </c>
      <c r="O207" s="6" t="n">
        <f aca="false">O206+N207</f>
        <v>119.2</v>
      </c>
      <c r="P207" s="6" t="n">
        <v>160</v>
      </c>
      <c r="Q207" s="6" t="n">
        <v>1</v>
      </c>
      <c r="R207" s="14" t="n">
        <f aca="false">Q207*L207</f>
        <v>0.8</v>
      </c>
      <c r="S207" s="14" t="n">
        <f aca="false">J207-R207</f>
        <v>-0.8</v>
      </c>
      <c r="T207" s="27" t="n">
        <f aca="false">MIN(122.1,(T206+S207))</f>
        <v>119.2</v>
      </c>
      <c r="V207" s="6" t="n">
        <v>1097</v>
      </c>
      <c r="X207" s="6" t="n">
        <f aca="false">X206+V207</f>
        <v>67058.4</v>
      </c>
      <c r="Y207" s="6" t="n">
        <f aca="false">Y206+V207</f>
        <v>13205.8</v>
      </c>
      <c r="AA207" s="6" t="n">
        <v>10.4134040340304</v>
      </c>
    </row>
    <row r="208" s="6" customFormat="true" ht="15" hidden="false" customHeight="false" outlineLevel="0" collapsed="false">
      <c r="A208" s="23"/>
      <c r="B208" s="12"/>
      <c r="C208" s="7" t="n">
        <v>41324</v>
      </c>
      <c r="D208" s="6" t="n">
        <v>-2.6</v>
      </c>
      <c r="E208" s="6" t="n">
        <v>-4.6</v>
      </c>
      <c r="F208" s="6" t="n">
        <v>-0.8</v>
      </c>
      <c r="G208" s="6" t="n">
        <v>1095.8</v>
      </c>
      <c r="H208" s="6" t="n">
        <v>92.6</v>
      </c>
      <c r="J208" s="25" t="n">
        <v>0</v>
      </c>
      <c r="K208" s="6" t="n">
        <f aca="false">K207+J208</f>
        <v>450.3</v>
      </c>
      <c r="L208" s="6" t="n">
        <v>0.5</v>
      </c>
      <c r="M208" s="6" t="n">
        <f aca="false">M207+L208</f>
        <v>134.8</v>
      </c>
      <c r="N208" s="6" t="n">
        <v>-0.5</v>
      </c>
      <c r="O208" s="6" t="n">
        <f aca="false">O207+N208</f>
        <v>118.7</v>
      </c>
      <c r="P208" s="6" t="n">
        <v>161</v>
      </c>
      <c r="Q208" s="6" t="n">
        <v>1</v>
      </c>
      <c r="R208" s="14" t="n">
        <f aca="false">Q208*L208</f>
        <v>0.5</v>
      </c>
      <c r="S208" s="14" t="n">
        <f aca="false">J208-R208</f>
        <v>-0.5</v>
      </c>
      <c r="T208" s="27" t="n">
        <f aca="false">MIN(122.1,(T207+S208))</f>
        <v>118.7</v>
      </c>
      <c r="V208" s="6" t="n">
        <v>552.8</v>
      </c>
      <c r="X208" s="6" t="n">
        <f aca="false">X207+V208</f>
        <v>67611.2</v>
      </c>
      <c r="Y208" s="6" t="n">
        <f aca="false">Y207+V208</f>
        <v>13758.6</v>
      </c>
      <c r="AA208" s="6" t="n">
        <v>10.4672842293458</v>
      </c>
      <c r="AC208" s="26" t="s">
        <v>47</v>
      </c>
    </row>
    <row r="209" s="6" customFormat="true" ht="15" hidden="false" customHeight="false" outlineLevel="0" collapsed="false">
      <c r="A209" s="23"/>
      <c r="B209" s="12"/>
      <c r="C209" s="7" t="n">
        <v>41325</v>
      </c>
      <c r="D209" s="6" t="n">
        <v>1.3</v>
      </c>
      <c r="E209" s="6" t="n">
        <v>-1.6</v>
      </c>
      <c r="F209" s="6" t="n">
        <v>6.2</v>
      </c>
      <c r="G209" s="6" t="n">
        <f aca="false">G208+D209</f>
        <v>1097.1</v>
      </c>
      <c r="H209" s="6" t="n">
        <f aca="false">H208+D209</f>
        <v>93.9</v>
      </c>
      <c r="J209" s="25" t="n">
        <v>0</v>
      </c>
      <c r="K209" s="6" t="n">
        <f aca="false">K208+J209</f>
        <v>450.3</v>
      </c>
      <c r="L209" s="6" t="n">
        <v>1</v>
      </c>
      <c r="M209" s="6" t="n">
        <f aca="false">M208+L209</f>
        <v>135.8</v>
      </c>
      <c r="N209" s="6" t="n">
        <v>-1</v>
      </c>
      <c r="O209" s="6" t="n">
        <f aca="false">O208+N209</f>
        <v>117.7</v>
      </c>
      <c r="P209" s="6" t="n">
        <v>162</v>
      </c>
      <c r="Q209" s="6" t="n">
        <v>1</v>
      </c>
      <c r="R209" s="14" t="n">
        <f aca="false">Q209*L209</f>
        <v>1</v>
      </c>
      <c r="S209" s="14" t="n">
        <f aca="false">J209-R209</f>
        <v>-1</v>
      </c>
      <c r="T209" s="27" t="n">
        <f aca="false">MIN(122.1,(T208+S209))</f>
        <v>117.7</v>
      </c>
      <c r="V209" s="6" t="n">
        <v>731.7</v>
      </c>
      <c r="X209" s="6" t="n">
        <f aca="false">X208+V209</f>
        <v>68342.9</v>
      </c>
      <c r="Y209" s="6" t="n">
        <f aca="false">Y208+V209</f>
        <v>14490.3</v>
      </c>
      <c r="AA209" s="6" t="n">
        <v>10.5214198786888</v>
      </c>
      <c r="AC209" s="15" t="n">
        <f aca="false">(AB194*(50/120))+(AB222*(70/120))</f>
        <v>117.751331845238</v>
      </c>
    </row>
    <row r="210" s="6" customFormat="true" ht="15" hidden="false" customHeight="false" outlineLevel="0" collapsed="false">
      <c r="A210" s="23"/>
      <c r="B210" s="12" t="s">
        <v>54</v>
      </c>
      <c r="C210" s="7" t="n">
        <v>41326</v>
      </c>
      <c r="D210" s="6" t="n">
        <v>-0.7</v>
      </c>
      <c r="E210" s="6" t="n">
        <v>-2.6</v>
      </c>
      <c r="F210" s="6" t="n">
        <v>2.7</v>
      </c>
      <c r="G210" s="6" t="n">
        <v>1097.1</v>
      </c>
      <c r="H210" s="6" t="n">
        <v>93.9</v>
      </c>
      <c r="J210" s="25" t="n">
        <v>0</v>
      </c>
      <c r="K210" s="6" t="n">
        <f aca="false">K209+J210</f>
        <v>450.3</v>
      </c>
      <c r="L210" s="6" t="n">
        <v>1.3</v>
      </c>
      <c r="M210" s="6" t="n">
        <f aca="false">M209+L210</f>
        <v>137.1</v>
      </c>
      <c r="N210" s="6" t="n">
        <v>-1.3</v>
      </c>
      <c r="O210" s="6" t="n">
        <f aca="false">O209+N210</f>
        <v>116.4</v>
      </c>
      <c r="P210" s="6" t="n">
        <v>163</v>
      </c>
      <c r="Q210" s="6" t="n">
        <v>1</v>
      </c>
      <c r="R210" s="14" t="n">
        <f aca="false">Q210*L210</f>
        <v>1.3</v>
      </c>
      <c r="S210" s="14" t="n">
        <f aca="false">J210-R210</f>
        <v>-1.3</v>
      </c>
      <c r="T210" s="27" t="n">
        <f aca="false">MIN(122.1,(T209+S210))</f>
        <v>116.4</v>
      </c>
      <c r="V210" s="6" t="n">
        <v>814.5</v>
      </c>
      <c r="X210" s="6" t="n">
        <f aca="false">X209+V210</f>
        <v>69157.4</v>
      </c>
      <c r="Y210" s="6" t="n">
        <f aca="false">Y209+V210</f>
        <v>15304.8</v>
      </c>
      <c r="AA210" s="6" t="n">
        <v>10.5757966295688</v>
      </c>
      <c r="AC210" s="26" t="s">
        <v>48</v>
      </c>
    </row>
    <row r="211" s="6" customFormat="true" ht="15" hidden="false" customHeight="false" outlineLevel="0" collapsed="false">
      <c r="A211" s="23"/>
      <c r="B211" s="12"/>
      <c r="C211" s="7" t="n">
        <v>41327</v>
      </c>
      <c r="D211" s="6" t="n">
        <v>-2.6</v>
      </c>
      <c r="E211" s="6" t="n">
        <v>-4.5</v>
      </c>
      <c r="F211" s="6" t="n">
        <v>-0.3</v>
      </c>
      <c r="G211" s="6" t="n">
        <v>1097.1</v>
      </c>
      <c r="H211" s="6" t="n">
        <v>93.9</v>
      </c>
      <c r="J211" s="25" t="n">
        <v>0</v>
      </c>
      <c r="K211" s="6" t="n">
        <f aca="false">K210+J211</f>
        <v>450.3</v>
      </c>
      <c r="L211" s="6" t="n">
        <v>1.1</v>
      </c>
      <c r="M211" s="6" t="n">
        <f aca="false">M210+L211</f>
        <v>138.2</v>
      </c>
      <c r="N211" s="6" t="n">
        <v>-1.1</v>
      </c>
      <c r="O211" s="6" t="n">
        <f aca="false">O210+N211</f>
        <v>115.3</v>
      </c>
      <c r="P211" s="6" t="n">
        <v>164</v>
      </c>
      <c r="Q211" s="6" t="n">
        <v>1</v>
      </c>
      <c r="R211" s="14" t="n">
        <f aca="false">Q211*L211</f>
        <v>1.1</v>
      </c>
      <c r="S211" s="14" t="n">
        <f aca="false">J211-R211</f>
        <v>-1.1</v>
      </c>
      <c r="T211" s="27" t="n">
        <f aca="false">MIN(122.1,(T210+S211))</f>
        <v>115.3</v>
      </c>
      <c r="V211" s="6" t="n">
        <v>605.1</v>
      </c>
      <c r="X211" s="6" t="n">
        <f aca="false">X210+V211</f>
        <v>69762.5</v>
      </c>
      <c r="Y211" s="6" t="n">
        <f aca="false">Y210+V211</f>
        <v>15909.9</v>
      </c>
      <c r="AA211" s="6" t="n">
        <v>10.630400655061</v>
      </c>
      <c r="AC211" s="6" t="n">
        <f aca="false">(AB196*(50/120))+(AB224*(70/120))</f>
        <v>2</v>
      </c>
    </row>
    <row r="212" s="6" customFormat="true" ht="15" hidden="false" customHeight="false" outlineLevel="0" collapsed="false">
      <c r="A212" s="23"/>
      <c r="B212" s="12"/>
      <c r="C212" s="7" t="n">
        <v>41328</v>
      </c>
      <c r="D212" s="6" t="n">
        <v>-2.7</v>
      </c>
      <c r="E212" s="6" t="n">
        <v>-4.5</v>
      </c>
      <c r="F212" s="6" t="n">
        <v>-0.4</v>
      </c>
      <c r="G212" s="6" t="n">
        <v>1097.1</v>
      </c>
      <c r="H212" s="6" t="n">
        <v>93.9</v>
      </c>
      <c r="J212" s="25" t="n">
        <v>0</v>
      </c>
      <c r="K212" s="6" t="n">
        <f aca="false">K211+J212</f>
        <v>450.3</v>
      </c>
      <c r="L212" s="6" t="n">
        <v>1</v>
      </c>
      <c r="M212" s="6" t="n">
        <f aca="false">M211+L212</f>
        <v>139.2</v>
      </c>
      <c r="N212" s="6" t="n">
        <v>-1</v>
      </c>
      <c r="O212" s="6" t="n">
        <f aca="false">O211+N212</f>
        <v>114.3</v>
      </c>
      <c r="P212" s="6" t="n">
        <v>165</v>
      </c>
      <c r="Q212" s="6" t="n">
        <v>1</v>
      </c>
      <c r="R212" s="14" t="n">
        <f aca="false">Q212*L212</f>
        <v>1</v>
      </c>
      <c r="S212" s="14" t="n">
        <f aca="false">J212-R212</f>
        <v>-1</v>
      </c>
      <c r="T212" s="27" t="n">
        <f aca="false">MIN(122.1,(T211+S212))</f>
        <v>114.3</v>
      </c>
      <c r="V212" s="6" t="n">
        <v>689.9</v>
      </c>
      <c r="X212" s="6" t="n">
        <f aca="false">X211+V212</f>
        <v>70452.4</v>
      </c>
      <c r="Y212" s="6" t="n">
        <f aca="false">Y211+V212</f>
        <v>16599.8</v>
      </c>
      <c r="AA212" s="6" t="n">
        <v>10.6852186394912</v>
      </c>
      <c r="AC212" s="26" t="s">
        <v>50</v>
      </c>
    </row>
    <row r="213" s="6" customFormat="true" ht="15" hidden="false" customHeight="false" outlineLevel="0" collapsed="false">
      <c r="A213" s="23"/>
      <c r="B213" s="12"/>
      <c r="C213" s="7" t="n">
        <v>41329</v>
      </c>
      <c r="D213" s="6" t="n">
        <v>-2.5</v>
      </c>
      <c r="E213" s="6" t="n">
        <v>-3.6</v>
      </c>
      <c r="F213" s="6" t="n">
        <v>-1.2</v>
      </c>
      <c r="G213" s="6" t="n">
        <v>1097.1</v>
      </c>
      <c r="H213" s="6" t="n">
        <v>93.9</v>
      </c>
      <c r="J213" s="25" t="n">
        <v>0.1</v>
      </c>
      <c r="K213" s="6" t="n">
        <f aca="false">K212+J213</f>
        <v>450.4</v>
      </c>
      <c r="L213" s="6" t="n">
        <v>0.4</v>
      </c>
      <c r="M213" s="6" t="n">
        <f aca="false">M212+L213</f>
        <v>139.6</v>
      </c>
      <c r="N213" s="6" t="n">
        <v>-0.3</v>
      </c>
      <c r="O213" s="6" t="n">
        <f aca="false">O212+N213</f>
        <v>114</v>
      </c>
      <c r="P213" s="6" t="n">
        <v>166</v>
      </c>
      <c r="Q213" s="6" t="n">
        <v>1</v>
      </c>
      <c r="R213" s="14" t="n">
        <f aca="false">Q213*L213</f>
        <v>0.4</v>
      </c>
      <c r="S213" s="14" t="n">
        <f aca="false">J213-R213</f>
        <v>-0.3</v>
      </c>
      <c r="T213" s="27" t="n">
        <f aca="false">MIN(122.1,(T212+S213))</f>
        <v>114</v>
      </c>
      <c r="V213" s="6" t="n">
        <v>247.2</v>
      </c>
      <c r="X213" s="6" t="n">
        <f aca="false">X212+V213</f>
        <v>70699.6</v>
      </c>
      <c r="Y213" s="6" t="n">
        <f aca="false">Y212+V213</f>
        <v>16847</v>
      </c>
      <c r="AA213" s="6" t="n">
        <v>10.7402377634786</v>
      </c>
      <c r="AC213" s="14" t="n">
        <f aca="false">(AB198*(50/120))+(AB226*(70/120))</f>
        <v>5.66666666666667</v>
      </c>
    </row>
    <row r="214" s="6" customFormat="true" ht="15" hidden="false" customHeight="false" outlineLevel="0" collapsed="false">
      <c r="A214" s="23"/>
      <c r="B214" s="12"/>
      <c r="C214" s="7" t="n">
        <v>41330</v>
      </c>
      <c r="D214" s="6" t="n">
        <v>-3</v>
      </c>
      <c r="E214" s="6" t="n">
        <v>-4.5</v>
      </c>
      <c r="F214" s="6" t="n">
        <v>-1.5</v>
      </c>
      <c r="G214" s="6" t="n">
        <v>1097.1</v>
      </c>
      <c r="H214" s="6" t="n">
        <v>93.9</v>
      </c>
      <c r="J214" s="6" t="n">
        <v>0</v>
      </c>
      <c r="K214" s="6" t="n">
        <f aca="false">K213+J214</f>
        <v>450.4</v>
      </c>
      <c r="L214" s="6" t="n">
        <v>0.4</v>
      </c>
      <c r="M214" s="6" t="n">
        <f aca="false">M213+L214</f>
        <v>140</v>
      </c>
      <c r="N214" s="6" t="n">
        <v>-0.4</v>
      </c>
      <c r="O214" s="6" t="n">
        <f aca="false">O213+N214</f>
        <v>113.6</v>
      </c>
      <c r="P214" s="6" t="n">
        <v>167</v>
      </c>
      <c r="Q214" s="6" t="n">
        <v>1</v>
      </c>
      <c r="R214" s="14" t="n">
        <f aca="false">Q214*L214</f>
        <v>0.4</v>
      </c>
      <c r="S214" s="14" t="n">
        <f aca="false">J214-R214</f>
        <v>-0.4</v>
      </c>
      <c r="T214" s="14" t="n">
        <f aca="false">MIN(122.1,(T213+S214))</f>
        <v>113.6</v>
      </c>
      <c r="V214" s="6" t="n">
        <v>699.5</v>
      </c>
      <c r="X214" s="6" t="n">
        <f aca="false">X213+V214</f>
        <v>71399.1</v>
      </c>
      <c r="Y214" s="6" t="n">
        <f aca="false">Y213+V214</f>
        <v>17546.5</v>
      </c>
      <c r="AA214" s="6" t="n">
        <v>10.7954456884178</v>
      </c>
      <c r="AC214" s="26" t="s">
        <v>51</v>
      </c>
    </row>
    <row r="215" s="6" customFormat="true" ht="15" hidden="false" customHeight="false" outlineLevel="0" collapsed="false">
      <c r="A215" s="23"/>
      <c r="B215" s="12"/>
      <c r="C215" s="7" t="n">
        <v>41331</v>
      </c>
      <c r="D215" s="6" t="n">
        <v>-0.6</v>
      </c>
      <c r="E215" s="6" t="n">
        <v>-5.4</v>
      </c>
      <c r="F215" s="6" t="n">
        <v>2.7</v>
      </c>
      <c r="G215" s="6" t="n">
        <v>1097.1</v>
      </c>
      <c r="H215" s="6" t="n">
        <v>93.9</v>
      </c>
      <c r="J215" s="6" t="n">
        <v>0</v>
      </c>
      <c r="K215" s="6" t="n">
        <f aca="false">K214+J215</f>
        <v>450.4</v>
      </c>
      <c r="L215" s="6" t="n">
        <v>0.7</v>
      </c>
      <c r="M215" s="6" t="n">
        <f aca="false">M214+L215</f>
        <v>140.7</v>
      </c>
      <c r="N215" s="6" t="n">
        <v>-0.7</v>
      </c>
      <c r="O215" s="6" t="n">
        <f aca="false">O214+N215</f>
        <v>112.9</v>
      </c>
      <c r="P215" s="6" t="n">
        <v>168</v>
      </c>
      <c r="Q215" s="6" t="n">
        <v>1</v>
      </c>
      <c r="R215" s="14" t="n">
        <f aca="false">Q215*L215</f>
        <v>0.7</v>
      </c>
      <c r="S215" s="14" t="n">
        <f aca="false">J215-R215</f>
        <v>-0.7</v>
      </c>
      <c r="T215" s="14" t="n">
        <f aca="false">MIN(122.1,(T214+S215))</f>
        <v>112.9</v>
      </c>
      <c r="V215" s="6" t="n">
        <v>949.7</v>
      </c>
      <c r="X215" s="6" t="n">
        <f aca="false">X214+V215</f>
        <v>72348.8</v>
      </c>
      <c r="Y215" s="6" t="n">
        <f aca="false">Y214+V215</f>
        <v>18496.2</v>
      </c>
      <c r="AA215" s="6" t="n">
        <v>10.8508305404732</v>
      </c>
      <c r="AC215" s="14" t="n">
        <f aca="false">(AB200*(50/120))+(AB228*(70/120))</f>
        <v>1.16666666666667</v>
      </c>
    </row>
    <row r="216" s="6" customFormat="true" ht="15" hidden="false" customHeight="false" outlineLevel="0" collapsed="false">
      <c r="A216" s="23"/>
      <c r="B216" s="12"/>
      <c r="C216" s="7" t="n">
        <v>41332</v>
      </c>
      <c r="D216" s="6" t="n">
        <v>2.6</v>
      </c>
      <c r="E216" s="6" t="n">
        <v>1</v>
      </c>
      <c r="F216" s="6" t="n">
        <v>4</v>
      </c>
      <c r="G216" s="6" t="n">
        <f aca="false">G215+D216</f>
        <v>1099.7</v>
      </c>
      <c r="H216" s="6" t="n">
        <f aca="false">H215+D216</f>
        <v>96.5</v>
      </c>
      <c r="J216" s="6" t="n">
        <v>0</v>
      </c>
      <c r="K216" s="6" t="n">
        <f aca="false">K215+J216</f>
        <v>450.4</v>
      </c>
      <c r="L216" s="6" t="n">
        <v>0.6</v>
      </c>
      <c r="M216" s="6" t="n">
        <f aca="false">M215+L216</f>
        <v>141.3</v>
      </c>
      <c r="N216" s="6" t="n">
        <v>-0.6</v>
      </c>
      <c r="O216" s="6" t="n">
        <f aca="false">O215+N216</f>
        <v>112.3</v>
      </c>
      <c r="P216" s="6" t="n">
        <v>169</v>
      </c>
      <c r="Q216" s="6" t="n">
        <v>1</v>
      </c>
      <c r="R216" s="14" t="n">
        <f aca="false">Q216*L216</f>
        <v>0.6</v>
      </c>
      <c r="S216" s="14" t="n">
        <f aca="false">J216-R216</f>
        <v>-0.6</v>
      </c>
      <c r="T216" s="14" t="n">
        <f aca="false">MIN(122.1,(T215+S216))</f>
        <v>112.3</v>
      </c>
      <c r="V216" s="6" t="n">
        <v>617.2</v>
      </c>
      <c r="X216" s="6" t="n">
        <f aca="false">X215+V216</f>
        <v>72966</v>
      </c>
      <c r="Y216" s="6" t="n">
        <f aca="false">Y215+V216</f>
        <v>19113.4</v>
      </c>
      <c r="AA216" s="6" t="n">
        <v>10.9063808941549</v>
      </c>
      <c r="AC216" s="26" t="s">
        <v>52</v>
      </c>
    </row>
    <row r="217" s="6" customFormat="true" ht="15" hidden="false" customHeight="false" outlineLevel="0" collapsed="false">
      <c r="A217" s="23"/>
      <c r="B217" s="12" t="s">
        <v>55</v>
      </c>
      <c r="C217" s="7" t="n">
        <v>41333</v>
      </c>
      <c r="D217" s="6" t="n">
        <v>1.6</v>
      </c>
      <c r="E217" s="6" t="n">
        <v>1.1</v>
      </c>
      <c r="F217" s="6" t="n">
        <v>3.1</v>
      </c>
      <c r="G217" s="6" t="n">
        <f aca="false">G216+D217</f>
        <v>1101.3</v>
      </c>
      <c r="H217" s="6" t="n">
        <f aca="false">H216+D217</f>
        <v>98.1</v>
      </c>
      <c r="J217" s="6" t="n">
        <v>0</v>
      </c>
      <c r="K217" s="6" t="n">
        <f aca="false">K216+J217</f>
        <v>450.4</v>
      </c>
      <c r="L217" s="6" t="n">
        <v>0.7</v>
      </c>
      <c r="M217" s="6" t="n">
        <f aca="false">M216+L217</f>
        <v>142</v>
      </c>
      <c r="N217" s="6" t="n">
        <v>-0.7</v>
      </c>
      <c r="O217" s="6" t="n">
        <f aca="false">O216+N217</f>
        <v>111.6</v>
      </c>
      <c r="P217" s="6" t="n">
        <v>170</v>
      </c>
      <c r="Q217" s="6" t="n">
        <v>1</v>
      </c>
      <c r="R217" s="14" t="n">
        <f aca="false">Q217*L217</f>
        <v>0.7</v>
      </c>
      <c r="S217" s="14" t="n">
        <f aca="false">J217-R217</f>
        <v>-0.7</v>
      </c>
      <c r="T217" s="14" t="n">
        <f aca="false">MIN(122.1,(T216+S217))</f>
        <v>111.6</v>
      </c>
      <c r="V217" s="6" t="n">
        <v>672.3</v>
      </c>
      <c r="X217" s="6" t="n">
        <f aca="false">X216+V217</f>
        <v>73638.3</v>
      </c>
      <c r="Y217" s="6" t="n">
        <f aca="false">Y216+V217</f>
        <v>19785.7</v>
      </c>
      <c r="AA217" s="6" t="n">
        <v>10.9620857555387</v>
      </c>
      <c r="AC217" s="14" t="n">
        <f aca="false">(AB202*(50/120))+(AB230*(70/120))</f>
        <v>14.5916666666667</v>
      </c>
    </row>
    <row r="218" s="6" customFormat="true" ht="15" hidden="false" customHeight="false" outlineLevel="0" collapsed="false">
      <c r="A218" s="23"/>
      <c r="B218" s="12"/>
      <c r="C218" s="7" t="n">
        <v>41334</v>
      </c>
      <c r="D218" s="6" t="n">
        <v>1.5</v>
      </c>
      <c r="E218" s="6" t="n">
        <v>-1.1</v>
      </c>
      <c r="F218" s="6" t="n">
        <v>4.1</v>
      </c>
      <c r="G218" s="6" t="n">
        <f aca="false">G217+D218</f>
        <v>1102.8</v>
      </c>
      <c r="H218" s="6" t="n">
        <f aca="false">H217+D218</f>
        <v>99.6</v>
      </c>
      <c r="J218" s="6" t="n">
        <v>0</v>
      </c>
      <c r="K218" s="6" t="n">
        <f aca="false">K217+J218</f>
        <v>450.4</v>
      </c>
      <c r="L218" s="6" t="n">
        <v>0.9</v>
      </c>
      <c r="M218" s="6" t="n">
        <f aca="false">M217+L218</f>
        <v>142.9</v>
      </c>
      <c r="N218" s="6" t="n">
        <v>-0.9</v>
      </c>
      <c r="O218" s="6" t="n">
        <f aca="false">O217+N218</f>
        <v>110.7</v>
      </c>
      <c r="P218" s="6" t="n">
        <v>171</v>
      </c>
      <c r="Q218" s="6" t="n">
        <v>1</v>
      </c>
      <c r="R218" s="14" t="n">
        <f aca="false">Q218*L218</f>
        <v>0.9</v>
      </c>
      <c r="S218" s="14" t="n">
        <f aca="false">J218-R218</f>
        <v>-0.9</v>
      </c>
      <c r="T218" s="14" t="n">
        <f aca="false">MIN(122.1,(T217+S218))</f>
        <v>110.7</v>
      </c>
      <c r="V218" s="6" t="n">
        <v>651.4</v>
      </c>
      <c r="X218" s="6" t="n">
        <f aca="false">X217+V218</f>
        <v>74289.7</v>
      </c>
      <c r="Y218" s="6" t="n">
        <f aca="false">Y217+V218</f>
        <v>20437.1</v>
      </c>
      <c r="AA218" s="6" t="n">
        <v>11.0179345451881</v>
      </c>
    </row>
    <row r="219" s="6" customFormat="true" ht="15" hidden="false" customHeight="false" outlineLevel="0" collapsed="false">
      <c r="A219" s="23"/>
      <c r="B219" s="12"/>
      <c r="C219" s="7" t="n">
        <v>41335</v>
      </c>
      <c r="D219" s="6" t="n">
        <v>2.3</v>
      </c>
      <c r="E219" s="6" t="n">
        <v>1.7</v>
      </c>
      <c r="F219" s="6" t="n">
        <v>3.3</v>
      </c>
      <c r="G219" s="6" t="n">
        <f aca="false">G218+D219</f>
        <v>1105.1</v>
      </c>
      <c r="H219" s="6" t="n">
        <f aca="false">H218+D219</f>
        <v>101.9</v>
      </c>
      <c r="J219" s="6" t="n">
        <v>0</v>
      </c>
      <c r="K219" s="6" t="n">
        <f aca="false">K218+J219</f>
        <v>450.4</v>
      </c>
      <c r="L219" s="6" t="n">
        <v>1</v>
      </c>
      <c r="M219" s="6" t="n">
        <f aca="false">M218+L219</f>
        <v>143.9</v>
      </c>
      <c r="N219" s="6" t="n">
        <v>-1</v>
      </c>
      <c r="O219" s="6" t="n">
        <f aca="false">O218+N219</f>
        <v>109.7</v>
      </c>
      <c r="P219" s="6" t="n">
        <v>172</v>
      </c>
      <c r="Q219" s="6" t="n">
        <v>1</v>
      </c>
      <c r="R219" s="14" t="n">
        <f aca="false">Q219*L219</f>
        <v>1</v>
      </c>
      <c r="S219" s="14" t="n">
        <f aca="false">J219-R219</f>
        <v>-1</v>
      </c>
      <c r="T219" s="14" t="n">
        <f aca="false">MIN(122.1,(T218+S219))</f>
        <v>109.7</v>
      </c>
      <c r="V219" s="6" t="n">
        <v>466.7</v>
      </c>
      <c r="X219" s="6" t="n">
        <f aca="false">X218+V219</f>
        <v>74756.4</v>
      </c>
      <c r="Y219" s="6" t="n">
        <f aca="false">Y218+V219</f>
        <v>20903.8</v>
      </c>
      <c r="AA219" s="6" t="n">
        <v>11.0739170808304</v>
      </c>
    </row>
    <row r="220" s="6" customFormat="true" ht="15" hidden="false" customHeight="false" outlineLevel="0" collapsed="false">
      <c r="A220" s="23"/>
      <c r="B220" s="12"/>
      <c r="C220" s="7" t="n">
        <v>41336</v>
      </c>
      <c r="D220" s="6" t="n">
        <v>2.4</v>
      </c>
      <c r="E220" s="6" t="n">
        <v>1</v>
      </c>
      <c r="F220" s="6" t="n">
        <v>4.7</v>
      </c>
      <c r="G220" s="6" t="n">
        <f aca="false">G219+D220</f>
        <v>1107.5</v>
      </c>
      <c r="H220" s="6" t="n">
        <f aca="false">H219+D220</f>
        <v>104.3</v>
      </c>
      <c r="J220" s="6" t="n">
        <v>0</v>
      </c>
      <c r="K220" s="6" t="n">
        <f aca="false">K219+J220</f>
        <v>450.4</v>
      </c>
      <c r="L220" s="6" t="n">
        <v>1.1</v>
      </c>
      <c r="M220" s="6" t="n">
        <f aca="false">M219+L220</f>
        <v>145</v>
      </c>
      <c r="N220" s="6" t="n">
        <v>-1.1</v>
      </c>
      <c r="O220" s="6" t="n">
        <f aca="false">O219+N220</f>
        <v>108.6</v>
      </c>
      <c r="P220" s="6" t="n">
        <v>173</v>
      </c>
      <c r="Q220" s="6" t="n">
        <v>1</v>
      </c>
      <c r="R220" s="14" t="n">
        <f aca="false">Q220*L220</f>
        <v>1.1</v>
      </c>
      <c r="S220" s="14" t="n">
        <f aca="false">J220-R220</f>
        <v>-1.1</v>
      </c>
      <c r="T220" s="14" t="n">
        <f aca="false">MIN(122.1,(T219+S220))</f>
        <v>108.6</v>
      </c>
      <c r="V220" s="6" t="n">
        <v>824.7</v>
      </c>
      <c r="X220" s="6" t="n">
        <f aca="false">X219+V220</f>
        <v>75581.1</v>
      </c>
      <c r="Y220" s="6" t="n">
        <f aca="false">Y219+V220</f>
        <v>21728.5</v>
      </c>
      <c r="AA220" s="6" t="n">
        <v>11.1300235598356</v>
      </c>
    </row>
    <row r="221" s="6" customFormat="true" ht="15" hidden="false" customHeight="false" outlineLevel="0" collapsed="false">
      <c r="A221" s="23"/>
      <c r="B221" s="12"/>
      <c r="C221" s="7" t="n">
        <v>41337</v>
      </c>
      <c r="D221" s="6" t="n">
        <v>4.3</v>
      </c>
      <c r="E221" s="6" t="n">
        <v>-3</v>
      </c>
      <c r="F221" s="6" t="n">
        <v>12.3</v>
      </c>
      <c r="G221" s="6" t="n">
        <f aca="false">G220+D221</f>
        <v>1111.8</v>
      </c>
      <c r="H221" s="6" t="n">
        <f aca="false">H220+D221</f>
        <v>108.6</v>
      </c>
      <c r="J221" s="25" t="n">
        <v>0</v>
      </c>
      <c r="K221" s="6" t="n">
        <f aca="false">K220+J221</f>
        <v>450.4</v>
      </c>
      <c r="L221" s="6" t="n">
        <v>1.9</v>
      </c>
      <c r="M221" s="6" t="n">
        <f aca="false">M220+L221</f>
        <v>146.9</v>
      </c>
      <c r="N221" s="6" t="n">
        <v>-1.9</v>
      </c>
      <c r="O221" s="6" t="n">
        <f aca="false">O220+N221</f>
        <v>106.7</v>
      </c>
      <c r="P221" s="6" t="n">
        <v>174</v>
      </c>
      <c r="Q221" s="6" t="n">
        <v>1</v>
      </c>
      <c r="R221" s="14" t="n">
        <f aca="false">Q221*L221</f>
        <v>1.9</v>
      </c>
      <c r="S221" s="14" t="n">
        <f aca="false">J221-R221</f>
        <v>-1.9</v>
      </c>
      <c r="T221" s="14" t="n">
        <f aca="false">MIN(122.1,(T220+S221))</f>
        <v>106.7</v>
      </c>
      <c r="V221" s="6" t="n">
        <v>1491.9</v>
      </c>
      <c r="X221" s="6" t="n">
        <f aca="false">X220+V221</f>
        <v>77073</v>
      </c>
      <c r="Y221" s="6" t="n">
        <f aca="false">Y220+V221</f>
        <v>23220.4</v>
      </c>
      <c r="AA221" s="6" t="n">
        <v>11.1862445415401</v>
      </c>
      <c r="AB221" s="26" t="s">
        <v>47</v>
      </c>
    </row>
    <row r="222" s="20" customFormat="true" ht="15" hidden="false" customHeight="false" outlineLevel="0" collapsed="false">
      <c r="A222" s="23"/>
      <c r="B222" s="18"/>
      <c r="C222" s="19" t="n">
        <v>41338</v>
      </c>
      <c r="D222" s="20" t="n">
        <v>5.5</v>
      </c>
      <c r="E222" s="20" t="n">
        <v>-0.8</v>
      </c>
      <c r="F222" s="20" t="n">
        <v>9.6</v>
      </c>
      <c r="G222" s="20" t="n">
        <f aca="false">G221+D222</f>
        <v>1117.3</v>
      </c>
      <c r="H222" s="20" t="n">
        <f aca="false">H221+D222</f>
        <v>114.1</v>
      </c>
      <c r="J222" s="32" t="n">
        <v>0</v>
      </c>
      <c r="K222" s="20" t="n">
        <f aca="false">K221+J222</f>
        <v>450.4</v>
      </c>
      <c r="L222" s="20" t="n">
        <v>1.1</v>
      </c>
      <c r="M222" s="20" t="n">
        <f aca="false">M221+L222</f>
        <v>148</v>
      </c>
      <c r="N222" s="20" t="n">
        <v>-1.1</v>
      </c>
      <c r="O222" s="20" t="n">
        <f aca="false">O221+N222</f>
        <v>105.6</v>
      </c>
      <c r="P222" s="20" t="n">
        <v>175</v>
      </c>
      <c r="Q222" s="20" t="n">
        <v>1</v>
      </c>
      <c r="R222" s="21" t="n">
        <f aca="false">Q222*L222</f>
        <v>1.1</v>
      </c>
      <c r="S222" s="21" t="n">
        <f aca="false">J222-R222</f>
        <v>-1.1</v>
      </c>
      <c r="T222" s="21" t="n">
        <f aca="false">MIN(122.1,(T221+S222))</f>
        <v>105.6</v>
      </c>
      <c r="V222" s="20" t="n">
        <v>851.5</v>
      </c>
      <c r="X222" s="20" t="n">
        <f aca="false">X221+V222</f>
        <v>77924.5</v>
      </c>
      <c r="Y222" s="20" t="n">
        <f aca="false">Y221+V222</f>
        <v>24071.9</v>
      </c>
      <c r="AA222" s="20" t="n">
        <v>11.2425709294546</v>
      </c>
      <c r="AB222" s="14" t="n">
        <f aca="false">AVERAGE(T228:T241)</f>
        <v>116.910446428571</v>
      </c>
    </row>
    <row r="223" s="6" customFormat="true" ht="15" hidden="false" customHeight="true" outlineLevel="0" collapsed="false">
      <c r="A223" s="33" t="s">
        <v>56</v>
      </c>
      <c r="B223" s="12"/>
      <c r="C223" s="7" t="n">
        <v>41339</v>
      </c>
      <c r="D223" s="6" t="n">
        <v>9.1</v>
      </c>
      <c r="E223" s="6" t="n">
        <v>6.3</v>
      </c>
      <c r="F223" s="6" t="n">
        <v>13.7</v>
      </c>
      <c r="G223" s="6" t="n">
        <f aca="false">G222+D223</f>
        <v>1126.4</v>
      </c>
      <c r="H223" s="6" t="n">
        <v>9.1</v>
      </c>
      <c r="I223" s="34" t="s">
        <v>29</v>
      </c>
      <c r="J223" s="25" t="n">
        <v>1.9</v>
      </c>
      <c r="K223" s="6" t="n">
        <f aca="false">K222+J223</f>
        <v>452.3</v>
      </c>
      <c r="L223" s="6" t="n">
        <v>1.1</v>
      </c>
      <c r="M223" s="6" t="n">
        <f aca="false">M222+L223</f>
        <v>149.1</v>
      </c>
      <c r="N223" s="6" t="n">
        <v>0.8</v>
      </c>
      <c r="O223" s="6" t="n">
        <f aca="false">O222+N223</f>
        <v>106.4</v>
      </c>
      <c r="P223" s="6" t="n">
        <v>176</v>
      </c>
      <c r="Q223" s="6" t="n">
        <f aca="false">1+((P223-175)/48)*(1.15-1)</f>
        <v>1.003125</v>
      </c>
      <c r="R223" s="14" t="n">
        <f aca="false">Q223*L223</f>
        <v>1.1034375</v>
      </c>
      <c r="S223" s="14" t="n">
        <f aca="false">J223-R223</f>
        <v>0.7965625</v>
      </c>
      <c r="T223" s="14" t="n">
        <f aca="false">MIN(122.1,(T222+S223))</f>
        <v>106.3965625</v>
      </c>
      <c r="U223" s="34" t="s">
        <v>30</v>
      </c>
      <c r="V223" s="6" t="n">
        <v>206.7</v>
      </c>
      <c r="X223" s="6" t="n">
        <f aca="false">X222+V223</f>
        <v>78131.2</v>
      </c>
      <c r="Y223" s="6" t="n">
        <v>206.7</v>
      </c>
      <c r="Z223" s="34" t="s">
        <v>31</v>
      </c>
      <c r="AA223" s="6" t="n">
        <v>11.2989939533909</v>
      </c>
      <c r="AB223" s="26" t="s">
        <v>48</v>
      </c>
    </row>
    <row r="224" s="6" customFormat="true" ht="15" hidden="false" customHeight="false" outlineLevel="0" collapsed="false">
      <c r="A224" s="33"/>
      <c r="B224" s="12" t="s">
        <v>57</v>
      </c>
      <c r="C224" s="7" t="n">
        <v>41340</v>
      </c>
      <c r="D224" s="6" t="n">
        <v>9.5</v>
      </c>
      <c r="E224" s="6" t="n">
        <v>5.9</v>
      </c>
      <c r="F224" s="6" t="n">
        <v>13</v>
      </c>
      <c r="G224" s="6" t="n">
        <f aca="false">G223+D224</f>
        <v>1135.9</v>
      </c>
      <c r="H224" s="6" t="n">
        <f aca="false">H223+D224</f>
        <v>18.6</v>
      </c>
      <c r="I224" s="6" t="n">
        <f aca="false">MIN(E223:E270)</f>
        <v>-6.3</v>
      </c>
      <c r="J224" s="25" t="n">
        <v>0.3</v>
      </c>
      <c r="K224" s="6" t="n">
        <f aca="false">K223+J224</f>
        <v>452.6</v>
      </c>
      <c r="L224" s="6" t="n">
        <v>0.5</v>
      </c>
      <c r="M224" s="6" t="n">
        <f aca="false">M223+L224</f>
        <v>149.6</v>
      </c>
      <c r="N224" s="6" t="n">
        <v>-0.2</v>
      </c>
      <c r="O224" s="6" t="n">
        <f aca="false">O223+N224</f>
        <v>106.2</v>
      </c>
      <c r="P224" s="6" t="n">
        <v>177</v>
      </c>
      <c r="Q224" s="6" t="n">
        <f aca="false">1+((P224-175)/48)*(1.15-1)</f>
        <v>1.00625</v>
      </c>
      <c r="R224" s="14" t="n">
        <f aca="false">Q224*L224</f>
        <v>0.503125</v>
      </c>
      <c r="S224" s="14" t="n">
        <f aca="false">J224-R224</f>
        <v>-0.203125</v>
      </c>
      <c r="T224" s="14" t="n">
        <f aca="false">MIN(122.1,(T223+S224))</f>
        <v>106.1934375</v>
      </c>
      <c r="U224" s="6" t="n">
        <v>32</v>
      </c>
      <c r="V224" s="6" t="n">
        <v>268.3</v>
      </c>
      <c r="X224" s="6" t="n">
        <f aca="false">X223+V224</f>
        <v>78399.5</v>
      </c>
      <c r="Y224" s="6" t="n">
        <f aca="false">Y223+V224</f>
        <v>475</v>
      </c>
      <c r="Z224" s="6" t="n">
        <v>47545.6</v>
      </c>
      <c r="AA224" s="6" t="n">
        <v>11.3555051515375</v>
      </c>
      <c r="AB224" s="6" t="n">
        <v>2</v>
      </c>
    </row>
    <row r="225" s="6" customFormat="true" ht="15" hidden="false" customHeight="false" outlineLevel="0" collapsed="false">
      <c r="A225" s="33"/>
      <c r="B225" s="12"/>
      <c r="C225" s="7" t="n">
        <v>41341</v>
      </c>
      <c r="D225" s="6" t="n">
        <v>9.5</v>
      </c>
      <c r="E225" s="6" t="n">
        <v>6.6</v>
      </c>
      <c r="F225" s="6" t="n">
        <v>14.5</v>
      </c>
      <c r="G225" s="6" t="n">
        <f aca="false">G224+D225</f>
        <v>1145.4</v>
      </c>
      <c r="H225" s="6" t="n">
        <f aca="false">H224+D225</f>
        <v>28.1</v>
      </c>
      <c r="I225" s="34" t="s">
        <v>32</v>
      </c>
      <c r="J225" s="25" t="n">
        <v>1.3</v>
      </c>
      <c r="K225" s="6" t="n">
        <f aca="false">K224+J225</f>
        <v>453.9</v>
      </c>
      <c r="L225" s="6" t="n">
        <v>0.8</v>
      </c>
      <c r="M225" s="6" t="n">
        <f aca="false">M224+L225</f>
        <v>150.4</v>
      </c>
      <c r="N225" s="6" t="n">
        <v>0.5</v>
      </c>
      <c r="O225" s="6" t="n">
        <f aca="false">O224+N225</f>
        <v>106.7</v>
      </c>
      <c r="P225" s="6" t="n">
        <v>178</v>
      </c>
      <c r="Q225" s="6" t="n">
        <f aca="false">1+((P225-175)/48)*(1.15-1)</f>
        <v>1.009375</v>
      </c>
      <c r="R225" s="14" t="n">
        <f aca="false">Q225*L225</f>
        <v>0.8075</v>
      </c>
      <c r="S225" s="14" t="n">
        <f aca="false">J225-R225</f>
        <v>0.4925</v>
      </c>
      <c r="T225" s="14" t="n">
        <f aca="false">MIN(122.1,(T224+S225))</f>
        <v>106.6859375</v>
      </c>
      <c r="U225" s="34" t="s">
        <v>33</v>
      </c>
      <c r="V225" s="6" t="n">
        <v>246.4</v>
      </c>
      <c r="X225" s="6" t="n">
        <f aca="false">X224+V225</f>
        <v>78645.9</v>
      </c>
      <c r="Y225" s="6" t="n">
        <f aca="false">Y224+V225</f>
        <v>721.4</v>
      </c>
      <c r="Z225" s="34" t="s">
        <v>34</v>
      </c>
      <c r="AA225" s="6" t="n">
        <v>11.4120963525122</v>
      </c>
      <c r="AB225" s="26" t="s">
        <v>50</v>
      </c>
    </row>
    <row r="226" s="6" customFormat="true" ht="15" hidden="false" customHeight="false" outlineLevel="0" collapsed="false">
      <c r="A226" s="33"/>
      <c r="B226" s="12"/>
      <c r="C226" s="7" t="n">
        <v>41342</v>
      </c>
      <c r="D226" s="6" t="n">
        <v>9.1</v>
      </c>
      <c r="E226" s="6" t="n">
        <v>5</v>
      </c>
      <c r="F226" s="6" t="n">
        <v>15.1</v>
      </c>
      <c r="G226" s="6" t="n">
        <f aca="false">G225+D226</f>
        <v>1154.5</v>
      </c>
      <c r="H226" s="6" t="n">
        <f aca="false">H225+D226</f>
        <v>37.2</v>
      </c>
      <c r="I226" s="6" t="n">
        <f aca="false">MAX(F223:F270)</f>
        <v>24.2</v>
      </c>
      <c r="J226" s="25" t="n">
        <v>1.7</v>
      </c>
      <c r="K226" s="6" t="n">
        <f aca="false">K225+J226</f>
        <v>455.6</v>
      </c>
      <c r="L226" s="6" t="n">
        <v>1.2</v>
      </c>
      <c r="M226" s="6" t="n">
        <f aca="false">M225+L226</f>
        <v>151.6</v>
      </c>
      <c r="N226" s="6" t="n">
        <v>0.5</v>
      </c>
      <c r="O226" s="6" t="n">
        <f aca="false">O225+N226</f>
        <v>107.2</v>
      </c>
      <c r="P226" s="6" t="n">
        <v>179</v>
      </c>
      <c r="Q226" s="6" t="n">
        <f aca="false">1+((P226-175)/48)*(1.15-1)</f>
        <v>1.0125</v>
      </c>
      <c r="R226" s="14" t="n">
        <f aca="false">Q226*L226</f>
        <v>1.215</v>
      </c>
      <c r="S226" s="14" t="n">
        <f aca="false">J226-R226</f>
        <v>0.485</v>
      </c>
      <c r="T226" s="14" t="n">
        <f aca="false">MIN(122.1,(T225+S226))</f>
        <v>107.1709375</v>
      </c>
      <c r="U226" s="6" t="n">
        <v>0</v>
      </c>
      <c r="V226" s="6" t="n">
        <v>850.1</v>
      </c>
      <c r="X226" s="6" t="n">
        <f aca="false">X225+V226</f>
        <v>79496</v>
      </c>
      <c r="Y226" s="6" t="n">
        <f aca="false">Y225+V226</f>
        <v>1571.5</v>
      </c>
      <c r="Z226" s="6" t="n">
        <f aca="false">(Z224/100)/I236</f>
        <v>1.30799449793673</v>
      </c>
      <c r="AA226" s="6" t="n">
        <v>11.4687596574135</v>
      </c>
      <c r="AB226" s="6" t="n">
        <v>4</v>
      </c>
    </row>
    <row r="227" s="6" customFormat="true" ht="15" hidden="false" customHeight="false" outlineLevel="0" collapsed="false">
      <c r="A227" s="33"/>
      <c r="B227" s="12"/>
      <c r="C227" s="7" t="n">
        <v>41343</v>
      </c>
      <c r="D227" s="6" t="n">
        <v>8.4</v>
      </c>
      <c r="E227" s="6" t="n">
        <v>5</v>
      </c>
      <c r="F227" s="6" t="n">
        <v>12.3</v>
      </c>
      <c r="G227" s="6" t="n">
        <f aca="false">G226+D227</f>
        <v>1162.9</v>
      </c>
      <c r="H227" s="6" t="n">
        <f aca="false">H226+D227</f>
        <v>45.6</v>
      </c>
      <c r="I227" s="34" t="s">
        <v>35</v>
      </c>
      <c r="J227" s="25" t="n">
        <v>5.8</v>
      </c>
      <c r="K227" s="6" t="n">
        <f aca="false">K226+J227</f>
        <v>461.4</v>
      </c>
      <c r="L227" s="6" t="n">
        <v>0.7</v>
      </c>
      <c r="M227" s="6" t="n">
        <f aca="false">M226+L227</f>
        <v>152.3</v>
      </c>
      <c r="N227" s="6" t="n">
        <v>5.1</v>
      </c>
      <c r="O227" s="6" t="n">
        <f aca="false">O226+N227</f>
        <v>112.3</v>
      </c>
      <c r="P227" s="6" t="n">
        <v>180</v>
      </c>
      <c r="Q227" s="6" t="n">
        <f aca="false">1+((P227-175)/48)*(1.15-1)</f>
        <v>1.015625</v>
      </c>
      <c r="R227" s="14" t="n">
        <f aca="false">Q227*L227</f>
        <v>0.7109375</v>
      </c>
      <c r="S227" s="14" t="n">
        <f aca="false">J227-R227</f>
        <v>5.0890625</v>
      </c>
      <c r="T227" s="14" t="n">
        <f aca="false">MIN(122.1,(T226+S227))</f>
        <v>112.26</v>
      </c>
      <c r="U227" s="34" t="s">
        <v>36</v>
      </c>
      <c r="V227" s="6" t="n">
        <v>603.4</v>
      </c>
      <c r="X227" s="6" t="n">
        <f aca="false">X226+V227</f>
        <v>80099.4</v>
      </c>
      <c r="Y227" s="6" t="n">
        <f aca="false">Y226+V227</f>
        <v>2174.9</v>
      </c>
      <c r="Z227" s="34" t="s">
        <v>37</v>
      </c>
      <c r="AA227" s="6" t="n">
        <v>11.5254874218939</v>
      </c>
      <c r="AB227" s="26" t="s">
        <v>51</v>
      </c>
    </row>
    <row r="228" s="6" customFormat="true" ht="15" hidden="false" customHeight="false" outlineLevel="0" collapsed="false">
      <c r="A228" s="33"/>
      <c r="B228" s="12"/>
      <c r="C228" s="7" t="n">
        <v>41344</v>
      </c>
      <c r="D228" s="6" t="n">
        <v>9.5</v>
      </c>
      <c r="E228" s="6" t="n">
        <v>7</v>
      </c>
      <c r="F228" s="6" t="n">
        <v>13.2</v>
      </c>
      <c r="G228" s="6" t="n">
        <f aca="false">G227+D228</f>
        <v>1172.4</v>
      </c>
      <c r="H228" s="6" t="n">
        <f aca="false">H227+D228</f>
        <v>55.1</v>
      </c>
      <c r="I228" s="14" t="n">
        <f aca="false">AVERAGE(D223:D270)</f>
        <v>7.55625</v>
      </c>
      <c r="J228" s="25" t="n">
        <v>3.1</v>
      </c>
      <c r="K228" s="6" t="n">
        <f aca="false">K227+J228</f>
        <v>464.5</v>
      </c>
      <c r="L228" s="6" t="n">
        <v>1.5</v>
      </c>
      <c r="M228" s="6" t="n">
        <f aca="false">M227+L228</f>
        <v>153.8</v>
      </c>
      <c r="N228" s="6" t="n">
        <v>1.6</v>
      </c>
      <c r="O228" s="6" t="n">
        <f aca="false">O227+N228</f>
        <v>113.9</v>
      </c>
      <c r="P228" s="6" t="n">
        <v>181</v>
      </c>
      <c r="Q228" s="6" t="n">
        <f aca="false">1+((P228-175)/48)*(1.15-1)</f>
        <v>1.01875</v>
      </c>
      <c r="R228" s="14" t="n">
        <f aca="false">Q228*L228</f>
        <v>1.528125</v>
      </c>
      <c r="S228" s="14" t="n">
        <f aca="false">J228-R228</f>
        <v>1.571875</v>
      </c>
      <c r="T228" s="27" t="n">
        <f aca="false">MIN(122.1,(T227+S228))</f>
        <v>113.831875</v>
      </c>
      <c r="U228" s="6" t="n">
        <v>0</v>
      </c>
      <c r="V228" s="6" t="n">
        <v>882.9</v>
      </c>
      <c r="X228" s="6" t="n">
        <f aca="false">X227+V228</f>
        <v>80982.3</v>
      </c>
      <c r="Y228" s="6" t="n">
        <f aca="false">Y227+V228</f>
        <v>3057.8</v>
      </c>
      <c r="Z228" s="6" t="n">
        <v>22</v>
      </c>
      <c r="AA228" s="6" t="n">
        <v>11.5822722382692</v>
      </c>
      <c r="AB228" s="6" t="n">
        <v>2</v>
      </c>
    </row>
    <row r="229" s="6" customFormat="true" ht="15" hidden="false" customHeight="false" outlineLevel="0" collapsed="false">
      <c r="A229" s="33"/>
      <c r="B229" s="12"/>
      <c r="C229" s="7" t="n">
        <v>41345</v>
      </c>
      <c r="D229" s="6" t="n">
        <v>5.8</v>
      </c>
      <c r="E229" s="6" t="n">
        <v>3.2</v>
      </c>
      <c r="F229" s="6" t="n">
        <v>8.3</v>
      </c>
      <c r="G229" s="6" t="n">
        <f aca="false">G228+D229</f>
        <v>1178.2</v>
      </c>
      <c r="H229" s="6" t="n">
        <f aca="false">H228+D229</f>
        <v>60.9</v>
      </c>
      <c r="I229" s="34" t="s">
        <v>38</v>
      </c>
      <c r="J229" s="25" t="n">
        <v>0.2</v>
      </c>
      <c r="K229" s="6" t="n">
        <f aca="false">K228+J229</f>
        <v>464.7</v>
      </c>
      <c r="L229" s="6" t="n">
        <v>0.8</v>
      </c>
      <c r="M229" s="6" t="n">
        <f aca="false">M228+L229</f>
        <v>154.6</v>
      </c>
      <c r="N229" s="6" t="n">
        <v>-0.6</v>
      </c>
      <c r="O229" s="6" t="n">
        <f aca="false">O228+N229</f>
        <v>113.3</v>
      </c>
      <c r="P229" s="6" t="n">
        <v>182</v>
      </c>
      <c r="Q229" s="6" t="n">
        <f aca="false">1+((P229-175)/48)*(1.15-1)</f>
        <v>1.021875</v>
      </c>
      <c r="R229" s="14" t="n">
        <f aca="false">Q229*L229</f>
        <v>0.8175</v>
      </c>
      <c r="S229" s="14" t="n">
        <f aca="false">J229-R229</f>
        <v>-0.6175</v>
      </c>
      <c r="T229" s="27" t="n">
        <f aca="false">MIN(122.1,(T228+S229))</f>
        <v>113.214375</v>
      </c>
      <c r="U229" s="34" t="s">
        <v>39</v>
      </c>
      <c r="V229" s="6" t="n">
        <v>349.1</v>
      </c>
      <c r="X229" s="6" t="n">
        <f aca="false">X228+V229</f>
        <v>81331.4</v>
      </c>
      <c r="Y229" s="6" t="n">
        <f aca="false">Y228+V229</f>
        <v>3406.9</v>
      </c>
      <c r="AA229" s="6" t="n">
        <v>11.6391069176819</v>
      </c>
      <c r="AB229" s="26" t="s">
        <v>52</v>
      </c>
    </row>
    <row r="230" s="6" customFormat="true" ht="15" hidden="false" customHeight="false" outlineLevel="0" collapsed="false">
      <c r="A230" s="33"/>
      <c r="B230" s="12"/>
      <c r="C230" s="7" t="n">
        <v>41346</v>
      </c>
      <c r="D230" s="6" t="n">
        <v>-0.1</v>
      </c>
      <c r="E230" s="6" t="n">
        <v>-0.1</v>
      </c>
      <c r="F230" s="6" t="n">
        <v>0.7</v>
      </c>
      <c r="G230" s="6" t="n">
        <v>1178.2</v>
      </c>
      <c r="H230" s="6" t="n">
        <v>60.9</v>
      </c>
      <c r="I230" s="6" t="n">
        <v>6</v>
      </c>
      <c r="J230" s="25" t="n">
        <v>0</v>
      </c>
      <c r="K230" s="6" t="n">
        <f aca="false">K229+J230</f>
        <v>464.7</v>
      </c>
      <c r="L230" s="6" t="n">
        <v>0.6</v>
      </c>
      <c r="M230" s="6" t="n">
        <f aca="false">M229+L230</f>
        <v>155.2</v>
      </c>
      <c r="N230" s="6" t="n">
        <v>-0.6</v>
      </c>
      <c r="O230" s="6" t="n">
        <f aca="false">O229+N230</f>
        <v>112.7</v>
      </c>
      <c r="P230" s="6" t="n">
        <v>183</v>
      </c>
      <c r="Q230" s="6" t="n">
        <f aca="false">1+((P230-175)/48)*(1.15-1)</f>
        <v>1.025</v>
      </c>
      <c r="R230" s="14" t="n">
        <f aca="false">Q230*L230</f>
        <v>0.615</v>
      </c>
      <c r="S230" s="14" t="n">
        <f aca="false">J230-R230</f>
        <v>-0.615</v>
      </c>
      <c r="T230" s="27" t="n">
        <f aca="false">MIN(122.1,(T229+S230))</f>
        <v>112.599375</v>
      </c>
      <c r="U230" s="14" t="n">
        <f aca="false">MIN(T223:T270)</f>
        <v>95.5396875</v>
      </c>
      <c r="V230" s="6" t="n">
        <v>563</v>
      </c>
      <c r="X230" s="6" t="n">
        <f aca="false">X229+V230</f>
        <v>81894.4</v>
      </c>
      <c r="Y230" s="6" t="n">
        <f aca="false">Y229+V230</f>
        <v>3969.9</v>
      </c>
      <c r="AA230" s="6" t="n">
        <v>11.6959844723282</v>
      </c>
      <c r="AB230" s="6" t="n">
        <f aca="false">SUM(J232:J241)</f>
        <v>24.8</v>
      </c>
    </row>
    <row r="231" s="30" customFormat="true" ht="15" hidden="false" customHeight="false" outlineLevel="0" collapsed="false">
      <c r="A231" s="33"/>
      <c r="B231" s="28" t="s">
        <v>58</v>
      </c>
      <c r="C231" s="29" t="n">
        <v>41347</v>
      </c>
      <c r="D231" s="30" t="n">
        <v>-0.4</v>
      </c>
      <c r="E231" s="30" t="n">
        <v>-3.9</v>
      </c>
      <c r="F231" s="30" t="n">
        <v>3.3</v>
      </c>
      <c r="G231" s="30" t="n">
        <v>1178.2</v>
      </c>
      <c r="H231" s="30" t="n">
        <v>60.9</v>
      </c>
      <c r="I231" s="35" t="s">
        <v>40</v>
      </c>
      <c r="J231" s="30" t="n">
        <v>0</v>
      </c>
      <c r="K231" s="30" t="n">
        <f aca="false">K230+J231</f>
        <v>464.7</v>
      </c>
      <c r="L231" s="30" t="n">
        <v>0.8</v>
      </c>
      <c r="M231" s="30" t="n">
        <f aca="false">M230+L231</f>
        <v>156</v>
      </c>
      <c r="N231" s="30" t="n">
        <v>-0.8</v>
      </c>
      <c r="O231" s="30" t="n">
        <f aca="false">O230+N231</f>
        <v>111.9</v>
      </c>
      <c r="P231" s="30" t="n">
        <v>184</v>
      </c>
      <c r="Q231" s="30" t="n">
        <f aca="false">1+((P231-175)/48)*(1.15-1)</f>
        <v>1.028125</v>
      </c>
      <c r="R231" s="31" t="n">
        <f aca="false">Q231*L231</f>
        <v>0.8225</v>
      </c>
      <c r="S231" s="31" t="n">
        <f aca="false">J231-R231</f>
        <v>-0.8225</v>
      </c>
      <c r="T231" s="31" t="n">
        <f aca="false">MIN(122.1,(T230+S231))</f>
        <v>111.776875</v>
      </c>
      <c r="U231" s="35" t="s">
        <v>41</v>
      </c>
      <c r="V231" s="30" t="n">
        <v>559</v>
      </c>
      <c r="X231" s="30" t="n">
        <f aca="false">X230+V231</f>
        <v>82453.4</v>
      </c>
      <c r="Y231" s="30" t="n">
        <f aca="false">Y230+V231</f>
        <v>4528.9</v>
      </c>
      <c r="AA231" s="30" t="n">
        <v>11.7528980977609</v>
      </c>
    </row>
    <row r="232" s="6" customFormat="true" ht="15" hidden="false" customHeight="false" outlineLevel="0" collapsed="false">
      <c r="A232" s="33"/>
      <c r="B232" s="12"/>
      <c r="C232" s="7" t="n">
        <v>41348</v>
      </c>
      <c r="D232" s="6" t="n">
        <v>-0.3</v>
      </c>
      <c r="E232" s="6" t="n">
        <v>-4.2</v>
      </c>
      <c r="F232" s="6" t="n">
        <v>5</v>
      </c>
      <c r="G232" s="6" t="n">
        <v>1178.2</v>
      </c>
      <c r="H232" s="6" t="n">
        <v>60.9</v>
      </c>
      <c r="I232" s="6" t="n">
        <v>0</v>
      </c>
      <c r="J232" s="25" t="n">
        <v>0</v>
      </c>
      <c r="K232" s="6" t="n">
        <f aca="false">K231+J232</f>
        <v>464.7</v>
      </c>
      <c r="L232" s="6" t="n">
        <v>1.8</v>
      </c>
      <c r="M232" s="6" t="n">
        <f aca="false">M231+L232</f>
        <v>157.8</v>
      </c>
      <c r="N232" s="6" t="n">
        <v>-1.8</v>
      </c>
      <c r="O232" s="6" t="n">
        <f aca="false">O231+N232</f>
        <v>110.1</v>
      </c>
      <c r="P232" s="6" t="n">
        <v>185</v>
      </c>
      <c r="Q232" s="6" t="n">
        <f aca="false">1+((P232-175)/48)*(1.15-1)</f>
        <v>1.03125</v>
      </c>
      <c r="R232" s="14" t="n">
        <f aca="false">Q232*L232</f>
        <v>1.85625</v>
      </c>
      <c r="S232" s="14" t="n">
        <f aca="false">J232-R232</f>
        <v>-1.85625</v>
      </c>
      <c r="T232" s="27" t="n">
        <f aca="false">MIN(122.1,(T231+S232))</f>
        <v>109.920625</v>
      </c>
      <c r="U232" s="14" t="n">
        <f aca="false">MAX(T223:T270)</f>
        <v>122.1</v>
      </c>
      <c r="V232" s="6" t="n">
        <v>1806.3</v>
      </c>
      <c r="X232" s="6" t="n">
        <f aca="false">X231+V232</f>
        <v>84259.7</v>
      </c>
      <c r="Y232" s="6" t="n">
        <f aca="false">Y231+V232</f>
        <v>6335.2</v>
      </c>
      <c r="AA232" s="6" t="n">
        <v>11.8098411552736</v>
      </c>
    </row>
    <row r="233" s="6" customFormat="true" ht="15" hidden="false" customHeight="false" outlineLevel="0" collapsed="false">
      <c r="A233" s="33"/>
      <c r="B233" s="12"/>
      <c r="C233" s="7" t="n">
        <v>41349</v>
      </c>
      <c r="D233" s="6" t="n">
        <v>3.3</v>
      </c>
      <c r="E233" s="6" t="n">
        <v>-6.3</v>
      </c>
      <c r="F233" s="6" t="n">
        <v>9.6</v>
      </c>
      <c r="G233" s="6" t="n">
        <f aca="false">G232+D233</f>
        <v>1181.5</v>
      </c>
      <c r="H233" s="6" t="n">
        <f aca="false">H232+D233</f>
        <v>64.2</v>
      </c>
      <c r="I233" s="34" t="s">
        <v>42</v>
      </c>
      <c r="J233" s="25" t="n">
        <v>4.6</v>
      </c>
      <c r="K233" s="6" t="n">
        <f aca="false">K232+J233</f>
        <v>469.3</v>
      </c>
      <c r="L233" s="6" t="n">
        <v>1.5</v>
      </c>
      <c r="M233" s="6" t="n">
        <f aca="false">M232+L233</f>
        <v>159.3</v>
      </c>
      <c r="N233" s="6" t="n">
        <v>3.1</v>
      </c>
      <c r="O233" s="6" t="n">
        <f aca="false">O232+N233</f>
        <v>113.2</v>
      </c>
      <c r="P233" s="6" t="n">
        <v>186</v>
      </c>
      <c r="Q233" s="6" t="n">
        <f aca="false">1+((P233-175)/48)*(1.15-1)</f>
        <v>1.034375</v>
      </c>
      <c r="R233" s="14" t="n">
        <f aca="false">Q233*L233</f>
        <v>1.5515625</v>
      </c>
      <c r="S233" s="14" t="n">
        <f aca="false">J233-R233</f>
        <v>3.0484375</v>
      </c>
      <c r="T233" s="27" t="n">
        <f aca="false">MIN(122.1,(T232+S233))</f>
        <v>112.9690625</v>
      </c>
      <c r="U233" s="34" t="s">
        <v>43</v>
      </c>
      <c r="V233" s="6" t="n">
        <v>902.4</v>
      </c>
      <c r="X233" s="6" t="n">
        <f aca="false">X232+V233</f>
        <v>85162.1</v>
      </c>
      <c r="Y233" s="6" t="n">
        <f aca="false">Y232+V233</f>
        <v>7237.6</v>
      </c>
      <c r="AA233" s="6" t="n">
        <v>11.8668071543759</v>
      </c>
    </row>
    <row r="234" s="6" customFormat="true" ht="15" hidden="false" customHeight="false" outlineLevel="0" collapsed="false">
      <c r="A234" s="33"/>
      <c r="B234" s="12"/>
      <c r="C234" s="7" t="n">
        <v>41350</v>
      </c>
      <c r="D234" s="6" t="n">
        <v>6.6</v>
      </c>
      <c r="E234" s="6" t="n">
        <v>5</v>
      </c>
      <c r="F234" s="6" t="n">
        <v>8.6</v>
      </c>
      <c r="G234" s="6" t="n">
        <f aca="false">G233+D234</f>
        <v>1188.1</v>
      </c>
      <c r="H234" s="6" t="n">
        <f aca="false">H233+D234</f>
        <v>70.8</v>
      </c>
      <c r="I234" s="6" t="n">
        <v>22</v>
      </c>
      <c r="J234" s="25" t="n">
        <v>11.1</v>
      </c>
      <c r="K234" s="6" t="n">
        <f aca="false">K233+J234</f>
        <v>480.4</v>
      </c>
      <c r="L234" s="6" t="n">
        <v>1.2</v>
      </c>
      <c r="M234" s="6" t="n">
        <f aca="false">M233+L234</f>
        <v>160.5</v>
      </c>
      <c r="N234" s="6" t="n">
        <v>9.9</v>
      </c>
      <c r="O234" s="6" t="n">
        <v>122.1</v>
      </c>
      <c r="P234" s="6" t="n">
        <v>187</v>
      </c>
      <c r="Q234" s="6" t="n">
        <f aca="false">1+((P234-175)/48)*(1.15-1)</f>
        <v>1.0375</v>
      </c>
      <c r="R234" s="14" t="n">
        <f aca="false">Q234*L234</f>
        <v>1.245</v>
      </c>
      <c r="S234" s="14" t="n">
        <f aca="false">J234-R234</f>
        <v>9.855</v>
      </c>
      <c r="T234" s="27" t="n">
        <f aca="false">MIN(122.1,(T233+S234))</f>
        <v>122.1</v>
      </c>
      <c r="U234" s="15" t="n">
        <f aca="false">AVERAGE(T223:T270)</f>
        <v>110.797076822917</v>
      </c>
      <c r="V234" s="6" t="n">
        <v>390.7</v>
      </c>
      <c r="X234" s="6" t="n">
        <f aca="false">X233+V234</f>
        <v>85552.8</v>
      </c>
      <c r="Y234" s="6" t="n">
        <f aca="false">Y233+V234</f>
        <v>7628.3</v>
      </c>
      <c r="AA234" s="6" t="n">
        <v>11.9237897353595</v>
      </c>
    </row>
    <row r="235" s="6" customFormat="true" ht="15" hidden="false" customHeight="false" outlineLevel="0" collapsed="false">
      <c r="A235" s="33"/>
      <c r="B235" s="12"/>
      <c r="C235" s="7" t="n">
        <v>41351</v>
      </c>
      <c r="D235" s="6" t="n">
        <v>5.6</v>
      </c>
      <c r="E235" s="6" t="n">
        <v>3.4</v>
      </c>
      <c r="F235" s="6" t="n">
        <v>9.4</v>
      </c>
      <c r="G235" s="6" t="n">
        <f aca="false">G234+D235</f>
        <v>1193.7</v>
      </c>
      <c r="H235" s="6" t="n">
        <f aca="false">H234+D235</f>
        <v>76.4</v>
      </c>
      <c r="I235" s="34" t="s">
        <v>44</v>
      </c>
      <c r="J235" s="25" t="n">
        <v>4.6</v>
      </c>
      <c r="K235" s="6" t="n">
        <f aca="false">K234+J235</f>
        <v>485</v>
      </c>
      <c r="L235" s="6" t="n">
        <v>1.4</v>
      </c>
      <c r="M235" s="6" t="n">
        <f aca="false">M234+L235</f>
        <v>161.9</v>
      </c>
      <c r="N235" s="6" t="n">
        <v>3.2</v>
      </c>
      <c r="O235" s="6" t="n">
        <v>122.1</v>
      </c>
      <c r="P235" s="6" t="n">
        <v>188</v>
      </c>
      <c r="Q235" s="6" t="n">
        <f aca="false">1+((P235-175)/48)*(1.15-1)</f>
        <v>1.040625</v>
      </c>
      <c r="R235" s="14" t="n">
        <f aca="false">Q235*L235</f>
        <v>1.456875</v>
      </c>
      <c r="S235" s="14" t="n">
        <f aca="false">J235-R235</f>
        <v>3.143125</v>
      </c>
      <c r="T235" s="27" t="n">
        <f aca="false">MIN(122.1,(T234+S235))</f>
        <v>122.1</v>
      </c>
      <c r="V235" s="6" t="n">
        <v>1022.5</v>
      </c>
      <c r="X235" s="6" t="n">
        <f aca="false">X234+V235</f>
        <v>86575.3</v>
      </c>
      <c r="Y235" s="6" t="n">
        <f aca="false">Y234+V235</f>
        <v>8650.8</v>
      </c>
      <c r="AA235" s="6" t="n">
        <v>11.980782651963</v>
      </c>
    </row>
    <row r="236" s="6" customFormat="true" ht="15" hidden="false" customHeight="false" outlineLevel="0" collapsed="false">
      <c r="A236" s="33"/>
      <c r="B236" s="12"/>
      <c r="C236" s="7" t="n">
        <v>41352</v>
      </c>
      <c r="D236" s="6" t="n">
        <v>6.4</v>
      </c>
      <c r="E236" s="6" t="n">
        <v>3.1</v>
      </c>
      <c r="F236" s="6" t="n">
        <v>10.5</v>
      </c>
      <c r="G236" s="6" t="n">
        <f aca="false">G235+D236</f>
        <v>1200.1</v>
      </c>
      <c r="H236" s="6" t="n">
        <f aca="false">H235+D236</f>
        <v>82.8</v>
      </c>
      <c r="I236" s="6" t="n">
        <v>363.5</v>
      </c>
      <c r="J236" s="25" t="n">
        <v>1.2</v>
      </c>
      <c r="K236" s="6" t="n">
        <f aca="false">K235+J236</f>
        <v>486.2</v>
      </c>
      <c r="L236" s="6" t="n">
        <v>1.9</v>
      </c>
      <c r="M236" s="6" t="n">
        <f aca="false">M235+L236</f>
        <v>163.8</v>
      </c>
      <c r="N236" s="6" t="n">
        <v>-0.7</v>
      </c>
      <c r="O236" s="6" t="n">
        <f aca="false">O235+N236</f>
        <v>121.4</v>
      </c>
      <c r="P236" s="6" t="n">
        <v>189</v>
      </c>
      <c r="Q236" s="6" t="n">
        <f aca="false">1+((P236-175)/48)*(1.15-1)</f>
        <v>1.04375</v>
      </c>
      <c r="R236" s="14" t="n">
        <f aca="false">Q236*L236</f>
        <v>1.983125</v>
      </c>
      <c r="S236" s="14" t="n">
        <f aca="false">J236-R236</f>
        <v>-0.783125</v>
      </c>
      <c r="T236" s="27" t="n">
        <f aca="false">MIN(122.1,(T235+S236))</f>
        <v>121.316875</v>
      </c>
      <c r="U236" s="14" t="n">
        <f aca="false">(U234*100)/122.1</f>
        <v>90.7428966608654</v>
      </c>
      <c r="V236" s="6" t="n">
        <v>1004.4</v>
      </c>
      <c r="X236" s="6" t="n">
        <f aca="false">X235+V236</f>
        <v>87579.7</v>
      </c>
      <c r="Y236" s="6" t="n">
        <f aca="false">Y235+V236</f>
        <v>9655.2</v>
      </c>
      <c r="AA236" s="6" t="n">
        <v>12.037779754133</v>
      </c>
    </row>
    <row r="237" s="6" customFormat="true" ht="15" hidden="false" customHeight="false" outlineLevel="0" collapsed="false">
      <c r="A237" s="33"/>
      <c r="B237" s="12"/>
      <c r="C237" s="7" t="n">
        <v>41353</v>
      </c>
      <c r="D237" s="6" t="n">
        <v>6.4</v>
      </c>
      <c r="E237" s="6" t="n">
        <v>5.1</v>
      </c>
      <c r="F237" s="6" t="n">
        <v>9.6</v>
      </c>
      <c r="G237" s="6" t="n">
        <f aca="false">G236+D237</f>
        <v>1206.5</v>
      </c>
      <c r="H237" s="6" t="n">
        <f aca="false">H236+D237</f>
        <v>89.2</v>
      </c>
      <c r="J237" s="25" t="n">
        <v>1.9</v>
      </c>
      <c r="K237" s="6" t="n">
        <f aca="false">K236+J237</f>
        <v>488.1</v>
      </c>
      <c r="L237" s="6" t="n">
        <v>1.2</v>
      </c>
      <c r="M237" s="6" t="n">
        <f aca="false">M236+L237</f>
        <v>165</v>
      </c>
      <c r="N237" s="6" t="n">
        <v>0.7</v>
      </c>
      <c r="O237" s="6" t="n">
        <f aca="false">O236+N237</f>
        <v>122.1</v>
      </c>
      <c r="P237" s="6" t="n">
        <v>190</v>
      </c>
      <c r="Q237" s="6" t="n">
        <f aca="false">1+((P237-175)/48)*(1.15-1)</f>
        <v>1.046875</v>
      </c>
      <c r="R237" s="14" t="n">
        <f aca="false">Q237*L237</f>
        <v>1.25625</v>
      </c>
      <c r="S237" s="14" t="n">
        <f aca="false">J237-R237</f>
        <v>0.64375</v>
      </c>
      <c r="T237" s="27" t="n">
        <f aca="false">MIN(122.1,(T236+S237))</f>
        <v>121.960625</v>
      </c>
      <c r="V237" s="6" t="n">
        <v>643.8</v>
      </c>
      <c r="X237" s="6" t="n">
        <f aca="false">X236+V237</f>
        <v>88223.5</v>
      </c>
      <c r="Y237" s="6" t="n">
        <f aca="false">Y236+V237</f>
        <v>10299</v>
      </c>
      <c r="AA237" s="6" t="n">
        <v>12.0947749708855</v>
      </c>
    </row>
    <row r="238" s="6" customFormat="true" ht="15" hidden="false" customHeight="false" outlineLevel="0" collapsed="false">
      <c r="A238" s="33"/>
      <c r="B238" s="12" t="s">
        <v>59</v>
      </c>
      <c r="C238" s="7" t="n">
        <v>41354</v>
      </c>
      <c r="D238" s="6" t="n">
        <v>6.6</v>
      </c>
      <c r="E238" s="6" t="n">
        <v>0.6</v>
      </c>
      <c r="F238" s="6" t="n">
        <v>12.2</v>
      </c>
      <c r="G238" s="6" t="n">
        <f aca="false">G237+D238</f>
        <v>1213.1</v>
      </c>
      <c r="H238" s="6" t="n">
        <f aca="false">H237+D238</f>
        <v>95.8</v>
      </c>
      <c r="J238" s="25" t="n">
        <v>0</v>
      </c>
      <c r="K238" s="6" t="n">
        <f aca="false">K237+J238</f>
        <v>488.1</v>
      </c>
      <c r="L238" s="6" t="n">
        <v>1.6</v>
      </c>
      <c r="M238" s="6" t="n">
        <f aca="false">M237+L238</f>
        <v>166.6</v>
      </c>
      <c r="N238" s="6" t="n">
        <v>-1.6</v>
      </c>
      <c r="O238" s="6" t="n">
        <f aca="false">O237+N238</f>
        <v>120.5</v>
      </c>
      <c r="P238" s="6" t="n">
        <v>191</v>
      </c>
      <c r="Q238" s="6" t="n">
        <f aca="false">1+((P238-175)/48)*(1.15-1)</f>
        <v>1.05</v>
      </c>
      <c r="R238" s="14" t="n">
        <f aca="false">Q238*L238</f>
        <v>1.68</v>
      </c>
      <c r="S238" s="14" t="n">
        <f aca="false">J238-R238</f>
        <v>-1.68</v>
      </c>
      <c r="T238" s="27" t="n">
        <f aca="false">MIN(122.1,(T237+S238))</f>
        <v>120.280625</v>
      </c>
      <c r="V238" s="6" t="n">
        <v>1300.2</v>
      </c>
      <c r="X238" s="6" t="n">
        <f aca="false">X237+V238</f>
        <v>89523.7</v>
      </c>
      <c r="Y238" s="6" t="n">
        <f aca="false">Y237+V238</f>
        <v>11599.2</v>
      </c>
      <c r="AA238" s="6" t="n">
        <v>12.1517622932651</v>
      </c>
    </row>
    <row r="239" s="6" customFormat="true" ht="15" hidden="false" customHeight="false" outlineLevel="0" collapsed="false">
      <c r="A239" s="33"/>
      <c r="B239" s="12"/>
      <c r="C239" s="7" t="n">
        <v>41355</v>
      </c>
      <c r="D239" s="6" t="n">
        <v>8.7</v>
      </c>
      <c r="E239" s="6" t="n">
        <v>3</v>
      </c>
      <c r="F239" s="6" t="n">
        <v>13.2</v>
      </c>
      <c r="G239" s="6" t="n">
        <f aca="false">G238+D239</f>
        <v>1221.8</v>
      </c>
      <c r="H239" s="6" t="n">
        <f aca="false">H238+D239</f>
        <v>104.5</v>
      </c>
      <c r="J239" s="25" t="n">
        <v>0</v>
      </c>
      <c r="K239" s="6" t="n">
        <f aca="false">K238+J239</f>
        <v>488.1</v>
      </c>
      <c r="L239" s="6" t="n">
        <v>1.8</v>
      </c>
      <c r="M239" s="6" t="n">
        <f aca="false">M238+L239</f>
        <v>168.4</v>
      </c>
      <c r="N239" s="6" t="n">
        <v>-1.8</v>
      </c>
      <c r="O239" s="6" t="n">
        <f aca="false">O238+N239</f>
        <v>118.7</v>
      </c>
      <c r="P239" s="6" t="n">
        <v>192</v>
      </c>
      <c r="Q239" s="6" t="n">
        <f aca="false">1+((P239-175)/48)*(1.15-1)</f>
        <v>1.053125</v>
      </c>
      <c r="R239" s="14" t="n">
        <f aca="false">Q239*L239</f>
        <v>1.895625</v>
      </c>
      <c r="S239" s="14" t="n">
        <f aca="false">J239-R239</f>
        <v>-1.895625</v>
      </c>
      <c r="T239" s="27" t="n">
        <f aca="false">MIN(122.1,(T238+S239))</f>
        <v>118.385</v>
      </c>
      <c r="V239" s="6" t="n">
        <v>1280.9</v>
      </c>
      <c r="X239" s="6" t="n">
        <f aca="false">X238+V239</f>
        <v>90804.6</v>
      </c>
      <c r="Y239" s="6" t="n">
        <f aca="false">Y238+V239</f>
        <v>12880.1</v>
      </c>
      <c r="AA239" s="6" t="n">
        <v>12.2087357574025</v>
      </c>
    </row>
    <row r="240" s="6" customFormat="true" ht="15" hidden="false" customHeight="false" outlineLevel="0" collapsed="false">
      <c r="A240" s="33"/>
      <c r="B240" s="12"/>
      <c r="C240" s="7" t="n">
        <v>41356</v>
      </c>
      <c r="D240" s="6" t="n">
        <v>8.6</v>
      </c>
      <c r="E240" s="6" t="n">
        <v>7.8</v>
      </c>
      <c r="F240" s="6" t="n">
        <v>9.9</v>
      </c>
      <c r="G240" s="6" t="n">
        <f aca="false">G239+D240</f>
        <v>1230.4</v>
      </c>
      <c r="H240" s="6" t="n">
        <f aca="false">H239+D240</f>
        <v>113.1</v>
      </c>
      <c r="J240" s="25" t="n">
        <v>1.4</v>
      </c>
      <c r="K240" s="6" t="n">
        <f aca="false">K239+J240</f>
        <v>489.5</v>
      </c>
      <c r="L240" s="6" t="n">
        <v>0.8</v>
      </c>
      <c r="M240" s="6" t="n">
        <f aca="false">M239+L240</f>
        <v>169.2</v>
      </c>
      <c r="N240" s="6" t="n">
        <v>0.6</v>
      </c>
      <c r="O240" s="6" t="n">
        <f aca="false">O239+N240</f>
        <v>119.3</v>
      </c>
      <c r="P240" s="6" t="n">
        <v>193</v>
      </c>
      <c r="Q240" s="6" t="n">
        <f aca="false">1+((P240-175)/48)*(1.15-1)</f>
        <v>1.05625</v>
      </c>
      <c r="R240" s="14" t="n">
        <f aca="false">Q240*L240</f>
        <v>0.845</v>
      </c>
      <c r="S240" s="14" t="n">
        <f aca="false">J240-R240</f>
        <v>0.555</v>
      </c>
      <c r="T240" s="27" t="n">
        <f aca="false">MIN(122.1,(T239+S240))</f>
        <v>118.94</v>
      </c>
      <c r="V240" s="6" t="n">
        <v>429.8</v>
      </c>
      <c r="X240" s="6" t="n">
        <f aca="false">X239+V240</f>
        <v>91234.4</v>
      </c>
      <c r="Y240" s="6" t="n">
        <f aca="false">Y239+V240</f>
        <v>13309.9</v>
      </c>
      <c r="AA240" s="6" t="n">
        <v>12.2656894276683</v>
      </c>
    </row>
    <row r="241" s="6" customFormat="true" ht="15" hidden="false" customHeight="false" outlineLevel="0" collapsed="false">
      <c r="A241" s="33"/>
      <c r="B241" s="12"/>
      <c r="C241" s="7" t="n">
        <v>41357</v>
      </c>
      <c r="D241" s="6" t="n">
        <v>5.3</v>
      </c>
      <c r="E241" s="6" t="n">
        <v>4.6</v>
      </c>
      <c r="F241" s="6" t="n">
        <v>6.9</v>
      </c>
      <c r="G241" s="6" t="n">
        <f aca="false">G240+D241</f>
        <v>1235.7</v>
      </c>
      <c r="H241" s="6" t="n">
        <f aca="false">H240+D241</f>
        <v>118.4</v>
      </c>
      <c r="J241" s="25" t="n">
        <v>0</v>
      </c>
      <c r="K241" s="6" t="n">
        <f aca="false">K240+J241</f>
        <v>489.5</v>
      </c>
      <c r="L241" s="6" t="n">
        <v>1.5</v>
      </c>
      <c r="M241" s="6" t="n">
        <f aca="false">M240+L241</f>
        <v>170.7</v>
      </c>
      <c r="N241" s="6" t="n">
        <v>-1.5</v>
      </c>
      <c r="O241" s="6" t="n">
        <f aca="false">O240+N241</f>
        <v>117.8</v>
      </c>
      <c r="P241" s="6" t="n">
        <v>194</v>
      </c>
      <c r="Q241" s="6" t="n">
        <f aca="false">1+((P241-175)/48)*(1.15-1)</f>
        <v>1.059375</v>
      </c>
      <c r="R241" s="14" t="n">
        <f aca="false">Q241*L241</f>
        <v>1.5890625</v>
      </c>
      <c r="S241" s="14" t="n">
        <f aca="false">J241-R241</f>
        <v>-1.5890625</v>
      </c>
      <c r="T241" s="27" t="n">
        <f aca="false">MIN(122.1,(T240+S241))</f>
        <v>117.3509375</v>
      </c>
      <c r="V241" s="6" t="n">
        <v>927.8</v>
      </c>
      <c r="X241" s="6" t="n">
        <f aca="false">X240+V241</f>
        <v>92162.2</v>
      </c>
      <c r="Y241" s="6" t="n">
        <f aca="false">Y240+V241</f>
        <v>14237.7</v>
      </c>
      <c r="AA241" s="6" t="n">
        <v>12.3226173799212</v>
      </c>
    </row>
    <row r="242" s="6" customFormat="true" ht="15" hidden="false" customHeight="false" outlineLevel="0" collapsed="false">
      <c r="A242" s="33"/>
      <c r="B242" s="12"/>
      <c r="C242" s="7" t="n">
        <v>41358</v>
      </c>
      <c r="D242" s="6" t="n">
        <v>3.9</v>
      </c>
      <c r="E242" s="6" t="n">
        <v>1.1</v>
      </c>
      <c r="F242" s="6" t="n">
        <v>8</v>
      </c>
      <c r="G242" s="6" t="n">
        <f aca="false">G241+D242</f>
        <v>1239.6</v>
      </c>
      <c r="H242" s="6" t="n">
        <f aca="false">H241+D242</f>
        <v>122.3</v>
      </c>
      <c r="J242" s="6" t="n">
        <v>0</v>
      </c>
      <c r="K242" s="6" t="n">
        <f aca="false">K241+J242</f>
        <v>489.5</v>
      </c>
      <c r="L242" s="6" t="n">
        <v>1.9</v>
      </c>
      <c r="M242" s="6" t="n">
        <f aca="false">M241+L242</f>
        <v>172.6</v>
      </c>
      <c r="N242" s="6" t="n">
        <v>-1.9</v>
      </c>
      <c r="O242" s="6" t="n">
        <f aca="false">O241+N242</f>
        <v>115.9</v>
      </c>
      <c r="P242" s="6" t="n">
        <v>195</v>
      </c>
      <c r="Q242" s="6" t="n">
        <f aca="false">1+((P242-175)/48)*(1.15-1)</f>
        <v>1.0625</v>
      </c>
      <c r="R242" s="14" t="n">
        <f aca="false">Q242*L242</f>
        <v>2.01875</v>
      </c>
      <c r="S242" s="14" t="n">
        <f aca="false">J242-R242</f>
        <v>-2.01875</v>
      </c>
      <c r="T242" s="14" t="n">
        <f aca="false">MIN(122.1,(T241+S242))</f>
        <v>115.3321875</v>
      </c>
      <c r="V242" s="6" t="n">
        <v>1065.7</v>
      </c>
      <c r="X242" s="6" t="n">
        <f aca="false">X241+V242</f>
        <v>93227.9</v>
      </c>
      <c r="Y242" s="6" t="n">
        <f aca="false">Y241+V242</f>
        <v>15303.4</v>
      </c>
      <c r="AA242" s="6" t="n">
        <v>12.3795136848488</v>
      </c>
    </row>
    <row r="243" s="6" customFormat="true" ht="15" hidden="false" customHeight="false" outlineLevel="0" collapsed="false">
      <c r="A243" s="33"/>
      <c r="B243" s="12"/>
      <c r="C243" s="7" t="n">
        <v>41359</v>
      </c>
      <c r="D243" s="6" t="n">
        <v>2.5</v>
      </c>
      <c r="E243" s="6" t="n">
        <v>0.4</v>
      </c>
      <c r="F243" s="6" t="n">
        <v>4.1</v>
      </c>
      <c r="G243" s="6" t="n">
        <f aca="false">G242+D243</f>
        <v>1242.1</v>
      </c>
      <c r="H243" s="6" t="n">
        <f aca="false">H242+D243</f>
        <v>124.8</v>
      </c>
      <c r="J243" s="6" t="n">
        <v>0</v>
      </c>
      <c r="K243" s="6" t="n">
        <f aca="false">K242+J243</f>
        <v>489.5</v>
      </c>
      <c r="L243" s="6" t="n">
        <v>0.9</v>
      </c>
      <c r="M243" s="6" t="n">
        <f aca="false">M242+L243</f>
        <v>173.5</v>
      </c>
      <c r="N243" s="6" t="n">
        <v>-0.9</v>
      </c>
      <c r="O243" s="6" t="n">
        <f aca="false">O242+N243</f>
        <v>115</v>
      </c>
      <c r="P243" s="6" t="n">
        <v>196</v>
      </c>
      <c r="Q243" s="6" t="n">
        <f aca="false">1+((P243-175)/48)*(1.15-1)</f>
        <v>1.065625</v>
      </c>
      <c r="R243" s="14" t="n">
        <f aca="false">Q243*L243</f>
        <v>0.9590625</v>
      </c>
      <c r="S243" s="14" t="n">
        <f aca="false">J243-R243</f>
        <v>-0.9590625</v>
      </c>
      <c r="T243" s="14" t="n">
        <f aca="false">MIN(122.1,(T242+S243))</f>
        <v>114.373125</v>
      </c>
      <c r="V243" s="6" t="n">
        <v>479.4</v>
      </c>
      <c r="X243" s="6" t="n">
        <f aca="false">X242+V243</f>
        <v>93707.3</v>
      </c>
      <c r="Y243" s="6" t="n">
        <f aca="false">Y242+V243</f>
        <v>15782.8</v>
      </c>
      <c r="AA243" s="6" t="n">
        <v>12.4363723913994</v>
      </c>
    </row>
    <row r="244" s="6" customFormat="true" ht="15" hidden="false" customHeight="false" outlineLevel="0" collapsed="false">
      <c r="A244" s="33"/>
      <c r="B244" s="12"/>
      <c r="C244" s="7" t="n">
        <v>41360</v>
      </c>
      <c r="D244" s="6" t="n">
        <v>2.8</v>
      </c>
      <c r="E244" s="6" t="n">
        <v>1.2</v>
      </c>
      <c r="F244" s="6" t="n">
        <v>4.5</v>
      </c>
      <c r="G244" s="6" t="n">
        <f aca="false">G243+D244</f>
        <v>1244.9</v>
      </c>
      <c r="H244" s="6" t="n">
        <f aca="false">H243+D244</f>
        <v>127.6</v>
      </c>
      <c r="J244" s="6" t="n">
        <v>0</v>
      </c>
      <c r="K244" s="6" t="n">
        <f aca="false">K243+J244</f>
        <v>489.5</v>
      </c>
      <c r="L244" s="6" t="n">
        <v>1.1</v>
      </c>
      <c r="M244" s="6" t="n">
        <f aca="false">M243+L244</f>
        <v>174.6</v>
      </c>
      <c r="N244" s="6" t="n">
        <v>-1.1</v>
      </c>
      <c r="O244" s="6" t="n">
        <f aca="false">O243+N244</f>
        <v>113.9</v>
      </c>
      <c r="P244" s="6" t="n">
        <v>197</v>
      </c>
      <c r="Q244" s="6" t="n">
        <f aca="false">1+((P244-175)/48)*(1.15-1)</f>
        <v>1.06875</v>
      </c>
      <c r="R244" s="14" t="n">
        <f aca="false">Q244*L244</f>
        <v>1.175625</v>
      </c>
      <c r="S244" s="14" t="n">
        <f aca="false">J244-R244</f>
        <v>-1.175625</v>
      </c>
      <c r="T244" s="14" t="n">
        <f aca="false">MIN(122.1,(T243+S244))</f>
        <v>113.1975</v>
      </c>
      <c r="V244" s="6" t="n">
        <v>785.5</v>
      </c>
      <c r="X244" s="6" t="n">
        <f aca="false">X243+V244</f>
        <v>94492.8</v>
      </c>
      <c r="Y244" s="6" t="n">
        <f aca="false">Y243+V244</f>
        <v>16568.3</v>
      </c>
      <c r="AA244" s="6" t="n">
        <v>12.4931875103012</v>
      </c>
    </row>
    <row r="245" s="6" customFormat="true" ht="15" hidden="false" customHeight="false" outlineLevel="0" collapsed="false">
      <c r="A245" s="33"/>
      <c r="B245" s="12" t="s">
        <v>60</v>
      </c>
      <c r="C245" s="7" t="n">
        <v>41361</v>
      </c>
      <c r="D245" s="6" t="n">
        <v>2.5</v>
      </c>
      <c r="E245" s="6" t="n">
        <v>0</v>
      </c>
      <c r="F245" s="6" t="n">
        <v>4.6</v>
      </c>
      <c r="G245" s="6" t="n">
        <f aca="false">G244+D245</f>
        <v>1247.4</v>
      </c>
      <c r="H245" s="6" t="n">
        <f aca="false">H244+D245</f>
        <v>130.1</v>
      </c>
      <c r="J245" s="6" t="n">
        <v>0.6</v>
      </c>
      <c r="K245" s="6" t="n">
        <f aca="false">K244+J245</f>
        <v>490.1</v>
      </c>
      <c r="L245" s="6" t="n">
        <v>0.6</v>
      </c>
      <c r="M245" s="6" t="n">
        <f aca="false">M244+L245</f>
        <v>175.2</v>
      </c>
      <c r="N245" s="6" t="n">
        <v>0</v>
      </c>
      <c r="O245" s="6" t="n">
        <f aca="false">O244+N245</f>
        <v>113.9</v>
      </c>
      <c r="P245" s="6" t="n">
        <v>198</v>
      </c>
      <c r="Q245" s="6" t="n">
        <f aca="false">1+((P245-175)/48)*(1.15-1)</f>
        <v>1.071875</v>
      </c>
      <c r="R245" s="14" t="n">
        <f aca="false">Q245*L245</f>
        <v>0.643125</v>
      </c>
      <c r="S245" s="14" t="n">
        <f aca="false">J245-R245</f>
        <v>-0.043125</v>
      </c>
      <c r="T245" s="14" t="n">
        <f aca="false">MIN(122.1,(T244+S245))</f>
        <v>113.154375</v>
      </c>
      <c r="V245" s="6" t="n">
        <v>571</v>
      </c>
      <c r="X245" s="6" t="n">
        <f aca="false">X244+V245</f>
        <v>95063.8</v>
      </c>
      <c r="Y245" s="6" t="n">
        <f aca="false">Y244+V245</f>
        <v>17139.3</v>
      </c>
      <c r="AA245" s="6" t="n">
        <v>12.5499529976693</v>
      </c>
    </row>
    <row r="246" s="6" customFormat="true" ht="15" hidden="false" customHeight="false" outlineLevel="0" collapsed="false">
      <c r="A246" s="33"/>
      <c r="B246" s="12"/>
      <c r="C246" s="7" t="n">
        <v>41362</v>
      </c>
      <c r="D246" s="6" t="n">
        <v>1.9</v>
      </c>
      <c r="E246" s="6" t="n">
        <v>-2</v>
      </c>
      <c r="F246" s="6" t="n">
        <v>4.8</v>
      </c>
      <c r="G246" s="6" t="n">
        <f aca="false">G245+D246</f>
        <v>1249.3</v>
      </c>
      <c r="H246" s="6" t="n">
        <f aca="false">H245+D246</f>
        <v>132</v>
      </c>
      <c r="J246" s="6" t="n">
        <v>1.5</v>
      </c>
      <c r="K246" s="6" t="n">
        <f aca="false">K245+J246</f>
        <v>491.6</v>
      </c>
      <c r="L246" s="6" t="n">
        <v>0.7</v>
      </c>
      <c r="M246" s="6" t="n">
        <f aca="false">M245+L246</f>
        <v>175.9</v>
      </c>
      <c r="N246" s="6" t="n">
        <v>0.8</v>
      </c>
      <c r="O246" s="6" t="n">
        <f aca="false">O245+N246</f>
        <v>114.7</v>
      </c>
      <c r="P246" s="6" t="n">
        <v>199</v>
      </c>
      <c r="Q246" s="6" t="n">
        <f aca="false">1+((P246-175)/48)*(1.15-1)</f>
        <v>1.075</v>
      </c>
      <c r="R246" s="14" t="n">
        <f aca="false">Q246*L246</f>
        <v>0.7525</v>
      </c>
      <c r="S246" s="14" t="n">
        <f aca="false">J246-R246</f>
        <v>0.7475</v>
      </c>
      <c r="T246" s="14" t="n">
        <f aca="false">MIN(122.1,(T245+S246))</f>
        <v>113.901875</v>
      </c>
      <c r="V246" s="6" t="n">
        <v>707.7</v>
      </c>
      <c r="X246" s="6" t="n">
        <f aca="false">X245+V246</f>
        <v>95771.5</v>
      </c>
      <c r="Y246" s="6" t="n">
        <f aca="false">Y245+V246</f>
        <v>17847</v>
      </c>
      <c r="AA246" s="6" t="n">
        <v>12.6066627386971</v>
      </c>
    </row>
    <row r="247" s="6" customFormat="true" ht="15" hidden="false" customHeight="false" outlineLevel="0" collapsed="false">
      <c r="A247" s="33"/>
      <c r="B247" s="12"/>
      <c r="C247" s="7" t="n">
        <v>41363</v>
      </c>
      <c r="D247" s="6" t="n">
        <v>5.2</v>
      </c>
      <c r="E247" s="6" t="n">
        <v>2.9</v>
      </c>
      <c r="F247" s="6" t="n">
        <v>7.7</v>
      </c>
      <c r="G247" s="6" t="n">
        <f aca="false">G246+D247</f>
        <v>1254.5</v>
      </c>
      <c r="H247" s="6" t="n">
        <f aca="false">H246+D247</f>
        <v>137.2</v>
      </c>
      <c r="J247" s="6" t="n">
        <v>2.6</v>
      </c>
      <c r="K247" s="6" t="n">
        <f aca="false">K246+J247</f>
        <v>494.2</v>
      </c>
      <c r="L247" s="6" t="n">
        <v>0.9</v>
      </c>
      <c r="M247" s="6" t="n">
        <f aca="false">M246+L247</f>
        <v>176.8</v>
      </c>
      <c r="N247" s="6" t="n">
        <v>1.7</v>
      </c>
      <c r="O247" s="6" t="n">
        <f aca="false">O246+N247</f>
        <v>116.4</v>
      </c>
      <c r="P247" s="6" t="n">
        <v>200</v>
      </c>
      <c r="Q247" s="6" t="n">
        <f aca="false">1+((P247-175)/48)*(1.15-1)</f>
        <v>1.078125</v>
      </c>
      <c r="R247" s="14" t="n">
        <f aca="false">Q247*L247</f>
        <v>0.9703125</v>
      </c>
      <c r="S247" s="14" t="n">
        <f aca="false">J247-R247</f>
        <v>1.6296875</v>
      </c>
      <c r="T247" s="14" t="n">
        <f aca="false">MIN(122.1,(T246+S247))</f>
        <v>115.5315625</v>
      </c>
      <c r="V247" s="6" t="n">
        <v>644.5</v>
      </c>
      <c r="X247" s="6" t="n">
        <f aca="false">X246+V247</f>
        <v>96416</v>
      </c>
      <c r="Y247" s="6" t="n">
        <f aca="false">Y246+V247</f>
        <v>18491.5</v>
      </c>
      <c r="AA247" s="6" t="n">
        <v>12.6633105314329</v>
      </c>
    </row>
    <row r="248" s="6" customFormat="true" ht="15" hidden="false" customHeight="false" outlineLevel="0" collapsed="false">
      <c r="A248" s="33"/>
      <c r="B248" s="12"/>
      <c r="C248" s="7" t="n">
        <v>41364</v>
      </c>
      <c r="D248" s="6" t="n">
        <v>3.2</v>
      </c>
      <c r="E248" s="6" t="n">
        <v>0</v>
      </c>
      <c r="F248" s="6" t="n">
        <v>6.9</v>
      </c>
      <c r="G248" s="6" t="n">
        <f aca="false">G247+D248</f>
        <v>1257.7</v>
      </c>
      <c r="H248" s="6" t="n">
        <f aca="false">H247+D248</f>
        <v>140.4</v>
      </c>
      <c r="J248" s="6" t="n">
        <v>0</v>
      </c>
      <c r="K248" s="6" t="n">
        <f aca="false">K247+J248</f>
        <v>494.2</v>
      </c>
      <c r="L248" s="6" t="n">
        <v>1.8</v>
      </c>
      <c r="M248" s="6" t="n">
        <f aca="false">M247+L248</f>
        <v>178.6</v>
      </c>
      <c r="N248" s="6" t="n">
        <v>-1.8</v>
      </c>
      <c r="O248" s="6" t="n">
        <f aca="false">O247+N248</f>
        <v>114.6</v>
      </c>
      <c r="P248" s="6" t="n">
        <v>201</v>
      </c>
      <c r="Q248" s="6" t="n">
        <f aca="false">1+((P248-175)/48)*(1.15-1)</f>
        <v>1.08125</v>
      </c>
      <c r="R248" s="14" t="n">
        <f aca="false">Q248*L248</f>
        <v>1.94625</v>
      </c>
      <c r="S248" s="14" t="n">
        <f aca="false">J248-R248</f>
        <v>-1.94625</v>
      </c>
      <c r="T248" s="14" t="n">
        <f aca="false">MIN(122.1,(T247+S248))</f>
        <v>113.5853125</v>
      </c>
      <c r="V248" s="6" t="n">
        <v>1385.3</v>
      </c>
      <c r="X248" s="6" t="n">
        <f aca="false">X247+V248</f>
        <v>97801.3</v>
      </c>
      <c r="Y248" s="6" t="n">
        <f aca="false">Y247+V248</f>
        <v>19876.8</v>
      </c>
      <c r="AA248" s="6" t="n">
        <v>12.719890070641</v>
      </c>
    </row>
    <row r="249" s="6" customFormat="true" ht="15" hidden="false" customHeight="false" outlineLevel="0" collapsed="false">
      <c r="A249" s="33"/>
      <c r="B249" s="12"/>
      <c r="C249" s="7" t="n">
        <v>41365</v>
      </c>
      <c r="D249" s="6" t="n">
        <v>4.9</v>
      </c>
      <c r="E249" s="6" t="n">
        <v>-1.6</v>
      </c>
      <c r="F249" s="6" t="n">
        <v>11.2</v>
      </c>
      <c r="G249" s="6" t="n">
        <f aca="false">G248+D249</f>
        <v>1262.6</v>
      </c>
      <c r="H249" s="6" t="n">
        <f aca="false">H248+D249</f>
        <v>145.3</v>
      </c>
      <c r="J249" s="6" t="n">
        <v>0</v>
      </c>
      <c r="K249" s="6" t="n">
        <f aca="false">K248+J249</f>
        <v>494.2</v>
      </c>
      <c r="L249" s="6" t="n">
        <v>2.6</v>
      </c>
      <c r="M249" s="6" t="n">
        <f aca="false">M248+L249</f>
        <v>181.2</v>
      </c>
      <c r="N249" s="6" t="n">
        <v>-2.6</v>
      </c>
      <c r="O249" s="6" t="n">
        <f aca="false">O248+N249</f>
        <v>112</v>
      </c>
      <c r="P249" s="6" t="n">
        <v>202</v>
      </c>
      <c r="Q249" s="6" t="n">
        <f aca="false">1+((P249-175)/48)*(1.15-1)</f>
        <v>1.084375</v>
      </c>
      <c r="R249" s="14" t="n">
        <f aca="false">Q249*L249</f>
        <v>2.819375</v>
      </c>
      <c r="S249" s="14" t="n">
        <f aca="false">J249-R249</f>
        <v>-2.819375</v>
      </c>
      <c r="T249" s="14" t="n">
        <f aca="false">MIN(122.1,(T248+S249))</f>
        <v>110.7659375</v>
      </c>
      <c r="V249" s="6" t="n">
        <v>2095.4</v>
      </c>
      <c r="X249" s="6" t="n">
        <f aca="false">X248+V249</f>
        <v>99896.7</v>
      </c>
      <c r="Y249" s="6" t="n">
        <f aca="false">Y248+V249</f>
        <v>21972.2</v>
      </c>
      <c r="AA249" s="6" t="n">
        <v>12.7763949317472</v>
      </c>
    </row>
    <row r="250" s="6" customFormat="true" ht="15" hidden="false" customHeight="false" outlineLevel="0" collapsed="false">
      <c r="A250" s="33"/>
      <c r="B250" s="12"/>
      <c r="C250" s="7" t="n">
        <v>41366</v>
      </c>
      <c r="D250" s="6" t="n">
        <v>6</v>
      </c>
      <c r="E250" s="6" t="n">
        <v>0.2</v>
      </c>
      <c r="F250" s="6" t="n">
        <v>12</v>
      </c>
      <c r="G250" s="6" t="n">
        <f aca="false">G249+D250</f>
        <v>1268.6</v>
      </c>
      <c r="H250" s="6" t="n">
        <f aca="false">H249+D250</f>
        <v>151.3</v>
      </c>
      <c r="J250" s="6" t="n">
        <v>0</v>
      </c>
      <c r="K250" s="6" t="n">
        <f aca="false">K249+J250</f>
        <v>494.2</v>
      </c>
      <c r="L250" s="6" t="n">
        <v>2.3</v>
      </c>
      <c r="M250" s="6" t="n">
        <f aca="false">M249+L250</f>
        <v>183.5</v>
      </c>
      <c r="N250" s="6" t="n">
        <v>-2.3</v>
      </c>
      <c r="O250" s="6" t="n">
        <f aca="false">O249+N250</f>
        <v>109.7</v>
      </c>
      <c r="P250" s="6" t="n">
        <v>203</v>
      </c>
      <c r="Q250" s="6" t="n">
        <f aca="false">1+((P250-175)/48)*(1.15-1)</f>
        <v>1.0875</v>
      </c>
      <c r="R250" s="14" t="n">
        <f aca="false">Q250*L250</f>
        <v>2.50125</v>
      </c>
      <c r="S250" s="14" t="n">
        <f aca="false">J250-R250</f>
        <v>-2.50125</v>
      </c>
      <c r="T250" s="14" t="n">
        <f aca="false">MIN(122.1,(T249+S250))</f>
        <v>108.2646875</v>
      </c>
      <c r="V250" s="6" t="n">
        <v>1687.8</v>
      </c>
      <c r="X250" s="6" t="n">
        <f aca="false">X249+V250</f>
        <v>101584.5</v>
      </c>
      <c r="Y250" s="6" t="n">
        <f aca="false">Y249+V250</f>
        <v>23660</v>
      </c>
      <c r="AA250" s="6" t="n">
        <v>12.832818554872</v>
      </c>
    </row>
    <row r="251" s="6" customFormat="true" ht="15" hidden="false" customHeight="false" outlineLevel="0" collapsed="false">
      <c r="A251" s="33"/>
      <c r="B251" s="12"/>
      <c r="C251" s="7" t="n">
        <v>41367</v>
      </c>
      <c r="D251" s="6" t="n">
        <v>6.1</v>
      </c>
      <c r="E251" s="6" t="n">
        <v>1</v>
      </c>
      <c r="F251" s="6" t="n">
        <v>12.4</v>
      </c>
      <c r="G251" s="6" t="n">
        <f aca="false">G250+D251</f>
        <v>1274.7</v>
      </c>
      <c r="H251" s="6" t="n">
        <f aca="false">H250+D251</f>
        <v>157.4</v>
      </c>
      <c r="J251" s="6" t="n">
        <v>0</v>
      </c>
      <c r="K251" s="6" t="n">
        <f aca="false">K250+J251</f>
        <v>494.2</v>
      </c>
      <c r="L251" s="6" t="n">
        <v>2.3</v>
      </c>
      <c r="M251" s="6" t="n">
        <f aca="false">M250+L251</f>
        <v>185.8</v>
      </c>
      <c r="N251" s="6" t="n">
        <v>-2.3</v>
      </c>
      <c r="O251" s="6" t="n">
        <f aca="false">O250+N251</f>
        <v>107.4</v>
      </c>
      <c r="P251" s="6" t="n">
        <v>204</v>
      </c>
      <c r="Q251" s="6" t="n">
        <f aca="false">1+((P251-175)/48)*(1.15-1)</f>
        <v>1.090625</v>
      </c>
      <c r="R251" s="14" t="n">
        <f aca="false">Q251*L251</f>
        <v>2.5084375</v>
      </c>
      <c r="S251" s="14" t="n">
        <f aca="false">J251-R251</f>
        <v>-2.5084375</v>
      </c>
      <c r="T251" s="14" t="n">
        <f aca="false">MIN(122.1,(T250+S251))</f>
        <v>105.75625</v>
      </c>
      <c r="V251" s="6" t="n">
        <v>1571</v>
      </c>
      <c r="X251" s="6" t="n">
        <f aca="false">X250+V251</f>
        <v>103155.5</v>
      </c>
      <c r="Y251" s="6" t="n">
        <f aca="false">Y250+V251</f>
        <v>25231</v>
      </c>
      <c r="AA251" s="6" t="n">
        <v>12.8891542289532</v>
      </c>
    </row>
    <row r="252" s="6" customFormat="true" ht="15" hidden="false" customHeight="false" outlineLevel="0" collapsed="false">
      <c r="A252" s="33"/>
      <c r="B252" s="12"/>
      <c r="C252" s="7" t="n">
        <v>41368</v>
      </c>
      <c r="D252" s="6" t="n">
        <v>9</v>
      </c>
      <c r="E252" s="6" t="n">
        <v>2.6</v>
      </c>
      <c r="F252" s="6" t="n">
        <v>16</v>
      </c>
      <c r="G252" s="6" t="n">
        <f aca="false">G251+D252</f>
        <v>1283.7</v>
      </c>
      <c r="H252" s="6" t="n">
        <f aca="false">H251+D252</f>
        <v>166.4</v>
      </c>
      <c r="J252" s="6" t="n">
        <v>0</v>
      </c>
      <c r="K252" s="6" t="n">
        <f aca="false">K251+J252</f>
        <v>494.2</v>
      </c>
      <c r="L252" s="6" t="n">
        <v>2.5</v>
      </c>
      <c r="M252" s="6" t="n">
        <f aca="false">M251+L252</f>
        <v>188.3</v>
      </c>
      <c r="N252" s="6" t="n">
        <v>-2.5</v>
      </c>
      <c r="O252" s="6" t="n">
        <f aca="false">O251+N252</f>
        <v>104.9</v>
      </c>
      <c r="P252" s="6" t="n">
        <v>205</v>
      </c>
      <c r="Q252" s="6" t="n">
        <f aca="false">1+((P252-175)/48)*(1.15-1)</f>
        <v>1.09375</v>
      </c>
      <c r="R252" s="14" t="n">
        <f aca="false">Q252*L252</f>
        <v>2.734375</v>
      </c>
      <c r="S252" s="14" t="n">
        <f aca="false">J252-R252</f>
        <v>-2.734375</v>
      </c>
      <c r="T252" s="14" t="n">
        <f aca="false">MIN(122.1,(T251+S252))</f>
        <v>103.021875</v>
      </c>
      <c r="V252" s="6" t="n">
        <v>1687.4</v>
      </c>
      <c r="X252" s="6" t="n">
        <f aca="false">X251+V252</f>
        <v>104842.9</v>
      </c>
      <c r="Y252" s="6" t="n">
        <f aca="false">Y251+V252</f>
        <v>26918.4</v>
      </c>
      <c r="AA252" s="6" t="n">
        <v>12.9453950759628</v>
      </c>
    </row>
    <row r="253" s="6" customFormat="true" ht="15" hidden="false" customHeight="false" outlineLevel="0" collapsed="false">
      <c r="A253" s="33"/>
      <c r="B253" s="12"/>
      <c r="C253" s="7" t="n">
        <v>41369</v>
      </c>
      <c r="D253" s="6" t="n">
        <v>7.7</v>
      </c>
      <c r="E253" s="6" t="n">
        <v>5.1</v>
      </c>
      <c r="F253" s="6" t="n">
        <v>11.4</v>
      </c>
      <c r="G253" s="6" t="n">
        <f aca="false">G252+D253</f>
        <v>1291.4</v>
      </c>
      <c r="H253" s="6" t="n">
        <f aca="false">H252+D253</f>
        <v>174.1</v>
      </c>
      <c r="J253" s="6" t="n">
        <v>0</v>
      </c>
      <c r="K253" s="6" t="n">
        <f aca="false">K252+J253</f>
        <v>494.2</v>
      </c>
      <c r="L253" s="6" t="n">
        <v>1.8</v>
      </c>
      <c r="M253" s="6" t="n">
        <f aca="false">M252+L253</f>
        <v>190.1</v>
      </c>
      <c r="N253" s="6" t="n">
        <v>-1.8</v>
      </c>
      <c r="O253" s="6" t="n">
        <f aca="false">O252+N253</f>
        <v>103.1</v>
      </c>
      <c r="P253" s="6" t="n">
        <v>206</v>
      </c>
      <c r="Q253" s="6" t="n">
        <f aca="false">1+((P253-175)/48)*(1.15-1)</f>
        <v>1.096875</v>
      </c>
      <c r="R253" s="14" t="n">
        <f aca="false">Q253*L253</f>
        <v>1.974375</v>
      </c>
      <c r="S253" s="14" t="n">
        <f aca="false">J253-R253</f>
        <v>-1.974375</v>
      </c>
      <c r="T253" s="14" t="n">
        <f aca="false">MIN(122.1,(T252+S253))</f>
        <v>101.0475</v>
      </c>
      <c r="V253" s="6" t="n">
        <v>919.9</v>
      </c>
      <c r="X253" s="6" t="n">
        <f aca="false">X252+V253</f>
        <v>105762.8</v>
      </c>
      <c r="Y253" s="6" t="n">
        <f aca="false">Y252+V253</f>
        <v>27838.3</v>
      </c>
      <c r="AA253" s="6" t="n">
        <v>13.0015340352227</v>
      </c>
    </row>
    <row r="254" s="6" customFormat="true" ht="15" hidden="false" customHeight="false" outlineLevel="0" collapsed="false">
      <c r="A254" s="33"/>
      <c r="B254" s="12"/>
      <c r="C254" s="7" t="n">
        <v>41370</v>
      </c>
      <c r="D254" s="6" t="n">
        <v>5.9</v>
      </c>
      <c r="E254" s="6" t="n">
        <v>2.3</v>
      </c>
      <c r="F254" s="6" t="n">
        <v>10.5</v>
      </c>
      <c r="G254" s="6" t="n">
        <f aca="false">G253+D254</f>
        <v>1297.3</v>
      </c>
      <c r="H254" s="6" t="n">
        <f aca="false">H253+D254</f>
        <v>180</v>
      </c>
      <c r="J254" s="6" t="n">
        <v>0</v>
      </c>
      <c r="K254" s="6" t="n">
        <f aca="false">K253+J254</f>
        <v>494.2</v>
      </c>
      <c r="L254" s="6" t="n">
        <v>2.5</v>
      </c>
      <c r="M254" s="6" t="n">
        <f aca="false">M253+L254</f>
        <v>192.6</v>
      </c>
      <c r="N254" s="6" t="n">
        <v>-2.5</v>
      </c>
      <c r="O254" s="6" t="n">
        <f aca="false">O253+N254</f>
        <v>100.6</v>
      </c>
      <c r="P254" s="6" t="n">
        <v>207</v>
      </c>
      <c r="Q254" s="6" t="n">
        <f aca="false">1+((P254-175)/48)*(1.15-1)</f>
        <v>1.1</v>
      </c>
      <c r="R254" s="14" t="n">
        <f aca="false">Q254*L254</f>
        <v>2.75</v>
      </c>
      <c r="S254" s="14" t="n">
        <f aca="false">J254-R254</f>
        <v>-2.75</v>
      </c>
      <c r="T254" s="14" t="n">
        <f aca="false">MIN(122.1,(T253+S254))</f>
        <v>98.2975</v>
      </c>
      <c r="V254" s="6" t="n">
        <v>1489.8</v>
      </c>
      <c r="X254" s="6" t="n">
        <f aca="false">X253+V254</f>
        <v>107252.6</v>
      </c>
      <c r="Y254" s="6" t="n">
        <f aca="false">Y253+V254</f>
        <v>29328.1</v>
      </c>
      <c r="AA254" s="6" t="n">
        <v>13.0575638478277</v>
      </c>
    </row>
    <row r="255" s="6" customFormat="true" ht="15" hidden="false" customHeight="false" outlineLevel="0" collapsed="false">
      <c r="A255" s="33"/>
      <c r="B255" s="12"/>
      <c r="C255" s="7" t="n">
        <v>41371</v>
      </c>
      <c r="D255" s="6" t="n">
        <v>5.8</v>
      </c>
      <c r="E255" s="6" t="n">
        <v>3.6</v>
      </c>
      <c r="F255" s="6" t="n">
        <v>9.1</v>
      </c>
      <c r="G255" s="6" t="n">
        <f aca="false">G254+D255</f>
        <v>1303.1</v>
      </c>
      <c r="H255" s="6" t="n">
        <f aca="false">H254+D255</f>
        <v>185.8</v>
      </c>
      <c r="J255" s="6" t="n">
        <v>0</v>
      </c>
      <c r="K255" s="6" t="n">
        <f aca="false">K254+J255</f>
        <v>494.2</v>
      </c>
      <c r="L255" s="6" t="n">
        <v>2.5</v>
      </c>
      <c r="M255" s="6" t="n">
        <f aca="false">M254+L255</f>
        <v>195.1</v>
      </c>
      <c r="N255" s="6" t="n">
        <v>-2.5</v>
      </c>
      <c r="O255" s="6" t="n">
        <f aca="false">O254+N255</f>
        <v>98.1</v>
      </c>
      <c r="P255" s="6" t="n">
        <v>208</v>
      </c>
      <c r="Q255" s="6" t="n">
        <f aca="false">1+((P255-175)/48)*(1.15-1)</f>
        <v>1.103125</v>
      </c>
      <c r="R255" s="14" t="n">
        <f aca="false">Q255*L255</f>
        <v>2.7578125</v>
      </c>
      <c r="S255" s="14" t="n">
        <f aca="false">J255-R255</f>
        <v>-2.7578125</v>
      </c>
      <c r="T255" s="14" t="n">
        <f aca="false">MIN(122.1,(T254+S255))</f>
        <v>95.5396875</v>
      </c>
      <c r="V255" s="6" t="n">
        <v>1782.9</v>
      </c>
      <c r="X255" s="6" t="n">
        <f aca="false">X254+V255</f>
        <v>109035.5</v>
      </c>
      <c r="Y255" s="6" t="n">
        <f aca="false">Y254+V255</f>
        <v>31111</v>
      </c>
      <c r="AA255" s="6" t="n">
        <v>13.1134770411841</v>
      </c>
    </row>
    <row r="256" s="6" customFormat="true" ht="15" hidden="false" customHeight="false" outlineLevel="0" collapsed="false">
      <c r="A256" s="33"/>
      <c r="B256" s="12"/>
      <c r="C256" s="7" t="n">
        <v>41372</v>
      </c>
      <c r="D256" s="6" t="n">
        <v>5.2</v>
      </c>
      <c r="E256" s="6" t="n">
        <v>2.2</v>
      </c>
      <c r="F256" s="6" t="n">
        <v>7.4</v>
      </c>
      <c r="G256" s="6" t="n">
        <f aca="false">G255+D256</f>
        <v>1308.3</v>
      </c>
      <c r="H256" s="6" t="n">
        <f aca="false">H255+D256</f>
        <v>191</v>
      </c>
      <c r="J256" s="6" t="n">
        <v>4.2</v>
      </c>
      <c r="K256" s="6" t="n">
        <f aca="false">K255+J256</f>
        <v>498.4</v>
      </c>
      <c r="L256" s="6" t="n">
        <v>0.6</v>
      </c>
      <c r="M256" s="6" t="n">
        <f aca="false">M255+L256</f>
        <v>195.7</v>
      </c>
      <c r="N256" s="6" t="n">
        <v>3.6</v>
      </c>
      <c r="O256" s="6" t="n">
        <f aca="false">O255+N256</f>
        <v>101.7</v>
      </c>
      <c r="P256" s="6" t="n">
        <v>209</v>
      </c>
      <c r="Q256" s="6" t="n">
        <f aca="false">1+((P256-175)/48)*(1.15-1)</f>
        <v>1.10625</v>
      </c>
      <c r="R256" s="14" t="n">
        <f aca="false">Q256*L256</f>
        <v>0.66375</v>
      </c>
      <c r="S256" s="14" t="n">
        <f aca="false">J256-R256</f>
        <v>3.53625</v>
      </c>
      <c r="T256" s="14" t="n">
        <f aca="false">MIN(122.1,(T255+S256))</f>
        <v>99.0759375</v>
      </c>
      <c r="V256" s="6" t="n">
        <v>555.1</v>
      </c>
      <c r="X256" s="6" t="n">
        <f aca="false">X255+V256</f>
        <v>109590.6</v>
      </c>
      <c r="Y256" s="6" t="n">
        <f aca="false">Y255+V256</f>
        <v>31666.1</v>
      </c>
      <c r="AA256" s="6" t="n">
        <v>13.1692659136741</v>
      </c>
    </row>
    <row r="257" s="6" customFormat="true" ht="15" hidden="false" customHeight="false" outlineLevel="0" collapsed="false">
      <c r="A257" s="33"/>
      <c r="B257" s="12"/>
      <c r="C257" s="7" t="n">
        <v>41373</v>
      </c>
      <c r="D257" s="6" t="n">
        <v>8.2</v>
      </c>
      <c r="E257" s="6" t="n">
        <v>4.5</v>
      </c>
      <c r="F257" s="6" t="n">
        <v>11.9</v>
      </c>
      <c r="G257" s="6" t="n">
        <f aca="false">G256+D257</f>
        <v>1316.5</v>
      </c>
      <c r="H257" s="6" t="n">
        <f aca="false">H256+D257</f>
        <v>199.2</v>
      </c>
      <c r="J257" s="6" t="n">
        <v>5.8</v>
      </c>
      <c r="K257" s="6" t="n">
        <f aca="false">K256+J257</f>
        <v>504.2</v>
      </c>
      <c r="L257" s="6" t="n">
        <v>1.2</v>
      </c>
      <c r="M257" s="6" t="n">
        <f aca="false">M256+L257</f>
        <v>196.9</v>
      </c>
      <c r="N257" s="6" t="n">
        <v>4.6</v>
      </c>
      <c r="O257" s="6" t="n">
        <f aca="false">O256+N257</f>
        <v>106.3</v>
      </c>
      <c r="P257" s="6" t="n">
        <v>210</v>
      </c>
      <c r="Q257" s="6" t="n">
        <f aca="false">1+((P257-175)/48)*(1.15-1)</f>
        <v>1.109375</v>
      </c>
      <c r="R257" s="14" t="n">
        <f aca="false">Q257*L257</f>
        <v>1.33125</v>
      </c>
      <c r="S257" s="14" t="n">
        <f aca="false">J257-R257</f>
        <v>4.46875</v>
      </c>
      <c r="T257" s="14" t="n">
        <f aca="false">MIN(122.1,(T256+S257))</f>
        <v>103.5446875</v>
      </c>
      <c r="V257" s="6" t="n">
        <v>700.4</v>
      </c>
      <c r="X257" s="6" t="n">
        <f aca="false">X256+V257</f>
        <v>110291</v>
      </c>
      <c r="Y257" s="6" t="n">
        <f aca="false">Y256+V257</f>
        <v>32366.5</v>
      </c>
      <c r="AA257" s="6" t="n">
        <v>13.2249225194602</v>
      </c>
    </row>
    <row r="258" s="6" customFormat="true" ht="15" hidden="false" customHeight="false" outlineLevel="0" collapsed="false">
      <c r="A258" s="33"/>
      <c r="B258" s="12"/>
      <c r="C258" s="7" t="n">
        <v>41374</v>
      </c>
      <c r="D258" s="6" t="n">
        <v>10.4</v>
      </c>
      <c r="E258" s="6" t="n">
        <v>7.3</v>
      </c>
      <c r="F258" s="6" t="n">
        <v>13</v>
      </c>
      <c r="G258" s="6" t="n">
        <f aca="false">G257+D258</f>
        <v>1326.9</v>
      </c>
      <c r="H258" s="6" t="n">
        <f aca="false">H257+D258</f>
        <v>209.6</v>
      </c>
      <c r="J258" s="6" t="n">
        <v>8.1</v>
      </c>
      <c r="K258" s="6" t="n">
        <f aca="false">K257+J258</f>
        <v>512.3</v>
      </c>
      <c r="L258" s="6" t="n">
        <v>1.7</v>
      </c>
      <c r="M258" s="6" t="n">
        <f aca="false">M257+L258</f>
        <v>198.6</v>
      </c>
      <c r="N258" s="6" t="n">
        <v>6.4</v>
      </c>
      <c r="O258" s="6" t="n">
        <f aca="false">O257+N258</f>
        <v>112.7</v>
      </c>
      <c r="P258" s="6" t="n">
        <v>211</v>
      </c>
      <c r="Q258" s="6" t="n">
        <f aca="false">1+((P258-175)/48)*(1.15-1)</f>
        <v>1.1125</v>
      </c>
      <c r="R258" s="14" t="n">
        <f aca="false">Q258*L258</f>
        <v>1.89125</v>
      </c>
      <c r="S258" s="14" t="n">
        <f aca="false">J258-R258</f>
        <v>6.20875</v>
      </c>
      <c r="T258" s="14" t="n">
        <f aca="false">MIN(122.1,(T257+S258))</f>
        <v>109.7534375</v>
      </c>
      <c r="V258" s="6" t="n">
        <v>1059.6</v>
      </c>
      <c r="X258" s="6" t="n">
        <f aca="false">X257+V258</f>
        <v>111350.6</v>
      </c>
      <c r="Y258" s="6" t="n">
        <f aca="false">Y257+V258</f>
        <v>33426.1</v>
      </c>
      <c r="AA258" s="6" t="n">
        <v>13.2804386534427</v>
      </c>
    </row>
    <row r="259" s="6" customFormat="true" ht="15" hidden="false" customHeight="false" outlineLevel="0" collapsed="false">
      <c r="A259" s="33"/>
      <c r="B259" s="12"/>
      <c r="C259" s="7" t="n">
        <v>41375</v>
      </c>
      <c r="D259" s="6" t="n">
        <v>11.5</v>
      </c>
      <c r="E259" s="6" t="n">
        <v>9.8</v>
      </c>
      <c r="F259" s="6" t="n">
        <v>13.5</v>
      </c>
      <c r="G259" s="6" t="n">
        <f aca="false">G258+D259</f>
        <v>1338.4</v>
      </c>
      <c r="H259" s="6" t="n">
        <f aca="false">H258+D259</f>
        <v>221.1</v>
      </c>
      <c r="J259" s="6" t="n">
        <v>15.6</v>
      </c>
      <c r="K259" s="6" t="n">
        <f aca="false">K258+J259</f>
        <v>527.9</v>
      </c>
      <c r="L259" s="6" t="n">
        <v>1.3</v>
      </c>
      <c r="M259" s="6" t="n">
        <f aca="false">M258+L259</f>
        <v>199.9</v>
      </c>
      <c r="N259" s="6" t="n">
        <v>14.3</v>
      </c>
      <c r="O259" s="6" t="n">
        <v>122.1</v>
      </c>
      <c r="P259" s="6" t="n">
        <v>212</v>
      </c>
      <c r="Q259" s="6" t="n">
        <f aca="false">1+((P259-175)/48)*(1.15-1)</f>
        <v>1.115625</v>
      </c>
      <c r="R259" s="14" t="n">
        <f aca="false">Q259*L259</f>
        <v>1.4503125</v>
      </c>
      <c r="S259" s="14" t="n">
        <f aca="false">J259-R259</f>
        <v>14.1496875</v>
      </c>
      <c r="T259" s="14" t="n">
        <f aca="false">MIN(122.1,(T258+S259))</f>
        <v>122.1</v>
      </c>
      <c r="V259" s="6" t="n">
        <v>479.7</v>
      </c>
      <c r="X259" s="6" t="n">
        <f aca="false">X258+V259</f>
        <v>111830.3</v>
      </c>
      <c r="Y259" s="6" t="n">
        <f aca="false">Y258+V259</f>
        <v>33905.8</v>
      </c>
      <c r="AA259" s="6" t="n">
        <v>13.3358058363897</v>
      </c>
    </row>
    <row r="260" s="6" customFormat="true" ht="15" hidden="false" customHeight="false" outlineLevel="0" collapsed="false">
      <c r="A260" s="33"/>
      <c r="B260" s="12"/>
      <c r="C260" s="7" t="n">
        <v>41376</v>
      </c>
      <c r="D260" s="6" t="n">
        <v>9.3</v>
      </c>
      <c r="E260" s="6" t="n">
        <v>9.1</v>
      </c>
      <c r="F260" s="6" t="n">
        <v>10.2</v>
      </c>
      <c r="G260" s="6" t="n">
        <f aca="false">G259+D260</f>
        <v>1347.7</v>
      </c>
      <c r="H260" s="6" t="n">
        <f aca="false">H259+D260</f>
        <v>230.4</v>
      </c>
      <c r="J260" s="6" t="n">
        <v>5.5</v>
      </c>
      <c r="K260" s="6" t="n">
        <f aca="false">K259+J260</f>
        <v>533.4</v>
      </c>
      <c r="L260" s="6" t="n">
        <v>1.3</v>
      </c>
      <c r="M260" s="6" t="n">
        <f aca="false">M259+L260</f>
        <v>201.2</v>
      </c>
      <c r="N260" s="6" t="n">
        <v>4.2</v>
      </c>
      <c r="O260" s="6" t="n">
        <v>122.1</v>
      </c>
      <c r="P260" s="6" t="n">
        <v>213</v>
      </c>
      <c r="Q260" s="6" t="n">
        <f aca="false">1+((P260-175)/48)*(1.15-1)</f>
        <v>1.11875</v>
      </c>
      <c r="R260" s="14" t="n">
        <f aca="false">Q260*L260</f>
        <v>1.454375</v>
      </c>
      <c r="S260" s="14" t="n">
        <f aca="false">J260-R260</f>
        <v>4.045625</v>
      </c>
      <c r="T260" s="14" t="n">
        <f aca="false">MIN(122.1,(T259+S260))</f>
        <v>122.1</v>
      </c>
      <c r="V260" s="6" t="n">
        <v>939</v>
      </c>
      <c r="X260" s="6" t="n">
        <f aca="false">X259+V260</f>
        <v>112769.3</v>
      </c>
      <c r="Y260" s="6" t="n">
        <f aca="false">Y259+V260</f>
        <v>34844.8</v>
      </c>
      <c r="AA260" s="6" t="n">
        <v>13.3910153002577</v>
      </c>
    </row>
    <row r="261" s="6" customFormat="true" ht="15" hidden="false" customHeight="false" outlineLevel="0" collapsed="false">
      <c r="A261" s="33"/>
      <c r="B261" s="12"/>
      <c r="C261" s="7" t="n">
        <v>41377</v>
      </c>
      <c r="D261" s="6" t="n">
        <v>12</v>
      </c>
      <c r="E261" s="6" t="n">
        <v>7.8</v>
      </c>
      <c r="F261" s="6" t="n">
        <v>15.8</v>
      </c>
      <c r="G261" s="6" t="n">
        <f aca="false">G260+D261</f>
        <v>1359.7</v>
      </c>
      <c r="H261" s="6" t="n">
        <f aca="false">H260+D261</f>
        <v>242.4</v>
      </c>
      <c r="J261" s="6" t="n">
        <v>0</v>
      </c>
      <c r="K261" s="6" t="n">
        <f aca="false">K260+J261</f>
        <v>533.4</v>
      </c>
      <c r="L261" s="6" t="n">
        <v>1.8</v>
      </c>
      <c r="M261" s="6" t="n">
        <f aca="false">M260+L261</f>
        <v>203</v>
      </c>
      <c r="N261" s="6" t="n">
        <v>-1.8</v>
      </c>
      <c r="O261" s="6" t="n">
        <f aca="false">O260+N261</f>
        <v>120.3</v>
      </c>
      <c r="P261" s="6" t="n">
        <v>214</v>
      </c>
      <c r="Q261" s="6" t="n">
        <f aca="false">1+((P261-175)/48)*(1.15-1)</f>
        <v>1.121875</v>
      </c>
      <c r="R261" s="14" t="n">
        <f aca="false">Q261*L261</f>
        <v>2.019375</v>
      </c>
      <c r="S261" s="14" t="n">
        <f aca="false">J261-R261</f>
        <v>-2.019375</v>
      </c>
      <c r="T261" s="14" t="n">
        <f aca="false">MIN(122.1,(T260+S261))</f>
        <v>120.080625</v>
      </c>
      <c r="V261" s="6" t="n">
        <v>1069.2</v>
      </c>
      <c r="X261" s="6" t="n">
        <f aca="false">X260+V261</f>
        <v>113838.5</v>
      </c>
      <c r="Y261" s="6" t="n">
        <f aca="false">Y260+V261</f>
        <v>35914</v>
      </c>
      <c r="AA261" s="6" t="n">
        <v>13.4460579737258</v>
      </c>
    </row>
    <row r="262" s="6" customFormat="true" ht="15" hidden="false" customHeight="false" outlineLevel="0" collapsed="false">
      <c r="A262" s="33"/>
      <c r="B262" s="12"/>
      <c r="C262" s="7" t="n">
        <v>41378</v>
      </c>
      <c r="D262" s="6" t="n">
        <v>16.1</v>
      </c>
      <c r="E262" s="6" t="n">
        <v>8.5</v>
      </c>
      <c r="F262" s="6" t="n">
        <v>24.2</v>
      </c>
      <c r="G262" s="6" t="n">
        <f aca="false">G261+D262</f>
        <v>1375.8</v>
      </c>
      <c r="H262" s="6" t="n">
        <f aca="false">H261+D262</f>
        <v>258.5</v>
      </c>
      <c r="J262" s="6" t="n">
        <v>0</v>
      </c>
      <c r="K262" s="6" t="n">
        <f aca="false">K261+J262</f>
        <v>533.4</v>
      </c>
      <c r="L262" s="6" t="n">
        <v>4.2</v>
      </c>
      <c r="M262" s="6" t="n">
        <f aca="false">M261+L262</f>
        <v>207.2</v>
      </c>
      <c r="N262" s="6" t="n">
        <v>-4.2</v>
      </c>
      <c r="O262" s="6" t="n">
        <f aca="false">O261+N262</f>
        <v>116.1</v>
      </c>
      <c r="P262" s="6" t="n">
        <v>215</v>
      </c>
      <c r="Q262" s="6" t="n">
        <f aca="false">1+((P262-175)/48)*(1.15-1)</f>
        <v>1.125</v>
      </c>
      <c r="R262" s="14" t="n">
        <f aca="false">Q262*L262</f>
        <v>4.725</v>
      </c>
      <c r="S262" s="14" t="n">
        <f aca="false">J262-R262</f>
        <v>-4.725</v>
      </c>
      <c r="T262" s="14" t="n">
        <f aca="false">MIN(122.1,(T261+S262))</f>
        <v>115.355625</v>
      </c>
      <c r="V262" s="6" t="n">
        <v>2047.4</v>
      </c>
      <c r="W262" s="41"/>
      <c r="X262" s="41" t="n">
        <f aca="false">X261+V262</f>
        <v>115885.9</v>
      </c>
      <c r="Y262" s="6" t="n">
        <f aca="false">Y261+V262</f>
        <v>37961.4</v>
      </c>
      <c r="AA262" s="6" t="n">
        <v>13.5009244679692</v>
      </c>
    </row>
    <row r="263" s="6" customFormat="true" ht="15" hidden="false" customHeight="true" outlineLevel="0" collapsed="false">
      <c r="A263" s="33"/>
      <c r="B263" s="12"/>
      <c r="C263" s="7" t="n">
        <v>41379</v>
      </c>
      <c r="D263" s="6" t="n">
        <v>16.4</v>
      </c>
      <c r="E263" s="6" t="n">
        <v>11.2</v>
      </c>
      <c r="F263" s="6" t="n">
        <v>20.8</v>
      </c>
      <c r="G263" s="6" t="n">
        <f aca="false">G262+D263</f>
        <v>1392.2</v>
      </c>
      <c r="H263" s="6" t="n">
        <f aca="false">H262+D263</f>
        <v>274.9</v>
      </c>
      <c r="J263" s="6" t="n">
        <v>0.4</v>
      </c>
      <c r="K263" s="6" t="n">
        <f aca="false">K262+J263</f>
        <v>533.8</v>
      </c>
      <c r="L263" s="6" t="n">
        <v>2.3</v>
      </c>
      <c r="M263" s="6" t="n">
        <f aca="false">M262+L263</f>
        <v>209.5</v>
      </c>
      <c r="N263" s="6" t="n">
        <v>-1.9</v>
      </c>
      <c r="O263" s="6" t="n">
        <f aca="false">O262+N263</f>
        <v>114.2</v>
      </c>
      <c r="P263" s="6" t="n">
        <v>216</v>
      </c>
      <c r="Q263" s="6" t="n">
        <f aca="false">1+((P263-175)/48)*(1.15-1)</f>
        <v>1.128125</v>
      </c>
      <c r="R263" s="14" t="n">
        <f aca="false">Q263*L263</f>
        <v>2.5946875</v>
      </c>
      <c r="S263" s="14" t="n">
        <f aca="false">J263-R263</f>
        <v>-2.1946875</v>
      </c>
      <c r="T263" s="14" t="n">
        <f aca="false">MIN(122.1,(T262+S263))</f>
        <v>113.1609375</v>
      </c>
      <c r="U263" s="37"/>
      <c r="V263" s="6" t="n">
        <v>1202.8</v>
      </c>
      <c r="X263" s="6" t="n">
        <f aca="false">X262+V263</f>
        <v>117088.7</v>
      </c>
      <c r="Y263" s="6" t="n">
        <f aca="false">Y262+V263</f>
        <v>39164.2</v>
      </c>
      <c r="AA263" s="6" t="n">
        <v>13.5556050626987</v>
      </c>
    </row>
    <row r="264" s="6" customFormat="true" ht="15" hidden="false" customHeight="false" outlineLevel="0" collapsed="false">
      <c r="A264" s="33"/>
      <c r="B264" s="12"/>
      <c r="C264" s="7" t="n">
        <v>41380</v>
      </c>
      <c r="D264" s="6" t="n">
        <v>16.5</v>
      </c>
      <c r="E264" s="6" t="n">
        <v>10.5</v>
      </c>
      <c r="F264" s="6" t="n">
        <v>22.6</v>
      </c>
      <c r="G264" s="6" t="n">
        <f aca="false">G263+D264</f>
        <v>1408.7</v>
      </c>
      <c r="H264" s="6" t="n">
        <f aca="false">H263+D264</f>
        <v>291.4</v>
      </c>
      <c r="J264" s="6" t="n">
        <v>0</v>
      </c>
      <c r="K264" s="6" t="n">
        <f aca="false">K263+J264</f>
        <v>533.8</v>
      </c>
      <c r="L264" s="6" t="n">
        <v>2.5</v>
      </c>
      <c r="M264" s="6" t="n">
        <f aca="false">M263+L264</f>
        <v>212</v>
      </c>
      <c r="N264" s="6" t="n">
        <v>-2.5</v>
      </c>
      <c r="O264" s="6" t="n">
        <f aca="false">O263+N264</f>
        <v>111.7</v>
      </c>
      <c r="P264" s="6" t="n">
        <v>217</v>
      </c>
      <c r="Q264" s="6" t="n">
        <f aca="false">1+((P264-175)/48)*(1.15-1)</f>
        <v>1.13125</v>
      </c>
      <c r="R264" s="14" t="n">
        <f aca="false">Q264*L264</f>
        <v>2.828125</v>
      </c>
      <c r="S264" s="14" t="n">
        <f aca="false">J264-R264</f>
        <v>-2.828125</v>
      </c>
      <c r="T264" s="14" t="n">
        <f aca="false">MIN(122.1,(T263+S264))</f>
        <v>110.3328125</v>
      </c>
      <c r="V264" s="6" t="n">
        <v>1393.4</v>
      </c>
      <c r="X264" s="6" t="n">
        <f aca="false">X263+V264</f>
        <v>118482.1</v>
      </c>
      <c r="Y264" s="6" t="n">
        <f aca="false">Y263+V264</f>
        <v>40557.6</v>
      </c>
      <c r="AA264" s="6" t="n">
        <v>13.6100896924989</v>
      </c>
    </row>
    <row r="265" s="6" customFormat="true" ht="15" hidden="false" customHeight="false" outlineLevel="0" collapsed="false">
      <c r="A265" s="33"/>
      <c r="B265" s="12"/>
      <c r="C265" s="7" t="n">
        <v>41381</v>
      </c>
      <c r="D265" s="6" t="n">
        <v>16.8</v>
      </c>
      <c r="E265" s="6" t="n">
        <v>9.7</v>
      </c>
      <c r="F265" s="6" t="n">
        <v>23</v>
      </c>
      <c r="G265" s="6" t="n">
        <f aca="false">G264+D265</f>
        <v>1425.5</v>
      </c>
      <c r="H265" s="6" t="n">
        <f aca="false">H264+D265</f>
        <v>308.2</v>
      </c>
      <c r="J265" s="6" t="n">
        <v>0</v>
      </c>
      <c r="K265" s="6" t="n">
        <f aca="false">K264+J265</f>
        <v>533.8</v>
      </c>
      <c r="L265" s="6" t="n">
        <v>3.6</v>
      </c>
      <c r="M265" s="6" t="n">
        <f aca="false">M264+L265</f>
        <v>215.6</v>
      </c>
      <c r="N265" s="6" t="n">
        <v>-3.6</v>
      </c>
      <c r="O265" s="6" t="n">
        <f aca="false">O264+N265</f>
        <v>108.1</v>
      </c>
      <c r="P265" s="6" t="n">
        <v>218</v>
      </c>
      <c r="Q265" s="6" t="n">
        <f aca="false">1+((P265-175)/48)*(1.15-1)</f>
        <v>1.134375</v>
      </c>
      <c r="R265" s="14" t="n">
        <f aca="false">Q265*L265</f>
        <v>4.08375</v>
      </c>
      <c r="S265" s="14" t="n">
        <f aca="false">J265-R265</f>
        <v>-4.08375</v>
      </c>
      <c r="T265" s="14" t="n">
        <f aca="false">MIN(122.1,(T264+S265))</f>
        <v>106.2490625</v>
      </c>
      <c r="V265" s="6" t="n">
        <v>1989</v>
      </c>
      <c r="X265" s="6" t="n">
        <f aca="false">X264+V265</f>
        <v>120471.1</v>
      </c>
      <c r="Y265" s="6" t="n">
        <f aca="false">Y264+V265</f>
        <v>42546.6</v>
      </c>
      <c r="AA265" s="6" t="n">
        <v>13.6643679334979</v>
      </c>
    </row>
    <row r="266" s="6" customFormat="true" ht="15" hidden="false" customHeight="false" outlineLevel="0" collapsed="false">
      <c r="A266" s="33"/>
      <c r="B266" s="12"/>
      <c r="C266" s="7" t="n">
        <v>41382</v>
      </c>
      <c r="D266" s="6" t="n">
        <v>15</v>
      </c>
      <c r="E266" s="6" t="n">
        <v>13.2</v>
      </c>
      <c r="F266" s="6" t="n">
        <v>17.5</v>
      </c>
      <c r="G266" s="6" t="n">
        <f aca="false">G265+D266</f>
        <v>1440.5</v>
      </c>
      <c r="H266" s="6" t="n">
        <f aca="false">H265+D266</f>
        <v>323.2</v>
      </c>
      <c r="J266" s="6" t="n">
        <v>0.1</v>
      </c>
      <c r="K266" s="6" t="n">
        <f aca="false">K265+J266</f>
        <v>533.9</v>
      </c>
      <c r="L266" s="6" t="n">
        <v>2.4</v>
      </c>
      <c r="M266" s="6" t="n">
        <f aca="false">M265+L266</f>
        <v>218</v>
      </c>
      <c r="N266" s="6" t="n">
        <v>-2.3</v>
      </c>
      <c r="O266" s="6" t="n">
        <f aca="false">O265+N266</f>
        <v>105.8</v>
      </c>
      <c r="P266" s="6" t="n">
        <v>219</v>
      </c>
      <c r="Q266" s="6" t="n">
        <f aca="false">1+((P266-175)/48)*(1.15-1)</f>
        <v>1.1375</v>
      </c>
      <c r="R266" s="14" t="n">
        <f aca="false">Q266*L266</f>
        <v>2.73</v>
      </c>
      <c r="S266" s="14" t="n">
        <f aca="false">J266-R266</f>
        <v>-2.63</v>
      </c>
      <c r="T266" s="14" t="n">
        <f aca="false">MIN(122.1,(T265+S266))</f>
        <v>103.6190625</v>
      </c>
      <c r="V266" s="6" t="n">
        <v>1211.1</v>
      </c>
      <c r="X266" s="6" t="n">
        <f aca="false">X265+V266</f>
        <v>121682.2</v>
      </c>
      <c r="Y266" s="6" t="n">
        <f aca="false">Y265+V266</f>
        <v>43757.7</v>
      </c>
      <c r="AA266" s="6" t="n">
        <v>13.7184289904069</v>
      </c>
    </row>
    <row r="267" s="6" customFormat="true" ht="15" hidden="false" customHeight="false" outlineLevel="0" collapsed="false">
      <c r="A267" s="33"/>
      <c r="B267" s="12"/>
      <c r="C267" s="7" t="n">
        <v>41383</v>
      </c>
      <c r="D267" s="6" t="n">
        <v>10.8</v>
      </c>
      <c r="E267" s="6" t="n">
        <v>7.4</v>
      </c>
      <c r="F267" s="6" t="n">
        <v>12.2</v>
      </c>
      <c r="G267" s="6" t="n">
        <f aca="false">G266+D267</f>
        <v>1451.3</v>
      </c>
      <c r="H267" s="6" t="n">
        <f aca="false">H266+D267</f>
        <v>334</v>
      </c>
      <c r="J267" s="6" t="n">
        <v>0.1</v>
      </c>
      <c r="K267" s="6" t="n">
        <f aca="false">K266+J267</f>
        <v>534</v>
      </c>
      <c r="L267" s="6" t="n">
        <v>1.8</v>
      </c>
      <c r="M267" s="6" t="n">
        <f aca="false">M266+L267</f>
        <v>219.8</v>
      </c>
      <c r="N267" s="6" t="n">
        <v>-1.7</v>
      </c>
      <c r="O267" s="6" t="n">
        <f aca="false">O266+N267</f>
        <v>104.1</v>
      </c>
      <c r="P267" s="6" t="n">
        <v>220</v>
      </c>
      <c r="Q267" s="6" t="n">
        <f aca="false">1+((P267-175)/48)*(1.15-1)</f>
        <v>1.140625</v>
      </c>
      <c r="R267" s="14" t="n">
        <f aca="false">Q267*L267</f>
        <v>2.053125</v>
      </c>
      <c r="S267" s="14" t="n">
        <f aca="false">J267-R267</f>
        <v>-1.953125</v>
      </c>
      <c r="T267" s="14" t="n">
        <f aca="false">MIN(122.1,(T266+S267))</f>
        <v>101.6659375</v>
      </c>
      <c r="V267" s="6" t="n">
        <v>1094.8</v>
      </c>
      <c r="X267" s="6" t="n">
        <f aca="false">X266+V267</f>
        <v>122777</v>
      </c>
      <c r="Y267" s="6" t="n">
        <f aca="false">Y266+V267</f>
        <v>44852.5</v>
      </c>
      <c r="AA267" s="6" t="n">
        <v>13.7722616839705</v>
      </c>
    </row>
    <row r="268" s="6" customFormat="true" ht="15" hidden="false" customHeight="false" outlineLevel="0" collapsed="false">
      <c r="A268" s="33"/>
      <c r="B268" s="12"/>
      <c r="C268" s="7" t="n">
        <v>41384</v>
      </c>
      <c r="D268" s="6" t="n">
        <v>8.7</v>
      </c>
      <c r="E268" s="6" t="n">
        <v>7.1</v>
      </c>
      <c r="F268" s="6" t="n">
        <v>9.5</v>
      </c>
      <c r="G268" s="6" t="n">
        <f aca="false">G267+D268</f>
        <v>1460</v>
      </c>
      <c r="H268" s="6" t="n">
        <f aca="false">H267+D268</f>
        <v>342.7</v>
      </c>
      <c r="J268" s="6" t="n">
        <v>0</v>
      </c>
      <c r="K268" s="6" t="n">
        <f aca="false">K267+J268</f>
        <v>534</v>
      </c>
      <c r="L268" s="6" t="n">
        <v>1.6</v>
      </c>
      <c r="M268" s="6" t="n">
        <f aca="false">M267+L268</f>
        <v>221.4</v>
      </c>
      <c r="N268" s="6" t="n">
        <v>-1.6</v>
      </c>
      <c r="O268" s="6" t="n">
        <f aca="false">O267+N268</f>
        <v>102.5</v>
      </c>
      <c r="P268" s="6" t="n">
        <v>221</v>
      </c>
      <c r="Q268" s="6" t="n">
        <f aca="false">1+((P268-175)/48)*(1.15-1)</f>
        <v>1.14375</v>
      </c>
      <c r="R268" s="14" t="n">
        <f aca="false">Q268*L268</f>
        <v>1.83</v>
      </c>
      <c r="S268" s="14" t="n">
        <f aca="false">J268-R268</f>
        <v>-1.83</v>
      </c>
      <c r="T268" s="14" t="n">
        <f aca="false">MIN(122.1,(T267+S268))</f>
        <v>99.8359375</v>
      </c>
      <c r="V268" s="6" t="n">
        <v>711.6</v>
      </c>
      <c r="X268" s="6" t="n">
        <f aca="false">X267+V268</f>
        <v>123488.6</v>
      </c>
      <c r="Y268" s="6" t="n">
        <f aca="false">Y267+V268</f>
        <v>45564.1</v>
      </c>
      <c r="AA268" s="6" t="n">
        <v>13.8258544388717</v>
      </c>
    </row>
    <row r="269" s="6" customFormat="true" ht="15" hidden="false" customHeight="false" outlineLevel="0" collapsed="false">
      <c r="A269" s="33"/>
      <c r="B269" s="12"/>
      <c r="C269" s="7" t="n">
        <v>41385</v>
      </c>
      <c r="D269" s="6" t="n">
        <v>10</v>
      </c>
      <c r="E269" s="6" t="n">
        <v>8.2</v>
      </c>
      <c r="F269" s="6" t="n">
        <v>12.3</v>
      </c>
      <c r="G269" s="6" t="n">
        <f aca="false">G268+D269</f>
        <v>1470</v>
      </c>
      <c r="H269" s="6" t="n">
        <f aca="false">H268+D269</f>
        <v>352.7</v>
      </c>
      <c r="J269" s="6" t="n">
        <v>0</v>
      </c>
      <c r="K269" s="6" t="n">
        <f aca="false">K268+J269</f>
        <v>534</v>
      </c>
      <c r="L269" s="6" t="n">
        <v>1.8</v>
      </c>
      <c r="M269" s="6" t="n">
        <f aca="false">M268+L269</f>
        <v>223.2</v>
      </c>
      <c r="N269" s="6" t="n">
        <v>-1.8</v>
      </c>
      <c r="O269" s="6" t="n">
        <f aca="false">O268+N269</f>
        <v>100.7</v>
      </c>
      <c r="P269" s="6" t="n">
        <v>222</v>
      </c>
      <c r="Q269" s="6" t="n">
        <f aca="false">1+((P269-175)/48)*(1.15-1)</f>
        <v>1.146875</v>
      </c>
      <c r="R269" s="14" t="n">
        <f aca="false">Q269*L269</f>
        <v>2.064375</v>
      </c>
      <c r="S269" s="14" t="n">
        <f aca="false">J269-R269</f>
        <v>-2.064375</v>
      </c>
      <c r="T269" s="14" t="n">
        <f aca="false">MIN(122.1,(T268+S269))</f>
        <v>97.7715625</v>
      </c>
      <c r="V269" s="6" t="n">
        <v>1282.7</v>
      </c>
      <c r="X269" s="6" t="n">
        <f aca="false">X268+V269</f>
        <v>124771.3</v>
      </c>
      <c r="Y269" s="6" t="n">
        <f aca="false">Y268+V269</f>
        <v>46846.8</v>
      </c>
      <c r="AA269" s="6" t="n">
        <v>13.8791952721396</v>
      </c>
    </row>
    <row r="270" s="20" customFormat="true" ht="15" hidden="false" customHeight="false" outlineLevel="0" collapsed="false">
      <c r="A270" s="33"/>
      <c r="B270" s="18"/>
      <c r="C270" s="19" t="n">
        <v>41386</v>
      </c>
      <c r="D270" s="20" t="n">
        <v>10.8</v>
      </c>
      <c r="E270" s="20" t="n">
        <v>7.7</v>
      </c>
      <c r="F270" s="20" t="n">
        <v>15.9</v>
      </c>
      <c r="G270" s="20" t="n">
        <f aca="false">G269+D270</f>
        <v>1480.8</v>
      </c>
      <c r="H270" s="20" t="n">
        <f aca="false">H269+D270</f>
        <v>363.5</v>
      </c>
      <c r="J270" s="20" t="n">
        <v>0</v>
      </c>
      <c r="K270" s="20" t="n">
        <f aca="false">K269+J270</f>
        <v>534</v>
      </c>
      <c r="L270" s="20" t="n">
        <v>1.2</v>
      </c>
      <c r="M270" s="20" t="n">
        <f aca="false">M269+L270</f>
        <v>224.4</v>
      </c>
      <c r="N270" s="20" t="n">
        <v>-1.2</v>
      </c>
      <c r="O270" s="20" t="n">
        <f aca="false">O269+N270</f>
        <v>99.5</v>
      </c>
      <c r="P270" s="20" t="n">
        <v>223</v>
      </c>
      <c r="Q270" s="54" t="n">
        <f aca="false">1+((P270-175)/48)*(1.15-1)</f>
        <v>1.15</v>
      </c>
      <c r="R270" s="21" t="n">
        <f aca="false">Q270*L270</f>
        <v>1.38</v>
      </c>
      <c r="S270" s="21" t="n">
        <f aca="false">J270-R270</f>
        <v>-1.38</v>
      </c>
      <c r="T270" s="21" t="n">
        <f aca="false">MIN(122.1,(T269+S270))</f>
        <v>96.3915625</v>
      </c>
      <c r="V270" s="20" t="n">
        <v>698.8</v>
      </c>
      <c r="X270" s="20" t="n">
        <f aca="false">X269+V270</f>
        <v>125470.1</v>
      </c>
      <c r="Y270" s="20" t="n">
        <f aca="false">Y269+V270</f>
        <v>47545.6</v>
      </c>
      <c r="AA270" s="20" t="n">
        <v>13.9322717821123</v>
      </c>
    </row>
    <row r="271" s="41" customFormat="true" ht="15" hidden="false" customHeight="false" outlineLevel="0" collapsed="false">
      <c r="A271" s="39" t="s">
        <v>62</v>
      </c>
      <c r="B271" s="55"/>
      <c r="C271" s="56" t="n">
        <v>41387</v>
      </c>
      <c r="D271" s="41" t="n">
        <v>11.3</v>
      </c>
      <c r="E271" s="41" t="n">
        <v>4.4</v>
      </c>
      <c r="F271" s="41" t="n">
        <v>17</v>
      </c>
      <c r="G271" s="41" t="n">
        <f aca="false">G270+D271</f>
        <v>1492.1</v>
      </c>
      <c r="H271" s="6" t="n">
        <f aca="false">D271</f>
        <v>11.3</v>
      </c>
      <c r="I271" s="40" t="s">
        <v>29</v>
      </c>
      <c r="J271" s="41" t="n">
        <v>0</v>
      </c>
      <c r="K271" s="41" t="n">
        <f aca="false">K270+J271</f>
        <v>534</v>
      </c>
      <c r="L271" s="41" t="n">
        <v>1.6</v>
      </c>
      <c r="M271" s="41" t="n">
        <f aca="false">M270+L271</f>
        <v>226</v>
      </c>
      <c r="N271" s="41" t="n">
        <v>-1.6</v>
      </c>
      <c r="O271" s="41" t="n">
        <f aca="false">O270+N271</f>
        <v>97.9</v>
      </c>
      <c r="P271" s="41" t="n">
        <v>224</v>
      </c>
      <c r="Q271" s="41" t="n">
        <f aca="false">1+((P271-175)/49)*(1.15-1)</f>
        <v>1.15</v>
      </c>
      <c r="R271" s="57" t="n">
        <f aca="false">Q271*L271</f>
        <v>1.84</v>
      </c>
      <c r="S271" s="57" t="n">
        <f aca="false">J271-R271</f>
        <v>-1.84</v>
      </c>
      <c r="T271" s="57" t="n">
        <f aca="false">MIN(122.1,(T270+S271))</f>
        <v>94.5515625</v>
      </c>
      <c r="U271" s="40" t="s">
        <v>33</v>
      </c>
      <c r="V271" s="41" t="n">
        <v>1310.2</v>
      </c>
      <c r="X271" s="41" t="n">
        <f aca="false">X270+V271</f>
        <v>126780.3</v>
      </c>
      <c r="Y271" s="41" t="n">
        <f aca="false">V271</f>
        <v>1310.2</v>
      </c>
      <c r="Z271" s="40" t="s">
        <v>31</v>
      </c>
      <c r="AA271" s="41" t="n">
        <v>13.985071138009</v>
      </c>
    </row>
    <row r="272" s="6" customFormat="true" ht="15" hidden="false" customHeight="false" outlineLevel="0" collapsed="false">
      <c r="A272" s="39"/>
      <c r="C272" s="7" t="n">
        <v>41388</v>
      </c>
      <c r="D272" s="6" t="n">
        <v>13.9</v>
      </c>
      <c r="E272" s="6" t="n">
        <v>7.4</v>
      </c>
      <c r="F272" s="6" t="n">
        <v>20.5</v>
      </c>
      <c r="G272" s="6" t="n">
        <f aca="false">G271+D272</f>
        <v>1506</v>
      </c>
      <c r="H272" s="6" t="n">
        <f aca="false">H271+D272</f>
        <v>25.2</v>
      </c>
      <c r="I272" s="6" t="n">
        <f aca="false">MIN(E271:E291)</f>
        <v>4.4</v>
      </c>
      <c r="J272" s="6" t="n">
        <v>0</v>
      </c>
      <c r="K272" s="6" t="n">
        <f aca="false">K271+J272</f>
        <v>534</v>
      </c>
      <c r="L272" s="6" t="n">
        <v>3.5</v>
      </c>
      <c r="M272" s="6" t="n">
        <f aca="false">M271+L272</f>
        <v>229.5</v>
      </c>
      <c r="N272" s="6" t="n">
        <v>-3.5</v>
      </c>
      <c r="O272" s="6" t="n">
        <f aca="false">O271+N272</f>
        <v>94.4</v>
      </c>
      <c r="P272" s="6" t="n">
        <v>225</v>
      </c>
      <c r="Q272" s="6" t="n">
        <v>1.15</v>
      </c>
      <c r="R272" s="14" t="n">
        <f aca="false">Q272*L272</f>
        <v>4.025</v>
      </c>
      <c r="S272" s="14" t="n">
        <f aca="false">J272-R272</f>
        <v>-4.025</v>
      </c>
      <c r="T272" s="14" t="n">
        <f aca="false">MIN(122.1,(T271+S272))</f>
        <v>90.5265625</v>
      </c>
      <c r="U272" s="6" t="n">
        <v>0</v>
      </c>
      <c r="V272" s="6" t="n">
        <v>2223.2</v>
      </c>
      <c r="W272" s="41"/>
      <c r="X272" s="41" t="n">
        <f aca="false">X271+V272</f>
        <v>129003.5</v>
      </c>
      <c r="Y272" s="41" t="n">
        <f aca="false">Y271+V272</f>
        <v>3533.4</v>
      </c>
      <c r="Z272" s="6" t="n">
        <v>24685.5</v>
      </c>
      <c r="AA272" s="6" t="n">
        <v>14.0375800701713</v>
      </c>
    </row>
    <row r="273" s="6" customFormat="true" ht="15" hidden="false" customHeight="true" outlineLevel="0" collapsed="false">
      <c r="A273" s="39"/>
      <c r="C273" s="7" t="n">
        <v>41389</v>
      </c>
      <c r="D273" s="6" t="n">
        <v>16.6</v>
      </c>
      <c r="E273" s="6" t="n">
        <v>9.1</v>
      </c>
      <c r="F273" s="6" t="n">
        <v>23.6</v>
      </c>
      <c r="G273" s="6" t="n">
        <f aca="false">G272+D273</f>
        <v>1522.6</v>
      </c>
      <c r="H273" s="6" t="n">
        <f aca="false">H272+D273</f>
        <v>41.8</v>
      </c>
      <c r="I273" s="40" t="s">
        <v>32</v>
      </c>
      <c r="J273" s="6" t="n">
        <v>0</v>
      </c>
      <c r="K273" s="6" t="n">
        <f aca="false">K272+J273</f>
        <v>534</v>
      </c>
      <c r="L273" s="6" t="n">
        <v>4.5</v>
      </c>
      <c r="M273" s="6" t="n">
        <f aca="false">M272+L273</f>
        <v>234</v>
      </c>
      <c r="N273" s="6" t="n">
        <v>-4.5</v>
      </c>
      <c r="O273" s="6" t="n">
        <f aca="false">O272+N273</f>
        <v>89.9</v>
      </c>
      <c r="P273" s="6" t="n">
        <v>226</v>
      </c>
      <c r="Q273" s="6" t="n">
        <v>1.15</v>
      </c>
      <c r="R273" s="14" t="n">
        <f aca="false">Q273*L273</f>
        <v>5.175</v>
      </c>
      <c r="S273" s="14" t="n">
        <f aca="false">J273-R273</f>
        <v>-5.175</v>
      </c>
      <c r="T273" s="14" t="n">
        <f aca="false">MIN(122.1,(T272+S273))</f>
        <v>85.3515625</v>
      </c>
      <c r="U273" s="40" t="s">
        <v>36</v>
      </c>
      <c r="V273" s="6" t="n">
        <v>2468.4</v>
      </c>
      <c r="X273" s="6" t="n">
        <f aca="false">X272+V273</f>
        <v>131471.9</v>
      </c>
      <c r="Y273" s="41" t="n">
        <f aca="false">Y272+V273</f>
        <v>6001.8</v>
      </c>
      <c r="Z273" s="40" t="s">
        <v>34</v>
      </c>
      <c r="AA273" s="6" t="n">
        <v>14.0897848610359</v>
      </c>
    </row>
    <row r="274" s="6" customFormat="true" ht="15" hidden="false" customHeight="false" outlineLevel="0" collapsed="false">
      <c r="A274" s="39"/>
      <c r="C274" s="7" t="n">
        <v>41390</v>
      </c>
      <c r="D274" s="6" t="n">
        <v>13.7</v>
      </c>
      <c r="E274" s="6" t="n">
        <v>12.5</v>
      </c>
      <c r="F274" s="6" t="n">
        <v>16.5</v>
      </c>
      <c r="G274" s="6" t="n">
        <f aca="false">G273+D274</f>
        <v>1536.3</v>
      </c>
      <c r="H274" s="6" t="n">
        <f aca="false">H273+D274</f>
        <v>55.5</v>
      </c>
      <c r="I274" s="6" t="n">
        <f aca="false">MAX(F271:F291)</f>
        <v>23.6</v>
      </c>
      <c r="J274" s="6" t="n">
        <v>35.9</v>
      </c>
      <c r="K274" s="6" t="n">
        <f aca="false">K273+J274</f>
        <v>569.9</v>
      </c>
      <c r="L274" s="6" t="n">
        <v>1.2</v>
      </c>
      <c r="M274" s="6" t="n">
        <f aca="false">M273+L274</f>
        <v>235.2</v>
      </c>
      <c r="N274" s="6" t="n">
        <v>34.7</v>
      </c>
      <c r="O274" s="6" t="n">
        <v>122.1</v>
      </c>
      <c r="P274" s="6" t="n">
        <v>227</v>
      </c>
      <c r="Q274" s="6" t="n">
        <v>1.15</v>
      </c>
      <c r="R274" s="14" t="n">
        <f aca="false">Q274*L274</f>
        <v>1.38</v>
      </c>
      <c r="S274" s="14" t="n">
        <f aca="false">J274-R274</f>
        <v>34.52</v>
      </c>
      <c r="T274" s="14" t="n">
        <f aca="false">MIN(122.1,(T273+S274))</f>
        <v>119.8715625</v>
      </c>
      <c r="U274" s="6" t="n">
        <v>0</v>
      </c>
      <c r="V274" s="6" t="n">
        <v>590.9</v>
      </c>
      <c r="X274" s="6" t="n">
        <f aca="false">X273+V274</f>
        <v>132062.8</v>
      </c>
      <c r="Y274" s="41" t="n">
        <f aca="false">Y273+V274</f>
        <v>6592.7</v>
      </c>
      <c r="Z274" s="15" t="n">
        <f aca="false">(Z272/100)/I284</f>
        <v>0.953476245654693</v>
      </c>
      <c r="AA274" s="6" t="n">
        <v>14.1416713369059</v>
      </c>
    </row>
    <row r="275" s="6" customFormat="true" ht="15" hidden="false" customHeight="false" outlineLevel="0" collapsed="false">
      <c r="A275" s="39"/>
      <c r="C275" s="7" t="n">
        <v>41391</v>
      </c>
      <c r="D275" s="6" t="n">
        <v>5.5</v>
      </c>
      <c r="E275" s="6" t="n">
        <v>4.8</v>
      </c>
      <c r="F275" s="6" t="n">
        <v>5.6</v>
      </c>
      <c r="G275" s="6" t="n">
        <f aca="false">G274+D275</f>
        <v>1541.8</v>
      </c>
      <c r="H275" s="6" t="n">
        <f aca="false">H274+D275</f>
        <v>61</v>
      </c>
      <c r="I275" s="40" t="s">
        <v>35</v>
      </c>
      <c r="J275" s="6" t="n">
        <v>22.4</v>
      </c>
      <c r="K275" s="6" t="n">
        <f aca="false">K274+J275</f>
        <v>592.3</v>
      </c>
      <c r="L275" s="6" t="n">
        <v>0.7</v>
      </c>
      <c r="M275" s="6" t="n">
        <f aca="false">M274+L275</f>
        <v>235.9</v>
      </c>
      <c r="N275" s="6" t="n">
        <v>21.7</v>
      </c>
      <c r="O275" s="6" t="n">
        <v>122.1</v>
      </c>
      <c r="P275" s="6" t="n">
        <v>228</v>
      </c>
      <c r="Q275" s="6" t="n">
        <v>1.15</v>
      </c>
      <c r="R275" s="14" t="n">
        <f aca="false">Q275*L275</f>
        <v>0.805</v>
      </c>
      <c r="S275" s="14" t="n">
        <f aca="false">J275-R275</f>
        <v>21.595</v>
      </c>
      <c r="T275" s="14" t="n">
        <f aca="false">MIN(122.1,(T274+S275))</f>
        <v>122.1</v>
      </c>
      <c r="U275" s="40" t="s">
        <v>39</v>
      </c>
      <c r="V275" s="6" t="n">
        <v>494.8</v>
      </c>
      <c r="X275" s="6" t="n">
        <f aca="false">X274+V275</f>
        <v>132557.6</v>
      </c>
      <c r="Y275" s="41" t="n">
        <f aca="false">Y274+V275</f>
        <v>7087.5</v>
      </c>
      <c r="Z275" s="40" t="s">
        <v>37</v>
      </c>
      <c r="AA275" s="6" t="n">
        <v>14.1932248605896</v>
      </c>
    </row>
    <row r="276" s="6" customFormat="true" ht="15" hidden="false" customHeight="false" outlineLevel="0" collapsed="false">
      <c r="A276" s="39"/>
      <c r="C276" s="7" t="n">
        <v>41392</v>
      </c>
      <c r="D276" s="6" t="n">
        <v>6.8</v>
      </c>
      <c r="E276" s="6" t="n">
        <v>4.7</v>
      </c>
      <c r="F276" s="6" t="n">
        <v>8.7</v>
      </c>
      <c r="G276" s="6" t="n">
        <f aca="false">G275+D276</f>
        <v>1548.6</v>
      </c>
      <c r="H276" s="6" t="n">
        <f aca="false">H275+D276</f>
        <v>67.8</v>
      </c>
      <c r="I276" s="14" t="n">
        <f aca="false">AVERAGE(D271:D291)</f>
        <v>12.3285714285714</v>
      </c>
      <c r="J276" s="6" t="n">
        <v>3.6</v>
      </c>
      <c r="K276" s="6" t="n">
        <f aca="false">K275+J276</f>
        <v>595.9</v>
      </c>
      <c r="L276" s="6" t="n">
        <v>0.6</v>
      </c>
      <c r="M276" s="6" t="n">
        <f aca="false">M275+L276</f>
        <v>236.5</v>
      </c>
      <c r="N276" s="6" t="n">
        <v>3</v>
      </c>
      <c r="O276" s="6" t="n">
        <v>122.1</v>
      </c>
      <c r="P276" s="6" t="n">
        <v>229</v>
      </c>
      <c r="Q276" s="6" t="n">
        <v>1.15</v>
      </c>
      <c r="R276" s="14" t="n">
        <f aca="false">Q276*L276</f>
        <v>0.69</v>
      </c>
      <c r="S276" s="14" t="n">
        <f aca="false">J276-R276</f>
        <v>2.91</v>
      </c>
      <c r="T276" s="14" t="n">
        <f aca="false">MIN(122.1,(T275+S276))</f>
        <v>122.1</v>
      </c>
      <c r="U276" s="14" t="n">
        <f aca="false">MIN(T271:T291)</f>
        <v>85.3515625</v>
      </c>
      <c r="V276" s="6" t="n">
        <v>559.1</v>
      </c>
      <c r="X276" s="6" t="n">
        <f aca="false">X275+V276</f>
        <v>133116.7</v>
      </c>
      <c r="Y276" s="41" t="n">
        <f aca="false">Y275+V276</f>
        <v>7646.6</v>
      </c>
      <c r="Z276" s="6" t="n">
        <v>8</v>
      </c>
      <c r="AA276" s="6" t="n">
        <v>14.2444303249817</v>
      </c>
    </row>
    <row r="277" s="6" customFormat="true" ht="15" hidden="false" customHeight="false" outlineLevel="0" collapsed="false">
      <c r="A277" s="39"/>
      <c r="C277" s="7" t="n">
        <v>41393</v>
      </c>
      <c r="D277" s="6" t="n">
        <v>9.6</v>
      </c>
      <c r="E277" s="6" t="n">
        <v>6.6</v>
      </c>
      <c r="F277" s="6" t="n">
        <v>12.7</v>
      </c>
      <c r="G277" s="6" t="n">
        <f aca="false">G276+D277</f>
        <v>1558.2</v>
      </c>
      <c r="H277" s="6" t="n">
        <f aca="false">H276+D277</f>
        <v>77.4</v>
      </c>
      <c r="I277" s="40" t="s">
        <v>38</v>
      </c>
      <c r="J277" s="6" t="n">
        <v>4.3</v>
      </c>
      <c r="K277" s="6" t="n">
        <f aca="false">K276+J277</f>
        <v>600.2</v>
      </c>
      <c r="L277" s="6" t="n">
        <v>0.9</v>
      </c>
      <c r="M277" s="6" t="n">
        <f aca="false">M276+L277</f>
        <v>237.4</v>
      </c>
      <c r="N277" s="6" t="n">
        <v>3.4</v>
      </c>
      <c r="O277" s="6" t="n">
        <v>122.1</v>
      </c>
      <c r="P277" s="6" t="n">
        <v>230</v>
      </c>
      <c r="Q277" s="6" t="n">
        <v>1.15</v>
      </c>
      <c r="R277" s="14" t="n">
        <f aca="false">Q277*L277</f>
        <v>1.035</v>
      </c>
      <c r="S277" s="14" t="n">
        <f aca="false">J277-R277</f>
        <v>3.265</v>
      </c>
      <c r="T277" s="14" t="n">
        <f aca="false">MIN(122.1,(T276+S277))</f>
        <v>122.1</v>
      </c>
      <c r="U277" s="40" t="s">
        <v>41</v>
      </c>
      <c r="V277" s="6" t="n">
        <v>516.9</v>
      </c>
      <c r="X277" s="6" t="n">
        <f aca="false">X276+V277</f>
        <v>133633.6</v>
      </c>
      <c r="Y277" s="41" t="n">
        <f aca="false">Y276+V277</f>
        <v>8163.5</v>
      </c>
      <c r="AA277" s="6" t="n">
        <v>14.2952721476636</v>
      </c>
    </row>
    <row r="278" s="6" customFormat="true" ht="15" hidden="false" customHeight="false" outlineLevel="0" collapsed="false">
      <c r="A278" s="39"/>
      <c r="C278" s="7" t="n">
        <v>41394</v>
      </c>
      <c r="D278" s="6" t="n">
        <v>10.8</v>
      </c>
      <c r="E278" s="6" t="n">
        <v>8.8</v>
      </c>
      <c r="F278" s="6" t="n">
        <v>12.5</v>
      </c>
      <c r="G278" s="6" t="n">
        <f aca="false">G277+D278</f>
        <v>1569</v>
      </c>
      <c r="H278" s="6" t="n">
        <f aca="false">H277+D278</f>
        <v>88.2</v>
      </c>
      <c r="I278" s="6" t="n">
        <v>0</v>
      </c>
      <c r="J278" s="6" t="n">
        <v>13.8</v>
      </c>
      <c r="K278" s="6" t="n">
        <f aca="false">K277+J278</f>
        <v>614</v>
      </c>
      <c r="L278" s="6" t="n">
        <v>0.9</v>
      </c>
      <c r="M278" s="6" t="n">
        <f aca="false">M277+L278</f>
        <v>238.3</v>
      </c>
      <c r="N278" s="6" t="n">
        <v>12.9</v>
      </c>
      <c r="O278" s="6" t="n">
        <v>122.1</v>
      </c>
      <c r="P278" s="6" t="n">
        <v>231</v>
      </c>
      <c r="Q278" s="6" t="n">
        <v>1.15</v>
      </c>
      <c r="R278" s="14" t="n">
        <f aca="false">Q278*L278</f>
        <v>1.035</v>
      </c>
      <c r="S278" s="14" t="n">
        <f aca="false">J278-R278</f>
        <v>12.765</v>
      </c>
      <c r="T278" s="14" t="n">
        <f aca="false">MIN(122.1,(T277+S278))</f>
        <v>122.1</v>
      </c>
      <c r="U278" s="14" t="n">
        <f aca="false">MAX(T271:T291)</f>
        <v>122.1</v>
      </c>
      <c r="V278" s="6" t="n">
        <v>484.3</v>
      </c>
      <c r="X278" s="6" t="n">
        <f aca="false">X277+V278</f>
        <v>134117.9</v>
      </c>
      <c r="Y278" s="41" t="n">
        <f aca="false">Y277+V278</f>
        <v>8647.8</v>
      </c>
      <c r="AA278" s="6" t="n">
        <v>14.3457342666027</v>
      </c>
    </row>
    <row r="279" s="6" customFormat="true" ht="15" hidden="false" customHeight="false" outlineLevel="0" collapsed="false">
      <c r="A279" s="39"/>
      <c r="C279" s="7" t="n">
        <v>41395</v>
      </c>
      <c r="D279" s="6" t="n">
        <v>12.6</v>
      </c>
      <c r="E279" s="6" t="n">
        <v>10.3</v>
      </c>
      <c r="F279" s="6" t="n">
        <v>15.8</v>
      </c>
      <c r="G279" s="6" t="n">
        <f aca="false">G278+D279</f>
        <v>1581.6</v>
      </c>
      <c r="H279" s="6" t="n">
        <f aca="false">H278+D279</f>
        <v>100.8</v>
      </c>
      <c r="I279" s="40" t="s">
        <v>40</v>
      </c>
      <c r="J279" s="6" t="n">
        <v>1.1</v>
      </c>
      <c r="K279" s="6" t="n">
        <f aca="false">K278+J279</f>
        <v>615.1</v>
      </c>
      <c r="L279" s="6" t="n">
        <v>1.5</v>
      </c>
      <c r="M279" s="6" t="n">
        <f aca="false">M278+L279</f>
        <v>239.8</v>
      </c>
      <c r="N279" s="6" t="n">
        <v>-0.4</v>
      </c>
      <c r="O279" s="6" t="n">
        <f aca="false">O278+N279</f>
        <v>121.7</v>
      </c>
      <c r="P279" s="6" t="n">
        <v>232</v>
      </c>
      <c r="Q279" s="6" t="n">
        <v>1.15</v>
      </c>
      <c r="R279" s="14" t="n">
        <f aca="false">Q279*L279</f>
        <v>1.725</v>
      </c>
      <c r="S279" s="14" t="n">
        <f aca="false">J279-R279</f>
        <v>-0.625</v>
      </c>
      <c r="T279" s="14" t="n">
        <f aca="false">MIN(122.1,(T278+S279))</f>
        <v>121.475</v>
      </c>
      <c r="U279" s="40" t="s">
        <v>43</v>
      </c>
      <c r="V279" s="6" t="n">
        <v>1070</v>
      </c>
      <c r="X279" s="6" t="n">
        <f aca="false">X278+V279</f>
        <v>135187.9</v>
      </c>
      <c r="Y279" s="41" t="n">
        <f aca="false">Y278+V279</f>
        <v>9717.8</v>
      </c>
      <c r="AA279" s="6" t="n">
        <v>14.3958001370346</v>
      </c>
    </row>
    <row r="280" s="6" customFormat="true" ht="15" hidden="false" customHeight="false" outlineLevel="0" collapsed="false">
      <c r="A280" s="39"/>
      <c r="C280" s="7" t="n">
        <v>41396</v>
      </c>
      <c r="D280" s="6" t="n">
        <v>13.1</v>
      </c>
      <c r="E280" s="6" t="n">
        <v>8.3</v>
      </c>
      <c r="F280" s="6" t="n">
        <v>18.9</v>
      </c>
      <c r="G280" s="6" t="n">
        <f aca="false">G279+D280</f>
        <v>1594.7</v>
      </c>
      <c r="H280" s="6" t="n">
        <f aca="false">H279+D280</f>
        <v>113.9</v>
      </c>
      <c r="I280" s="6" t="n">
        <v>0</v>
      </c>
      <c r="J280" s="6" t="n">
        <v>35.5</v>
      </c>
      <c r="K280" s="6" t="n">
        <f aca="false">K279+J280</f>
        <v>650.6</v>
      </c>
      <c r="L280" s="6" t="n">
        <v>3.2</v>
      </c>
      <c r="M280" s="6" t="n">
        <f aca="false">M279+L280</f>
        <v>243</v>
      </c>
      <c r="N280" s="6" t="n">
        <v>32.3</v>
      </c>
      <c r="O280" s="6" t="n">
        <v>122.1</v>
      </c>
      <c r="P280" s="6" t="n">
        <v>233</v>
      </c>
      <c r="Q280" s="6" t="n">
        <v>1.15</v>
      </c>
      <c r="R280" s="14" t="n">
        <f aca="false">Q280*L280</f>
        <v>3.68</v>
      </c>
      <c r="S280" s="14" t="n">
        <f aca="false">J280-R280</f>
        <v>31.82</v>
      </c>
      <c r="T280" s="14" t="n">
        <f aca="false">MIN(122.1,(T279+S280))</f>
        <v>122.1</v>
      </c>
      <c r="U280" s="15" t="n">
        <f aca="false">AVERAGE(T271:T291)</f>
        <v>113.084107142857</v>
      </c>
      <c r="V280" s="6" t="n">
        <v>2036.1</v>
      </c>
      <c r="X280" s="6" t="n">
        <f aca="false">X279+V280</f>
        <v>137224</v>
      </c>
      <c r="Y280" s="41" t="n">
        <f aca="false">Y279+V280</f>
        <v>11753.9</v>
      </c>
      <c r="AA280" s="6" t="n">
        <v>14.4454527296138</v>
      </c>
    </row>
    <row r="281" s="6" customFormat="true" ht="15" hidden="false" customHeight="false" outlineLevel="0" collapsed="false">
      <c r="A281" s="39"/>
      <c r="C281" s="7" t="n">
        <v>41397</v>
      </c>
      <c r="D281" s="6" t="n">
        <v>11.6</v>
      </c>
      <c r="E281" s="6" t="n">
        <v>11.1</v>
      </c>
      <c r="F281" s="6" t="n">
        <v>11.8</v>
      </c>
      <c r="G281" s="6" t="n">
        <f aca="false">G280+D281</f>
        <v>1606.3</v>
      </c>
      <c r="H281" s="6" t="n">
        <f aca="false">H280+D281</f>
        <v>125.5</v>
      </c>
      <c r="I281" s="40" t="s">
        <v>42</v>
      </c>
      <c r="J281" s="6" t="n">
        <v>18.2</v>
      </c>
      <c r="K281" s="6" t="n">
        <f aca="false">K280+J281</f>
        <v>668.8</v>
      </c>
      <c r="L281" s="6" t="n">
        <v>0.9</v>
      </c>
      <c r="M281" s="6" t="n">
        <f aca="false">M280+L281</f>
        <v>243.9</v>
      </c>
      <c r="N281" s="6" t="n">
        <v>17.3</v>
      </c>
      <c r="O281" s="6" t="n">
        <v>122.1</v>
      </c>
      <c r="P281" s="6" t="n">
        <v>234</v>
      </c>
      <c r="Q281" s="6" t="n">
        <v>1.15</v>
      </c>
      <c r="R281" s="14" t="n">
        <f aca="false">Q281*L281</f>
        <v>1.035</v>
      </c>
      <c r="S281" s="14" t="n">
        <f aca="false">J281-R281</f>
        <v>17.165</v>
      </c>
      <c r="T281" s="14" t="n">
        <f aca="false">MIN(122.1,(T280+S281))</f>
        <v>122.1</v>
      </c>
      <c r="V281" s="6" t="n">
        <v>458</v>
      </c>
      <c r="X281" s="6" t="n">
        <f aca="false">X280+V281</f>
        <v>137682</v>
      </c>
      <c r="Y281" s="41" t="n">
        <f aca="false">Y280+V281</f>
        <v>12211.9</v>
      </c>
      <c r="AA281" s="6" t="n">
        <v>14.494674529923</v>
      </c>
    </row>
    <row r="282" s="6" customFormat="true" ht="15" hidden="false" customHeight="false" outlineLevel="0" collapsed="false">
      <c r="A282" s="39"/>
      <c r="C282" s="7" t="n">
        <v>41398</v>
      </c>
      <c r="D282" s="6" t="n">
        <v>12.7</v>
      </c>
      <c r="E282" s="6" t="n">
        <v>10.3</v>
      </c>
      <c r="F282" s="6" t="n">
        <v>15.6</v>
      </c>
      <c r="G282" s="6" t="n">
        <f aca="false">G281+D282</f>
        <v>1619</v>
      </c>
      <c r="H282" s="6" t="n">
        <f aca="false">H281+D282</f>
        <v>138.2</v>
      </c>
      <c r="I282" s="6" t="n">
        <v>3</v>
      </c>
      <c r="J282" s="6" t="n">
        <v>0.4</v>
      </c>
      <c r="K282" s="6" t="n">
        <f aca="false">K281+J282</f>
        <v>669.2</v>
      </c>
      <c r="L282" s="6" t="n">
        <v>2.4</v>
      </c>
      <c r="M282" s="6" t="n">
        <f aca="false">M281+L282</f>
        <v>246.3</v>
      </c>
      <c r="N282" s="6" t="n">
        <v>-2</v>
      </c>
      <c r="O282" s="6" t="n">
        <f aca="false">O281+N282</f>
        <v>120.1</v>
      </c>
      <c r="P282" s="6" t="n">
        <v>235</v>
      </c>
      <c r="Q282" s="6" t="n">
        <v>1.15</v>
      </c>
      <c r="R282" s="14" t="n">
        <f aca="false">Q282*L282</f>
        <v>2.76</v>
      </c>
      <c r="S282" s="14" t="n">
        <f aca="false">J282-R282</f>
        <v>-2.36</v>
      </c>
      <c r="T282" s="14" t="n">
        <f aca="false">MIN(122.1,(T281+S282))</f>
        <v>119.74</v>
      </c>
      <c r="U282" s="14" t="n">
        <f aca="false">(U280*100)/122.1</f>
        <v>92.6159763659764</v>
      </c>
      <c r="V282" s="6" t="n">
        <v>1762.1</v>
      </c>
      <c r="X282" s="6" t="n">
        <f aca="false">X281+V282</f>
        <v>139444.1</v>
      </c>
      <c r="Y282" s="41" t="n">
        <f aca="false">Y281+V282</f>
        <v>13974</v>
      </c>
      <c r="AA282" s="6" t="n">
        <v>14.5434475394284</v>
      </c>
    </row>
    <row r="283" s="6" customFormat="true" ht="15" hidden="false" customHeight="false" outlineLevel="0" collapsed="false">
      <c r="A283" s="39"/>
      <c r="C283" s="7" t="n">
        <v>41399</v>
      </c>
      <c r="D283" s="6" t="n">
        <v>14.9</v>
      </c>
      <c r="E283" s="6" t="n">
        <v>8.3</v>
      </c>
      <c r="F283" s="6" t="n">
        <v>20.7</v>
      </c>
      <c r="G283" s="6" t="n">
        <f aca="false">G282+D283</f>
        <v>1633.9</v>
      </c>
      <c r="H283" s="6" t="n">
        <f aca="false">H282+D283</f>
        <v>153.1</v>
      </c>
      <c r="I283" s="40" t="s">
        <v>44</v>
      </c>
      <c r="J283" s="6" t="n">
        <v>0</v>
      </c>
      <c r="K283" s="6" t="n">
        <f aca="false">K282+J283</f>
        <v>669.2</v>
      </c>
      <c r="L283" s="6" t="n">
        <v>3.3</v>
      </c>
      <c r="M283" s="6" t="n">
        <f aca="false">M282+L283</f>
        <v>249.6</v>
      </c>
      <c r="N283" s="6" t="n">
        <v>-3.3</v>
      </c>
      <c r="O283" s="6" t="n">
        <f aca="false">O282+N283</f>
        <v>116.8</v>
      </c>
      <c r="P283" s="6" t="n">
        <v>236</v>
      </c>
      <c r="Q283" s="6" t="n">
        <v>1.15</v>
      </c>
      <c r="R283" s="14" t="n">
        <f aca="false">Q283*L283</f>
        <v>3.795</v>
      </c>
      <c r="S283" s="14" t="n">
        <f aca="false">J283-R283</f>
        <v>-3.795</v>
      </c>
      <c r="T283" s="14" t="n">
        <f aca="false">MIN(122.1,(T282+S283))</f>
        <v>115.945</v>
      </c>
      <c r="V283" s="6" t="n">
        <v>1965.1</v>
      </c>
      <c r="X283" s="6" t="n">
        <f aca="false">X282+V283</f>
        <v>141409.2</v>
      </c>
      <c r="Y283" s="41" t="n">
        <f aca="false">Y282+V283</f>
        <v>15939.1</v>
      </c>
      <c r="AA283" s="6" t="n">
        <v>14.591753277977</v>
      </c>
    </row>
    <row r="284" s="6" customFormat="true" ht="15" hidden="false" customHeight="false" outlineLevel="0" collapsed="false">
      <c r="A284" s="39"/>
      <c r="C284" s="7" t="n">
        <v>41400</v>
      </c>
      <c r="D284" s="6" t="n">
        <v>14.7</v>
      </c>
      <c r="E284" s="6" t="n">
        <v>12.8</v>
      </c>
      <c r="F284" s="6" t="n">
        <v>17.3</v>
      </c>
      <c r="G284" s="6" t="n">
        <f aca="false">G283+D284</f>
        <v>1648.6</v>
      </c>
      <c r="H284" s="6" t="n">
        <f aca="false">H283+D284</f>
        <v>167.8</v>
      </c>
      <c r="I284" s="6" t="n">
        <v>258.9</v>
      </c>
      <c r="J284" s="6" t="n">
        <v>0.1</v>
      </c>
      <c r="K284" s="6" t="n">
        <f aca="false">K283+J284</f>
        <v>669.3</v>
      </c>
      <c r="L284" s="6" t="n">
        <v>1.3</v>
      </c>
      <c r="M284" s="6" t="n">
        <f aca="false">M283+L284</f>
        <v>250.9</v>
      </c>
      <c r="N284" s="6" t="n">
        <v>-1.2</v>
      </c>
      <c r="O284" s="6" t="n">
        <f aca="false">O283+N284</f>
        <v>115.6</v>
      </c>
      <c r="P284" s="6" t="n">
        <v>237</v>
      </c>
      <c r="Q284" s="6" t="n">
        <v>1.15</v>
      </c>
      <c r="R284" s="14" t="n">
        <f aca="false">Q284*L284</f>
        <v>1.495</v>
      </c>
      <c r="S284" s="14" t="n">
        <f aca="false">J284-R284</f>
        <v>-1.395</v>
      </c>
      <c r="T284" s="14" t="n">
        <f aca="false">MIN(122.1,(T283+S284))</f>
        <v>114.55</v>
      </c>
      <c r="V284" s="6" t="n">
        <v>469.1</v>
      </c>
      <c r="X284" s="6" t="n">
        <f aca="false">X283+V284</f>
        <v>141878.3</v>
      </c>
      <c r="Y284" s="41" t="n">
        <f aca="false">Y283+V284</f>
        <v>16408.2</v>
      </c>
      <c r="AA284" s="6" t="n">
        <v>14.6395727879261</v>
      </c>
    </row>
    <row r="285" s="6" customFormat="true" ht="15" hidden="false" customHeight="false" outlineLevel="0" collapsed="false">
      <c r="A285" s="39"/>
      <c r="C285" s="7" t="n">
        <v>41401</v>
      </c>
      <c r="D285" s="6" t="n">
        <v>14.1</v>
      </c>
      <c r="E285" s="6" t="n">
        <v>9.9</v>
      </c>
      <c r="F285" s="6" t="n">
        <v>19.9</v>
      </c>
      <c r="G285" s="6" t="n">
        <f aca="false">G284+D285</f>
        <v>1662.7</v>
      </c>
      <c r="H285" s="6" t="n">
        <f aca="false">H284+D285</f>
        <v>181.9</v>
      </c>
      <c r="J285" s="6" t="n">
        <v>0</v>
      </c>
      <c r="K285" s="6" t="n">
        <f aca="false">K284+J285</f>
        <v>669.3</v>
      </c>
      <c r="L285" s="6" t="n">
        <v>3.9</v>
      </c>
      <c r="M285" s="6" t="n">
        <f aca="false">M284+L285</f>
        <v>254.8</v>
      </c>
      <c r="N285" s="6" t="n">
        <v>-3.9</v>
      </c>
      <c r="O285" s="6" t="n">
        <f aca="false">O284+N285</f>
        <v>111.7</v>
      </c>
      <c r="P285" s="6" t="n">
        <v>238</v>
      </c>
      <c r="Q285" s="6" t="n">
        <v>1.15</v>
      </c>
      <c r="R285" s="14" t="n">
        <f aca="false">Q285*L285</f>
        <v>4.485</v>
      </c>
      <c r="S285" s="14" t="n">
        <f aca="false">J285-R285</f>
        <v>-4.485</v>
      </c>
      <c r="T285" s="14" t="n">
        <f aca="false">MIN(122.1,(T284+S285))</f>
        <v>110.065</v>
      </c>
      <c r="V285" s="6" t="n">
        <v>2552.6</v>
      </c>
      <c r="X285" s="6" t="n">
        <f aca="false">X284+V285</f>
        <v>144430.9</v>
      </c>
      <c r="Y285" s="41" t="n">
        <f aca="false">Y284+V285</f>
        <v>18960.8</v>
      </c>
      <c r="AA285" s="6" t="n">
        <v>14.6868866400001</v>
      </c>
    </row>
    <row r="286" s="6" customFormat="true" ht="15" hidden="false" customHeight="false" outlineLevel="0" collapsed="false">
      <c r="A286" s="39"/>
      <c r="C286" s="7" t="n">
        <v>41402</v>
      </c>
      <c r="D286" s="6" t="n">
        <v>15.4</v>
      </c>
      <c r="E286" s="6" t="n">
        <v>8.4</v>
      </c>
      <c r="F286" s="6" t="n">
        <v>19.6</v>
      </c>
      <c r="G286" s="6" t="n">
        <f aca="false">G285+D286</f>
        <v>1678.1</v>
      </c>
      <c r="H286" s="6" t="n">
        <f aca="false">H285+D286</f>
        <v>197.3</v>
      </c>
      <c r="J286" s="6" t="n">
        <v>0.9</v>
      </c>
      <c r="K286" s="6" t="n">
        <f aca="false">K285+J286</f>
        <v>670.2</v>
      </c>
      <c r="L286" s="6" t="n">
        <v>1.3</v>
      </c>
      <c r="M286" s="6" t="n">
        <f aca="false">M285+L286</f>
        <v>256.1</v>
      </c>
      <c r="N286" s="6" t="n">
        <v>-0.4</v>
      </c>
      <c r="O286" s="6" t="n">
        <f aca="false">O285+N286</f>
        <v>111.3</v>
      </c>
      <c r="P286" s="6" t="n">
        <v>239</v>
      </c>
      <c r="Q286" s="6" t="n">
        <v>1.15</v>
      </c>
      <c r="R286" s="14" t="n">
        <f aca="false">Q286*L286</f>
        <v>1.495</v>
      </c>
      <c r="S286" s="14" t="n">
        <f aca="false">J286-R286</f>
        <v>-0.595</v>
      </c>
      <c r="T286" s="14" t="n">
        <f aca="false">MIN(122.1,(T285+S286))</f>
        <v>109.47</v>
      </c>
      <c r="V286" s="6" t="n">
        <v>987.1</v>
      </c>
      <c r="X286" s="6" t="n">
        <f aca="false">X285+V286</f>
        <v>145418</v>
      </c>
      <c r="Y286" s="41" t="n">
        <f aca="false">Y285+V286</f>
        <v>19947.9</v>
      </c>
      <c r="AA286" s="6" t="n">
        <v>14.733674940967</v>
      </c>
    </row>
    <row r="287" s="6" customFormat="true" ht="15" hidden="false" customHeight="false" outlineLevel="0" collapsed="false">
      <c r="A287" s="39"/>
      <c r="C287" s="7" t="n">
        <v>41403</v>
      </c>
      <c r="D287" s="6" t="n">
        <v>15.6</v>
      </c>
      <c r="E287" s="6" t="n">
        <v>13.4</v>
      </c>
      <c r="F287" s="6" t="n">
        <v>19.3</v>
      </c>
      <c r="G287" s="6" t="n">
        <f aca="false">G286+D287</f>
        <v>1693.7</v>
      </c>
      <c r="H287" s="6" t="n">
        <f aca="false">H286+D287</f>
        <v>212.9</v>
      </c>
      <c r="J287" s="6" t="n">
        <v>6.5</v>
      </c>
      <c r="K287" s="6" t="n">
        <f aca="false">K286+J287</f>
        <v>676.7</v>
      </c>
      <c r="L287" s="6" t="n">
        <v>1.7</v>
      </c>
      <c r="M287" s="6" t="n">
        <f aca="false">M286+L287</f>
        <v>257.8</v>
      </c>
      <c r="N287" s="6" t="n">
        <v>4.8</v>
      </c>
      <c r="O287" s="6" t="n">
        <f aca="false">O286+N287</f>
        <v>116.1</v>
      </c>
      <c r="P287" s="6" t="n">
        <v>240</v>
      </c>
      <c r="Q287" s="6" t="n">
        <v>1.15</v>
      </c>
      <c r="R287" s="14" t="n">
        <f aca="false">Q287*L287</f>
        <v>1.955</v>
      </c>
      <c r="S287" s="14" t="n">
        <f aca="false">J287-R287</f>
        <v>4.545</v>
      </c>
      <c r="T287" s="14" t="n">
        <f aca="false">MIN(122.1,(T286+S287))</f>
        <v>114.015</v>
      </c>
      <c r="V287" s="6" t="n">
        <v>901.1</v>
      </c>
      <c r="X287" s="6" t="n">
        <f aca="false">X286+V287</f>
        <v>146319.1</v>
      </c>
      <c r="Y287" s="41" t="n">
        <f aca="false">Y286+V287</f>
        <v>20849</v>
      </c>
      <c r="AA287" s="6" t="n">
        <v>14.7799173432285</v>
      </c>
    </row>
    <row r="288" s="6" customFormat="true" ht="15" hidden="false" customHeight="false" outlineLevel="0" collapsed="false">
      <c r="A288" s="39"/>
      <c r="C288" s="7" t="n">
        <v>41404</v>
      </c>
      <c r="D288" s="6" t="n">
        <v>12.1</v>
      </c>
      <c r="E288" s="6" t="n">
        <v>9.6</v>
      </c>
      <c r="F288" s="6" t="n">
        <v>13.4</v>
      </c>
      <c r="G288" s="6" t="n">
        <f aca="false">G287+D288</f>
        <v>1705.8</v>
      </c>
      <c r="H288" s="6" t="n">
        <f aca="false">H287+D288</f>
        <v>225</v>
      </c>
      <c r="J288" s="6" t="n">
        <v>0</v>
      </c>
      <c r="K288" s="6" t="n">
        <f aca="false">K287+J288</f>
        <v>676.7</v>
      </c>
      <c r="L288" s="6" t="n">
        <v>1.8</v>
      </c>
      <c r="M288" s="6" t="n">
        <f aca="false">M287+L288</f>
        <v>259.6</v>
      </c>
      <c r="N288" s="6" t="n">
        <v>-1.8</v>
      </c>
      <c r="O288" s="6" t="n">
        <f aca="false">O287+N288</f>
        <v>114.3</v>
      </c>
      <c r="P288" s="6" t="n">
        <v>241</v>
      </c>
      <c r="Q288" s="6" t="n">
        <v>1.15</v>
      </c>
      <c r="R288" s="14" t="n">
        <f aca="false">Q288*L288</f>
        <v>2.07</v>
      </c>
      <c r="S288" s="14" t="n">
        <f aca="false">J288-R288</f>
        <v>-2.07</v>
      </c>
      <c r="T288" s="14" t="n">
        <f aca="false">MIN(122.1,(T287+S288))</f>
        <v>111.945</v>
      </c>
      <c r="V288" s="6" t="n">
        <v>1184</v>
      </c>
      <c r="X288" s="6" t="n">
        <f aca="false">X287+V288</f>
        <v>147503.1</v>
      </c>
      <c r="Y288" s="41" t="n">
        <f aca="false">Y287+V288</f>
        <v>22033</v>
      </c>
      <c r="AA288" s="6" t="n">
        <v>14.8255930564125</v>
      </c>
    </row>
    <row r="289" s="6" customFormat="true" ht="15" hidden="false" customHeight="false" outlineLevel="0" collapsed="false">
      <c r="A289" s="39"/>
      <c r="C289" s="7" t="n">
        <v>41405</v>
      </c>
      <c r="D289" s="6" t="n">
        <v>12.1</v>
      </c>
      <c r="E289" s="6" t="n">
        <v>10.2</v>
      </c>
      <c r="F289" s="6" t="n">
        <v>14.5</v>
      </c>
      <c r="G289" s="6" t="n">
        <f aca="false">G288+D289</f>
        <v>1717.9</v>
      </c>
      <c r="H289" s="6" t="n">
        <f aca="false">H288+D289</f>
        <v>237.1</v>
      </c>
      <c r="J289" s="6" t="n">
        <v>2.6</v>
      </c>
      <c r="K289" s="6" t="n">
        <f aca="false">K288+J289</f>
        <v>679.3</v>
      </c>
      <c r="L289" s="6" t="n">
        <v>1.4</v>
      </c>
      <c r="M289" s="6" t="n">
        <f aca="false">M288+L289</f>
        <v>261</v>
      </c>
      <c r="N289" s="6" t="n">
        <v>1.2</v>
      </c>
      <c r="O289" s="6" t="n">
        <f aca="false">O288+N289</f>
        <v>115.5</v>
      </c>
      <c r="P289" s="6" t="n">
        <v>242</v>
      </c>
      <c r="Q289" s="6" t="n">
        <v>1.15</v>
      </c>
      <c r="R289" s="14" t="n">
        <f aca="false">Q289*L289</f>
        <v>1.61</v>
      </c>
      <c r="S289" s="14" t="n">
        <f aca="false">J289-R289</f>
        <v>0.99</v>
      </c>
      <c r="T289" s="14" t="n">
        <f aca="false">MIN(122.1,(T288+S289))</f>
        <v>112.935</v>
      </c>
      <c r="V289" s="6" t="n">
        <v>983.2</v>
      </c>
      <c r="X289" s="6" t="n">
        <f aca="false">X288+V289</f>
        <v>148486.3</v>
      </c>
      <c r="Y289" s="41" t="n">
        <f aca="false">Y288+V289</f>
        <v>23016.2</v>
      </c>
      <c r="AA289" s="6" t="n">
        <v>14.8706808610575</v>
      </c>
    </row>
    <row r="290" s="6" customFormat="true" ht="15" hidden="false" customHeight="false" outlineLevel="0" collapsed="false">
      <c r="A290" s="39"/>
      <c r="C290" s="7" t="n">
        <v>41406</v>
      </c>
      <c r="D290" s="6" t="n">
        <v>10.8</v>
      </c>
      <c r="E290" s="6" t="n">
        <v>8</v>
      </c>
      <c r="F290" s="6" t="n">
        <v>13.7</v>
      </c>
      <c r="G290" s="6" t="n">
        <f aca="false">G289+D290</f>
        <v>1728.7</v>
      </c>
      <c r="H290" s="6" t="n">
        <f aca="false">H289+D290</f>
        <v>247.9</v>
      </c>
      <c r="J290" s="6" t="n">
        <v>0.4</v>
      </c>
      <c r="K290" s="6" t="n">
        <f aca="false">K289+J290</f>
        <v>679.7</v>
      </c>
      <c r="L290" s="6" t="n">
        <v>1.7</v>
      </c>
      <c r="M290" s="6" t="n">
        <f aca="false">M289+L290</f>
        <v>262.7</v>
      </c>
      <c r="N290" s="6" t="n">
        <v>-1.3</v>
      </c>
      <c r="O290" s="6" t="n">
        <f aca="false">O289+N290</f>
        <v>114.2</v>
      </c>
      <c r="P290" s="6" t="n">
        <v>243</v>
      </c>
      <c r="Q290" s="6" t="n">
        <v>1.15</v>
      </c>
      <c r="R290" s="14" t="n">
        <f aca="false">Q290*L290</f>
        <v>1.955</v>
      </c>
      <c r="S290" s="14" t="n">
        <f aca="false">J290-R290</f>
        <v>-1.555</v>
      </c>
      <c r="T290" s="14" t="n">
        <f aca="false">MIN(122.1,(T289+S290))</f>
        <v>111.38</v>
      </c>
      <c r="V290" s="6" t="n">
        <v>1086.6</v>
      </c>
      <c r="X290" s="6" t="n">
        <f aca="false">X289+V290</f>
        <v>149572.9</v>
      </c>
      <c r="Y290" s="41" t="n">
        <f aca="false">Y289+V290</f>
        <v>24102.8</v>
      </c>
      <c r="AA290" s="6" t="n">
        <v>14.9151591244712</v>
      </c>
    </row>
    <row r="291" s="54" customFormat="true" ht="15" hidden="false" customHeight="false" outlineLevel="0" collapsed="false">
      <c r="A291" s="42" t="s">
        <v>63</v>
      </c>
      <c r="C291" s="58" t="n">
        <v>41407</v>
      </c>
      <c r="D291" s="54" t="n">
        <v>11</v>
      </c>
      <c r="E291" s="54" t="n">
        <v>6.3</v>
      </c>
      <c r="F291" s="54" t="n">
        <v>14</v>
      </c>
      <c r="G291" s="54" t="n">
        <f aca="false">G290+D291</f>
        <v>1739.7</v>
      </c>
      <c r="H291" s="54" t="n">
        <f aca="false">H290+D291</f>
        <v>258.9</v>
      </c>
      <c r="J291" s="54" t="n">
        <v>0</v>
      </c>
      <c r="K291" s="54" t="n">
        <f aca="false">K290+J291</f>
        <v>679.7</v>
      </c>
      <c r="L291" s="54" t="n">
        <v>0.9</v>
      </c>
      <c r="M291" s="54" t="n">
        <f aca="false">M290+L291</f>
        <v>263.6</v>
      </c>
      <c r="N291" s="54" t="n">
        <v>-0.9</v>
      </c>
      <c r="O291" s="54" t="n">
        <f aca="false">O290+N291</f>
        <v>113.3</v>
      </c>
      <c r="P291" s="54" t="n">
        <v>244</v>
      </c>
      <c r="Q291" s="54" t="n">
        <v>1.15</v>
      </c>
      <c r="R291" s="59" t="n">
        <f aca="false">Q291*L291</f>
        <v>1.035</v>
      </c>
      <c r="S291" s="59" t="n">
        <f aca="false">J291-R291</f>
        <v>-1.035</v>
      </c>
      <c r="T291" s="59" t="n">
        <f aca="false">MIN(122.1,(T290+S291))</f>
        <v>110.345</v>
      </c>
      <c r="V291" s="54" t="n">
        <v>582.7</v>
      </c>
      <c r="X291" s="54" t="n">
        <f aca="false">X290+V291</f>
        <v>150155.6</v>
      </c>
      <c r="Y291" s="20" t="n">
        <f aca="false">Y290+V291</f>
        <v>24685.5</v>
      </c>
      <c r="AA291" s="54" t="n">
        <v>14.959005818845</v>
      </c>
    </row>
    <row r="292" s="41" customFormat="true" ht="15" hidden="false" customHeight="false" outlineLevel="0" collapsed="false">
      <c r="A292" s="60" t="n">
        <v>300</v>
      </c>
      <c r="C292" s="56" t="n">
        <v>41408</v>
      </c>
      <c r="D292" s="41" t="n">
        <v>14.3</v>
      </c>
      <c r="E292" s="41" t="n">
        <v>9.6</v>
      </c>
      <c r="F292" s="41" t="n">
        <v>18.4</v>
      </c>
      <c r="G292" s="41" t="n">
        <f aca="false">G291+D292</f>
        <v>1754</v>
      </c>
      <c r="H292" s="6" t="n">
        <f aca="false">D292</f>
        <v>14.3</v>
      </c>
      <c r="J292" s="41" t="n">
        <v>0.7</v>
      </c>
      <c r="K292" s="41" t="n">
        <f aca="false">K291+J292</f>
        <v>680.4</v>
      </c>
      <c r="L292" s="41" t="n">
        <v>2.5</v>
      </c>
      <c r="M292" s="41" t="n">
        <f aca="false">M291+L292</f>
        <v>266.1</v>
      </c>
      <c r="N292" s="41" t="n">
        <v>-1.8</v>
      </c>
      <c r="O292" s="41" t="n">
        <f aca="false">O291+N292</f>
        <v>111.5</v>
      </c>
      <c r="P292" s="41" t="n">
        <v>245</v>
      </c>
      <c r="Q292" s="41" t="n">
        <v>1.15</v>
      </c>
      <c r="R292" s="57" t="n">
        <f aca="false">Q292*L292</f>
        <v>2.875</v>
      </c>
      <c r="S292" s="57" t="n">
        <f aca="false">J292-R292</f>
        <v>-2.175</v>
      </c>
      <c r="T292" s="57" t="n">
        <f aca="false">MIN(122.1,(T291+S292))</f>
        <v>108.17</v>
      </c>
      <c r="U292" s="44" t="s">
        <v>33</v>
      </c>
      <c r="V292" s="41" t="n">
        <v>1513.1</v>
      </c>
      <c r="X292" s="41" t="n">
        <f aca="false">X291+V292</f>
        <v>151668.7</v>
      </c>
      <c r="Y292" s="41" t="n">
        <f aca="false">V292</f>
        <v>1513.1</v>
      </c>
      <c r="Z292" s="44" t="s">
        <v>31</v>
      </c>
      <c r="AA292" s="41" t="n">
        <v>15.0021985416956</v>
      </c>
    </row>
    <row r="293" s="6" customFormat="true" ht="15" hidden="false" customHeight="true" outlineLevel="0" collapsed="false">
      <c r="A293" s="60"/>
      <c r="B293" s="12"/>
      <c r="C293" s="7" t="n">
        <v>41409</v>
      </c>
      <c r="D293" s="6" t="n">
        <v>12.3</v>
      </c>
      <c r="E293" s="6" t="n">
        <v>11.9</v>
      </c>
      <c r="F293" s="6" t="n">
        <v>14</v>
      </c>
      <c r="G293" s="6" t="n">
        <f aca="false">G292+D293</f>
        <v>1766.3</v>
      </c>
      <c r="H293" s="6" t="n">
        <f aca="false">H292+D293</f>
        <v>26.6</v>
      </c>
      <c r="I293" s="44" t="s">
        <v>29</v>
      </c>
      <c r="J293" s="6" t="n">
        <v>20.3</v>
      </c>
      <c r="K293" s="6" t="n">
        <f aca="false">K292+J293</f>
        <v>700.7</v>
      </c>
      <c r="L293" s="6" t="n">
        <v>1.2</v>
      </c>
      <c r="M293" s="6" t="n">
        <f aca="false">M292+L293</f>
        <v>267.3</v>
      </c>
      <c r="N293" s="6" t="n">
        <v>19.1</v>
      </c>
      <c r="O293" s="6" t="n">
        <v>122.1</v>
      </c>
      <c r="P293" s="6" t="n">
        <v>246</v>
      </c>
      <c r="Q293" s="6" t="n">
        <v>1.15</v>
      </c>
      <c r="R293" s="14" t="n">
        <f aca="false">Q293*L293</f>
        <v>1.38</v>
      </c>
      <c r="S293" s="14" t="n">
        <f aca="false">J293-R293</f>
        <v>18.92</v>
      </c>
      <c r="T293" s="14" t="n">
        <f aca="false">MIN(122.1,(T292+S293))</f>
        <v>122.1</v>
      </c>
      <c r="U293" s="6" t="n">
        <v>0</v>
      </c>
      <c r="V293" s="6" t="n">
        <v>643.9</v>
      </c>
      <c r="X293" s="6" t="n">
        <f aca="false">X292+V293</f>
        <v>152312.6</v>
      </c>
      <c r="Y293" s="41" t="n">
        <f aca="false">Y292+V293</f>
        <v>2157</v>
      </c>
      <c r="Z293" s="6" t="n">
        <v>37728.5</v>
      </c>
      <c r="AA293" s="6" t="n">
        <v>15.0447145387021</v>
      </c>
    </row>
    <row r="294" s="6" customFormat="true" ht="15" hidden="false" customHeight="false" outlineLevel="0" collapsed="false">
      <c r="A294" s="60"/>
      <c r="B294" s="12"/>
      <c r="C294" s="7" t="n">
        <v>41410</v>
      </c>
      <c r="D294" s="6" t="n">
        <v>9.5</v>
      </c>
      <c r="E294" s="6" t="n">
        <v>8</v>
      </c>
      <c r="F294" s="6" t="n">
        <v>10.7</v>
      </c>
      <c r="G294" s="6" t="n">
        <f aca="false">G293+D294</f>
        <v>1775.8</v>
      </c>
      <c r="H294" s="6" t="n">
        <f aca="false">H293+D294</f>
        <v>36.1</v>
      </c>
      <c r="I294" s="6" t="n">
        <f aca="false">MIN(E292:E317)</f>
        <v>3.7</v>
      </c>
      <c r="J294" s="6" t="n">
        <v>10.7</v>
      </c>
      <c r="K294" s="6" t="n">
        <f aca="false">K293+J294</f>
        <v>711.4</v>
      </c>
      <c r="L294" s="6" t="n">
        <v>1</v>
      </c>
      <c r="M294" s="6" t="n">
        <f aca="false">M293+L294</f>
        <v>268.3</v>
      </c>
      <c r="N294" s="6" t="n">
        <v>9.7</v>
      </c>
      <c r="O294" s="6" t="n">
        <v>122.1</v>
      </c>
      <c r="P294" s="6" t="n">
        <v>247</v>
      </c>
      <c r="Q294" s="6" t="n">
        <v>1.15</v>
      </c>
      <c r="R294" s="14" t="n">
        <f aca="false">Q294*L294</f>
        <v>1.15</v>
      </c>
      <c r="S294" s="14" t="n">
        <f aca="false">J294-R294</f>
        <v>9.55</v>
      </c>
      <c r="T294" s="14" t="n">
        <f aca="false">MIN(122.1,(T293+S294))</f>
        <v>122.1</v>
      </c>
      <c r="U294" s="44" t="s">
        <v>36</v>
      </c>
      <c r="V294" s="6" t="n">
        <v>490.5</v>
      </c>
      <c r="X294" s="6" t="n">
        <f aca="false">X293+V294</f>
        <v>152803.1</v>
      </c>
      <c r="Y294" s="41" t="n">
        <f aca="false">Y293+V294</f>
        <v>2647.5</v>
      </c>
      <c r="Z294" s="44" t="s">
        <v>34</v>
      </c>
      <c r="AA294" s="6" t="n">
        <v>15.0865307289948</v>
      </c>
    </row>
    <row r="295" s="6" customFormat="true" ht="15" hidden="false" customHeight="false" outlineLevel="0" collapsed="false">
      <c r="A295" s="60"/>
      <c r="B295" s="12"/>
      <c r="C295" s="7" t="n">
        <v>41411</v>
      </c>
      <c r="D295" s="6" t="n">
        <v>10.9</v>
      </c>
      <c r="E295" s="6" t="n">
        <v>9.1</v>
      </c>
      <c r="F295" s="6" t="n">
        <v>13.3</v>
      </c>
      <c r="G295" s="6" t="n">
        <f aca="false">G294+D295</f>
        <v>1786.7</v>
      </c>
      <c r="H295" s="6" t="n">
        <f aca="false">H294+D295</f>
        <v>47</v>
      </c>
      <c r="I295" s="44" t="s">
        <v>32</v>
      </c>
      <c r="J295" s="6" t="n">
        <v>0.2</v>
      </c>
      <c r="K295" s="6" t="n">
        <f aca="false">K294+J295</f>
        <v>711.6</v>
      </c>
      <c r="L295" s="6" t="n">
        <v>0.8</v>
      </c>
      <c r="M295" s="6" t="n">
        <f aca="false">M294+L295</f>
        <v>269.1</v>
      </c>
      <c r="N295" s="6" t="n">
        <v>-0.6</v>
      </c>
      <c r="O295" s="6" t="n">
        <f aca="false">O294+N295</f>
        <v>121.5</v>
      </c>
      <c r="P295" s="6" t="n">
        <v>248</v>
      </c>
      <c r="Q295" s="6" t="n">
        <v>1.15</v>
      </c>
      <c r="R295" s="14" t="n">
        <f aca="false">Q295*L295</f>
        <v>0.92</v>
      </c>
      <c r="S295" s="14" t="n">
        <f aca="false">J295-R295</f>
        <v>-0.72</v>
      </c>
      <c r="T295" s="14" t="n">
        <f aca="false">MIN(122.1,(T294+S295))</f>
        <v>121.38</v>
      </c>
      <c r="U295" s="6" t="n">
        <v>0</v>
      </c>
      <c r="V295" s="6" t="n">
        <v>744.4</v>
      </c>
      <c r="X295" s="6" t="n">
        <f aca="false">X294+V295</f>
        <v>153547.5</v>
      </c>
      <c r="Y295" s="41" t="n">
        <f aca="false">Y294+V295</f>
        <v>3391.9</v>
      </c>
      <c r="Z295" s="6" t="n">
        <f aca="false">(Z293/100)/I306</f>
        <v>1.19167719519899</v>
      </c>
      <c r="AA295" s="6" t="n">
        <v>15.1276237329453</v>
      </c>
    </row>
    <row r="296" s="6" customFormat="true" ht="15" hidden="false" customHeight="false" outlineLevel="0" collapsed="false">
      <c r="A296" s="60"/>
      <c r="B296" s="12"/>
      <c r="C296" s="7" t="n">
        <v>41412</v>
      </c>
      <c r="D296" s="6" t="n">
        <v>11.6</v>
      </c>
      <c r="E296" s="6" t="n">
        <v>8.1</v>
      </c>
      <c r="F296" s="6" t="n">
        <v>16.7</v>
      </c>
      <c r="G296" s="6" t="n">
        <f aca="false">G295+D296</f>
        <v>1798.3</v>
      </c>
      <c r="H296" s="6" t="n">
        <f aca="false">H295+D296</f>
        <v>58.6</v>
      </c>
      <c r="I296" s="6" t="n">
        <f aca="false">MAX(F292:F317)</f>
        <v>25.5</v>
      </c>
      <c r="J296" s="6" t="n">
        <v>9.6</v>
      </c>
      <c r="K296" s="6" t="n">
        <f aca="false">K295+J296</f>
        <v>721.2</v>
      </c>
      <c r="L296" s="6" t="n">
        <v>2.1</v>
      </c>
      <c r="M296" s="6" t="n">
        <f aca="false">M295+L296</f>
        <v>271.2</v>
      </c>
      <c r="N296" s="6" t="n">
        <v>7.5</v>
      </c>
      <c r="O296" s="6" t="n">
        <v>122.1</v>
      </c>
      <c r="P296" s="6" t="n">
        <v>249</v>
      </c>
      <c r="Q296" s="6" t="n">
        <v>1.15</v>
      </c>
      <c r="R296" s="14" t="n">
        <f aca="false">Q296*L296</f>
        <v>2.415</v>
      </c>
      <c r="S296" s="14" t="n">
        <f aca="false">J296-R296</f>
        <v>7.185</v>
      </c>
      <c r="T296" s="14" t="n">
        <f aca="false">MIN(122.1,(T295+S296))</f>
        <v>122.1</v>
      </c>
      <c r="U296" s="44" t="s">
        <v>39</v>
      </c>
      <c r="V296" s="6" t="n">
        <v>1248.6</v>
      </c>
      <c r="X296" s="6" t="n">
        <f aca="false">X295+V296</f>
        <v>154796.1</v>
      </c>
      <c r="Y296" s="41" t="n">
        <f aca="false">Y295+V296</f>
        <v>4640.5</v>
      </c>
      <c r="Z296" s="44" t="s">
        <v>37</v>
      </c>
      <c r="AA296" s="6" t="n">
        <v>15.167969902495</v>
      </c>
    </row>
    <row r="297" s="6" customFormat="true" ht="15" hidden="false" customHeight="false" outlineLevel="0" collapsed="false">
      <c r="A297" s="60"/>
      <c r="B297" s="12"/>
      <c r="C297" s="7" t="n">
        <v>41413</v>
      </c>
      <c r="D297" s="6" t="n">
        <v>10.2</v>
      </c>
      <c r="E297" s="6" t="n">
        <v>7.5</v>
      </c>
      <c r="F297" s="6" t="n">
        <v>12.9</v>
      </c>
      <c r="G297" s="6" t="n">
        <f aca="false">G296+D297</f>
        <v>1808.5</v>
      </c>
      <c r="H297" s="6" t="n">
        <f aca="false">H296+D297</f>
        <v>68.8</v>
      </c>
      <c r="I297" s="44" t="s">
        <v>35</v>
      </c>
      <c r="J297" s="6" t="n">
        <v>3.1</v>
      </c>
      <c r="K297" s="6" t="n">
        <f aca="false">K296+J297</f>
        <v>724.3</v>
      </c>
      <c r="L297" s="6" t="n">
        <v>1.2</v>
      </c>
      <c r="M297" s="6" t="n">
        <f aca="false">M296+L297</f>
        <v>272.4</v>
      </c>
      <c r="N297" s="6" t="n">
        <v>1.9</v>
      </c>
      <c r="O297" s="6" t="n">
        <v>122.1</v>
      </c>
      <c r="P297" s="6" t="n">
        <v>250</v>
      </c>
      <c r="Q297" s="6" t="n">
        <v>1.15</v>
      </c>
      <c r="R297" s="14" t="n">
        <f aca="false">Q297*L297</f>
        <v>1.38</v>
      </c>
      <c r="S297" s="14" t="n">
        <f aca="false">J297-R297</f>
        <v>1.72</v>
      </c>
      <c r="T297" s="14" t="n">
        <f aca="false">MIN(122.1,(T296+S297))</f>
        <v>122.1</v>
      </c>
      <c r="U297" s="14" t="n">
        <f aca="false">MIN(T292:T317)</f>
        <v>86.78</v>
      </c>
      <c r="V297" s="6" t="n">
        <v>924.3</v>
      </c>
      <c r="W297" s="41"/>
      <c r="X297" s="41" t="n">
        <f aca="false">X296+V297</f>
        <v>155720.4</v>
      </c>
      <c r="Y297" s="41" t="n">
        <f aca="false">Y296+V297</f>
        <v>5564.8</v>
      </c>
      <c r="Z297" s="6" t="n">
        <v>9</v>
      </c>
      <c r="AA297" s="6" t="n">
        <v>15.2075453540461</v>
      </c>
    </row>
    <row r="298" s="6" customFormat="true" ht="15" hidden="false" customHeight="true" outlineLevel="0" collapsed="false">
      <c r="A298" s="60"/>
      <c r="B298" s="12"/>
      <c r="C298" s="7" t="n">
        <v>41414</v>
      </c>
      <c r="D298" s="6" t="n">
        <v>9.6</v>
      </c>
      <c r="E298" s="6" t="n">
        <v>9.1</v>
      </c>
      <c r="F298" s="6" t="n">
        <v>10.2</v>
      </c>
      <c r="G298" s="6" t="n">
        <f aca="false">G297+D298</f>
        <v>1818.1</v>
      </c>
      <c r="H298" s="6" t="n">
        <f aca="false">H297+D298</f>
        <v>78.4</v>
      </c>
      <c r="I298" s="14" t="n">
        <f aca="false">AVERAGE(D292:D317)</f>
        <v>12.1769230769231</v>
      </c>
      <c r="J298" s="6" t="n">
        <v>19.1</v>
      </c>
      <c r="K298" s="6" t="n">
        <f aca="false">K297+J298</f>
        <v>743.4</v>
      </c>
      <c r="L298" s="6" t="n">
        <v>1.1</v>
      </c>
      <c r="M298" s="6" t="n">
        <f aca="false">M297+L298</f>
        <v>273.5</v>
      </c>
      <c r="N298" s="6" t="n">
        <v>18</v>
      </c>
      <c r="O298" s="6" t="n">
        <v>122.1</v>
      </c>
      <c r="P298" s="6" t="n">
        <v>251</v>
      </c>
      <c r="Q298" s="6" t="n">
        <v>1.15</v>
      </c>
      <c r="R298" s="14" t="n">
        <f aca="false">Q298*L298</f>
        <v>1.265</v>
      </c>
      <c r="S298" s="14" t="n">
        <f aca="false">J298-R298</f>
        <v>17.835</v>
      </c>
      <c r="T298" s="14" t="n">
        <f aca="false">MIN(122.1,(T297+S298))</f>
        <v>122.1</v>
      </c>
      <c r="U298" s="44" t="s">
        <v>41</v>
      </c>
      <c r="V298" s="6" t="n">
        <v>555.6</v>
      </c>
      <c r="X298" s="6" t="n">
        <f aca="false">X297+V298</f>
        <v>156276</v>
      </c>
      <c r="Y298" s="41" t="n">
        <f aca="false">Y297+V298</f>
        <v>6120.4</v>
      </c>
      <c r="AA298" s="6" t="n">
        <v>15.2463260039273</v>
      </c>
    </row>
    <row r="299" s="6" customFormat="true" ht="15" hidden="false" customHeight="false" outlineLevel="0" collapsed="false">
      <c r="A299" s="60"/>
      <c r="B299" s="12"/>
      <c r="C299" s="7" t="n">
        <v>41415</v>
      </c>
      <c r="D299" s="6" t="n">
        <v>10.3</v>
      </c>
      <c r="E299" s="6" t="n">
        <v>9.4</v>
      </c>
      <c r="F299" s="6" t="n">
        <v>11.2</v>
      </c>
      <c r="G299" s="6" t="n">
        <f aca="false">G298+D299</f>
        <v>1828.4</v>
      </c>
      <c r="H299" s="6" t="n">
        <f aca="false">H298+D299</f>
        <v>88.7</v>
      </c>
      <c r="I299" s="44" t="s">
        <v>38</v>
      </c>
      <c r="J299" s="6" t="n">
        <v>5.4</v>
      </c>
      <c r="K299" s="6" t="n">
        <f aca="false">K298+J299</f>
        <v>748.8</v>
      </c>
      <c r="L299" s="6" t="n">
        <v>0.9</v>
      </c>
      <c r="M299" s="6" t="n">
        <f aca="false">M298+L299</f>
        <v>274.4</v>
      </c>
      <c r="N299" s="6" t="n">
        <v>4.5</v>
      </c>
      <c r="O299" s="6" t="n">
        <v>122.1</v>
      </c>
      <c r="P299" s="6" t="n">
        <v>252</v>
      </c>
      <c r="Q299" s="6" t="n">
        <v>1.15</v>
      </c>
      <c r="R299" s="14" t="n">
        <f aca="false">Q299*L299</f>
        <v>1.035</v>
      </c>
      <c r="S299" s="14" t="n">
        <f aca="false">J299-R299</f>
        <v>4.365</v>
      </c>
      <c r="T299" s="14" t="n">
        <f aca="false">MIN(122.1,(T298+S299))</f>
        <v>122.1</v>
      </c>
      <c r="U299" s="6" t="n">
        <v>122.1</v>
      </c>
      <c r="V299" s="6" t="n">
        <v>492.1</v>
      </c>
      <c r="X299" s="6" t="n">
        <f aca="false">X298+V299</f>
        <v>156768.1</v>
      </c>
      <c r="Y299" s="41" t="n">
        <f aca="false">Y298+V299</f>
        <v>6612.5</v>
      </c>
      <c r="AA299" s="6" t="n">
        <v>15.2842876064292</v>
      </c>
    </row>
    <row r="300" s="6" customFormat="true" ht="15" hidden="false" customHeight="false" outlineLevel="0" collapsed="false">
      <c r="A300" s="60"/>
      <c r="B300" s="12"/>
      <c r="C300" s="7" t="n">
        <v>41416</v>
      </c>
      <c r="D300" s="6" t="n">
        <v>9.3</v>
      </c>
      <c r="E300" s="6" t="n">
        <v>9.1</v>
      </c>
      <c r="F300" s="6" t="n">
        <v>10.2</v>
      </c>
      <c r="G300" s="6" t="n">
        <f aca="false">G299+D300</f>
        <v>1837.7</v>
      </c>
      <c r="H300" s="6" t="n">
        <f aca="false">H299+D300</f>
        <v>98</v>
      </c>
      <c r="I300" s="6" t="n">
        <v>0</v>
      </c>
      <c r="J300" s="6" t="n">
        <v>0.2</v>
      </c>
      <c r="K300" s="6" t="n">
        <f aca="false">K299+J300</f>
        <v>749</v>
      </c>
      <c r="L300" s="6" t="n">
        <v>0.9</v>
      </c>
      <c r="M300" s="6" t="n">
        <f aca="false">M299+L300</f>
        <v>275.3</v>
      </c>
      <c r="N300" s="6" t="n">
        <v>-0.7</v>
      </c>
      <c r="O300" s="6" t="n">
        <f aca="false">O299+N300</f>
        <v>121.4</v>
      </c>
      <c r="P300" s="6" t="n">
        <v>253</v>
      </c>
      <c r="Q300" s="6" t="n">
        <v>1.15</v>
      </c>
      <c r="R300" s="14" t="n">
        <f aca="false">Q300*L300</f>
        <v>1.035</v>
      </c>
      <c r="S300" s="14" t="n">
        <f aca="false">J300-R300</f>
        <v>-0.835</v>
      </c>
      <c r="T300" s="14" t="n">
        <f aca="false">MIN(122.1,(T299+S300))</f>
        <v>121.265</v>
      </c>
      <c r="U300" s="44" t="s">
        <v>43</v>
      </c>
      <c r="V300" s="6" t="n">
        <v>553.1</v>
      </c>
      <c r="X300" s="6" t="n">
        <f aca="false">X299+V300</f>
        <v>157321.2</v>
      </c>
      <c r="Y300" s="41" t="n">
        <f aca="false">Y299+V300</f>
        <v>7165.6</v>
      </c>
      <c r="AA300" s="6" t="n">
        <v>15.321405794389</v>
      </c>
    </row>
    <row r="301" s="6" customFormat="true" ht="15" hidden="false" customHeight="false" outlineLevel="0" collapsed="false">
      <c r="A301" s="60"/>
      <c r="B301" s="12"/>
      <c r="C301" s="7" t="n">
        <v>41417</v>
      </c>
      <c r="D301" s="6" t="n">
        <v>6.7</v>
      </c>
      <c r="E301" s="6" t="n">
        <v>6.1</v>
      </c>
      <c r="F301" s="6" t="n">
        <v>7.7</v>
      </c>
      <c r="G301" s="6" t="n">
        <f aca="false">G300+D301</f>
        <v>1844.4</v>
      </c>
      <c r="H301" s="6" t="n">
        <f aca="false">H300+D301</f>
        <v>104.7</v>
      </c>
      <c r="I301" s="44" t="s">
        <v>40</v>
      </c>
      <c r="J301" s="6" t="n">
        <v>3.8</v>
      </c>
      <c r="K301" s="6" t="n">
        <f aca="false">K300+J301</f>
        <v>752.8</v>
      </c>
      <c r="L301" s="6" t="n">
        <v>0.8</v>
      </c>
      <c r="M301" s="6" t="n">
        <f aca="false">M300+L301</f>
        <v>276.1</v>
      </c>
      <c r="N301" s="6" t="n">
        <v>3</v>
      </c>
      <c r="O301" s="6" t="n">
        <v>122.1</v>
      </c>
      <c r="P301" s="6" t="n">
        <v>254</v>
      </c>
      <c r="Q301" s="6" t="n">
        <v>1.15</v>
      </c>
      <c r="R301" s="14" t="n">
        <f aca="false">Q301*L301</f>
        <v>0.92</v>
      </c>
      <c r="S301" s="14" t="n">
        <f aca="false">J301-R301</f>
        <v>2.88</v>
      </c>
      <c r="T301" s="14" t="n">
        <f aca="false">MIN(122.1,(T300+S301))</f>
        <v>122.1</v>
      </c>
      <c r="U301" s="15" t="n">
        <f aca="false">AVERAGE(T292:T317)</f>
        <v>114.966730769231</v>
      </c>
      <c r="V301" s="6" t="n">
        <v>753.3</v>
      </c>
      <c r="X301" s="6" t="n">
        <f aca="false">X300+V301</f>
        <v>158074.5</v>
      </c>
      <c r="Y301" s="41" t="n">
        <f aca="false">Y300+V301</f>
        <v>7918.9</v>
      </c>
      <c r="AA301" s="6" t="n">
        <v>15.3576561222857</v>
      </c>
    </row>
    <row r="302" s="6" customFormat="true" ht="15" hidden="false" customHeight="false" outlineLevel="0" collapsed="false">
      <c r="A302" s="60"/>
      <c r="B302" s="12"/>
      <c r="C302" s="7" t="n">
        <v>41418</v>
      </c>
      <c r="D302" s="6" t="n">
        <v>7.2</v>
      </c>
      <c r="E302" s="6" t="n">
        <v>3.7</v>
      </c>
      <c r="F302" s="6" t="n">
        <v>11.8</v>
      </c>
      <c r="G302" s="6" t="n">
        <f aca="false">G301+D302</f>
        <v>1851.6</v>
      </c>
      <c r="H302" s="6" t="n">
        <f aca="false">H301+D302</f>
        <v>111.9</v>
      </c>
      <c r="I302" s="6" t="n">
        <v>2</v>
      </c>
      <c r="J302" s="6" t="n">
        <v>6.4</v>
      </c>
      <c r="K302" s="6" t="n">
        <f aca="false">K301+J302</f>
        <v>759.2</v>
      </c>
      <c r="L302" s="6" t="n">
        <v>1.6</v>
      </c>
      <c r="M302" s="6" t="n">
        <f aca="false">M301+L302</f>
        <v>277.7</v>
      </c>
      <c r="N302" s="6" t="n">
        <v>4.8</v>
      </c>
      <c r="O302" s="6" t="n">
        <v>122.1</v>
      </c>
      <c r="P302" s="6" t="n">
        <v>255</v>
      </c>
      <c r="Q302" s="6" t="n">
        <v>1.15</v>
      </c>
      <c r="R302" s="14" t="n">
        <f aca="false">Q302*L302</f>
        <v>1.84</v>
      </c>
      <c r="S302" s="14" t="n">
        <f aca="false">J302-R302</f>
        <v>4.56</v>
      </c>
      <c r="T302" s="14" t="n">
        <f aca="false">MIN(122.1,(T301+S302))</f>
        <v>122.1</v>
      </c>
      <c r="V302" s="6" t="n">
        <v>1270.1</v>
      </c>
      <c r="X302" s="6" t="n">
        <f aca="false">X301+V302</f>
        <v>159344.6</v>
      </c>
      <c r="Y302" s="41" t="n">
        <f aca="false">Y301+V302</f>
        <v>9189</v>
      </c>
      <c r="AA302" s="6" t="n">
        <v>15.3930141117888</v>
      </c>
    </row>
    <row r="303" s="6" customFormat="true" ht="15" hidden="false" customHeight="false" outlineLevel="0" collapsed="false">
      <c r="A303" s="60"/>
      <c r="B303" s="12"/>
      <c r="C303" s="7" t="n">
        <v>41419</v>
      </c>
      <c r="D303" s="6" t="n">
        <v>7.8</v>
      </c>
      <c r="E303" s="6" t="n">
        <v>4.9</v>
      </c>
      <c r="F303" s="6" t="n">
        <v>11.3</v>
      </c>
      <c r="G303" s="6" t="n">
        <f aca="false">G302+D303</f>
        <v>1859.4</v>
      </c>
      <c r="H303" s="6" t="n">
        <f aca="false">H302+D303</f>
        <v>119.7</v>
      </c>
      <c r="I303" s="44" t="s">
        <v>42</v>
      </c>
      <c r="J303" s="6" t="n">
        <v>2.9</v>
      </c>
      <c r="K303" s="6" t="n">
        <f aca="false">K302+J303</f>
        <v>762.1</v>
      </c>
      <c r="L303" s="6" t="n">
        <v>1.3</v>
      </c>
      <c r="M303" s="6" t="n">
        <f aca="false">M302+L303</f>
        <v>279</v>
      </c>
      <c r="N303" s="6" t="n">
        <v>1.6</v>
      </c>
      <c r="O303" s="6" t="n">
        <v>122.1</v>
      </c>
      <c r="P303" s="6" t="n">
        <v>256</v>
      </c>
      <c r="Q303" s="6" t="n">
        <v>1.15</v>
      </c>
      <c r="R303" s="14" t="n">
        <f aca="false">Q303*L303</f>
        <v>1.495</v>
      </c>
      <c r="S303" s="14" t="n">
        <f aca="false">J303-R303</f>
        <v>1.405</v>
      </c>
      <c r="T303" s="14" t="n">
        <f aca="false">MIN(122.1,(T302+S303))</f>
        <v>122.1</v>
      </c>
      <c r="U303" s="14" t="n">
        <f aca="false">(U301*100)/122.1</f>
        <v>94.1578466578467</v>
      </c>
      <c r="V303" s="6" t="n">
        <v>977.4</v>
      </c>
      <c r="X303" s="6" t="n">
        <f aca="false">X302+V303</f>
        <v>160322</v>
      </c>
      <c r="Y303" s="41" t="n">
        <f aca="false">Y302+V303</f>
        <v>10166.4</v>
      </c>
      <c r="AA303" s="6" t="n">
        <v>15.4274552996818</v>
      </c>
    </row>
    <row r="304" s="6" customFormat="true" ht="15" hidden="false" customHeight="false" outlineLevel="0" collapsed="false">
      <c r="A304" s="60"/>
      <c r="B304" s="12"/>
      <c r="C304" s="7" t="n">
        <v>41420</v>
      </c>
      <c r="D304" s="6" t="n">
        <v>9</v>
      </c>
      <c r="E304" s="6" t="n">
        <v>6.4</v>
      </c>
      <c r="F304" s="6" t="n">
        <v>11.1</v>
      </c>
      <c r="G304" s="6" t="n">
        <f aca="false">G303+D304</f>
        <v>1868.4</v>
      </c>
      <c r="H304" s="6" t="n">
        <f aca="false">H303+D304</f>
        <v>128.7</v>
      </c>
      <c r="I304" s="6" t="n">
        <v>2</v>
      </c>
      <c r="J304" s="6" t="n">
        <v>0</v>
      </c>
      <c r="K304" s="6" t="n">
        <f aca="false">K303+J304</f>
        <v>762.1</v>
      </c>
      <c r="L304" s="6" t="n">
        <v>2.2</v>
      </c>
      <c r="M304" s="6" t="n">
        <f aca="false">M303+L304</f>
        <v>281.2</v>
      </c>
      <c r="N304" s="6" t="n">
        <v>-2.2</v>
      </c>
      <c r="O304" s="6" t="n">
        <f aca="false">O303+N304</f>
        <v>119.9</v>
      </c>
      <c r="P304" s="6" t="n">
        <v>257</v>
      </c>
      <c r="Q304" s="6" t="n">
        <v>1.15</v>
      </c>
      <c r="R304" s="14" t="n">
        <f aca="false">Q304*L304</f>
        <v>2.53</v>
      </c>
      <c r="S304" s="14" t="n">
        <f aca="false">J304-R304</f>
        <v>-2.53</v>
      </c>
      <c r="T304" s="14" t="n">
        <f aca="false">MIN(122.1,(T303+S304))</f>
        <v>119.57</v>
      </c>
      <c r="V304" s="6" t="n">
        <v>1746.3</v>
      </c>
      <c r="X304" s="6" t="n">
        <f aca="false">X303+V304</f>
        <v>162068.3</v>
      </c>
      <c r="Y304" s="41" t="n">
        <f aca="false">Y303+V304</f>
        <v>11912.7</v>
      </c>
      <c r="AA304" s="6" t="n">
        <v>15.4609552880611</v>
      </c>
    </row>
    <row r="305" s="6" customFormat="true" ht="15" hidden="false" customHeight="false" outlineLevel="0" collapsed="false">
      <c r="A305" s="60"/>
      <c r="B305" s="12"/>
      <c r="C305" s="7" t="n">
        <v>41421</v>
      </c>
      <c r="D305" s="6" t="n">
        <v>12.5</v>
      </c>
      <c r="E305" s="6" t="n">
        <v>7</v>
      </c>
      <c r="F305" s="6" t="n">
        <v>17.6</v>
      </c>
      <c r="G305" s="6" t="n">
        <f aca="false">G304+D305</f>
        <v>1880.9</v>
      </c>
      <c r="H305" s="6" t="n">
        <f aca="false">H304+D305</f>
        <v>141.2</v>
      </c>
      <c r="I305" s="44" t="s">
        <v>44</v>
      </c>
      <c r="J305" s="6" t="n">
        <v>0</v>
      </c>
      <c r="K305" s="6" t="n">
        <f aca="false">K304+J305</f>
        <v>762.1</v>
      </c>
      <c r="L305" s="6" t="n">
        <v>3.5</v>
      </c>
      <c r="M305" s="6" t="n">
        <f aca="false">M304+L305</f>
        <v>284.7</v>
      </c>
      <c r="N305" s="6" t="n">
        <v>-3.5</v>
      </c>
      <c r="O305" s="6" t="n">
        <f aca="false">O304+N305</f>
        <v>116.4</v>
      </c>
      <c r="P305" s="6" t="n">
        <v>258</v>
      </c>
      <c r="Q305" s="6" t="n">
        <v>1.15</v>
      </c>
      <c r="R305" s="14" t="n">
        <f aca="false">Q305*L305</f>
        <v>4.025</v>
      </c>
      <c r="S305" s="14" t="n">
        <f aca="false">J305-R305</f>
        <v>-4.025</v>
      </c>
      <c r="T305" s="14" t="n">
        <f aca="false">MIN(122.1,(T304+S305))</f>
        <v>115.545</v>
      </c>
      <c r="V305" s="6" t="n">
        <v>2532.2</v>
      </c>
      <c r="X305" s="6" t="n">
        <f aca="false">X304+V305</f>
        <v>164600.5</v>
      </c>
      <c r="Y305" s="41" t="n">
        <f aca="false">Y304+V305</f>
        <v>14444.9</v>
      </c>
      <c r="AA305" s="6" t="n">
        <v>15.4934897966899</v>
      </c>
    </row>
    <row r="306" s="6" customFormat="true" ht="15" hidden="false" customHeight="false" outlineLevel="0" collapsed="false">
      <c r="A306" s="60"/>
      <c r="B306" s="12"/>
      <c r="C306" s="7" t="n">
        <v>41422</v>
      </c>
      <c r="D306" s="6" t="n">
        <v>10.8</v>
      </c>
      <c r="E306" s="6" t="n">
        <v>7.4</v>
      </c>
      <c r="F306" s="6" t="n">
        <v>13.1</v>
      </c>
      <c r="G306" s="6" t="n">
        <f aca="false">G305+D306</f>
        <v>1891.7</v>
      </c>
      <c r="H306" s="6" t="n">
        <f aca="false">H305+D306</f>
        <v>152</v>
      </c>
      <c r="I306" s="6" t="n">
        <v>316.6</v>
      </c>
      <c r="J306" s="6" t="n">
        <v>2.6</v>
      </c>
      <c r="K306" s="6" t="n">
        <f aca="false">K305+J306</f>
        <v>764.7</v>
      </c>
      <c r="L306" s="6" t="n">
        <v>1.2</v>
      </c>
      <c r="M306" s="6" t="n">
        <f aca="false">M305+L306</f>
        <v>285.9</v>
      </c>
      <c r="N306" s="6" t="n">
        <v>1.4</v>
      </c>
      <c r="O306" s="6" t="n">
        <f aca="false">O305+N306</f>
        <v>117.8</v>
      </c>
      <c r="P306" s="6" t="n">
        <v>259</v>
      </c>
      <c r="Q306" s="6" t="n">
        <v>1.15</v>
      </c>
      <c r="R306" s="14" t="n">
        <f aca="false">Q306*L306</f>
        <v>1.38</v>
      </c>
      <c r="S306" s="14" t="n">
        <f aca="false">J306-R306</f>
        <v>1.22</v>
      </c>
      <c r="T306" s="14" t="n">
        <f aca="false">MIN(122.1,(T305+S306))</f>
        <v>116.765</v>
      </c>
      <c r="V306" s="6" t="n">
        <v>986.4</v>
      </c>
      <c r="X306" s="6" t="n">
        <f aca="false">X305+V306</f>
        <v>165586.9</v>
      </c>
      <c r="Y306" s="41" t="n">
        <f aca="false">Y305+V306</f>
        <v>15431.3</v>
      </c>
      <c r="AA306" s="6" t="n">
        <v>15.5250347173626</v>
      </c>
    </row>
    <row r="307" s="6" customFormat="true" ht="15" hidden="false" customHeight="false" outlineLevel="0" collapsed="false">
      <c r="A307" s="60"/>
      <c r="B307" s="12"/>
      <c r="C307" s="7" t="n">
        <v>41423</v>
      </c>
      <c r="D307" s="6" t="n">
        <v>9.5</v>
      </c>
      <c r="E307" s="6" t="n">
        <v>7.8</v>
      </c>
      <c r="F307" s="6" t="n">
        <v>12.6</v>
      </c>
      <c r="G307" s="6" t="n">
        <f aca="false">G306+D307</f>
        <v>1901.2</v>
      </c>
      <c r="H307" s="6" t="n">
        <f aca="false">H306+D307</f>
        <v>161.5</v>
      </c>
      <c r="J307" s="6" t="n">
        <v>5.5</v>
      </c>
      <c r="K307" s="6" t="n">
        <f aca="false">K306+J307</f>
        <v>770.2</v>
      </c>
      <c r="L307" s="6" t="n">
        <v>1.6</v>
      </c>
      <c r="M307" s="6" t="n">
        <f aca="false">M306+L307</f>
        <v>287.5</v>
      </c>
      <c r="N307" s="6" t="n">
        <v>3.9</v>
      </c>
      <c r="O307" s="6" t="n">
        <f aca="false">O306+N307</f>
        <v>121.7</v>
      </c>
      <c r="P307" s="6" t="n">
        <v>260</v>
      </c>
      <c r="Q307" s="6" t="n">
        <v>1.15</v>
      </c>
      <c r="R307" s="14" t="n">
        <f aca="false">Q307*L307</f>
        <v>1.84</v>
      </c>
      <c r="S307" s="14" t="n">
        <f aca="false">J307-R307</f>
        <v>3.66</v>
      </c>
      <c r="T307" s="14" t="n">
        <f aca="false">MIN(122.1,(T306+S307))</f>
        <v>120.425</v>
      </c>
      <c r="V307" s="6" t="n">
        <v>1185.6</v>
      </c>
      <c r="X307" s="6" t="n">
        <f aca="false">X306+V307</f>
        <v>166772.5</v>
      </c>
      <c r="Y307" s="41" t="n">
        <f aca="false">Y306+V307</f>
        <v>16616.9</v>
      </c>
      <c r="AA307" s="6" t="n">
        <v>15.5555661701114</v>
      </c>
    </row>
    <row r="308" s="6" customFormat="true" ht="15" hidden="false" customHeight="false" outlineLevel="0" collapsed="false">
      <c r="A308" s="60"/>
      <c r="B308" s="12"/>
      <c r="C308" s="7" t="n">
        <v>41424</v>
      </c>
      <c r="D308" s="6" t="n">
        <v>10</v>
      </c>
      <c r="E308" s="6" t="n">
        <v>5.7</v>
      </c>
      <c r="F308" s="6" t="n">
        <v>12.3</v>
      </c>
      <c r="G308" s="6" t="n">
        <f aca="false">G307+D308</f>
        <v>1911.2</v>
      </c>
      <c r="H308" s="6" t="n">
        <f aca="false">H307+D308</f>
        <v>171.5</v>
      </c>
      <c r="J308" s="6" t="n">
        <v>3</v>
      </c>
      <c r="K308" s="6" t="n">
        <f aca="false">K307+J308</f>
        <v>773.2</v>
      </c>
      <c r="L308" s="6" t="n">
        <v>0.7</v>
      </c>
      <c r="M308" s="6" t="n">
        <f aca="false">M307+L308</f>
        <v>288.2</v>
      </c>
      <c r="N308" s="6" t="n">
        <v>2.3</v>
      </c>
      <c r="O308" s="6" t="n">
        <v>122.1</v>
      </c>
      <c r="P308" s="6" t="n">
        <v>261</v>
      </c>
      <c r="Q308" s="6" t="n">
        <v>1.15</v>
      </c>
      <c r="R308" s="14" t="n">
        <f aca="false">Q308*L308</f>
        <v>0.805</v>
      </c>
      <c r="S308" s="14" t="n">
        <f aca="false">J308-R308</f>
        <v>2.195</v>
      </c>
      <c r="T308" s="14" t="n">
        <f aca="false">MIN(122.1,(T307+S308))</f>
        <v>122.1</v>
      </c>
      <c r="V308" s="6" t="n">
        <v>692.8</v>
      </c>
      <c r="X308" s="6" t="n">
        <f aca="false">X307+V308</f>
        <v>167465.3</v>
      </c>
      <c r="Y308" s="41" t="n">
        <f aca="false">Y307+V308</f>
        <v>17309.7</v>
      </c>
      <c r="AA308" s="6" t="n">
        <v>15.5850605610659</v>
      </c>
    </row>
    <row r="309" s="6" customFormat="true" ht="15" hidden="false" customHeight="false" outlineLevel="0" collapsed="false">
      <c r="A309" s="60"/>
      <c r="B309" s="12"/>
      <c r="C309" s="7" t="n">
        <v>41425</v>
      </c>
      <c r="D309" s="6" t="n">
        <v>11.7</v>
      </c>
      <c r="E309" s="6" t="n">
        <v>8.9</v>
      </c>
      <c r="F309" s="6" t="n">
        <v>13.4</v>
      </c>
      <c r="G309" s="6" t="n">
        <f aca="false">G308+D309</f>
        <v>1922.9</v>
      </c>
      <c r="H309" s="6" t="n">
        <f aca="false">H308+D309</f>
        <v>183.2</v>
      </c>
      <c r="J309" s="6" t="n">
        <v>10.1</v>
      </c>
      <c r="K309" s="6" t="n">
        <f aca="false">K308+J309</f>
        <v>783.3</v>
      </c>
      <c r="L309" s="6" t="n">
        <v>1</v>
      </c>
      <c r="M309" s="6" t="n">
        <f aca="false">M308+L309</f>
        <v>289.2</v>
      </c>
      <c r="N309" s="6" t="n">
        <v>9.1</v>
      </c>
      <c r="O309" s="6" t="n">
        <v>122.1</v>
      </c>
      <c r="P309" s="6" t="n">
        <v>262</v>
      </c>
      <c r="Q309" s="6" t="n">
        <v>1.15</v>
      </c>
      <c r="R309" s="14" t="n">
        <f aca="false">Q309*L309</f>
        <v>1.15</v>
      </c>
      <c r="S309" s="14" t="n">
        <f aca="false">J309-R309</f>
        <v>8.95</v>
      </c>
      <c r="T309" s="14" t="n">
        <f aca="false">MIN(122.1,(T308+S309))</f>
        <v>122.1</v>
      </c>
      <c r="V309" s="6" t="n">
        <v>654.4</v>
      </c>
      <c r="X309" s="6" t="n">
        <f aca="false">X308+V309</f>
        <v>168119.7</v>
      </c>
      <c r="Y309" s="41" t="n">
        <f aca="false">Y308+V309</f>
        <v>17964.1</v>
      </c>
      <c r="AA309" s="6" t="n">
        <v>15.6134946417505</v>
      </c>
    </row>
    <row r="310" s="6" customFormat="true" ht="15" hidden="false" customHeight="false" outlineLevel="0" collapsed="false">
      <c r="A310" s="60"/>
      <c r="B310" s="12"/>
      <c r="C310" s="7" t="n">
        <v>41426</v>
      </c>
      <c r="D310" s="6" t="n">
        <v>13.7</v>
      </c>
      <c r="E310" s="6" t="n">
        <v>11.6</v>
      </c>
      <c r="F310" s="6" t="n">
        <v>16.5</v>
      </c>
      <c r="G310" s="6" t="n">
        <f aca="false">G309+D310</f>
        <v>1936.6</v>
      </c>
      <c r="H310" s="6" t="n">
        <f aca="false">H309+D310</f>
        <v>196.9</v>
      </c>
      <c r="J310" s="6" t="n">
        <v>0.1</v>
      </c>
      <c r="K310" s="6" t="n">
        <f aca="false">K309+J310</f>
        <v>783.4</v>
      </c>
      <c r="L310" s="6" t="n">
        <v>2.2</v>
      </c>
      <c r="M310" s="6" t="n">
        <f aca="false">M309+L310</f>
        <v>291.4</v>
      </c>
      <c r="N310" s="6" t="n">
        <v>-2.1</v>
      </c>
      <c r="O310" s="6" t="n">
        <f aca="false">O309+N310</f>
        <v>120</v>
      </c>
      <c r="P310" s="6" t="n">
        <v>263</v>
      </c>
      <c r="Q310" s="6" t="n">
        <v>1.15</v>
      </c>
      <c r="R310" s="14" t="n">
        <f aca="false">Q310*L310</f>
        <v>2.53</v>
      </c>
      <c r="S310" s="14" t="n">
        <f aca="false">J310-R310</f>
        <v>-2.43</v>
      </c>
      <c r="T310" s="14" t="n">
        <f aca="false">MIN(122.1,(T309+S310))</f>
        <v>119.67</v>
      </c>
      <c r="V310" s="6" t="n">
        <v>1489.1</v>
      </c>
      <c r="X310" s="6" t="n">
        <f aca="false">X309+V310</f>
        <v>169608.8</v>
      </c>
      <c r="Y310" s="41" t="n">
        <f aca="false">Y309+V310</f>
        <v>19453.2</v>
      </c>
      <c r="AA310" s="6" t="n">
        <v>15.6408455695819</v>
      </c>
    </row>
    <row r="311" s="6" customFormat="true" ht="15" hidden="false" customHeight="false" outlineLevel="0" collapsed="false">
      <c r="A311" s="60"/>
      <c r="B311" s="12"/>
      <c r="C311" s="7" t="n">
        <v>41427</v>
      </c>
      <c r="D311" s="6" t="n">
        <v>13.9</v>
      </c>
      <c r="E311" s="6" t="n">
        <v>10.5</v>
      </c>
      <c r="F311" s="6" t="n">
        <v>17.8</v>
      </c>
      <c r="G311" s="6" t="n">
        <f aca="false">G310+D311</f>
        <v>1950.5</v>
      </c>
      <c r="H311" s="6" t="n">
        <f aca="false">H310+D311</f>
        <v>210.8</v>
      </c>
      <c r="J311" s="6" t="n">
        <v>0</v>
      </c>
      <c r="K311" s="6" t="n">
        <f aca="false">K310+J311</f>
        <v>783.4</v>
      </c>
      <c r="L311" s="6" t="n">
        <v>2.8</v>
      </c>
      <c r="M311" s="6" t="n">
        <f aca="false">M310+L311</f>
        <v>294.2</v>
      </c>
      <c r="N311" s="6" t="n">
        <v>-2.8</v>
      </c>
      <c r="O311" s="6" t="n">
        <f aca="false">O310+N311</f>
        <v>117.2</v>
      </c>
      <c r="P311" s="6" t="n">
        <v>264</v>
      </c>
      <c r="Q311" s="6" t="n">
        <v>1.15</v>
      </c>
      <c r="R311" s="14" t="n">
        <f aca="false">Q311*L311</f>
        <v>3.22</v>
      </c>
      <c r="S311" s="14" t="n">
        <f aca="false">J311-R311</f>
        <v>-3.22</v>
      </c>
      <c r="T311" s="14" t="n">
        <f aca="false">MIN(122.1,(T310+S311))</f>
        <v>116.45</v>
      </c>
      <c r="V311" s="6" t="n">
        <v>1223</v>
      </c>
      <c r="X311" s="6" t="n">
        <f aca="false">X310+V311</f>
        <v>170831.8</v>
      </c>
      <c r="Y311" s="41" t="n">
        <f aca="false">Y310+V311</f>
        <v>20676.2</v>
      </c>
      <c r="AA311" s="6" t="n">
        <v>15.6670909693091</v>
      </c>
    </row>
    <row r="312" s="6" customFormat="true" ht="15" hidden="false" customHeight="false" outlineLevel="0" collapsed="false">
      <c r="A312" s="60"/>
      <c r="B312" s="12"/>
      <c r="C312" s="7" t="n">
        <v>41428</v>
      </c>
      <c r="D312" s="6" t="n">
        <v>13.2</v>
      </c>
      <c r="E312" s="6" t="n">
        <v>10.5</v>
      </c>
      <c r="F312" s="6" t="n">
        <v>16.9</v>
      </c>
      <c r="G312" s="6" t="n">
        <f aca="false">G311+D312</f>
        <v>1963.7</v>
      </c>
      <c r="H312" s="6" t="n">
        <f aca="false">H311+D312</f>
        <v>224</v>
      </c>
      <c r="J312" s="6" t="n">
        <v>0</v>
      </c>
      <c r="K312" s="6" t="n">
        <f aca="false">K311+J312</f>
        <v>783.4</v>
      </c>
      <c r="L312" s="6" t="n">
        <v>4.6</v>
      </c>
      <c r="M312" s="6" t="n">
        <f aca="false">M311+L312</f>
        <v>298.8</v>
      </c>
      <c r="N312" s="6" t="n">
        <v>-4.6</v>
      </c>
      <c r="O312" s="6" t="n">
        <f aca="false">O311+N312</f>
        <v>112.6</v>
      </c>
      <c r="P312" s="6" t="n">
        <v>265</v>
      </c>
      <c r="Q312" s="6" t="n">
        <v>1.15</v>
      </c>
      <c r="R312" s="14" t="n">
        <f aca="false">Q312*L312</f>
        <v>5.29</v>
      </c>
      <c r="S312" s="14" t="n">
        <f aca="false">J312-R312</f>
        <v>-5.29</v>
      </c>
      <c r="T312" s="14" t="n">
        <f aca="false">MIN(122.1,(T311+S312))</f>
        <v>111.16</v>
      </c>
      <c r="V312" s="6" t="n">
        <v>2497.8</v>
      </c>
      <c r="X312" s="6" t="n">
        <f aca="false">X311+V312</f>
        <v>173329.6</v>
      </c>
      <c r="Y312" s="41" t="n">
        <f aca="false">Y311+V312</f>
        <v>23174</v>
      </c>
      <c r="AA312" s="6" t="n">
        <v>15.6922089951128</v>
      </c>
    </row>
    <row r="313" s="6" customFormat="true" ht="15" hidden="false" customHeight="false" outlineLevel="0" collapsed="false">
      <c r="A313" s="60"/>
      <c r="B313" s="12"/>
      <c r="C313" s="7" t="n">
        <v>41429</v>
      </c>
      <c r="D313" s="6" t="n">
        <v>15</v>
      </c>
      <c r="E313" s="6" t="n">
        <v>9.1</v>
      </c>
      <c r="F313" s="6" t="n">
        <v>19.1</v>
      </c>
      <c r="G313" s="6" t="n">
        <f aca="false">G312+D313</f>
        <v>1978.7</v>
      </c>
      <c r="H313" s="6" t="n">
        <f aca="false">H312+D313</f>
        <v>239</v>
      </c>
      <c r="J313" s="6" t="n">
        <v>0</v>
      </c>
      <c r="K313" s="6" t="n">
        <f aca="false">K312+J313</f>
        <v>783.4</v>
      </c>
      <c r="L313" s="6" t="n">
        <v>4.6</v>
      </c>
      <c r="M313" s="6" t="n">
        <f aca="false">M312+L313</f>
        <v>303.4</v>
      </c>
      <c r="N313" s="6" t="n">
        <v>-4.6</v>
      </c>
      <c r="O313" s="6" t="n">
        <f aca="false">O312+N313</f>
        <v>108</v>
      </c>
      <c r="P313" s="6" t="n">
        <v>266</v>
      </c>
      <c r="Q313" s="6" t="n">
        <v>1.15</v>
      </c>
      <c r="R313" s="14" t="n">
        <f aca="false">Q313*L313</f>
        <v>5.29</v>
      </c>
      <c r="S313" s="14" t="n">
        <f aca="false">J313-R313</f>
        <v>-5.29</v>
      </c>
      <c r="T313" s="14" t="n">
        <f aca="false">MIN(122.1,(T312+S313))</f>
        <v>105.87</v>
      </c>
      <c r="V313" s="6" t="n">
        <v>2934.8</v>
      </c>
      <c r="X313" s="6" t="n">
        <f aca="false">X312+V313</f>
        <v>176264.4</v>
      </c>
      <c r="Y313" s="41" t="n">
        <f aca="false">Y312+V313</f>
        <v>26108.8</v>
      </c>
      <c r="AA313" s="6" t="n">
        <v>15.7161783930653</v>
      </c>
    </row>
    <row r="314" s="6" customFormat="true" ht="15" hidden="false" customHeight="false" outlineLevel="0" collapsed="false">
      <c r="A314" s="60"/>
      <c r="B314" s="12"/>
      <c r="C314" s="7" t="n">
        <v>41430</v>
      </c>
      <c r="D314" s="6" t="n">
        <v>18.4</v>
      </c>
      <c r="E314" s="6" t="n">
        <v>12.6</v>
      </c>
      <c r="F314" s="6" t="n">
        <v>23.5</v>
      </c>
      <c r="G314" s="6" t="n">
        <f aca="false">G313+D314</f>
        <v>1997.1</v>
      </c>
      <c r="H314" s="6" t="n">
        <f aca="false">H313+D314</f>
        <v>257.4</v>
      </c>
      <c r="J314" s="6" t="n">
        <v>0</v>
      </c>
      <c r="K314" s="6" t="n">
        <f aca="false">K313+J314</f>
        <v>783.4</v>
      </c>
      <c r="L314" s="6" t="n">
        <v>5.6</v>
      </c>
      <c r="M314" s="6" t="n">
        <f aca="false">M313+L314</f>
        <v>309</v>
      </c>
      <c r="N314" s="6" t="n">
        <v>-5.6</v>
      </c>
      <c r="O314" s="6" t="n">
        <f aca="false">O313+N314</f>
        <v>102.4</v>
      </c>
      <c r="P314" s="6" t="n">
        <v>267</v>
      </c>
      <c r="Q314" s="6" t="n">
        <v>1.15</v>
      </c>
      <c r="R314" s="14" t="n">
        <f aca="false">Q314*L314</f>
        <v>6.44</v>
      </c>
      <c r="S314" s="14" t="n">
        <f aca="false">J314-R314</f>
        <v>-6.44</v>
      </c>
      <c r="T314" s="14" t="n">
        <f aca="false">MIN(122.1,(T313+S314))</f>
        <v>99.43</v>
      </c>
      <c r="V314" s="6" t="n">
        <v>3241.7</v>
      </c>
      <c r="X314" s="6" t="n">
        <f aca="false">X313+V314</f>
        <v>179506.1</v>
      </c>
      <c r="Y314" s="41" t="n">
        <f aca="false">Y313+V314</f>
        <v>29350.5</v>
      </c>
      <c r="AA314" s="6" t="n">
        <v>15.7389785636304</v>
      </c>
    </row>
    <row r="315" s="6" customFormat="true" ht="15" hidden="false" customHeight="false" outlineLevel="0" collapsed="false">
      <c r="A315" s="60"/>
      <c r="B315" s="12"/>
      <c r="C315" s="7" t="n">
        <v>41431</v>
      </c>
      <c r="D315" s="6" t="n">
        <v>19.5</v>
      </c>
      <c r="E315" s="6" t="n">
        <v>13.7</v>
      </c>
      <c r="F315" s="6" t="n">
        <v>24.8</v>
      </c>
      <c r="G315" s="6" t="n">
        <f aca="false">G314+D315</f>
        <v>2016.6</v>
      </c>
      <c r="H315" s="6" t="n">
        <f aca="false">H314+D315</f>
        <v>276.9</v>
      </c>
      <c r="J315" s="6" t="n">
        <v>0</v>
      </c>
      <c r="K315" s="6" t="n">
        <f aca="false">K314+J315</f>
        <v>783.4</v>
      </c>
      <c r="L315" s="6" t="n">
        <v>5.3</v>
      </c>
      <c r="M315" s="6" t="n">
        <f aca="false">M314+L315</f>
        <v>314.3</v>
      </c>
      <c r="N315" s="6" t="n">
        <v>-5.3</v>
      </c>
      <c r="O315" s="6" t="n">
        <f aca="false">O314+N315</f>
        <v>97.1</v>
      </c>
      <c r="P315" s="6" t="n">
        <v>268</v>
      </c>
      <c r="Q315" s="6" t="n">
        <v>1.15</v>
      </c>
      <c r="R315" s="14" t="n">
        <f aca="false">Q315*L315</f>
        <v>6.095</v>
      </c>
      <c r="S315" s="14" t="n">
        <f aca="false">J315-R315</f>
        <v>-6.095</v>
      </c>
      <c r="T315" s="14" t="n">
        <f aca="false">MIN(122.1,(T314+S315))</f>
        <v>93.335</v>
      </c>
      <c r="V315" s="6" t="n">
        <v>2971.2</v>
      </c>
      <c r="X315" s="6" t="n">
        <f aca="false">X314+V315</f>
        <v>182477.3</v>
      </c>
      <c r="Y315" s="41" t="n">
        <f aca="false">Y314+V315</f>
        <v>32321.7</v>
      </c>
      <c r="AA315" s="6" t="n">
        <v>15.7605896238698</v>
      </c>
    </row>
    <row r="316" s="6" customFormat="true" ht="15" hidden="false" customHeight="false" outlineLevel="0" collapsed="false">
      <c r="A316" s="60"/>
      <c r="B316" s="12"/>
      <c r="C316" s="7" t="n">
        <v>41432</v>
      </c>
      <c r="D316" s="6" t="n">
        <v>20.2</v>
      </c>
      <c r="E316" s="6" t="n">
        <v>14.5</v>
      </c>
      <c r="F316" s="6" t="n">
        <v>25.5</v>
      </c>
      <c r="G316" s="6" t="n">
        <f aca="false">G315+D316</f>
        <v>2036.8</v>
      </c>
      <c r="H316" s="6" t="n">
        <f aca="false">H315+D316</f>
        <v>297.1</v>
      </c>
      <c r="J316" s="6" t="n">
        <v>0</v>
      </c>
      <c r="K316" s="6" t="n">
        <f aca="false">K315+J316</f>
        <v>783.4</v>
      </c>
      <c r="L316" s="6" t="n">
        <v>5.7</v>
      </c>
      <c r="M316" s="6" t="n">
        <f aca="false">M315+L316</f>
        <v>320</v>
      </c>
      <c r="N316" s="6" t="n">
        <v>-5.7</v>
      </c>
      <c r="O316" s="6" t="n">
        <f aca="false">O315+N316</f>
        <v>91.4</v>
      </c>
      <c r="P316" s="6" t="n">
        <v>269</v>
      </c>
      <c r="Q316" s="6" t="n">
        <v>1.15</v>
      </c>
      <c r="R316" s="14" t="n">
        <f aca="false">Q316*L316</f>
        <v>6.555</v>
      </c>
      <c r="S316" s="14" t="n">
        <f aca="false">J316-R316</f>
        <v>-6.555</v>
      </c>
      <c r="T316" s="14" t="n">
        <f aca="false">MIN(122.1,(T315+S316))</f>
        <v>86.78</v>
      </c>
      <c r="V316" s="6" t="n">
        <v>3016.8</v>
      </c>
      <c r="X316" s="6" t="n">
        <f aca="false">X315+V316</f>
        <v>185494.1</v>
      </c>
      <c r="Y316" s="41" t="n">
        <f aca="false">Y315+V316</f>
        <v>35338.5</v>
      </c>
      <c r="AA316" s="6" t="n">
        <v>15.7809924690058</v>
      </c>
    </row>
    <row r="317" s="20" customFormat="true" ht="15" hidden="false" customHeight="false" outlineLevel="0" collapsed="false">
      <c r="A317" s="60"/>
      <c r="B317" s="18" t="n">
        <v>300</v>
      </c>
      <c r="C317" s="19" t="n">
        <v>41433</v>
      </c>
      <c r="D317" s="20" t="n">
        <v>19.5</v>
      </c>
      <c r="E317" s="20" t="n">
        <v>14.8</v>
      </c>
      <c r="F317" s="20" t="n">
        <v>25.4</v>
      </c>
      <c r="G317" s="20" t="n">
        <f aca="false">G316+D317</f>
        <v>2056.3</v>
      </c>
      <c r="H317" s="54" t="n">
        <f aca="false">H316+D317</f>
        <v>316.6</v>
      </c>
      <c r="J317" s="20" t="n">
        <v>8.5</v>
      </c>
      <c r="K317" s="20" t="n">
        <f aca="false">K316+J317</f>
        <v>791.9</v>
      </c>
      <c r="L317" s="20" t="n">
        <v>4.4</v>
      </c>
      <c r="M317" s="20" t="n">
        <f aca="false">M316+L317</f>
        <v>324.4</v>
      </c>
      <c r="N317" s="20" t="n">
        <v>4.1</v>
      </c>
      <c r="O317" s="20" t="n">
        <f aca="false">O316+N317</f>
        <v>95.5</v>
      </c>
      <c r="P317" s="20" t="n">
        <v>270</v>
      </c>
      <c r="Q317" s="20" t="n">
        <v>1.15</v>
      </c>
      <c r="R317" s="21" t="n">
        <f aca="false">Q317*L317</f>
        <v>5.06</v>
      </c>
      <c r="S317" s="21" t="n">
        <f aca="false">J317-R317</f>
        <v>3.44</v>
      </c>
      <c r="T317" s="21" t="n">
        <f aca="false">MIN(122.1,(T316+S317))</f>
        <v>90.22</v>
      </c>
      <c r="V317" s="20" t="n">
        <v>2390</v>
      </c>
      <c r="X317" s="20" t="n">
        <f aca="false">X316+V317</f>
        <v>187884.1</v>
      </c>
      <c r="Y317" s="20" t="n">
        <f aca="false">Y316+V317</f>
        <v>37728.5</v>
      </c>
      <c r="AA317" s="20" t="n">
        <v>15.8001688329819</v>
      </c>
    </row>
    <row r="318" s="6" customFormat="true" ht="15" hidden="false" customHeight="false" outlineLevel="0" collapsed="false">
      <c r="A318" s="45" t="n">
        <v>600</v>
      </c>
      <c r="B318" s="12"/>
      <c r="C318" s="7" t="n">
        <v>41434</v>
      </c>
      <c r="D318" s="6" t="n">
        <v>16.5</v>
      </c>
      <c r="E318" s="6" t="n">
        <v>13.9</v>
      </c>
      <c r="F318" s="6" t="n">
        <v>21.7</v>
      </c>
      <c r="G318" s="6" t="n">
        <f aca="false">G317+D318</f>
        <v>2072.8</v>
      </c>
      <c r="H318" s="6" t="n">
        <f aca="false">D318</f>
        <v>16.5</v>
      </c>
      <c r="I318" s="46" t="s">
        <v>29</v>
      </c>
      <c r="J318" s="6" t="n">
        <v>0</v>
      </c>
      <c r="K318" s="6" t="n">
        <f aca="false">K317+J318</f>
        <v>791.9</v>
      </c>
      <c r="L318" s="6" t="n">
        <v>3.3</v>
      </c>
      <c r="M318" s="6" t="n">
        <f aca="false">M317+L318</f>
        <v>327.7</v>
      </c>
      <c r="N318" s="6" t="n">
        <v>-3.3</v>
      </c>
      <c r="O318" s="6" t="n">
        <f aca="false">O317+N318</f>
        <v>92.2</v>
      </c>
      <c r="P318" s="6" t="n">
        <v>271</v>
      </c>
      <c r="Q318" s="15" t="n">
        <f aca="false">1.15+((P318-270)/58)*(0.35-1.15)</f>
        <v>1.13620689655172</v>
      </c>
      <c r="R318" s="14" t="n">
        <f aca="false">Q318*L318</f>
        <v>3.74948275862069</v>
      </c>
      <c r="S318" s="14" t="n">
        <f aca="false">J318-R318</f>
        <v>-3.74948275862069</v>
      </c>
      <c r="T318" s="14" t="n">
        <f aca="false">MIN(122.1,(T317+S318))</f>
        <v>86.4705172413793</v>
      </c>
      <c r="U318" s="46" t="s">
        <v>30</v>
      </c>
      <c r="V318" s="6" t="n">
        <v>1817.5</v>
      </c>
      <c r="X318" s="6" t="n">
        <f aca="false">X317+V318</f>
        <v>189701.6</v>
      </c>
      <c r="Y318" s="41" t="n">
        <f aca="false">V318</f>
        <v>1817.5</v>
      </c>
      <c r="Z318" s="46" t="s">
        <v>31</v>
      </c>
      <c r="AA318" s="6" t="n">
        <v>15.8181013476534</v>
      </c>
    </row>
    <row r="319" s="6" customFormat="true" ht="15" hidden="false" customHeight="false" outlineLevel="0" collapsed="false">
      <c r="A319" s="45"/>
      <c r="B319" s="12"/>
      <c r="C319" s="7" t="n">
        <v>41435</v>
      </c>
      <c r="D319" s="6" t="n">
        <v>16.4</v>
      </c>
      <c r="E319" s="6" t="n">
        <v>13.6</v>
      </c>
      <c r="F319" s="6" t="n">
        <v>19.5</v>
      </c>
      <c r="G319" s="6" t="n">
        <f aca="false">G318+D319</f>
        <v>2089.2</v>
      </c>
      <c r="H319" s="6" t="n">
        <f aca="false">H318+D319</f>
        <v>32.9</v>
      </c>
      <c r="I319" s="6" t="n">
        <f aca="false">MIN(E318:E334)</f>
        <v>10.3</v>
      </c>
      <c r="J319" s="6" t="n">
        <v>0.8</v>
      </c>
      <c r="K319" s="6" t="n">
        <f aca="false">K318+J319</f>
        <v>792.7</v>
      </c>
      <c r="L319" s="6" t="n">
        <v>2.3</v>
      </c>
      <c r="M319" s="6" t="n">
        <f aca="false">M318+L319</f>
        <v>330</v>
      </c>
      <c r="N319" s="6" t="n">
        <v>-1.5</v>
      </c>
      <c r="O319" s="6" t="n">
        <f aca="false">O318+N319</f>
        <v>90.7</v>
      </c>
      <c r="P319" s="6" t="n">
        <v>272</v>
      </c>
      <c r="Q319" s="15" t="n">
        <f aca="false">1.15+((P319-270)/58)*(0.35-1.15)</f>
        <v>1.12241379310345</v>
      </c>
      <c r="R319" s="14" t="n">
        <f aca="false">Q319*L319</f>
        <v>2.58155172413793</v>
      </c>
      <c r="S319" s="14" t="n">
        <f aca="false">J319-R319</f>
        <v>-1.78155172413793</v>
      </c>
      <c r="T319" s="14" t="n">
        <f aca="false">MIN(122.1,(T318+S319))</f>
        <v>84.6889655172414</v>
      </c>
      <c r="U319" s="6" t="n">
        <v>14</v>
      </c>
      <c r="V319" s="6" t="n">
        <v>1567</v>
      </c>
      <c r="X319" s="6" t="n">
        <f aca="false">X318+V319</f>
        <v>191268.6</v>
      </c>
      <c r="Y319" s="41" t="n">
        <f aca="false">Y318+V319</f>
        <v>3384.5</v>
      </c>
      <c r="Z319" s="6" t="n">
        <f aca="false">Y334</f>
        <v>31646.4</v>
      </c>
      <c r="AA319" s="6" t="n">
        <v>15.834773600236</v>
      </c>
    </row>
    <row r="320" s="6" customFormat="true" ht="15" hidden="false" customHeight="false" outlineLevel="0" collapsed="false">
      <c r="A320" s="45"/>
      <c r="B320" s="12"/>
      <c r="C320" s="7" t="n">
        <v>41436</v>
      </c>
      <c r="D320" s="6" t="n">
        <v>17.3</v>
      </c>
      <c r="E320" s="6" t="n">
        <v>14.4</v>
      </c>
      <c r="F320" s="6" t="n">
        <v>20.9</v>
      </c>
      <c r="G320" s="6" t="n">
        <f aca="false">G319+D320</f>
        <v>2106.5</v>
      </c>
      <c r="H320" s="6" t="n">
        <f aca="false">H319+D320</f>
        <v>50.2</v>
      </c>
      <c r="I320" s="46" t="s">
        <v>32</v>
      </c>
      <c r="J320" s="6" t="n">
        <v>0</v>
      </c>
      <c r="K320" s="6" t="n">
        <f aca="false">K319+J320</f>
        <v>792.7</v>
      </c>
      <c r="L320" s="6" t="n">
        <v>3.4</v>
      </c>
      <c r="M320" s="6" t="n">
        <f aca="false">M319+L320</f>
        <v>333.4</v>
      </c>
      <c r="N320" s="6" t="n">
        <v>-3.4</v>
      </c>
      <c r="O320" s="6" t="n">
        <f aca="false">O319+N320</f>
        <v>87.3</v>
      </c>
      <c r="P320" s="6" t="n">
        <v>273</v>
      </c>
      <c r="Q320" s="15" t="n">
        <f aca="false">1.15+((P320-270)/58)*(0.35-1.15)</f>
        <v>1.10862068965517</v>
      </c>
      <c r="R320" s="14" t="n">
        <f aca="false">Q320*L320</f>
        <v>3.76931034482759</v>
      </c>
      <c r="S320" s="14" t="n">
        <f aca="false">J320-R320</f>
        <v>-3.76931034482759</v>
      </c>
      <c r="T320" s="14" t="n">
        <f aca="false">MIN(122.1,(T319+S320))</f>
        <v>80.9196551724138</v>
      </c>
      <c r="U320" s="46" t="s">
        <v>33</v>
      </c>
      <c r="V320" s="6" t="n">
        <v>1897.3</v>
      </c>
      <c r="X320" s="6" t="n">
        <f aca="false">X319+V320</f>
        <v>193165.9</v>
      </c>
      <c r="Y320" s="41" t="n">
        <f aca="false">Y319+V320</f>
        <v>5281.8</v>
      </c>
      <c r="Z320" s="46" t="s">
        <v>34</v>
      </c>
      <c r="AA320" s="6" t="n">
        <v>15.8501701886402</v>
      </c>
    </row>
    <row r="321" s="6" customFormat="true" ht="15" hidden="false" customHeight="false" outlineLevel="0" collapsed="false">
      <c r="A321" s="45"/>
      <c r="B321" s="12"/>
      <c r="C321" s="7" t="n">
        <v>41437</v>
      </c>
      <c r="D321" s="6" t="n">
        <v>19.1</v>
      </c>
      <c r="E321" s="6" t="n">
        <v>14.4</v>
      </c>
      <c r="F321" s="6" t="n">
        <v>23.8</v>
      </c>
      <c r="G321" s="6" t="n">
        <f aca="false">G320+D321</f>
        <v>2125.6</v>
      </c>
      <c r="H321" s="6" t="n">
        <f aca="false">H320+D321</f>
        <v>69.3</v>
      </c>
      <c r="I321" s="6" t="n">
        <f aca="false">MAX(F318:F334)</f>
        <v>31.8</v>
      </c>
      <c r="J321" s="6" t="n">
        <v>0</v>
      </c>
      <c r="K321" s="6" t="n">
        <f aca="false">K320+J321</f>
        <v>792.7</v>
      </c>
      <c r="L321" s="6" t="n">
        <v>1.8</v>
      </c>
      <c r="M321" s="6" t="n">
        <f aca="false">M320+L321</f>
        <v>335.2</v>
      </c>
      <c r="N321" s="6" t="n">
        <v>-1.8</v>
      </c>
      <c r="O321" s="6" t="n">
        <f aca="false">O320+N321</f>
        <v>85.5</v>
      </c>
      <c r="P321" s="6" t="n">
        <v>274</v>
      </c>
      <c r="Q321" s="15" t="n">
        <f aca="false">1.15+((P321-270)/58)*(0.35-1.15)</f>
        <v>1.0948275862069</v>
      </c>
      <c r="R321" s="14" t="n">
        <f aca="false">Q321*L321</f>
        <v>1.97068965517241</v>
      </c>
      <c r="S321" s="14" t="n">
        <f aca="false">J321-R321</f>
        <v>-1.97068965517241</v>
      </c>
      <c r="T321" s="14" t="n">
        <f aca="false">MIN(122.1,(T320+S321))</f>
        <v>78.9489655172414</v>
      </c>
      <c r="U321" s="6" t="n">
        <v>0</v>
      </c>
      <c r="V321" s="6" t="n">
        <v>1040.2</v>
      </c>
      <c r="W321" s="41"/>
      <c r="X321" s="41" t="n">
        <f aca="false">X320+V321</f>
        <v>194206.1</v>
      </c>
      <c r="Y321" s="41" t="n">
        <f aca="false">Y320+V321</f>
        <v>6322</v>
      </c>
      <c r="Z321" s="6" t="n">
        <f aca="false">(Z319/100)/I331</f>
        <v>1.02019342359768</v>
      </c>
      <c r="AA321" s="6" t="n">
        <v>15.8642767743228</v>
      </c>
    </row>
    <row r="322" s="6" customFormat="true" ht="15" hidden="false" customHeight="true" outlineLevel="0" collapsed="false">
      <c r="A322" s="45"/>
      <c r="B322" s="12"/>
      <c r="C322" s="7" t="n">
        <v>41438</v>
      </c>
      <c r="D322" s="6" t="n">
        <v>17.2</v>
      </c>
      <c r="E322" s="6" t="n">
        <v>13</v>
      </c>
      <c r="F322" s="6" t="n">
        <v>26.9</v>
      </c>
      <c r="G322" s="6" t="n">
        <f aca="false">G321+D322</f>
        <v>2142.8</v>
      </c>
      <c r="H322" s="6" t="n">
        <f aca="false">H321+D322</f>
        <v>86.5</v>
      </c>
      <c r="I322" s="46" t="s">
        <v>35</v>
      </c>
      <c r="J322" s="6" t="n">
        <v>19.7</v>
      </c>
      <c r="K322" s="6" t="n">
        <f aca="false">K321+J322</f>
        <v>812.4</v>
      </c>
      <c r="L322" s="6" t="n">
        <v>5.2</v>
      </c>
      <c r="M322" s="6" t="n">
        <f aca="false">M321+L322</f>
        <v>340.4</v>
      </c>
      <c r="N322" s="6" t="n">
        <v>14.5</v>
      </c>
      <c r="O322" s="6" t="n">
        <f aca="false">O321+N322</f>
        <v>100</v>
      </c>
      <c r="P322" s="6" t="n">
        <v>275</v>
      </c>
      <c r="Q322" s="15" t="n">
        <f aca="false">1.15+((P322-270)/58)*(0.35-1.15)</f>
        <v>1.08103448275862</v>
      </c>
      <c r="R322" s="14" t="n">
        <f aca="false">Q322*L322</f>
        <v>5.62137931034483</v>
      </c>
      <c r="S322" s="14" t="n">
        <f aca="false">J322-R322</f>
        <v>14.0786206896552</v>
      </c>
      <c r="T322" s="14" t="n">
        <f aca="false">MIN(122.1,(T321+S322))</f>
        <v>93.0275862068966</v>
      </c>
      <c r="U322" s="46" t="s">
        <v>36</v>
      </c>
      <c r="V322" s="6" t="n">
        <v>2664</v>
      </c>
      <c r="X322" s="6" t="n">
        <f aca="false">X321+V322</f>
        <v>196870.1</v>
      </c>
      <c r="Y322" s="41" t="n">
        <f aca="false">Y321+V322</f>
        <v>8986</v>
      </c>
      <c r="Z322" s="46" t="s">
        <v>37</v>
      </c>
      <c r="AA322" s="6" t="n">
        <v>15.8770801322909</v>
      </c>
    </row>
    <row r="323" s="6" customFormat="true" ht="15" hidden="false" customHeight="false" outlineLevel="0" collapsed="false">
      <c r="A323" s="45"/>
      <c r="B323" s="12"/>
      <c r="C323" s="7" t="n">
        <v>41439</v>
      </c>
      <c r="D323" s="6" t="n">
        <v>14.7</v>
      </c>
      <c r="E323" s="6" t="n">
        <v>10.3</v>
      </c>
      <c r="F323" s="6" t="n">
        <v>18.7</v>
      </c>
      <c r="G323" s="6" t="n">
        <f aca="false">G322+D323</f>
        <v>2157.5</v>
      </c>
      <c r="H323" s="6" t="n">
        <f aca="false">H322+D323</f>
        <v>101.2</v>
      </c>
      <c r="I323" s="14" t="n">
        <f aca="false">AVERAGE(D318:D334)</f>
        <v>18.2470588235294</v>
      </c>
      <c r="J323" s="6" t="n">
        <v>0</v>
      </c>
      <c r="K323" s="6" t="n">
        <f aca="false">K322+J323</f>
        <v>812.4</v>
      </c>
      <c r="L323" s="6" t="n">
        <v>2.7</v>
      </c>
      <c r="M323" s="6" t="n">
        <f aca="false">M322+L323</f>
        <v>343.1</v>
      </c>
      <c r="N323" s="6" t="n">
        <v>-2.7</v>
      </c>
      <c r="O323" s="6" t="n">
        <f aca="false">O322+N323</f>
        <v>97.3</v>
      </c>
      <c r="P323" s="6" t="n">
        <v>276</v>
      </c>
      <c r="Q323" s="15" t="n">
        <f aca="false">1.15+((P323-270)/58)*(0.35-1.15)</f>
        <v>1.06724137931034</v>
      </c>
      <c r="R323" s="14" t="n">
        <f aca="false">Q323*L323</f>
        <v>2.88155172413793</v>
      </c>
      <c r="S323" s="14" t="n">
        <f aca="false">J323-R323</f>
        <v>-2.88155172413793</v>
      </c>
      <c r="T323" s="14" t="n">
        <f aca="false">MIN(122.1,(T322+S323))</f>
        <v>90.1460344827586</v>
      </c>
      <c r="U323" s="6" t="n">
        <v>0</v>
      </c>
      <c r="V323" s="6" t="n">
        <v>1871.9</v>
      </c>
      <c r="X323" s="6" t="n">
        <f aca="false">X322+V323</f>
        <v>198742</v>
      </c>
      <c r="Y323" s="41" t="n">
        <f aca="false">Y322+V323</f>
        <v>10857.9</v>
      </c>
      <c r="Z323" s="6" t="n">
        <v>1</v>
      </c>
      <c r="AA323" s="6" t="n">
        <v>15.8885681979102</v>
      </c>
    </row>
    <row r="324" s="6" customFormat="true" ht="15" hidden="false" customHeight="false" outlineLevel="0" collapsed="false">
      <c r="A324" s="45"/>
      <c r="B324" s="12"/>
      <c r="C324" s="7" t="n">
        <v>41440</v>
      </c>
      <c r="D324" s="6" t="n">
        <v>17.8</v>
      </c>
      <c r="E324" s="6" t="n">
        <v>11.6</v>
      </c>
      <c r="F324" s="6" t="n">
        <v>23.8</v>
      </c>
      <c r="G324" s="6" t="n">
        <f aca="false">G323+D324</f>
        <v>2175.3</v>
      </c>
      <c r="H324" s="6" t="n">
        <f aca="false">H323+D324</f>
        <v>119</v>
      </c>
      <c r="I324" s="46" t="s">
        <v>38</v>
      </c>
      <c r="J324" s="6" t="n">
        <v>0</v>
      </c>
      <c r="K324" s="6" t="n">
        <f aca="false">K323+J324</f>
        <v>812.4</v>
      </c>
      <c r="L324" s="6" t="n">
        <v>3.6</v>
      </c>
      <c r="M324" s="6" t="n">
        <f aca="false">M323+L324</f>
        <v>346.7</v>
      </c>
      <c r="N324" s="6" t="n">
        <v>-3.6</v>
      </c>
      <c r="O324" s="6" t="n">
        <f aca="false">O323+N324</f>
        <v>93.7</v>
      </c>
      <c r="P324" s="6" t="n">
        <v>277</v>
      </c>
      <c r="Q324" s="15" t="n">
        <f aca="false">1.15+((P324-270)/58)*(0.35-1.15)</f>
        <v>1.05344827586207</v>
      </c>
      <c r="R324" s="14" t="n">
        <f aca="false">Q324*L324</f>
        <v>3.79241379310345</v>
      </c>
      <c r="S324" s="14" t="n">
        <f aca="false">J324-R324</f>
        <v>-3.79241379310345</v>
      </c>
      <c r="T324" s="14" t="n">
        <f aca="false">MIN(122.1,(T323+S324))</f>
        <v>86.3536206896552</v>
      </c>
      <c r="U324" s="46" t="s">
        <v>39</v>
      </c>
      <c r="V324" s="6" t="n">
        <v>2044.9</v>
      </c>
      <c r="X324" s="6" t="n">
        <f aca="false">X323+V324</f>
        <v>200786.9</v>
      </c>
      <c r="Y324" s="41" t="n">
        <f aca="false">Y323+V324</f>
        <v>12902.8</v>
      </c>
      <c r="AA324" s="6" t="n">
        <v>15.898730110178</v>
      </c>
    </row>
    <row r="325" s="6" customFormat="true" ht="15" hidden="false" customHeight="false" outlineLevel="0" collapsed="false">
      <c r="A325" s="45"/>
      <c r="B325" s="12"/>
      <c r="C325" s="7" t="n">
        <v>41441</v>
      </c>
      <c r="D325" s="6" t="n">
        <v>20.9</v>
      </c>
      <c r="E325" s="6" t="n">
        <v>13.1</v>
      </c>
      <c r="F325" s="6" t="n">
        <v>26.7</v>
      </c>
      <c r="G325" s="6" t="n">
        <f aca="false">G324+D325</f>
        <v>2196.2</v>
      </c>
      <c r="H325" s="6" t="n">
        <f aca="false">H324+D325</f>
        <v>139.9</v>
      </c>
      <c r="I325" s="6" t="n">
        <v>0</v>
      </c>
      <c r="J325" s="6" t="n">
        <v>0</v>
      </c>
      <c r="K325" s="6" t="n">
        <f aca="false">K324+J325</f>
        <v>812.4</v>
      </c>
      <c r="L325" s="6" t="n">
        <v>4.7</v>
      </c>
      <c r="M325" s="6" t="n">
        <f aca="false">M324+L325</f>
        <v>351.4</v>
      </c>
      <c r="N325" s="6" t="n">
        <v>-4.7</v>
      </c>
      <c r="O325" s="6" t="n">
        <f aca="false">O324+N325</f>
        <v>89</v>
      </c>
      <c r="P325" s="6" t="n">
        <v>278</v>
      </c>
      <c r="Q325" s="15" t="n">
        <f aca="false">1.15+((P325-270)/58)*(0.35-1.15)</f>
        <v>1.03965517241379</v>
      </c>
      <c r="R325" s="14" t="n">
        <f aca="false">Q325*L325</f>
        <v>4.88637931034483</v>
      </c>
      <c r="S325" s="14" t="n">
        <f aca="false">J325-R325</f>
        <v>-4.88637931034483</v>
      </c>
      <c r="T325" s="14" t="n">
        <f aca="false">MIN(122.1,(T324+S325))</f>
        <v>81.4672413793104</v>
      </c>
      <c r="U325" s="14" t="n">
        <f aca="false">MIN(T318:T334)</f>
        <v>68.8189655172414</v>
      </c>
      <c r="V325" s="6" t="n">
        <v>2665.4</v>
      </c>
      <c r="X325" s="6" t="n">
        <f aca="false">X324+V325</f>
        <v>203452.3</v>
      </c>
      <c r="Y325" s="41" t="n">
        <f aca="false">Y324+V325</f>
        <v>15568.2</v>
      </c>
      <c r="AA325" s="6" t="n">
        <v>15.9075562511475</v>
      </c>
    </row>
    <row r="326" s="6" customFormat="true" ht="15" hidden="false" customHeight="false" outlineLevel="0" collapsed="false">
      <c r="A326" s="45"/>
      <c r="B326" s="12"/>
      <c r="C326" s="7" t="n">
        <v>41442</v>
      </c>
      <c r="D326" s="6" t="n">
        <v>24.1</v>
      </c>
      <c r="E326" s="6" t="n">
        <v>18.2</v>
      </c>
      <c r="F326" s="6" t="n">
        <v>30</v>
      </c>
      <c r="G326" s="6" t="n">
        <f aca="false">G325+D326</f>
        <v>2220.3</v>
      </c>
      <c r="H326" s="6" t="n">
        <f aca="false">H325+D326</f>
        <v>164</v>
      </c>
      <c r="I326" s="46" t="s">
        <v>40</v>
      </c>
      <c r="J326" s="6" t="n">
        <v>0</v>
      </c>
      <c r="K326" s="6" t="n">
        <f aca="false">K325+J326</f>
        <v>812.4</v>
      </c>
      <c r="L326" s="6" t="n">
        <v>6.8</v>
      </c>
      <c r="M326" s="6" t="n">
        <f aca="false">M325+L326</f>
        <v>358.2</v>
      </c>
      <c r="N326" s="6" t="n">
        <v>-6.8</v>
      </c>
      <c r="O326" s="6" t="n">
        <f aca="false">O325+N326</f>
        <v>82.2</v>
      </c>
      <c r="P326" s="6" t="n">
        <v>279</v>
      </c>
      <c r="Q326" s="15" t="n">
        <f aca="false">1.15+((P326-270)/58)*(0.35-1.15)</f>
        <v>1.02586206896552</v>
      </c>
      <c r="R326" s="14" t="n">
        <f aca="false">Q326*L326</f>
        <v>6.97586206896552</v>
      </c>
      <c r="S326" s="14" t="n">
        <f aca="false">J326-R326</f>
        <v>-6.97586206896552</v>
      </c>
      <c r="T326" s="14" t="n">
        <f aca="false">MIN(122.1,(T325+S326))</f>
        <v>74.4913793103448</v>
      </c>
      <c r="U326" s="46" t="s">
        <v>41</v>
      </c>
      <c r="V326" s="6" t="n">
        <v>2841.8</v>
      </c>
      <c r="X326" s="6" t="n">
        <f aca="false">X325+V326</f>
        <v>206294.1</v>
      </c>
      <c r="Y326" s="41" t="n">
        <f aca="false">Y325+V326</f>
        <v>18410</v>
      </c>
      <c r="AA326" s="6" t="n">
        <v>15.9150382812065</v>
      </c>
    </row>
    <row r="327" s="6" customFormat="true" ht="15" hidden="false" customHeight="false" outlineLevel="0" collapsed="false">
      <c r="A327" s="45"/>
      <c r="B327" s="12"/>
      <c r="C327" s="7" t="n">
        <v>41443</v>
      </c>
      <c r="D327" s="6" t="n">
        <v>26.1</v>
      </c>
      <c r="E327" s="6" t="n">
        <v>19.8</v>
      </c>
      <c r="F327" s="6" t="n">
        <v>31.8</v>
      </c>
      <c r="G327" s="6" t="n">
        <f aca="false">G326+D327</f>
        <v>2246.4</v>
      </c>
      <c r="H327" s="6" t="n">
        <f aca="false">H326+D327</f>
        <v>190.1</v>
      </c>
      <c r="I327" s="6" t="n">
        <v>5</v>
      </c>
      <c r="J327" s="6" t="n">
        <v>0.4</v>
      </c>
      <c r="K327" s="6" t="n">
        <f aca="false">K326+J327</f>
        <v>812.8</v>
      </c>
      <c r="L327" s="6" t="n">
        <v>6</v>
      </c>
      <c r="M327" s="6" t="n">
        <f aca="false">M326+L327</f>
        <v>364.2</v>
      </c>
      <c r="N327" s="6" t="n">
        <v>-5.6</v>
      </c>
      <c r="O327" s="6" t="n">
        <f aca="false">O326+N327</f>
        <v>76.6</v>
      </c>
      <c r="P327" s="6" t="n">
        <v>280</v>
      </c>
      <c r="Q327" s="15" t="n">
        <f aca="false">1.15+((P327-270)/58)*(0.35-1.15)</f>
        <v>1.01206896551724</v>
      </c>
      <c r="R327" s="14" t="n">
        <f aca="false">Q327*L327</f>
        <v>6.07241379310345</v>
      </c>
      <c r="S327" s="14" t="n">
        <f aca="false">J327-R327</f>
        <v>-5.67241379310345</v>
      </c>
      <c r="T327" s="14" t="n">
        <f aca="false">MIN(122.1,(T326+S327))</f>
        <v>68.8189655172414</v>
      </c>
      <c r="U327" s="14" t="n">
        <f aca="false">MAX(T318:T334)</f>
        <v>119.151206896552</v>
      </c>
      <c r="V327" s="6" t="n">
        <v>2737.6</v>
      </c>
      <c r="X327" s="6" t="n">
        <f aca="false">X326+V327</f>
        <v>209031.7</v>
      </c>
      <c r="Y327" s="41" t="n">
        <f aca="false">Y326+V327</f>
        <v>21147.6</v>
      </c>
      <c r="AA327" s="6" t="n">
        <v>15.9211691699458</v>
      </c>
    </row>
    <row r="328" s="6" customFormat="true" ht="15" hidden="false" customHeight="false" outlineLevel="0" collapsed="false">
      <c r="A328" s="45"/>
      <c r="B328" s="12"/>
      <c r="C328" s="7" t="n">
        <v>41444</v>
      </c>
      <c r="D328" s="6" t="n">
        <v>24.6</v>
      </c>
      <c r="E328" s="6" t="n">
        <v>20.8</v>
      </c>
      <c r="F328" s="6" t="n">
        <v>29.4</v>
      </c>
      <c r="G328" s="6" t="n">
        <f aca="false">G327+D328</f>
        <v>2271</v>
      </c>
      <c r="H328" s="6" t="n">
        <f aca="false">H327+D328</f>
        <v>214.7</v>
      </c>
      <c r="I328" s="46" t="s">
        <v>42</v>
      </c>
      <c r="J328" s="6" t="n">
        <v>50.6</v>
      </c>
      <c r="K328" s="6" t="n">
        <f aca="false">K327+J328</f>
        <v>863.4</v>
      </c>
      <c r="L328" s="6" t="n">
        <v>3.4</v>
      </c>
      <c r="M328" s="6" t="n">
        <f aca="false">M327+L328</f>
        <v>367.6</v>
      </c>
      <c r="N328" s="6" t="n">
        <v>47.2</v>
      </c>
      <c r="O328" s="6" t="n">
        <v>122.1</v>
      </c>
      <c r="P328" s="6" t="n">
        <v>281</v>
      </c>
      <c r="Q328" s="15" t="n">
        <f aca="false">1.15+((P328-270)/58)*(0.35-1.15)</f>
        <v>0.998275862068966</v>
      </c>
      <c r="R328" s="14" t="n">
        <f aca="false">Q328*L328</f>
        <v>3.39413793103448</v>
      </c>
      <c r="S328" s="14" t="n">
        <f aca="false">J328-R328</f>
        <v>47.2058620689655</v>
      </c>
      <c r="T328" s="14" t="n">
        <f aca="false">MIN(122.1,(T327+S328))</f>
        <v>116.024827586207</v>
      </c>
      <c r="U328" s="46" t="s">
        <v>43</v>
      </c>
      <c r="V328" s="6" t="n">
        <v>1686.7</v>
      </c>
      <c r="X328" s="6" t="n">
        <f aca="false">X327+V328</f>
        <v>210718.4</v>
      </c>
      <c r="Y328" s="41" t="n">
        <f aca="false">Y327+V328</f>
        <v>22834.3</v>
      </c>
      <c r="AA328" s="6" t="n">
        <v>15.9259432223794</v>
      </c>
    </row>
    <row r="329" s="6" customFormat="true" ht="15" hidden="false" customHeight="false" outlineLevel="0" collapsed="false">
      <c r="A329" s="45"/>
      <c r="B329" s="12"/>
      <c r="C329" s="7" t="n">
        <v>41445</v>
      </c>
      <c r="D329" s="6" t="n">
        <v>18</v>
      </c>
      <c r="E329" s="6" t="n">
        <v>16</v>
      </c>
      <c r="F329" s="6" t="n">
        <v>19.6</v>
      </c>
      <c r="G329" s="6" t="n">
        <f aca="false">G328+D329</f>
        <v>2289</v>
      </c>
      <c r="H329" s="6" t="n">
        <f aca="false">H328+D329</f>
        <v>232.7</v>
      </c>
      <c r="I329" s="6" t="n">
        <v>0</v>
      </c>
      <c r="J329" s="6" t="n">
        <v>4.8</v>
      </c>
      <c r="K329" s="6" t="n">
        <f aca="false">K328+J329</f>
        <v>868.2</v>
      </c>
      <c r="L329" s="6" t="n">
        <v>1.7</v>
      </c>
      <c r="M329" s="6" t="n">
        <f aca="false">M328+L329</f>
        <v>369.3</v>
      </c>
      <c r="N329" s="6" t="n">
        <v>3.1</v>
      </c>
      <c r="O329" s="6" t="n">
        <v>122.1</v>
      </c>
      <c r="P329" s="6" t="n">
        <v>282</v>
      </c>
      <c r="Q329" s="15" t="n">
        <f aca="false">1.15+((P329-270)/58)*(0.35-1.15)</f>
        <v>0.98448275862069</v>
      </c>
      <c r="R329" s="14" t="n">
        <f aca="false">Q329*L329</f>
        <v>1.67362068965517</v>
      </c>
      <c r="S329" s="14" t="n">
        <f aca="false">J329-R329</f>
        <v>3.12637931034483</v>
      </c>
      <c r="T329" s="14" t="n">
        <f aca="false">MIN(122.1,(T328+S329))</f>
        <v>119.151206896552</v>
      </c>
      <c r="U329" s="15" t="n">
        <f aca="false">AVERAGE(T318:T334)</f>
        <v>95.1180730223124</v>
      </c>
      <c r="V329" s="6" t="n">
        <v>872.1</v>
      </c>
      <c r="X329" s="6" t="n">
        <f aca="false">X328+V329</f>
        <v>211590.5</v>
      </c>
      <c r="Y329" s="41" t="n">
        <f aca="false">Y328+V329</f>
        <v>23706.4</v>
      </c>
      <c r="AA329" s="6" t="n">
        <v>15.9293561003129</v>
      </c>
    </row>
    <row r="330" s="6" customFormat="true" ht="15" hidden="false" customHeight="false" outlineLevel="0" collapsed="false">
      <c r="A330" s="45"/>
      <c r="B330" s="12"/>
      <c r="C330" s="7" t="n">
        <v>41446</v>
      </c>
      <c r="D330" s="6" t="n">
        <v>17.2</v>
      </c>
      <c r="E330" s="6" t="n">
        <v>14.7</v>
      </c>
      <c r="F330" s="6" t="n">
        <v>19.9</v>
      </c>
      <c r="G330" s="6" t="n">
        <f aca="false">G329+D330</f>
        <v>2306.2</v>
      </c>
      <c r="H330" s="6" t="n">
        <f aca="false">H329+D330</f>
        <v>249.9</v>
      </c>
      <c r="I330" s="46" t="s">
        <v>44</v>
      </c>
      <c r="J330" s="6" t="n">
        <v>0</v>
      </c>
      <c r="K330" s="6" t="n">
        <f aca="false">K329+J330</f>
        <v>868.2</v>
      </c>
      <c r="L330" s="6" t="n">
        <v>2.8</v>
      </c>
      <c r="M330" s="6" t="n">
        <f aca="false">M329+L330</f>
        <v>372.1</v>
      </c>
      <c r="N330" s="6" t="n">
        <v>-2.8</v>
      </c>
      <c r="O330" s="6" t="n">
        <f aca="false">O329+N330</f>
        <v>119.3</v>
      </c>
      <c r="P330" s="6" t="n">
        <v>283</v>
      </c>
      <c r="Q330" s="15" t="n">
        <f aca="false">1.15+((P330-270)/58)*(0.35-1.15)</f>
        <v>0.970689655172414</v>
      </c>
      <c r="R330" s="14" t="n">
        <f aca="false">Q330*L330</f>
        <v>2.71793103448276</v>
      </c>
      <c r="S330" s="14" t="n">
        <f aca="false">J330-R330</f>
        <v>-2.71793103448276</v>
      </c>
      <c r="T330" s="14" t="n">
        <f aca="false">MIN(122.1,(T329+S330))</f>
        <v>116.433275862069</v>
      </c>
      <c r="V330" s="6" t="n">
        <v>1517.7</v>
      </c>
      <c r="X330" s="6" t="n">
        <f aca="false">X329+V330</f>
        <v>213108.2</v>
      </c>
      <c r="Y330" s="41" t="n">
        <f aca="false">Y329+V330</f>
        <v>25224.1</v>
      </c>
      <c r="AA330" s="6" t="n">
        <v>15.9314048386947</v>
      </c>
    </row>
    <row r="331" s="6" customFormat="true" ht="15" hidden="false" customHeight="false" outlineLevel="0" collapsed="false">
      <c r="A331" s="45"/>
      <c r="B331" s="12"/>
      <c r="C331" s="7" t="n">
        <v>41447</v>
      </c>
      <c r="D331" s="6" t="n">
        <v>17.5</v>
      </c>
      <c r="E331" s="6" t="n">
        <v>12.2</v>
      </c>
      <c r="F331" s="6" t="n">
        <v>21.8</v>
      </c>
      <c r="G331" s="6" t="n">
        <f aca="false">G330+D331</f>
        <v>2323.7</v>
      </c>
      <c r="H331" s="6" t="n">
        <f aca="false">H330+D331</f>
        <v>267.4</v>
      </c>
      <c r="I331" s="6" t="n">
        <v>310.2</v>
      </c>
      <c r="J331" s="6" t="n">
        <v>0</v>
      </c>
      <c r="K331" s="6" t="n">
        <f aca="false">K330+J331</f>
        <v>868.2</v>
      </c>
      <c r="L331" s="6" t="n">
        <v>3.3</v>
      </c>
      <c r="M331" s="6" t="n">
        <f aca="false">M330+L331</f>
        <v>375.4</v>
      </c>
      <c r="N331" s="6" t="n">
        <v>-3.3</v>
      </c>
      <c r="O331" s="6" t="n">
        <f aca="false">O330+N331</f>
        <v>116</v>
      </c>
      <c r="P331" s="6" t="n">
        <v>284</v>
      </c>
      <c r="Q331" s="15" t="n">
        <f aca="false">1.15+((P331-270)/58)*(0.35-1.15)</f>
        <v>0.956896551724138</v>
      </c>
      <c r="R331" s="14" t="n">
        <f aca="false">Q331*L331</f>
        <v>3.15775862068966</v>
      </c>
      <c r="S331" s="14" t="n">
        <f aca="false">J331-R331</f>
        <v>-3.15775862068966</v>
      </c>
      <c r="T331" s="14" t="n">
        <f aca="false">MIN(122.1,(T330+S331))</f>
        <v>113.275517241379</v>
      </c>
      <c r="U331" s="14" t="n">
        <f aca="false">(U329*100)/122.1</f>
        <v>77.9017797070536</v>
      </c>
      <c r="V331" s="6" t="n">
        <v>1733.6</v>
      </c>
      <c r="X331" s="6" t="n">
        <f aca="false">X330+V331</f>
        <v>214841.8</v>
      </c>
      <c r="Y331" s="41" t="n">
        <f aca="false">Y330+V331</f>
        <v>26957.7</v>
      </c>
      <c r="AA331" s="6" t="n">
        <v>15.9320878568184</v>
      </c>
    </row>
    <row r="332" s="6" customFormat="true" ht="15" hidden="false" customHeight="false" outlineLevel="0" collapsed="false">
      <c r="A332" s="45"/>
      <c r="B332" s="12"/>
      <c r="C332" s="7" t="n">
        <v>41448</v>
      </c>
      <c r="D332" s="6" t="n">
        <v>15.6</v>
      </c>
      <c r="E332" s="6" t="n">
        <v>15.1</v>
      </c>
      <c r="F332" s="6" t="n">
        <v>17</v>
      </c>
      <c r="G332" s="6" t="n">
        <f aca="false">G331+D332</f>
        <v>2339.3</v>
      </c>
      <c r="H332" s="6" t="n">
        <f aca="false">H331+D332</f>
        <v>283</v>
      </c>
      <c r="J332" s="6" t="n">
        <v>1.3</v>
      </c>
      <c r="K332" s="6" t="n">
        <f aca="false">K331+J332</f>
        <v>869.5</v>
      </c>
      <c r="L332" s="6" t="n">
        <v>4.2</v>
      </c>
      <c r="M332" s="6" t="n">
        <f aca="false">M331+L332</f>
        <v>379.6</v>
      </c>
      <c r="N332" s="6" t="n">
        <v>-2.9</v>
      </c>
      <c r="O332" s="6" t="n">
        <f aca="false">O331+N332</f>
        <v>113.1</v>
      </c>
      <c r="P332" s="6" t="n">
        <v>285</v>
      </c>
      <c r="Q332" s="15" t="n">
        <f aca="false">1.15+((P332-270)/58)*(0.35-1.15)</f>
        <v>0.943103448275862</v>
      </c>
      <c r="R332" s="14" t="n">
        <f aca="false">Q332*L332</f>
        <v>3.96103448275862</v>
      </c>
      <c r="S332" s="14" t="n">
        <f aca="false">J332-R332</f>
        <v>-2.66103448275862</v>
      </c>
      <c r="T332" s="14" t="n">
        <f aca="false">MIN(122.1,(T331+S332))</f>
        <v>110.614482758621</v>
      </c>
      <c r="V332" s="6" t="n">
        <v>2278.3</v>
      </c>
      <c r="X332" s="6" t="n">
        <f aca="false">X331+V332</f>
        <v>217120.1</v>
      </c>
      <c r="Y332" s="41" t="n">
        <f aca="false">Y331+V332</f>
        <v>29236</v>
      </c>
      <c r="AA332" s="6" t="n">
        <v>15.9314049642899</v>
      </c>
    </row>
    <row r="333" s="6" customFormat="true" ht="15" hidden="false" customHeight="false" outlineLevel="0" collapsed="false">
      <c r="A333" s="45"/>
      <c r="B333" s="12"/>
      <c r="C333" s="7" t="n">
        <v>41449</v>
      </c>
      <c r="D333" s="6" t="n">
        <v>13.6</v>
      </c>
      <c r="E333" s="6" t="n">
        <v>12.7</v>
      </c>
      <c r="F333" s="6" t="n">
        <v>14.9</v>
      </c>
      <c r="G333" s="6" t="n">
        <f aca="false">G332+D333</f>
        <v>2352.9</v>
      </c>
      <c r="H333" s="6" t="n">
        <f aca="false">H332+D333</f>
        <v>296.6</v>
      </c>
      <c r="J333" s="6" t="n">
        <v>0.2</v>
      </c>
      <c r="K333" s="6" t="n">
        <f aca="false">K332+J333</f>
        <v>869.7</v>
      </c>
      <c r="L333" s="6" t="n">
        <v>1.9</v>
      </c>
      <c r="M333" s="6" t="n">
        <f aca="false">M332+L333</f>
        <v>381.5</v>
      </c>
      <c r="N333" s="6" t="n">
        <v>-1.7</v>
      </c>
      <c r="O333" s="6" t="n">
        <f aca="false">O332+N333</f>
        <v>111.4</v>
      </c>
      <c r="P333" s="6" t="n">
        <v>286</v>
      </c>
      <c r="Q333" s="15" t="n">
        <f aca="false">1.15+((P333-270)/58)*(0.35-1.15)</f>
        <v>0.929310344827586</v>
      </c>
      <c r="R333" s="14" t="n">
        <f aca="false">Q333*L333</f>
        <v>1.76568965517241</v>
      </c>
      <c r="S333" s="14" t="n">
        <f aca="false">J333-R333</f>
        <v>-1.56568965517241</v>
      </c>
      <c r="T333" s="14" t="n">
        <f aca="false">MIN(122.1,(T332+S333))</f>
        <v>109.048793103448</v>
      </c>
      <c r="V333" s="6" t="n">
        <v>1086.2</v>
      </c>
      <c r="X333" s="6" t="n">
        <f aca="false">X332+V333</f>
        <v>218206.3</v>
      </c>
      <c r="Y333" s="41" t="n">
        <f aca="false">Y332+V333</f>
        <v>30322.2</v>
      </c>
      <c r="AA333" s="6" t="n">
        <v>15.9293573617103</v>
      </c>
    </row>
    <row r="334" s="20" customFormat="true" ht="15" hidden="false" customHeight="false" outlineLevel="0" collapsed="false">
      <c r="A334" s="45"/>
      <c r="B334" s="18" t="n">
        <v>600</v>
      </c>
      <c r="C334" s="19" t="n">
        <v>41450</v>
      </c>
      <c r="D334" s="20" t="n">
        <v>13.6</v>
      </c>
      <c r="E334" s="20" t="n">
        <v>11.2</v>
      </c>
      <c r="F334" s="20" t="n">
        <v>16</v>
      </c>
      <c r="G334" s="20" t="n">
        <f aca="false">G333+D334</f>
        <v>2366.5</v>
      </c>
      <c r="H334" s="54" t="n">
        <f aca="false">H333+D334</f>
        <v>310.2</v>
      </c>
      <c r="J334" s="20" t="n">
        <v>0</v>
      </c>
      <c r="K334" s="20" t="n">
        <f aca="false">K333+J334</f>
        <v>869.7</v>
      </c>
      <c r="L334" s="20" t="n">
        <v>2.1</v>
      </c>
      <c r="M334" s="20" t="n">
        <f aca="false">M333+L334</f>
        <v>383.6</v>
      </c>
      <c r="N334" s="20" t="n">
        <v>-2.1</v>
      </c>
      <c r="O334" s="20" t="n">
        <f aca="false">O333+N334</f>
        <v>109.3</v>
      </c>
      <c r="P334" s="20" t="n">
        <v>287</v>
      </c>
      <c r="Q334" s="47" t="n">
        <f aca="false">1.15+((P334-270)/58)*(0.35-1.15)</f>
        <v>0.91551724137931</v>
      </c>
      <c r="R334" s="21" t="n">
        <f aca="false">Q334*L334</f>
        <v>1.92258620689655</v>
      </c>
      <c r="S334" s="21" t="n">
        <f aca="false">J334-R334</f>
        <v>-1.92258620689655</v>
      </c>
      <c r="T334" s="21" t="n">
        <f aca="false">MIN(122.1,(T333+S334))</f>
        <v>107.126206896552</v>
      </c>
      <c r="V334" s="20" t="n">
        <v>1324.2</v>
      </c>
      <c r="X334" s="20" t="n">
        <f aca="false">X333+V334</f>
        <v>219530.5</v>
      </c>
      <c r="Y334" s="20" t="n">
        <f aca="false">Y333+V334</f>
        <v>31646.4</v>
      </c>
      <c r="AA334" s="20" t="n">
        <v>15.9259476360702</v>
      </c>
    </row>
    <row r="335" s="6" customFormat="true" ht="15" hidden="false" customHeight="false" outlineLevel="0" collapsed="false">
      <c r="A335" s="48" t="n">
        <v>1000</v>
      </c>
      <c r="B335" s="12"/>
      <c r="C335" s="7" t="n">
        <v>41451</v>
      </c>
      <c r="D335" s="6" t="n">
        <v>14.6</v>
      </c>
      <c r="E335" s="6" t="n">
        <v>10.3</v>
      </c>
      <c r="F335" s="6" t="n">
        <v>18.6</v>
      </c>
      <c r="G335" s="6" t="n">
        <f aca="false">G334+D335</f>
        <v>2381.1</v>
      </c>
      <c r="H335" s="6" t="n">
        <f aca="false">D335</f>
        <v>14.6</v>
      </c>
      <c r="I335" s="49" t="s">
        <v>29</v>
      </c>
      <c r="J335" s="6" t="n">
        <v>0</v>
      </c>
      <c r="K335" s="6" t="n">
        <f aca="false">K334+J335</f>
        <v>869.7</v>
      </c>
      <c r="L335" s="6" t="n">
        <v>3.6</v>
      </c>
      <c r="M335" s="6" t="n">
        <f aca="false">M334+L335</f>
        <v>387.2</v>
      </c>
      <c r="N335" s="6" t="n">
        <v>-3.6</v>
      </c>
      <c r="O335" s="6" t="n">
        <f aca="false">O334+N335</f>
        <v>105.7</v>
      </c>
      <c r="P335" s="6" t="n">
        <v>288</v>
      </c>
      <c r="Q335" s="15" t="n">
        <f aca="false">1.15+((P335-270)/58)*(0.35-1.15)</f>
        <v>0.901724137931034</v>
      </c>
      <c r="R335" s="14" t="n">
        <f aca="false">Q335*L335</f>
        <v>3.24620689655172</v>
      </c>
      <c r="S335" s="14" t="n">
        <f aca="false">J335-R335</f>
        <v>-3.24620689655172</v>
      </c>
      <c r="T335" s="14" t="n">
        <f aca="false">MIN(122.1,(T334+S335))</f>
        <v>103.88</v>
      </c>
      <c r="U335" s="49" t="s">
        <v>30</v>
      </c>
      <c r="V335" s="6" t="n">
        <v>2303.3</v>
      </c>
      <c r="X335" s="6" t="n">
        <f aca="false">X334+V335</f>
        <v>221833.8</v>
      </c>
      <c r="Y335" s="41" t="n">
        <f aca="false">V335</f>
        <v>2303.3</v>
      </c>
      <c r="Z335" s="49" t="s">
        <v>31</v>
      </c>
      <c r="AA335" s="6" t="n">
        <v>15.9211797508908</v>
      </c>
    </row>
    <row r="336" s="6" customFormat="true" ht="15" hidden="false" customHeight="false" outlineLevel="0" collapsed="false">
      <c r="A336" s="48"/>
      <c r="B336" s="12"/>
      <c r="C336" s="7" t="n">
        <v>41452</v>
      </c>
      <c r="D336" s="6" t="n">
        <v>13.6</v>
      </c>
      <c r="E336" s="6" t="n">
        <v>9.5</v>
      </c>
      <c r="F336" s="6" t="n">
        <v>18.7</v>
      </c>
      <c r="G336" s="6" t="n">
        <f aca="false">G335+D336</f>
        <v>2394.7</v>
      </c>
      <c r="H336" s="6" t="n">
        <f aca="false">H335+D336</f>
        <v>28.2</v>
      </c>
      <c r="I336" s="6" t="n">
        <f aca="false">MIN(E335:E355)</f>
        <v>9.5</v>
      </c>
      <c r="J336" s="6" t="n">
        <v>2.3</v>
      </c>
      <c r="K336" s="6" t="n">
        <f aca="false">K335+J336</f>
        <v>872</v>
      </c>
      <c r="L336" s="6" t="n">
        <v>2.6</v>
      </c>
      <c r="M336" s="6" t="n">
        <f aca="false">M335+L336</f>
        <v>389.8</v>
      </c>
      <c r="N336" s="6" t="n">
        <v>-0.3</v>
      </c>
      <c r="O336" s="6" t="n">
        <f aca="false">O335+N336</f>
        <v>105.4</v>
      </c>
      <c r="P336" s="6" t="n">
        <v>289</v>
      </c>
      <c r="Q336" s="15" t="n">
        <f aca="false">1.15+((P336-270)/58)*(0.35-1.15)</f>
        <v>0.887931034482759</v>
      </c>
      <c r="R336" s="14" t="n">
        <f aca="false">Q336*L336</f>
        <v>2.30862068965517</v>
      </c>
      <c r="S336" s="14" t="n">
        <f aca="false">J336-R336</f>
        <v>-0.0086206896551726</v>
      </c>
      <c r="T336" s="14" t="n">
        <f aca="false">MIN(122.1,(T335+S336))</f>
        <v>103.871379310345</v>
      </c>
      <c r="U336" s="6" t="n">
        <v>17</v>
      </c>
      <c r="V336" s="6" t="n">
        <v>1783</v>
      </c>
      <c r="X336" s="6" t="n">
        <f aca="false">X335+V336</f>
        <v>223616.8</v>
      </c>
      <c r="Y336" s="41" t="n">
        <f aca="false">Y335+V336</f>
        <v>4086.3</v>
      </c>
      <c r="Z336" s="6" t="n">
        <f aca="false">Y355</f>
        <v>49686.3</v>
      </c>
      <c r="AA336" s="6" t="n">
        <v>15.9150590311907</v>
      </c>
    </row>
    <row r="337" s="6" customFormat="true" ht="15" hidden="false" customHeight="false" outlineLevel="0" collapsed="false">
      <c r="A337" s="48"/>
      <c r="B337" s="12"/>
      <c r="C337" s="7" t="n">
        <v>41453</v>
      </c>
      <c r="D337" s="6" t="n">
        <v>13</v>
      </c>
      <c r="E337" s="6" t="n">
        <v>9.5</v>
      </c>
      <c r="F337" s="6" t="n">
        <v>15.9</v>
      </c>
      <c r="G337" s="6" t="n">
        <f aca="false">G336+D337</f>
        <v>2407.7</v>
      </c>
      <c r="H337" s="6" t="n">
        <f aca="false">H336+D337</f>
        <v>41.2</v>
      </c>
      <c r="I337" s="49" t="s">
        <v>32</v>
      </c>
      <c r="J337" s="6" t="n">
        <v>5.3</v>
      </c>
      <c r="K337" s="6" t="n">
        <f aca="false">K336+J337</f>
        <v>877.3</v>
      </c>
      <c r="L337" s="6" t="n">
        <v>2.6</v>
      </c>
      <c r="M337" s="6" t="n">
        <f aca="false">M336+L337</f>
        <v>392.4</v>
      </c>
      <c r="N337" s="6" t="n">
        <v>2.7</v>
      </c>
      <c r="O337" s="6" t="n">
        <f aca="false">O336+N337</f>
        <v>108.1</v>
      </c>
      <c r="P337" s="6" t="n">
        <v>290</v>
      </c>
      <c r="Q337" s="15" t="n">
        <f aca="false">1.15+((P337-270)/58)*(0.35-1.15)</f>
        <v>0.874137931034483</v>
      </c>
      <c r="R337" s="14" t="n">
        <f aca="false">Q337*L337</f>
        <v>2.27275862068966</v>
      </c>
      <c r="S337" s="14" t="n">
        <f aca="false">J337-R337</f>
        <v>3.02724137931035</v>
      </c>
      <c r="T337" s="14" t="n">
        <f aca="false">MIN(122.1,(T336+S337))</f>
        <v>106.898620689655</v>
      </c>
      <c r="U337" s="49" t="s">
        <v>33</v>
      </c>
      <c r="V337" s="6" t="n">
        <v>1793.6</v>
      </c>
      <c r="X337" s="6" t="n">
        <f aca="false">X336+V337</f>
        <v>225410.4</v>
      </c>
      <c r="Y337" s="41" t="n">
        <f aca="false">Y336+V337</f>
        <v>5879.9</v>
      </c>
      <c r="Z337" s="49" t="s">
        <v>34</v>
      </c>
      <c r="AA337" s="6" t="n">
        <v>15.9075921433968</v>
      </c>
    </row>
    <row r="338" s="6" customFormat="true" ht="15" hidden="false" customHeight="false" outlineLevel="0" collapsed="false">
      <c r="A338" s="48"/>
      <c r="B338" s="12"/>
      <c r="C338" s="7" t="n">
        <v>41454</v>
      </c>
      <c r="D338" s="6" t="n">
        <v>15.4</v>
      </c>
      <c r="E338" s="6" t="n">
        <v>13.3</v>
      </c>
      <c r="F338" s="6" t="n">
        <v>18.7</v>
      </c>
      <c r="G338" s="6" t="n">
        <f aca="false">G337+D338</f>
        <v>2423.1</v>
      </c>
      <c r="H338" s="6" t="n">
        <f aca="false">H337+D338</f>
        <v>56.6</v>
      </c>
      <c r="I338" s="6" t="n">
        <f aca="false">MAX(F335:F355)</f>
        <v>29.2</v>
      </c>
      <c r="J338" s="6" t="n">
        <v>2.4</v>
      </c>
      <c r="K338" s="6" t="n">
        <f aca="false">K337+J338</f>
        <v>879.7</v>
      </c>
      <c r="L338" s="6" t="n">
        <v>1.1</v>
      </c>
      <c r="M338" s="6" t="n">
        <f aca="false">M337+L338</f>
        <v>393.5</v>
      </c>
      <c r="N338" s="6" t="n">
        <v>1.3</v>
      </c>
      <c r="O338" s="6" t="n">
        <f aca="false">O337+N338</f>
        <v>109.4</v>
      </c>
      <c r="P338" s="6" t="n">
        <v>291</v>
      </c>
      <c r="Q338" s="15" t="n">
        <f aca="false">1.15+((P338-270)/58)*(0.35-1.15)</f>
        <v>0.860344827586207</v>
      </c>
      <c r="R338" s="14" t="n">
        <f aca="false">Q338*L338</f>
        <v>0.946379310344828</v>
      </c>
      <c r="S338" s="14" t="n">
        <f aca="false">J338-R338</f>
        <v>1.45362068965517</v>
      </c>
      <c r="T338" s="14" t="n">
        <f aca="false">MIN(122.1,(T337+S338))</f>
        <v>108.35224137931</v>
      </c>
      <c r="U338" s="6" t="n">
        <v>0</v>
      </c>
      <c r="V338" s="6" t="n">
        <v>661.7</v>
      </c>
      <c r="X338" s="6" t="n">
        <f aca="false">X337+V338</f>
        <v>226072.1</v>
      </c>
      <c r="Y338" s="41" t="n">
        <f aca="false">Y337+V338</f>
        <v>6541.6</v>
      </c>
      <c r="Z338" s="6" t="n">
        <f aca="false">(Z336/100)/I348</f>
        <v>1.20276688453159</v>
      </c>
      <c r="AA338" s="6" t="n">
        <v>15.8987870703568</v>
      </c>
    </row>
    <row r="339" s="6" customFormat="true" ht="15" hidden="false" customHeight="false" outlineLevel="0" collapsed="false">
      <c r="A339" s="48"/>
      <c r="B339" s="12"/>
      <c r="C339" s="7" t="n">
        <v>41455</v>
      </c>
      <c r="D339" s="6" t="n">
        <v>16.3</v>
      </c>
      <c r="E339" s="6" t="n">
        <v>11.1</v>
      </c>
      <c r="F339" s="6" t="n">
        <v>21.2</v>
      </c>
      <c r="G339" s="6" t="n">
        <f aca="false">G338+D339</f>
        <v>2439.4</v>
      </c>
      <c r="H339" s="6" t="n">
        <f aca="false">H338+D339</f>
        <v>72.9</v>
      </c>
      <c r="I339" s="49" t="s">
        <v>35</v>
      </c>
      <c r="J339" s="6" t="n">
        <v>0</v>
      </c>
      <c r="K339" s="6" t="n">
        <f aca="false">K338+J339</f>
        <v>879.7</v>
      </c>
      <c r="L339" s="6" t="n">
        <v>4.2</v>
      </c>
      <c r="M339" s="6" t="n">
        <f aca="false">M338+L339</f>
        <v>397.7</v>
      </c>
      <c r="N339" s="6" t="n">
        <v>-4.2</v>
      </c>
      <c r="O339" s="6" t="n">
        <f aca="false">O338+N339</f>
        <v>105.2</v>
      </c>
      <c r="P339" s="6" t="n">
        <v>292</v>
      </c>
      <c r="Q339" s="15" t="n">
        <f aca="false">1.15+((P339-270)/58)*(0.35-1.15)</f>
        <v>0.846551724137931</v>
      </c>
      <c r="R339" s="14" t="n">
        <f aca="false">Q339*L339</f>
        <v>3.55551724137931</v>
      </c>
      <c r="S339" s="14" t="n">
        <f aca="false">J339-R339</f>
        <v>-3.55551724137931</v>
      </c>
      <c r="T339" s="14" t="n">
        <f aca="false">MIN(122.1,(T338+S339))</f>
        <v>104.796724137931</v>
      </c>
      <c r="U339" s="49" t="s">
        <v>36</v>
      </c>
      <c r="V339" s="6" t="n">
        <v>2535.1</v>
      </c>
      <c r="X339" s="6" t="n">
        <f aca="false">X338+V339</f>
        <v>228607.2</v>
      </c>
      <c r="Y339" s="41" t="n">
        <f aca="false">Y338+V339</f>
        <v>9076.7</v>
      </c>
      <c r="Z339" s="49" t="s">
        <v>37</v>
      </c>
      <c r="AA339" s="6" t="n">
        <v>15.8886530816473</v>
      </c>
    </row>
    <row r="340" s="6" customFormat="true" ht="15" hidden="false" customHeight="false" outlineLevel="0" collapsed="false">
      <c r="A340" s="48"/>
      <c r="B340" s="12"/>
      <c r="C340" s="7" t="n">
        <v>41456</v>
      </c>
      <c r="D340" s="6" t="n">
        <v>18.5</v>
      </c>
      <c r="E340" s="6" t="n">
        <v>11.3</v>
      </c>
      <c r="F340" s="6" t="n">
        <v>23.8</v>
      </c>
      <c r="G340" s="6" t="n">
        <f aca="false">G339+D340</f>
        <v>2457.9</v>
      </c>
      <c r="H340" s="6" t="n">
        <f aca="false">H339+D340</f>
        <v>91.4</v>
      </c>
      <c r="I340" s="14" t="n">
        <f aca="false">AVERAGE(D335:D355)</f>
        <v>19.6714285714286</v>
      </c>
      <c r="J340" s="6" t="n">
        <v>0</v>
      </c>
      <c r="K340" s="6" t="n">
        <f aca="false">K339+J340</f>
        <v>879.7</v>
      </c>
      <c r="L340" s="6" t="n">
        <v>4.7</v>
      </c>
      <c r="M340" s="6" t="n">
        <f aca="false">M339+L340</f>
        <v>402.4</v>
      </c>
      <c r="N340" s="6" t="n">
        <v>-4.7</v>
      </c>
      <c r="O340" s="6" t="n">
        <f aca="false">O339+N340</f>
        <v>100.5</v>
      </c>
      <c r="P340" s="6" t="n">
        <v>293</v>
      </c>
      <c r="Q340" s="15" t="n">
        <f aca="false">1.15+((P340-270)/58)*(0.35-1.15)</f>
        <v>0.832758620689655</v>
      </c>
      <c r="R340" s="14" t="n">
        <f aca="false">Q340*L340</f>
        <v>3.91396551724138</v>
      </c>
      <c r="S340" s="14" t="n">
        <f aca="false">J340-R340</f>
        <v>-3.91396551724138</v>
      </c>
      <c r="T340" s="14" t="n">
        <f aca="false">MIN(122.1,(T339+S340))</f>
        <v>100.88275862069</v>
      </c>
      <c r="U340" s="6" t="n">
        <v>0</v>
      </c>
      <c r="V340" s="6" t="n">
        <v>2942.4</v>
      </c>
      <c r="X340" s="6" t="n">
        <f aca="false">X339+V340</f>
        <v>231549.6</v>
      </c>
      <c r="Y340" s="41" t="n">
        <f aca="false">Y339+V340</f>
        <v>12019.1</v>
      </c>
      <c r="Z340" s="6" t="n">
        <v>2</v>
      </c>
      <c r="AA340" s="6" t="n">
        <v>15.8772006994061</v>
      </c>
    </row>
    <row r="341" s="6" customFormat="true" ht="15" hidden="false" customHeight="false" outlineLevel="0" collapsed="false">
      <c r="A341" s="48"/>
      <c r="B341" s="12"/>
      <c r="C341" s="7" t="n">
        <v>41457</v>
      </c>
      <c r="D341" s="6" t="n">
        <v>20</v>
      </c>
      <c r="E341" s="6" t="n">
        <v>14.6</v>
      </c>
      <c r="F341" s="6" t="n">
        <v>26</v>
      </c>
      <c r="G341" s="6" t="n">
        <f aca="false">G340+D341</f>
        <v>2477.9</v>
      </c>
      <c r="H341" s="6" t="n">
        <f aca="false">H340+D341</f>
        <v>111.4</v>
      </c>
      <c r="I341" s="49" t="s">
        <v>38</v>
      </c>
      <c r="J341" s="6" t="n">
        <v>20.4</v>
      </c>
      <c r="K341" s="6" t="n">
        <f aca="false">K340+J341</f>
        <v>900.1</v>
      </c>
      <c r="L341" s="6" t="n">
        <v>4.8</v>
      </c>
      <c r="M341" s="6" t="n">
        <f aca="false">M340+L341</f>
        <v>407.2</v>
      </c>
      <c r="N341" s="6" t="n">
        <v>15.6</v>
      </c>
      <c r="O341" s="6" t="n">
        <f aca="false">O340+N341</f>
        <v>116.1</v>
      </c>
      <c r="P341" s="6" t="n">
        <v>294</v>
      </c>
      <c r="Q341" s="15" t="n">
        <f aca="false">1.15+((P341-270)/58)*(0.35-1.15)</f>
        <v>0.818965517241379</v>
      </c>
      <c r="R341" s="14" t="n">
        <f aca="false">Q341*L341</f>
        <v>3.93103448275862</v>
      </c>
      <c r="S341" s="14" t="n">
        <f aca="false">J341-R341</f>
        <v>16.4689655172414</v>
      </c>
      <c r="T341" s="14" t="n">
        <f aca="false">MIN(122.1,(T340+S341))</f>
        <v>117.351724137931</v>
      </c>
      <c r="U341" s="49" t="s">
        <v>39</v>
      </c>
      <c r="V341" s="6" t="n">
        <v>2551.8</v>
      </c>
      <c r="X341" s="6" t="n">
        <f aca="false">X340+V341</f>
        <v>234101.4</v>
      </c>
      <c r="Y341" s="41" t="n">
        <f aca="false">Y340+V341</f>
        <v>14570.9</v>
      </c>
      <c r="AA341" s="6" t="n">
        <v>15.8644416599484</v>
      </c>
    </row>
    <row r="342" s="6" customFormat="true" ht="15" hidden="false" customHeight="false" outlineLevel="0" collapsed="false">
      <c r="A342" s="48"/>
      <c r="B342" s="12"/>
      <c r="C342" s="7" t="n">
        <v>41458</v>
      </c>
      <c r="D342" s="6" t="n">
        <v>17.2</v>
      </c>
      <c r="E342" s="6" t="n">
        <v>14.9</v>
      </c>
      <c r="F342" s="6" t="n">
        <v>19.1</v>
      </c>
      <c r="G342" s="6" t="n">
        <f aca="false">G341+D342</f>
        <v>2495.1</v>
      </c>
      <c r="H342" s="6" t="n">
        <f aca="false">H341+D342</f>
        <v>128.6</v>
      </c>
      <c r="I342" s="6" t="n">
        <v>0</v>
      </c>
      <c r="J342" s="6" t="n">
        <v>3.8</v>
      </c>
      <c r="K342" s="6" t="n">
        <f aca="false">K341+J342</f>
        <v>903.9</v>
      </c>
      <c r="L342" s="6" t="n">
        <v>1.1</v>
      </c>
      <c r="M342" s="6" t="n">
        <f aca="false">M341+L342</f>
        <v>408.3</v>
      </c>
      <c r="N342" s="6" t="n">
        <v>2.7</v>
      </c>
      <c r="O342" s="6" t="n">
        <f aca="false">O341+N342</f>
        <v>118.8</v>
      </c>
      <c r="P342" s="6" t="n">
        <v>295</v>
      </c>
      <c r="Q342" s="15" t="n">
        <f aca="false">1.15+((P342-270)/58)*(0.35-1.15)</f>
        <v>0.805172413793103</v>
      </c>
      <c r="R342" s="14" t="n">
        <f aca="false">Q342*L342</f>
        <v>0.885689655172414</v>
      </c>
      <c r="S342" s="14" t="n">
        <f aca="false">J342-R342</f>
        <v>2.91431034482759</v>
      </c>
      <c r="T342" s="14" t="n">
        <f aca="false">MIN(122.1,(T341+S342))</f>
        <v>120.266034482759</v>
      </c>
      <c r="U342" s="14" t="n">
        <f aca="false">MIN(T335:T355)</f>
        <v>68.2134482758621</v>
      </c>
      <c r="V342" s="6" t="n">
        <v>518.9</v>
      </c>
      <c r="X342" s="6" t="n">
        <f aca="false">X341+V342</f>
        <v>234620.3</v>
      </c>
      <c r="Y342" s="41" t="n">
        <f aca="false">Y341+V342</f>
        <v>15089.8</v>
      </c>
      <c r="AA342" s="6" t="n">
        <v>15.8503888714531</v>
      </c>
    </row>
    <row r="343" s="6" customFormat="true" ht="15" hidden="false" customHeight="false" outlineLevel="0" collapsed="false">
      <c r="A343" s="48"/>
      <c r="B343" s="12"/>
      <c r="C343" s="7" t="n">
        <v>41459</v>
      </c>
      <c r="D343" s="6" t="n">
        <v>18.3</v>
      </c>
      <c r="E343" s="6" t="n">
        <v>15.8</v>
      </c>
      <c r="F343" s="6" t="n">
        <v>20.8</v>
      </c>
      <c r="G343" s="6" t="n">
        <f aca="false">G342+D343</f>
        <v>2513.4</v>
      </c>
      <c r="H343" s="6" t="n">
        <f aca="false">H342+D343</f>
        <v>146.9</v>
      </c>
      <c r="I343" s="49" t="s">
        <v>40</v>
      </c>
      <c r="J343" s="6" t="n">
        <v>0.2</v>
      </c>
      <c r="K343" s="6" t="n">
        <f aca="false">K342+J343</f>
        <v>904.1</v>
      </c>
      <c r="L343" s="6" t="n">
        <v>2</v>
      </c>
      <c r="M343" s="6" t="n">
        <f aca="false">M342+L343</f>
        <v>410.3</v>
      </c>
      <c r="N343" s="6" t="n">
        <v>-1.8</v>
      </c>
      <c r="O343" s="6" t="n">
        <f aca="false">O342+N343</f>
        <v>117</v>
      </c>
      <c r="P343" s="6" t="n">
        <v>296</v>
      </c>
      <c r="Q343" s="15" t="n">
        <f aca="false">1.15+((P343-270)/58)*(0.35-1.15)</f>
        <v>0.791379310344827</v>
      </c>
      <c r="R343" s="14" t="n">
        <f aca="false">Q343*L343</f>
        <v>1.58275862068966</v>
      </c>
      <c r="S343" s="14" t="n">
        <f aca="false">J343-R343</f>
        <v>-1.38275862068966</v>
      </c>
      <c r="T343" s="14" t="n">
        <f aca="false">MIN(122.1,(T342+S343))</f>
        <v>118.883275862069</v>
      </c>
      <c r="U343" s="49" t="s">
        <v>41</v>
      </c>
      <c r="V343" s="6" t="n">
        <v>958.2</v>
      </c>
      <c r="X343" s="6" t="n">
        <f aca="false">X342+V343</f>
        <v>235578.5</v>
      </c>
      <c r="Y343" s="41" t="n">
        <f aca="false">Y342+V343</f>
        <v>16048</v>
      </c>
      <c r="AA343" s="6" t="n">
        <v>15.8350563680323</v>
      </c>
    </row>
    <row r="344" s="6" customFormat="true" ht="15" hidden="false" customHeight="false" outlineLevel="0" collapsed="false">
      <c r="A344" s="48"/>
      <c r="B344" s="12"/>
      <c r="C344" s="7" t="n">
        <v>41460</v>
      </c>
      <c r="D344" s="6" t="n">
        <v>19.6</v>
      </c>
      <c r="E344" s="6" t="n">
        <v>17.1</v>
      </c>
      <c r="F344" s="6" t="n">
        <v>22.5</v>
      </c>
      <c r="G344" s="6" t="n">
        <f aca="false">G343+D344</f>
        <v>2533</v>
      </c>
      <c r="H344" s="6" t="n">
        <f aca="false">H343+D344</f>
        <v>166.5</v>
      </c>
      <c r="I344" s="6" t="n">
        <v>11</v>
      </c>
      <c r="J344" s="6" t="n">
        <v>0</v>
      </c>
      <c r="K344" s="6" t="n">
        <f aca="false">K343+J344</f>
        <v>904.1</v>
      </c>
      <c r="L344" s="6" t="n">
        <v>2.5</v>
      </c>
      <c r="M344" s="6" t="n">
        <f aca="false">M343+L344</f>
        <v>412.8</v>
      </c>
      <c r="N344" s="6" t="n">
        <v>-2.5</v>
      </c>
      <c r="O344" s="6" t="n">
        <f aca="false">O343+N344</f>
        <v>114.5</v>
      </c>
      <c r="P344" s="6" t="n">
        <v>297</v>
      </c>
      <c r="Q344" s="15" t="n">
        <f aca="false">1.15+((P344-270)/58)*(0.35-1.15)</f>
        <v>0.777586206896552</v>
      </c>
      <c r="R344" s="14" t="n">
        <f aca="false">Q344*L344</f>
        <v>1.94396551724138</v>
      </c>
      <c r="S344" s="14" t="n">
        <f aca="false">J344-R344</f>
        <v>-1.94396551724138</v>
      </c>
      <c r="T344" s="14" t="n">
        <f aca="false">MIN(122.1,(T343+S344))</f>
        <v>116.939310344828</v>
      </c>
      <c r="U344" s="14" t="n">
        <f aca="false">MAX(T335:T355)</f>
        <v>120.266034482759</v>
      </c>
      <c r="V344" s="6" t="n">
        <v>1057.9</v>
      </c>
      <c r="W344" s="41"/>
      <c r="X344" s="41" t="n">
        <f aca="false">X343+V344</f>
        <v>236636.4</v>
      </c>
      <c r="Y344" s="41" t="n">
        <f aca="false">Y343+V344</f>
        <v>17105.9</v>
      </c>
      <c r="AA344" s="6" t="n">
        <v>15.8184592605141</v>
      </c>
    </row>
    <row r="345" s="6" customFormat="true" ht="15" hidden="false" customHeight="true" outlineLevel="0" collapsed="false">
      <c r="A345" s="48"/>
      <c r="B345" s="50"/>
      <c r="C345" s="7" t="n">
        <v>41461</v>
      </c>
      <c r="D345" s="6" t="n">
        <v>21.8</v>
      </c>
      <c r="E345" s="6" t="n">
        <v>15.7</v>
      </c>
      <c r="F345" s="6" t="n">
        <v>26.5</v>
      </c>
      <c r="G345" s="6" t="n">
        <f aca="false">G344+D345</f>
        <v>2554.8</v>
      </c>
      <c r="H345" s="6" t="n">
        <f aca="false">H344+D345</f>
        <v>188.3</v>
      </c>
      <c r="I345" s="49" t="s">
        <v>42</v>
      </c>
      <c r="J345" s="6" t="n">
        <v>0</v>
      </c>
      <c r="K345" s="6" t="n">
        <f aca="false">K344+J345</f>
        <v>904.1</v>
      </c>
      <c r="L345" s="6" t="n">
        <v>5.6</v>
      </c>
      <c r="M345" s="6" t="n">
        <f aca="false">M344+L345</f>
        <v>418.4</v>
      </c>
      <c r="N345" s="6" t="n">
        <v>-5.6</v>
      </c>
      <c r="O345" s="6" t="n">
        <f aca="false">O344+N345</f>
        <v>108.9</v>
      </c>
      <c r="P345" s="6" t="n">
        <v>298</v>
      </c>
      <c r="Q345" s="15" t="n">
        <f aca="false">1.15+((P345-270)/58)*(0.35-1.15)</f>
        <v>0.763793103448276</v>
      </c>
      <c r="R345" s="14" t="n">
        <f aca="false">Q345*L345</f>
        <v>4.27724137931034</v>
      </c>
      <c r="S345" s="14" t="n">
        <f aca="false">J345-R345</f>
        <v>-4.27724137931034</v>
      </c>
      <c r="T345" s="14" t="n">
        <f aca="false">MIN(122.1,(T344+S345))</f>
        <v>112.662068965517</v>
      </c>
      <c r="U345" s="49" t="s">
        <v>43</v>
      </c>
      <c r="V345" s="6" t="n">
        <v>3013</v>
      </c>
      <c r="X345" s="6" t="n">
        <f aca="false">X344+V345</f>
        <v>239649.4</v>
      </c>
      <c r="Y345" s="41" t="n">
        <f aca="false">Y344+V345</f>
        <v>20118.9</v>
      </c>
      <c r="AA345" s="6" t="n">
        <v>15.8006136842875</v>
      </c>
    </row>
    <row r="346" s="6" customFormat="true" ht="15" hidden="false" customHeight="false" outlineLevel="0" collapsed="false">
      <c r="A346" s="48"/>
      <c r="B346" s="50"/>
      <c r="C346" s="7" t="n">
        <v>41462</v>
      </c>
      <c r="D346" s="6" t="n">
        <v>23</v>
      </c>
      <c r="E346" s="6" t="n">
        <v>17.4</v>
      </c>
      <c r="F346" s="6" t="n">
        <v>27.4</v>
      </c>
      <c r="G346" s="6" t="n">
        <f aca="false">G345+D346</f>
        <v>2577.8</v>
      </c>
      <c r="H346" s="6" t="n">
        <f aca="false">H345+D346</f>
        <v>211.3</v>
      </c>
      <c r="I346" s="6" t="n">
        <v>0</v>
      </c>
      <c r="J346" s="6" t="n">
        <v>0</v>
      </c>
      <c r="K346" s="6" t="n">
        <f aca="false">K345+J346</f>
        <v>904.1</v>
      </c>
      <c r="L346" s="6" t="n">
        <v>6.1</v>
      </c>
      <c r="M346" s="6" t="n">
        <f aca="false">M345+L346</f>
        <v>424.5</v>
      </c>
      <c r="N346" s="6" t="n">
        <v>-6.1</v>
      </c>
      <c r="O346" s="6" t="n">
        <f aca="false">O345+N346</f>
        <v>102.8</v>
      </c>
      <c r="P346" s="6" t="n">
        <v>299</v>
      </c>
      <c r="Q346" s="15" t="n">
        <f aca="false">1.15+((P346-270)/58)*(0.35-1.15)</f>
        <v>0.75</v>
      </c>
      <c r="R346" s="14" t="n">
        <f aca="false">Q346*L346</f>
        <v>4.575</v>
      </c>
      <c r="S346" s="14" t="n">
        <f aca="false">J346-R346</f>
        <v>-4.575</v>
      </c>
      <c r="T346" s="14" t="n">
        <f aca="false">MIN(122.1,(T345+S346))</f>
        <v>108.087068965517</v>
      </c>
      <c r="U346" s="15" t="n">
        <f aca="false">AVERAGE(T335:T355)</f>
        <v>99.4928653530377</v>
      </c>
      <c r="V346" s="6" t="n">
        <v>2882.1</v>
      </c>
      <c r="X346" s="6" t="n">
        <f aca="false">X345+V346</f>
        <v>242531.5</v>
      </c>
      <c r="Y346" s="41" t="n">
        <f aca="false">Y345+V346</f>
        <v>23001</v>
      </c>
      <c r="AA346" s="6" t="n">
        <v>15.7815367445688</v>
      </c>
    </row>
    <row r="347" s="6" customFormat="true" ht="15" hidden="false" customHeight="false" outlineLevel="0" collapsed="false">
      <c r="A347" s="48"/>
      <c r="B347" s="50"/>
      <c r="C347" s="7" t="n">
        <v>41463</v>
      </c>
      <c r="D347" s="6" t="n">
        <v>23.3</v>
      </c>
      <c r="E347" s="6" t="n">
        <v>19.4</v>
      </c>
      <c r="F347" s="6" t="n">
        <v>27.8</v>
      </c>
      <c r="G347" s="6" t="n">
        <f aca="false">G346+D347</f>
        <v>2601.1</v>
      </c>
      <c r="H347" s="6" t="n">
        <f aca="false">H346+D347</f>
        <v>234.6</v>
      </c>
      <c r="I347" s="49" t="s">
        <v>44</v>
      </c>
      <c r="J347" s="6" t="n">
        <v>0</v>
      </c>
      <c r="K347" s="6" t="n">
        <f aca="false">K346+J347</f>
        <v>904.1</v>
      </c>
      <c r="L347" s="6" t="n">
        <v>7.4</v>
      </c>
      <c r="M347" s="6" t="n">
        <f aca="false">M346+L347</f>
        <v>431.9</v>
      </c>
      <c r="N347" s="6" t="n">
        <v>-7.4</v>
      </c>
      <c r="O347" s="6" t="n">
        <f aca="false">O346+N347</f>
        <v>95.4</v>
      </c>
      <c r="P347" s="6" t="n">
        <v>300</v>
      </c>
      <c r="Q347" s="15" t="n">
        <f aca="false">1.15+((P347-270)/58)*(0.35-1.15)</f>
        <v>0.736206896551724</v>
      </c>
      <c r="R347" s="14" t="n">
        <f aca="false">Q347*L347</f>
        <v>5.44793103448276</v>
      </c>
      <c r="S347" s="14" t="n">
        <f aca="false">J347-R347</f>
        <v>-5.44793103448276</v>
      </c>
      <c r="T347" s="14" t="n">
        <f aca="false">MIN(122.1,(T346+S347))</f>
        <v>102.639137931034</v>
      </c>
      <c r="V347" s="6" t="n">
        <v>3196.8</v>
      </c>
      <c r="X347" s="6" t="n">
        <f aca="false">X346+V347</f>
        <v>245728.3</v>
      </c>
      <c r="Y347" s="41" t="n">
        <f aca="false">Y346+V347</f>
        <v>26197.8</v>
      </c>
      <c r="AA347" s="6" t="n">
        <v>15.7612464594589</v>
      </c>
    </row>
    <row r="348" s="6" customFormat="true" ht="15" hidden="false" customHeight="false" outlineLevel="0" collapsed="false">
      <c r="A348" s="48"/>
      <c r="B348" s="50"/>
      <c r="C348" s="7" t="n">
        <v>41464</v>
      </c>
      <c r="D348" s="6" t="n">
        <v>23.3</v>
      </c>
      <c r="E348" s="6" t="n">
        <v>17.7</v>
      </c>
      <c r="F348" s="6" t="n">
        <v>27.7</v>
      </c>
      <c r="G348" s="6" t="n">
        <f aca="false">G347+D348</f>
        <v>2624.4</v>
      </c>
      <c r="H348" s="6" t="n">
        <f aca="false">H347+D348</f>
        <v>257.9</v>
      </c>
      <c r="I348" s="6" t="n">
        <v>413.1</v>
      </c>
      <c r="J348" s="6" t="n">
        <v>0</v>
      </c>
      <c r="K348" s="6" t="n">
        <f aca="false">K347+J348</f>
        <v>904.1</v>
      </c>
      <c r="L348" s="6" t="n">
        <v>5.3</v>
      </c>
      <c r="M348" s="6" t="n">
        <f aca="false">M347+L348</f>
        <v>437.2</v>
      </c>
      <c r="N348" s="6" t="n">
        <v>-5.3</v>
      </c>
      <c r="O348" s="6" t="n">
        <f aca="false">O347+N348</f>
        <v>90.1</v>
      </c>
      <c r="P348" s="6" t="n">
        <v>301</v>
      </c>
      <c r="Q348" s="15" t="n">
        <f aca="false">1.15+((P348-270)/58)*(0.35-1.15)</f>
        <v>0.722413793103448</v>
      </c>
      <c r="R348" s="14" t="n">
        <f aca="false">Q348*L348</f>
        <v>3.82879310344828</v>
      </c>
      <c r="S348" s="14" t="n">
        <f aca="false">J348-R348</f>
        <v>-3.82879310344828</v>
      </c>
      <c r="T348" s="14" t="n">
        <f aca="false">MIN(122.1,(T347+S348))</f>
        <v>98.8103448275862</v>
      </c>
      <c r="U348" s="14" t="n">
        <f aca="false">(U346*100)/122.1</f>
        <v>81.4847382088761</v>
      </c>
      <c r="V348" s="6" t="n">
        <v>2624.6</v>
      </c>
      <c r="X348" s="6" t="n">
        <f aca="false">X347+V348</f>
        <v>248352.9</v>
      </c>
      <c r="Y348" s="41" t="n">
        <f aca="false">Y347+V348</f>
        <v>28822.4</v>
      </c>
      <c r="AA348" s="6" t="n">
        <v>15.7397617011619</v>
      </c>
    </row>
    <row r="349" s="6" customFormat="true" ht="15" hidden="false" customHeight="false" outlineLevel="0" collapsed="false">
      <c r="A349" s="48"/>
      <c r="B349" s="50"/>
      <c r="C349" s="7" t="n">
        <v>41465</v>
      </c>
      <c r="D349" s="6" t="n">
        <v>24.1</v>
      </c>
      <c r="E349" s="6" t="n">
        <v>19.9</v>
      </c>
      <c r="F349" s="6" t="n">
        <v>29.2</v>
      </c>
      <c r="G349" s="6" t="n">
        <f aca="false">G348+D349</f>
        <v>2648.5</v>
      </c>
      <c r="H349" s="6" t="n">
        <f aca="false">H348+D349</f>
        <v>282</v>
      </c>
      <c r="J349" s="6" t="n">
        <v>0</v>
      </c>
      <c r="K349" s="6" t="n">
        <f aca="false">K348+J349</f>
        <v>904.1</v>
      </c>
      <c r="L349" s="6" t="n">
        <v>6.7</v>
      </c>
      <c r="M349" s="6" t="n">
        <f aca="false">M348+L349</f>
        <v>443.9</v>
      </c>
      <c r="N349" s="6" t="n">
        <v>-6.7</v>
      </c>
      <c r="O349" s="6" t="n">
        <f aca="false">O348+N349</f>
        <v>83.4</v>
      </c>
      <c r="P349" s="6" t="n">
        <v>302</v>
      </c>
      <c r="Q349" s="15" t="n">
        <f aca="false">1.15+((P349-270)/58)*(0.35-1.15)</f>
        <v>0.708620689655172</v>
      </c>
      <c r="R349" s="14" t="n">
        <f aca="false">Q349*L349</f>
        <v>4.74775862068965</v>
      </c>
      <c r="S349" s="14" t="n">
        <f aca="false">J349-R349</f>
        <v>-4.74775862068965</v>
      </c>
      <c r="T349" s="14" t="n">
        <f aca="false">MIN(122.1,(T348+S349))</f>
        <v>94.0625862068965</v>
      </c>
      <c r="V349" s="6" t="n">
        <v>2666.1</v>
      </c>
      <c r="X349" s="6" t="n">
        <f aca="false">X348+V349</f>
        <v>251019</v>
      </c>
      <c r="Y349" s="41" t="n">
        <f aca="false">Y348+V349</f>
        <v>31488.5</v>
      </c>
      <c r="AA349" s="6" t="n">
        <v>15.7171021357391</v>
      </c>
    </row>
    <row r="350" s="6" customFormat="true" ht="15" hidden="false" customHeight="false" outlineLevel="0" collapsed="false">
      <c r="A350" s="48"/>
      <c r="B350" s="50"/>
      <c r="C350" s="7" t="n">
        <v>41466</v>
      </c>
      <c r="D350" s="6" t="n">
        <v>20.7</v>
      </c>
      <c r="E350" s="6" t="n">
        <v>15.9</v>
      </c>
      <c r="F350" s="6" t="n">
        <v>24.7</v>
      </c>
      <c r="G350" s="6" t="n">
        <f aca="false">G349+D350</f>
        <v>2669.2</v>
      </c>
      <c r="H350" s="6" t="n">
        <f aca="false">H349+D350</f>
        <v>302.7</v>
      </c>
      <c r="J350" s="6" t="n">
        <v>0</v>
      </c>
      <c r="K350" s="6" t="n">
        <f aca="false">K349+J350</f>
        <v>904.1</v>
      </c>
      <c r="L350" s="6" t="n">
        <v>6.3</v>
      </c>
      <c r="M350" s="6" t="n">
        <f aca="false">M349+L350</f>
        <v>450.2</v>
      </c>
      <c r="N350" s="6" t="n">
        <v>-6.3</v>
      </c>
      <c r="O350" s="6" t="n">
        <f aca="false">O349+N350</f>
        <v>77.1</v>
      </c>
      <c r="P350" s="6" t="n">
        <v>303</v>
      </c>
      <c r="Q350" s="15" t="n">
        <f aca="false">1.15+((P350-270)/58)*(0.35-1.15)</f>
        <v>0.694827586206896</v>
      </c>
      <c r="R350" s="14" t="n">
        <f aca="false">Q350*L350</f>
        <v>4.37741379310345</v>
      </c>
      <c r="S350" s="14" t="n">
        <f aca="false">J350-R350</f>
        <v>-4.37741379310345</v>
      </c>
      <c r="T350" s="14" t="n">
        <f aca="false">MIN(122.1,(T349+S350))</f>
        <v>89.6851724137931</v>
      </c>
      <c r="V350" s="6" t="n">
        <v>3266.1</v>
      </c>
      <c r="X350" s="6" t="n">
        <f aca="false">X349+V350</f>
        <v>254285.1</v>
      </c>
      <c r="Y350" s="41" t="n">
        <f aca="false">Y349+V350</f>
        <v>34754.6</v>
      </c>
      <c r="AA350" s="6" t="n">
        <v>15.6932881617669</v>
      </c>
    </row>
    <row r="351" s="6" customFormat="true" ht="15" hidden="false" customHeight="false" outlineLevel="0" collapsed="false">
      <c r="A351" s="48"/>
      <c r="B351" s="50"/>
      <c r="C351" s="7" t="n">
        <v>41467</v>
      </c>
      <c r="D351" s="6" t="n">
        <v>20.6</v>
      </c>
      <c r="E351" s="6" t="n">
        <v>15.5</v>
      </c>
      <c r="F351" s="6" t="n">
        <v>25.7</v>
      </c>
      <c r="G351" s="6" t="n">
        <f aca="false">G350+D351</f>
        <v>2689.8</v>
      </c>
      <c r="H351" s="6" t="n">
        <f aca="false">H350+D351</f>
        <v>323.3</v>
      </c>
      <c r="J351" s="6" t="n">
        <v>0</v>
      </c>
      <c r="K351" s="6" t="n">
        <f aca="false">K350+J351</f>
        <v>904.1</v>
      </c>
      <c r="L351" s="6" t="n">
        <v>6.9</v>
      </c>
      <c r="M351" s="6" t="n">
        <f aca="false">M350+L351</f>
        <v>457.1</v>
      </c>
      <c r="N351" s="6" t="n">
        <v>-6.9</v>
      </c>
      <c r="O351" s="6" t="n">
        <f aca="false">O350+N351</f>
        <v>70.2</v>
      </c>
      <c r="P351" s="6" t="n">
        <v>304</v>
      </c>
      <c r="Q351" s="15" t="n">
        <f aca="false">1.15+((P351-270)/58)*(0.35-1.15)</f>
        <v>0.681034482758621</v>
      </c>
      <c r="R351" s="14" t="n">
        <f aca="false">Q351*L351</f>
        <v>4.69913793103448</v>
      </c>
      <c r="S351" s="14" t="n">
        <f aca="false">J351-R351</f>
        <v>-4.69913793103448</v>
      </c>
      <c r="T351" s="14" t="n">
        <f aca="false">MIN(122.1,(T350+S351))</f>
        <v>84.9860344827586</v>
      </c>
      <c r="V351" s="6" t="n">
        <v>3259.3</v>
      </c>
      <c r="X351" s="6" t="n">
        <f aca="false">X350+V351</f>
        <v>257544.4</v>
      </c>
      <c r="Y351" s="41" t="n">
        <f aca="false">Y350+V351</f>
        <v>38013.9</v>
      </c>
      <c r="AA351" s="6" t="n">
        <v>15.66834084826</v>
      </c>
    </row>
    <row r="352" s="6" customFormat="true" ht="15" hidden="false" customHeight="false" outlineLevel="0" collapsed="false">
      <c r="A352" s="48"/>
      <c r="B352" s="50"/>
      <c r="C352" s="7" t="n">
        <v>41468</v>
      </c>
      <c r="D352" s="6" t="n">
        <v>21.5</v>
      </c>
      <c r="E352" s="6" t="n">
        <v>16.7</v>
      </c>
      <c r="F352" s="6" t="n">
        <v>27.4</v>
      </c>
      <c r="G352" s="6" t="n">
        <f aca="false">G351+D352</f>
        <v>2711.3</v>
      </c>
      <c r="H352" s="6" t="n">
        <f aca="false">H351+D352</f>
        <v>344.8</v>
      </c>
      <c r="J352" s="6" t="n">
        <v>0</v>
      </c>
      <c r="K352" s="6" t="n">
        <f aca="false">K351+J352</f>
        <v>904.1</v>
      </c>
      <c r="L352" s="6" t="n">
        <v>7.2</v>
      </c>
      <c r="M352" s="6" t="n">
        <f aca="false">M351+L352</f>
        <v>464.3</v>
      </c>
      <c r="N352" s="6" t="n">
        <v>-7.2</v>
      </c>
      <c r="O352" s="6" t="n">
        <f aca="false">O351+N352</f>
        <v>63</v>
      </c>
      <c r="P352" s="6" t="n">
        <v>305</v>
      </c>
      <c r="Q352" s="15" t="n">
        <f aca="false">1.15+((P352-270)/58)*(0.35-1.15)</f>
        <v>0.667241379310345</v>
      </c>
      <c r="R352" s="14" t="n">
        <f aca="false">Q352*L352</f>
        <v>4.80413793103448</v>
      </c>
      <c r="S352" s="14" t="n">
        <f aca="false">J352-R352</f>
        <v>-4.80413793103448</v>
      </c>
      <c r="T352" s="14" t="n">
        <f aca="false">MIN(122.1,(T351+S352))</f>
        <v>80.1818965517241</v>
      </c>
      <c r="V352" s="6" t="n">
        <v>3253</v>
      </c>
      <c r="X352" s="6" t="n">
        <f aca="false">X351+V352</f>
        <v>260797.4</v>
      </c>
      <c r="Y352" s="41" t="n">
        <f aca="false">Y351+V352</f>
        <v>41266.9</v>
      </c>
      <c r="AA352" s="6" t="n">
        <v>15.6422818722123</v>
      </c>
    </row>
    <row r="353" s="6" customFormat="true" ht="15" hidden="false" customHeight="false" outlineLevel="0" collapsed="false">
      <c r="A353" s="48"/>
      <c r="B353" s="50"/>
      <c r="C353" s="7" t="n">
        <v>41469</v>
      </c>
      <c r="D353" s="6" t="n">
        <v>22.1</v>
      </c>
      <c r="E353" s="6" t="n">
        <v>16.5</v>
      </c>
      <c r="F353" s="6" t="n">
        <v>27.1</v>
      </c>
      <c r="G353" s="6" t="n">
        <f aca="false">G352+D353</f>
        <v>2733.4</v>
      </c>
      <c r="H353" s="6" t="n">
        <f aca="false">H352+D353</f>
        <v>366.9</v>
      </c>
      <c r="J353" s="6" t="n">
        <v>0</v>
      </c>
      <c r="K353" s="6" t="n">
        <f aca="false">K352+J353</f>
        <v>904.1</v>
      </c>
      <c r="L353" s="6" t="n">
        <v>6.6</v>
      </c>
      <c r="M353" s="6" t="n">
        <f aca="false">M352+L353</f>
        <v>470.9</v>
      </c>
      <c r="N353" s="6" t="n">
        <v>-6.6</v>
      </c>
      <c r="O353" s="6" t="n">
        <f aca="false">O352+N353</f>
        <v>56.4</v>
      </c>
      <c r="P353" s="6" t="n">
        <v>306</v>
      </c>
      <c r="Q353" s="15" t="n">
        <f aca="false">1.15+((P353-270)/58)*(0.35-1.15)</f>
        <v>0.653448275862069</v>
      </c>
      <c r="R353" s="14" t="n">
        <f aca="false">Q353*L353</f>
        <v>4.31275862068965</v>
      </c>
      <c r="S353" s="14" t="n">
        <f aca="false">J353-R353</f>
        <v>-4.31275862068965</v>
      </c>
      <c r="T353" s="14" t="n">
        <f aca="false">MIN(122.1,(T352+S353))</f>
        <v>75.8691379310345</v>
      </c>
      <c r="V353" s="6" t="n">
        <v>2948.6</v>
      </c>
      <c r="X353" s="6" t="n">
        <f aca="false">X352+V353</f>
        <v>263746</v>
      </c>
      <c r="Y353" s="41" t="n">
        <f aca="false">Y352+V353</f>
        <v>44215.5</v>
      </c>
      <c r="AA353" s="6" t="n">
        <v>15.6151334560947</v>
      </c>
    </row>
    <row r="354" s="6" customFormat="true" ht="15" hidden="false" customHeight="false" outlineLevel="0" collapsed="false">
      <c r="A354" s="48"/>
      <c r="B354" s="50"/>
      <c r="C354" s="7" t="n">
        <v>41470</v>
      </c>
      <c r="D354" s="6" t="n">
        <v>22.6</v>
      </c>
      <c r="E354" s="6" t="n">
        <v>17.4</v>
      </c>
      <c r="F354" s="6" t="n">
        <v>27.6</v>
      </c>
      <c r="G354" s="6" t="n">
        <f aca="false">G353+D354</f>
        <v>2756</v>
      </c>
      <c r="H354" s="6" t="n">
        <f aca="false">H353+D354</f>
        <v>389.5</v>
      </c>
      <c r="J354" s="6" t="n">
        <v>0</v>
      </c>
      <c r="K354" s="6" t="n">
        <f aca="false">K353+J354</f>
        <v>904.1</v>
      </c>
      <c r="L354" s="6" t="n">
        <v>6</v>
      </c>
      <c r="M354" s="6" t="n">
        <f aca="false">M353+L354</f>
        <v>476.9</v>
      </c>
      <c r="N354" s="6" t="n">
        <v>-6</v>
      </c>
      <c r="O354" s="6" t="n">
        <f aca="false">O353+N354</f>
        <v>50.4</v>
      </c>
      <c r="P354" s="6" t="n">
        <v>307</v>
      </c>
      <c r="Q354" s="15" t="n">
        <f aca="false">1.15+((P354-270)/58)*(0.35-1.15)</f>
        <v>0.639655172413793</v>
      </c>
      <c r="R354" s="14" t="n">
        <f aca="false">Q354*L354</f>
        <v>3.83793103448276</v>
      </c>
      <c r="S354" s="14" t="n">
        <f aca="false">J354-R354</f>
        <v>-3.83793103448276</v>
      </c>
      <c r="T354" s="14" t="n">
        <f aca="false">MIN(122.1,(T353+S354))</f>
        <v>72.0312068965517</v>
      </c>
      <c r="V354" s="6" t="n">
        <v>2688.2</v>
      </c>
      <c r="X354" s="6" t="n">
        <f aca="false">X353+V354</f>
        <v>266434.2</v>
      </c>
      <c r="Y354" s="41" t="n">
        <f aca="false">Y353+V354</f>
        <v>46903.7</v>
      </c>
      <c r="AA354" s="6" t="n">
        <v>15.5869183056326</v>
      </c>
    </row>
    <row r="355" s="20" customFormat="true" ht="15" hidden="false" customHeight="false" outlineLevel="0" collapsed="false">
      <c r="A355" s="48"/>
      <c r="B355" s="51" t="n">
        <v>1000</v>
      </c>
      <c r="C355" s="19" t="n">
        <v>41471</v>
      </c>
      <c r="D355" s="20" t="n">
        <v>23.6</v>
      </c>
      <c r="E355" s="20" t="n">
        <v>17.5</v>
      </c>
      <c r="F355" s="20" t="n">
        <v>28.7</v>
      </c>
      <c r="G355" s="20" t="n">
        <f aca="false">G354+D355</f>
        <v>2779.6</v>
      </c>
      <c r="H355" s="54" t="n">
        <f aca="false">H354+D355</f>
        <v>413.1</v>
      </c>
      <c r="J355" s="20" t="n">
        <v>0</v>
      </c>
      <c r="K355" s="20" t="n">
        <f aca="false">K354+J355</f>
        <v>904.1</v>
      </c>
      <c r="L355" s="20" t="n">
        <v>6.1</v>
      </c>
      <c r="M355" s="20" t="n">
        <f aca="false">M354+L355</f>
        <v>483</v>
      </c>
      <c r="N355" s="20" t="n">
        <v>-6.1</v>
      </c>
      <c r="O355" s="20" t="n">
        <f aca="false">O354+N355</f>
        <v>44.3</v>
      </c>
      <c r="P355" s="20" t="n">
        <v>308</v>
      </c>
      <c r="Q355" s="47" t="n">
        <f aca="false">1.15+((P355-270)/58)*(0.35-1.15)</f>
        <v>0.625862068965517</v>
      </c>
      <c r="R355" s="21" t="n">
        <f aca="false">Q355*L355</f>
        <v>3.81775862068965</v>
      </c>
      <c r="S355" s="21" t="n">
        <f aca="false">J355-R355</f>
        <v>-3.81775862068965</v>
      </c>
      <c r="T355" s="21" t="n">
        <f aca="false">MIN(122.1,(T354+S355))</f>
        <v>68.2134482758621</v>
      </c>
      <c r="V355" s="20" t="n">
        <v>2782.6</v>
      </c>
      <c r="X355" s="20" t="n">
        <f aca="false">X354+V355</f>
        <v>269216.8</v>
      </c>
      <c r="Y355" s="20" t="n">
        <f aca="false">Y354+V355</f>
        <v>49686.3</v>
      </c>
      <c r="AA355" s="20" t="n">
        <v>15.5576595481683</v>
      </c>
    </row>
    <row r="356" s="6" customFormat="true" ht="15" hidden="false" customHeight="false" outlineLevel="0" collapsed="false">
      <c r="A356" s="52"/>
      <c r="B356" s="50"/>
      <c r="C356" s="7" t="n">
        <v>41472</v>
      </c>
      <c r="D356" s="6" t="n">
        <v>24.3</v>
      </c>
      <c r="E356" s="6" t="n">
        <v>18.6</v>
      </c>
      <c r="F356" s="6" t="n">
        <v>29.8</v>
      </c>
      <c r="G356" s="6" t="n">
        <f aca="false">G355+D356</f>
        <v>2803.9</v>
      </c>
      <c r="H356" s="6" t="n">
        <f aca="false">H355+D356</f>
        <v>437.4</v>
      </c>
      <c r="J356" s="6" t="n">
        <v>0.5</v>
      </c>
      <c r="K356" s="6" t="n">
        <f aca="false">K355+J356</f>
        <v>904.6</v>
      </c>
      <c r="L356" s="6" t="n">
        <v>3.8</v>
      </c>
      <c r="M356" s="6" t="n">
        <f aca="false">M355+L356</f>
        <v>486.8</v>
      </c>
      <c r="N356" s="6" t="n">
        <v>-3.3</v>
      </c>
      <c r="O356" s="6" t="n">
        <f aca="false">O355+N356</f>
        <v>41</v>
      </c>
      <c r="P356" s="6" t="n">
        <v>309</v>
      </c>
      <c r="Q356" s="15" t="n">
        <f aca="false">1.15+((P356-270)/58)*(0.35-1.15)</f>
        <v>0.612068965517241</v>
      </c>
      <c r="R356" s="14" t="n">
        <f aca="false">Q356*L356</f>
        <v>2.32586206896552</v>
      </c>
      <c r="S356" s="14" t="n">
        <f aca="false">J356-R356</f>
        <v>-1.82586206896552</v>
      </c>
      <c r="T356" s="14" t="n">
        <f aca="false">MIN(122.1,(T355+S356))</f>
        <v>66.3875862068965</v>
      </c>
      <c r="V356" s="6" t="n">
        <v>1386.6</v>
      </c>
      <c r="X356" s="6" t="n">
        <f aca="false">X355+V356</f>
        <v>270603.4</v>
      </c>
      <c r="Y356" s="41" t="n">
        <f aca="false">Y355+V356</f>
        <v>51072.9</v>
      </c>
      <c r="AA356" s="6" t="n">
        <v>15.5273806718955</v>
      </c>
    </row>
    <row r="357" s="6" customFormat="true" ht="15" hidden="false" customHeight="false" outlineLevel="0" collapsed="false">
      <c r="A357" s="52"/>
      <c r="B357" s="50"/>
      <c r="C357" s="7" t="n">
        <v>41473</v>
      </c>
      <c r="D357" s="6" t="n">
        <v>23.4</v>
      </c>
      <c r="E357" s="6" t="n">
        <v>20.6</v>
      </c>
      <c r="F357" s="6" t="n">
        <v>29.3</v>
      </c>
      <c r="G357" s="6" t="n">
        <f aca="false">G356+D357</f>
        <v>2827.3</v>
      </c>
      <c r="H357" s="6" t="n">
        <f aca="false">H356+D357</f>
        <v>460.8</v>
      </c>
      <c r="J357" s="6" t="n">
        <v>8.3</v>
      </c>
      <c r="K357" s="6" t="n">
        <f aca="false">K356+J357</f>
        <v>912.9</v>
      </c>
      <c r="L357" s="6" t="n">
        <v>3.1</v>
      </c>
      <c r="M357" s="6" t="n">
        <f aca="false">M356+L357</f>
        <v>489.9</v>
      </c>
      <c r="N357" s="6" t="n">
        <v>5.2</v>
      </c>
      <c r="O357" s="6" t="n">
        <f aca="false">O356+N357</f>
        <v>46.2</v>
      </c>
      <c r="P357" s="6" t="n">
        <v>310</v>
      </c>
      <c r="Q357" s="15" t="n">
        <f aca="false">1.15+((P357-270)/58)*(0.35-1.15)</f>
        <v>0.598275862068965</v>
      </c>
      <c r="R357" s="14" t="n">
        <f aca="false">Q357*L357</f>
        <v>1.85465517241379</v>
      </c>
      <c r="S357" s="14" t="n">
        <f aca="false">J357-R357</f>
        <v>6.44534482758621</v>
      </c>
      <c r="T357" s="14" t="n">
        <f aca="false">MIN(122.1,(T356+S357))</f>
        <v>72.8329310344827</v>
      </c>
      <c r="V357" s="6" t="n">
        <v>1259.8</v>
      </c>
      <c r="X357" s="6" t="n">
        <f aca="false">X356+V357</f>
        <v>271863.2</v>
      </c>
      <c r="Y357" s="41" t="n">
        <f aca="false">Y356+V357</f>
        <v>52332.7</v>
      </c>
      <c r="AA357" s="6" t="n">
        <v>15.4961054662296</v>
      </c>
    </row>
    <row r="358" s="6" customFormat="true" ht="15" hidden="false" customHeight="false" outlineLevel="0" collapsed="false">
      <c r="A358" s="52"/>
      <c r="B358" s="50"/>
      <c r="C358" s="7" t="n">
        <v>41474</v>
      </c>
      <c r="D358" s="6" t="n">
        <v>22.4</v>
      </c>
      <c r="E358" s="6" t="n">
        <v>18.4</v>
      </c>
      <c r="F358" s="6" t="n">
        <v>28.2</v>
      </c>
      <c r="G358" s="6" t="n">
        <f aca="false">G357+D358</f>
        <v>2849.7</v>
      </c>
      <c r="H358" s="6" t="n">
        <f aca="false">H357+D358</f>
        <v>483.2</v>
      </c>
      <c r="J358" s="6" t="n">
        <v>0.6</v>
      </c>
      <c r="K358" s="6" t="n">
        <f aca="false">K357+J358</f>
        <v>913.5</v>
      </c>
      <c r="L358" s="6" t="n">
        <v>3.2</v>
      </c>
      <c r="M358" s="6" t="n">
        <f aca="false">M357+L358</f>
        <v>493.1</v>
      </c>
      <c r="N358" s="6" t="n">
        <v>-2.6</v>
      </c>
      <c r="O358" s="6" t="n">
        <f aca="false">O357+N358</f>
        <v>43.6</v>
      </c>
      <c r="P358" s="6" t="n">
        <v>311</v>
      </c>
      <c r="Q358" s="15" t="n">
        <f aca="false">1.15+((P358-270)/58)*(0.35-1.15)</f>
        <v>0.58448275862069</v>
      </c>
      <c r="R358" s="14" t="n">
        <f aca="false">Q358*L358</f>
        <v>1.87034482758621</v>
      </c>
      <c r="S358" s="14" t="n">
        <f aca="false">J358-R358</f>
        <v>-1.27034482758621</v>
      </c>
      <c r="T358" s="14" t="n">
        <f aca="false">MIN(122.1,(T357+S358))</f>
        <v>71.5625862068965</v>
      </c>
      <c r="V358" s="6" t="n">
        <v>1398.8</v>
      </c>
      <c r="X358" s="6" t="n">
        <f aca="false">X357+V358</f>
        <v>273262</v>
      </c>
      <c r="Y358" s="41" t="n">
        <f aca="false">Y357+V358</f>
        <v>53731.5</v>
      </c>
      <c r="AA358" s="6" t="n">
        <v>15.4638579635573</v>
      </c>
    </row>
    <row r="359" s="6" customFormat="true" ht="15" hidden="false" customHeight="false" outlineLevel="0" collapsed="false">
      <c r="A359" s="52"/>
      <c r="B359" s="50"/>
      <c r="C359" s="7" t="n">
        <v>41475</v>
      </c>
      <c r="D359" s="6" t="n">
        <v>24.4</v>
      </c>
      <c r="E359" s="6" t="n">
        <v>20.3</v>
      </c>
      <c r="F359" s="6" t="n">
        <v>28.8</v>
      </c>
      <c r="G359" s="6" t="n">
        <f aca="false">G358+D359</f>
        <v>2874.1</v>
      </c>
      <c r="H359" s="6" t="n">
        <f aca="false">H358+D359</f>
        <v>507.6</v>
      </c>
      <c r="J359" s="6" t="n">
        <v>0</v>
      </c>
      <c r="K359" s="6" t="n">
        <f aca="false">K358+J359</f>
        <v>913.5</v>
      </c>
      <c r="L359" s="6" t="n">
        <v>6.2</v>
      </c>
      <c r="M359" s="6" t="n">
        <f aca="false">M358+L359</f>
        <v>499.3</v>
      </c>
      <c r="N359" s="6" t="n">
        <v>-6.2</v>
      </c>
      <c r="O359" s="6" t="n">
        <f aca="false">O358+N359</f>
        <v>37.4</v>
      </c>
      <c r="P359" s="6" t="n">
        <v>312</v>
      </c>
      <c r="Q359" s="15" t="n">
        <f aca="false">1.15+((P359-270)/58)*(0.35-1.15)</f>
        <v>0.570689655172414</v>
      </c>
      <c r="R359" s="14" t="n">
        <f aca="false">Q359*L359</f>
        <v>3.53827586206897</v>
      </c>
      <c r="S359" s="14" t="n">
        <f aca="false">J359-R359</f>
        <v>-3.53827586206897</v>
      </c>
      <c r="T359" s="14" t="n">
        <f aca="false">MIN(122.1,(T358+S359))</f>
        <v>68.0243103448276</v>
      </c>
      <c r="V359" s="6" t="n">
        <v>2875.4</v>
      </c>
      <c r="X359" s="6" t="n">
        <f aca="false">X358+V359</f>
        <v>276137.4</v>
      </c>
      <c r="Y359" s="41" t="n">
        <f aca="false">Y358+V359</f>
        <v>56606.9</v>
      </c>
      <c r="AA359" s="6" t="n">
        <v>15.4306623825854</v>
      </c>
    </row>
    <row r="360" s="6" customFormat="true" ht="15" hidden="false" customHeight="false" outlineLevel="0" collapsed="false">
      <c r="A360" s="52"/>
      <c r="B360" s="50"/>
      <c r="C360" s="7" t="n">
        <v>41476</v>
      </c>
      <c r="D360" s="6" t="n">
        <v>25.9</v>
      </c>
      <c r="E360" s="6" t="n">
        <v>20.5</v>
      </c>
      <c r="F360" s="6" t="n">
        <v>31.5</v>
      </c>
      <c r="G360" s="6" t="n">
        <f aca="false">G359+D360</f>
        <v>2900</v>
      </c>
      <c r="H360" s="6" t="n">
        <f aca="false">H359+D360</f>
        <v>533.5</v>
      </c>
      <c r="J360" s="6" t="n">
        <v>0</v>
      </c>
      <c r="K360" s="6" t="n">
        <f aca="false">K359+J360</f>
        <v>913.5</v>
      </c>
      <c r="L360" s="6" t="n">
        <v>6.7</v>
      </c>
      <c r="M360" s="6" t="n">
        <f aca="false">M359+L360</f>
        <v>506</v>
      </c>
      <c r="N360" s="6" t="n">
        <v>-6.7</v>
      </c>
      <c r="O360" s="6" t="n">
        <f aca="false">O359+N360</f>
        <v>30.7</v>
      </c>
      <c r="P360" s="6" t="n">
        <v>313</v>
      </c>
      <c r="Q360" s="15" t="n">
        <f aca="false">1.15+((P360-270)/58)*(0.35-1.15)</f>
        <v>0.556896551724138</v>
      </c>
      <c r="R360" s="14" t="n">
        <f aca="false">Q360*L360</f>
        <v>3.73120689655172</v>
      </c>
      <c r="S360" s="14" t="n">
        <f aca="false">J360-R360</f>
        <v>-3.73120689655172</v>
      </c>
      <c r="T360" s="14" t="n">
        <f aca="false">MIN(122.1,(T359+S360))</f>
        <v>64.2931034482758</v>
      </c>
      <c r="V360" s="6" t="n">
        <v>3030.3</v>
      </c>
      <c r="X360" s="6" t="n">
        <f aca="false">X359+V360</f>
        <v>279167.7</v>
      </c>
      <c r="Y360" s="41" t="n">
        <f aca="false">Y359+V360</f>
        <v>59637.2</v>
      </c>
      <c r="AA360" s="6" t="n">
        <v>15.3965430734845</v>
      </c>
    </row>
    <row r="361" s="6" customFormat="true" ht="15" hidden="false" customHeight="false" outlineLevel="0" collapsed="false">
      <c r="A361" s="52"/>
      <c r="B361" s="50"/>
      <c r="C361" s="7" t="n">
        <v>41477</v>
      </c>
      <c r="D361" s="6" t="n">
        <v>26</v>
      </c>
      <c r="E361" s="6" t="n">
        <v>20.1</v>
      </c>
      <c r="F361" s="6" t="n">
        <v>32.4</v>
      </c>
      <c r="G361" s="6" t="n">
        <f aca="false">G360+D361</f>
        <v>2926</v>
      </c>
      <c r="H361" s="6" t="n">
        <f aca="false">H360+D361</f>
        <v>559.5</v>
      </c>
      <c r="J361" s="6" t="n">
        <v>0</v>
      </c>
      <c r="K361" s="6" t="n">
        <f aca="false">K360+J361</f>
        <v>913.5</v>
      </c>
      <c r="L361" s="6" t="n">
        <v>5.9</v>
      </c>
      <c r="M361" s="6" t="n">
        <f aca="false">M360+L361</f>
        <v>511.9</v>
      </c>
      <c r="N361" s="6" t="n">
        <v>-5.9</v>
      </c>
      <c r="O361" s="6" t="n">
        <f aca="false">O360+N361</f>
        <v>24.8</v>
      </c>
      <c r="P361" s="6" t="n">
        <v>314</v>
      </c>
      <c r="Q361" s="15" t="n">
        <f aca="false">1.15+((P361-270)/58)*(0.35-1.15)</f>
        <v>0.543103448275862</v>
      </c>
      <c r="R361" s="14" t="n">
        <f aca="false">Q361*L361</f>
        <v>3.20431034482759</v>
      </c>
      <c r="S361" s="14" t="n">
        <f aca="false">J361-R361</f>
        <v>-3.20431034482759</v>
      </c>
      <c r="T361" s="14" t="n">
        <f aca="false">MIN(122.1,(T360+S361))</f>
        <v>61.0887931034483</v>
      </c>
      <c r="V361" s="6" t="n">
        <v>2543.1</v>
      </c>
      <c r="X361" s="6" t="n">
        <f aca="false">X360+V361</f>
        <v>281710.8</v>
      </c>
      <c r="Y361" s="41" t="n">
        <f aca="false">Y360+V361</f>
        <v>62180.3</v>
      </c>
      <c r="AA361" s="6" t="n">
        <v>15.3615244650017</v>
      </c>
    </row>
    <row r="362" s="6" customFormat="true" ht="15" hidden="false" customHeight="false" outlineLevel="0" collapsed="false">
      <c r="A362" s="52"/>
      <c r="B362" s="50"/>
      <c r="C362" s="7" t="n">
        <v>41478</v>
      </c>
      <c r="D362" s="6" t="n">
        <v>24.2</v>
      </c>
      <c r="E362" s="6" t="n">
        <v>20.5</v>
      </c>
      <c r="F362" s="6" t="n">
        <v>30.6</v>
      </c>
      <c r="G362" s="6" t="n">
        <f aca="false">G361+D362</f>
        <v>2950.2</v>
      </c>
      <c r="H362" s="6" t="n">
        <f aca="false">H361+D362</f>
        <v>583.7</v>
      </c>
      <c r="J362" s="6" t="n">
        <v>1.4</v>
      </c>
      <c r="K362" s="6" t="n">
        <f aca="false">K361+J362</f>
        <v>914.9</v>
      </c>
      <c r="L362" s="6" t="n">
        <v>4.3</v>
      </c>
      <c r="M362" s="6" t="n">
        <f aca="false">M361+L362</f>
        <v>516.2</v>
      </c>
      <c r="N362" s="6" t="n">
        <v>-2.9</v>
      </c>
      <c r="O362" s="6" t="n">
        <f aca="false">O361+N362</f>
        <v>21.9</v>
      </c>
      <c r="P362" s="6" t="n">
        <v>315</v>
      </c>
      <c r="Q362" s="15" t="n">
        <f aca="false">1.15+((P362-270)/58)*(0.35-1.15)</f>
        <v>0.529310344827586</v>
      </c>
      <c r="R362" s="14" t="n">
        <f aca="false">Q362*L362</f>
        <v>2.27603448275862</v>
      </c>
      <c r="S362" s="14" t="n">
        <f aca="false">J362-R362</f>
        <v>-0.876034482758621</v>
      </c>
      <c r="T362" s="14" t="n">
        <f aca="false">MIN(122.1,(T361+S362))</f>
        <v>60.2127586206896</v>
      </c>
      <c r="V362" s="6" t="n">
        <v>2008.7</v>
      </c>
      <c r="X362" s="6" t="n">
        <f aca="false">X361+V362</f>
        <v>283719.5</v>
      </c>
      <c r="Y362" s="41" t="n">
        <f aca="false">Y361+V362</f>
        <v>64189</v>
      </c>
      <c r="AA362" s="6" t="n">
        <v>15.3256310136911</v>
      </c>
    </row>
    <row r="363" s="6" customFormat="true" ht="15" hidden="false" customHeight="false" outlineLevel="0" collapsed="false">
      <c r="A363" s="52"/>
      <c r="B363" s="50"/>
      <c r="C363" s="7" t="n">
        <v>41479</v>
      </c>
      <c r="D363" s="6" t="n">
        <v>24.1</v>
      </c>
      <c r="E363" s="6" t="n">
        <v>17.8</v>
      </c>
      <c r="F363" s="6" t="n">
        <v>28.8</v>
      </c>
      <c r="G363" s="6" t="n">
        <f aca="false">G362+D363</f>
        <v>2974.3</v>
      </c>
      <c r="H363" s="6" t="n">
        <f aca="false">H362+D363</f>
        <v>607.8</v>
      </c>
      <c r="J363" s="6" t="n">
        <v>0</v>
      </c>
      <c r="K363" s="6" t="n">
        <f aca="false">K362+J363</f>
        <v>914.9</v>
      </c>
      <c r="L363" s="6" t="n">
        <v>4.4</v>
      </c>
      <c r="M363" s="6" t="n">
        <f aca="false">M362+L363</f>
        <v>520.6</v>
      </c>
      <c r="N363" s="6" t="n">
        <v>-4.4</v>
      </c>
      <c r="O363" s="6" t="n">
        <f aca="false">O362+N363</f>
        <v>17.5</v>
      </c>
      <c r="P363" s="6" t="n">
        <v>316</v>
      </c>
      <c r="Q363" s="15" t="n">
        <f aca="false">1.15+((P363-270)/58)*(0.35-1.15)</f>
        <v>0.51551724137931</v>
      </c>
      <c r="R363" s="14" t="n">
        <f aca="false">Q363*L363</f>
        <v>2.26827586206897</v>
      </c>
      <c r="S363" s="14" t="n">
        <f aca="false">J363-R363</f>
        <v>-2.26827586206897</v>
      </c>
      <c r="T363" s="14" t="n">
        <f aca="false">MIN(122.1,(T362+S363))</f>
        <v>57.9444827586207</v>
      </c>
      <c r="V363" s="6" t="n">
        <v>1862.5</v>
      </c>
      <c r="X363" s="6" t="n">
        <f aca="false">X362+V363</f>
        <v>285582</v>
      </c>
      <c r="Y363" s="41" t="n">
        <f aca="false">Y362+V363</f>
        <v>66051.5</v>
      </c>
      <c r="AA363" s="6" t="n">
        <v>15.2888871553889</v>
      </c>
    </row>
    <row r="364" s="6" customFormat="true" ht="15" hidden="false" customHeight="false" outlineLevel="0" collapsed="false">
      <c r="A364" s="52"/>
      <c r="B364" s="50"/>
      <c r="C364" s="7" t="n">
        <v>41480</v>
      </c>
      <c r="D364" s="6" t="n">
        <v>25.7</v>
      </c>
      <c r="E364" s="6" t="n">
        <v>21.3</v>
      </c>
      <c r="F364" s="6" t="n">
        <v>30.1</v>
      </c>
      <c r="G364" s="6" t="n">
        <f aca="false">G363+D364</f>
        <v>3000</v>
      </c>
      <c r="H364" s="6" t="n">
        <f aca="false">H363+D364</f>
        <v>633.5</v>
      </c>
      <c r="J364" s="6" t="n">
        <v>0</v>
      </c>
      <c r="K364" s="6" t="n">
        <f aca="false">K363+J364</f>
        <v>914.9</v>
      </c>
      <c r="L364" s="6" t="n">
        <v>5</v>
      </c>
      <c r="M364" s="6" t="n">
        <f aca="false">M363+L364</f>
        <v>525.6</v>
      </c>
      <c r="N364" s="6" t="n">
        <v>-5</v>
      </c>
      <c r="O364" s="6" t="n">
        <f aca="false">O363+N364</f>
        <v>12.5</v>
      </c>
      <c r="P364" s="6" t="n">
        <v>317</v>
      </c>
      <c r="Q364" s="15" t="n">
        <f aca="false">1.15+((P364-270)/58)*(0.35-1.15)</f>
        <v>0.501724137931034</v>
      </c>
      <c r="R364" s="14" t="n">
        <f aca="false">Q364*L364</f>
        <v>2.50862068965517</v>
      </c>
      <c r="S364" s="14" t="n">
        <f aca="false">J364-R364</f>
        <v>-2.50862068965517</v>
      </c>
      <c r="T364" s="14" t="n">
        <f aca="false">MIN(122.1,(T363+S364))</f>
        <v>55.4358620689655</v>
      </c>
      <c r="V364" s="6" t="n">
        <v>2203.9</v>
      </c>
      <c r="X364" s="6" t="n">
        <f aca="false">X363+V364</f>
        <v>287785.9</v>
      </c>
      <c r="Y364" s="41" t="n">
        <f aca="false">Y363+V364</f>
        <v>68255.4</v>
      </c>
      <c r="AA364" s="6" t="n">
        <v>15.2513172590373</v>
      </c>
    </row>
    <row r="365" s="6" customFormat="true" ht="15" hidden="false" customHeight="false" outlineLevel="0" collapsed="false">
      <c r="A365" s="52"/>
      <c r="B365" s="50"/>
      <c r="C365" s="7" t="n">
        <v>41481</v>
      </c>
      <c r="D365" s="6" t="n">
        <v>26.1</v>
      </c>
      <c r="E365" s="6" t="n">
        <v>20.2</v>
      </c>
      <c r="F365" s="6" t="n">
        <v>31.7</v>
      </c>
      <c r="G365" s="6" t="n">
        <f aca="false">G364+D365</f>
        <v>3026.1</v>
      </c>
      <c r="H365" s="6" t="n">
        <f aca="false">H364+D365</f>
        <v>659.6</v>
      </c>
      <c r="J365" s="6" t="n">
        <v>0.1</v>
      </c>
      <c r="K365" s="6" t="n">
        <f aca="false">K364+J365</f>
        <v>915</v>
      </c>
      <c r="L365" s="6" t="n">
        <v>2.5</v>
      </c>
      <c r="M365" s="6" t="n">
        <f aca="false">M364+L365</f>
        <v>528.1</v>
      </c>
      <c r="N365" s="6" t="n">
        <v>-2.4</v>
      </c>
      <c r="O365" s="6" t="n">
        <f aca="false">O364+N365</f>
        <v>10.1</v>
      </c>
      <c r="P365" s="6" t="n">
        <v>318</v>
      </c>
      <c r="Q365" s="15" t="n">
        <f aca="false">1.15+((P365-270)/58)*(0.35-1.15)</f>
        <v>0.487931034482759</v>
      </c>
      <c r="R365" s="14" t="n">
        <f aca="false">Q365*L365</f>
        <v>1.2198275862069</v>
      </c>
      <c r="S365" s="14" t="n">
        <f aca="false">J365-R365</f>
        <v>-1.1198275862069</v>
      </c>
      <c r="T365" s="14" t="n">
        <f aca="false">MIN(122.1,(T364+S365))</f>
        <v>54.3160344827586</v>
      </c>
      <c r="V365" s="6" t="n">
        <v>949</v>
      </c>
      <c r="X365" s="6" t="n">
        <f aca="false">X364+V365</f>
        <v>288734.9</v>
      </c>
      <c r="Y365" s="41" t="n">
        <f aca="false">Y364+V365</f>
        <v>69204.4</v>
      </c>
      <c r="AA365" s="6" t="n">
        <v>15.2129455829404</v>
      </c>
    </row>
    <row r="366" s="6" customFormat="true" ht="15" hidden="false" customHeight="false" outlineLevel="0" collapsed="false">
      <c r="A366" s="52"/>
      <c r="B366" s="50"/>
      <c r="C366" s="7" t="n">
        <v>41482</v>
      </c>
      <c r="D366" s="6" t="n">
        <v>27.7</v>
      </c>
      <c r="E366" s="6" t="n">
        <v>21.7</v>
      </c>
      <c r="F366" s="6" t="n">
        <v>34.7</v>
      </c>
      <c r="G366" s="6" t="n">
        <f aca="false">G365+D366</f>
        <v>3053.8</v>
      </c>
      <c r="H366" s="6" t="n">
        <f aca="false">H365+D366</f>
        <v>687.3</v>
      </c>
      <c r="J366" s="6" t="n">
        <v>0.6</v>
      </c>
      <c r="K366" s="6" t="n">
        <f aca="false">K365+J366</f>
        <v>915.6</v>
      </c>
      <c r="L366" s="6" t="n">
        <v>8</v>
      </c>
      <c r="M366" s="6" t="n">
        <f aca="false">M365+L366</f>
        <v>536.1</v>
      </c>
      <c r="N366" s="6" t="n">
        <v>-7.4</v>
      </c>
      <c r="O366" s="6" t="n">
        <f aca="false">O365+N366</f>
        <v>2.7</v>
      </c>
      <c r="P366" s="6" t="n">
        <v>319</v>
      </c>
      <c r="Q366" s="15" t="n">
        <f aca="false">1.15+((P366-270)/58)*(0.35-1.15)</f>
        <v>0.474137931034483</v>
      </c>
      <c r="R366" s="14" t="n">
        <f aca="false">Q366*L366</f>
        <v>3.79310344827586</v>
      </c>
      <c r="S366" s="14" t="n">
        <f aca="false">J366-R366</f>
        <v>-3.19310344827586</v>
      </c>
      <c r="T366" s="14" t="n">
        <f aca="false">MIN(122.1,(T365+S366))</f>
        <v>51.1229310344827</v>
      </c>
      <c r="V366" s="6" t="n">
        <v>2332.1</v>
      </c>
      <c r="X366" s="6" t="n">
        <f aca="false">X365+V366</f>
        <v>291067</v>
      </c>
      <c r="Y366" s="41" t="n">
        <f aca="false">Y365+V366</f>
        <v>71536.5</v>
      </c>
      <c r="AA366" s="6" t="n">
        <v>15.1737962335136</v>
      </c>
    </row>
    <row r="367" s="6" customFormat="true" ht="15" hidden="false" customHeight="false" outlineLevel="0" collapsed="false">
      <c r="A367" s="52"/>
      <c r="B367" s="50"/>
      <c r="C367" s="7" t="n">
        <v>41483</v>
      </c>
      <c r="D367" s="6" t="n">
        <v>19.6</v>
      </c>
      <c r="E367" s="6" t="n">
        <v>18.5</v>
      </c>
      <c r="F367" s="6" t="n">
        <v>20.1</v>
      </c>
      <c r="G367" s="6" t="n">
        <f aca="false">G366+D367</f>
        <v>3073.4</v>
      </c>
      <c r="H367" s="6" t="n">
        <f aca="false">H366+D367</f>
        <v>706.9</v>
      </c>
      <c r="J367" s="6" t="n">
        <v>59.3</v>
      </c>
      <c r="K367" s="6" t="n">
        <f aca="false">K366+J367</f>
        <v>974.9</v>
      </c>
      <c r="L367" s="6" t="n">
        <v>1.4</v>
      </c>
      <c r="M367" s="6" t="n">
        <f aca="false">M366+L367</f>
        <v>537.5</v>
      </c>
      <c r="N367" s="6" t="n">
        <v>57.9</v>
      </c>
      <c r="O367" s="6" t="n">
        <f aca="false">O366+N367</f>
        <v>60.6</v>
      </c>
      <c r="P367" s="6" t="n">
        <v>320</v>
      </c>
      <c r="Q367" s="15" t="n">
        <f aca="false">1.15+((P367-270)/58)*(0.35-1.15)</f>
        <v>0.460344827586207</v>
      </c>
      <c r="R367" s="14" t="n">
        <f aca="false">Q367*L367</f>
        <v>0.64448275862069</v>
      </c>
      <c r="S367" s="14" t="n">
        <f aca="false">J367-R367</f>
        <v>58.6555172413793</v>
      </c>
      <c r="T367" s="14" t="n">
        <f aca="false">MIN(122.1,(T366+S367))</f>
        <v>109.778448275862</v>
      </c>
      <c r="V367" s="6" t="n">
        <v>596.7</v>
      </c>
      <c r="X367" s="6" t="n">
        <f aca="false">X366+V367</f>
        <v>291663.7</v>
      </c>
      <c r="Y367" s="41" t="n">
        <f aca="false">Y366+V367</f>
        <v>72133.2</v>
      </c>
      <c r="AA367" s="6" t="n">
        <v>15.1338931265691</v>
      </c>
    </row>
    <row r="368" s="6" customFormat="true" ht="15" hidden="false" customHeight="false" outlineLevel="0" collapsed="false">
      <c r="A368" s="52"/>
      <c r="B368" s="50"/>
      <c r="C368" s="7" t="n">
        <v>41484</v>
      </c>
      <c r="D368" s="6" t="n">
        <v>19.4</v>
      </c>
      <c r="E368" s="6" t="n">
        <v>17.3</v>
      </c>
      <c r="F368" s="6" t="n">
        <v>22.8</v>
      </c>
      <c r="G368" s="6" t="n">
        <f aca="false">G367+D368</f>
        <v>3092.8</v>
      </c>
      <c r="H368" s="6" t="n">
        <f aca="false">H367+D368</f>
        <v>726.3</v>
      </c>
      <c r="J368" s="6" t="n">
        <v>2.5</v>
      </c>
      <c r="K368" s="6" t="n">
        <f aca="false">K367+J368</f>
        <v>977.4</v>
      </c>
      <c r="L368" s="6" t="n">
        <v>3.1</v>
      </c>
      <c r="M368" s="6" t="n">
        <f aca="false">M367+L368</f>
        <v>540.6</v>
      </c>
      <c r="N368" s="6" t="n">
        <v>-0.6</v>
      </c>
      <c r="O368" s="6" t="n">
        <f aca="false">O367+N368</f>
        <v>60</v>
      </c>
      <c r="P368" s="6" t="n">
        <v>321</v>
      </c>
      <c r="Q368" s="15" t="n">
        <f aca="false">1.15+((P368-270)/58)*(0.35-1.15)</f>
        <v>0.446551724137931</v>
      </c>
      <c r="R368" s="14" t="n">
        <f aca="false">Q368*L368</f>
        <v>1.38431034482759</v>
      </c>
      <c r="S368" s="14" t="n">
        <f aca="false">J368-R368</f>
        <v>1.11568965517241</v>
      </c>
      <c r="T368" s="14" t="n">
        <f aca="false">MIN(122.1,(T367+S368))</f>
        <v>110.894137931034</v>
      </c>
      <c r="V368" s="6" t="n">
        <v>1516.9</v>
      </c>
      <c r="X368" s="6" t="n">
        <f aca="false">X367+V368</f>
        <v>293180.6</v>
      </c>
      <c r="Y368" s="41" t="n">
        <f aca="false">Y367+V368</f>
        <v>73650.1</v>
      </c>
      <c r="AA368" s="6" t="n">
        <v>15.0932599511633</v>
      </c>
    </row>
    <row r="369" s="6" customFormat="true" ht="15" hidden="false" customHeight="false" outlineLevel="0" collapsed="false">
      <c r="A369" s="52"/>
      <c r="B369" s="50"/>
      <c r="C369" s="7" t="n">
        <v>41485</v>
      </c>
      <c r="D369" s="6" t="n">
        <v>20.3</v>
      </c>
      <c r="E369" s="6" t="n">
        <v>16.4</v>
      </c>
      <c r="F369" s="6" t="n">
        <v>23.7</v>
      </c>
      <c r="G369" s="6" t="n">
        <f aca="false">G368+D369</f>
        <v>3113.1</v>
      </c>
      <c r="H369" s="6" t="n">
        <f aca="false">H368+D369</f>
        <v>746.6</v>
      </c>
      <c r="J369" s="6" t="n">
        <v>0.2</v>
      </c>
      <c r="K369" s="6" t="n">
        <f aca="false">K368+J369</f>
        <v>977.6</v>
      </c>
      <c r="L369" s="6" t="n">
        <v>3.3</v>
      </c>
      <c r="M369" s="6" t="n">
        <f aca="false">M368+L369</f>
        <v>543.9</v>
      </c>
      <c r="N369" s="6" t="n">
        <v>-3.1</v>
      </c>
      <c r="O369" s="6" t="n">
        <f aca="false">O368+N369</f>
        <v>56.9</v>
      </c>
      <c r="P369" s="6" t="n">
        <v>322</v>
      </c>
      <c r="Q369" s="15" t="n">
        <f aca="false">1.15+((P369-270)/58)*(0.35-1.15)</f>
        <v>0.432758620689655</v>
      </c>
      <c r="R369" s="14" t="n">
        <f aca="false">Q369*L369</f>
        <v>1.42810344827586</v>
      </c>
      <c r="S369" s="14" t="n">
        <f aca="false">J369-R369</f>
        <v>-1.22810344827586</v>
      </c>
      <c r="T369" s="14" t="n">
        <f aca="false">MIN(122.1,(T368+S369))</f>
        <v>109.666034482759</v>
      </c>
      <c r="V369" s="6" t="n">
        <v>1533.6</v>
      </c>
      <c r="X369" s="6" t="n">
        <f aca="false">X368+V369</f>
        <v>294714.2</v>
      </c>
      <c r="Y369" s="41" t="n">
        <f aca="false">Y368+V369</f>
        <v>75183.7</v>
      </c>
      <c r="AA369" s="6" t="n">
        <v>15.0519201360116</v>
      </c>
    </row>
    <row r="370" s="6" customFormat="true" ht="15" hidden="false" customHeight="false" outlineLevel="0" collapsed="false">
      <c r="A370" s="52"/>
      <c r="B370" s="50"/>
      <c r="C370" s="7" t="n">
        <v>41486</v>
      </c>
      <c r="D370" s="6" t="n">
        <v>22.8</v>
      </c>
      <c r="E370" s="6" t="n">
        <v>17.7</v>
      </c>
      <c r="F370" s="6" t="n">
        <v>27.2</v>
      </c>
      <c r="G370" s="6" t="n">
        <f aca="false">G369+D370</f>
        <v>3135.9</v>
      </c>
      <c r="H370" s="6" t="n">
        <f aca="false">H369+D370</f>
        <v>769.4</v>
      </c>
      <c r="J370" s="6" t="n">
        <v>0</v>
      </c>
      <c r="K370" s="6" t="n">
        <f aca="false">K369+J370</f>
        <v>977.6</v>
      </c>
      <c r="L370" s="6" t="n">
        <v>4.4</v>
      </c>
      <c r="M370" s="6" t="n">
        <f aca="false">M369+L370</f>
        <v>548.3</v>
      </c>
      <c r="N370" s="6" t="n">
        <v>-4.4</v>
      </c>
      <c r="O370" s="6" t="n">
        <f aca="false">O369+N370</f>
        <v>52.5</v>
      </c>
      <c r="P370" s="6" t="n">
        <v>323</v>
      </c>
      <c r="Q370" s="15" t="n">
        <f aca="false">1.15+((P370-270)/58)*(0.35-1.15)</f>
        <v>0.418965517241379</v>
      </c>
      <c r="R370" s="14" t="n">
        <f aca="false">Q370*L370</f>
        <v>1.84344827586207</v>
      </c>
      <c r="S370" s="14" t="n">
        <f aca="false">J370-R370</f>
        <v>-1.84344827586207</v>
      </c>
      <c r="T370" s="14" t="n">
        <f aca="false">MIN(122.1,(T369+S370))</f>
        <v>107.822586206897</v>
      </c>
      <c r="V370" s="6" t="n">
        <v>2224.6</v>
      </c>
      <c r="X370" s="6" t="n">
        <f aca="false">X369+V370</f>
        <v>296938.8</v>
      </c>
      <c r="Y370" s="41" t="n">
        <f aca="false">Y369+V370</f>
        <v>77408.3</v>
      </c>
      <c r="AA370" s="6" t="n">
        <v>15.0098968184643</v>
      </c>
    </row>
    <row r="371" s="6" customFormat="true" ht="15" hidden="false" customHeight="false" outlineLevel="0" collapsed="false">
      <c r="A371" s="52"/>
      <c r="B371" s="50"/>
      <c r="C371" s="7" t="n">
        <v>41487</v>
      </c>
      <c r="D371" s="6" t="n">
        <v>25.1</v>
      </c>
      <c r="E371" s="6" t="n">
        <v>16.5</v>
      </c>
      <c r="F371" s="6" t="n">
        <v>30.8</v>
      </c>
      <c r="G371" s="6" t="n">
        <f aca="false">G370+D371</f>
        <v>3161</v>
      </c>
      <c r="H371" s="6" t="n">
        <f aca="false">H370+D371</f>
        <v>794.5</v>
      </c>
      <c r="J371" s="6" t="n">
        <v>0</v>
      </c>
      <c r="K371" s="6" t="n">
        <f aca="false">K370+J371</f>
        <v>977.6</v>
      </c>
      <c r="L371" s="6" t="n">
        <v>6.3</v>
      </c>
      <c r="M371" s="6" t="n">
        <f aca="false">M370+L371</f>
        <v>554.6</v>
      </c>
      <c r="N371" s="6" t="n">
        <v>-6.3</v>
      </c>
      <c r="O371" s="6" t="n">
        <f aca="false">O370+N371</f>
        <v>46.2</v>
      </c>
      <c r="P371" s="6" t="n">
        <v>324</v>
      </c>
      <c r="Q371" s="15" t="n">
        <f aca="false">1.15+((P371-270)/58)*(0.35-1.15)</f>
        <v>0.405172413793103</v>
      </c>
      <c r="R371" s="14" t="n">
        <f aca="false">Q371*L371</f>
        <v>2.55258620689655</v>
      </c>
      <c r="S371" s="14" t="n">
        <f aca="false">J371-R371</f>
        <v>-2.55258620689655</v>
      </c>
      <c r="T371" s="14" t="n">
        <f aca="false">MIN(122.1,(T370+S371))</f>
        <v>105.27</v>
      </c>
      <c r="V371" s="6" t="n">
        <v>2880.6</v>
      </c>
      <c r="X371" s="6" t="n">
        <f aca="false">X370+V371</f>
        <v>299819.4</v>
      </c>
      <c r="Y371" s="41" t="n">
        <f aca="false">Y370+V371</f>
        <v>80288.9</v>
      </c>
      <c r="AA371" s="6" t="n">
        <v>14.9672128160205</v>
      </c>
    </row>
    <row r="372" s="6" customFormat="true" ht="15" hidden="false" customHeight="false" outlineLevel="0" collapsed="false">
      <c r="A372" s="52"/>
      <c r="B372" s="50"/>
      <c r="C372" s="7" t="n">
        <v>41488</v>
      </c>
      <c r="D372" s="6" t="n">
        <v>26</v>
      </c>
      <c r="E372" s="6" t="n">
        <v>20</v>
      </c>
      <c r="F372" s="6" t="n">
        <v>31.8</v>
      </c>
      <c r="G372" s="6" t="n">
        <f aca="false">G371+D372</f>
        <v>3187</v>
      </c>
      <c r="H372" s="6" t="n">
        <f aca="false">H371+D372</f>
        <v>820.5</v>
      </c>
      <c r="J372" s="6" t="n">
        <v>0</v>
      </c>
      <c r="K372" s="6" t="n">
        <f aca="false">K371+J372</f>
        <v>977.6</v>
      </c>
      <c r="L372" s="6" t="n">
        <v>6.7</v>
      </c>
      <c r="M372" s="6" t="n">
        <f aca="false">M371+L372</f>
        <v>561.3</v>
      </c>
      <c r="N372" s="6" t="n">
        <v>-6.7</v>
      </c>
      <c r="O372" s="6" t="n">
        <f aca="false">O371+N372</f>
        <v>39.5</v>
      </c>
      <c r="P372" s="6" t="n">
        <v>325</v>
      </c>
      <c r="Q372" s="15" t="n">
        <f aca="false">1.15+((P372-270)/58)*(0.35-1.15)</f>
        <v>0.391379310344828</v>
      </c>
      <c r="R372" s="14" t="n">
        <f aca="false">Q372*L372</f>
        <v>2.62224137931034</v>
      </c>
      <c r="S372" s="14" t="n">
        <f aca="false">J372-R372</f>
        <v>-2.62224137931034</v>
      </c>
      <c r="T372" s="14" t="n">
        <f aca="false">MIN(122.1,(T371+S372))</f>
        <v>102.64775862069</v>
      </c>
      <c r="V372" s="6" t="n">
        <v>2540.9</v>
      </c>
      <c r="X372" s="6" t="n">
        <f aca="false">X371+V372</f>
        <v>302360.3</v>
      </c>
      <c r="Y372" s="41" t="n">
        <f aca="false">Y371+V372</f>
        <v>82829.8</v>
      </c>
      <c r="AA372" s="6" t="n">
        <v>14.9238906003454</v>
      </c>
    </row>
    <row r="373" s="6" customFormat="true" ht="15" hidden="false" customHeight="false" outlineLevel="0" collapsed="false">
      <c r="A373" s="52"/>
      <c r="B373" s="50"/>
      <c r="C373" s="7" t="n">
        <v>41489</v>
      </c>
      <c r="D373" s="6" t="n">
        <v>23.6</v>
      </c>
      <c r="E373" s="6" t="n">
        <v>21.5</v>
      </c>
      <c r="F373" s="6" t="n">
        <v>26.8</v>
      </c>
      <c r="G373" s="6" t="n">
        <f aca="false">G372+D373</f>
        <v>3210.6</v>
      </c>
      <c r="H373" s="6" t="n">
        <f aca="false">H372+D373</f>
        <v>844.1</v>
      </c>
      <c r="J373" s="6" t="n">
        <v>0.4</v>
      </c>
      <c r="K373" s="6" t="n">
        <f aca="false">K372+J373</f>
        <v>978</v>
      </c>
      <c r="L373" s="6" t="n">
        <v>3.6</v>
      </c>
      <c r="M373" s="6" t="n">
        <f aca="false">M372+L373</f>
        <v>564.9</v>
      </c>
      <c r="N373" s="6" t="n">
        <v>-3.2</v>
      </c>
      <c r="O373" s="6" t="n">
        <f aca="false">O372+N373</f>
        <v>36.3</v>
      </c>
      <c r="P373" s="6" t="n">
        <v>326</v>
      </c>
      <c r="Q373" s="15" t="n">
        <f aca="false">1.15+((P373-270)/58)*(0.35-1.15)</f>
        <v>0.377586206896552</v>
      </c>
      <c r="R373" s="14" t="n">
        <f aca="false">Q373*L373</f>
        <v>1.35931034482759</v>
      </c>
      <c r="S373" s="14" t="n">
        <f aca="false">J373-R373</f>
        <v>-0.959310344827586</v>
      </c>
      <c r="T373" s="14" t="n">
        <f aca="false">MIN(122.1,(T372+S373))</f>
        <v>101.688448275862</v>
      </c>
      <c r="V373" s="6" t="n">
        <v>1334.3</v>
      </c>
      <c r="X373" s="6" t="n">
        <f aca="false">X372+V373</f>
        <v>303694.6</v>
      </c>
      <c r="Y373" s="41" t="n">
        <f aca="false">Y372+V373</f>
        <v>84164.1</v>
      </c>
      <c r="AA373" s="6" t="n">
        <v>14.8799522737445</v>
      </c>
    </row>
    <row r="374" s="6" customFormat="true" ht="15" hidden="false" customHeight="false" outlineLevel="0" collapsed="false">
      <c r="A374" s="52"/>
      <c r="B374" s="50"/>
      <c r="C374" s="7" t="n">
        <v>41490</v>
      </c>
      <c r="D374" s="6" t="n">
        <v>23</v>
      </c>
      <c r="E374" s="6" t="n">
        <v>19</v>
      </c>
      <c r="F374" s="6" t="n">
        <v>26.7</v>
      </c>
      <c r="G374" s="6" t="n">
        <f aca="false">G373+D374</f>
        <v>3233.6</v>
      </c>
      <c r="H374" s="6" t="n">
        <f aca="false">H373+D374</f>
        <v>867.1</v>
      </c>
      <c r="J374" s="6" t="n">
        <v>0.1</v>
      </c>
      <c r="K374" s="6" t="n">
        <f aca="false">K373+J374</f>
        <v>978.1</v>
      </c>
      <c r="L374" s="6" t="n">
        <v>4.4</v>
      </c>
      <c r="M374" s="6" t="n">
        <f aca="false">M373+L374</f>
        <v>569.3</v>
      </c>
      <c r="N374" s="6" t="n">
        <v>-4.3</v>
      </c>
      <c r="O374" s="6" t="n">
        <f aca="false">O373+N374</f>
        <v>32</v>
      </c>
      <c r="P374" s="6" t="n">
        <v>327</v>
      </c>
      <c r="Q374" s="15" t="n">
        <f aca="false">1.15+((P374-270)/58)*(0.35-1.15)</f>
        <v>0.363793103448276</v>
      </c>
      <c r="R374" s="14" t="n">
        <f aca="false">Q374*L374</f>
        <v>1.60068965517241</v>
      </c>
      <c r="S374" s="14" t="n">
        <f aca="false">J374-R374</f>
        <v>-1.50068965517241</v>
      </c>
      <c r="T374" s="14" t="n">
        <f aca="false">MIN(122.1,(T373+S374))</f>
        <v>100.18775862069</v>
      </c>
      <c r="V374" s="6" t="n">
        <v>1964.5</v>
      </c>
      <c r="X374" s="6" t="n">
        <f aca="false">X373+V374</f>
        <v>305659.1</v>
      </c>
      <c r="Y374" s="41" t="n">
        <f aca="false">Y373+V374</f>
        <v>86128.6</v>
      </c>
      <c r="AA374" s="6" t="n">
        <v>14.8354195480385</v>
      </c>
    </row>
    <row r="375" s="6" customFormat="true" ht="15" hidden="false" customHeight="false" outlineLevel="0" collapsed="false">
      <c r="A375" s="52"/>
      <c r="B375" s="50"/>
      <c r="C375" s="7" t="n">
        <v>41491</v>
      </c>
      <c r="D375" s="6" t="n">
        <v>24.7</v>
      </c>
      <c r="E375" s="6" t="n">
        <v>19.1</v>
      </c>
      <c r="F375" s="6" t="n">
        <v>30.3</v>
      </c>
      <c r="G375" s="6" t="n">
        <f aca="false">G374+D375</f>
        <v>3258.3</v>
      </c>
      <c r="H375" s="6" t="n">
        <f aca="false">H374+D375</f>
        <v>891.8</v>
      </c>
      <c r="J375" s="6" t="n">
        <v>0.2</v>
      </c>
      <c r="K375" s="6" t="n">
        <f aca="false">K374+J375</f>
        <v>978.3</v>
      </c>
      <c r="L375" s="6" t="n">
        <v>5</v>
      </c>
      <c r="M375" s="6" t="n">
        <f aca="false">M374+L375</f>
        <v>574.3</v>
      </c>
      <c r="N375" s="6" t="n">
        <v>-4.8</v>
      </c>
      <c r="O375" s="6" t="n">
        <f aca="false">O374+N375</f>
        <v>27.2</v>
      </c>
      <c r="P375" s="6" t="n">
        <v>328</v>
      </c>
      <c r="Q375" s="15" t="n">
        <f aca="false">1.15+((P375-270)/58)*(0.35-1.15)</f>
        <v>0.35</v>
      </c>
      <c r="R375" s="14" t="n">
        <f aca="false">Q375*L375</f>
        <v>1.75</v>
      </c>
      <c r="S375" s="14" t="n">
        <f aca="false">J375-R375</f>
        <v>-1.55</v>
      </c>
      <c r="T375" s="14" t="n">
        <f aca="false">MIN(122.1,(T374+S375))</f>
        <v>98.6377586206897</v>
      </c>
      <c r="V375" s="6" t="n">
        <v>2258.5</v>
      </c>
      <c r="X375" s="6" t="n">
        <f aca="false">X374+V375</f>
        <v>307917.6</v>
      </c>
      <c r="Y375" s="41" t="n">
        <f aca="false">Y374+V375</f>
        <v>88387.1</v>
      </c>
      <c r="AA375" s="6" t="n">
        <v>14.7903137257729</v>
      </c>
    </row>
    <row r="376" s="6" customFormat="true" ht="15" hidden="false" customHeight="false" outlineLevel="0" collapsed="false">
      <c r="A376" s="53" t="s">
        <v>64</v>
      </c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</sheetData>
  <mergeCells count="14">
    <mergeCell ref="D1:I2"/>
    <mergeCell ref="J1:U2"/>
    <mergeCell ref="V1:Z2"/>
    <mergeCell ref="P3:T3"/>
    <mergeCell ref="G4:H4"/>
    <mergeCell ref="X4:Y4"/>
    <mergeCell ref="A47:Z47"/>
    <mergeCell ref="A48:A164"/>
    <mergeCell ref="A165:A222"/>
    <mergeCell ref="A223:A270"/>
    <mergeCell ref="A292:A317"/>
    <mergeCell ref="A318:A334"/>
    <mergeCell ref="A335:A355"/>
    <mergeCell ref="A376:Z376"/>
  </mergeCells>
  <conditionalFormatting sqref="T1:T4">
    <cfRule type="cellIs" priority="2" operator="equal" aboveAverage="0" equalAverage="0" bottom="0" percent="0" rank="0" text="" dxfId="11">
      <formula>0</formula>
    </cfRule>
    <cfRule type="cellIs" priority="3" operator="lessThanOrEqual" aboveAverage="0" equalAverage="0" bottom="0" percent="0" rank="0" text="" dxfId="12">
      <formula>40.7</formula>
    </cfRule>
  </conditionalFormatting>
  <conditionalFormatting sqref="T5:T376">
    <cfRule type="cellIs" priority="4" operator="equal" aboveAverage="0" equalAverage="0" bottom="0" percent="0" rank="0" text="" dxfId="13">
      <formula>0</formula>
    </cfRule>
    <cfRule type="cellIs" priority="5" operator="lessThanOrEqual" aboveAverage="0" equalAverage="0" bottom="0" percent="0" rank="0" text="" dxfId="14">
      <formula>40.7</formula>
    </cfRule>
  </conditionalFormatting>
  <conditionalFormatting sqref="S48:S375">
    <cfRule type="cellIs" priority="6" operator="lessThanOrEqual" aboveAverage="0" equalAverage="0" bottom="0" percent="0" rank="0" text="" dxfId="15">
      <formula>0</formula>
    </cfRule>
  </conditionalFormatting>
  <conditionalFormatting sqref="V48:V375">
    <cfRule type="cellIs" priority="7" operator="lessThan" aboveAverage="0" equalAverage="0" bottom="0" percent="0" rank="0" text="" dxfId="16">
      <formula>900</formula>
    </cfRule>
  </conditionalFormatting>
  <conditionalFormatting sqref="N5:N46 N48:N375">
    <cfRule type="cellIs" priority="8" operator="lessThanOrEqual" aboveAverage="0" equalAverage="0" bottom="0" percent="0" rank="0" text="" dxfId="17">
      <formula>0</formula>
    </cfRule>
  </conditionalFormatting>
  <conditionalFormatting sqref="D5:F46 D48:F375 I55 I57 I59 I61 I178 I174 I172 I176 I230 I232 I234 I236 I278 I280 I282 I284 I300 I302 I304 I306 I325 I327 I329 I331 I342 I344 I346 I348">
    <cfRule type="cellIs" priority="9" operator="greaterThanOrEqual" aboveAverage="0" equalAverage="0" bottom="0" percent="0" rank="0" text="" dxfId="18">
      <formula>25</formula>
    </cfRule>
    <cfRule type="cellIs" priority="10" operator="greaterThanOrEqual" aboveAverage="0" equalAverage="0" bottom="0" percent="0" rank="0" text="" dxfId="8">
      <formula>25</formula>
    </cfRule>
    <cfRule type="cellIs" priority="11" operator="between" aboveAverage="0" equalAverage="0" bottom="0" percent="0" rank="0" text="" dxfId="19">
      <formula>0</formula>
      <formula>5</formula>
    </cfRule>
    <cfRule type="cellIs" priority="12" operator="lessThan" aboveAverage="0" equalAverage="0" bottom="0" percent="0" rank="0" text="" dxfId="2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2019-11-19T10:06:15Z</dcterms:created>
  <dc:creator>adminigepp</dc:creator>
  <dc:description/>
  <dc:language>fr-FR</dc:language>
  <cp:lastModifiedBy/>
  <dcterms:modified xsi:type="dcterms:W3CDTF">2025-12-09T13:43:05Z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