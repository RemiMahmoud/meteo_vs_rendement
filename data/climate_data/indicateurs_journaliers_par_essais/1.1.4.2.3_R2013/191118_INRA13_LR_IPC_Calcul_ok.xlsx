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 sheetId="1" state="visible" r:id="rId3"/>
    <sheet name="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<sst xmlns="http://schemas.openxmlformats.org/spreadsheetml/2006/main" count="325" uniqueCount="65">
  <si>
    <t xml:space="preserve">TEMPERATURE</t>
  </si>
  <si>
    <t xml:space="preserve">ETAT HYDRIQUE</t>
  </si>
  <si>
    <t xml:space="preserve">RAYONNEMENT</t>
  </si>
  <si>
    <t xml:space="preserve">BILAN HYDRIQUE</t>
  </si>
  <si>
    <t xml:space="preserve">Période</t>
  </si>
  <si>
    <t xml:space="preserve">DATE</t>
  </si>
  <si>
    <t xml:space="preserve">T_Q</t>
  </si>
  <si>
    <t xml:space="preserve">TINF_H_Q</t>
  </si>
  <si>
    <t xml:space="preserve">TSUP_H_Q</t>
  </si>
  <si>
    <t xml:space="preserve">GDD base 0°</t>
  </si>
  <si>
    <t xml:space="preserve">VAR</t>
  </si>
  <si>
    <t xml:space="preserve">PRELIQ_Q</t>
  </si>
  <si>
    <t xml:space="preserve">Cumul_P</t>
  </si>
  <si>
    <t xml:space="preserve">ETP_Q</t>
  </si>
  <si>
    <t xml:space="preserve">Cumul_ETP</t>
  </si>
  <si>
    <t xml:space="preserve">P-ETP</t>
  </si>
  <si>
    <t xml:space="preserve">ETAT RU_1</t>
  </si>
  <si>
    <t xml:space="preserve">i</t>
  </si>
  <si>
    <t xml:space="preserve">kc</t>
  </si>
  <si>
    <t xml:space="preserve">ETM</t>
  </si>
  <si>
    <t xml:space="preserve">P-ETM</t>
  </si>
  <si>
    <t xml:space="preserve">WSC</t>
  </si>
  <si>
    <t xml:space="preserve">SSI_Q</t>
  </si>
  <si>
    <t xml:space="preserve">QPT_Q</t>
  </si>
  <si>
    <t xml:space="preserve">Cumul_RG</t>
  </si>
  <si>
    <t xml:space="preserve">Photoperiode</t>
  </si>
  <si>
    <t xml:space="preserve">SEMIS INRA13</t>
  </si>
  <si>
    <t xml:space="preserve">AUTOMNE</t>
  </si>
  <si>
    <t xml:space="preserve">Tmin</t>
  </si>
  <si>
    <t xml:space="preserve">nbj_sec</t>
  </si>
  <si>
    <t xml:space="preserve">crg</t>
  </si>
  <si>
    <t xml:space="preserve">Tmax</t>
  </si>
  <si>
    <t xml:space="preserve">nbj_water_deficit</t>
  </si>
  <si>
    <t xml:space="preserve">qpt_p</t>
  </si>
  <si>
    <t xml:space="preserve">Tmoy</t>
  </si>
  <si>
    <t xml:space="preserve">nbj_stress_hydro</t>
  </si>
  <si>
    <t xml:space="preserve">nbj_radinf_900</t>
  </si>
  <si>
    <t xml:space="preserve">nbj_tgel</t>
  </si>
  <si>
    <t xml:space="preserve">water_soil_content_min</t>
  </si>
  <si>
    <t xml:space="preserve">nbj_tsup25</t>
  </si>
  <si>
    <t xml:space="preserve">water_soil_content_max</t>
  </si>
  <si>
    <t xml:space="preserve">nbj_tinf5</t>
  </si>
  <si>
    <t xml:space="preserve">water_soil_content_moy</t>
  </si>
  <si>
    <t xml:space="preserve">gdd_p</t>
  </si>
  <si>
    <t xml:space="preserve">HIVER</t>
  </si>
  <si>
    <t xml:space="preserve">nbj_vern_opti</t>
  </si>
  <si>
    <t xml:space="preserve">4'</t>
  </si>
  <si>
    <t xml:space="preserve">WSC_I</t>
  </si>
  <si>
    <t xml:space="preserve">BI</t>
  </si>
  <si>
    <t xml:space="preserve">DRF</t>
  </si>
  <si>
    <t xml:space="preserve">5'</t>
  </si>
  <si>
    <t xml:space="preserve">TS</t>
  </si>
  <si>
    <t xml:space="preserve">IRF</t>
  </si>
  <si>
    <t xml:space="preserve">N40</t>
  </si>
  <si>
    <t xml:space="preserve">6'</t>
  </si>
  <si>
    <t xml:space="preserve">MONTAISON</t>
  </si>
  <si>
    <t xml:space="preserve">7'</t>
  </si>
  <si>
    <t xml:space="preserve">8'</t>
  </si>
  <si>
    <t xml:space="preserve">9'</t>
  </si>
  <si>
    <t xml:space="preserve">10'</t>
  </si>
  <si>
    <t xml:space="preserve">Montego</t>
  </si>
  <si>
    <t xml:space="preserve">Aviso</t>
  </si>
  <si>
    <t xml:space="preserve">fin flo</t>
  </si>
  <si>
    <t xml:space="preserve">RECOLTE INRA13</t>
  </si>
  <si>
    <t xml:space="preserve">Cumul RG</t>
  </si>
</sst>
</file>

<file path=xl/styles.xml><?xml version="1.0" encoding="utf-8"?>
<styleSheet xmlns="http://schemas.openxmlformats.org/spreadsheetml/2006/main">
  <numFmts count="4">
    <numFmt numFmtId="164" formatCode="General"/>
    <numFmt numFmtId="165" formatCode="dd/mm/yyyy"/>
    <numFmt numFmtId="166" formatCode="0.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i val="true"/>
      <u val="single"/>
      <sz val="11"/>
      <color rgb="FF000000"/>
      <name val="Calibri"/>
      <family val="2"/>
      <charset val="1"/>
    </font>
    <font>
      <b val="true"/>
      <sz val="11"/>
      <color rgb="FF000000"/>
      <name val="Calibri"/>
      <family val="2"/>
      <charset val="1"/>
    </font>
    <font>
      <b val="true"/>
      <sz val="11"/>
      <name val="Calibri"/>
      <family val="2"/>
      <charset val="1"/>
    </font>
    <font>
      <b val="true"/>
      <sz val="11"/>
      <color rgb="FFFF0000"/>
      <name val="Calibri"/>
      <family val="2"/>
      <charset val="1"/>
    </font>
    <font>
      <sz val="11"/>
      <color rgb="FFFF0000"/>
      <name val="Calibri"/>
      <family val="2"/>
      <charset val="1"/>
    </font>
    <font>
      <b val="true"/>
      <i val="true"/>
      <u val="single"/>
      <sz val="11"/>
      <color rgb="FFFFC000"/>
      <name val="Calibri"/>
      <family val="2"/>
      <charset val="1"/>
    </font>
    <font>
      <sz val="11"/>
      <name val="Calibri"/>
      <family val="2"/>
      <charset val="1"/>
    </font>
  </fonts>
  <fills count="15">
    <fill>
      <patternFill patternType="none"/>
    </fill>
    <fill>
      <patternFill patternType="gray125"/>
    </fill>
    <fill>
      <patternFill patternType="solid">
        <fgColor rgb="FFC0C0C0"/>
        <bgColor rgb="FFCCC0DA"/>
      </patternFill>
    </fill>
    <fill>
      <patternFill patternType="solid">
        <fgColor rgb="FF00B050"/>
        <bgColor rgb="FF008080"/>
      </patternFill>
    </fill>
    <fill>
      <patternFill patternType="solid">
        <fgColor rgb="FFFDE9D9"/>
        <bgColor rgb="FFF2DCDB"/>
      </patternFill>
    </fill>
    <fill>
      <patternFill patternType="solid">
        <fgColor rgb="FFDDD9C4"/>
        <bgColor rgb="FFD0CECE"/>
      </patternFill>
    </fill>
    <fill>
      <patternFill patternType="solid">
        <fgColor rgb="FF0070C0"/>
        <bgColor rgb="FF008080"/>
      </patternFill>
    </fill>
    <fill>
      <patternFill patternType="solid">
        <fgColor theme="2" tint="-0.1"/>
        <bgColor rgb="FFDDD9C4"/>
      </patternFill>
    </fill>
    <fill>
      <patternFill patternType="solid">
        <fgColor theme="3"/>
        <bgColor rgb="FF333399"/>
      </patternFill>
    </fill>
    <fill>
      <patternFill patternType="solid">
        <fgColor rgb="FF92D050"/>
        <bgColor rgb="FFA9D18E"/>
      </patternFill>
    </fill>
    <fill>
      <patternFill patternType="solid">
        <fgColor rgb="FFFFFF00"/>
        <bgColor rgb="FFFFFF00"/>
      </patternFill>
    </fill>
    <fill>
      <patternFill patternType="solid">
        <fgColor rgb="FFFFC000"/>
        <bgColor rgb="FFFF9900"/>
      </patternFill>
    </fill>
    <fill>
      <patternFill patternType="solid">
        <fgColor rgb="FFE26B0A"/>
        <bgColor rgb="FFFF9900"/>
      </patternFill>
    </fill>
    <fill>
      <patternFill patternType="solid">
        <fgColor rgb="FFFF0000"/>
        <bgColor rgb="FFC00000"/>
      </patternFill>
    </fill>
    <fill>
      <patternFill patternType="solid">
        <fgColor rgb="FFC00000"/>
        <bgColor rgb="FFFF0000"/>
      </patternFill>
    </fill>
  </fills>
  <borders count="2">
    <border diagonalUp="false" diagonalDown="false">
      <left/>
      <right/>
      <top/>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255"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5" fontId="0" fillId="4" borderId="0" xfId="0" applyFont="true" applyBorder="true" applyAlignment="false" applyProtection="false">
      <alignment horizontal="general" vertical="bottom"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7" fontId="0" fillId="0" borderId="0"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true" applyAlignment="true" applyProtection="false">
      <alignment horizontal="center" vertical="center" textRotation="255" wrapText="false" indent="0" shrinkToFit="false"/>
      <protection locked="true" hidden="false"/>
    </xf>
    <xf numFmtId="165" fontId="0" fillId="6" borderId="0"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6" fontId="0" fillId="7" borderId="0" xfId="0" applyFont="true" applyBorder="true" applyAlignment="false" applyProtection="false">
      <alignment horizontal="general" vertical="bottom" textRotation="0" wrapText="false" indent="0" shrinkToFit="false"/>
      <protection locked="true" hidden="false"/>
    </xf>
    <xf numFmtId="164" fontId="6" fillId="8" borderId="0" xfId="0" applyFont="true" applyBorder="true" applyAlignment="true" applyProtection="false">
      <alignment horizontal="center" vertical="center" textRotation="0" wrapText="false" indent="0" shrinkToFit="false"/>
      <protection locked="true" hidden="false"/>
    </xf>
    <xf numFmtId="165" fontId="0" fillId="8" borderId="0"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true" applyAlignment="false" applyProtection="false">
      <alignment horizontal="general" vertical="bottom" textRotation="0" wrapText="false" indent="0" shrinkToFit="false"/>
      <protection locked="true" hidden="false"/>
    </xf>
    <xf numFmtId="166" fontId="0" fillId="8" borderId="0"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6" fontId="7" fillId="7" borderId="1" xfId="0" applyFont="true" applyBorder="true" applyAlignment="false" applyProtection="false">
      <alignment horizontal="general" vertical="bottom" textRotation="0" wrapText="false" indent="0" shrinkToFit="false"/>
      <protection locked="true" hidden="false"/>
    </xf>
    <xf numFmtId="164" fontId="6" fillId="9" borderId="0" xfId="0" applyFont="true" applyBorder="true" applyAlignment="true" applyProtection="false">
      <alignment horizontal="right" vertical="center" textRotation="255" wrapText="false" indent="0" shrinkToFit="false"/>
      <protection locked="true" hidden="false"/>
    </xf>
    <xf numFmtId="165" fontId="0" fillId="9" borderId="0" xfId="0" applyFont="true" applyBorder="true" applyAlignment="false" applyProtection="false">
      <alignment horizontal="general" vertical="bottom" textRotation="0" wrapText="false" indent="0" shrinkToFit="false"/>
      <protection locked="true" hidden="false"/>
    </xf>
    <xf numFmtId="164" fontId="6" fillId="9"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6" fillId="8" borderId="0" xfId="0" applyFont="true" applyBorder="true" applyAlignment="true" applyProtection="false">
      <alignment horizontal="right" vertical="center" textRotation="255" wrapText="false" indent="0" shrinkToFit="false"/>
      <protection locked="true" hidden="false"/>
    </xf>
    <xf numFmtId="167" fontId="0" fillId="8"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right" vertical="center" textRotation="255" wrapText="false" indent="0" shrinkToFit="false"/>
      <protection locked="true" hidden="false"/>
    </xf>
    <xf numFmtId="165" fontId="7" fillId="9"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6" fillId="10" borderId="0" xfId="0" applyFont="true" applyBorder="true" applyAlignment="true" applyProtection="false">
      <alignment horizontal="general" vertical="center" textRotation="0" wrapText="false" indent="0" shrinkToFit="false"/>
      <protection locked="true" hidden="false"/>
    </xf>
    <xf numFmtId="165" fontId="0" fillId="10" borderId="0" xfId="0" applyFont="true" applyBorder="true" applyAlignment="false" applyProtection="false">
      <alignment horizontal="general" vertical="bottom" textRotation="0" wrapText="false" indent="0" shrinkToFit="false"/>
      <protection locked="true" hidden="false"/>
    </xf>
    <xf numFmtId="164" fontId="6" fillId="10" borderId="0" xfId="0" applyFont="true" applyBorder="true" applyAlignment="false" applyProtection="false">
      <alignment horizontal="general" vertical="bottom" textRotation="0" wrapText="false" indent="0" shrinkToFit="false"/>
      <protection locked="true" hidden="false"/>
    </xf>
    <xf numFmtId="164" fontId="6" fillId="10" borderId="0" xfId="0" applyFont="true" applyBorder="true" applyAlignment="true" applyProtection="false">
      <alignment horizontal="center" vertical="center"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10" borderId="1" xfId="0" applyFont="true" applyBorder="true" applyAlignment="false" applyProtection="false">
      <alignment horizontal="general" vertical="bottom" textRotation="0" wrapText="false" indent="0" shrinkToFit="false"/>
      <protection locked="true" hidden="false"/>
    </xf>
    <xf numFmtId="164" fontId="6" fillId="11" borderId="0" xfId="0" applyFont="true" applyBorder="true" applyAlignment="true" applyProtection="false">
      <alignment horizontal="right" vertical="center" textRotation="255" wrapText="false" indent="0" shrinkToFit="false"/>
      <protection locked="true" hidden="false"/>
    </xf>
    <xf numFmtId="165" fontId="0" fillId="11" borderId="0" xfId="0" applyFont="true" applyBorder="true" applyAlignment="false" applyProtection="false">
      <alignment horizontal="general" vertical="bottom" textRotation="0" wrapText="false" indent="0" shrinkToFit="false"/>
      <protection locked="true" hidden="false"/>
    </xf>
    <xf numFmtId="164" fontId="6" fillId="11" borderId="0" xfId="0" applyFont="true" applyBorder="true" applyAlignment="false" applyProtection="false">
      <alignment horizontal="general" vertical="bottom" textRotation="0" wrapText="false" indent="0" shrinkToFit="false"/>
      <protection locked="true" hidden="false"/>
    </xf>
    <xf numFmtId="164" fontId="7" fillId="11" borderId="1" xfId="0" applyFont="true" applyBorder="true" applyAlignment="true" applyProtection="false">
      <alignment horizontal="right" vertical="center" textRotation="255" wrapText="false" indent="0" shrinkToFit="false"/>
      <protection locked="true" hidden="false"/>
    </xf>
    <xf numFmtId="165" fontId="7" fillId="11" borderId="1" xfId="0" applyFont="true" applyBorder="true" applyAlignment="false" applyProtection="false">
      <alignment horizontal="general" vertical="bottom" textRotation="0" wrapText="false" indent="0" shrinkToFit="false"/>
      <protection locked="true" hidden="false"/>
    </xf>
    <xf numFmtId="164" fontId="6" fillId="12" borderId="0" xfId="0" applyFont="true" applyBorder="true" applyAlignment="true" applyProtection="false">
      <alignment horizontal="right" vertical="center" textRotation="255" wrapText="false" indent="0" shrinkToFit="false"/>
      <protection locked="true" hidden="false"/>
    </xf>
    <xf numFmtId="165" fontId="0" fillId="12" borderId="0" xfId="0" applyFont="true" applyBorder="true" applyAlignment="false" applyProtection="false">
      <alignment horizontal="general" vertical="bottom" textRotation="0" wrapText="false" indent="0" shrinkToFit="false"/>
      <protection locked="true" hidden="false"/>
    </xf>
    <xf numFmtId="164" fontId="6" fillId="12" borderId="0" xfId="0" applyFont="true" applyBorder="true" applyAlignment="false" applyProtection="false">
      <alignment horizontal="general" vertical="bottom" textRotation="0" wrapText="false" indent="0" shrinkToFit="false"/>
      <protection locked="true" hidden="false"/>
    </xf>
    <xf numFmtId="164" fontId="7" fillId="12" borderId="1" xfId="0" applyFont="true" applyBorder="true" applyAlignment="true" applyProtection="false">
      <alignment horizontal="right" vertical="center" textRotation="255" wrapText="false" indent="0" shrinkToFit="false"/>
      <protection locked="true" hidden="false"/>
    </xf>
    <xf numFmtId="165" fontId="7" fillId="12" borderId="1" xfId="0" applyFont="true" applyBorder="true" applyAlignment="false" applyProtection="false">
      <alignment horizontal="general" vertical="bottom" textRotation="0" wrapText="false" indent="0" shrinkToFit="false"/>
      <protection locked="true" hidden="false"/>
    </xf>
    <xf numFmtId="164" fontId="6" fillId="13" borderId="0" xfId="0" applyFont="true" applyBorder="true" applyAlignment="true" applyProtection="false">
      <alignment horizontal="right" vertical="center" textRotation="255" wrapText="false" indent="0" shrinkToFit="false"/>
      <protection locked="true" hidden="false"/>
    </xf>
    <xf numFmtId="165" fontId="0" fillId="13" borderId="0" xfId="0" applyFont="true" applyBorder="true" applyAlignment="false" applyProtection="false">
      <alignment horizontal="general" vertical="bottom" textRotation="0" wrapText="false" indent="0" shrinkToFit="false"/>
      <protection locked="true" hidden="false"/>
    </xf>
    <xf numFmtId="164" fontId="6" fillId="13"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right" vertical="center" textRotation="255"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13"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5" fontId="9" fillId="0" borderId="0" xfId="0" applyFont="true" applyBorder="true" applyAlignment="false" applyProtection="false">
      <alignment horizontal="general" vertical="bottom" textRotation="0" wrapText="false" indent="0" shrinkToFit="false"/>
      <protection locked="true" hidden="false"/>
    </xf>
    <xf numFmtId="164" fontId="10" fillId="14" borderId="0"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255" wrapText="false" indent="0" shrinkToFit="false"/>
      <protection locked="true" hidden="false"/>
    </xf>
    <xf numFmtId="164" fontId="11" fillId="10" borderId="0"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5" fontId="11" fillId="9"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5" fontId="11" fillId="1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bgColor theme="5" tint="0.3999"/>
        </patternFill>
      </fill>
    </dxf>
    <dxf>
      <fill>
        <patternFill>
          <bgColor theme="9" tint="0.3999"/>
        </patternFill>
      </fill>
    </dxf>
    <dxf>
      <fill>
        <patternFill>
          <bgColor theme="7" tint="0.5999"/>
        </patternFill>
      </fill>
    </dxf>
    <dxf>
      <fill>
        <patternFill>
          <bgColor rgb="FFDA9694"/>
        </patternFill>
      </fill>
    </dxf>
    <dxf>
      <fill>
        <patternFill>
          <bgColor rgb="FFFABF8F"/>
        </patternFill>
      </fill>
    </dxf>
    <dxf>
      <fill>
        <patternFill>
          <bgColor rgb="FFF2DCDB"/>
        </patternFill>
      </fill>
    </dxf>
    <dxf>
      <fill>
        <patternFill>
          <bgColor rgb="FFCCC0DA"/>
        </patternFill>
      </fill>
    </dxf>
    <dxf>
      <fill>
        <patternFill>
          <bgColor rgb="FFF2DCDB"/>
        </patternFill>
      </fill>
    </dxf>
    <dxf>
      <fill>
        <patternFill>
          <bgColor rgb="FFFFC000"/>
        </patternFill>
      </fill>
    </dxf>
    <dxf>
      <fill>
        <patternFill>
          <bgColor rgb="FFDAEEF3"/>
        </patternFill>
      </fill>
    </dxf>
    <dxf>
      <fill>
        <patternFill>
          <bgColor rgb="FF00B0F0"/>
        </patternFill>
      </fill>
    </dxf>
    <dxf>
      <fill>
        <patternFill>
          <bgColor theme="5" tint="0.3999"/>
        </patternFill>
      </fill>
    </dxf>
    <dxf>
      <fill>
        <patternFill>
          <bgColor theme="9" tint="0.3999"/>
        </patternFill>
      </fill>
    </dxf>
    <dxf>
      <fill>
        <patternFill>
          <bgColor theme="7" tint="0.5999"/>
        </patternFill>
      </fill>
    </dxf>
    <dxf>
      <fill>
        <patternFill>
          <bgColor rgb="FFDA9694"/>
        </patternFill>
      </fill>
    </dxf>
    <dxf>
      <fill>
        <patternFill>
          <bgColor rgb="FFFABF8F"/>
        </patternFill>
      </fill>
    </dxf>
    <dxf>
      <fill>
        <patternFill>
          <bgColor rgb="FFF2DCDB"/>
        </patternFill>
      </fill>
    </dxf>
    <dxf>
      <fill>
        <patternFill>
          <bgColor rgb="FFCCC0DA"/>
        </patternFill>
      </fill>
    </dxf>
    <dxf>
      <fill>
        <patternFill>
          <bgColor rgb="FFF2DCDB"/>
        </patternFill>
      </fill>
    </dxf>
    <dxf>
      <fill>
        <patternFill>
          <bgColor rgb="FFFFC000"/>
        </patternFill>
      </fill>
    </dxf>
    <dxf>
      <fill>
        <patternFill>
          <bgColor rgb="FFDAEEF3"/>
        </patternFill>
      </fill>
    </dxf>
    <dxf>
      <fill>
        <patternFill>
          <bgColor rgb="FF00B0F0"/>
        </patternFill>
      </fill>
    </dxf>
  </dxfs>
  <colors>
    <indexedColors>
      <rgbColor rgb="FF000000"/>
      <rgbColor rgb="FFF2DCDB"/>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DE9D9"/>
      <rgbColor rgb="FFDAEEF3"/>
      <rgbColor rgb="FF660066"/>
      <rgbColor rgb="FFDA9694"/>
      <rgbColor rgb="FF0070C0"/>
      <rgbColor rgb="FFCCC0DA"/>
      <rgbColor rgb="FF000080"/>
      <rgbColor rgb="FFFF00FF"/>
      <rgbColor rgb="FFFFFF00"/>
      <rgbColor rgb="FF00FFFF"/>
      <rgbColor rgb="FF800080"/>
      <rgbColor rgb="FF800000"/>
      <rgbColor rgb="FF008080"/>
      <rgbColor rgb="FF0000FF"/>
      <rgbColor rgb="FF00B0F0"/>
      <rgbColor rgb="FFCCFFFF"/>
      <rgbColor rgb="FFDDD9C4"/>
      <rgbColor rgb="FFFFE699"/>
      <rgbColor rgb="FFD0CECE"/>
      <rgbColor rgb="FFF4B183"/>
      <rgbColor rgb="FFCC99FF"/>
      <rgbColor rgb="FFFABF8F"/>
      <rgbColor rgb="FF3366FF"/>
      <rgbColor rgb="FF33CCCC"/>
      <rgbColor rgb="FF92D050"/>
      <rgbColor rgb="FFFFC000"/>
      <rgbColor rgb="FFFF9900"/>
      <rgbColor rgb="FFE26B0A"/>
      <rgbColor rgb="FF44546A"/>
      <rgbColor rgb="FFA9D18E"/>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55"/>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3" ySplit="4" topLeftCell="K206" activePane="bottomRight" state="frozen"/>
      <selection pane="topLeft" activeCell="A1" activeCellId="0" sqref="A1"/>
      <selection pane="topRight" activeCell="K1" activeCellId="0" sqref="K1"/>
      <selection pane="bottomLeft" activeCell="A206" activeCellId="0" sqref="A206"/>
      <selection pane="bottomRight" activeCell="X4" activeCellId="0" sqref="X4"/>
    </sheetView>
  </sheetViews>
  <sheetFormatPr defaultColWidth="10.54296875" defaultRowHeight="15" customHeight="true" zeroHeight="false" outlineLevelRow="0" outlineLevelCol="0"/>
  <sheetData>
    <row r="1" s="1" customFormat="true" ht="15" hidden="false" customHeight="false" outlineLevel="0" collapsed="false">
      <c r="B1" s="2"/>
      <c r="D1" s="3" t="s">
        <v>0</v>
      </c>
      <c r="E1" s="3"/>
      <c r="F1" s="3"/>
      <c r="G1" s="3"/>
      <c r="H1" s="3"/>
      <c r="I1" s="3"/>
      <c r="J1" s="3" t="s">
        <v>1</v>
      </c>
      <c r="K1" s="3"/>
      <c r="L1" s="3"/>
      <c r="M1" s="3"/>
      <c r="N1" s="3"/>
      <c r="O1" s="3"/>
      <c r="P1" s="3"/>
      <c r="Q1" s="3"/>
      <c r="R1" s="3"/>
      <c r="S1" s="3"/>
      <c r="T1" s="3"/>
      <c r="U1" s="3"/>
      <c r="V1" s="3" t="s">
        <v>2</v>
      </c>
      <c r="W1" s="3"/>
      <c r="X1" s="3"/>
      <c r="Y1" s="3"/>
      <c r="Z1" s="3"/>
    </row>
    <row r="2" s="1" customFormat="true" ht="15" hidden="false" customHeight="false" outlineLevel="0" collapsed="false">
      <c r="B2" s="2"/>
      <c r="D2" s="3"/>
      <c r="E2" s="3"/>
      <c r="F2" s="3"/>
      <c r="G2" s="3"/>
      <c r="H2" s="3"/>
      <c r="I2" s="3"/>
      <c r="J2" s="3"/>
      <c r="K2" s="3"/>
      <c r="L2" s="3"/>
      <c r="M2" s="3"/>
      <c r="N2" s="3"/>
      <c r="O2" s="3"/>
      <c r="P2" s="3"/>
      <c r="Q2" s="3"/>
      <c r="R2" s="3"/>
      <c r="S2" s="3"/>
      <c r="T2" s="3"/>
      <c r="U2" s="3"/>
      <c r="V2" s="3"/>
      <c r="W2" s="3"/>
      <c r="X2" s="3"/>
      <c r="Y2" s="3"/>
      <c r="Z2" s="3"/>
    </row>
    <row r="3" s="1" customFormat="true" ht="15" hidden="false" customHeight="false" outlineLevel="0" collapsed="false">
      <c r="B3" s="2"/>
      <c r="D3" s="4"/>
      <c r="E3" s="4"/>
      <c r="F3" s="4"/>
      <c r="G3" s="4"/>
      <c r="H3" s="4"/>
      <c r="I3" s="4"/>
      <c r="J3" s="4"/>
      <c r="K3" s="4"/>
      <c r="L3" s="4"/>
      <c r="M3" s="4"/>
      <c r="N3" s="4"/>
      <c r="O3" s="4"/>
      <c r="P3" s="3" t="s">
        <v>3</v>
      </c>
      <c r="Q3" s="3"/>
      <c r="R3" s="3"/>
      <c r="S3" s="3"/>
      <c r="T3" s="3"/>
      <c r="U3" s="4"/>
      <c r="V3" s="5"/>
      <c r="W3" s="5"/>
      <c r="X3" s="5"/>
      <c r="Y3" s="5"/>
      <c r="Z3" s="5"/>
    </row>
    <row r="4" s="1" customFormat="true" ht="15" hidden="false" customHeight="false" outlineLevel="0" collapsed="false">
      <c r="A4" s="1" t="s">
        <v>4</v>
      </c>
      <c r="B4" s="2" t="n">
        <v>5</v>
      </c>
      <c r="C4" s="1" t="s">
        <v>5</v>
      </c>
      <c r="D4" s="1" t="s">
        <v>6</v>
      </c>
      <c r="E4" s="1" t="s">
        <v>7</v>
      </c>
      <c r="F4" s="1" t="s">
        <v>8</v>
      </c>
      <c r="G4" s="6" t="s">
        <v>9</v>
      </c>
      <c r="H4" s="6"/>
      <c r="I4" s="1" t="s">
        <v>10</v>
      </c>
      <c r="J4" s="1" t="s">
        <v>11</v>
      </c>
      <c r="K4" s="1" t="s">
        <v>12</v>
      </c>
      <c r="L4" s="1" t="s">
        <v>13</v>
      </c>
      <c r="M4" s="1" t="s">
        <v>14</v>
      </c>
      <c r="N4" s="1" t="s">
        <v>15</v>
      </c>
      <c r="O4" s="1" t="s">
        <v>16</v>
      </c>
      <c r="P4" s="1" t="s">
        <v>17</v>
      </c>
      <c r="Q4" s="1" t="s">
        <v>18</v>
      </c>
      <c r="R4" s="1" t="s">
        <v>19</v>
      </c>
      <c r="S4" s="1" t="s">
        <v>20</v>
      </c>
      <c r="T4" s="7" t="s">
        <v>21</v>
      </c>
      <c r="U4" s="1" t="s">
        <v>10</v>
      </c>
      <c r="V4" s="7" t="s">
        <v>22</v>
      </c>
      <c r="W4" s="1" t="s">
        <v>23</v>
      </c>
      <c r="X4" s="6" t="s">
        <v>24</v>
      </c>
      <c r="Y4" s="6"/>
      <c r="Z4" s="1" t="s">
        <v>10</v>
      </c>
      <c r="AA4" s="1" t="s">
        <v>25</v>
      </c>
    </row>
    <row r="5" s="8" customFormat="true" ht="15" hidden="false" customHeight="false" outlineLevel="0" collapsed="false">
      <c r="B5" s="9"/>
      <c r="C5" s="10" t="n">
        <v>41122</v>
      </c>
      <c r="D5" s="8" t="n">
        <v>17.8</v>
      </c>
      <c r="E5" s="8" t="n">
        <v>14</v>
      </c>
      <c r="F5" s="8" t="n">
        <v>22.8</v>
      </c>
      <c r="G5" s="11"/>
      <c r="H5" s="11"/>
      <c r="I5" s="11"/>
      <c r="J5" s="8" t="n">
        <v>0.8</v>
      </c>
      <c r="K5" s="11"/>
      <c r="L5" s="8" t="n">
        <v>2.6</v>
      </c>
      <c r="M5" s="11"/>
      <c r="N5" s="8" t="n">
        <v>-1.8</v>
      </c>
      <c r="O5" s="11" t="n">
        <v>0</v>
      </c>
      <c r="T5" s="12"/>
      <c r="V5" s="8" t="n">
        <v>1134.2</v>
      </c>
    </row>
    <row r="6" s="8" customFormat="true" ht="15" hidden="false" customHeight="false" outlineLevel="0" collapsed="false">
      <c r="B6" s="9"/>
      <c r="C6" s="10" t="n">
        <v>41123</v>
      </c>
      <c r="D6" s="8" t="n">
        <v>17.5</v>
      </c>
      <c r="E6" s="8" t="n">
        <v>13.9</v>
      </c>
      <c r="F6" s="8" t="n">
        <v>21</v>
      </c>
      <c r="G6" s="11"/>
      <c r="H6" s="11"/>
      <c r="I6" s="11"/>
      <c r="J6" s="8" t="n">
        <v>0.9</v>
      </c>
      <c r="K6" s="11"/>
      <c r="L6" s="8" t="n">
        <v>2.6</v>
      </c>
      <c r="M6" s="11"/>
      <c r="N6" s="8" t="n">
        <v>-1.7</v>
      </c>
      <c r="O6" s="11" t="n">
        <v>0</v>
      </c>
      <c r="T6" s="12"/>
      <c r="V6" s="8" t="n">
        <v>1279</v>
      </c>
    </row>
    <row r="7" s="8" customFormat="true" ht="15" hidden="false" customHeight="false" outlineLevel="0" collapsed="false">
      <c r="B7" s="9"/>
      <c r="C7" s="10" t="n">
        <v>41124</v>
      </c>
      <c r="D7" s="8" t="n">
        <v>18</v>
      </c>
      <c r="E7" s="8" t="n">
        <v>13.9</v>
      </c>
      <c r="F7" s="8" t="n">
        <v>23</v>
      </c>
      <c r="G7" s="11"/>
      <c r="H7" s="11"/>
      <c r="I7" s="11"/>
      <c r="J7" s="8" t="n">
        <v>3.9</v>
      </c>
      <c r="K7" s="11"/>
      <c r="L7" s="8" t="n">
        <v>3.4</v>
      </c>
      <c r="M7" s="11"/>
      <c r="N7" s="8" t="n">
        <v>0.5</v>
      </c>
      <c r="O7" s="8" t="n">
        <f aca="false">O6+N7</f>
        <v>0.5</v>
      </c>
      <c r="T7" s="12"/>
      <c r="V7" s="8" t="n">
        <v>1806.2</v>
      </c>
    </row>
    <row r="8" s="8" customFormat="true" ht="15" hidden="false" customHeight="false" outlineLevel="0" collapsed="false">
      <c r="B8" s="9"/>
      <c r="C8" s="10" t="n">
        <v>41125</v>
      </c>
      <c r="D8" s="8" t="n">
        <v>17.1</v>
      </c>
      <c r="E8" s="8" t="n">
        <v>15.1</v>
      </c>
      <c r="F8" s="8" t="n">
        <v>19.4</v>
      </c>
      <c r="G8" s="11"/>
      <c r="H8" s="11"/>
      <c r="I8" s="11"/>
      <c r="J8" s="8" t="n">
        <v>4.6</v>
      </c>
      <c r="K8" s="11"/>
      <c r="L8" s="8" t="n">
        <v>1.9</v>
      </c>
      <c r="M8" s="11"/>
      <c r="N8" s="8" t="n">
        <v>2.7</v>
      </c>
      <c r="O8" s="8" t="n">
        <f aca="false">O7+N8</f>
        <v>3.2</v>
      </c>
      <c r="T8" s="12"/>
      <c r="V8" s="8" t="n">
        <v>859</v>
      </c>
    </row>
    <row r="9" s="8" customFormat="true" ht="15" hidden="false" customHeight="false" outlineLevel="0" collapsed="false">
      <c r="B9" s="9"/>
      <c r="C9" s="10" t="n">
        <v>41126</v>
      </c>
      <c r="D9" s="8" t="n">
        <v>16.7</v>
      </c>
      <c r="E9" s="8" t="n">
        <v>13.9</v>
      </c>
      <c r="F9" s="8" t="n">
        <v>21</v>
      </c>
      <c r="G9" s="11"/>
      <c r="H9" s="11"/>
      <c r="I9" s="11"/>
      <c r="J9" s="8" t="n">
        <v>0.5</v>
      </c>
      <c r="K9" s="11"/>
      <c r="L9" s="8" t="n">
        <v>3</v>
      </c>
      <c r="M9" s="11"/>
      <c r="N9" s="8" t="n">
        <v>-2.5</v>
      </c>
      <c r="O9" s="8" t="n">
        <f aca="false">O8+N9</f>
        <v>0.7</v>
      </c>
      <c r="T9" s="12"/>
      <c r="V9" s="8" t="n">
        <v>1473.6</v>
      </c>
    </row>
    <row r="10" s="8" customFormat="true" ht="15" hidden="false" customHeight="false" outlineLevel="0" collapsed="false">
      <c r="B10" s="9"/>
      <c r="C10" s="10" t="n">
        <v>41127</v>
      </c>
      <c r="D10" s="8" t="n">
        <v>16.5</v>
      </c>
      <c r="E10" s="8" t="n">
        <v>13.4</v>
      </c>
      <c r="F10" s="8" t="n">
        <v>20.8</v>
      </c>
      <c r="G10" s="11"/>
      <c r="H10" s="11"/>
      <c r="I10" s="11"/>
      <c r="J10" s="8" t="n">
        <v>0</v>
      </c>
      <c r="K10" s="11"/>
      <c r="L10" s="8" t="n">
        <v>3</v>
      </c>
      <c r="M10" s="11"/>
      <c r="N10" s="8" t="n">
        <v>-3</v>
      </c>
      <c r="O10" s="8" t="n">
        <v>0</v>
      </c>
      <c r="T10" s="12"/>
      <c r="V10" s="8" t="n">
        <v>1430.3</v>
      </c>
    </row>
    <row r="11" s="8" customFormat="true" ht="15" hidden="false" customHeight="false" outlineLevel="0" collapsed="false">
      <c r="B11" s="9"/>
      <c r="C11" s="10" t="n">
        <v>41128</v>
      </c>
      <c r="D11" s="8" t="n">
        <v>16.9</v>
      </c>
      <c r="E11" s="8" t="n">
        <v>11.9</v>
      </c>
      <c r="F11" s="8" t="n">
        <v>21.3</v>
      </c>
      <c r="G11" s="11"/>
      <c r="H11" s="11"/>
      <c r="I11" s="11"/>
      <c r="J11" s="8" t="n">
        <v>0</v>
      </c>
      <c r="K11" s="11"/>
      <c r="L11" s="8" t="n">
        <v>2.9</v>
      </c>
      <c r="M11" s="11"/>
      <c r="N11" s="8" t="n">
        <v>-2.9</v>
      </c>
      <c r="O11" s="8" t="n">
        <v>0</v>
      </c>
      <c r="T11" s="12"/>
      <c r="V11" s="8" t="n">
        <v>1546.4</v>
      </c>
    </row>
    <row r="12" s="8" customFormat="true" ht="15" hidden="false" customHeight="false" outlineLevel="0" collapsed="false">
      <c r="B12" s="9"/>
      <c r="C12" s="10" t="n">
        <v>41129</v>
      </c>
      <c r="D12" s="8" t="n">
        <v>19.4</v>
      </c>
      <c r="E12" s="8" t="n">
        <v>12.4</v>
      </c>
      <c r="F12" s="8" t="n">
        <v>26.9</v>
      </c>
      <c r="G12" s="11"/>
      <c r="H12" s="11"/>
      <c r="I12" s="11"/>
      <c r="J12" s="8" t="n">
        <v>0</v>
      </c>
      <c r="K12" s="11"/>
      <c r="L12" s="8" t="n">
        <v>5.2</v>
      </c>
      <c r="M12" s="11"/>
      <c r="N12" s="8" t="n">
        <v>-5.2</v>
      </c>
      <c r="O12" s="8" t="n">
        <v>0</v>
      </c>
      <c r="T12" s="12"/>
      <c r="V12" s="8" t="n">
        <v>2511.8</v>
      </c>
    </row>
    <row r="13" s="8" customFormat="true" ht="15" hidden="false" customHeight="false" outlineLevel="0" collapsed="false">
      <c r="B13" s="9"/>
      <c r="C13" s="10" t="n">
        <v>41130</v>
      </c>
      <c r="D13" s="8" t="n">
        <v>21.8</v>
      </c>
      <c r="E13" s="8" t="n">
        <v>13.7</v>
      </c>
      <c r="F13" s="8" t="n">
        <v>29.8</v>
      </c>
      <c r="G13" s="11"/>
      <c r="H13" s="11"/>
      <c r="I13" s="11"/>
      <c r="J13" s="8" t="n">
        <v>0</v>
      </c>
      <c r="K13" s="11"/>
      <c r="L13" s="8" t="n">
        <v>5.9</v>
      </c>
      <c r="M13" s="11"/>
      <c r="N13" s="8" t="n">
        <v>-5.9</v>
      </c>
      <c r="O13" s="8" t="n">
        <v>0</v>
      </c>
      <c r="T13" s="12"/>
      <c r="V13" s="8" t="n">
        <v>2708.1</v>
      </c>
    </row>
    <row r="14" s="8" customFormat="true" ht="15" hidden="false" customHeight="false" outlineLevel="0" collapsed="false">
      <c r="B14" s="9"/>
      <c r="C14" s="10" t="n">
        <v>41131</v>
      </c>
      <c r="D14" s="8" t="n">
        <v>22.4</v>
      </c>
      <c r="E14" s="8" t="n">
        <v>17.1</v>
      </c>
      <c r="F14" s="8" t="n">
        <v>29.1</v>
      </c>
      <c r="G14" s="11"/>
      <c r="H14" s="11"/>
      <c r="I14" s="11"/>
      <c r="J14" s="8" t="n">
        <v>0</v>
      </c>
      <c r="K14" s="11"/>
      <c r="L14" s="8" t="n">
        <v>6.6</v>
      </c>
      <c r="M14" s="11"/>
      <c r="N14" s="8" t="n">
        <v>-6.6</v>
      </c>
      <c r="O14" s="8" t="n">
        <v>0</v>
      </c>
      <c r="T14" s="12"/>
      <c r="V14" s="8" t="n">
        <v>2769.7</v>
      </c>
    </row>
    <row r="15" s="8" customFormat="true" ht="15" hidden="false" customHeight="false" outlineLevel="0" collapsed="false">
      <c r="B15" s="9"/>
      <c r="C15" s="10" t="n">
        <v>41132</v>
      </c>
      <c r="D15" s="8" t="n">
        <v>22.6</v>
      </c>
      <c r="E15" s="8" t="n">
        <v>15.7</v>
      </c>
      <c r="F15" s="8" t="n">
        <v>29.3</v>
      </c>
      <c r="G15" s="11"/>
      <c r="H15" s="11"/>
      <c r="I15" s="11"/>
      <c r="J15" s="8" t="n">
        <v>0</v>
      </c>
      <c r="K15" s="11"/>
      <c r="L15" s="8" t="n">
        <v>5.4</v>
      </c>
      <c r="M15" s="11"/>
      <c r="N15" s="8" t="n">
        <v>-5.4</v>
      </c>
      <c r="O15" s="8" t="n">
        <v>0</v>
      </c>
      <c r="T15" s="12"/>
      <c r="V15" s="8" t="n">
        <v>2401.3</v>
      </c>
    </row>
    <row r="16" s="8" customFormat="true" ht="15" hidden="false" customHeight="false" outlineLevel="0" collapsed="false">
      <c r="B16" s="9"/>
      <c r="C16" s="10" t="n">
        <v>41133</v>
      </c>
      <c r="D16" s="8" t="n">
        <v>20</v>
      </c>
      <c r="E16" s="8" t="n">
        <v>16.4</v>
      </c>
      <c r="F16" s="8" t="n">
        <v>23.3</v>
      </c>
      <c r="G16" s="11"/>
      <c r="H16" s="11"/>
      <c r="I16" s="11"/>
      <c r="J16" s="8" t="n">
        <v>0.1</v>
      </c>
      <c r="K16" s="11"/>
      <c r="L16" s="8" t="n">
        <v>3.5</v>
      </c>
      <c r="M16" s="11"/>
      <c r="N16" s="8" t="n">
        <v>-3.4</v>
      </c>
      <c r="O16" s="8" t="n">
        <v>0</v>
      </c>
      <c r="T16" s="12"/>
      <c r="V16" s="8" t="n">
        <v>1621.6</v>
      </c>
    </row>
    <row r="17" s="8" customFormat="true" ht="15" hidden="false" customHeight="false" outlineLevel="0" collapsed="false">
      <c r="B17" s="9"/>
      <c r="C17" s="10" t="n">
        <v>41134</v>
      </c>
      <c r="D17" s="8" t="n">
        <v>19</v>
      </c>
      <c r="E17" s="8" t="n">
        <v>16.5</v>
      </c>
      <c r="F17" s="8" t="n">
        <v>22.4</v>
      </c>
      <c r="G17" s="11"/>
      <c r="H17" s="11"/>
      <c r="I17" s="11"/>
      <c r="J17" s="8" t="n">
        <v>5.1</v>
      </c>
      <c r="K17" s="11"/>
      <c r="L17" s="8" t="n">
        <v>1.4</v>
      </c>
      <c r="M17" s="11"/>
      <c r="N17" s="8" t="n">
        <v>3.7</v>
      </c>
      <c r="O17" s="8" t="n">
        <f aca="false">O16+N17</f>
        <v>3.7</v>
      </c>
      <c r="T17" s="12"/>
      <c r="V17" s="8" t="n">
        <v>575.5</v>
      </c>
    </row>
    <row r="18" s="8" customFormat="true" ht="15" hidden="false" customHeight="false" outlineLevel="0" collapsed="false">
      <c r="B18" s="9"/>
      <c r="C18" s="10" t="n">
        <v>41135</v>
      </c>
      <c r="D18" s="8" t="n">
        <v>20.4</v>
      </c>
      <c r="E18" s="8" t="n">
        <v>17.2</v>
      </c>
      <c r="F18" s="8" t="n">
        <v>23.4</v>
      </c>
      <c r="G18" s="11"/>
      <c r="H18" s="11"/>
      <c r="I18" s="11"/>
      <c r="J18" s="8" t="n">
        <v>2.9</v>
      </c>
      <c r="K18" s="11"/>
      <c r="L18" s="8" t="n">
        <v>1.2</v>
      </c>
      <c r="M18" s="11"/>
      <c r="N18" s="8" t="n">
        <v>1.7</v>
      </c>
      <c r="O18" s="8" t="n">
        <f aca="false">O17+N18</f>
        <v>5.4</v>
      </c>
      <c r="T18" s="12"/>
      <c r="V18" s="8" t="n">
        <v>502</v>
      </c>
    </row>
    <row r="19" s="8" customFormat="true" ht="15" hidden="false" customHeight="false" outlineLevel="0" collapsed="false">
      <c r="B19" s="9"/>
      <c r="C19" s="10" t="n">
        <v>41136</v>
      </c>
      <c r="D19" s="8" t="n">
        <v>19.2</v>
      </c>
      <c r="E19" s="8" t="n">
        <v>18.5</v>
      </c>
      <c r="F19" s="8" t="n">
        <v>21.5</v>
      </c>
      <c r="G19" s="11"/>
      <c r="H19" s="11"/>
      <c r="I19" s="11"/>
      <c r="J19" s="8" t="n">
        <v>0</v>
      </c>
      <c r="K19" s="11"/>
      <c r="L19" s="8" t="n">
        <v>2.3</v>
      </c>
      <c r="M19" s="11"/>
      <c r="N19" s="8" t="n">
        <v>-2.3</v>
      </c>
      <c r="O19" s="8" t="n">
        <f aca="false">O18+N19</f>
        <v>3.1</v>
      </c>
      <c r="T19" s="12"/>
      <c r="V19" s="8" t="n">
        <v>682.1</v>
      </c>
    </row>
    <row r="20" s="8" customFormat="true" ht="15" hidden="false" customHeight="false" outlineLevel="0" collapsed="false">
      <c r="B20" s="9"/>
      <c r="C20" s="10" t="n">
        <v>41137</v>
      </c>
      <c r="D20" s="8" t="n">
        <v>19.9</v>
      </c>
      <c r="E20" s="8" t="n">
        <v>15.3</v>
      </c>
      <c r="F20" s="8" t="n">
        <v>23.8</v>
      </c>
      <c r="G20" s="11"/>
      <c r="H20" s="11"/>
      <c r="I20" s="11"/>
      <c r="J20" s="8" t="n">
        <v>0</v>
      </c>
      <c r="K20" s="11"/>
      <c r="L20" s="8" t="n">
        <v>1.8</v>
      </c>
      <c r="M20" s="11"/>
      <c r="N20" s="8" t="n">
        <v>-1.8</v>
      </c>
      <c r="O20" s="8" t="n">
        <f aca="false">O19+N20</f>
        <v>1.3</v>
      </c>
      <c r="T20" s="12"/>
      <c r="V20" s="8" t="n">
        <v>725.2</v>
      </c>
    </row>
    <row r="21" s="8" customFormat="true" ht="15" hidden="false" customHeight="false" outlineLevel="0" collapsed="false">
      <c r="B21" s="9"/>
      <c r="C21" s="10" t="n">
        <v>41138</v>
      </c>
      <c r="D21" s="8" t="n">
        <v>23.6</v>
      </c>
      <c r="E21" s="8" t="n">
        <v>16.7</v>
      </c>
      <c r="F21" s="8" t="n">
        <v>31.8</v>
      </c>
      <c r="G21" s="11"/>
      <c r="H21" s="11"/>
      <c r="I21" s="11"/>
      <c r="J21" s="8" t="n">
        <v>0</v>
      </c>
      <c r="K21" s="11"/>
      <c r="L21" s="8" t="n">
        <v>6</v>
      </c>
      <c r="M21" s="11"/>
      <c r="N21" s="8" t="n">
        <v>-6</v>
      </c>
      <c r="O21" s="8" t="n">
        <v>0</v>
      </c>
      <c r="T21" s="12"/>
      <c r="V21" s="8" t="n">
        <v>2230.6</v>
      </c>
    </row>
    <row r="22" s="8" customFormat="true" ht="15" hidden="false" customHeight="false" outlineLevel="0" collapsed="false">
      <c r="B22" s="9"/>
      <c r="C22" s="10" t="n">
        <v>41139</v>
      </c>
      <c r="D22" s="8" t="n">
        <v>22.4</v>
      </c>
      <c r="E22" s="8" t="n">
        <v>15.4</v>
      </c>
      <c r="F22" s="8" t="n">
        <v>31</v>
      </c>
      <c r="G22" s="11"/>
      <c r="H22" s="11"/>
      <c r="I22" s="11"/>
      <c r="J22" s="8" t="n">
        <v>0</v>
      </c>
      <c r="K22" s="11"/>
      <c r="L22" s="8" t="n">
        <v>6.1</v>
      </c>
      <c r="M22" s="11"/>
      <c r="N22" s="8" t="n">
        <v>-6.1</v>
      </c>
      <c r="O22" s="8" t="n">
        <v>0</v>
      </c>
      <c r="T22" s="12"/>
      <c r="V22" s="8" t="n">
        <v>2503</v>
      </c>
    </row>
    <row r="23" s="8" customFormat="true" ht="15" hidden="false" customHeight="false" outlineLevel="0" collapsed="false">
      <c r="B23" s="9"/>
      <c r="C23" s="10" t="n">
        <v>41140</v>
      </c>
      <c r="D23" s="8" t="n">
        <v>21.3</v>
      </c>
      <c r="E23" s="8" t="n">
        <v>16.7</v>
      </c>
      <c r="F23" s="8" t="n">
        <v>27.4</v>
      </c>
      <c r="G23" s="11"/>
      <c r="H23" s="11"/>
      <c r="I23" s="11"/>
      <c r="J23" s="8" t="n">
        <v>0</v>
      </c>
      <c r="K23" s="11"/>
      <c r="L23" s="8" t="n">
        <v>3.6</v>
      </c>
      <c r="M23" s="11"/>
      <c r="N23" s="8" t="n">
        <v>-3.6</v>
      </c>
      <c r="O23" s="8" t="n">
        <v>0</v>
      </c>
      <c r="T23" s="12"/>
      <c r="V23" s="8" t="n">
        <v>1808.1</v>
      </c>
    </row>
    <row r="24" s="8" customFormat="true" ht="15" hidden="false" customHeight="false" outlineLevel="0" collapsed="false">
      <c r="B24" s="9"/>
      <c r="C24" s="10" t="n">
        <v>41141</v>
      </c>
      <c r="D24" s="8" t="n">
        <v>20.6</v>
      </c>
      <c r="E24" s="8" t="n">
        <v>16.6</v>
      </c>
      <c r="F24" s="8" t="n">
        <v>25.6</v>
      </c>
      <c r="G24" s="11"/>
      <c r="H24" s="11"/>
      <c r="I24" s="11"/>
      <c r="J24" s="8" t="n">
        <v>0</v>
      </c>
      <c r="K24" s="11"/>
      <c r="L24" s="8" t="n">
        <v>2.2</v>
      </c>
      <c r="M24" s="11"/>
      <c r="N24" s="8" t="n">
        <v>-2.2</v>
      </c>
      <c r="O24" s="8" t="n">
        <v>0</v>
      </c>
      <c r="T24" s="12"/>
      <c r="V24" s="8" t="n">
        <v>1163.9</v>
      </c>
    </row>
    <row r="25" s="8" customFormat="true" ht="15" hidden="false" customHeight="false" outlineLevel="0" collapsed="false">
      <c r="B25" s="9"/>
      <c r="C25" s="10" t="n">
        <v>41142</v>
      </c>
      <c r="D25" s="8" t="n">
        <v>18.8</v>
      </c>
      <c r="E25" s="8" t="n">
        <v>16.3</v>
      </c>
      <c r="F25" s="8" t="n">
        <v>24.5</v>
      </c>
      <c r="G25" s="11"/>
      <c r="H25" s="11"/>
      <c r="I25" s="11"/>
      <c r="J25" s="8" t="n">
        <v>0</v>
      </c>
      <c r="K25" s="11"/>
      <c r="L25" s="8" t="n">
        <v>3.4</v>
      </c>
      <c r="M25" s="11"/>
      <c r="N25" s="8" t="n">
        <v>-3.4</v>
      </c>
      <c r="O25" s="8" t="n">
        <v>0</v>
      </c>
      <c r="T25" s="12"/>
      <c r="V25" s="8" t="n">
        <v>1589.1</v>
      </c>
    </row>
    <row r="26" s="8" customFormat="true" ht="15" hidden="false" customHeight="false" outlineLevel="0" collapsed="false">
      <c r="B26" s="9"/>
      <c r="C26" s="10" t="n">
        <v>41143</v>
      </c>
      <c r="D26" s="8" t="n">
        <v>16.6</v>
      </c>
      <c r="E26" s="8" t="n">
        <v>11.4</v>
      </c>
      <c r="F26" s="8" t="n">
        <v>23.2</v>
      </c>
      <c r="G26" s="11"/>
      <c r="H26" s="11"/>
      <c r="I26" s="11"/>
      <c r="J26" s="8" t="n">
        <v>0</v>
      </c>
      <c r="K26" s="11"/>
      <c r="L26" s="8" t="n">
        <v>3.8</v>
      </c>
      <c r="M26" s="11"/>
      <c r="N26" s="8" t="n">
        <v>-3.8</v>
      </c>
      <c r="O26" s="8" t="n">
        <v>0</v>
      </c>
      <c r="T26" s="12"/>
      <c r="V26" s="8" t="n">
        <v>1816.4</v>
      </c>
    </row>
    <row r="27" s="8" customFormat="true" ht="15" hidden="false" customHeight="false" outlineLevel="0" collapsed="false">
      <c r="B27" s="9"/>
      <c r="C27" s="10" t="n">
        <v>41144</v>
      </c>
      <c r="D27" s="8" t="n">
        <v>17</v>
      </c>
      <c r="E27" s="8" t="n">
        <v>10.5</v>
      </c>
      <c r="F27" s="8" t="n">
        <v>23.6</v>
      </c>
      <c r="G27" s="11"/>
      <c r="H27" s="11"/>
      <c r="I27" s="11"/>
      <c r="J27" s="8" t="n">
        <v>0</v>
      </c>
      <c r="K27" s="11"/>
      <c r="L27" s="8" t="n">
        <v>3.6</v>
      </c>
      <c r="M27" s="11"/>
      <c r="N27" s="8" t="n">
        <v>-3.6</v>
      </c>
      <c r="O27" s="8" t="n">
        <v>0</v>
      </c>
      <c r="T27" s="12"/>
      <c r="V27" s="8" t="n">
        <v>1841.9</v>
      </c>
    </row>
    <row r="28" s="8" customFormat="true" ht="15" hidden="false" customHeight="false" outlineLevel="0" collapsed="false">
      <c r="B28" s="9"/>
      <c r="C28" s="10" t="n">
        <v>41145</v>
      </c>
      <c r="D28" s="8" t="n">
        <v>16.8</v>
      </c>
      <c r="E28" s="8" t="n">
        <v>13.7</v>
      </c>
      <c r="F28" s="8" t="n">
        <v>20.3</v>
      </c>
      <c r="G28" s="11"/>
      <c r="H28" s="11"/>
      <c r="I28" s="11"/>
      <c r="J28" s="8" t="n">
        <v>2.3</v>
      </c>
      <c r="K28" s="11"/>
      <c r="L28" s="8" t="n">
        <v>1.7</v>
      </c>
      <c r="M28" s="11"/>
      <c r="N28" s="8" t="n">
        <v>0.6</v>
      </c>
      <c r="O28" s="8" t="n">
        <f aca="false">O27+N28</f>
        <v>0.6</v>
      </c>
      <c r="T28" s="12"/>
      <c r="V28" s="8" t="n">
        <v>817.7</v>
      </c>
    </row>
    <row r="29" s="8" customFormat="true" ht="15" hidden="false" customHeight="false" outlineLevel="0" collapsed="false">
      <c r="B29" s="9"/>
      <c r="C29" s="10" t="n">
        <v>41146</v>
      </c>
      <c r="D29" s="8" t="n">
        <v>17</v>
      </c>
      <c r="E29" s="8" t="n">
        <v>15.4</v>
      </c>
      <c r="F29" s="8" t="n">
        <v>20.5</v>
      </c>
      <c r="G29" s="11"/>
      <c r="H29" s="11"/>
      <c r="I29" s="11"/>
      <c r="J29" s="8" t="n">
        <v>0.7</v>
      </c>
      <c r="K29" s="11"/>
      <c r="L29" s="8" t="n">
        <v>3</v>
      </c>
      <c r="M29" s="11"/>
      <c r="N29" s="8" t="n">
        <v>-2.3</v>
      </c>
      <c r="O29" s="8" t="n">
        <v>0</v>
      </c>
      <c r="T29" s="12"/>
      <c r="V29" s="8" t="n">
        <v>1460.2</v>
      </c>
    </row>
    <row r="30" s="8" customFormat="true" ht="15" hidden="false" customHeight="false" outlineLevel="0" collapsed="false">
      <c r="B30" s="9"/>
      <c r="C30" s="10" t="n">
        <v>41147</v>
      </c>
      <c r="D30" s="8" t="n">
        <v>17.4</v>
      </c>
      <c r="E30" s="8" t="n">
        <v>12.3</v>
      </c>
      <c r="F30" s="8" t="n">
        <v>22.4</v>
      </c>
      <c r="G30" s="11"/>
      <c r="H30" s="11"/>
      <c r="I30" s="11"/>
      <c r="J30" s="8" t="n">
        <v>0</v>
      </c>
      <c r="K30" s="11"/>
      <c r="L30" s="8" t="n">
        <v>2.9</v>
      </c>
      <c r="M30" s="11"/>
      <c r="N30" s="8" t="n">
        <v>-2.9</v>
      </c>
      <c r="O30" s="8" t="n">
        <v>0</v>
      </c>
      <c r="T30" s="12"/>
      <c r="V30" s="8" t="n">
        <v>1338.7</v>
      </c>
    </row>
    <row r="31" s="8" customFormat="true" ht="15" hidden="false" customHeight="false" outlineLevel="0" collapsed="false">
      <c r="B31" s="9"/>
      <c r="C31" s="10" t="n">
        <v>41148</v>
      </c>
      <c r="D31" s="8" t="n">
        <v>19.8</v>
      </c>
      <c r="E31" s="8" t="n">
        <v>13.8</v>
      </c>
      <c r="F31" s="8" t="n">
        <v>27.2</v>
      </c>
      <c r="G31" s="11"/>
      <c r="H31" s="11"/>
      <c r="I31" s="11"/>
      <c r="J31" s="8" t="n">
        <v>0</v>
      </c>
      <c r="K31" s="11"/>
      <c r="L31" s="8" t="n">
        <v>4.3</v>
      </c>
      <c r="M31" s="11"/>
      <c r="N31" s="8" t="n">
        <v>-4.3</v>
      </c>
      <c r="O31" s="8" t="n">
        <v>0</v>
      </c>
      <c r="T31" s="12"/>
      <c r="V31" s="8" t="n">
        <v>1501.9</v>
      </c>
    </row>
    <row r="32" s="8" customFormat="true" ht="15" hidden="false" customHeight="false" outlineLevel="0" collapsed="false">
      <c r="B32" s="9"/>
      <c r="C32" s="10" t="n">
        <v>41149</v>
      </c>
      <c r="D32" s="8" t="n">
        <v>18.2</v>
      </c>
      <c r="E32" s="8" t="n">
        <v>13.8</v>
      </c>
      <c r="F32" s="8" t="n">
        <v>22.7</v>
      </c>
      <c r="G32" s="11"/>
      <c r="H32" s="11"/>
      <c r="I32" s="11"/>
      <c r="J32" s="8" t="n">
        <v>0.1</v>
      </c>
      <c r="K32" s="11"/>
      <c r="L32" s="8" t="n">
        <v>3.7</v>
      </c>
      <c r="M32" s="11"/>
      <c r="N32" s="8" t="n">
        <v>-3.6</v>
      </c>
      <c r="O32" s="8" t="n">
        <v>0</v>
      </c>
      <c r="T32" s="12"/>
      <c r="V32" s="8" t="n">
        <v>1844.6</v>
      </c>
    </row>
    <row r="33" s="8" customFormat="true" ht="15" hidden="false" customHeight="false" outlineLevel="0" collapsed="false">
      <c r="B33" s="9"/>
      <c r="C33" s="10" t="n">
        <v>41150</v>
      </c>
      <c r="D33" s="8" t="n">
        <v>16.7</v>
      </c>
      <c r="E33" s="8" t="n">
        <v>14.1</v>
      </c>
      <c r="F33" s="8" t="n">
        <v>22.2</v>
      </c>
      <c r="G33" s="11"/>
      <c r="H33" s="11"/>
      <c r="I33" s="11"/>
      <c r="J33" s="8" t="n">
        <v>0.2</v>
      </c>
      <c r="K33" s="11"/>
      <c r="L33" s="8" t="n">
        <v>3.3</v>
      </c>
      <c r="M33" s="11"/>
      <c r="N33" s="8" t="n">
        <v>-3.1</v>
      </c>
      <c r="O33" s="8" t="n">
        <v>0</v>
      </c>
      <c r="T33" s="12"/>
      <c r="V33" s="8" t="n">
        <v>1340.7</v>
      </c>
    </row>
    <row r="34" s="8" customFormat="true" ht="15" hidden="false" customHeight="false" outlineLevel="0" collapsed="false">
      <c r="B34" s="9"/>
      <c r="C34" s="10" t="n">
        <v>41151</v>
      </c>
      <c r="D34" s="8" t="n">
        <v>15.2</v>
      </c>
      <c r="E34" s="8" t="n">
        <v>13.6</v>
      </c>
      <c r="F34" s="8" t="n">
        <v>19.9</v>
      </c>
      <c r="G34" s="11"/>
      <c r="H34" s="11"/>
      <c r="I34" s="11"/>
      <c r="J34" s="8" t="n">
        <v>0.6</v>
      </c>
      <c r="K34" s="11"/>
      <c r="L34" s="8" t="n">
        <v>3.2</v>
      </c>
      <c r="M34" s="11"/>
      <c r="N34" s="8" t="n">
        <v>-2.6</v>
      </c>
      <c r="O34" s="8" t="n">
        <v>0</v>
      </c>
      <c r="T34" s="12"/>
      <c r="V34" s="8" t="n">
        <v>1460.5</v>
      </c>
    </row>
    <row r="35" s="8" customFormat="true" ht="15" hidden="false" customHeight="false" outlineLevel="0" collapsed="false">
      <c r="B35" s="9"/>
      <c r="C35" s="10" t="n">
        <v>41152</v>
      </c>
      <c r="D35" s="8" t="n">
        <v>13.7</v>
      </c>
      <c r="E35" s="8" t="n">
        <v>9.7</v>
      </c>
      <c r="F35" s="8" t="n">
        <v>18.2</v>
      </c>
      <c r="G35" s="11"/>
      <c r="H35" s="11"/>
      <c r="I35" s="11"/>
      <c r="J35" s="8" t="n">
        <v>0</v>
      </c>
      <c r="K35" s="11"/>
      <c r="L35" s="8" t="n">
        <v>2.8</v>
      </c>
      <c r="M35" s="11"/>
      <c r="N35" s="8" t="n">
        <v>-2.8</v>
      </c>
      <c r="O35" s="8" t="n">
        <v>0</v>
      </c>
      <c r="T35" s="12"/>
      <c r="V35" s="8" t="n">
        <v>1343.2</v>
      </c>
    </row>
    <row r="36" s="8" customFormat="true" ht="15" hidden="false" customHeight="false" outlineLevel="0" collapsed="false">
      <c r="B36" s="9"/>
      <c r="C36" s="10" t="n">
        <v>41153</v>
      </c>
      <c r="D36" s="8" t="n">
        <v>14.7</v>
      </c>
      <c r="E36" s="8" t="n">
        <v>11.3</v>
      </c>
      <c r="F36" s="8" t="n">
        <v>17.5</v>
      </c>
      <c r="G36" s="11"/>
      <c r="H36" s="11"/>
      <c r="I36" s="11"/>
      <c r="J36" s="8" t="n">
        <v>0</v>
      </c>
      <c r="K36" s="11"/>
      <c r="L36" s="8" t="n">
        <v>0.9</v>
      </c>
      <c r="M36" s="11"/>
      <c r="N36" s="8" t="n">
        <v>-0.9</v>
      </c>
      <c r="O36" s="8" t="n">
        <v>0</v>
      </c>
      <c r="T36" s="12"/>
      <c r="V36" s="8" t="n">
        <v>639.4</v>
      </c>
    </row>
    <row r="37" s="8" customFormat="true" ht="15" hidden="false" customHeight="false" outlineLevel="0" collapsed="false">
      <c r="B37" s="9"/>
      <c r="C37" s="10" t="n">
        <v>41154</v>
      </c>
      <c r="D37" s="8" t="n">
        <v>15.5</v>
      </c>
      <c r="E37" s="8" t="n">
        <v>10.5</v>
      </c>
      <c r="F37" s="8" t="n">
        <v>20.7</v>
      </c>
      <c r="G37" s="11"/>
      <c r="H37" s="11"/>
      <c r="I37" s="11"/>
      <c r="J37" s="8" t="n">
        <v>0.2</v>
      </c>
      <c r="K37" s="11"/>
      <c r="L37" s="8" t="n">
        <v>3</v>
      </c>
      <c r="M37" s="11"/>
      <c r="N37" s="8" t="n">
        <v>-2.8</v>
      </c>
      <c r="O37" s="8" t="n">
        <v>0</v>
      </c>
      <c r="T37" s="12"/>
      <c r="V37" s="8" t="n">
        <v>1625.9</v>
      </c>
    </row>
    <row r="38" s="8" customFormat="true" ht="15" hidden="false" customHeight="false" outlineLevel="0" collapsed="false">
      <c r="B38" s="9"/>
      <c r="C38" s="10" t="n">
        <v>41155</v>
      </c>
      <c r="D38" s="8" t="n">
        <v>16.4</v>
      </c>
      <c r="E38" s="8" t="n">
        <v>12.2</v>
      </c>
      <c r="F38" s="8" t="n">
        <v>19.3</v>
      </c>
      <c r="G38" s="11"/>
      <c r="H38" s="11"/>
      <c r="I38" s="11"/>
      <c r="J38" s="8" t="n">
        <v>0.2</v>
      </c>
      <c r="K38" s="11"/>
      <c r="L38" s="8" t="n">
        <v>1</v>
      </c>
      <c r="M38" s="11"/>
      <c r="N38" s="8" t="n">
        <v>-0.8</v>
      </c>
      <c r="O38" s="8" t="n">
        <v>0</v>
      </c>
      <c r="T38" s="12"/>
      <c r="V38" s="8" t="n">
        <v>578.4</v>
      </c>
    </row>
    <row r="39" s="8" customFormat="true" ht="15" hidden="false" customHeight="false" outlineLevel="0" collapsed="false">
      <c r="B39" s="9"/>
      <c r="C39" s="10" t="n">
        <v>41156</v>
      </c>
      <c r="D39" s="8" t="n">
        <v>17.5</v>
      </c>
      <c r="E39" s="8" t="n">
        <v>13.7</v>
      </c>
      <c r="F39" s="8" t="n">
        <v>21.3</v>
      </c>
      <c r="G39" s="11"/>
      <c r="H39" s="11"/>
      <c r="I39" s="11"/>
      <c r="J39" s="8" t="n">
        <v>0</v>
      </c>
      <c r="K39" s="11"/>
      <c r="L39" s="8" t="n">
        <v>1.8</v>
      </c>
      <c r="M39" s="11"/>
      <c r="N39" s="8" t="n">
        <v>-1.8</v>
      </c>
      <c r="O39" s="8" t="n">
        <v>0</v>
      </c>
      <c r="T39" s="12" t="n">
        <v>0</v>
      </c>
      <c r="V39" s="8" t="n">
        <v>957.5</v>
      </c>
    </row>
    <row r="40" s="8" customFormat="true" ht="15" hidden="false" customHeight="false" outlineLevel="0" collapsed="false">
      <c r="A40" s="13" t="s">
        <v>26</v>
      </c>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8" customFormat="true" ht="15" hidden="false" customHeight="false" outlineLevel="0" collapsed="false">
      <c r="A41" s="14" t="s">
        <v>27</v>
      </c>
      <c r="B41" s="15"/>
      <c r="C41" s="16" t="n">
        <v>41157</v>
      </c>
      <c r="D41" s="8" t="n">
        <v>17.6</v>
      </c>
      <c r="E41" s="8" t="n">
        <v>15.6</v>
      </c>
      <c r="F41" s="8" t="n">
        <v>23</v>
      </c>
      <c r="G41" s="8" t="n">
        <f aca="false">17.6</f>
        <v>17.6</v>
      </c>
      <c r="I41" s="17" t="s">
        <v>28</v>
      </c>
      <c r="J41" s="8" t="n">
        <v>0</v>
      </c>
      <c r="K41" s="8" t="n">
        <f aca="false">J41</f>
        <v>0</v>
      </c>
      <c r="L41" s="8" t="n">
        <v>2.5</v>
      </c>
      <c r="M41" s="8" t="n">
        <f aca="false">L41</f>
        <v>2.5</v>
      </c>
      <c r="N41" s="8" t="n">
        <v>-2.5</v>
      </c>
      <c r="O41" s="8" t="n">
        <v>0</v>
      </c>
      <c r="P41" s="8" t="n">
        <v>1</v>
      </c>
      <c r="Q41" s="8" t="n">
        <v>0.35</v>
      </c>
      <c r="R41" s="12" t="n">
        <f aca="false">Q41*L41</f>
        <v>0.875</v>
      </c>
      <c r="S41" s="12" t="n">
        <f aca="false">J41-R41</f>
        <v>-0.875</v>
      </c>
      <c r="T41" s="12" t="n">
        <v>0</v>
      </c>
      <c r="U41" s="17" t="s">
        <v>29</v>
      </c>
      <c r="V41" s="8" t="n">
        <v>1003.5</v>
      </c>
      <c r="X41" s="8" t="n">
        <f aca="false">V41</f>
        <v>1003.5</v>
      </c>
      <c r="Z41" s="17" t="s">
        <v>30</v>
      </c>
      <c r="AA41" s="8" t="n">
        <v>13.2394064448619</v>
      </c>
    </row>
    <row r="42" s="8" customFormat="true" ht="15" hidden="false" customHeight="false" outlineLevel="0" collapsed="false">
      <c r="A42" s="14"/>
      <c r="B42" s="15"/>
      <c r="C42" s="16" t="n">
        <v>41158</v>
      </c>
      <c r="D42" s="8" t="n">
        <v>15.8</v>
      </c>
      <c r="E42" s="8" t="n">
        <v>9.6</v>
      </c>
      <c r="F42" s="8" t="n">
        <v>23.6</v>
      </c>
      <c r="G42" s="8" t="n">
        <f aca="false">G41+D42</f>
        <v>33.4</v>
      </c>
      <c r="I42" s="8" t="n">
        <f aca="false">MIN(E41:E170)</f>
        <v>-3.7</v>
      </c>
      <c r="J42" s="8" t="n">
        <v>0</v>
      </c>
      <c r="K42" s="8" t="n">
        <f aca="false">J42+K41</f>
        <v>0</v>
      </c>
      <c r="L42" s="8" t="n">
        <v>4.3</v>
      </c>
      <c r="M42" s="8" t="n">
        <f aca="false">M41+L42</f>
        <v>6.8</v>
      </c>
      <c r="N42" s="8" t="n">
        <v>-4.3</v>
      </c>
      <c r="O42" s="8" t="n">
        <v>0</v>
      </c>
      <c r="P42" s="8" t="n">
        <v>2</v>
      </c>
      <c r="Q42" s="8" t="n">
        <v>0.35</v>
      </c>
      <c r="R42" s="12" t="n">
        <f aca="false">Q42*L42</f>
        <v>1.505</v>
      </c>
      <c r="S42" s="12" t="n">
        <f aca="false">J42-R42</f>
        <v>-1.505</v>
      </c>
      <c r="T42" s="12" t="n">
        <v>0</v>
      </c>
      <c r="U42" s="8" t="n">
        <v>55</v>
      </c>
      <c r="V42" s="8" t="n">
        <v>2183.6</v>
      </c>
      <c r="X42" s="8" t="n">
        <f aca="false">X41+V42</f>
        <v>3187.1</v>
      </c>
      <c r="Z42" s="8" t="n">
        <v>68962.1</v>
      </c>
      <c r="AA42" s="8" t="n">
        <v>13.1826411661021</v>
      </c>
    </row>
    <row r="43" s="8" customFormat="true" ht="15" hidden="false" customHeight="false" outlineLevel="0" collapsed="false">
      <c r="A43" s="14"/>
      <c r="B43" s="15"/>
      <c r="C43" s="16" t="n">
        <v>41159</v>
      </c>
      <c r="D43" s="8" t="n">
        <v>16</v>
      </c>
      <c r="E43" s="8" t="n">
        <v>7.2</v>
      </c>
      <c r="F43" s="8" t="n">
        <v>26</v>
      </c>
      <c r="G43" s="8" t="n">
        <f aca="false">G42+D43</f>
        <v>49.4</v>
      </c>
      <c r="I43" s="17" t="s">
        <v>31</v>
      </c>
      <c r="J43" s="8" t="n">
        <v>0.1</v>
      </c>
      <c r="K43" s="8" t="n">
        <f aca="false">J43+K42</f>
        <v>0.1</v>
      </c>
      <c r="L43" s="8" t="n">
        <v>4.3</v>
      </c>
      <c r="M43" s="8" t="n">
        <f aca="false">M42+L43</f>
        <v>11.1</v>
      </c>
      <c r="N43" s="8" t="n">
        <v>-4.2</v>
      </c>
      <c r="O43" s="8" t="n">
        <v>0</v>
      </c>
      <c r="P43" s="8" t="n">
        <v>3</v>
      </c>
      <c r="Q43" s="8" t="n">
        <v>0.35</v>
      </c>
      <c r="R43" s="12" t="n">
        <f aca="false">Q43*L43</f>
        <v>1.505</v>
      </c>
      <c r="S43" s="12" t="n">
        <f aca="false">J43-R43</f>
        <v>-1.405</v>
      </c>
      <c r="T43" s="12" t="n">
        <v>0</v>
      </c>
      <c r="U43" s="17" t="s">
        <v>32</v>
      </c>
      <c r="V43" s="8" t="n">
        <v>2032.4</v>
      </c>
      <c r="X43" s="8" t="n">
        <f aca="false">X42+V43</f>
        <v>5219.5</v>
      </c>
      <c r="Z43" s="17" t="s">
        <v>33</v>
      </c>
      <c r="AA43" s="8" t="n">
        <v>13.1257537242615</v>
      </c>
    </row>
    <row r="44" s="8" customFormat="true" ht="15" hidden="false" customHeight="false" outlineLevel="0" collapsed="false">
      <c r="A44" s="14"/>
      <c r="B44" s="15"/>
      <c r="C44" s="16" t="n">
        <v>41160</v>
      </c>
      <c r="D44" s="8" t="n">
        <v>17.6</v>
      </c>
      <c r="E44" s="8" t="n">
        <v>7.9</v>
      </c>
      <c r="F44" s="8" t="n">
        <v>28.4</v>
      </c>
      <c r="G44" s="8" t="n">
        <f aca="false">G43+D44</f>
        <v>67</v>
      </c>
      <c r="I44" s="8" t="n">
        <f aca="false">MAX(F41:F170)</f>
        <v>28.4</v>
      </c>
      <c r="J44" s="8" t="n">
        <v>0</v>
      </c>
      <c r="K44" s="8" t="n">
        <f aca="false">J44+K43</f>
        <v>0.1</v>
      </c>
      <c r="L44" s="8" t="n">
        <v>4.9</v>
      </c>
      <c r="M44" s="8" t="n">
        <f aca="false">M43+L44</f>
        <v>16</v>
      </c>
      <c r="N44" s="8" t="n">
        <v>-4.9</v>
      </c>
      <c r="O44" s="8" t="n">
        <v>0</v>
      </c>
      <c r="P44" s="8" t="n">
        <v>4</v>
      </c>
      <c r="Q44" s="8" t="n">
        <v>0.35</v>
      </c>
      <c r="R44" s="12" t="n">
        <f aca="false">Q44*L44</f>
        <v>1.715</v>
      </c>
      <c r="S44" s="12" t="n">
        <f aca="false">J44-R44</f>
        <v>-1.715</v>
      </c>
      <c r="T44" s="12" t="n">
        <v>0</v>
      </c>
      <c r="U44" s="8" t="n">
        <v>5</v>
      </c>
      <c r="V44" s="8" t="n">
        <v>2103</v>
      </c>
      <c r="X44" s="8" t="n">
        <f aca="false">X43+V44</f>
        <v>7322.5</v>
      </c>
      <c r="Z44" s="8" t="n">
        <f aca="false">(Z42/100)/I54</f>
        <v>0.520704469948656</v>
      </c>
      <c r="AA44" s="8" t="n">
        <v>13.0687515053807</v>
      </c>
    </row>
    <row r="45" s="8" customFormat="true" ht="15" hidden="false" customHeight="false" outlineLevel="0" collapsed="false">
      <c r="A45" s="14"/>
      <c r="B45" s="15"/>
      <c r="C45" s="16" t="n">
        <v>41161</v>
      </c>
      <c r="D45" s="8" t="n">
        <v>16.6</v>
      </c>
      <c r="E45" s="8" t="n">
        <v>8.5</v>
      </c>
      <c r="F45" s="8" t="n">
        <v>25.3</v>
      </c>
      <c r="G45" s="8" t="n">
        <f aca="false">G44+D45</f>
        <v>83.6</v>
      </c>
      <c r="I45" s="17" t="s">
        <v>34</v>
      </c>
      <c r="J45" s="8" t="n">
        <v>0</v>
      </c>
      <c r="K45" s="8" t="n">
        <f aca="false">J45+K44</f>
        <v>0.1</v>
      </c>
      <c r="L45" s="8" t="n">
        <v>3.5</v>
      </c>
      <c r="M45" s="8" t="n">
        <f aca="false">M44+L45</f>
        <v>19.5</v>
      </c>
      <c r="N45" s="8" t="n">
        <v>-3.5</v>
      </c>
      <c r="O45" s="8" t="n">
        <v>0</v>
      </c>
      <c r="P45" s="8" t="n">
        <v>5</v>
      </c>
      <c r="Q45" s="8" t="n">
        <v>0.35</v>
      </c>
      <c r="R45" s="12" t="n">
        <f aca="false">Q45*L45</f>
        <v>1.225</v>
      </c>
      <c r="S45" s="12" t="n">
        <f aca="false">J45-R45</f>
        <v>-1.225</v>
      </c>
      <c r="T45" s="12" t="n">
        <v>0</v>
      </c>
      <c r="U45" s="17" t="s">
        <v>35</v>
      </c>
      <c r="V45" s="8" t="n">
        <v>1827.4</v>
      </c>
      <c r="X45" s="8" t="n">
        <f aca="false">X44+V45</f>
        <v>9149.9</v>
      </c>
      <c r="Z45" s="17" t="s">
        <v>36</v>
      </c>
      <c r="AA45" s="8" t="n">
        <v>13.0116416538983</v>
      </c>
    </row>
    <row r="46" s="8" customFormat="true" ht="15" hidden="false" customHeight="false" outlineLevel="0" collapsed="false">
      <c r="A46" s="14"/>
      <c r="B46" s="15"/>
      <c r="C46" s="16" t="n">
        <v>41162</v>
      </c>
      <c r="D46" s="8" t="n">
        <v>18.6</v>
      </c>
      <c r="E46" s="8" t="n">
        <v>14.7</v>
      </c>
      <c r="F46" s="8" t="n">
        <v>23.6</v>
      </c>
      <c r="G46" s="8" t="n">
        <f aca="false">G45+D46</f>
        <v>102.2</v>
      </c>
      <c r="I46" s="12" t="n">
        <f aca="false">AVERAGE(D41:D170)</f>
        <v>10.1776923076923</v>
      </c>
      <c r="J46" s="8" t="n">
        <v>3.4</v>
      </c>
      <c r="K46" s="8" t="n">
        <f aca="false">J46+K45</f>
        <v>3.5</v>
      </c>
      <c r="L46" s="8" t="n">
        <v>1.8</v>
      </c>
      <c r="M46" s="8" t="n">
        <f aca="false">M45+L46</f>
        <v>21.3</v>
      </c>
      <c r="N46" s="8" t="n">
        <v>1.6</v>
      </c>
      <c r="O46" s="8" t="n">
        <f aca="false">O45+N46</f>
        <v>1.6</v>
      </c>
      <c r="P46" s="8" t="n">
        <v>6</v>
      </c>
      <c r="Q46" s="8" t="n">
        <v>0.35</v>
      </c>
      <c r="R46" s="12" t="n">
        <f aca="false">Q46*L46</f>
        <v>0.63</v>
      </c>
      <c r="S46" s="12" t="n">
        <f aca="false">J46-R46</f>
        <v>2.77</v>
      </c>
      <c r="T46" s="12" t="n">
        <f aca="false">MIN(197.4,T45+S46)</f>
        <v>2.77</v>
      </c>
      <c r="U46" s="8" t="n">
        <v>26</v>
      </c>
      <c r="V46" s="8" t="n">
        <v>687.3</v>
      </c>
      <c r="X46" s="8" t="n">
        <f aca="false">X45+V46</f>
        <v>9837.2</v>
      </c>
      <c r="Z46" s="8" t="n">
        <v>111</v>
      </c>
      <c r="AA46" s="8" t="n">
        <v>12.9544310880942</v>
      </c>
    </row>
    <row r="47" s="8" customFormat="true" ht="15" hidden="false" customHeight="false" outlineLevel="0" collapsed="false">
      <c r="A47" s="14"/>
      <c r="B47" s="15"/>
      <c r="C47" s="16" t="n">
        <v>41163</v>
      </c>
      <c r="D47" s="8" t="n">
        <v>15.8</v>
      </c>
      <c r="E47" s="8" t="n">
        <v>15.1</v>
      </c>
      <c r="F47" s="8" t="n">
        <v>18.8</v>
      </c>
      <c r="G47" s="8" t="n">
        <f aca="false">G46+D47</f>
        <v>118</v>
      </c>
      <c r="I47" s="17" t="s">
        <v>37</v>
      </c>
      <c r="J47" s="8" t="n">
        <v>8</v>
      </c>
      <c r="K47" s="8" t="n">
        <f aca="false">J47+K46</f>
        <v>11.5</v>
      </c>
      <c r="L47" s="8" t="n">
        <v>1.5</v>
      </c>
      <c r="M47" s="8" t="n">
        <f aca="false">M46+L47</f>
        <v>22.8</v>
      </c>
      <c r="N47" s="8" t="n">
        <v>6.5</v>
      </c>
      <c r="O47" s="8" t="n">
        <f aca="false">O46+N47</f>
        <v>8.1</v>
      </c>
      <c r="P47" s="8" t="n">
        <v>7</v>
      </c>
      <c r="Q47" s="8" t="n">
        <v>0.35</v>
      </c>
      <c r="R47" s="12" t="n">
        <f aca="false">Q47*L47</f>
        <v>0.525</v>
      </c>
      <c r="S47" s="12" t="n">
        <f aca="false">J47-R47</f>
        <v>7.475</v>
      </c>
      <c r="T47" s="12" t="n">
        <f aca="false">MIN(197.4,T46+S47)</f>
        <v>10.245</v>
      </c>
      <c r="U47" s="17" t="s">
        <v>38</v>
      </c>
      <c r="V47" s="8" t="n">
        <v>546.7</v>
      </c>
      <c r="X47" s="8" t="n">
        <f aca="false">X46+V47</f>
        <v>10383.9</v>
      </c>
      <c r="AA47" s="8" t="n">
        <v>12.8971265156125</v>
      </c>
    </row>
    <row r="48" s="8" customFormat="true" ht="15" hidden="false" customHeight="false" outlineLevel="0" collapsed="false">
      <c r="A48" s="14"/>
      <c r="B48" s="15"/>
      <c r="C48" s="16" t="n">
        <v>41164</v>
      </c>
      <c r="D48" s="8" t="n">
        <v>14.8</v>
      </c>
      <c r="E48" s="8" t="n">
        <v>11.8</v>
      </c>
      <c r="F48" s="8" t="n">
        <v>19.1</v>
      </c>
      <c r="G48" s="8" t="n">
        <f aca="false">G47+D48</f>
        <v>132.8</v>
      </c>
      <c r="I48" s="8" t="n">
        <v>6</v>
      </c>
      <c r="J48" s="8" t="n">
        <v>1</v>
      </c>
      <c r="K48" s="8" t="n">
        <f aca="false">J48+K47</f>
        <v>12.5</v>
      </c>
      <c r="L48" s="8" t="n">
        <v>1.5</v>
      </c>
      <c r="M48" s="8" t="n">
        <f aca="false">M47+L48</f>
        <v>24.3</v>
      </c>
      <c r="N48" s="8" t="n">
        <v>-0.5</v>
      </c>
      <c r="O48" s="8" t="n">
        <f aca="false">O47+N48</f>
        <v>7.6</v>
      </c>
      <c r="P48" s="8" t="n">
        <v>8</v>
      </c>
      <c r="Q48" s="8" t="n">
        <v>0.35</v>
      </c>
      <c r="R48" s="12" t="n">
        <f aca="false">Q48*L48</f>
        <v>0.525</v>
      </c>
      <c r="S48" s="12" t="n">
        <f aca="false">J48-R48</f>
        <v>0.475</v>
      </c>
      <c r="T48" s="12" t="n">
        <f aca="false">MIN(197.4,T47+S48)</f>
        <v>10.72</v>
      </c>
      <c r="U48" s="12" t="n">
        <v>0</v>
      </c>
      <c r="V48" s="8" t="n">
        <v>543.8</v>
      </c>
      <c r="X48" s="8" t="n">
        <f aca="false">X47+V48</f>
        <v>10927.7</v>
      </c>
      <c r="AA48" s="8" t="n">
        <v>12.8397344490566</v>
      </c>
    </row>
    <row r="49" s="8" customFormat="true" ht="15" hidden="false" customHeight="false" outlineLevel="0" collapsed="false">
      <c r="A49" s="14"/>
      <c r="B49" s="15"/>
      <c r="C49" s="16" t="n">
        <v>41165</v>
      </c>
      <c r="D49" s="8" t="n">
        <v>14</v>
      </c>
      <c r="E49" s="8" t="n">
        <v>11</v>
      </c>
      <c r="F49" s="8" t="n">
        <v>18</v>
      </c>
      <c r="G49" s="8" t="n">
        <f aca="false">G48+D49</f>
        <v>146.8</v>
      </c>
      <c r="I49" s="17" t="s">
        <v>39</v>
      </c>
      <c r="J49" s="8" t="n">
        <v>0</v>
      </c>
      <c r="K49" s="8" t="n">
        <f aca="false">J49+K48</f>
        <v>12.5</v>
      </c>
      <c r="L49" s="8" t="n">
        <v>3.4</v>
      </c>
      <c r="M49" s="8" t="n">
        <f aca="false">M48+L49</f>
        <v>27.7</v>
      </c>
      <c r="N49" s="8" t="n">
        <v>-3.4</v>
      </c>
      <c r="O49" s="8" t="n">
        <f aca="false">O48+N49</f>
        <v>4.2</v>
      </c>
      <c r="P49" s="8" t="n">
        <v>9</v>
      </c>
      <c r="Q49" s="8" t="n">
        <v>0.35</v>
      </c>
      <c r="R49" s="12" t="n">
        <f aca="false">Q49*L49</f>
        <v>1.19</v>
      </c>
      <c r="S49" s="12" t="n">
        <f aca="false">J49-R49</f>
        <v>-1.19</v>
      </c>
      <c r="T49" s="12" t="n">
        <f aca="false">MIN(197.4,T48+S49)</f>
        <v>9.53</v>
      </c>
      <c r="U49" s="17" t="s">
        <v>40</v>
      </c>
      <c r="V49" s="8" t="n">
        <v>1761.5</v>
      </c>
      <c r="X49" s="8" t="n">
        <f aca="false">X48+V49</f>
        <v>12689.2</v>
      </c>
      <c r="AA49" s="8" t="n">
        <v>12.78226122165</v>
      </c>
    </row>
    <row r="50" s="8" customFormat="true" ht="15" hidden="false" customHeight="false" outlineLevel="0" collapsed="false">
      <c r="A50" s="14"/>
      <c r="B50" s="15"/>
      <c r="C50" s="16" t="n">
        <v>41166</v>
      </c>
      <c r="D50" s="8" t="n">
        <v>14.2</v>
      </c>
      <c r="E50" s="8" t="n">
        <v>8.6</v>
      </c>
      <c r="F50" s="8" t="n">
        <v>19</v>
      </c>
      <c r="G50" s="8" t="n">
        <f aca="false">G49+D50</f>
        <v>161</v>
      </c>
      <c r="I50" s="8" t="n">
        <v>3</v>
      </c>
      <c r="J50" s="8" t="n">
        <v>0</v>
      </c>
      <c r="K50" s="8" t="n">
        <f aca="false">J50+K49</f>
        <v>12.5</v>
      </c>
      <c r="L50" s="8" t="n">
        <v>0.7</v>
      </c>
      <c r="M50" s="8" t="n">
        <f aca="false">M49+L50</f>
        <v>28.4</v>
      </c>
      <c r="N50" s="8" t="n">
        <v>-0.7</v>
      </c>
      <c r="O50" s="8" t="n">
        <f aca="false">O49+N50</f>
        <v>3.5</v>
      </c>
      <c r="P50" s="8" t="n">
        <v>10</v>
      </c>
      <c r="Q50" s="8" t="n">
        <f aca="false">0.35+((P50-9)/121)*(1-0.35)</f>
        <v>0.355371900826446</v>
      </c>
      <c r="R50" s="12" t="n">
        <f aca="false">Q50*L50</f>
        <v>0.248760330578512</v>
      </c>
      <c r="S50" s="12" t="n">
        <f aca="false">J50-R50</f>
        <v>-0.248760330578512</v>
      </c>
      <c r="T50" s="12" t="n">
        <f aca="false">MIN(197.4,T49+S50)</f>
        <v>9.28123966942149</v>
      </c>
      <c r="U50" s="12" t="n">
        <f aca="false">MAX(T41:T170)</f>
        <v>197.4</v>
      </c>
      <c r="V50" s="8" t="n">
        <v>369.3</v>
      </c>
      <c r="X50" s="8" t="n">
        <f aca="false">X49+V50</f>
        <v>13058.5</v>
      </c>
      <c r="AA50" s="8" t="n">
        <v>12.7247130029575</v>
      </c>
    </row>
    <row r="51" s="8" customFormat="true" ht="15" hidden="false" customHeight="false" outlineLevel="0" collapsed="false">
      <c r="A51" s="14"/>
      <c r="B51" s="15"/>
      <c r="C51" s="16" t="n">
        <v>41167</v>
      </c>
      <c r="D51" s="8" t="n">
        <v>15.1</v>
      </c>
      <c r="E51" s="8" t="n">
        <v>11.8</v>
      </c>
      <c r="F51" s="8" t="n">
        <v>21.1</v>
      </c>
      <c r="G51" s="8" t="n">
        <f aca="false">G50+D51</f>
        <v>176.1</v>
      </c>
      <c r="I51" s="17" t="s">
        <v>41</v>
      </c>
      <c r="J51" s="8" t="n">
        <v>0</v>
      </c>
      <c r="K51" s="8" t="n">
        <f aca="false">J51+K50</f>
        <v>12.5</v>
      </c>
      <c r="L51" s="8" t="n">
        <v>3.2</v>
      </c>
      <c r="M51" s="8" t="n">
        <f aca="false">M50+L51</f>
        <v>31.6</v>
      </c>
      <c r="N51" s="8" t="n">
        <v>-3.2</v>
      </c>
      <c r="O51" s="8" t="n">
        <f aca="false">O50+N51</f>
        <v>0.299999999999999</v>
      </c>
      <c r="P51" s="8" t="n">
        <v>11</v>
      </c>
      <c r="Q51" s="8" t="n">
        <f aca="false">0.35+((P51-9)/121)*(1-0.35)</f>
        <v>0.360743801652893</v>
      </c>
      <c r="R51" s="12" t="n">
        <f aca="false">Q51*L51</f>
        <v>1.15438016528926</v>
      </c>
      <c r="S51" s="12" t="n">
        <f aca="false">J51-R51</f>
        <v>-1.15438016528926</v>
      </c>
      <c r="T51" s="12" t="n">
        <f aca="false">MIN(197.4,T50+S51)</f>
        <v>8.12685950413223</v>
      </c>
      <c r="U51" s="17" t="s">
        <v>42</v>
      </c>
      <c r="V51" s="8" t="n">
        <v>1734.2</v>
      </c>
      <c r="X51" s="8" t="n">
        <f aca="false">X50+V51</f>
        <v>14792.7</v>
      </c>
      <c r="AA51" s="8" t="n">
        <v>12.6670958146642</v>
      </c>
    </row>
    <row r="52" s="8" customFormat="true" ht="15" hidden="false" customHeight="false" outlineLevel="0" collapsed="false">
      <c r="A52" s="14"/>
      <c r="B52" s="15"/>
      <c r="C52" s="16" t="n">
        <v>41168</v>
      </c>
      <c r="D52" s="8" t="n">
        <v>14.3</v>
      </c>
      <c r="E52" s="8" t="n">
        <v>8.1</v>
      </c>
      <c r="F52" s="8" t="n">
        <v>22.7</v>
      </c>
      <c r="G52" s="8" t="n">
        <f aca="false">G51+D52</f>
        <v>190.4</v>
      </c>
      <c r="I52" s="8" t="n">
        <v>27</v>
      </c>
      <c r="J52" s="8" t="n">
        <v>0</v>
      </c>
      <c r="K52" s="8" t="n">
        <f aca="false">J52+K51</f>
        <v>12.5</v>
      </c>
      <c r="L52" s="8" t="n">
        <v>3.3</v>
      </c>
      <c r="M52" s="8" t="n">
        <f aca="false">M51+L52</f>
        <v>34.9</v>
      </c>
      <c r="N52" s="8" t="n">
        <v>-3.3</v>
      </c>
      <c r="O52" s="8" t="n">
        <v>0</v>
      </c>
      <c r="P52" s="8" t="n">
        <v>12</v>
      </c>
      <c r="Q52" s="8" t="n">
        <f aca="false">0.35+((P52-9)/121)*(1-0.35)</f>
        <v>0.366115702479339</v>
      </c>
      <c r="R52" s="12" t="n">
        <f aca="false">Q52*L52</f>
        <v>1.20818181818182</v>
      </c>
      <c r="S52" s="12" t="n">
        <f aca="false">J52-R52</f>
        <v>-1.20818181818182</v>
      </c>
      <c r="T52" s="12" t="n">
        <f aca="false">MIN(197.4,T51+S52)</f>
        <v>6.91867768595041</v>
      </c>
      <c r="U52" s="18" t="n">
        <f aca="false">AVERAGE(T41:T170)</f>
        <v>138.26905785124</v>
      </c>
      <c r="V52" s="8" t="n">
        <v>1801.4</v>
      </c>
      <c r="X52" s="8" t="n">
        <f aca="false">X51+V52</f>
        <v>16594.1</v>
      </c>
      <c r="AA52" s="8" t="n">
        <v>12.6094155464097</v>
      </c>
    </row>
    <row r="53" s="8" customFormat="true" ht="15" hidden="false" customHeight="false" outlineLevel="0" collapsed="false">
      <c r="A53" s="14"/>
      <c r="B53" s="15"/>
      <c r="C53" s="16" t="n">
        <v>41169</v>
      </c>
      <c r="D53" s="8" t="n">
        <v>14.4</v>
      </c>
      <c r="E53" s="8" t="n">
        <v>9.5</v>
      </c>
      <c r="F53" s="8" t="n">
        <v>20.4</v>
      </c>
      <c r="G53" s="8" t="n">
        <f aca="false">G52+D53</f>
        <v>204.8</v>
      </c>
      <c r="I53" s="17" t="s">
        <v>43</v>
      </c>
      <c r="J53" s="8" t="n">
        <v>0</v>
      </c>
      <c r="K53" s="8" t="n">
        <f aca="false">J53+K52</f>
        <v>12.5</v>
      </c>
      <c r="L53" s="8" t="n">
        <v>1.6</v>
      </c>
      <c r="M53" s="8" t="n">
        <f aca="false">M52+L53</f>
        <v>36.5</v>
      </c>
      <c r="N53" s="8" t="n">
        <v>-1.6</v>
      </c>
      <c r="O53" s="8" t="n">
        <v>0</v>
      </c>
      <c r="P53" s="8" t="n">
        <v>13</v>
      </c>
      <c r="Q53" s="8" t="n">
        <f aca="false">0.35+((P53-9)/121)*(1-0.35)</f>
        <v>0.371487603305785</v>
      </c>
      <c r="R53" s="12" t="n">
        <f aca="false">Q53*L53</f>
        <v>0.594380165289256</v>
      </c>
      <c r="S53" s="12" t="n">
        <f aca="false">J53-R53</f>
        <v>-0.594380165289256</v>
      </c>
      <c r="T53" s="12" t="n">
        <f aca="false">MIN(197.4,T52+S53)</f>
        <v>6.32429752066116</v>
      </c>
      <c r="V53" s="8" t="n">
        <v>744</v>
      </c>
      <c r="X53" s="8" t="n">
        <f aca="false">X52+V53</f>
        <v>17338.1</v>
      </c>
      <c r="AA53" s="8" t="n">
        <v>12.5516779716794</v>
      </c>
    </row>
    <row r="54" s="8" customFormat="true" ht="15" hidden="false" customHeight="false" outlineLevel="0" collapsed="false">
      <c r="A54" s="14"/>
      <c r="B54" s="15"/>
      <c r="C54" s="16" t="n">
        <v>41170</v>
      </c>
      <c r="D54" s="8" t="n">
        <v>13.6</v>
      </c>
      <c r="E54" s="8" t="n">
        <v>11.6</v>
      </c>
      <c r="F54" s="8" t="n">
        <v>18.7</v>
      </c>
      <c r="G54" s="8" t="n">
        <f aca="false">G53+D54</f>
        <v>218.4</v>
      </c>
      <c r="I54" s="8" t="n">
        <v>1324.4</v>
      </c>
      <c r="J54" s="8" t="n">
        <v>0</v>
      </c>
      <c r="K54" s="8" t="n">
        <f aca="false">J54+K53</f>
        <v>12.5</v>
      </c>
      <c r="L54" s="8" t="n">
        <v>2.4</v>
      </c>
      <c r="M54" s="8" t="n">
        <f aca="false">M53+L54</f>
        <v>38.9</v>
      </c>
      <c r="N54" s="8" t="n">
        <v>-2.4</v>
      </c>
      <c r="O54" s="8" t="n">
        <v>0</v>
      </c>
      <c r="P54" s="8" t="n">
        <v>14</v>
      </c>
      <c r="Q54" s="8" t="n">
        <f aca="false">0.35+((P54-9)/121)*(1-0.35)</f>
        <v>0.376859504132231</v>
      </c>
      <c r="R54" s="12" t="n">
        <f aca="false">Q54*L54</f>
        <v>0.904462809917355</v>
      </c>
      <c r="S54" s="12" t="n">
        <f aca="false">J54-R54</f>
        <v>-0.904462809917355</v>
      </c>
      <c r="T54" s="12" t="n">
        <f aca="false">MIN(197.4,T53+S54)</f>
        <v>5.4198347107438</v>
      </c>
      <c r="U54" s="12" t="n">
        <f aca="false">(U52*100)/197.4</f>
        <v>70.0451154261599</v>
      </c>
      <c r="V54" s="8" t="n">
        <v>1067.7</v>
      </c>
      <c r="X54" s="8" t="n">
        <f aca="false">X53+V54</f>
        <v>18405.8</v>
      </c>
      <c r="AA54" s="8" t="n">
        <v>12.4938887637508</v>
      </c>
    </row>
    <row r="55" s="8" customFormat="true" ht="15" hidden="false" customHeight="false" outlineLevel="0" collapsed="false">
      <c r="A55" s="14"/>
      <c r="B55" s="15"/>
      <c r="C55" s="16" t="n">
        <v>41171</v>
      </c>
      <c r="D55" s="8" t="n">
        <v>10.7</v>
      </c>
      <c r="E55" s="8" t="n">
        <v>5</v>
      </c>
      <c r="F55" s="8" t="n">
        <v>18.6</v>
      </c>
      <c r="G55" s="8" t="n">
        <f aca="false">G54+D55</f>
        <v>229.1</v>
      </c>
      <c r="J55" s="8" t="n">
        <v>0</v>
      </c>
      <c r="K55" s="8" t="n">
        <f aca="false">J55+K54</f>
        <v>12.5</v>
      </c>
      <c r="L55" s="8" t="n">
        <v>2.8</v>
      </c>
      <c r="M55" s="8" t="n">
        <f aca="false">M54+L55</f>
        <v>41.7</v>
      </c>
      <c r="N55" s="8" t="n">
        <v>-2.8</v>
      </c>
      <c r="O55" s="8" t="n">
        <v>0</v>
      </c>
      <c r="P55" s="8" t="n">
        <v>15</v>
      </c>
      <c r="Q55" s="8" t="n">
        <f aca="false">0.35+((P55-9)/121)*(1-0.35)</f>
        <v>0.382231404958678</v>
      </c>
      <c r="R55" s="12" t="n">
        <f aca="false">Q55*L55</f>
        <v>1.0702479338843</v>
      </c>
      <c r="S55" s="12" t="n">
        <f aca="false">J55-R55</f>
        <v>-1.0702479338843</v>
      </c>
      <c r="T55" s="12" t="n">
        <f aca="false">MIN(197.4,T54+S55)</f>
        <v>4.3495867768595</v>
      </c>
      <c r="V55" s="8" t="n">
        <v>1539.5</v>
      </c>
      <c r="X55" s="8" t="n">
        <f aca="false">X54+V55</f>
        <v>19945.3</v>
      </c>
      <c r="AA55" s="8" t="n">
        <v>12.436053511699</v>
      </c>
    </row>
    <row r="56" s="8" customFormat="true" ht="15" hidden="false" customHeight="false" outlineLevel="0" collapsed="false">
      <c r="A56" s="14"/>
      <c r="B56" s="15"/>
      <c r="C56" s="16" t="n">
        <v>41172</v>
      </c>
      <c r="D56" s="8" t="n">
        <v>10.8</v>
      </c>
      <c r="E56" s="8" t="n">
        <v>3.4</v>
      </c>
      <c r="F56" s="8" t="n">
        <v>19.8</v>
      </c>
      <c r="G56" s="8" t="n">
        <f aca="false">G55+D56</f>
        <v>239.9</v>
      </c>
      <c r="J56" s="8" t="n">
        <v>0</v>
      </c>
      <c r="K56" s="8" t="n">
        <f aca="false">J56+K55</f>
        <v>12.5</v>
      </c>
      <c r="L56" s="8" t="n">
        <v>2.9</v>
      </c>
      <c r="M56" s="8" t="n">
        <f aca="false">M55+L56</f>
        <v>44.6</v>
      </c>
      <c r="N56" s="8" t="n">
        <v>-2.9</v>
      </c>
      <c r="O56" s="8" t="n">
        <v>0</v>
      </c>
      <c r="P56" s="8" t="n">
        <v>16</v>
      </c>
      <c r="Q56" s="8" t="n">
        <f aca="false">0.35+((P56-9)/121)*(1-0.35)</f>
        <v>0.387603305785124</v>
      </c>
      <c r="R56" s="12" t="n">
        <f aca="false">Q56*L56</f>
        <v>1.12404958677686</v>
      </c>
      <c r="S56" s="12" t="n">
        <f aca="false">J56-R56</f>
        <v>-1.12404958677686</v>
      </c>
      <c r="T56" s="12" t="n">
        <f aca="false">MIN(197.4,T55+S56)</f>
        <v>3.22553719008265</v>
      </c>
      <c r="V56" s="8" t="n">
        <v>1588.1</v>
      </c>
      <c r="X56" s="8" t="n">
        <f aca="false">X55+V56</f>
        <v>21533.4</v>
      </c>
      <c r="AA56" s="8" t="n">
        <v>12.3781777364631</v>
      </c>
    </row>
    <row r="57" s="8" customFormat="true" ht="15" hidden="false" customHeight="false" outlineLevel="0" collapsed="false">
      <c r="A57" s="14"/>
      <c r="B57" s="15"/>
      <c r="C57" s="16" t="n">
        <v>41173</v>
      </c>
      <c r="D57" s="8" t="n">
        <v>8.3</v>
      </c>
      <c r="E57" s="8" t="n">
        <v>4.5</v>
      </c>
      <c r="F57" s="8" t="n">
        <v>10.2</v>
      </c>
      <c r="G57" s="8" t="n">
        <f aca="false">G56+D57</f>
        <v>248.2</v>
      </c>
      <c r="J57" s="8" t="n">
        <v>14.9</v>
      </c>
      <c r="K57" s="8" t="n">
        <f aca="false">J57+K56</f>
        <v>27.4</v>
      </c>
      <c r="L57" s="8" t="n">
        <v>0.7</v>
      </c>
      <c r="M57" s="8" t="n">
        <f aca="false">M56+L57</f>
        <v>45.3</v>
      </c>
      <c r="N57" s="8" t="n">
        <v>14.2</v>
      </c>
      <c r="O57" s="8" t="n">
        <f aca="false">O56+N57</f>
        <v>14.2</v>
      </c>
      <c r="P57" s="8" t="n">
        <v>17</v>
      </c>
      <c r="Q57" s="8" t="n">
        <f aca="false">0.35+((P57-9)/121)*(1-0.35)</f>
        <v>0.39297520661157</v>
      </c>
      <c r="R57" s="12" t="n">
        <f aca="false">Q57*L57</f>
        <v>0.275082644628099</v>
      </c>
      <c r="S57" s="12" t="n">
        <f aca="false">J57-R57</f>
        <v>14.6249173553719</v>
      </c>
      <c r="T57" s="12" t="n">
        <f aca="false">MIN(197.4,T56+S57)</f>
        <v>17.8504545454545</v>
      </c>
      <c r="V57" s="8" t="n">
        <v>537.6</v>
      </c>
      <c r="X57" s="8" t="n">
        <f aca="false">X56+V57</f>
        <v>22071</v>
      </c>
      <c r="AA57" s="8" t="n">
        <v>12.3202669069782</v>
      </c>
    </row>
    <row r="58" s="8" customFormat="true" ht="15" hidden="false" customHeight="false" outlineLevel="0" collapsed="false">
      <c r="A58" s="14"/>
      <c r="B58" s="15"/>
      <c r="C58" s="16" t="n">
        <v>41174</v>
      </c>
      <c r="D58" s="8" t="n">
        <v>13.2</v>
      </c>
      <c r="E58" s="8" t="n">
        <v>8</v>
      </c>
      <c r="F58" s="8" t="n">
        <v>18.4</v>
      </c>
      <c r="G58" s="8" t="n">
        <f aca="false">G57+D58</f>
        <v>261.4</v>
      </c>
      <c r="J58" s="8" t="n">
        <v>0</v>
      </c>
      <c r="K58" s="8" t="n">
        <f aca="false">J58+K57</f>
        <v>27.4</v>
      </c>
      <c r="L58" s="8" t="n">
        <v>1.9</v>
      </c>
      <c r="M58" s="8" t="n">
        <f aca="false">M57+L58</f>
        <v>47.2</v>
      </c>
      <c r="N58" s="8" t="n">
        <v>-1.9</v>
      </c>
      <c r="O58" s="8" t="n">
        <f aca="false">O57+N58</f>
        <v>12.3</v>
      </c>
      <c r="P58" s="8" t="n">
        <v>18</v>
      </c>
      <c r="Q58" s="8" t="n">
        <f aca="false">0.35+((P58-9)/121)*(1-0.35)</f>
        <v>0.398347107438017</v>
      </c>
      <c r="R58" s="12" t="n">
        <f aca="false">Q58*L58</f>
        <v>0.756859504132231</v>
      </c>
      <c r="S58" s="12" t="n">
        <f aca="false">J58-R58</f>
        <v>-0.756859504132231</v>
      </c>
      <c r="T58" s="12" t="n">
        <f aca="false">MIN(197.4,T57+S58)</f>
        <v>17.0935950413223</v>
      </c>
      <c r="V58" s="8" t="n">
        <v>1115.6</v>
      </c>
      <c r="X58" s="8" t="n">
        <f aca="false">X57+V58</f>
        <v>23186.6</v>
      </c>
      <c r="AA58" s="8" t="n">
        <v>12.2623264563753</v>
      </c>
    </row>
    <row r="59" s="8" customFormat="true" ht="15" hidden="false" customHeight="false" outlineLevel="0" collapsed="false">
      <c r="A59" s="14"/>
      <c r="B59" s="15"/>
      <c r="C59" s="16" t="n">
        <v>41175</v>
      </c>
      <c r="D59" s="8" t="n">
        <v>16.3</v>
      </c>
      <c r="E59" s="8" t="n">
        <v>12.4</v>
      </c>
      <c r="F59" s="8" t="n">
        <v>20.7</v>
      </c>
      <c r="G59" s="8" t="n">
        <f aca="false">G58+D59</f>
        <v>277.7</v>
      </c>
      <c r="J59" s="8" t="n">
        <v>18.6</v>
      </c>
      <c r="K59" s="8" t="n">
        <f aca="false">J59+K58</f>
        <v>46</v>
      </c>
      <c r="L59" s="8" t="n">
        <v>1.2</v>
      </c>
      <c r="M59" s="8" t="n">
        <f aca="false">M58+L59</f>
        <v>48.4</v>
      </c>
      <c r="N59" s="8" t="n">
        <v>17.4</v>
      </c>
      <c r="O59" s="8" t="n">
        <f aca="false">O58+N59</f>
        <v>29.7</v>
      </c>
      <c r="P59" s="8" t="n">
        <v>19</v>
      </c>
      <c r="Q59" s="8" t="n">
        <f aca="false">0.35+((P59-9)/121)*(1-0.35)</f>
        <v>0.403719008264463</v>
      </c>
      <c r="R59" s="12" t="n">
        <f aca="false">Q59*L59</f>
        <v>0.484462809917355</v>
      </c>
      <c r="S59" s="12" t="n">
        <f aca="false">J59-R59</f>
        <v>18.1155371900826</v>
      </c>
      <c r="T59" s="12" t="n">
        <f aca="false">MIN(197.4,T58+S59)</f>
        <v>35.209132231405</v>
      </c>
      <c r="V59" s="8" t="n">
        <v>383.6</v>
      </c>
      <c r="X59" s="8" t="n">
        <f aca="false">X58+V59</f>
        <v>23570.2</v>
      </c>
      <c r="AA59" s="8" t="n">
        <v>12.2043617982565</v>
      </c>
    </row>
    <row r="60" s="8" customFormat="true" ht="15" hidden="false" customHeight="false" outlineLevel="0" collapsed="false">
      <c r="A60" s="14"/>
      <c r="B60" s="15"/>
      <c r="C60" s="16" t="n">
        <v>41176</v>
      </c>
      <c r="D60" s="8" t="n">
        <v>14.8</v>
      </c>
      <c r="E60" s="8" t="n">
        <v>12.9</v>
      </c>
      <c r="F60" s="8" t="n">
        <v>19.3</v>
      </c>
      <c r="G60" s="8" t="n">
        <f aca="false">G59+D60</f>
        <v>292.5</v>
      </c>
      <c r="J60" s="8" t="n">
        <v>5</v>
      </c>
      <c r="K60" s="8" t="n">
        <f aca="false">J60+K59</f>
        <v>51</v>
      </c>
      <c r="L60" s="8" t="n">
        <v>2.3</v>
      </c>
      <c r="M60" s="8" t="n">
        <f aca="false">M59+L60</f>
        <v>50.7</v>
      </c>
      <c r="N60" s="8" t="n">
        <v>2.7</v>
      </c>
      <c r="O60" s="8" t="n">
        <f aca="false">O59+N60</f>
        <v>32.4</v>
      </c>
      <c r="P60" s="8" t="n">
        <v>20</v>
      </c>
      <c r="Q60" s="8" t="n">
        <f aca="false">0.35+((P60-9)/121)*(1-0.35)</f>
        <v>0.409090909090909</v>
      </c>
      <c r="R60" s="12" t="n">
        <f aca="false">Q60*L60</f>
        <v>0.940909090909091</v>
      </c>
      <c r="S60" s="12" t="n">
        <f aca="false">J60-R60</f>
        <v>4.05909090909091</v>
      </c>
      <c r="T60" s="12" t="n">
        <f aca="false">MIN(197.4,T59+S60)</f>
        <v>39.2682231404959</v>
      </c>
      <c r="V60" s="8" t="n">
        <v>582.8</v>
      </c>
      <c r="X60" s="8" t="n">
        <f aca="false">X59+V60</f>
        <v>24153</v>
      </c>
      <c r="AA60" s="8" t="n">
        <v>12.1463783430485</v>
      </c>
    </row>
    <row r="61" s="8" customFormat="true" ht="15" hidden="false" customHeight="false" outlineLevel="0" collapsed="false">
      <c r="A61" s="14"/>
      <c r="B61" s="15"/>
      <c r="C61" s="16" t="n">
        <v>41177</v>
      </c>
      <c r="D61" s="8" t="n">
        <v>12.3</v>
      </c>
      <c r="E61" s="8" t="n">
        <v>9.2</v>
      </c>
      <c r="F61" s="8" t="n">
        <v>17.7</v>
      </c>
      <c r="G61" s="8" t="n">
        <f aca="false">G60+D61</f>
        <v>304.8</v>
      </c>
      <c r="J61" s="8" t="n">
        <v>6.4</v>
      </c>
      <c r="K61" s="8" t="n">
        <f aca="false">J61+K60</f>
        <v>57.4</v>
      </c>
      <c r="L61" s="8" t="n">
        <v>2.3</v>
      </c>
      <c r="M61" s="8" t="n">
        <f aca="false">M60+L61</f>
        <v>53</v>
      </c>
      <c r="N61" s="8" t="n">
        <v>4.1</v>
      </c>
      <c r="O61" s="8" t="n">
        <f aca="false">O60+N61</f>
        <v>36.5</v>
      </c>
      <c r="P61" s="8" t="n">
        <v>21</v>
      </c>
      <c r="Q61" s="8" t="n">
        <f aca="false">0.35+((P61-9)/121)*(1-0.35)</f>
        <v>0.414462809917355</v>
      </c>
      <c r="R61" s="12" t="n">
        <f aca="false">Q61*L61</f>
        <v>0.953264462809917</v>
      </c>
      <c r="S61" s="12" t="n">
        <f aca="false">J61-R61</f>
        <v>5.44673553719008</v>
      </c>
      <c r="T61" s="12" t="n">
        <f aca="false">MIN(197.4,T60+S61)</f>
        <v>44.714958677686</v>
      </c>
      <c r="V61" s="8" t="n">
        <v>1167.9</v>
      </c>
      <c r="X61" s="8" t="n">
        <f aca="false">X60+V61</f>
        <v>25320.9</v>
      </c>
      <c r="AA61" s="8" t="n">
        <v>12.0883815144407</v>
      </c>
    </row>
    <row r="62" s="8" customFormat="true" ht="15" hidden="false" customHeight="false" outlineLevel="0" collapsed="false">
      <c r="A62" s="14"/>
      <c r="B62" s="15"/>
      <c r="C62" s="16" t="n">
        <v>41178</v>
      </c>
      <c r="D62" s="8" t="n">
        <v>12.7</v>
      </c>
      <c r="E62" s="8" t="n">
        <v>9.7</v>
      </c>
      <c r="F62" s="8" t="n">
        <v>15.7</v>
      </c>
      <c r="G62" s="8" t="n">
        <f aca="false">G61+D62</f>
        <v>317.5</v>
      </c>
      <c r="J62" s="8" t="n">
        <v>4.6</v>
      </c>
      <c r="K62" s="8" t="n">
        <f aca="false">J62+K61</f>
        <v>62</v>
      </c>
      <c r="L62" s="8" t="n">
        <v>1.3</v>
      </c>
      <c r="M62" s="8" t="n">
        <f aca="false">M61+L62</f>
        <v>54.3</v>
      </c>
      <c r="N62" s="8" t="n">
        <v>3.3</v>
      </c>
      <c r="O62" s="8" t="n">
        <f aca="false">O61+N62</f>
        <v>39.8</v>
      </c>
      <c r="P62" s="8" t="n">
        <v>22</v>
      </c>
      <c r="Q62" s="8" t="n">
        <f aca="false">0.35+((P62-9)/121)*(1-0.35)</f>
        <v>0.419834710743802</v>
      </c>
      <c r="R62" s="12" t="n">
        <f aca="false">Q62*L62</f>
        <v>0.545785123966942</v>
      </c>
      <c r="S62" s="12" t="n">
        <f aca="false">J62-R62</f>
        <v>4.05421487603306</v>
      </c>
      <c r="T62" s="12" t="n">
        <f aca="false">MIN(197.4,T61+S62)</f>
        <v>48.769173553719</v>
      </c>
      <c r="V62" s="8" t="n">
        <v>636.1</v>
      </c>
      <c r="X62" s="8" t="n">
        <f aca="false">X61+V62</f>
        <v>25957</v>
      </c>
      <c r="AA62" s="8" t="n">
        <v>12.0303767659133</v>
      </c>
    </row>
    <row r="63" s="8" customFormat="true" ht="15" hidden="false" customHeight="false" outlineLevel="0" collapsed="false">
      <c r="A63" s="14"/>
      <c r="B63" s="15"/>
      <c r="C63" s="16" t="n">
        <v>41179</v>
      </c>
      <c r="D63" s="8" t="n">
        <v>13.4</v>
      </c>
      <c r="E63" s="8" t="n">
        <v>11.9</v>
      </c>
      <c r="F63" s="8" t="n">
        <v>16.7</v>
      </c>
      <c r="G63" s="8" t="n">
        <f aca="false">G62+D63</f>
        <v>330.9</v>
      </c>
      <c r="J63" s="8" t="n">
        <v>1.2</v>
      </c>
      <c r="K63" s="8" t="n">
        <f aca="false">J63+K62</f>
        <v>63.2</v>
      </c>
      <c r="L63" s="8" t="n">
        <v>1.5</v>
      </c>
      <c r="M63" s="8" t="n">
        <f aca="false">M62+L63</f>
        <v>55.8</v>
      </c>
      <c r="N63" s="8" t="n">
        <v>-0.3</v>
      </c>
      <c r="O63" s="8" t="n">
        <f aca="false">O62+N63</f>
        <v>39.5</v>
      </c>
      <c r="P63" s="8" t="n">
        <v>23</v>
      </c>
      <c r="Q63" s="8" t="n">
        <f aca="false">0.35+((P63-9)/121)*(1-0.35)</f>
        <v>0.425206611570248</v>
      </c>
      <c r="R63" s="12" t="n">
        <f aca="false">Q63*L63</f>
        <v>0.637809917355372</v>
      </c>
      <c r="S63" s="12" t="n">
        <f aca="false">J63-R63</f>
        <v>0.562190082644628</v>
      </c>
      <c r="T63" s="12" t="n">
        <f aca="false">MIN(197.4,T62+S63)</f>
        <v>49.3313636363636</v>
      </c>
      <c r="V63" s="8" t="n">
        <v>481.5</v>
      </c>
      <c r="X63" s="8" t="n">
        <f aca="false">X62+V63</f>
        <v>26438.5</v>
      </c>
      <c r="AA63" s="8" t="n">
        <v>11.9723695973606</v>
      </c>
    </row>
    <row r="64" s="8" customFormat="true" ht="15" hidden="false" customHeight="false" outlineLevel="0" collapsed="false">
      <c r="A64" s="14"/>
      <c r="B64" s="15"/>
      <c r="C64" s="16" t="n">
        <v>41180</v>
      </c>
      <c r="D64" s="8" t="n">
        <v>12.2</v>
      </c>
      <c r="E64" s="8" t="n">
        <v>6.6</v>
      </c>
      <c r="F64" s="8" t="n">
        <v>18.7</v>
      </c>
      <c r="G64" s="8" t="n">
        <f aca="false">G63+D64</f>
        <v>343.1</v>
      </c>
      <c r="J64" s="8" t="n">
        <v>0</v>
      </c>
      <c r="K64" s="8" t="n">
        <f aca="false">J64+K63</f>
        <v>63.2</v>
      </c>
      <c r="L64" s="8" t="n">
        <v>1.7</v>
      </c>
      <c r="M64" s="8" t="n">
        <f aca="false">M63+L64</f>
        <v>57.5</v>
      </c>
      <c r="N64" s="8" t="n">
        <v>-1.7</v>
      </c>
      <c r="O64" s="8" t="n">
        <f aca="false">O63+N64</f>
        <v>37.8</v>
      </c>
      <c r="P64" s="8" t="n">
        <v>24</v>
      </c>
      <c r="Q64" s="8" t="n">
        <f aca="false">0.35+((P64-9)/121)*(1-0.35)</f>
        <v>0.430578512396694</v>
      </c>
      <c r="R64" s="12" t="n">
        <f aca="false">Q64*L64</f>
        <v>0.73198347107438</v>
      </c>
      <c r="S64" s="12" t="n">
        <f aca="false">J64-R64</f>
        <v>-0.73198347107438</v>
      </c>
      <c r="T64" s="12" t="n">
        <f aca="false">MIN(197.4,T63+S64)</f>
        <v>48.5993801652893</v>
      </c>
      <c r="V64" s="8" t="n">
        <v>857</v>
      </c>
      <c r="X64" s="8" t="n">
        <f aca="false">X63+V64</f>
        <v>27295.5</v>
      </c>
      <c r="AA64" s="8" t="n">
        <v>11.9143655718154</v>
      </c>
    </row>
    <row r="65" s="8" customFormat="true" ht="15" hidden="false" customHeight="false" outlineLevel="0" collapsed="false">
      <c r="A65" s="14"/>
      <c r="B65" s="15"/>
      <c r="C65" s="16" t="n">
        <v>41181</v>
      </c>
      <c r="D65" s="8" t="n">
        <v>11.4</v>
      </c>
      <c r="E65" s="8" t="n">
        <v>8.4</v>
      </c>
      <c r="F65" s="8" t="n">
        <v>16.8</v>
      </c>
      <c r="G65" s="8" t="n">
        <f aca="false">G64+D65</f>
        <v>354.5</v>
      </c>
      <c r="J65" s="8" t="n">
        <v>0</v>
      </c>
      <c r="K65" s="8" t="n">
        <f aca="false">J65+K64</f>
        <v>63.2</v>
      </c>
      <c r="L65" s="8" t="n">
        <v>2</v>
      </c>
      <c r="M65" s="8" t="n">
        <f aca="false">M64+L65</f>
        <v>59.5</v>
      </c>
      <c r="N65" s="8" t="n">
        <v>-2</v>
      </c>
      <c r="O65" s="8" t="n">
        <f aca="false">O64+N65</f>
        <v>35.8</v>
      </c>
      <c r="P65" s="8" t="n">
        <v>25</v>
      </c>
      <c r="Q65" s="8" t="n">
        <f aca="false">0.35+((P65-9)/121)*(1-0.35)</f>
        <v>0.435950413223141</v>
      </c>
      <c r="R65" s="12" t="n">
        <f aca="false">Q65*L65</f>
        <v>0.871900826446281</v>
      </c>
      <c r="S65" s="12" t="n">
        <f aca="false">J65-R65</f>
        <v>-0.871900826446281</v>
      </c>
      <c r="T65" s="12" t="n">
        <f aca="false">MIN(197.4,T64+S65)</f>
        <v>47.727479338843</v>
      </c>
      <c r="V65" s="8" t="n">
        <v>1047.5</v>
      </c>
      <c r="X65" s="8" t="n">
        <f aca="false">X64+V65</f>
        <v>28343</v>
      </c>
      <c r="AA65" s="8" t="n">
        <v>11.856370332278</v>
      </c>
    </row>
    <row r="66" s="8" customFormat="true" ht="15" hidden="false" customHeight="false" outlineLevel="0" collapsed="false">
      <c r="A66" s="14"/>
      <c r="B66" s="15"/>
      <c r="C66" s="16" t="n">
        <v>41182</v>
      </c>
      <c r="D66" s="8" t="n">
        <v>11.5</v>
      </c>
      <c r="E66" s="8" t="n">
        <v>6.5</v>
      </c>
      <c r="F66" s="8" t="n">
        <v>18.8</v>
      </c>
      <c r="G66" s="8" t="n">
        <f aca="false">G65+D66</f>
        <v>366</v>
      </c>
      <c r="J66" s="8" t="n">
        <v>0.1</v>
      </c>
      <c r="K66" s="8" t="n">
        <f aca="false">J66+K65</f>
        <v>63.3</v>
      </c>
      <c r="L66" s="8" t="n">
        <v>2.2</v>
      </c>
      <c r="M66" s="8" t="n">
        <f aca="false">M65+L66</f>
        <v>61.7</v>
      </c>
      <c r="N66" s="8" t="n">
        <v>-2.1</v>
      </c>
      <c r="O66" s="8" t="n">
        <f aca="false">O65+N66</f>
        <v>33.7</v>
      </c>
      <c r="P66" s="8" t="n">
        <v>26</v>
      </c>
      <c r="Q66" s="8" t="n">
        <f aca="false">0.35+((P66-9)/121)*(1-0.35)</f>
        <v>0.441322314049587</v>
      </c>
      <c r="R66" s="12" t="n">
        <f aca="false">Q66*L66</f>
        <v>0.970909090909091</v>
      </c>
      <c r="S66" s="12" t="n">
        <f aca="false">J66-R66</f>
        <v>-0.870909090909091</v>
      </c>
      <c r="T66" s="12" t="n">
        <f aca="false">MIN(197.4,T65+S66)</f>
        <v>46.8565702479339</v>
      </c>
      <c r="V66" s="8" t="n">
        <v>1264.6</v>
      </c>
      <c r="X66" s="8" t="n">
        <f aca="false">X65+V66</f>
        <v>29607.6</v>
      </c>
      <c r="AA66" s="8" t="n">
        <v>11.7983896186562</v>
      </c>
    </row>
    <row r="67" s="8" customFormat="true" ht="15" hidden="false" customHeight="false" outlineLevel="0" collapsed="false">
      <c r="A67" s="14"/>
      <c r="B67" s="15"/>
      <c r="C67" s="16" t="n">
        <v>41183</v>
      </c>
      <c r="D67" s="8" t="n">
        <v>12.7</v>
      </c>
      <c r="E67" s="8" t="n">
        <v>7.4</v>
      </c>
      <c r="F67" s="8" t="n">
        <v>18.3</v>
      </c>
      <c r="G67" s="8" t="n">
        <f aca="false">G66+D67</f>
        <v>378.7</v>
      </c>
      <c r="J67" s="8" t="n">
        <v>3</v>
      </c>
      <c r="K67" s="8" t="n">
        <f aca="false">J67+K66</f>
        <v>66.3</v>
      </c>
      <c r="L67" s="8" t="n">
        <v>1</v>
      </c>
      <c r="M67" s="8" t="n">
        <f aca="false">M66+L67</f>
        <v>62.7</v>
      </c>
      <c r="N67" s="8" t="n">
        <v>2</v>
      </c>
      <c r="O67" s="8" t="n">
        <f aca="false">O66+N67</f>
        <v>35.7</v>
      </c>
      <c r="P67" s="8" t="n">
        <v>27</v>
      </c>
      <c r="Q67" s="8" t="n">
        <f aca="false">0.35+((P67-9)/121)*(1-0.35)</f>
        <v>0.446694214876033</v>
      </c>
      <c r="R67" s="12" t="n">
        <f aca="false">Q67*L67</f>
        <v>0.446694214876033</v>
      </c>
      <c r="S67" s="12" t="n">
        <f aca="false">J67-R67</f>
        <v>2.55330578512397</v>
      </c>
      <c r="T67" s="12" t="n">
        <f aca="false">MIN(197.4,T66+S67)</f>
        <v>49.4098760330579</v>
      </c>
      <c r="V67" s="8" t="n">
        <v>474.8</v>
      </c>
      <c r="X67" s="8" t="n">
        <f aca="false">X66+V67</f>
        <v>30082.4</v>
      </c>
      <c r="AA67" s="8" t="n">
        <v>11.7404292848174</v>
      </c>
    </row>
    <row r="68" s="8" customFormat="true" ht="15" hidden="false" customHeight="false" outlineLevel="0" collapsed="false">
      <c r="A68" s="14"/>
      <c r="B68" s="15"/>
      <c r="C68" s="16" t="n">
        <v>41184</v>
      </c>
      <c r="D68" s="8" t="n">
        <v>14.2</v>
      </c>
      <c r="E68" s="8" t="n">
        <v>10.9</v>
      </c>
      <c r="F68" s="8" t="n">
        <v>18.2</v>
      </c>
      <c r="G68" s="8" t="n">
        <f aca="false">G67+D68</f>
        <v>392.9</v>
      </c>
      <c r="J68" s="8" t="n">
        <v>1.4</v>
      </c>
      <c r="K68" s="8" t="n">
        <f aca="false">J68+K67</f>
        <v>67.7</v>
      </c>
      <c r="L68" s="8" t="n">
        <v>1.8</v>
      </c>
      <c r="M68" s="8" t="n">
        <f aca="false">M67+L68</f>
        <v>64.5</v>
      </c>
      <c r="N68" s="8" t="n">
        <v>-0.4</v>
      </c>
      <c r="O68" s="8" t="n">
        <f aca="false">O67+N68</f>
        <v>35.3</v>
      </c>
      <c r="P68" s="8" t="n">
        <v>28</v>
      </c>
      <c r="Q68" s="8" t="n">
        <f aca="false">0.35+((P68-9)/121)*(1-0.35)</f>
        <v>0.452066115702479</v>
      </c>
      <c r="R68" s="12" t="n">
        <f aca="false">Q68*L68</f>
        <v>0.813719008264463</v>
      </c>
      <c r="S68" s="12" t="n">
        <f aca="false">J68-R68</f>
        <v>0.586280991735537</v>
      </c>
      <c r="T68" s="12" t="n">
        <f aca="false">MIN(197.4,T67+S68)</f>
        <v>49.9961570247934</v>
      </c>
      <c r="V68" s="8" t="n">
        <v>1006.7</v>
      </c>
      <c r="X68" s="8" t="n">
        <f aca="false">X67+V68</f>
        <v>31089.1</v>
      </c>
      <c r="AA68" s="8" t="n">
        <v>11.6824953157588</v>
      </c>
    </row>
    <row r="69" s="8" customFormat="true" ht="15" hidden="false" customHeight="false" outlineLevel="0" collapsed="false">
      <c r="A69" s="14"/>
      <c r="B69" s="15"/>
      <c r="C69" s="16" t="n">
        <v>41185</v>
      </c>
      <c r="D69" s="8" t="n">
        <v>14.9</v>
      </c>
      <c r="E69" s="8" t="n">
        <v>13.5</v>
      </c>
      <c r="F69" s="8" t="n">
        <v>16.2</v>
      </c>
      <c r="G69" s="8" t="n">
        <f aca="false">G68+D69</f>
        <v>407.8</v>
      </c>
      <c r="J69" s="8" t="n">
        <v>14.3</v>
      </c>
      <c r="K69" s="8" t="n">
        <f aca="false">J69+K68</f>
        <v>82</v>
      </c>
      <c r="L69" s="8" t="n">
        <v>1.1</v>
      </c>
      <c r="M69" s="8" t="n">
        <f aca="false">M68+L69</f>
        <v>65.6</v>
      </c>
      <c r="N69" s="8" t="n">
        <v>13.2</v>
      </c>
      <c r="O69" s="8" t="n">
        <f aca="false">O68+N69</f>
        <v>48.5</v>
      </c>
      <c r="P69" s="8" t="n">
        <v>29</v>
      </c>
      <c r="Q69" s="8" t="n">
        <f aca="false">0.35+((P69-9)/121)*(1-0.35)</f>
        <v>0.457438016528926</v>
      </c>
      <c r="R69" s="12" t="n">
        <f aca="false">Q69*L69</f>
        <v>0.503181818181818</v>
      </c>
      <c r="S69" s="12" t="n">
        <f aca="false">J69-R69</f>
        <v>13.7968181818182</v>
      </c>
      <c r="T69" s="12" t="n">
        <f aca="false">MIN(197.4,T68+S69)</f>
        <v>63.7929752066116</v>
      </c>
      <c r="V69" s="8" t="n">
        <v>379.2</v>
      </c>
      <c r="X69" s="8" t="n">
        <f aca="false">X68+V69</f>
        <v>31468.3</v>
      </c>
      <c r="AA69" s="8" t="n">
        <v>11.6245938448951</v>
      </c>
    </row>
    <row r="70" s="8" customFormat="true" ht="15" hidden="false" customHeight="false" outlineLevel="0" collapsed="false">
      <c r="A70" s="14"/>
      <c r="B70" s="15"/>
      <c r="C70" s="16" t="n">
        <v>41186</v>
      </c>
      <c r="D70" s="8" t="n">
        <v>15.2</v>
      </c>
      <c r="E70" s="8" t="n">
        <v>12.8</v>
      </c>
      <c r="F70" s="8" t="n">
        <v>17.2</v>
      </c>
      <c r="G70" s="8" t="n">
        <f aca="false">G69+D70</f>
        <v>423</v>
      </c>
      <c r="J70" s="8" t="n">
        <v>0</v>
      </c>
      <c r="K70" s="8" t="n">
        <f aca="false">J70+K69</f>
        <v>82</v>
      </c>
      <c r="L70" s="8" t="n">
        <v>1.8</v>
      </c>
      <c r="M70" s="8" t="n">
        <f aca="false">M69+L70</f>
        <v>67.4</v>
      </c>
      <c r="N70" s="8" t="n">
        <v>-1.8</v>
      </c>
      <c r="O70" s="8" t="n">
        <f aca="false">O69+N70</f>
        <v>46.7</v>
      </c>
      <c r="P70" s="8" t="n">
        <v>30</v>
      </c>
      <c r="Q70" s="8" t="n">
        <f aca="false">0.35+((P70-9)/121)*(1-0.35)</f>
        <v>0.462809917355372</v>
      </c>
      <c r="R70" s="12" t="n">
        <f aca="false">Q70*L70</f>
        <v>0.83305785123967</v>
      </c>
      <c r="S70" s="12" t="n">
        <f aca="false">J70-R70</f>
        <v>-0.83305785123967</v>
      </c>
      <c r="T70" s="12" t="n">
        <f aca="false">MIN(197.4,T69+S70)</f>
        <v>62.9599173553719</v>
      </c>
      <c r="V70" s="8" t="n">
        <v>928.6</v>
      </c>
      <c r="X70" s="8" t="n">
        <f aca="false">X69+V70</f>
        <v>32396.9</v>
      </c>
      <c r="AA70" s="8" t="n">
        <v>11.5667311714657</v>
      </c>
    </row>
    <row r="71" s="8" customFormat="true" ht="15" hidden="false" customHeight="false" outlineLevel="0" collapsed="false">
      <c r="A71" s="14"/>
      <c r="B71" s="15"/>
      <c r="C71" s="16" t="n">
        <v>41187</v>
      </c>
      <c r="D71" s="8" t="n">
        <v>16.8</v>
      </c>
      <c r="E71" s="8" t="n">
        <v>15.4</v>
      </c>
      <c r="F71" s="8" t="n">
        <v>19.5</v>
      </c>
      <c r="G71" s="8" t="n">
        <f aca="false">G70+D71</f>
        <v>439.8</v>
      </c>
      <c r="J71" s="8" t="n">
        <v>0.2</v>
      </c>
      <c r="K71" s="8" t="n">
        <f aca="false">J71+K70</f>
        <v>82.2</v>
      </c>
      <c r="L71" s="8" t="n">
        <v>1.4</v>
      </c>
      <c r="M71" s="8" t="n">
        <f aca="false">M70+L71</f>
        <v>68.8</v>
      </c>
      <c r="N71" s="8" t="n">
        <v>-1.2</v>
      </c>
      <c r="O71" s="8" t="n">
        <f aca="false">O70+N71</f>
        <v>45.5</v>
      </c>
      <c r="P71" s="8" t="n">
        <v>31</v>
      </c>
      <c r="Q71" s="8" t="n">
        <f aca="false">0.35+((P71-9)/121)*(1-0.35)</f>
        <v>0.468181818181818</v>
      </c>
      <c r="R71" s="12" t="n">
        <f aca="false">Q71*L71</f>
        <v>0.655454545454545</v>
      </c>
      <c r="S71" s="12" t="n">
        <f aca="false">J71-R71</f>
        <v>-0.455454545454545</v>
      </c>
      <c r="T71" s="12" t="n">
        <f aca="false">MIN(197.4,T70+S71)</f>
        <v>62.5044628099174</v>
      </c>
      <c r="V71" s="8" t="n">
        <v>349.7</v>
      </c>
      <c r="X71" s="8" t="n">
        <f aca="false">X70+V71</f>
        <v>32746.6</v>
      </c>
      <c r="AA71" s="8" t="n">
        <v>11.5089137780611</v>
      </c>
    </row>
    <row r="72" s="8" customFormat="true" ht="15" hidden="false" customHeight="false" outlineLevel="0" collapsed="false">
      <c r="A72" s="14"/>
      <c r="B72" s="15"/>
      <c r="C72" s="16" t="n">
        <v>41188</v>
      </c>
      <c r="D72" s="8" t="n">
        <v>15.7</v>
      </c>
      <c r="E72" s="8" t="n">
        <v>13.7</v>
      </c>
      <c r="F72" s="8" t="n">
        <v>17.7</v>
      </c>
      <c r="G72" s="8" t="n">
        <f aca="false">G71+D72</f>
        <v>455.5</v>
      </c>
      <c r="J72" s="8" t="n">
        <v>6.8</v>
      </c>
      <c r="K72" s="8" t="n">
        <f aca="false">J72+K71</f>
        <v>89</v>
      </c>
      <c r="L72" s="8" t="n">
        <v>0.8</v>
      </c>
      <c r="M72" s="8" t="n">
        <f aca="false">M71+L72</f>
        <v>69.6</v>
      </c>
      <c r="N72" s="8" t="n">
        <v>6</v>
      </c>
      <c r="O72" s="8" t="n">
        <f aca="false">O71+N72</f>
        <v>51.5</v>
      </c>
      <c r="P72" s="8" t="n">
        <v>32</v>
      </c>
      <c r="Q72" s="8" t="n">
        <f aca="false">0.35+((P72-9)/121)*(1-0.35)</f>
        <v>0.473553719008264</v>
      </c>
      <c r="R72" s="12" t="n">
        <f aca="false">Q72*L72</f>
        <v>0.378842975206612</v>
      </c>
      <c r="S72" s="12" t="n">
        <f aca="false">J72-R72</f>
        <v>6.42115702479339</v>
      </c>
      <c r="T72" s="12" t="n">
        <f aca="false">MIN(197.4,T71+S72)</f>
        <v>68.9256198347107</v>
      </c>
      <c r="V72" s="8" t="n">
        <v>330.1</v>
      </c>
      <c r="X72" s="8" t="n">
        <f aca="false">X71+V72</f>
        <v>33076.7</v>
      </c>
      <c r="AA72" s="8" t="n">
        <v>11.4511483482653</v>
      </c>
    </row>
    <row r="73" s="8" customFormat="true" ht="15" hidden="false" customHeight="false" outlineLevel="0" collapsed="false">
      <c r="A73" s="14"/>
      <c r="B73" s="15"/>
      <c r="C73" s="16" t="n">
        <v>41189</v>
      </c>
      <c r="D73" s="8" t="n">
        <v>15</v>
      </c>
      <c r="E73" s="8" t="n">
        <v>14.3</v>
      </c>
      <c r="F73" s="8" t="n">
        <v>16.7</v>
      </c>
      <c r="G73" s="8" t="n">
        <f aca="false">G72+D73</f>
        <v>470.5</v>
      </c>
      <c r="J73" s="8" t="n">
        <v>7.8</v>
      </c>
      <c r="K73" s="8" t="n">
        <f aca="false">J73+K72</f>
        <v>96.8</v>
      </c>
      <c r="L73" s="8" t="n">
        <v>0.7</v>
      </c>
      <c r="M73" s="8" t="n">
        <f aca="false">M72+L73</f>
        <v>70.3</v>
      </c>
      <c r="N73" s="8" t="n">
        <v>7.1</v>
      </c>
      <c r="O73" s="8" t="n">
        <f aca="false">O72+N73</f>
        <v>58.6</v>
      </c>
      <c r="P73" s="8" t="n">
        <v>33</v>
      </c>
      <c r="Q73" s="8" t="n">
        <f aca="false">0.35+((P73-9)/121)*(1-0.35)</f>
        <v>0.478925619834711</v>
      </c>
      <c r="R73" s="12" t="n">
        <f aca="false">Q73*L73</f>
        <v>0.335247933884297</v>
      </c>
      <c r="S73" s="12" t="n">
        <f aca="false">J73-R73</f>
        <v>7.4647520661157</v>
      </c>
      <c r="T73" s="12" t="n">
        <f aca="false">MIN(197.4,T72+S73)</f>
        <v>76.3903719008265</v>
      </c>
      <c r="V73" s="8" t="n">
        <v>332.8</v>
      </c>
      <c r="X73" s="8" t="n">
        <f aca="false">X72+V73</f>
        <v>33409.5</v>
      </c>
      <c r="AA73" s="8" t="n">
        <v>11.3934417844118</v>
      </c>
    </row>
    <row r="74" s="8" customFormat="true" ht="15" hidden="false" customHeight="false" outlineLevel="0" collapsed="false">
      <c r="A74" s="14"/>
      <c r="B74" s="15"/>
      <c r="C74" s="16" t="n">
        <v>41190</v>
      </c>
      <c r="D74" s="8" t="n">
        <v>17.2</v>
      </c>
      <c r="E74" s="8" t="n">
        <v>15</v>
      </c>
      <c r="F74" s="8" t="n">
        <v>19.1</v>
      </c>
      <c r="G74" s="8" t="n">
        <f aca="false">G73+D74</f>
        <v>487.7</v>
      </c>
      <c r="J74" s="8" t="n">
        <v>18.2</v>
      </c>
      <c r="K74" s="8" t="n">
        <f aca="false">J74+K73</f>
        <v>115</v>
      </c>
      <c r="L74" s="8" t="n">
        <v>0.5</v>
      </c>
      <c r="M74" s="8" t="n">
        <f aca="false">M73+L74</f>
        <v>70.8</v>
      </c>
      <c r="N74" s="8" t="n">
        <v>17.7</v>
      </c>
      <c r="O74" s="8" t="n">
        <f aca="false">O73+N74</f>
        <v>76.3</v>
      </c>
      <c r="P74" s="8" t="n">
        <v>34</v>
      </c>
      <c r="Q74" s="8" t="n">
        <f aca="false">0.35+((P74-9)/121)*(1-0.35)</f>
        <v>0.484297520661157</v>
      </c>
      <c r="R74" s="12" t="n">
        <f aca="false">Q74*L74</f>
        <v>0.242148760330579</v>
      </c>
      <c r="S74" s="12" t="n">
        <f aca="false">J74-R74</f>
        <v>17.9578512396694</v>
      </c>
      <c r="T74" s="12" t="n">
        <f aca="false">MIN(197.4,T73+S74)</f>
        <v>94.3482231404959</v>
      </c>
      <c r="V74" s="8" t="n">
        <v>205.1</v>
      </c>
      <c r="X74" s="8" t="n">
        <f aca="false">X73+V74</f>
        <v>33614.6</v>
      </c>
      <c r="AA74" s="8" t="n">
        <v>11.3358012254468</v>
      </c>
    </row>
    <row r="75" s="8" customFormat="true" ht="15" hidden="false" customHeight="false" outlineLevel="0" collapsed="false">
      <c r="A75" s="14"/>
      <c r="B75" s="15"/>
      <c r="C75" s="16" t="n">
        <v>41191</v>
      </c>
      <c r="D75" s="8" t="n">
        <v>17.3</v>
      </c>
      <c r="E75" s="8" t="n">
        <v>16.4</v>
      </c>
      <c r="F75" s="8" t="n">
        <v>18.9</v>
      </c>
      <c r="G75" s="8" t="n">
        <f aca="false">G74+D75</f>
        <v>505</v>
      </c>
      <c r="J75" s="8" t="n">
        <v>3.8</v>
      </c>
      <c r="K75" s="8" t="n">
        <f aca="false">J75+K74</f>
        <v>118.8</v>
      </c>
      <c r="L75" s="8" t="n">
        <v>1</v>
      </c>
      <c r="M75" s="8" t="n">
        <f aca="false">M74+L75</f>
        <v>71.8</v>
      </c>
      <c r="N75" s="8" t="n">
        <v>2.8</v>
      </c>
      <c r="O75" s="8" t="n">
        <f aca="false">O74+N75</f>
        <v>79.1</v>
      </c>
      <c r="P75" s="8" t="n">
        <v>35</v>
      </c>
      <c r="Q75" s="8" t="n">
        <f aca="false">0.35+((P75-9)/121)*(1-0.35)</f>
        <v>0.489669421487603</v>
      </c>
      <c r="R75" s="12" t="n">
        <f aca="false">Q75*L75</f>
        <v>0.489669421487603</v>
      </c>
      <c r="S75" s="12" t="n">
        <f aca="false">J75-R75</f>
        <v>3.3103305785124</v>
      </c>
      <c r="T75" s="12" t="n">
        <f aca="false">MIN(197.4,T74+S75)</f>
        <v>97.6585537190083</v>
      </c>
      <c r="V75" s="8" t="n">
        <v>329.9</v>
      </c>
      <c r="X75" s="8" t="n">
        <f aca="false">X74+V75</f>
        <v>33944.5</v>
      </c>
      <c r="AA75" s="8" t="n">
        <v>11.2782340648923</v>
      </c>
    </row>
    <row r="76" s="8" customFormat="true" ht="15" hidden="false" customHeight="false" outlineLevel="0" collapsed="false">
      <c r="A76" s="14"/>
      <c r="B76" s="15"/>
      <c r="C76" s="16" t="n">
        <v>41192</v>
      </c>
      <c r="D76" s="8" t="n">
        <v>16.6</v>
      </c>
      <c r="E76" s="8" t="n">
        <v>15.3</v>
      </c>
      <c r="F76" s="8" t="n">
        <v>19</v>
      </c>
      <c r="G76" s="8" t="n">
        <f aca="false">G75+D76</f>
        <v>521.6</v>
      </c>
      <c r="J76" s="8" t="n">
        <v>6.1</v>
      </c>
      <c r="K76" s="8" t="n">
        <f aca="false">J76+K75</f>
        <v>124.9</v>
      </c>
      <c r="L76" s="8" t="n">
        <v>0.9</v>
      </c>
      <c r="M76" s="8" t="n">
        <f aca="false">M75+L76</f>
        <v>72.7</v>
      </c>
      <c r="N76" s="8" t="n">
        <v>5.2</v>
      </c>
      <c r="O76" s="8" t="n">
        <f aca="false">O75+N76</f>
        <v>84.3</v>
      </c>
      <c r="P76" s="8" t="n">
        <v>36</v>
      </c>
      <c r="Q76" s="8" t="n">
        <f aca="false">0.35+((P76-9)/121)*(1-0.35)</f>
        <v>0.49504132231405</v>
      </c>
      <c r="R76" s="12" t="n">
        <f aca="false">Q76*L76</f>
        <v>0.445537190082645</v>
      </c>
      <c r="S76" s="12" t="n">
        <f aca="false">J76-R76</f>
        <v>5.65446280991736</v>
      </c>
      <c r="T76" s="12" t="n">
        <f aca="false">MIN(197.4,T75+S76)</f>
        <v>103.313016528926</v>
      </c>
      <c r="V76" s="8" t="n">
        <v>353.9</v>
      </c>
      <c r="X76" s="8" t="n">
        <f aca="false">X75+V76</f>
        <v>34298.4</v>
      </c>
      <c r="AA76" s="8" t="n">
        <v>11.2207479688981</v>
      </c>
    </row>
    <row r="77" s="8" customFormat="true" ht="15" hidden="false" customHeight="false" outlineLevel="0" collapsed="false">
      <c r="A77" s="14"/>
      <c r="B77" s="15"/>
      <c r="C77" s="16" t="n">
        <v>41193</v>
      </c>
      <c r="D77" s="8" t="n">
        <v>16.5</v>
      </c>
      <c r="E77" s="8" t="n">
        <v>15.6</v>
      </c>
      <c r="F77" s="8" t="n">
        <v>20.4</v>
      </c>
      <c r="G77" s="8" t="n">
        <f aca="false">G76+D77</f>
        <v>538.1</v>
      </c>
      <c r="J77" s="8" t="n">
        <v>6</v>
      </c>
      <c r="K77" s="8" t="n">
        <f aca="false">J77+K76</f>
        <v>130.9</v>
      </c>
      <c r="L77" s="8" t="n">
        <v>1.3</v>
      </c>
      <c r="M77" s="8" t="n">
        <f aca="false">M76+L77</f>
        <v>74</v>
      </c>
      <c r="N77" s="8" t="n">
        <v>4.7</v>
      </c>
      <c r="O77" s="8" t="n">
        <f aca="false">O76+N77</f>
        <v>89</v>
      </c>
      <c r="P77" s="8" t="n">
        <v>37</v>
      </c>
      <c r="Q77" s="8" t="n">
        <f aca="false">0.35+((P77-9)/121)*(1-0.35)</f>
        <v>0.500413223140496</v>
      </c>
      <c r="R77" s="12" t="n">
        <f aca="false">Q77*L77</f>
        <v>0.650537190082645</v>
      </c>
      <c r="S77" s="12" t="n">
        <f aca="false">J77-R77</f>
        <v>5.34946280991736</v>
      </c>
      <c r="T77" s="12" t="n">
        <f aca="false">MIN(197.4,T76+S77)</f>
        <v>108.662479338843</v>
      </c>
      <c r="V77" s="8" t="n">
        <v>342.8</v>
      </c>
      <c r="X77" s="8" t="n">
        <f aca="false">X76+V77</f>
        <v>34641.2</v>
      </c>
      <c r="AA77" s="8" t="n">
        <v>11.163350894371</v>
      </c>
    </row>
    <row r="78" s="8" customFormat="true" ht="15" hidden="false" customHeight="false" outlineLevel="0" collapsed="false">
      <c r="A78" s="14"/>
      <c r="B78" s="15"/>
      <c r="C78" s="16" t="n">
        <v>41194</v>
      </c>
      <c r="D78" s="8" t="n">
        <v>12.2</v>
      </c>
      <c r="E78" s="8" t="n">
        <v>8.2</v>
      </c>
      <c r="F78" s="8" t="n">
        <v>16.4</v>
      </c>
      <c r="G78" s="8" t="n">
        <f aca="false">G77+D78</f>
        <v>550.3</v>
      </c>
      <c r="J78" s="8" t="n">
        <v>4.8</v>
      </c>
      <c r="K78" s="8" t="n">
        <f aca="false">J78+K77</f>
        <v>135.7</v>
      </c>
      <c r="L78" s="8" t="n">
        <v>2</v>
      </c>
      <c r="M78" s="8" t="n">
        <f aca="false">M77+L78</f>
        <v>76</v>
      </c>
      <c r="N78" s="8" t="n">
        <v>2.8</v>
      </c>
      <c r="O78" s="8" t="n">
        <f aca="false">O77+N78</f>
        <v>91.8</v>
      </c>
      <c r="P78" s="8" t="n">
        <v>38</v>
      </c>
      <c r="Q78" s="8" t="n">
        <f aca="false">0.35+((P78-9)/121)*(1-0.35)</f>
        <v>0.505785123966942</v>
      </c>
      <c r="R78" s="12" t="n">
        <f aca="false">Q78*L78</f>
        <v>1.01157024793388</v>
      </c>
      <c r="S78" s="12" t="n">
        <f aca="false">J78-R78</f>
        <v>3.78842975206612</v>
      </c>
      <c r="T78" s="12" t="n">
        <f aca="false">MIN(197.4,T77+S78)</f>
        <v>112.450909090909</v>
      </c>
      <c r="V78" s="8" t="n">
        <v>1058.3</v>
      </c>
      <c r="X78" s="8" t="n">
        <f aca="false">X77+V78</f>
        <v>35699.5</v>
      </c>
      <c r="AA78" s="8" t="n">
        <v>11.1060511071659</v>
      </c>
    </row>
    <row r="79" s="8" customFormat="true" ht="15" hidden="false" customHeight="false" outlineLevel="0" collapsed="false">
      <c r="A79" s="14"/>
      <c r="B79" s="15"/>
      <c r="C79" s="16" t="n">
        <v>41195</v>
      </c>
      <c r="D79" s="8" t="n">
        <v>11.1</v>
      </c>
      <c r="E79" s="8" t="n">
        <v>11</v>
      </c>
      <c r="F79" s="8" t="n">
        <v>12.8</v>
      </c>
      <c r="G79" s="8" t="n">
        <f aca="false">G78+D79</f>
        <v>561.4</v>
      </c>
      <c r="J79" s="8" t="n">
        <v>2.3</v>
      </c>
      <c r="K79" s="8" t="n">
        <f aca="false">J79+K78</f>
        <v>138</v>
      </c>
      <c r="L79" s="8" t="n">
        <v>1.4</v>
      </c>
      <c r="M79" s="8" t="n">
        <f aca="false">M78+L79</f>
        <v>77.4</v>
      </c>
      <c r="N79" s="8" t="n">
        <v>0.9</v>
      </c>
      <c r="O79" s="8" t="n">
        <f aca="false">O78+N79</f>
        <v>92.7</v>
      </c>
      <c r="P79" s="8" t="n">
        <v>39</v>
      </c>
      <c r="Q79" s="8" t="n">
        <f aca="false">0.35+((P79-9)/121)*(1-0.35)</f>
        <v>0.511157024793388</v>
      </c>
      <c r="R79" s="12" t="n">
        <f aca="false">Q79*L79</f>
        <v>0.715619834710744</v>
      </c>
      <c r="S79" s="12" t="n">
        <f aca="false">J79-R79</f>
        <v>1.58438016528926</v>
      </c>
      <c r="T79" s="12" t="n">
        <f aca="false">MIN(197.4,T78+S79)</f>
        <v>114.035289256198</v>
      </c>
      <c r="V79" s="8" t="n">
        <v>857.2</v>
      </c>
      <c r="X79" s="8" t="n">
        <f aca="false">X78+V79</f>
        <v>36556.7</v>
      </c>
      <c r="AA79" s="8" t="n">
        <v>11.0488572003194</v>
      </c>
    </row>
    <row r="80" s="8" customFormat="true" ht="15" hidden="false" customHeight="false" outlineLevel="0" collapsed="false">
      <c r="A80" s="14"/>
      <c r="B80" s="15"/>
      <c r="C80" s="16" t="n">
        <v>41196</v>
      </c>
      <c r="D80" s="8" t="n">
        <v>9</v>
      </c>
      <c r="E80" s="8" t="n">
        <v>8.2</v>
      </c>
      <c r="F80" s="8" t="n">
        <v>12.3</v>
      </c>
      <c r="G80" s="8" t="n">
        <f aca="false">G79+D80</f>
        <v>570.4</v>
      </c>
      <c r="J80" s="8" t="n">
        <v>0.2</v>
      </c>
      <c r="K80" s="8" t="n">
        <f aca="false">J80+K79</f>
        <v>138.2</v>
      </c>
      <c r="L80" s="8" t="n">
        <v>1.6</v>
      </c>
      <c r="M80" s="8" t="n">
        <f aca="false">M79+L80</f>
        <v>79</v>
      </c>
      <c r="N80" s="8" t="n">
        <v>-1.4</v>
      </c>
      <c r="O80" s="8" t="n">
        <f aca="false">O79+N80</f>
        <v>91.3</v>
      </c>
      <c r="P80" s="8" t="n">
        <v>40</v>
      </c>
      <c r="Q80" s="8" t="n">
        <f aca="false">0.35+((P80-9)/121)*(1-0.35)</f>
        <v>0.516528925619835</v>
      </c>
      <c r="R80" s="12" t="n">
        <f aca="false">Q80*L80</f>
        <v>0.826446280991735</v>
      </c>
      <c r="S80" s="12" t="n">
        <f aca="false">J80-R80</f>
        <v>-0.626446280991736</v>
      </c>
      <c r="T80" s="12" t="n">
        <f aca="false">MIN(197.4,T79+S80)</f>
        <v>113.408842975207</v>
      </c>
      <c r="V80" s="8" t="n">
        <v>843.1</v>
      </c>
      <c r="X80" s="8" t="n">
        <f aca="false">X79+V80</f>
        <v>37399.8</v>
      </c>
      <c r="AA80" s="8" t="n">
        <v>10.9917781123049</v>
      </c>
    </row>
    <row r="81" s="8" customFormat="true" ht="15" hidden="false" customHeight="false" outlineLevel="0" collapsed="false">
      <c r="A81" s="14"/>
      <c r="B81" s="15"/>
      <c r="C81" s="16" t="n">
        <v>41197</v>
      </c>
      <c r="D81" s="8" t="n">
        <v>10.5</v>
      </c>
      <c r="E81" s="8" t="n">
        <v>5.3</v>
      </c>
      <c r="F81" s="8" t="n">
        <v>14.6</v>
      </c>
      <c r="G81" s="8" t="n">
        <f aca="false">G80+D81</f>
        <v>580.9</v>
      </c>
      <c r="J81" s="8" t="n">
        <v>3.2</v>
      </c>
      <c r="K81" s="8" t="n">
        <f aca="false">J81+K80</f>
        <v>141.4</v>
      </c>
      <c r="L81" s="8" t="n">
        <v>1.6</v>
      </c>
      <c r="M81" s="8" t="n">
        <f aca="false">M80+L81</f>
        <v>80.6</v>
      </c>
      <c r="N81" s="8" t="n">
        <v>1.6</v>
      </c>
      <c r="O81" s="8" t="n">
        <f aca="false">O80+N81</f>
        <v>92.9</v>
      </c>
      <c r="P81" s="8" t="n">
        <v>41</v>
      </c>
      <c r="Q81" s="8" t="n">
        <f aca="false">0.35+((P81-9)/121)*(1-0.35)</f>
        <v>0.521900826446281</v>
      </c>
      <c r="R81" s="12" t="n">
        <f aca="false">Q81*L81</f>
        <v>0.83504132231405</v>
      </c>
      <c r="S81" s="12" t="n">
        <f aca="false">J81-R81</f>
        <v>2.36495867768595</v>
      </c>
      <c r="T81" s="12" t="n">
        <f aca="false">MIN(197.4,T80+S81)</f>
        <v>115.773801652893</v>
      </c>
      <c r="V81" s="8" t="n">
        <v>931.1</v>
      </c>
      <c r="X81" s="8" t="n">
        <f aca="false">X80+V81</f>
        <v>38330.9</v>
      </c>
      <c r="AA81" s="8" t="n">
        <v>10.9348231452836</v>
      </c>
    </row>
    <row r="82" s="8" customFormat="true" ht="15" hidden="false" customHeight="false" outlineLevel="0" collapsed="false">
      <c r="A82" s="14"/>
      <c r="B82" s="15"/>
      <c r="C82" s="16" t="n">
        <v>41198</v>
      </c>
      <c r="D82" s="8" t="n">
        <v>12.5</v>
      </c>
      <c r="E82" s="8" t="n">
        <v>9.4</v>
      </c>
      <c r="F82" s="8" t="n">
        <v>14.9</v>
      </c>
      <c r="G82" s="8" t="n">
        <f aca="false">G81+D82</f>
        <v>593.4</v>
      </c>
      <c r="J82" s="8" t="n">
        <v>9.1</v>
      </c>
      <c r="K82" s="8" t="n">
        <f aca="false">J82+K81</f>
        <v>150.5</v>
      </c>
      <c r="L82" s="8" t="n">
        <v>1</v>
      </c>
      <c r="M82" s="8" t="n">
        <f aca="false">M81+L82</f>
        <v>81.6</v>
      </c>
      <c r="N82" s="8" t="n">
        <v>8.1</v>
      </c>
      <c r="O82" s="8" t="n">
        <f aca="false">O81+N82</f>
        <v>101</v>
      </c>
      <c r="P82" s="8" t="n">
        <v>42</v>
      </c>
      <c r="Q82" s="8" t="n">
        <f aca="false">0.35+((P82-9)/121)*(1-0.35)</f>
        <v>0.527272727272727</v>
      </c>
      <c r="R82" s="12" t="n">
        <f aca="false">Q82*L82</f>
        <v>0.527272727272727</v>
      </c>
      <c r="S82" s="12" t="n">
        <f aca="false">J82-R82</f>
        <v>8.57272727272727</v>
      </c>
      <c r="T82" s="12" t="n">
        <f aca="false">MIN(197.4,T81+S82)</f>
        <v>124.34652892562</v>
      </c>
      <c r="V82" s="8" t="n">
        <v>474.1</v>
      </c>
      <c r="X82" s="8" t="n">
        <f aca="false">X81+V82</f>
        <v>38805</v>
      </c>
      <c r="AA82" s="8" t="n">
        <v>10.878001983323</v>
      </c>
    </row>
    <row r="83" s="8" customFormat="true" ht="15" hidden="false" customHeight="false" outlineLevel="0" collapsed="false">
      <c r="A83" s="14"/>
      <c r="B83" s="15"/>
      <c r="C83" s="16" t="n">
        <v>41199</v>
      </c>
      <c r="D83" s="8" t="n">
        <v>13.8</v>
      </c>
      <c r="E83" s="8" t="n">
        <v>12.5</v>
      </c>
      <c r="F83" s="8" t="n">
        <v>15.5</v>
      </c>
      <c r="G83" s="8" t="n">
        <f aca="false">G82+D83</f>
        <v>607.2</v>
      </c>
      <c r="J83" s="8" t="n">
        <v>5.8</v>
      </c>
      <c r="K83" s="8" t="n">
        <f aca="false">J83+K82</f>
        <v>156.3</v>
      </c>
      <c r="L83" s="8" t="n">
        <v>1</v>
      </c>
      <c r="M83" s="8" t="n">
        <f aca="false">M82+L83</f>
        <v>82.6</v>
      </c>
      <c r="N83" s="8" t="n">
        <v>4.8</v>
      </c>
      <c r="O83" s="8" t="n">
        <f aca="false">O82+N83</f>
        <v>105.8</v>
      </c>
      <c r="P83" s="8" t="n">
        <v>43</v>
      </c>
      <c r="Q83" s="8" t="n">
        <f aca="false">0.35+((P83-9)/121)*(1-0.35)</f>
        <v>0.532644628099174</v>
      </c>
      <c r="R83" s="12" t="n">
        <f aca="false">Q83*L83</f>
        <v>0.532644628099174</v>
      </c>
      <c r="S83" s="12" t="n">
        <f aca="false">J83-R83</f>
        <v>5.26735537190083</v>
      </c>
      <c r="T83" s="12" t="n">
        <f aca="false">MIN(197.4,T82+S83)</f>
        <v>129.613884297521</v>
      </c>
      <c r="V83" s="8" t="n">
        <v>414</v>
      </c>
      <c r="X83" s="8" t="n">
        <f aca="false">X82+V83</f>
        <v>39219</v>
      </c>
      <c r="AA83" s="8" t="n">
        <v>10.8213247105489</v>
      </c>
    </row>
    <row r="84" s="8" customFormat="true" ht="15" hidden="false" customHeight="false" outlineLevel="0" collapsed="false">
      <c r="A84" s="14"/>
      <c r="B84" s="15"/>
      <c r="C84" s="16" t="n">
        <v>41200</v>
      </c>
      <c r="D84" s="8" t="n">
        <v>13</v>
      </c>
      <c r="E84" s="8" t="n">
        <v>12.2</v>
      </c>
      <c r="F84" s="8" t="n">
        <v>15.1</v>
      </c>
      <c r="G84" s="8" t="n">
        <f aca="false">G83+D84</f>
        <v>620.2</v>
      </c>
      <c r="J84" s="8" t="n">
        <v>15.6</v>
      </c>
      <c r="K84" s="8" t="n">
        <f aca="false">J84+K83</f>
        <v>171.9</v>
      </c>
      <c r="L84" s="8" t="n">
        <v>0.7</v>
      </c>
      <c r="M84" s="8" t="n">
        <f aca="false">M83+L84</f>
        <v>83.3</v>
      </c>
      <c r="N84" s="8" t="n">
        <v>14.9</v>
      </c>
      <c r="O84" s="8" t="n">
        <f aca="false">O83+N84</f>
        <v>120.7</v>
      </c>
      <c r="P84" s="8" t="n">
        <v>44</v>
      </c>
      <c r="Q84" s="8" t="n">
        <f aca="false">0.35+((P84-9)/121)*(1-0.35)</f>
        <v>0.53801652892562</v>
      </c>
      <c r="R84" s="12" t="n">
        <f aca="false">Q84*L84</f>
        <v>0.376611570247934</v>
      </c>
      <c r="S84" s="12" t="n">
        <f aca="false">J84-R84</f>
        <v>15.2233884297521</v>
      </c>
      <c r="T84" s="12" t="n">
        <f aca="false">MIN(197.4,T83+S84)</f>
        <v>144.837272727273</v>
      </c>
      <c r="V84" s="8" t="n">
        <v>352.9</v>
      </c>
      <c r="X84" s="8" t="n">
        <f aca="false">X83+V84</f>
        <v>39571.9</v>
      </c>
      <c r="AA84" s="8" t="n">
        <v>10.7648018291947</v>
      </c>
    </row>
    <row r="85" s="8" customFormat="true" ht="15" hidden="false" customHeight="false" outlineLevel="0" collapsed="false">
      <c r="A85" s="14"/>
      <c r="B85" s="15"/>
      <c r="C85" s="16" t="n">
        <v>41201</v>
      </c>
      <c r="D85" s="8" t="n">
        <v>11.1</v>
      </c>
      <c r="E85" s="8" t="n">
        <v>10.6</v>
      </c>
      <c r="F85" s="8" t="n">
        <v>12.3</v>
      </c>
      <c r="G85" s="8" t="n">
        <f aca="false">G84+D85</f>
        <v>631.3</v>
      </c>
      <c r="J85" s="8" t="n">
        <v>1.9</v>
      </c>
      <c r="K85" s="8" t="n">
        <f aca="false">J85+K84</f>
        <v>173.8</v>
      </c>
      <c r="L85" s="8" t="n">
        <v>0.4</v>
      </c>
      <c r="M85" s="8" t="n">
        <f aca="false">M84+L85</f>
        <v>83.7</v>
      </c>
      <c r="N85" s="8" t="n">
        <v>1.5</v>
      </c>
      <c r="O85" s="8" t="n">
        <f aca="false">O84+N85</f>
        <v>122.2</v>
      </c>
      <c r="P85" s="8" t="n">
        <v>45</v>
      </c>
      <c r="Q85" s="8" t="n">
        <f aca="false">0.35+((P85-9)/121)*(1-0.35)</f>
        <v>0.543388429752066</v>
      </c>
      <c r="R85" s="12" t="n">
        <f aca="false">Q85*L85</f>
        <v>0.217355371900826</v>
      </c>
      <c r="S85" s="12" t="n">
        <f aca="false">J85-R85</f>
        <v>1.68264462809917</v>
      </c>
      <c r="T85" s="12" t="n">
        <f aca="false">MIN(197.4,T84+S85)</f>
        <v>146.519917355372</v>
      </c>
      <c r="V85" s="8" t="n">
        <v>197.1</v>
      </c>
      <c r="X85" s="8" t="n">
        <f aca="false">X84+V85</f>
        <v>39769</v>
      </c>
      <c r="AA85" s="8" t="n">
        <v>10.7084442775047</v>
      </c>
    </row>
    <row r="86" s="8" customFormat="true" ht="15" hidden="false" customHeight="false" outlineLevel="0" collapsed="false">
      <c r="A86" s="14"/>
      <c r="B86" s="15"/>
      <c r="C86" s="16" t="n">
        <v>41202</v>
      </c>
      <c r="D86" s="8" t="n">
        <v>11.4</v>
      </c>
      <c r="E86" s="8" t="n">
        <v>8.9</v>
      </c>
      <c r="F86" s="8" t="n">
        <v>12.9</v>
      </c>
      <c r="G86" s="8" t="n">
        <f aca="false">G85+D86</f>
        <v>642.7</v>
      </c>
      <c r="J86" s="8" t="n">
        <v>5</v>
      </c>
      <c r="K86" s="8" t="n">
        <f aca="false">J86+K85</f>
        <v>178.8</v>
      </c>
      <c r="L86" s="8" t="n">
        <v>0.4</v>
      </c>
      <c r="M86" s="8" t="n">
        <f aca="false">M85+L86</f>
        <v>84.1</v>
      </c>
      <c r="N86" s="8" t="n">
        <v>4.6</v>
      </c>
      <c r="O86" s="8" t="n">
        <f aca="false">O85+N86</f>
        <v>126.8</v>
      </c>
      <c r="P86" s="8" t="n">
        <v>46</v>
      </c>
      <c r="Q86" s="8" t="n">
        <f aca="false">0.35+((P86-9)/121)*(1-0.35)</f>
        <v>0.548760330578512</v>
      </c>
      <c r="R86" s="12" t="n">
        <f aca="false">Q86*L86</f>
        <v>0.219504132231405</v>
      </c>
      <c r="S86" s="12" t="n">
        <f aca="false">J86-R86</f>
        <v>4.7804958677686</v>
      </c>
      <c r="T86" s="12" t="n">
        <f aca="false">MIN(197.4,T85+S86)</f>
        <v>151.300413223141</v>
      </c>
      <c r="V86" s="8" t="n">
        <v>241.1</v>
      </c>
      <c r="X86" s="8" t="n">
        <f aca="false">X85+V86</f>
        <v>40010.1</v>
      </c>
      <c r="AA86" s="8" t="n">
        <v>10.6522634474462</v>
      </c>
    </row>
    <row r="87" s="8" customFormat="true" ht="15" hidden="false" customHeight="false" outlineLevel="0" collapsed="false">
      <c r="A87" s="14"/>
      <c r="B87" s="15"/>
      <c r="C87" s="16" t="n">
        <v>41203</v>
      </c>
      <c r="D87" s="8" t="n">
        <v>13.6</v>
      </c>
      <c r="E87" s="8" t="n">
        <v>12.1</v>
      </c>
      <c r="F87" s="8" t="n">
        <v>14.5</v>
      </c>
      <c r="G87" s="8" t="n">
        <f aca="false">G86+D87</f>
        <v>656.3</v>
      </c>
      <c r="J87" s="8" t="n">
        <v>0.7</v>
      </c>
      <c r="K87" s="8" t="n">
        <f aca="false">J87+K86</f>
        <v>179.5</v>
      </c>
      <c r="L87" s="8" t="n">
        <v>0.4</v>
      </c>
      <c r="M87" s="8" t="n">
        <f aca="false">M86+L87</f>
        <v>84.5</v>
      </c>
      <c r="N87" s="8" t="n">
        <v>0.3</v>
      </c>
      <c r="O87" s="8" t="n">
        <f aca="false">O86+N87</f>
        <v>127.1</v>
      </c>
      <c r="P87" s="8" t="n">
        <v>47</v>
      </c>
      <c r="Q87" s="8" t="n">
        <f aca="false">0.35+((P87-9)/121)*(1-0.35)</f>
        <v>0.554132231404959</v>
      </c>
      <c r="R87" s="12" t="n">
        <f aca="false">Q87*L87</f>
        <v>0.221652892561984</v>
      </c>
      <c r="S87" s="12" t="n">
        <f aca="false">J87-R87</f>
        <v>0.478347107438016</v>
      </c>
      <c r="T87" s="12" t="n">
        <f aca="false">MIN(197.4,T86+S87)</f>
        <v>151.778760330579</v>
      </c>
      <c r="V87" s="8" t="n">
        <v>189.9</v>
      </c>
      <c r="X87" s="8" t="n">
        <f aca="false">X86+V87</f>
        <v>40200</v>
      </c>
      <c r="AA87" s="8" t="n">
        <v>10.5962712021773</v>
      </c>
    </row>
    <row r="88" s="8" customFormat="true" ht="15" hidden="false" customHeight="false" outlineLevel="0" collapsed="false">
      <c r="A88" s="14"/>
      <c r="B88" s="15"/>
      <c r="C88" s="16" t="n">
        <v>41204</v>
      </c>
      <c r="D88" s="8" t="n">
        <v>15.3</v>
      </c>
      <c r="E88" s="8" t="n">
        <v>13.6</v>
      </c>
      <c r="F88" s="8" t="n">
        <v>16.9</v>
      </c>
      <c r="G88" s="8" t="n">
        <f aca="false">G87+D88</f>
        <v>671.6</v>
      </c>
      <c r="J88" s="8" t="n">
        <v>0.4</v>
      </c>
      <c r="K88" s="8" t="n">
        <f aca="false">J88+K87</f>
        <v>179.9</v>
      </c>
      <c r="L88" s="8" t="n">
        <v>0.6</v>
      </c>
      <c r="M88" s="8" t="n">
        <f aca="false">M87+L88</f>
        <v>85.1</v>
      </c>
      <c r="N88" s="8" t="n">
        <v>-0.2</v>
      </c>
      <c r="O88" s="8" t="n">
        <f aca="false">O87+N88</f>
        <v>126.9</v>
      </c>
      <c r="P88" s="8" t="n">
        <v>48</v>
      </c>
      <c r="Q88" s="8" t="n">
        <f aca="false">0.35+((P88-9)/121)*(1-0.35)</f>
        <v>0.559504132231405</v>
      </c>
      <c r="R88" s="12" t="n">
        <f aca="false">Q88*L88</f>
        <v>0.335702479338843</v>
      </c>
      <c r="S88" s="12" t="n">
        <f aca="false">J88-R88</f>
        <v>0.0642975206611571</v>
      </c>
      <c r="T88" s="12" t="n">
        <f aca="false">MIN(197.4,T87+S88)</f>
        <v>151.84305785124</v>
      </c>
      <c r="V88" s="8" t="n">
        <v>275</v>
      </c>
      <c r="X88" s="8" t="n">
        <f aca="false">X87+V88</f>
        <v>40475</v>
      </c>
      <c r="AA88" s="8" t="n">
        <v>10.5404798932139</v>
      </c>
    </row>
    <row r="89" s="8" customFormat="true" ht="15" hidden="false" customHeight="false" outlineLevel="0" collapsed="false">
      <c r="A89" s="14"/>
      <c r="B89" s="15"/>
      <c r="C89" s="16" t="n">
        <v>41205</v>
      </c>
      <c r="D89" s="8" t="n">
        <v>15.7</v>
      </c>
      <c r="E89" s="8" t="n">
        <v>14.4</v>
      </c>
      <c r="F89" s="8" t="n">
        <v>18.2</v>
      </c>
      <c r="G89" s="8" t="n">
        <f aca="false">G88+D89</f>
        <v>687.3</v>
      </c>
      <c r="J89" s="8" t="n">
        <v>0</v>
      </c>
      <c r="K89" s="8" t="n">
        <f aca="false">J89+K88</f>
        <v>179.9</v>
      </c>
      <c r="L89" s="8" t="n">
        <v>0.9</v>
      </c>
      <c r="M89" s="8" t="n">
        <f aca="false">M88+L89</f>
        <v>86</v>
      </c>
      <c r="N89" s="8" t="n">
        <v>-0.9</v>
      </c>
      <c r="O89" s="8" t="n">
        <f aca="false">O88+N89</f>
        <v>126</v>
      </c>
      <c r="P89" s="8" t="n">
        <v>49</v>
      </c>
      <c r="Q89" s="8" t="n">
        <f aca="false">0.35+((P89-9)/121)*(1-0.35)</f>
        <v>0.564876033057851</v>
      </c>
      <c r="R89" s="12" t="n">
        <f aca="false">Q89*L89</f>
        <v>0.508388429752066</v>
      </c>
      <c r="S89" s="12" t="n">
        <f aca="false">J89-R89</f>
        <v>-0.508388429752066</v>
      </c>
      <c r="T89" s="12" t="n">
        <f aca="false">MIN(197.4,T88+S89)</f>
        <v>151.334669421488</v>
      </c>
      <c r="V89" s="8" t="n">
        <v>454.7</v>
      </c>
      <c r="X89" s="8" t="n">
        <f aca="false">X88+V89</f>
        <v>40929.7</v>
      </c>
      <c r="AA89" s="8" t="n">
        <v>10.4849023772331</v>
      </c>
    </row>
    <row r="90" s="8" customFormat="true" ht="15" hidden="false" customHeight="false" outlineLevel="0" collapsed="false">
      <c r="A90" s="14"/>
      <c r="B90" s="15"/>
      <c r="C90" s="16" t="n">
        <v>41206</v>
      </c>
      <c r="D90" s="8" t="n">
        <v>13</v>
      </c>
      <c r="E90" s="8" t="n">
        <v>11.3</v>
      </c>
      <c r="F90" s="8" t="n">
        <v>14.6</v>
      </c>
      <c r="G90" s="8" t="n">
        <f aca="false">G89+D90</f>
        <v>700.3</v>
      </c>
      <c r="J90" s="8" t="n">
        <v>0</v>
      </c>
      <c r="K90" s="8" t="n">
        <f aca="false">J90+K89</f>
        <v>179.9</v>
      </c>
      <c r="L90" s="8" t="n">
        <v>0.8</v>
      </c>
      <c r="M90" s="8" t="n">
        <f aca="false">M89+L90</f>
        <v>86.8</v>
      </c>
      <c r="N90" s="8" t="n">
        <v>-0.8</v>
      </c>
      <c r="O90" s="8" t="n">
        <f aca="false">O89+N90</f>
        <v>125.2</v>
      </c>
      <c r="P90" s="8" t="n">
        <v>50</v>
      </c>
      <c r="Q90" s="8" t="n">
        <f aca="false">0.35+((P90-9)/121)*(1-0.35)</f>
        <v>0.570247933884298</v>
      </c>
      <c r="R90" s="12" t="n">
        <f aca="false">Q90*L90</f>
        <v>0.456198347107438</v>
      </c>
      <c r="S90" s="12" t="n">
        <f aca="false">J90-R90</f>
        <v>-0.456198347107438</v>
      </c>
      <c r="T90" s="12" t="n">
        <f aca="false">MIN(197.4,T89+S90)</f>
        <v>150.87847107438</v>
      </c>
      <c r="V90" s="8" t="n">
        <v>287.9</v>
      </c>
      <c r="X90" s="8" t="n">
        <f aca="false">X89+V90</f>
        <v>41217.6</v>
      </c>
      <c r="AA90" s="8" t="n">
        <v>10.4295520324442</v>
      </c>
    </row>
    <row r="91" s="8" customFormat="true" ht="15" hidden="false" customHeight="false" outlineLevel="0" collapsed="false">
      <c r="A91" s="14"/>
      <c r="B91" s="15"/>
      <c r="C91" s="16" t="n">
        <v>41207</v>
      </c>
      <c r="D91" s="8" t="n">
        <v>11.3</v>
      </c>
      <c r="E91" s="8" t="n">
        <v>11</v>
      </c>
      <c r="F91" s="8" t="n">
        <v>11.6</v>
      </c>
      <c r="G91" s="8" t="n">
        <f aca="false">G90+D91</f>
        <v>711.6</v>
      </c>
      <c r="J91" s="8" t="n">
        <v>0</v>
      </c>
      <c r="K91" s="8" t="n">
        <f aca="false">J91+K90</f>
        <v>179.9</v>
      </c>
      <c r="L91" s="8" t="n">
        <v>0.7</v>
      </c>
      <c r="M91" s="8" t="n">
        <f aca="false">M90+L91</f>
        <v>87.5</v>
      </c>
      <c r="N91" s="8" t="n">
        <v>-0.7</v>
      </c>
      <c r="O91" s="8" t="n">
        <f aca="false">O90+N91</f>
        <v>124.5</v>
      </c>
      <c r="P91" s="8" t="n">
        <v>51</v>
      </c>
      <c r="Q91" s="8" t="n">
        <f aca="false">0.35+((P91-9)/121)*(1-0.35)</f>
        <v>0.575619834710744</v>
      </c>
      <c r="R91" s="12" t="n">
        <f aca="false">Q91*L91</f>
        <v>0.402933884297521</v>
      </c>
      <c r="S91" s="12" t="n">
        <f aca="false">J91-R91</f>
        <v>-0.402933884297521</v>
      </c>
      <c r="T91" s="12" t="n">
        <f aca="false">MIN(197.4,T90+S91)</f>
        <v>150.475537190083</v>
      </c>
      <c r="V91" s="8" t="n">
        <v>377.8</v>
      </c>
      <c r="X91" s="8" t="n">
        <f aca="false">X90+V91</f>
        <v>41595.4</v>
      </c>
      <c r="AA91" s="8" t="n">
        <v>10.374442774453</v>
      </c>
    </row>
    <row r="92" s="8" customFormat="true" ht="15" hidden="false" customHeight="false" outlineLevel="0" collapsed="false">
      <c r="A92" s="14"/>
      <c r="B92" s="15"/>
      <c r="C92" s="16" t="n">
        <v>41208</v>
      </c>
      <c r="D92" s="8" t="n">
        <v>11</v>
      </c>
      <c r="E92" s="8" t="n">
        <v>10</v>
      </c>
      <c r="F92" s="8" t="n">
        <v>13.4</v>
      </c>
      <c r="G92" s="8" t="n">
        <f aca="false">G91+D92</f>
        <v>722.6</v>
      </c>
      <c r="J92" s="8" t="n">
        <v>0</v>
      </c>
      <c r="K92" s="8" t="n">
        <f aca="false">J92+K91</f>
        <v>179.9</v>
      </c>
      <c r="L92" s="8" t="n">
        <v>1</v>
      </c>
      <c r="M92" s="8" t="n">
        <f aca="false">M91+L92</f>
        <v>88.5</v>
      </c>
      <c r="N92" s="8" t="n">
        <v>-1</v>
      </c>
      <c r="O92" s="8" t="n">
        <f aca="false">O91+N92</f>
        <v>123.5</v>
      </c>
      <c r="P92" s="8" t="n">
        <v>52</v>
      </c>
      <c r="Q92" s="8" t="n">
        <f aca="false">0.35+((P92-9)/121)*(1-0.35)</f>
        <v>0.58099173553719</v>
      </c>
      <c r="R92" s="12" t="n">
        <f aca="false">Q92*L92</f>
        <v>0.58099173553719</v>
      </c>
      <c r="S92" s="12" t="n">
        <f aca="false">J92-R92</f>
        <v>-0.58099173553719</v>
      </c>
      <c r="T92" s="12" t="n">
        <f aca="false">MIN(197.4,T91+S92)</f>
        <v>149.894545454546</v>
      </c>
      <c r="V92" s="8" t="n">
        <v>200.7</v>
      </c>
      <c r="X92" s="8" t="n">
        <f aca="false">X91+V92</f>
        <v>41796.1</v>
      </c>
      <c r="AA92" s="8" t="n">
        <v>10.3195890715385</v>
      </c>
    </row>
    <row r="93" s="8" customFormat="true" ht="15" hidden="false" customHeight="false" outlineLevel="0" collapsed="false">
      <c r="A93" s="14"/>
      <c r="B93" s="15"/>
      <c r="C93" s="16" t="n">
        <v>41209</v>
      </c>
      <c r="D93" s="8" t="n">
        <v>6.9</v>
      </c>
      <c r="E93" s="8" t="n">
        <v>5.4</v>
      </c>
      <c r="F93" s="8" t="n">
        <v>9.1</v>
      </c>
      <c r="G93" s="8" t="n">
        <f aca="false">G92+D93</f>
        <v>729.5</v>
      </c>
      <c r="J93" s="8" t="n">
        <v>0</v>
      </c>
      <c r="K93" s="8" t="n">
        <f aca="false">J93+K92</f>
        <v>179.9</v>
      </c>
      <c r="L93" s="8" t="n">
        <v>1.8</v>
      </c>
      <c r="M93" s="8" t="n">
        <f aca="false">M92+L93</f>
        <v>90.3</v>
      </c>
      <c r="N93" s="8" t="n">
        <v>-1.8</v>
      </c>
      <c r="O93" s="8" t="n">
        <f aca="false">O92+N93</f>
        <v>121.7</v>
      </c>
      <c r="P93" s="8" t="n">
        <v>53</v>
      </c>
      <c r="Q93" s="8" t="n">
        <f aca="false">0.35+((P93-9)/121)*(1-0.35)</f>
        <v>0.586363636363636</v>
      </c>
      <c r="R93" s="12" t="n">
        <f aca="false">Q93*L93</f>
        <v>1.05545454545455</v>
      </c>
      <c r="S93" s="12" t="n">
        <f aca="false">J93-R93</f>
        <v>-1.05545454545455</v>
      </c>
      <c r="T93" s="12" t="n">
        <f aca="false">MIN(197.4,T92+S93)</f>
        <v>148.839090909091</v>
      </c>
      <c r="V93" s="8" t="n">
        <v>702.5</v>
      </c>
      <c r="X93" s="8" t="n">
        <f aca="false">X92+V93</f>
        <v>42498.6</v>
      </c>
      <c r="AA93" s="8" t="n">
        <v>10.2650059592547</v>
      </c>
    </row>
    <row r="94" s="8" customFormat="true" ht="15" hidden="false" customHeight="false" outlineLevel="0" collapsed="false">
      <c r="A94" s="14"/>
      <c r="B94" s="15"/>
      <c r="C94" s="16" t="n">
        <v>41210</v>
      </c>
      <c r="D94" s="8" t="n">
        <v>6.7</v>
      </c>
      <c r="E94" s="8" t="n">
        <v>2.2</v>
      </c>
      <c r="F94" s="8" t="n">
        <v>10.6</v>
      </c>
      <c r="G94" s="8" t="n">
        <f aca="false">G93+D94</f>
        <v>736.2</v>
      </c>
      <c r="J94" s="8" t="n">
        <v>0</v>
      </c>
      <c r="K94" s="8" t="n">
        <f aca="false">J94+K93</f>
        <v>179.9</v>
      </c>
      <c r="L94" s="8" t="n">
        <v>1.1</v>
      </c>
      <c r="M94" s="8" t="n">
        <f aca="false">M93+L94</f>
        <v>91.4</v>
      </c>
      <c r="N94" s="8" t="n">
        <v>-1.1</v>
      </c>
      <c r="O94" s="8" t="n">
        <f aca="false">O93+N94</f>
        <v>120.6</v>
      </c>
      <c r="P94" s="8" t="n">
        <v>54</v>
      </c>
      <c r="Q94" s="8" t="n">
        <f aca="false">0.35+((P94-9)/121)*(1-0.35)</f>
        <v>0.591735537190083</v>
      </c>
      <c r="R94" s="12" t="n">
        <f aca="false">Q94*L94</f>
        <v>0.650909090909091</v>
      </c>
      <c r="S94" s="12" t="n">
        <f aca="false">J94-R94</f>
        <v>-0.650909090909091</v>
      </c>
      <c r="T94" s="12" t="n">
        <f aca="false">MIN(197.4,T93+S94)</f>
        <v>148.188181818182</v>
      </c>
      <c r="V94" s="8" t="n">
        <v>762.9</v>
      </c>
      <c r="X94" s="8" t="n">
        <f aca="false">X93+V94</f>
        <v>43261.5</v>
      </c>
      <c r="AA94" s="8" t="n">
        <v>10.2107090542644</v>
      </c>
    </row>
    <row r="95" s="8" customFormat="true" ht="15" hidden="false" customHeight="false" outlineLevel="0" collapsed="false">
      <c r="A95" s="14"/>
      <c r="B95" s="15"/>
      <c r="C95" s="16" t="n">
        <v>41211</v>
      </c>
      <c r="D95" s="8" t="n">
        <v>7.6</v>
      </c>
      <c r="E95" s="8" t="n">
        <v>5</v>
      </c>
      <c r="F95" s="8" t="n">
        <v>12.4</v>
      </c>
      <c r="G95" s="8" t="n">
        <f aca="false">G94+D95</f>
        <v>743.8</v>
      </c>
      <c r="J95" s="8" t="n">
        <v>0.1</v>
      </c>
      <c r="K95" s="8" t="n">
        <f aca="false">J95+K94</f>
        <v>180</v>
      </c>
      <c r="L95" s="8" t="n">
        <v>1.1</v>
      </c>
      <c r="M95" s="8" t="n">
        <f aca="false">M94+L95</f>
        <v>92.5</v>
      </c>
      <c r="N95" s="8" t="n">
        <v>-1</v>
      </c>
      <c r="O95" s="8" t="n">
        <f aca="false">O94+N95</f>
        <v>119.6</v>
      </c>
      <c r="P95" s="8" t="n">
        <v>55</v>
      </c>
      <c r="Q95" s="8" t="n">
        <f aca="false">0.35+((P95-9)/121)*(1-0.35)</f>
        <v>0.597107438016529</v>
      </c>
      <c r="R95" s="12" t="n">
        <f aca="false">Q95*L95</f>
        <v>0.656818181818182</v>
      </c>
      <c r="S95" s="12" t="n">
        <f aca="false">J95-R95</f>
        <v>-0.556818181818182</v>
      </c>
      <c r="T95" s="12" t="n">
        <f aca="false">MIN(197.4,T94+S95)</f>
        <v>147.631363636364</v>
      </c>
      <c r="V95" s="8" t="n">
        <v>723.9</v>
      </c>
      <c r="X95" s="8" t="n">
        <f aca="false">X94+V95</f>
        <v>43985.4</v>
      </c>
      <c r="AA95" s="8" t="n">
        <v>10.1567145673041</v>
      </c>
    </row>
    <row r="96" s="8" customFormat="true" ht="15" hidden="false" customHeight="false" outlineLevel="0" collapsed="false">
      <c r="A96" s="14"/>
      <c r="B96" s="15"/>
      <c r="C96" s="16" t="n">
        <v>41212</v>
      </c>
      <c r="D96" s="8" t="n">
        <v>7.7</v>
      </c>
      <c r="E96" s="8" t="n">
        <v>3.4</v>
      </c>
      <c r="F96" s="8" t="n">
        <v>13.8</v>
      </c>
      <c r="G96" s="8" t="n">
        <f aca="false">G95+D96</f>
        <v>751.5</v>
      </c>
      <c r="J96" s="8" t="n">
        <v>0</v>
      </c>
      <c r="K96" s="8" t="n">
        <f aca="false">J96+K95</f>
        <v>180</v>
      </c>
      <c r="L96" s="8" t="n">
        <v>0.7</v>
      </c>
      <c r="M96" s="8" t="n">
        <f aca="false">M95+L96</f>
        <v>93.2</v>
      </c>
      <c r="N96" s="8" t="n">
        <v>-0.7</v>
      </c>
      <c r="O96" s="8" t="n">
        <f aca="false">O95+N96</f>
        <v>118.9</v>
      </c>
      <c r="P96" s="8" t="n">
        <v>56</v>
      </c>
      <c r="Q96" s="8" t="n">
        <f aca="false">0.35+((P96-9)/121)*(1-0.35)</f>
        <v>0.602479338842975</v>
      </c>
      <c r="R96" s="12" t="n">
        <f aca="false">Q96*L96</f>
        <v>0.421735537190083</v>
      </c>
      <c r="S96" s="12" t="n">
        <f aca="false">J96-R96</f>
        <v>-0.421735537190083</v>
      </c>
      <c r="T96" s="12" t="n">
        <f aca="false">MIN(197.4,T95+S96)</f>
        <v>147.209628099174</v>
      </c>
      <c r="V96" s="8" t="n">
        <v>523.1</v>
      </c>
      <c r="X96" s="8" t="n">
        <f aca="false">X95+V96</f>
        <v>44508.5</v>
      </c>
      <c r="AA96" s="8" t="n">
        <v>10.1030393151739</v>
      </c>
    </row>
    <row r="97" s="8" customFormat="true" ht="15" hidden="false" customHeight="false" outlineLevel="0" collapsed="false">
      <c r="A97" s="14"/>
      <c r="B97" s="15"/>
      <c r="C97" s="16" t="n">
        <v>41213</v>
      </c>
      <c r="D97" s="8" t="n">
        <v>8.5</v>
      </c>
      <c r="E97" s="8" t="n">
        <v>2</v>
      </c>
      <c r="F97" s="8" t="n">
        <v>14.3</v>
      </c>
      <c r="G97" s="8" t="n">
        <f aca="false">G96+D97</f>
        <v>760</v>
      </c>
      <c r="J97" s="8" t="n">
        <v>6.3</v>
      </c>
      <c r="K97" s="8" t="n">
        <f aca="false">J97+K96</f>
        <v>186.3</v>
      </c>
      <c r="L97" s="8" t="n">
        <v>1.4</v>
      </c>
      <c r="M97" s="8" t="n">
        <f aca="false">M96+L97</f>
        <v>94.6</v>
      </c>
      <c r="N97" s="8" t="n">
        <v>4.9</v>
      </c>
      <c r="O97" s="8" t="n">
        <f aca="false">O96+N97</f>
        <v>123.8</v>
      </c>
      <c r="P97" s="8" t="n">
        <v>57</v>
      </c>
      <c r="Q97" s="8" t="n">
        <f aca="false">0.35+((P97-9)/121)*(1-0.35)</f>
        <v>0.607851239669422</v>
      </c>
      <c r="R97" s="12" t="n">
        <f aca="false">Q97*L97</f>
        <v>0.85099173553719</v>
      </c>
      <c r="S97" s="12" t="n">
        <f aca="false">J97-R97</f>
        <v>5.44900826446281</v>
      </c>
      <c r="T97" s="12" t="n">
        <f aca="false">MIN(197.4,T96+S97)</f>
        <v>152.658636363636</v>
      </c>
      <c r="V97" s="8" t="n">
        <v>773.5</v>
      </c>
      <c r="X97" s="8" t="n">
        <f aca="false">X96+V97</f>
        <v>45282</v>
      </c>
      <c r="AA97" s="8" t="n">
        <v>10.0497007316379</v>
      </c>
    </row>
    <row r="98" s="8" customFormat="true" ht="15" hidden="false" customHeight="false" outlineLevel="0" collapsed="false">
      <c r="A98" s="14"/>
      <c r="B98" s="15"/>
      <c r="C98" s="16" t="n">
        <v>41214</v>
      </c>
      <c r="D98" s="8" t="n">
        <v>8.3</v>
      </c>
      <c r="E98" s="8" t="n">
        <v>6.7</v>
      </c>
      <c r="F98" s="8" t="n">
        <v>11.5</v>
      </c>
      <c r="G98" s="8" t="n">
        <f aca="false">G97+D98</f>
        <v>768.3</v>
      </c>
      <c r="J98" s="8" t="n">
        <v>1.1</v>
      </c>
      <c r="K98" s="8" t="n">
        <f aca="false">J98+K97</f>
        <v>187.4</v>
      </c>
      <c r="L98" s="8" t="n">
        <v>1.2</v>
      </c>
      <c r="M98" s="8" t="n">
        <f aca="false">M97+L98</f>
        <v>95.8</v>
      </c>
      <c r="N98" s="8" t="n">
        <v>-0.0999999999999999</v>
      </c>
      <c r="O98" s="8" t="n">
        <f aca="false">O97+N98</f>
        <v>123.7</v>
      </c>
      <c r="P98" s="8" t="n">
        <v>58</v>
      </c>
      <c r="Q98" s="8" t="n">
        <f aca="false">0.35+((P98-9)/121)*(1-0.35)</f>
        <v>0.613223140495868</v>
      </c>
      <c r="R98" s="12" t="n">
        <f aca="false">Q98*L98</f>
        <v>0.735867768595041</v>
      </c>
      <c r="S98" s="12" t="n">
        <f aca="false">J98-R98</f>
        <v>0.364132231404959</v>
      </c>
      <c r="T98" s="12" t="n">
        <f aca="false">MIN(197.4,T97+S98)</f>
        <v>153.022768595041</v>
      </c>
      <c r="V98" s="8" t="n">
        <v>578.6</v>
      </c>
      <c r="X98" s="8" t="n">
        <f aca="false">X97+V98</f>
        <v>45860.6</v>
      </c>
      <c r="AA98" s="8" t="n">
        <v>9.99671687711698</v>
      </c>
    </row>
    <row r="99" s="8" customFormat="true" ht="15" hidden="false" customHeight="false" outlineLevel="0" collapsed="false">
      <c r="A99" s="14"/>
      <c r="B99" s="15"/>
      <c r="C99" s="16" t="n">
        <v>41215</v>
      </c>
      <c r="D99" s="8" t="n">
        <v>8.3</v>
      </c>
      <c r="E99" s="8" t="n">
        <v>4.6</v>
      </c>
      <c r="F99" s="8" t="n">
        <v>10.9</v>
      </c>
      <c r="G99" s="8" t="n">
        <f aca="false">G98+D99</f>
        <v>776.6</v>
      </c>
      <c r="J99" s="8" t="n">
        <v>7.6</v>
      </c>
      <c r="K99" s="8" t="n">
        <f aca="false">J99+K98</f>
        <v>195</v>
      </c>
      <c r="L99" s="8" t="n">
        <v>0.6</v>
      </c>
      <c r="M99" s="8" t="n">
        <f aca="false">M98+L99</f>
        <v>96.4</v>
      </c>
      <c r="N99" s="8" t="n">
        <v>7</v>
      </c>
      <c r="O99" s="8" t="n">
        <f aca="false">O98+N99</f>
        <v>130.7</v>
      </c>
      <c r="P99" s="8" t="n">
        <v>59</v>
      </c>
      <c r="Q99" s="8" t="n">
        <f aca="false">0.35+((P99-9)/121)*(1-0.35)</f>
        <v>0.618595041322314</v>
      </c>
      <c r="R99" s="12" t="n">
        <f aca="false">Q99*L99</f>
        <v>0.371157024793388</v>
      </c>
      <c r="S99" s="12" t="n">
        <f aca="false">J99-R99</f>
        <v>7.22884297520661</v>
      </c>
      <c r="T99" s="12" t="n">
        <f aca="false">MIN(197.4,T98+S99)</f>
        <v>160.251611570248</v>
      </c>
      <c r="V99" s="8" t="n">
        <v>501.9</v>
      </c>
      <c r="X99" s="8" t="n">
        <f aca="false">X98+V99</f>
        <v>46362.5</v>
      </c>
      <c r="AA99" s="8" t="n">
        <v>9.94410644704571</v>
      </c>
    </row>
    <row r="100" s="8" customFormat="true" ht="15" hidden="false" customHeight="false" outlineLevel="0" collapsed="false">
      <c r="A100" s="14"/>
      <c r="B100" s="15"/>
      <c r="C100" s="16" t="n">
        <v>41216</v>
      </c>
      <c r="D100" s="8" t="n">
        <v>9</v>
      </c>
      <c r="E100" s="8" t="n">
        <v>7.7</v>
      </c>
      <c r="F100" s="8" t="n">
        <v>12.7</v>
      </c>
      <c r="G100" s="8" t="n">
        <f aca="false">G99+D100</f>
        <v>785.6</v>
      </c>
      <c r="J100" s="8" t="n">
        <v>6.2</v>
      </c>
      <c r="K100" s="8" t="n">
        <f aca="false">J100+K99</f>
        <v>201.2</v>
      </c>
      <c r="L100" s="8" t="n">
        <v>1.6</v>
      </c>
      <c r="M100" s="8" t="n">
        <f aca="false">M99+L100</f>
        <v>98</v>
      </c>
      <c r="N100" s="8" t="n">
        <v>4.6</v>
      </c>
      <c r="O100" s="8" t="n">
        <f aca="false">O99+N100</f>
        <v>135.3</v>
      </c>
      <c r="P100" s="8" t="n">
        <v>60</v>
      </c>
      <c r="Q100" s="8" t="n">
        <f aca="false">0.35+((P100-9)/121)*(1-0.35)</f>
        <v>0.62396694214876</v>
      </c>
      <c r="R100" s="12" t="n">
        <f aca="false">Q100*L100</f>
        <v>0.998347107438017</v>
      </c>
      <c r="S100" s="12" t="n">
        <f aca="false">J100-R100</f>
        <v>5.20165289256198</v>
      </c>
      <c r="T100" s="12" t="n">
        <f aca="false">MIN(197.4,T99+S100)</f>
        <v>165.45326446281</v>
      </c>
      <c r="V100" s="8" t="n">
        <v>805.5</v>
      </c>
      <c r="X100" s="8" t="n">
        <f aca="false">X99+V100</f>
        <v>47168</v>
      </c>
      <c r="AA100" s="8" t="n">
        <v>9.8918887787625</v>
      </c>
    </row>
    <row r="101" s="8" customFormat="true" ht="15" hidden="false" customHeight="false" outlineLevel="0" collapsed="false">
      <c r="A101" s="14"/>
      <c r="B101" s="15"/>
      <c r="C101" s="16" t="n">
        <v>41217</v>
      </c>
      <c r="D101" s="8" t="n">
        <v>9</v>
      </c>
      <c r="E101" s="8" t="n">
        <v>5.4</v>
      </c>
      <c r="F101" s="8" t="n">
        <v>13.1</v>
      </c>
      <c r="G101" s="8" t="n">
        <f aca="false">G100+D101</f>
        <v>794.6</v>
      </c>
      <c r="J101" s="8" t="n">
        <v>2</v>
      </c>
      <c r="K101" s="8" t="n">
        <f aca="false">J101+K100</f>
        <v>203.2</v>
      </c>
      <c r="L101" s="8" t="n">
        <v>1.5</v>
      </c>
      <c r="M101" s="8" t="n">
        <f aca="false">M100+L101</f>
        <v>99.5</v>
      </c>
      <c r="N101" s="8" t="n">
        <v>0.5</v>
      </c>
      <c r="O101" s="8" t="n">
        <f aca="false">O100+N101</f>
        <v>135.8</v>
      </c>
      <c r="P101" s="8" t="n">
        <v>61</v>
      </c>
      <c r="Q101" s="8" t="n">
        <f aca="false">0.35+((P101-9)/121)*(1-0.35)</f>
        <v>0.629338842975207</v>
      </c>
      <c r="R101" s="12" t="n">
        <f aca="false">Q101*L101</f>
        <v>0.94400826446281</v>
      </c>
      <c r="S101" s="12" t="n">
        <f aca="false">J101-R101</f>
        <v>1.05599173553719</v>
      </c>
      <c r="T101" s="12" t="n">
        <f aca="false">MIN(197.4,T100+S101)</f>
        <v>166.509256198347</v>
      </c>
      <c r="V101" s="8" t="n">
        <v>868.9</v>
      </c>
      <c r="X101" s="8" t="n">
        <f aca="false">X100+V101</f>
        <v>48036.9</v>
      </c>
      <c r="AA101" s="8" t="n">
        <v>9.84008385679402</v>
      </c>
    </row>
    <row r="102" s="8" customFormat="true" ht="15" hidden="false" customHeight="false" outlineLevel="0" collapsed="false">
      <c r="A102" s="14"/>
      <c r="B102" s="15"/>
      <c r="C102" s="16" t="n">
        <v>41218</v>
      </c>
      <c r="D102" s="8" t="n">
        <v>8</v>
      </c>
      <c r="E102" s="8" t="n">
        <v>5.6</v>
      </c>
      <c r="F102" s="8" t="n">
        <v>12.9</v>
      </c>
      <c r="G102" s="8" t="n">
        <f aca="false">G101+D102</f>
        <v>802.6</v>
      </c>
      <c r="J102" s="8" t="n">
        <v>4.6</v>
      </c>
      <c r="K102" s="8" t="n">
        <f aca="false">J102+K101</f>
        <v>207.8</v>
      </c>
      <c r="L102" s="8" t="n">
        <v>1.1</v>
      </c>
      <c r="M102" s="8" t="n">
        <f aca="false">M101+L102</f>
        <v>100.6</v>
      </c>
      <c r="N102" s="8" t="n">
        <v>3.5</v>
      </c>
      <c r="O102" s="8" t="n">
        <f aca="false">O101+N102</f>
        <v>139.3</v>
      </c>
      <c r="P102" s="8" t="n">
        <v>62</v>
      </c>
      <c r="Q102" s="8" t="n">
        <f aca="false">0.35+((P102-9)/121)*(1-0.35)</f>
        <v>0.634710743801653</v>
      </c>
      <c r="R102" s="12" t="n">
        <f aca="false">Q102*L102</f>
        <v>0.698181818181818</v>
      </c>
      <c r="S102" s="12" t="n">
        <f aca="false">J102-R102</f>
        <v>3.90181818181818</v>
      </c>
      <c r="T102" s="12" t="n">
        <f aca="false">MIN(197.4,T101+S102)</f>
        <v>170.411074380165</v>
      </c>
      <c r="V102" s="8" t="n">
        <v>475.5</v>
      </c>
      <c r="X102" s="8" t="n">
        <f aca="false">X101+V102</f>
        <v>48512.4</v>
      </c>
      <c r="AA102" s="8" t="n">
        <v>9.78871231639063</v>
      </c>
    </row>
    <row r="103" s="8" customFormat="true" ht="15" hidden="false" customHeight="false" outlineLevel="0" collapsed="false">
      <c r="A103" s="14"/>
      <c r="B103" s="15"/>
      <c r="C103" s="16" t="n">
        <v>41219</v>
      </c>
      <c r="D103" s="8" t="n">
        <v>6.8</v>
      </c>
      <c r="E103" s="8" t="n">
        <v>3.3</v>
      </c>
      <c r="F103" s="8" t="n">
        <v>11.3</v>
      </c>
      <c r="G103" s="8" t="n">
        <f aca="false">G102+D103</f>
        <v>809.4</v>
      </c>
      <c r="J103" s="8" t="n">
        <v>0</v>
      </c>
      <c r="K103" s="8" t="n">
        <f aca="false">J103+K102</f>
        <v>207.8</v>
      </c>
      <c r="L103" s="8" t="n">
        <v>1.2</v>
      </c>
      <c r="M103" s="8" t="n">
        <f aca="false">M102+L103</f>
        <v>101.8</v>
      </c>
      <c r="N103" s="8" t="n">
        <v>-1.2</v>
      </c>
      <c r="O103" s="8" t="n">
        <f aca="false">O102+N103</f>
        <v>138.1</v>
      </c>
      <c r="P103" s="8" t="n">
        <v>63</v>
      </c>
      <c r="Q103" s="8" t="n">
        <f aca="false">0.35+((P103-9)/121)*(1-0.35)</f>
        <v>0.640082644628099</v>
      </c>
      <c r="R103" s="12" t="n">
        <f aca="false">Q103*L103</f>
        <v>0.768099173553719</v>
      </c>
      <c r="S103" s="12" t="n">
        <f aca="false">J103-R103</f>
        <v>-0.768099173553719</v>
      </c>
      <c r="T103" s="12" t="n">
        <f aca="false">MIN(197.4,T102+S103)</f>
        <v>169.642975206612</v>
      </c>
      <c r="V103" s="8" t="n">
        <v>855.2</v>
      </c>
      <c r="X103" s="8" t="n">
        <f aca="false">X102+V103</f>
        <v>49367.6</v>
      </c>
      <c r="AA103" s="8" t="n">
        <v>9.73779544516454</v>
      </c>
    </row>
    <row r="104" s="8" customFormat="true" ht="15" hidden="false" customHeight="false" outlineLevel="0" collapsed="false">
      <c r="A104" s="14"/>
      <c r="B104" s="15"/>
      <c r="C104" s="16" t="n">
        <v>41220</v>
      </c>
      <c r="D104" s="8" t="n">
        <v>8.9</v>
      </c>
      <c r="E104" s="8" t="n">
        <v>5.8</v>
      </c>
      <c r="F104" s="8" t="n">
        <v>12</v>
      </c>
      <c r="G104" s="8" t="n">
        <f aca="false">G103+D104</f>
        <v>818.3</v>
      </c>
      <c r="J104" s="8" t="n">
        <v>0</v>
      </c>
      <c r="K104" s="8" t="n">
        <f aca="false">J104+K103</f>
        <v>207.8</v>
      </c>
      <c r="L104" s="8" t="n">
        <v>0.7</v>
      </c>
      <c r="M104" s="8" t="n">
        <f aca="false">M103+L104</f>
        <v>102.5</v>
      </c>
      <c r="N104" s="8" t="n">
        <v>-0.7</v>
      </c>
      <c r="O104" s="8" t="n">
        <f aca="false">O103+N104</f>
        <v>137.4</v>
      </c>
      <c r="P104" s="8" t="n">
        <v>64</v>
      </c>
      <c r="Q104" s="8" t="n">
        <f aca="false">0.35+((P104-9)/121)*(1-0.35)</f>
        <v>0.645454545454546</v>
      </c>
      <c r="R104" s="12" t="n">
        <f aca="false">Q104*L104</f>
        <v>0.451818181818182</v>
      </c>
      <c r="S104" s="12" t="n">
        <f aca="false">J104-R104</f>
        <v>-0.451818181818182</v>
      </c>
      <c r="T104" s="12" t="n">
        <f aca="false">MIN(197.4,T103+S104)</f>
        <v>169.191157024793</v>
      </c>
      <c r="V104" s="8" t="n">
        <v>262.4</v>
      </c>
      <c r="X104" s="8" t="n">
        <f aca="false">X103+V104</f>
        <v>49630</v>
      </c>
      <c r="AA104" s="8" t="n">
        <v>9.68735518267798</v>
      </c>
    </row>
    <row r="105" s="8" customFormat="true" ht="15" hidden="false" customHeight="false" outlineLevel="0" collapsed="false">
      <c r="A105" s="14"/>
      <c r="B105" s="15"/>
      <c r="C105" s="16" t="n">
        <v>41221</v>
      </c>
      <c r="D105" s="8" t="n">
        <v>6.4</v>
      </c>
      <c r="E105" s="8" t="n">
        <v>5.3</v>
      </c>
      <c r="F105" s="8" t="n">
        <v>11</v>
      </c>
      <c r="G105" s="8" t="n">
        <f aca="false">G104+D105</f>
        <v>824.7</v>
      </c>
      <c r="J105" s="8" t="n">
        <v>0</v>
      </c>
      <c r="K105" s="8" t="n">
        <f aca="false">J105+K104</f>
        <v>207.8</v>
      </c>
      <c r="L105" s="8" t="n">
        <v>1.2</v>
      </c>
      <c r="M105" s="8" t="n">
        <f aca="false">M104+L105</f>
        <v>103.7</v>
      </c>
      <c r="N105" s="8" t="n">
        <v>-1.2</v>
      </c>
      <c r="O105" s="8" t="n">
        <f aca="false">O104+N105</f>
        <v>136.2</v>
      </c>
      <c r="P105" s="8" t="n">
        <v>65</v>
      </c>
      <c r="Q105" s="8" t="n">
        <f aca="false">0.35+((P105-9)/121)*(1-0.35)</f>
        <v>0.650826446280992</v>
      </c>
      <c r="R105" s="12" t="n">
        <f aca="false">Q105*L105</f>
        <v>0.78099173553719</v>
      </c>
      <c r="S105" s="12" t="n">
        <f aca="false">J105-R105</f>
        <v>-0.78099173553719</v>
      </c>
      <c r="T105" s="12" t="n">
        <f aca="false">MIN(197.4,T104+S105)</f>
        <v>168.410165289256</v>
      </c>
      <c r="V105" s="8" t="n">
        <v>769.2</v>
      </c>
      <c r="X105" s="8" t="n">
        <f aca="false">X104+V105</f>
        <v>50399.2</v>
      </c>
      <c r="AA105" s="8" t="n">
        <v>9.63741411782551</v>
      </c>
    </row>
    <row r="106" s="8" customFormat="true" ht="15" hidden="false" customHeight="false" outlineLevel="0" collapsed="false">
      <c r="A106" s="14"/>
      <c r="B106" s="15"/>
      <c r="C106" s="16" t="n">
        <v>41222</v>
      </c>
      <c r="D106" s="8" t="n">
        <v>5</v>
      </c>
      <c r="E106" s="8" t="n">
        <v>0</v>
      </c>
      <c r="F106" s="8" t="n">
        <v>9.1</v>
      </c>
      <c r="G106" s="8" t="n">
        <f aca="false">G105+D106</f>
        <v>829.7</v>
      </c>
      <c r="J106" s="8" t="n">
        <v>4.3</v>
      </c>
      <c r="K106" s="8" t="n">
        <f aca="false">J106+K105</f>
        <v>212.1</v>
      </c>
      <c r="L106" s="8" t="n">
        <v>0.3</v>
      </c>
      <c r="M106" s="8" t="n">
        <f aca="false">M105+L106</f>
        <v>104</v>
      </c>
      <c r="N106" s="8" t="n">
        <v>4</v>
      </c>
      <c r="O106" s="8" t="n">
        <f aca="false">O105+N106</f>
        <v>140.2</v>
      </c>
      <c r="P106" s="8" t="n">
        <v>66</v>
      </c>
      <c r="Q106" s="8" t="n">
        <f aca="false">0.35+((P106-9)/121)*(1-0.35)</f>
        <v>0.656198347107438</v>
      </c>
      <c r="R106" s="12" t="n">
        <f aca="false">Q106*L106</f>
        <v>0.196859504132231</v>
      </c>
      <c r="S106" s="12" t="n">
        <f aca="false">J106-R106</f>
        <v>4.10314049586777</v>
      </c>
      <c r="T106" s="12" t="n">
        <f aca="false">MIN(197.4,T105+S106)</f>
        <v>172.513305785124</v>
      </c>
      <c r="V106" s="8" t="n">
        <v>133.9</v>
      </c>
      <c r="X106" s="8" t="n">
        <f aca="false">X105+V106</f>
        <v>50533.1</v>
      </c>
      <c r="AA106" s="8" t="n">
        <v>9.58799548385225</v>
      </c>
    </row>
    <row r="107" s="8" customFormat="true" ht="15" hidden="false" customHeight="false" outlineLevel="0" collapsed="false">
      <c r="A107" s="14"/>
      <c r="B107" s="15"/>
      <c r="C107" s="16" t="n">
        <v>41223</v>
      </c>
      <c r="D107" s="8" t="n">
        <v>7.6</v>
      </c>
      <c r="E107" s="8" t="n">
        <v>6.4</v>
      </c>
      <c r="F107" s="8" t="n">
        <v>10</v>
      </c>
      <c r="G107" s="8" t="n">
        <f aca="false">G106+D107</f>
        <v>837.3</v>
      </c>
      <c r="J107" s="8" t="n">
        <v>3</v>
      </c>
      <c r="K107" s="8" t="n">
        <f aca="false">J107+K106</f>
        <v>215.1</v>
      </c>
      <c r="L107" s="8" t="n">
        <v>0.6</v>
      </c>
      <c r="M107" s="8" t="n">
        <f aca="false">M106+L107</f>
        <v>104.6</v>
      </c>
      <c r="N107" s="8" t="n">
        <v>2.4</v>
      </c>
      <c r="O107" s="8" t="n">
        <f aca="false">O106+N107</f>
        <v>142.6</v>
      </c>
      <c r="P107" s="8" t="n">
        <v>67</v>
      </c>
      <c r="Q107" s="8" t="n">
        <f aca="false">0.35+((P107-9)/121)*(1-0.35)</f>
        <v>0.661570247933884</v>
      </c>
      <c r="R107" s="12" t="n">
        <f aca="false">Q107*L107</f>
        <v>0.396942148760331</v>
      </c>
      <c r="S107" s="12" t="n">
        <f aca="false">J107-R107</f>
        <v>2.60305785123967</v>
      </c>
      <c r="T107" s="12" t="n">
        <f aca="false">MIN(197.4,T106+S107)</f>
        <v>175.116363636364</v>
      </c>
      <c r="V107" s="8" t="n">
        <v>420.7</v>
      </c>
      <c r="X107" s="8" t="n">
        <f aca="false">X106+V107</f>
        <v>50953.8</v>
      </c>
      <c r="AA107" s="8" t="n">
        <v>9.53912315084801</v>
      </c>
    </row>
    <row r="108" s="8" customFormat="true" ht="15" hidden="false" customHeight="false" outlineLevel="0" collapsed="false">
      <c r="A108" s="14"/>
      <c r="B108" s="15"/>
      <c r="C108" s="16" t="n">
        <v>41224</v>
      </c>
      <c r="D108" s="8" t="n">
        <v>5.8</v>
      </c>
      <c r="E108" s="8" t="n">
        <v>0.9</v>
      </c>
      <c r="F108" s="8" t="n">
        <v>10.7</v>
      </c>
      <c r="G108" s="8" t="n">
        <f aca="false">G107+D108</f>
        <v>843.1</v>
      </c>
      <c r="J108" s="8" t="n">
        <v>0.2</v>
      </c>
      <c r="K108" s="8" t="n">
        <f aca="false">J108+K107</f>
        <v>215.3</v>
      </c>
      <c r="L108" s="8" t="n">
        <v>1</v>
      </c>
      <c r="M108" s="8" t="n">
        <f aca="false">M107+L108</f>
        <v>105.6</v>
      </c>
      <c r="N108" s="8" t="n">
        <v>-0.8</v>
      </c>
      <c r="O108" s="8" t="n">
        <f aca="false">O107+N108</f>
        <v>141.8</v>
      </c>
      <c r="P108" s="8" t="n">
        <v>68</v>
      </c>
      <c r="Q108" s="8" t="n">
        <f aca="false">0.35+((P108-9)/121)*(1-0.35)</f>
        <v>0.666942148760331</v>
      </c>
      <c r="R108" s="12" t="n">
        <f aca="false">Q108*L108</f>
        <v>0.666942148760331</v>
      </c>
      <c r="S108" s="12" t="n">
        <f aca="false">J108-R108</f>
        <v>-0.466942148760331</v>
      </c>
      <c r="T108" s="12" t="n">
        <f aca="false">MIN(197.4,T107+S108)</f>
        <v>174.649421487603</v>
      </c>
      <c r="V108" s="8" t="n">
        <v>798.5</v>
      </c>
      <c r="X108" s="8" t="n">
        <f aca="false">X107+V108</f>
        <v>51752.3</v>
      </c>
      <c r="AA108" s="8" t="n">
        <v>9.49082161555755</v>
      </c>
    </row>
    <row r="109" s="8" customFormat="true" ht="15" hidden="false" customHeight="false" outlineLevel="0" collapsed="false">
      <c r="A109" s="14"/>
      <c r="B109" s="15"/>
      <c r="C109" s="16" t="n">
        <v>41225</v>
      </c>
      <c r="D109" s="8" t="n">
        <v>8</v>
      </c>
      <c r="E109" s="8" t="n">
        <v>4.3</v>
      </c>
      <c r="F109" s="8" t="n">
        <v>10.5</v>
      </c>
      <c r="G109" s="8" t="n">
        <f aca="false">G108+D109</f>
        <v>851.1</v>
      </c>
      <c r="J109" s="8" t="n">
        <v>0.2</v>
      </c>
      <c r="K109" s="8" t="n">
        <f aca="false">J109+K108</f>
        <v>215.5</v>
      </c>
      <c r="L109" s="8" t="n">
        <v>0.2</v>
      </c>
      <c r="M109" s="8" t="n">
        <f aca="false">M108+L109</f>
        <v>105.8</v>
      </c>
      <c r="N109" s="8" t="n">
        <v>0</v>
      </c>
      <c r="O109" s="8" t="n">
        <f aca="false">O108+N109</f>
        <v>141.8</v>
      </c>
      <c r="P109" s="8" t="n">
        <v>69</v>
      </c>
      <c r="Q109" s="8" t="n">
        <f aca="false">0.35+((P109-9)/121)*(1-0.35)</f>
        <v>0.672314049586777</v>
      </c>
      <c r="R109" s="12" t="n">
        <f aca="false">Q109*L109</f>
        <v>0.134462809917355</v>
      </c>
      <c r="S109" s="12" t="n">
        <f aca="false">J109-R109</f>
        <v>0.0655371900826446</v>
      </c>
      <c r="T109" s="12" t="n">
        <f aca="false">MIN(197.4,T108+S109)</f>
        <v>174.714958677686</v>
      </c>
      <c r="V109" s="8" t="n">
        <v>116.1</v>
      </c>
      <c r="X109" s="8" t="n">
        <f aca="false">X108+V109</f>
        <v>51868.4</v>
      </c>
      <c r="AA109" s="8" t="n">
        <v>9.44311598834804</v>
      </c>
    </row>
    <row r="110" s="8" customFormat="true" ht="15" hidden="false" customHeight="false" outlineLevel="0" collapsed="false">
      <c r="A110" s="14"/>
      <c r="B110" s="15"/>
      <c r="C110" s="16" t="n">
        <v>41226</v>
      </c>
      <c r="D110" s="8" t="n">
        <v>10</v>
      </c>
      <c r="E110" s="8" t="n">
        <v>9</v>
      </c>
      <c r="F110" s="8" t="n">
        <v>14.3</v>
      </c>
      <c r="G110" s="8" t="n">
        <f aca="false">G109+D110</f>
        <v>861.1</v>
      </c>
      <c r="J110" s="8" t="n">
        <v>0.1</v>
      </c>
      <c r="K110" s="8" t="n">
        <f aca="false">J110+K109</f>
        <v>215.6</v>
      </c>
      <c r="L110" s="8" t="n">
        <v>1.4</v>
      </c>
      <c r="M110" s="8" t="n">
        <f aca="false">M109+L110</f>
        <v>107.2</v>
      </c>
      <c r="N110" s="8" t="n">
        <v>-1.3</v>
      </c>
      <c r="O110" s="8" t="n">
        <f aca="false">O109+N110</f>
        <v>140.5</v>
      </c>
      <c r="P110" s="8" t="n">
        <v>70</v>
      </c>
      <c r="Q110" s="8" t="n">
        <f aca="false">0.35+((P110-9)/121)*(1-0.35)</f>
        <v>0.677685950413223</v>
      </c>
      <c r="R110" s="12" t="n">
        <f aca="false">Q110*L110</f>
        <v>0.948760330578512</v>
      </c>
      <c r="S110" s="12" t="n">
        <f aca="false">J110-R110</f>
        <v>-0.848760330578512</v>
      </c>
      <c r="T110" s="12" t="n">
        <f aca="false">MIN(197.4,T109+S110)</f>
        <v>173.866198347108</v>
      </c>
      <c r="V110" s="8" t="n">
        <v>663.8</v>
      </c>
      <c r="X110" s="8" t="n">
        <f aca="false">X109+V110</f>
        <v>52532.2</v>
      </c>
      <c r="AA110" s="8" t="n">
        <v>9.39603197717788</v>
      </c>
    </row>
    <row r="111" s="8" customFormat="true" ht="15" hidden="false" customHeight="false" outlineLevel="0" collapsed="false">
      <c r="A111" s="14"/>
      <c r="B111" s="15"/>
      <c r="C111" s="16" t="n">
        <v>41227</v>
      </c>
      <c r="D111" s="8" t="n">
        <v>5.9</v>
      </c>
      <c r="E111" s="8" t="n">
        <v>4.8</v>
      </c>
      <c r="F111" s="8" t="n">
        <v>7.5</v>
      </c>
      <c r="G111" s="8" t="n">
        <f aca="false">G110+D111</f>
        <v>867</v>
      </c>
      <c r="J111" s="8" t="n">
        <v>0</v>
      </c>
      <c r="K111" s="8" t="n">
        <f aca="false">J111+K110</f>
        <v>215.6</v>
      </c>
      <c r="L111" s="8" t="n">
        <v>0.4</v>
      </c>
      <c r="M111" s="8" t="n">
        <f aca="false">M110+L111</f>
        <v>107.6</v>
      </c>
      <c r="N111" s="8" t="n">
        <v>-0.4</v>
      </c>
      <c r="O111" s="8" t="n">
        <f aca="false">O110+N111</f>
        <v>140.1</v>
      </c>
      <c r="P111" s="8" t="n">
        <v>71</v>
      </c>
      <c r="Q111" s="8" t="n">
        <f aca="false">0.35+((P111-9)/121)*(1-0.35)</f>
        <v>0.683057851239669</v>
      </c>
      <c r="R111" s="12" t="n">
        <f aca="false">Q111*L111</f>
        <v>0.273223140495868</v>
      </c>
      <c r="S111" s="12" t="n">
        <f aca="false">J111-R111</f>
        <v>-0.273223140495868</v>
      </c>
      <c r="T111" s="12" t="n">
        <f aca="false">MIN(197.4,T110+S111)</f>
        <v>173.592975206612</v>
      </c>
      <c r="V111" s="8" t="n">
        <v>239</v>
      </c>
      <c r="X111" s="8" t="n">
        <f aca="false">X110+V111</f>
        <v>52771.2</v>
      </c>
      <c r="AA111" s="8" t="n">
        <v>9.34959586841513</v>
      </c>
    </row>
    <row r="112" s="8" customFormat="true" ht="15" hidden="false" customHeight="false" outlineLevel="0" collapsed="false">
      <c r="A112" s="14"/>
      <c r="B112" s="15"/>
      <c r="C112" s="16" t="n">
        <v>41228</v>
      </c>
      <c r="D112" s="8" t="n">
        <v>5.5</v>
      </c>
      <c r="E112" s="8" t="n">
        <v>4.3</v>
      </c>
      <c r="F112" s="8" t="n">
        <v>6.8</v>
      </c>
      <c r="G112" s="8" t="n">
        <f aca="false">G111+D112</f>
        <v>872.5</v>
      </c>
      <c r="J112" s="8" t="n">
        <v>0</v>
      </c>
      <c r="K112" s="8" t="n">
        <f aca="false">J112+K111</f>
        <v>215.6</v>
      </c>
      <c r="L112" s="8" t="n">
        <v>0.3</v>
      </c>
      <c r="M112" s="8" t="n">
        <f aca="false">M111+L112</f>
        <v>107.9</v>
      </c>
      <c r="N112" s="8" t="n">
        <v>-0.3</v>
      </c>
      <c r="O112" s="8" t="n">
        <f aca="false">O111+N112</f>
        <v>139.8</v>
      </c>
      <c r="P112" s="8" t="n">
        <v>72</v>
      </c>
      <c r="Q112" s="8" t="n">
        <f aca="false">0.35+((P112-9)/121)*(1-0.35)</f>
        <v>0.688429752066116</v>
      </c>
      <c r="R112" s="12" t="n">
        <f aca="false">Q112*L112</f>
        <v>0.206528925619835</v>
      </c>
      <c r="S112" s="12" t="n">
        <f aca="false">J112-R112</f>
        <v>-0.206528925619835</v>
      </c>
      <c r="T112" s="12" t="n">
        <f aca="false">MIN(197.4,T111+S112)</f>
        <v>173.386446280992</v>
      </c>
      <c r="V112" s="8" t="n">
        <v>248.9</v>
      </c>
      <c r="X112" s="8" t="n">
        <f aca="false">X111+V112</f>
        <v>53020.1</v>
      </c>
      <c r="AA112" s="8" t="n">
        <v>9.30383450436032</v>
      </c>
    </row>
    <row r="113" s="8" customFormat="true" ht="15" hidden="false" customHeight="false" outlineLevel="0" collapsed="false">
      <c r="A113" s="14"/>
      <c r="B113" s="15"/>
      <c r="C113" s="16" t="n">
        <v>41229</v>
      </c>
      <c r="D113" s="8" t="n">
        <v>7.1</v>
      </c>
      <c r="E113" s="8" t="n">
        <v>5.6</v>
      </c>
      <c r="F113" s="8" t="n">
        <v>8.4</v>
      </c>
      <c r="G113" s="8" t="n">
        <f aca="false">G112+D113</f>
        <v>879.6</v>
      </c>
      <c r="J113" s="8" t="n">
        <v>0.1</v>
      </c>
      <c r="K113" s="8" t="n">
        <f aca="false">J113+K112</f>
        <v>215.7</v>
      </c>
      <c r="L113" s="8" t="n">
        <v>0.3</v>
      </c>
      <c r="M113" s="8" t="n">
        <f aca="false">M112+L113</f>
        <v>108.2</v>
      </c>
      <c r="N113" s="8" t="n">
        <v>-0.2</v>
      </c>
      <c r="O113" s="8" t="n">
        <f aca="false">O112+N113</f>
        <v>139.6</v>
      </c>
      <c r="P113" s="8" t="n">
        <v>73</v>
      </c>
      <c r="Q113" s="8" t="n">
        <f aca="false">0.35+((P113-9)/121)*(1-0.35)</f>
        <v>0.693801652892562</v>
      </c>
      <c r="R113" s="12" t="n">
        <f aca="false">Q113*L113</f>
        <v>0.208140495867769</v>
      </c>
      <c r="S113" s="12" t="n">
        <f aca="false">J113-R113</f>
        <v>-0.108140495867769</v>
      </c>
      <c r="T113" s="12" t="n">
        <f aca="false">MIN(197.4,T112+S113)</f>
        <v>173.278305785124</v>
      </c>
      <c r="V113" s="8" t="n">
        <v>221.5</v>
      </c>
      <c r="X113" s="8" t="n">
        <f aca="false">X112+V113</f>
        <v>53241.6</v>
      </c>
      <c r="AA113" s="8" t="n">
        <v>9.25877525733681</v>
      </c>
    </row>
    <row r="114" s="8" customFormat="true" ht="15" hidden="false" customHeight="false" outlineLevel="0" collapsed="false">
      <c r="A114" s="14"/>
      <c r="B114" s="15"/>
      <c r="C114" s="16" t="n">
        <v>41230</v>
      </c>
      <c r="D114" s="8" t="n">
        <v>9.6</v>
      </c>
      <c r="E114" s="8" t="n">
        <v>7.8</v>
      </c>
      <c r="F114" s="8" t="n">
        <v>10.7</v>
      </c>
      <c r="G114" s="8" t="n">
        <f aca="false">G113+D114</f>
        <v>889.2</v>
      </c>
      <c r="J114" s="8" t="n">
        <v>8.7</v>
      </c>
      <c r="K114" s="8" t="n">
        <f aca="false">J114+K113</f>
        <v>224.4</v>
      </c>
      <c r="L114" s="8" t="n">
        <v>0.3</v>
      </c>
      <c r="M114" s="8" t="n">
        <f aca="false">M113+L114</f>
        <v>108.5</v>
      </c>
      <c r="N114" s="8" t="n">
        <v>8.4</v>
      </c>
      <c r="O114" s="8" t="n">
        <f aca="false">O113+N114</f>
        <v>148</v>
      </c>
      <c r="P114" s="8" t="n">
        <v>74</v>
      </c>
      <c r="Q114" s="8" t="n">
        <f aca="false">0.35+((P114-9)/121)*(1-0.35)</f>
        <v>0.699173553719008</v>
      </c>
      <c r="R114" s="12" t="n">
        <f aca="false">Q114*L114</f>
        <v>0.209752066115702</v>
      </c>
      <c r="S114" s="12" t="n">
        <f aca="false">J114-R114</f>
        <v>8.4902479338843</v>
      </c>
      <c r="T114" s="12" t="n">
        <f aca="false">MIN(197.4,T113+S114)</f>
        <v>181.768553719008</v>
      </c>
      <c r="V114" s="8" t="n">
        <v>109.2</v>
      </c>
      <c r="X114" s="8" t="n">
        <f aca="false">X113+V114</f>
        <v>53350.8</v>
      </c>
      <c r="AA114" s="8" t="n">
        <v>9.214446000222</v>
      </c>
    </row>
    <row r="115" s="8" customFormat="true" ht="15" hidden="false" customHeight="false" outlineLevel="0" collapsed="false">
      <c r="A115" s="14"/>
      <c r="B115" s="15"/>
      <c r="C115" s="16" t="n">
        <v>41231</v>
      </c>
      <c r="D115" s="8" t="n">
        <v>8.3</v>
      </c>
      <c r="E115" s="8" t="n">
        <v>6.7</v>
      </c>
      <c r="F115" s="8" t="n">
        <v>11.1</v>
      </c>
      <c r="G115" s="8" t="n">
        <f aca="false">G114+D115</f>
        <v>897.5</v>
      </c>
      <c r="J115" s="8" t="n">
        <v>0</v>
      </c>
      <c r="K115" s="8" t="n">
        <f aca="false">J115+K114</f>
        <v>224.4</v>
      </c>
      <c r="L115" s="8" t="n">
        <v>0.8</v>
      </c>
      <c r="M115" s="8" t="n">
        <f aca="false">M114+L115</f>
        <v>109.3</v>
      </c>
      <c r="N115" s="8" t="n">
        <v>-0.8</v>
      </c>
      <c r="O115" s="8" t="n">
        <f aca="false">O114+N115</f>
        <v>147.2</v>
      </c>
      <c r="P115" s="8" t="n">
        <v>75</v>
      </c>
      <c r="Q115" s="8" t="n">
        <f aca="false">0.35+((P115-9)/121)*(1-0.35)</f>
        <v>0.704545454545455</v>
      </c>
      <c r="R115" s="12" t="n">
        <f aca="false">Q115*L115</f>
        <v>0.563636363636364</v>
      </c>
      <c r="S115" s="12" t="n">
        <f aca="false">J115-R115</f>
        <v>-0.563636363636364</v>
      </c>
      <c r="T115" s="12" t="n">
        <f aca="false">MIN(197.4,T114+S115)</f>
        <v>181.204917355372</v>
      </c>
      <c r="V115" s="8" t="n">
        <v>334.5</v>
      </c>
      <c r="X115" s="8" t="n">
        <f aca="false">X114+V115</f>
        <v>53685.3</v>
      </c>
      <c r="AA115" s="8" t="n">
        <v>9.17087507330603</v>
      </c>
    </row>
    <row r="116" s="8" customFormat="true" ht="15" hidden="false" customHeight="false" outlineLevel="0" collapsed="false">
      <c r="A116" s="14"/>
      <c r="B116" s="15"/>
      <c r="C116" s="16" t="n">
        <v>41232</v>
      </c>
      <c r="D116" s="8" t="n">
        <v>8.3</v>
      </c>
      <c r="E116" s="8" t="n">
        <v>3.3</v>
      </c>
      <c r="F116" s="8" t="n">
        <v>11.1</v>
      </c>
      <c r="G116" s="8" t="n">
        <f aca="false">G115+D116</f>
        <v>905.8</v>
      </c>
      <c r="J116" s="8" t="n">
        <v>0</v>
      </c>
      <c r="K116" s="8" t="n">
        <f aca="false">J116+K115</f>
        <v>224.4</v>
      </c>
      <c r="L116" s="8" t="n">
        <v>0.3</v>
      </c>
      <c r="M116" s="8" t="n">
        <f aca="false">M115+L116</f>
        <v>109.6</v>
      </c>
      <c r="N116" s="8" t="n">
        <v>-0.3</v>
      </c>
      <c r="O116" s="8" t="n">
        <f aca="false">O115+N116</f>
        <v>146.9</v>
      </c>
      <c r="P116" s="8" t="n">
        <v>76</v>
      </c>
      <c r="Q116" s="8" t="n">
        <f aca="false">0.35+((P116-9)/121)*(1-0.35)</f>
        <v>0.709917355371901</v>
      </c>
      <c r="R116" s="12" t="n">
        <f aca="false">Q116*L116</f>
        <v>0.21297520661157</v>
      </c>
      <c r="S116" s="12" t="n">
        <f aca="false">J116-R116</f>
        <v>-0.21297520661157</v>
      </c>
      <c r="T116" s="12" t="n">
        <f aca="false">MIN(197.4,T115+S116)</f>
        <v>180.99194214876</v>
      </c>
      <c r="V116" s="8" t="n">
        <v>280.2</v>
      </c>
      <c r="X116" s="8" t="n">
        <f aca="false">X115+V116</f>
        <v>53965.5</v>
      </c>
      <c r="AA116" s="8" t="n">
        <v>9.12809124737939</v>
      </c>
    </row>
    <row r="117" s="8" customFormat="true" ht="15" hidden="false" customHeight="false" outlineLevel="0" collapsed="false">
      <c r="A117" s="14"/>
      <c r="B117" s="15"/>
      <c r="C117" s="16" t="n">
        <v>41233</v>
      </c>
      <c r="D117" s="8" t="n">
        <v>11.5</v>
      </c>
      <c r="E117" s="8" t="n">
        <v>10.3</v>
      </c>
      <c r="F117" s="8" t="n">
        <v>12.8</v>
      </c>
      <c r="G117" s="8" t="n">
        <f aca="false">G116+D117</f>
        <v>917.3</v>
      </c>
      <c r="J117" s="8" t="n">
        <v>1.1</v>
      </c>
      <c r="K117" s="8" t="n">
        <f aca="false">J117+K116</f>
        <v>225.5</v>
      </c>
      <c r="L117" s="8" t="n">
        <v>1</v>
      </c>
      <c r="M117" s="8" t="n">
        <f aca="false">M116+L117</f>
        <v>110.6</v>
      </c>
      <c r="N117" s="8" t="n">
        <v>0.1</v>
      </c>
      <c r="O117" s="8" t="n">
        <f aca="false">O116+N117</f>
        <v>147</v>
      </c>
      <c r="P117" s="8" t="n">
        <v>77</v>
      </c>
      <c r="Q117" s="8" t="n">
        <f aca="false">0.35+((P117-9)/121)*(1-0.35)</f>
        <v>0.715289256198347</v>
      </c>
      <c r="R117" s="12" t="n">
        <f aca="false">Q117*L117</f>
        <v>0.715289256198347</v>
      </c>
      <c r="S117" s="12" t="n">
        <f aca="false">J117-R117</f>
        <v>0.384710743801653</v>
      </c>
      <c r="T117" s="12" t="n">
        <f aca="false">MIN(197.4,T116+S117)</f>
        <v>181.376652892562</v>
      </c>
      <c r="V117" s="8" t="n">
        <v>126.4</v>
      </c>
      <c r="X117" s="8" t="n">
        <f aca="false">X116+V117</f>
        <v>54091.9</v>
      </c>
      <c r="AA117" s="8" t="n">
        <v>9.086123682969</v>
      </c>
    </row>
    <row r="118" s="8" customFormat="true" ht="15" hidden="false" customHeight="false" outlineLevel="0" collapsed="false">
      <c r="A118" s="14"/>
      <c r="B118" s="15"/>
      <c r="C118" s="16" t="n">
        <v>41234</v>
      </c>
      <c r="D118" s="8" t="n">
        <v>9.6</v>
      </c>
      <c r="E118" s="8" t="n">
        <v>9</v>
      </c>
      <c r="F118" s="8" t="n">
        <v>11.6</v>
      </c>
      <c r="G118" s="8" t="n">
        <f aca="false">G117+D118</f>
        <v>926.9</v>
      </c>
      <c r="J118" s="8" t="n">
        <v>0.2</v>
      </c>
      <c r="K118" s="8" t="n">
        <f aca="false">J118+K117</f>
        <v>225.7</v>
      </c>
      <c r="L118" s="8" t="n">
        <v>1</v>
      </c>
      <c r="M118" s="8" t="n">
        <f aca="false">M117+L118</f>
        <v>111.6</v>
      </c>
      <c r="N118" s="8" t="n">
        <v>-0.8</v>
      </c>
      <c r="O118" s="8" t="n">
        <f aca="false">O117+N118</f>
        <v>146.2</v>
      </c>
      <c r="P118" s="8" t="n">
        <v>78</v>
      </c>
      <c r="Q118" s="8" t="n">
        <f aca="false">0.35+((P118-9)/121)*(1-0.35)</f>
        <v>0.720661157024793</v>
      </c>
      <c r="R118" s="12" t="n">
        <f aca="false">Q118*L118</f>
        <v>0.720661157024793</v>
      </c>
      <c r="S118" s="12" t="n">
        <f aca="false">J118-R118</f>
        <v>-0.520661157024793</v>
      </c>
      <c r="T118" s="12" t="n">
        <f aca="false">MIN(197.4,T117+S118)</f>
        <v>180.855991735537</v>
      </c>
      <c r="V118" s="8" t="n">
        <v>190.6</v>
      </c>
      <c r="X118" s="8" t="n">
        <f aca="false">X117+V118</f>
        <v>54282.5</v>
      </c>
      <c r="AA118" s="8" t="n">
        <v>9.04500188566246</v>
      </c>
    </row>
    <row r="119" s="8" customFormat="true" ht="15" hidden="false" customHeight="false" outlineLevel="0" collapsed="false">
      <c r="A119" s="14"/>
      <c r="B119" s="15"/>
      <c r="C119" s="16" t="n">
        <v>41235</v>
      </c>
      <c r="D119" s="8" t="n">
        <v>9.9</v>
      </c>
      <c r="E119" s="8" t="n">
        <v>5.8</v>
      </c>
      <c r="F119" s="8" t="n">
        <v>14.8</v>
      </c>
      <c r="G119" s="8" t="n">
        <f aca="false">G118+D119</f>
        <v>936.8</v>
      </c>
      <c r="J119" s="8" t="n">
        <v>11.1</v>
      </c>
      <c r="K119" s="8" t="n">
        <f aca="false">J119+K118</f>
        <v>236.8</v>
      </c>
      <c r="L119" s="8" t="n">
        <v>1.3</v>
      </c>
      <c r="M119" s="8" t="n">
        <f aca="false">M118+L119</f>
        <v>112.9</v>
      </c>
      <c r="N119" s="8" t="n">
        <v>9.8</v>
      </c>
      <c r="O119" s="8" t="n">
        <f aca="false">O118+N119</f>
        <v>156</v>
      </c>
      <c r="P119" s="8" t="n">
        <v>79</v>
      </c>
      <c r="Q119" s="8" t="n">
        <f aca="false">0.35+((P119-9)/121)*(1-0.35)</f>
        <v>0.72603305785124</v>
      </c>
      <c r="R119" s="12" t="n">
        <f aca="false">Q119*L119</f>
        <v>0.943842975206612</v>
      </c>
      <c r="S119" s="12" t="n">
        <f aca="false">J119-R119</f>
        <v>10.1561570247934</v>
      </c>
      <c r="T119" s="12" t="n">
        <f aca="false">MIN(197.4,T118+S119)</f>
        <v>191.012148760331</v>
      </c>
      <c r="V119" s="8" t="n">
        <v>287.5</v>
      </c>
      <c r="X119" s="8" t="n">
        <f aca="false">X118+V119</f>
        <v>54570</v>
      </c>
      <c r="AA119" s="8" t="n">
        <v>9.00475565748354</v>
      </c>
    </row>
    <row r="120" s="8" customFormat="true" ht="15" hidden="false" customHeight="false" outlineLevel="0" collapsed="false">
      <c r="A120" s="14"/>
      <c r="B120" s="15"/>
      <c r="C120" s="16" t="n">
        <v>41236</v>
      </c>
      <c r="D120" s="8" t="n">
        <v>9.5</v>
      </c>
      <c r="E120" s="8" t="n">
        <v>9</v>
      </c>
      <c r="F120" s="8" t="n">
        <v>9.7</v>
      </c>
      <c r="G120" s="8" t="n">
        <f aca="false">G119+D120</f>
        <v>946.3</v>
      </c>
      <c r="J120" s="8" t="n">
        <v>12.6</v>
      </c>
      <c r="K120" s="8" t="n">
        <f aca="false">J120+K119</f>
        <v>249.4</v>
      </c>
      <c r="L120" s="8" t="n">
        <v>0.3</v>
      </c>
      <c r="M120" s="8" t="n">
        <f aca="false">M119+L120</f>
        <v>113.2</v>
      </c>
      <c r="N120" s="8" t="n">
        <v>12.3</v>
      </c>
      <c r="O120" s="8" t="n">
        <f aca="false">O119+N120</f>
        <v>168.3</v>
      </c>
      <c r="P120" s="8" t="n">
        <v>80</v>
      </c>
      <c r="Q120" s="8" t="n">
        <f aca="false">0.35+((P120-9)/121)*(1-0.35)</f>
        <v>0.731404958677686</v>
      </c>
      <c r="R120" s="12" t="n">
        <f aca="false">Q120*L120</f>
        <v>0.219421487603306</v>
      </c>
      <c r="S120" s="12" t="n">
        <f aca="false">J120-R120</f>
        <v>12.3805785123967</v>
      </c>
      <c r="T120" s="12" t="n">
        <f aca="false">MIN(197.4,T119+S120)</f>
        <v>197.4</v>
      </c>
      <c r="V120" s="8" t="n">
        <v>82.2</v>
      </c>
      <c r="X120" s="8" t="n">
        <f aca="false">X119+V120</f>
        <v>54652.2</v>
      </c>
      <c r="AA120" s="19" t="n">
        <v>8.96541504430737</v>
      </c>
    </row>
    <row r="121" s="8" customFormat="true" ht="15" hidden="false" customHeight="false" outlineLevel="0" collapsed="false">
      <c r="A121" s="14"/>
      <c r="B121" s="15"/>
      <c r="C121" s="16" t="n">
        <v>41237</v>
      </c>
      <c r="D121" s="8" t="n">
        <v>11</v>
      </c>
      <c r="E121" s="8" t="n">
        <v>9</v>
      </c>
      <c r="F121" s="8" t="n">
        <v>14.1</v>
      </c>
      <c r="G121" s="8" t="n">
        <f aca="false">G120+D121</f>
        <v>957.3</v>
      </c>
      <c r="J121" s="8" t="n">
        <v>1.5</v>
      </c>
      <c r="K121" s="8" t="n">
        <f aca="false">J121+K120</f>
        <v>250.9</v>
      </c>
      <c r="L121" s="8" t="n">
        <v>0.8</v>
      </c>
      <c r="M121" s="8" t="n">
        <f aca="false">M120+L121</f>
        <v>114</v>
      </c>
      <c r="N121" s="8" t="n">
        <v>0.7</v>
      </c>
      <c r="O121" s="8" t="n">
        <f aca="false">O120+N121</f>
        <v>169</v>
      </c>
      <c r="P121" s="8" t="n">
        <v>81</v>
      </c>
      <c r="Q121" s="8" t="n">
        <f aca="false">0.35+((P121-9)/121)*(1-0.35)</f>
        <v>0.736776859504132</v>
      </c>
      <c r="R121" s="12" t="n">
        <f aca="false">Q121*L121</f>
        <v>0.589421487603306</v>
      </c>
      <c r="S121" s="12" t="n">
        <f aca="false">J121-R121</f>
        <v>0.910578512396694</v>
      </c>
      <c r="T121" s="12" t="n">
        <f aca="false">MIN(197.4,T120+S121)</f>
        <v>197.4</v>
      </c>
      <c r="V121" s="8" t="n">
        <v>102.7</v>
      </c>
      <c r="X121" s="8" t="n">
        <f aca="false">X120+V121</f>
        <v>54754.9</v>
      </c>
      <c r="AA121" s="19" t="n">
        <v>8.92701027933253</v>
      </c>
    </row>
    <row r="122" s="8" customFormat="true" ht="15" hidden="false" customHeight="false" outlineLevel="0" collapsed="false">
      <c r="A122" s="14"/>
      <c r="B122" s="15"/>
      <c r="C122" s="16" t="n">
        <v>41238</v>
      </c>
      <c r="D122" s="8" t="n">
        <v>10.4</v>
      </c>
      <c r="E122" s="8" t="n">
        <v>8.1</v>
      </c>
      <c r="F122" s="8" t="n">
        <v>13.1</v>
      </c>
      <c r="G122" s="8" t="n">
        <f aca="false">G121+D122</f>
        <v>967.7</v>
      </c>
      <c r="J122" s="8" t="n">
        <v>2.3</v>
      </c>
      <c r="K122" s="8" t="n">
        <f aca="false">J122+K121</f>
        <v>253.2</v>
      </c>
      <c r="L122" s="8" t="n">
        <v>1.5</v>
      </c>
      <c r="M122" s="8" t="n">
        <f aca="false">M121+L122</f>
        <v>115.5</v>
      </c>
      <c r="N122" s="8" t="n">
        <v>0.8</v>
      </c>
      <c r="O122" s="8" t="n">
        <f aca="false">O121+N122</f>
        <v>169.8</v>
      </c>
      <c r="P122" s="8" t="n">
        <v>82</v>
      </c>
      <c r="Q122" s="8" t="n">
        <f aca="false">0.35+((P122-9)/121)*(1-0.35)</f>
        <v>0.742148760330579</v>
      </c>
      <c r="R122" s="12" t="n">
        <f aca="false">Q122*L122</f>
        <v>1.11322314049587</v>
      </c>
      <c r="S122" s="12" t="n">
        <f aca="false">J122-R122</f>
        <v>1.18677685950413</v>
      </c>
      <c r="T122" s="12" t="n">
        <f aca="false">MIN(197.4,T121+S122)</f>
        <v>197.4</v>
      </c>
      <c r="V122" s="8" t="n">
        <v>537.4</v>
      </c>
      <c r="X122" s="8" t="n">
        <f aca="false">X121+V122</f>
        <v>55292.3</v>
      </c>
      <c r="AA122" s="19" t="n">
        <v>8.88957172265795</v>
      </c>
    </row>
    <row r="123" s="8" customFormat="true" ht="15" hidden="false" customHeight="false" outlineLevel="0" collapsed="false">
      <c r="A123" s="14"/>
      <c r="B123" s="15"/>
      <c r="C123" s="16" t="n">
        <v>41239</v>
      </c>
      <c r="D123" s="8" t="n">
        <v>8.8</v>
      </c>
      <c r="E123" s="8" t="n">
        <v>7.4</v>
      </c>
      <c r="F123" s="8" t="n">
        <v>10.8</v>
      </c>
      <c r="G123" s="8" t="n">
        <f aca="false">G122+D123</f>
        <v>976.5</v>
      </c>
      <c r="J123" s="8" t="n">
        <v>0.4</v>
      </c>
      <c r="K123" s="8" t="n">
        <f aca="false">J123+K122</f>
        <v>253.6</v>
      </c>
      <c r="L123" s="8" t="n">
        <v>1.2</v>
      </c>
      <c r="M123" s="8" t="n">
        <f aca="false">M122+L123</f>
        <v>116.7</v>
      </c>
      <c r="N123" s="8" t="n">
        <v>-0.8</v>
      </c>
      <c r="O123" s="8" t="n">
        <f aca="false">O122+N123</f>
        <v>169</v>
      </c>
      <c r="P123" s="8" t="n">
        <v>83</v>
      </c>
      <c r="Q123" s="8" t="n">
        <f aca="false">0.35+((P123-9)/121)*(1-0.35)</f>
        <v>0.747520661157025</v>
      </c>
      <c r="R123" s="12" t="n">
        <f aca="false">Q123*L123</f>
        <v>0.89702479338843</v>
      </c>
      <c r="S123" s="12" t="n">
        <f aca="false">J123-R123</f>
        <v>-0.49702479338843</v>
      </c>
      <c r="T123" s="12" t="n">
        <f aca="false">MIN(197.4,T122+S123)</f>
        <v>196.902975206612</v>
      </c>
      <c r="V123" s="8" t="n">
        <v>492.9</v>
      </c>
      <c r="X123" s="8" t="n">
        <f aca="false">X122+V123</f>
        <v>55785.2</v>
      </c>
      <c r="AA123" s="19" t="n">
        <v>8.85312979704607</v>
      </c>
    </row>
    <row r="124" s="8" customFormat="true" ht="15" hidden="false" customHeight="false" outlineLevel="0" collapsed="false">
      <c r="A124" s="14"/>
      <c r="B124" s="15"/>
      <c r="C124" s="16" t="n">
        <v>41240</v>
      </c>
      <c r="D124" s="8" t="n">
        <v>6.9</v>
      </c>
      <c r="E124" s="8" t="n">
        <v>5.7</v>
      </c>
      <c r="F124" s="8" t="n">
        <v>8.6</v>
      </c>
      <c r="G124" s="8" t="n">
        <f aca="false">G123+D124</f>
        <v>983.4</v>
      </c>
      <c r="J124" s="8" t="n">
        <v>1.3</v>
      </c>
      <c r="K124" s="8" t="n">
        <f aca="false">J124+K123</f>
        <v>254.9</v>
      </c>
      <c r="L124" s="8" t="n">
        <v>0.4</v>
      </c>
      <c r="M124" s="8" t="n">
        <f aca="false">M123+L124</f>
        <v>117.1</v>
      </c>
      <c r="N124" s="8" t="n">
        <v>0.9</v>
      </c>
      <c r="O124" s="8" t="n">
        <f aca="false">O123+N124</f>
        <v>169.9</v>
      </c>
      <c r="P124" s="8" t="n">
        <v>84</v>
      </c>
      <c r="Q124" s="8" t="n">
        <f aca="false">0.35+((P124-9)/121)*(1-0.35)</f>
        <v>0.752892561983471</v>
      </c>
      <c r="R124" s="12" t="n">
        <f aca="false">Q124*L124</f>
        <v>0.301157024793388</v>
      </c>
      <c r="S124" s="12" t="n">
        <f aca="false">J124-R124</f>
        <v>0.998842975206612</v>
      </c>
      <c r="T124" s="12" t="n">
        <f aca="false">MIN(197.4,T123+S124)</f>
        <v>197.4</v>
      </c>
      <c r="V124" s="8" t="n">
        <v>196.7</v>
      </c>
      <c r="X124" s="8" t="n">
        <f aca="false">X123+V124</f>
        <v>55981.9</v>
      </c>
      <c r="AA124" s="19" t="n">
        <v>8.8177149199891</v>
      </c>
    </row>
    <row r="125" s="8" customFormat="true" ht="15" hidden="false" customHeight="false" outlineLevel="0" collapsed="false">
      <c r="A125" s="14"/>
      <c r="B125" s="15"/>
      <c r="C125" s="16" t="n">
        <v>41241</v>
      </c>
      <c r="D125" s="8" t="n">
        <v>7.5</v>
      </c>
      <c r="E125" s="8" t="n">
        <v>6</v>
      </c>
      <c r="F125" s="8" t="n">
        <v>8.9</v>
      </c>
      <c r="G125" s="8" t="n">
        <f aca="false">G124+D125</f>
        <v>990.9</v>
      </c>
      <c r="J125" s="8" t="n">
        <v>0.1</v>
      </c>
      <c r="K125" s="8" t="n">
        <f aca="false">J125+K124</f>
        <v>255</v>
      </c>
      <c r="L125" s="8" t="n">
        <v>1.1</v>
      </c>
      <c r="M125" s="8" t="n">
        <f aca="false">M124+L125</f>
        <v>118.2</v>
      </c>
      <c r="N125" s="8" t="n">
        <v>-1</v>
      </c>
      <c r="O125" s="8" t="n">
        <f aca="false">O124+N125</f>
        <v>168.9</v>
      </c>
      <c r="P125" s="8" t="n">
        <v>85</v>
      </c>
      <c r="Q125" s="8" t="n">
        <f aca="false">0.35+((P125-9)/121)*(1-0.35)</f>
        <v>0.758264462809917</v>
      </c>
      <c r="R125" s="12" t="n">
        <f aca="false">Q125*L125</f>
        <v>0.834090909090909</v>
      </c>
      <c r="S125" s="12" t="n">
        <f aca="false">J125-R125</f>
        <v>-0.734090909090909</v>
      </c>
      <c r="T125" s="12" t="n">
        <f aca="false">MIN(197.4,T124+S125)</f>
        <v>196.665909090909</v>
      </c>
      <c r="V125" s="8" t="n">
        <v>296.5</v>
      </c>
      <c r="X125" s="8" t="n">
        <f aca="false">X124+V125</f>
        <v>56278.4</v>
      </c>
      <c r="AA125" s="19" t="n">
        <v>8.78335743223321</v>
      </c>
    </row>
    <row r="126" s="8" customFormat="true" ht="15" hidden="false" customHeight="false" outlineLevel="0" collapsed="false">
      <c r="A126" s="14"/>
      <c r="B126" s="20" t="n">
        <v>1</v>
      </c>
      <c r="C126" s="16" t="n">
        <v>41242</v>
      </c>
      <c r="D126" s="8" t="n">
        <v>4.6</v>
      </c>
      <c r="E126" s="8" t="n">
        <v>3.5</v>
      </c>
      <c r="F126" s="8" t="n">
        <v>7.4</v>
      </c>
      <c r="G126" s="8" t="n">
        <f aca="false">G125+D126</f>
        <v>995.5</v>
      </c>
      <c r="J126" s="8" t="n">
        <v>0</v>
      </c>
      <c r="K126" s="8" t="n">
        <f aca="false">J126+K125</f>
        <v>255</v>
      </c>
      <c r="L126" s="8" t="n">
        <v>1</v>
      </c>
      <c r="M126" s="8" t="n">
        <f aca="false">M125+L126</f>
        <v>119.2</v>
      </c>
      <c r="N126" s="8" t="n">
        <v>-1</v>
      </c>
      <c r="O126" s="8" t="n">
        <f aca="false">O125+N126</f>
        <v>167.9</v>
      </c>
      <c r="P126" s="8" t="n">
        <v>86</v>
      </c>
      <c r="Q126" s="8" t="n">
        <f aca="false">0.35+((P126-9)/121)*(1-0.35)</f>
        <v>0.763636363636364</v>
      </c>
      <c r="R126" s="12" t="n">
        <f aca="false">Q126*L126</f>
        <v>0.763636363636364</v>
      </c>
      <c r="S126" s="12" t="n">
        <f aca="false">J126-R126</f>
        <v>-0.763636363636364</v>
      </c>
      <c r="T126" s="12" t="n">
        <f aca="false">MIN(197.4,T125+S126)</f>
        <v>195.902272727273</v>
      </c>
      <c r="V126" s="8" t="n">
        <v>603.9</v>
      </c>
      <c r="X126" s="8" t="n">
        <f aca="false">X125+V126</f>
        <v>56882.3</v>
      </c>
      <c r="AA126" s="19" t="n">
        <v>8.75008752295438</v>
      </c>
    </row>
    <row r="127" s="8" customFormat="true" ht="15" hidden="false" customHeight="false" outlineLevel="0" collapsed="false">
      <c r="A127" s="14"/>
      <c r="B127" s="20" t="n">
        <v>2</v>
      </c>
      <c r="C127" s="16" t="n">
        <v>41243</v>
      </c>
      <c r="D127" s="8" t="n">
        <v>1.8</v>
      </c>
      <c r="E127" s="8" t="n">
        <v>-2.5</v>
      </c>
      <c r="F127" s="8" t="n">
        <v>6.9</v>
      </c>
      <c r="G127" s="8" t="n">
        <f aca="false">G126+D127</f>
        <v>997.3</v>
      </c>
      <c r="J127" s="8" t="n">
        <v>0.2</v>
      </c>
      <c r="K127" s="8" t="n">
        <f aca="false">J127+K126</f>
        <v>255.2</v>
      </c>
      <c r="L127" s="8" t="n">
        <v>0.3</v>
      </c>
      <c r="M127" s="8" t="n">
        <f aca="false">M126+L127</f>
        <v>119.5</v>
      </c>
      <c r="N127" s="8" t="n">
        <v>-0.1</v>
      </c>
      <c r="O127" s="8" t="n">
        <f aca="false">O126+N127</f>
        <v>167.8</v>
      </c>
      <c r="P127" s="8" t="n">
        <v>87</v>
      </c>
      <c r="Q127" s="8" t="n">
        <f aca="false">0.35+((P127-9)/121)*(1-0.35)</f>
        <v>0.76900826446281</v>
      </c>
      <c r="R127" s="12" t="n">
        <f aca="false">Q127*L127</f>
        <v>0.230702479338843</v>
      </c>
      <c r="S127" s="12" t="n">
        <f aca="false">J127-R127</f>
        <v>-0.030702479338843</v>
      </c>
      <c r="T127" s="12" t="n">
        <f aca="false">MIN(197.4,T126+S127)</f>
        <v>195.871570247934</v>
      </c>
      <c r="V127" s="8" t="n">
        <v>195.9</v>
      </c>
      <c r="X127" s="8" t="n">
        <f aca="false">X126+V127</f>
        <v>57078.2</v>
      </c>
      <c r="AA127" s="19" t="n">
        <v>8.71793515182046</v>
      </c>
    </row>
    <row r="128" s="8" customFormat="true" ht="15" hidden="false" customHeight="false" outlineLevel="0" collapsed="false">
      <c r="A128" s="14"/>
      <c r="B128" s="20" t="n">
        <v>3</v>
      </c>
      <c r="C128" s="16" t="n">
        <v>41244</v>
      </c>
      <c r="D128" s="8" t="n">
        <v>4.3</v>
      </c>
      <c r="E128" s="8" t="n">
        <v>-0.3</v>
      </c>
      <c r="F128" s="8" t="n">
        <v>7.9</v>
      </c>
      <c r="G128" s="8" t="n">
        <f aca="false">G127+D128</f>
        <v>1001.6</v>
      </c>
      <c r="J128" s="8" t="n">
        <v>0.9</v>
      </c>
      <c r="K128" s="8" t="n">
        <f aca="false">J128+K127</f>
        <v>256.1</v>
      </c>
      <c r="L128" s="8" t="n">
        <v>0.3</v>
      </c>
      <c r="M128" s="8" t="n">
        <f aca="false">M127+L128</f>
        <v>119.8</v>
      </c>
      <c r="N128" s="8" t="n">
        <v>0.6</v>
      </c>
      <c r="O128" s="8" t="n">
        <f aca="false">O127+N128</f>
        <v>168.4</v>
      </c>
      <c r="P128" s="8" t="n">
        <v>88</v>
      </c>
      <c r="Q128" s="8" t="n">
        <f aca="false">0.35+((P128-9)/121)*(1-0.35)</f>
        <v>0.774380165289256</v>
      </c>
      <c r="R128" s="12" t="n">
        <f aca="false">Q128*L128</f>
        <v>0.232314049586777</v>
      </c>
      <c r="S128" s="12" t="n">
        <f aca="false">J128-R128</f>
        <v>0.667685950413223</v>
      </c>
      <c r="T128" s="12" t="n">
        <f aca="false">MIN(197.4,T127+S128)</f>
        <v>196.539256198347</v>
      </c>
      <c r="V128" s="8" t="n">
        <v>445.9</v>
      </c>
      <c r="X128" s="8" t="n">
        <f aca="false">X127+V128</f>
        <v>57524.1</v>
      </c>
      <c r="AA128" s="19" t="n">
        <v>8.68692996821549</v>
      </c>
    </row>
    <row r="129" s="8" customFormat="true" ht="15" hidden="false" customHeight="false" outlineLevel="0" collapsed="false">
      <c r="A129" s="14"/>
      <c r="B129" s="15"/>
      <c r="C129" s="16" t="n">
        <v>41245</v>
      </c>
      <c r="D129" s="8" t="n">
        <v>6.7</v>
      </c>
      <c r="E129" s="8" t="n">
        <v>5</v>
      </c>
      <c r="F129" s="8" t="n">
        <v>11</v>
      </c>
      <c r="G129" s="8" t="n">
        <f aca="false">G128+D129</f>
        <v>1008.3</v>
      </c>
      <c r="J129" s="8" t="n">
        <v>6.2</v>
      </c>
      <c r="K129" s="8" t="n">
        <f aca="false">J129+K128</f>
        <v>262.3</v>
      </c>
      <c r="L129" s="8" t="n">
        <v>0.8</v>
      </c>
      <c r="M129" s="8" t="n">
        <f aca="false">M128+L129</f>
        <v>120.6</v>
      </c>
      <c r="N129" s="8" t="n">
        <v>5.4</v>
      </c>
      <c r="O129" s="8" t="n">
        <f aca="false">O128+N129</f>
        <v>173.8</v>
      </c>
      <c r="P129" s="8" t="n">
        <v>89</v>
      </c>
      <c r="Q129" s="8" t="n">
        <f aca="false">0.35+((P129-9)/121)*(1-0.35)</f>
        <v>0.779752066115703</v>
      </c>
      <c r="R129" s="12" t="n">
        <f aca="false">Q129*L129</f>
        <v>0.623801652892562</v>
      </c>
      <c r="S129" s="12" t="n">
        <f aca="false">J129-R129</f>
        <v>5.57619834710744</v>
      </c>
      <c r="T129" s="12" t="n">
        <f aca="false">MIN(197.4,T128+S129)</f>
        <v>197.4</v>
      </c>
      <c r="V129" s="8" t="n">
        <v>405.3</v>
      </c>
      <c r="X129" s="8" t="n">
        <f aca="false">X128+V129</f>
        <v>57929.4</v>
      </c>
      <c r="AA129" s="19" t="n">
        <v>8.65710122794387</v>
      </c>
    </row>
    <row r="130" s="8" customFormat="true" ht="15" hidden="false" customHeight="false" outlineLevel="0" collapsed="false">
      <c r="A130" s="14"/>
      <c r="B130" s="15"/>
      <c r="C130" s="16" t="n">
        <v>41246</v>
      </c>
      <c r="D130" s="8" t="n">
        <v>9.8</v>
      </c>
      <c r="E130" s="8" t="n">
        <v>6.7</v>
      </c>
      <c r="F130" s="8" t="n">
        <v>12</v>
      </c>
      <c r="G130" s="8" t="n">
        <f aca="false">G129+D130</f>
        <v>1018.1</v>
      </c>
      <c r="J130" s="8" t="n">
        <v>7.4</v>
      </c>
      <c r="K130" s="8" t="n">
        <f aca="false">J130+K129</f>
        <v>269.7</v>
      </c>
      <c r="L130" s="8" t="n">
        <v>0.2</v>
      </c>
      <c r="M130" s="8" t="n">
        <f aca="false">M129+L130</f>
        <v>120.8</v>
      </c>
      <c r="N130" s="8" t="n">
        <v>7.2</v>
      </c>
      <c r="O130" s="8" t="n">
        <f aca="false">O129+N130</f>
        <v>181</v>
      </c>
      <c r="P130" s="8" t="n">
        <v>90</v>
      </c>
      <c r="Q130" s="8" t="n">
        <f aca="false">0.35+((P130-9)/121)*(1-0.35)</f>
        <v>0.785123966942149</v>
      </c>
      <c r="R130" s="12" t="n">
        <f aca="false">Q130*L130</f>
        <v>0.15702479338843</v>
      </c>
      <c r="S130" s="12" t="n">
        <f aca="false">J130-R130</f>
        <v>7.24297520661157</v>
      </c>
      <c r="T130" s="12" t="n">
        <f aca="false">MIN(197.4,T129+S130)</f>
        <v>197.4</v>
      </c>
      <c r="V130" s="8" t="n">
        <v>102.8</v>
      </c>
      <c r="X130" s="8" t="n">
        <f aca="false">X129+V130</f>
        <v>58032.2</v>
      </c>
      <c r="AA130" s="19" t="n">
        <v>8.62847770777409</v>
      </c>
    </row>
    <row r="131" s="8" customFormat="true" ht="15" hidden="false" customHeight="false" outlineLevel="0" collapsed="false">
      <c r="A131" s="14"/>
      <c r="B131" s="15"/>
      <c r="C131" s="16" t="n">
        <v>41247</v>
      </c>
      <c r="D131" s="8" t="n">
        <v>5.8</v>
      </c>
      <c r="E131" s="8" t="n">
        <v>4.3</v>
      </c>
      <c r="F131" s="8" t="n">
        <v>9</v>
      </c>
      <c r="G131" s="8" t="n">
        <f aca="false">G130+D131</f>
        <v>1023.9</v>
      </c>
      <c r="J131" s="8" t="n">
        <v>2.2</v>
      </c>
      <c r="K131" s="8" t="n">
        <f aca="false">J131+K130</f>
        <v>271.9</v>
      </c>
      <c r="L131" s="8" t="n">
        <v>1.1</v>
      </c>
      <c r="M131" s="8" t="n">
        <f aca="false">M130+L131</f>
        <v>121.9</v>
      </c>
      <c r="N131" s="8" t="n">
        <v>1.1</v>
      </c>
      <c r="O131" s="8" t="n">
        <f aca="false">O130+N131</f>
        <v>182.1</v>
      </c>
      <c r="P131" s="8" t="n">
        <v>91</v>
      </c>
      <c r="Q131" s="8" t="n">
        <f aca="false">0.35+((P131-9)/121)*(1-0.35)</f>
        <v>0.790495867768595</v>
      </c>
      <c r="R131" s="12" t="n">
        <f aca="false">Q131*L131</f>
        <v>0.869545454545455</v>
      </c>
      <c r="S131" s="12" t="n">
        <f aca="false">J131-R131</f>
        <v>1.33045454545455</v>
      </c>
      <c r="T131" s="12" t="n">
        <f aca="false">MIN(197.4,T130+S131)</f>
        <v>197.4</v>
      </c>
      <c r="V131" s="8" t="n">
        <v>429.8</v>
      </c>
      <c r="X131" s="8" t="n">
        <f aca="false">X130+V131</f>
        <v>58462</v>
      </c>
      <c r="AA131" s="19" t="n">
        <v>8.60108761822177</v>
      </c>
    </row>
    <row r="132" s="8" customFormat="true" ht="15" hidden="false" customHeight="false" outlineLevel="0" collapsed="false">
      <c r="A132" s="14"/>
      <c r="B132" s="20" t="n">
        <v>4</v>
      </c>
      <c r="C132" s="16" t="n">
        <v>41248</v>
      </c>
      <c r="D132" s="8" t="n">
        <v>4.4</v>
      </c>
      <c r="E132" s="8" t="n">
        <v>2.9</v>
      </c>
      <c r="F132" s="8" t="n">
        <v>8.1</v>
      </c>
      <c r="G132" s="8" t="n">
        <f aca="false">G131+D132</f>
        <v>1028.3</v>
      </c>
      <c r="J132" s="8" t="n">
        <v>2.5</v>
      </c>
      <c r="K132" s="8" t="n">
        <f aca="false">J132+K131</f>
        <v>274.4</v>
      </c>
      <c r="L132" s="8" t="n">
        <v>1</v>
      </c>
      <c r="M132" s="8" t="n">
        <f aca="false">M131+L132</f>
        <v>122.9</v>
      </c>
      <c r="N132" s="8" t="n">
        <v>1.5</v>
      </c>
      <c r="O132" s="8" t="n">
        <f aca="false">O131+N132</f>
        <v>183.6</v>
      </c>
      <c r="P132" s="8" t="n">
        <v>92</v>
      </c>
      <c r="Q132" s="8" t="n">
        <f aca="false">0.35+((P132-9)/121)*(1-0.35)</f>
        <v>0.795867768595041</v>
      </c>
      <c r="R132" s="12" t="n">
        <f aca="false">Q132*L132</f>
        <v>0.795867768595041</v>
      </c>
      <c r="S132" s="12" t="n">
        <f aca="false">J132-R132</f>
        <v>1.70413223140496</v>
      </c>
      <c r="T132" s="12" t="n">
        <f aca="false">MIN(197.4,T131+S132)</f>
        <v>197.4</v>
      </c>
      <c r="V132" s="8" t="n">
        <v>476.4</v>
      </c>
      <c r="X132" s="8" t="n">
        <f aca="false">X131+V132</f>
        <v>58938.4</v>
      </c>
      <c r="AA132" s="19" t="n">
        <v>8.57495851501202</v>
      </c>
    </row>
    <row r="133" s="8" customFormat="true" ht="15" hidden="false" customHeight="false" outlineLevel="0" collapsed="false">
      <c r="A133" s="14"/>
      <c r="B133" s="20" t="n">
        <v>5</v>
      </c>
      <c r="C133" s="16" t="n">
        <v>41249</v>
      </c>
      <c r="D133" s="8" t="n">
        <v>2.8</v>
      </c>
      <c r="E133" s="8" t="n">
        <v>-1.2</v>
      </c>
      <c r="F133" s="8" t="n">
        <v>6.6</v>
      </c>
      <c r="G133" s="8" t="n">
        <f aca="false">G132+D133</f>
        <v>1031.1</v>
      </c>
      <c r="J133" s="8" t="n">
        <v>9.1</v>
      </c>
      <c r="K133" s="8" t="n">
        <f aca="false">J133+K132</f>
        <v>283.5</v>
      </c>
      <c r="L133" s="8" t="n">
        <v>0.6</v>
      </c>
      <c r="M133" s="8" t="n">
        <f aca="false">M132+L133</f>
        <v>123.5</v>
      </c>
      <c r="N133" s="8" t="n">
        <v>8.5</v>
      </c>
      <c r="O133" s="8" t="n">
        <f aca="false">O132+N133</f>
        <v>192.1</v>
      </c>
      <c r="P133" s="8" t="n">
        <v>93</v>
      </c>
      <c r="Q133" s="8" t="n">
        <f aca="false">0.35+((P133-9)/121)*(1-0.35)</f>
        <v>0.801239669421488</v>
      </c>
      <c r="R133" s="12" t="n">
        <f aca="false">Q133*L133</f>
        <v>0.480743801652893</v>
      </c>
      <c r="S133" s="12" t="n">
        <f aca="false">J133-R133</f>
        <v>8.61925619834711</v>
      </c>
      <c r="T133" s="12" t="n">
        <f aca="false">MIN(197.4,T132+S133)</f>
        <v>197.4</v>
      </c>
      <c r="V133" s="8" t="n">
        <v>421.2</v>
      </c>
      <c r="X133" s="8" t="n">
        <f aca="false">X132+V133</f>
        <v>59359.6</v>
      </c>
      <c r="AA133" s="19" t="n">
        <v>8.55011720969726</v>
      </c>
    </row>
    <row r="134" s="8" customFormat="true" ht="15" hidden="false" customHeight="false" outlineLevel="0" collapsed="false">
      <c r="A134" s="14"/>
      <c r="B134" s="15"/>
      <c r="C134" s="16" t="n">
        <v>41250</v>
      </c>
      <c r="D134" s="8" t="n">
        <v>6.8</v>
      </c>
      <c r="E134" s="8" t="n">
        <v>4</v>
      </c>
      <c r="F134" s="8" t="n">
        <v>9</v>
      </c>
      <c r="G134" s="8" t="n">
        <f aca="false">G133+D134</f>
        <v>1037.9</v>
      </c>
      <c r="J134" s="8" t="n">
        <v>3.6</v>
      </c>
      <c r="K134" s="8" t="n">
        <f aca="false">J134+K133</f>
        <v>287.1</v>
      </c>
      <c r="L134" s="8" t="n">
        <v>1.1</v>
      </c>
      <c r="M134" s="8" t="n">
        <f aca="false">M133+L134</f>
        <v>124.6</v>
      </c>
      <c r="N134" s="8" t="n">
        <v>2.5</v>
      </c>
      <c r="O134" s="8" t="n">
        <f aca="false">O133+N134</f>
        <v>194.6</v>
      </c>
      <c r="P134" s="8" t="n">
        <v>94</v>
      </c>
      <c r="Q134" s="8" t="n">
        <f aca="false">0.35+((P134-9)/121)*(1-0.35)</f>
        <v>0.806611570247934</v>
      </c>
      <c r="R134" s="12" t="n">
        <f aca="false">Q134*L134</f>
        <v>0.887272727272727</v>
      </c>
      <c r="S134" s="12" t="n">
        <f aca="false">J134-R134</f>
        <v>2.71272727272727</v>
      </c>
      <c r="T134" s="12" t="n">
        <f aca="false">MIN(197.4,T133+S134)</f>
        <v>197.4</v>
      </c>
      <c r="V134" s="8" t="n">
        <v>512</v>
      </c>
      <c r="X134" s="8" t="n">
        <f aca="false">X133+V134</f>
        <v>59871.6</v>
      </c>
      <c r="AA134" s="19" t="n">
        <v>8.52658967994172</v>
      </c>
    </row>
    <row r="135" s="8" customFormat="true" ht="15" hidden="false" customHeight="false" outlineLevel="0" collapsed="false">
      <c r="A135" s="14"/>
      <c r="B135" s="15"/>
      <c r="C135" s="16" t="n">
        <v>41251</v>
      </c>
      <c r="D135" s="8" t="n">
        <v>5.6</v>
      </c>
      <c r="E135" s="8" t="n">
        <v>4.9</v>
      </c>
      <c r="F135" s="8" t="n">
        <v>7.4</v>
      </c>
      <c r="G135" s="8" t="n">
        <f aca="false">G134+D135</f>
        <v>1043.5</v>
      </c>
      <c r="J135" s="8" t="n">
        <v>0</v>
      </c>
      <c r="K135" s="8" t="n">
        <f aca="false">J135+K134</f>
        <v>287.1</v>
      </c>
      <c r="L135" s="8" t="n">
        <v>1</v>
      </c>
      <c r="M135" s="8" t="n">
        <f aca="false">M134+L135</f>
        <v>125.6</v>
      </c>
      <c r="N135" s="8" t="n">
        <v>-1</v>
      </c>
      <c r="O135" s="8" t="n">
        <f aca="false">O134+N135</f>
        <v>193.6</v>
      </c>
      <c r="P135" s="8" t="n">
        <v>95</v>
      </c>
      <c r="Q135" s="8" t="n">
        <f aca="false">0.35+((P135-9)/121)*(1-0.35)</f>
        <v>0.81198347107438</v>
      </c>
      <c r="R135" s="12" t="n">
        <f aca="false">Q135*L135</f>
        <v>0.81198347107438</v>
      </c>
      <c r="S135" s="12" t="n">
        <f aca="false">J135-R135</f>
        <v>-0.81198347107438</v>
      </c>
      <c r="T135" s="12" t="n">
        <f aca="false">MIN(197.4,T134+S135)</f>
        <v>196.588016528926</v>
      </c>
      <c r="V135" s="8" t="n">
        <v>196.7</v>
      </c>
      <c r="X135" s="8" t="n">
        <f aca="false">X134+V135</f>
        <v>60068.3</v>
      </c>
      <c r="AA135" s="19" t="n">
        <v>8.50440098001375</v>
      </c>
    </row>
    <row r="136" s="8" customFormat="true" ht="15" hidden="false" customHeight="false" outlineLevel="0" collapsed="false">
      <c r="A136" s="14"/>
      <c r="B136" s="15"/>
      <c r="C136" s="16" t="n">
        <v>41252</v>
      </c>
      <c r="D136" s="8" t="n">
        <v>5.9</v>
      </c>
      <c r="E136" s="8" t="n">
        <v>1.8</v>
      </c>
      <c r="F136" s="8" t="n">
        <v>9.4</v>
      </c>
      <c r="G136" s="8" t="n">
        <f aca="false">G135+D136</f>
        <v>1049.4</v>
      </c>
      <c r="J136" s="8" t="n">
        <v>1.5</v>
      </c>
      <c r="K136" s="8" t="n">
        <f aca="false">J136+K135</f>
        <v>288.6</v>
      </c>
      <c r="L136" s="8" t="n">
        <v>0.6</v>
      </c>
      <c r="M136" s="8" t="n">
        <f aca="false">M135+L136</f>
        <v>126.2</v>
      </c>
      <c r="N136" s="8" t="n">
        <v>0.9</v>
      </c>
      <c r="O136" s="8" t="n">
        <f aca="false">O135+N136</f>
        <v>194.5</v>
      </c>
      <c r="P136" s="8" t="n">
        <v>96</v>
      </c>
      <c r="Q136" s="8" t="n">
        <f aca="false">0.35+((P136-9)/121)*(1-0.35)</f>
        <v>0.817355371900826</v>
      </c>
      <c r="R136" s="12" t="n">
        <f aca="false">Q136*L136</f>
        <v>0.490413223140496</v>
      </c>
      <c r="S136" s="12" t="n">
        <f aca="false">J136-R136</f>
        <v>1.0095867768595</v>
      </c>
      <c r="T136" s="12" t="n">
        <f aca="false">MIN(197.4,T135+S136)</f>
        <v>197.4</v>
      </c>
      <c r="V136" s="8" t="n">
        <v>171.2</v>
      </c>
      <c r="X136" s="8" t="n">
        <f aca="false">X135+V136</f>
        <v>60239.5</v>
      </c>
      <c r="AA136" s="19" t="n">
        <v>8.48357515205381</v>
      </c>
    </row>
    <row r="137" s="8" customFormat="true" ht="15" hidden="false" customHeight="false" outlineLevel="0" collapsed="false">
      <c r="A137" s="14"/>
      <c r="B137" s="15"/>
      <c r="C137" s="16" t="n">
        <v>41253</v>
      </c>
      <c r="D137" s="8" t="n">
        <v>5.1</v>
      </c>
      <c r="E137" s="8" t="n">
        <v>2.9</v>
      </c>
      <c r="F137" s="8" t="n">
        <v>8.4</v>
      </c>
      <c r="G137" s="8" t="n">
        <f aca="false">G136+D137</f>
        <v>1054.5</v>
      </c>
      <c r="J137" s="8" t="n">
        <v>0</v>
      </c>
      <c r="K137" s="8" t="n">
        <f aca="false">J137+K136</f>
        <v>288.6</v>
      </c>
      <c r="L137" s="8" t="n">
        <v>0.9</v>
      </c>
      <c r="M137" s="8" t="n">
        <f aca="false">M136+L137</f>
        <v>127.1</v>
      </c>
      <c r="N137" s="8" t="n">
        <v>-0.9</v>
      </c>
      <c r="O137" s="8" t="n">
        <f aca="false">O136+N137</f>
        <v>193.6</v>
      </c>
      <c r="P137" s="8" t="n">
        <v>97</v>
      </c>
      <c r="Q137" s="8" t="n">
        <f aca="false">0.35+((P137-9)/121)*(1-0.35)</f>
        <v>0.822727272727273</v>
      </c>
      <c r="R137" s="12" t="n">
        <f aca="false">Q137*L137</f>
        <v>0.740454545454546</v>
      </c>
      <c r="S137" s="12" t="n">
        <f aca="false">J137-R137</f>
        <v>-0.740454545454546</v>
      </c>
      <c r="T137" s="12" t="n">
        <f aca="false">MIN(197.4,T136+S137)</f>
        <v>196.659545454545</v>
      </c>
      <c r="V137" s="8" t="n">
        <v>530.8</v>
      </c>
      <c r="X137" s="8" t="n">
        <f aca="false">X136+V137</f>
        <v>60770.3</v>
      </c>
      <c r="AA137" s="19" t="n">
        <v>8.46413513870674</v>
      </c>
    </row>
    <row r="138" s="8" customFormat="true" ht="15" hidden="false" customHeight="false" outlineLevel="0" collapsed="false">
      <c r="A138" s="14"/>
      <c r="B138" s="20" t="n">
        <v>6</v>
      </c>
      <c r="C138" s="16" t="n">
        <v>41254</v>
      </c>
      <c r="D138" s="8" t="n">
        <v>1.5</v>
      </c>
      <c r="E138" s="8" t="n">
        <v>-0.2</v>
      </c>
      <c r="F138" s="8" t="n">
        <v>6.4</v>
      </c>
      <c r="G138" s="8" t="n">
        <f aca="false">G137+D138</f>
        <v>1056</v>
      </c>
      <c r="J138" s="8" t="n">
        <v>0</v>
      </c>
      <c r="K138" s="8" t="n">
        <f aca="false">J138+K137</f>
        <v>288.6</v>
      </c>
      <c r="L138" s="8" t="n">
        <v>1</v>
      </c>
      <c r="M138" s="8" t="n">
        <f aca="false">M137+L138</f>
        <v>128.1</v>
      </c>
      <c r="N138" s="8" t="n">
        <v>-1</v>
      </c>
      <c r="O138" s="8" t="n">
        <f aca="false">O137+N138</f>
        <v>192.6</v>
      </c>
      <c r="P138" s="8" t="n">
        <v>98</v>
      </c>
      <c r="Q138" s="8" t="n">
        <f aca="false">0.35+((P138-9)/121)*(1-0.35)</f>
        <v>0.828099173553719</v>
      </c>
      <c r="R138" s="12" t="n">
        <f aca="false">Q138*L138</f>
        <v>0.828099173553719</v>
      </c>
      <c r="S138" s="12" t="n">
        <f aca="false">J138-R138</f>
        <v>-0.828099173553719</v>
      </c>
      <c r="T138" s="12" t="n">
        <f aca="false">MIN(197.4,T137+S138)</f>
        <v>195.831446280992</v>
      </c>
      <c r="V138" s="8" t="n">
        <v>618.6</v>
      </c>
      <c r="X138" s="8" t="n">
        <f aca="false">X137+V138</f>
        <v>61388.9</v>
      </c>
      <c r="AA138" s="19" t="n">
        <v>8.44610269772272</v>
      </c>
    </row>
    <row r="139" s="8" customFormat="true" ht="15" hidden="false" customHeight="false" outlineLevel="0" collapsed="false">
      <c r="A139" s="14"/>
      <c r="B139" s="20" t="n">
        <v>7</v>
      </c>
      <c r="C139" s="16" t="n">
        <v>41255</v>
      </c>
      <c r="D139" s="8" t="n">
        <v>-1.3</v>
      </c>
      <c r="E139" s="8" t="n">
        <v>-3.7</v>
      </c>
      <c r="F139" s="8" t="n">
        <v>1.7</v>
      </c>
      <c r="G139" s="8" t="n">
        <v>1056</v>
      </c>
      <c r="J139" s="8" t="n">
        <v>1.4</v>
      </c>
      <c r="K139" s="8" t="n">
        <f aca="false">J139+K138</f>
        <v>290</v>
      </c>
      <c r="L139" s="8" t="n">
        <v>0.6</v>
      </c>
      <c r="M139" s="8" t="n">
        <f aca="false">M138+L139</f>
        <v>128.7</v>
      </c>
      <c r="N139" s="8" t="n">
        <v>0.8</v>
      </c>
      <c r="O139" s="8" t="n">
        <f aca="false">O138+N139</f>
        <v>193.4</v>
      </c>
      <c r="P139" s="8" t="n">
        <v>99</v>
      </c>
      <c r="Q139" s="8" t="n">
        <f aca="false">0.35+((P139-9)/121)*(1-0.35)</f>
        <v>0.833471074380165</v>
      </c>
      <c r="R139" s="12" t="n">
        <f aca="false">Q139*L139</f>
        <v>0.500082644628099</v>
      </c>
      <c r="S139" s="12" t="n">
        <f aca="false">J139-R139</f>
        <v>0.899917355371901</v>
      </c>
      <c r="T139" s="12" t="n">
        <f aca="false">MIN(197.4,T138+S139)</f>
        <v>196.731363636364</v>
      </c>
      <c r="V139" s="8" t="n">
        <v>567.6</v>
      </c>
      <c r="X139" s="8" t="n">
        <f aca="false">X138+V139</f>
        <v>61956.5</v>
      </c>
      <c r="AA139" s="19" t="n">
        <v>8.42949831914019</v>
      </c>
    </row>
    <row r="140" s="8" customFormat="true" ht="15" hidden="false" customHeight="false" outlineLevel="0" collapsed="false">
      <c r="A140" s="14"/>
      <c r="B140" s="20" t="n">
        <v>8</v>
      </c>
      <c r="C140" s="16" t="n">
        <v>41256</v>
      </c>
      <c r="D140" s="8" t="n">
        <v>3.2</v>
      </c>
      <c r="E140" s="8" t="n">
        <v>-0.8</v>
      </c>
      <c r="F140" s="8" t="n">
        <v>9</v>
      </c>
      <c r="G140" s="8" t="n">
        <f aca="false">G139+D140</f>
        <v>1059.2</v>
      </c>
      <c r="J140" s="8" t="n">
        <v>5.3</v>
      </c>
      <c r="K140" s="8" t="n">
        <f aca="false">J140+K139</f>
        <v>295.3</v>
      </c>
      <c r="L140" s="8" t="n">
        <v>0.6</v>
      </c>
      <c r="M140" s="8" t="n">
        <f aca="false">M139+L140</f>
        <v>129.3</v>
      </c>
      <c r="N140" s="8" t="n">
        <v>4.7</v>
      </c>
      <c r="O140" s="8" t="n">
        <v>197.4</v>
      </c>
      <c r="P140" s="8" t="n">
        <v>100</v>
      </c>
      <c r="Q140" s="8" t="n">
        <f aca="false">0.35+((P140-9)/121)*(1-0.35)</f>
        <v>0.838842975206612</v>
      </c>
      <c r="R140" s="12" t="n">
        <f aca="false">Q140*L140</f>
        <v>0.503305785123967</v>
      </c>
      <c r="S140" s="12" t="n">
        <f aca="false">J140-R140</f>
        <v>4.79669421487603</v>
      </c>
      <c r="T140" s="12" t="n">
        <f aca="false">MIN(197.4,T139+S140)</f>
        <v>197.4</v>
      </c>
      <c r="V140" s="8" t="n">
        <v>185.5</v>
      </c>
      <c r="X140" s="8" t="n">
        <f aca="false">X139+V140</f>
        <v>62142</v>
      </c>
      <c r="AA140" s="19" t="n">
        <v>8.41434114566637</v>
      </c>
    </row>
    <row r="141" s="8" customFormat="true" ht="15" hidden="false" customHeight="false" outlineLevel="0" collapsed="false">
      <c r="A141" s="14"/>
      <c r="B141" s="15"/>
      <c r="C141" s="16" t="n">
        <v>41257</v>
      </c>
      <c r="D141" s="8" t="n">
        <v>9.8</v>
      </c>
      <c r="E141" s="8" t="n">
        <v>6.3</v>
      </c>
      <c r="F141" s="8" t="n">
        <v>13.3</v>
      </c>
      <c r="G141" s="8" t="n">
        <f aca="false">G140+D141</f>
        <v>1069</v>
      </c>
      <c r="J141" s="8" t="n">
        <v>9.7</v>
      </c>
      <c r="K141" s="8" t="n">
        <f aca="false">J141+K140</f>
        <v>305</v>
      </c>
      <c r="L141" s="8" t="n">
        <v>0.6</v>
      </c>
      <c r="M141" s="8" t="n">
        <f aca="false">M140+L141</f>
        <v>129.9</v>
      </c>
      <c r="N141" s="8" t="n">
        <v>9.1</v>
      </c>
      <c r="O141" s="8" t="n">
        <v>197.4</v>
      </c>
      <c r="P141" s="8" t="n">
        <v>101</v>
      </c>
      <c r="Q141" s="8" t="n">
        <f aca="false">0.35+((P141-9)/121)*(1-0.35)</f>
        <v>0.844214876033058</v>
      </c>
      <c r="R141" s="12" t="n">
        <f aca="false">Q141*L141</f>
        <v>0.506528925619835</v>
      </c>
      <c r="S141" s="12" t="n">
        <f aca="false">J141-R141</f>
        <v>9.19347107438017</v>
      </c>
      <c r="T141" s="12" t="n">
        <f aca="false">MIN(197.4,T140+S141)</f>
        <v>197.4</v>
      </c>
      <c r="V141" s="8" t="n">
        <v>83.6</v>
      </c>
      <c r="X141" s="8" t="n">
        <f aca="false">X140+V141</f>
        <v>62225.6</v>
      </c>
      <c r="AA141" s="19" t="n">
        <v>8.40064889686631</v>
      </c>
    </row>
    <row r="142" s="8" customFormat="true" ht="15" hidden="false" customHeight="false" outlineLevel="0" collapsed="false">
      <c r="A142" s="14"/>
      <c r="B142" s="15"/>
      <c r="C142" s="16" t="n">
        <v>41258</v>
      </c>
      <c r="D142" s="8" t="n">
        <v>9.2</v>
      </c>
      <c r="E142" s="8" t="n">
        <v>7.5</v>
      </c>
      <c r="F142" s="8" t="n">
        <v>12.3</v>
      </c>
      <c r="G142" s="8" t="n">
        <f aca="false">G141+D142</f>
        <v>1078.2</v>
      </c>
      <c r="J142" s="8" t="n">
        <v>9.3</v>
      </c>
      <c r="K142" s="8" t="n">
        <f aca="false">J142+K141</f>
        <v>314.3</v>
      </c>
      <c r="L142" s="8" t="n">
        <v>1</v>
      </c>
      <c r="M142" s="8" t="n">
        <f aca="false">M141+L142</f>
        <v>130.9</v>
      </c>
      <c r="N142" s="8" t="n">
        <v>8.3</v>
      </c>
      <c r="O142" s="8" t="n">
        <v>197.4</v>
      </c>
      <c r="P142" s="8" t="n">
        <v>102</v>
      </c>
      <c r="Q142" s="8" t="n">
        <f aca="false">0.35+((P142-9)/121)*(1-0.35)</f>
        <v>0.849586776859504</v>
      </c>
      <c r="R142" s="12" t="n">
        <f aca="false">Q142*L142</f>
        <v>0.849586776859504</v>
      </c>
      <c r="S142" s="12" t="n">
        <f aca="false">J142-R142</f>
        <v>8.4504132231405</v>
      </c>
      <c r="T142" s="12" t="n">
        <f aca="false">MIN(197.4,T141+S142)</f>
        <v>197.4</v>
      </c>
      <c r="V142" s="8" t="n">
        <v>250.5</v>
      </c>
      <c r="X142" s="8" t="n">
        <f aca="false">X141+V142</f>
        <v>62476.1</v>
      </c>
      <c r="AA142" s="19" t="n">
        <v>8.38843779775846</v>
      </c>
    </row>
    <row r="143" s="8" customFormat="true" ht="15" hidden="false" customHeight="false" outlineLevel="0" collapsed="false">
      <c r="A143" s="14"/>
      <c r="B143" s="15"/>
      <c r="C143" s="16" t="n">
        <v>41259</v>
      </c>
      <c r="D143" s="8" t="n">
        <v>8.8</v>
      </c>
      <c r="E143" s="8" t="n">
        <v>7.2</v>
      </c>
      <c r="F143" s="8" t="n">
        <v>11.1</v>
      </c>
      <c r="G143" s="8" t="n">
        <f aca="false">G142+D143</f>
        <v>1087</v>
      </c>
      <c r="J143" s="8" t="n">
        <v>4.1</v>
      </c>
      <c r="K143" s="8" t="n">
        <f aca="false">J143+K142</f>
        <v>318.4</v>
      </c>
      <c r="L143" s="8" t="n">
        <v>0.8</v>
      </c>
      <c r="M143" s="8" t="n">
        <f aca="false">M142+L143</f>
        <v>131.7</v>
      </c>
      <c r="N143" s="8" t="n">
        <v>3.3</v>
      </c>
      <c r="O143" s="8" t="n">
        <v>197.4</v>
      </c>
      <c r="P143" s="8" t="n">
        <v>103</v>
      </c>
      <c r="Q143" s="8" t="n">
        <f aca="false">0.35+((P143-9)/121)*(1-0.35)</f>
        <v>0.85495867768595</v>
      </c>
      <c r="R143" s="12" t="n">
        <f aca="false">Q143*L143</f>
        <v>0.68396694214876</v>
      </c>
      <c r="S143" s="12" t="n">
        <f aca="false">J143-R143</f>
        <v>3.41603305785124</v>
      </c>
      <c r="T143" s="12" t="n">
        <f aca="false">MIN(197.4,T142+S143)</f>
        <v>197.4</v>
      </c>
      <c r="V143" s="8" t="n">
        <v>349.1</v>
      </c>
      <c r="X143" s="8" t="n">
        <f aca="false">X142+V143</f>
        <v>62825.2</v>
      </c>
      <c r="AA143" s="19" t="n">
        <v>8.37772251239516</v>
      </c>
    </row>
    <row r="144" s="8" customFormat="true" ht="15" hidden="false" customHeight="false" outlineLevel="0" collapsed="false">
      <c r="A144" s="14"/>
      <c r="B144" s="15"/>
      <c r="C144" s="16" t="n">
        <v>41260</v>
      </c>
      <c r="D144" s="8" t="n">
        <v>8.3</v>
      </c>
      <c r="E144" s="8" t="n">
        <v>7</v>
      </c>
      <c r="F144" s="8" t="n">
        <v>10.9</v>
      </c>
      <c r="G144" s="8" t="n">
        <f aca="false">G143+D144</f>
        <v>1095.3</v>
      </c>
      <c r="J144" s="8" t="n">
        <v>0.6</v>
      </c>
      <c r="K144" s="8" t="n">
        <f aca="false">J144+K143</f>
        <v>319</v>
      </c>
      <c r="L144" s="8" t="n">
        <v>1.2</v>
      </c>
      <c r="M144" s="8" t="n">
        <f aca="false">M143+L144</f>
        <v>132.9</v>
      </c>
      <c r="N144" s="8" t="n">
        <v>-0.6</v>
      </c>
      <c r="O144" s="8" t="n">
        <f aca="false">O143+N144</f>
        <v>196.8</v>
      </c>
      <c r="P144" s="8" t="n">
        <v>104</v>
      </c>
      <c r="Q144" s="8" t="n">
        <f aca="false">0.35+((P144-9)/121)*(1-0.35)</f>
        <v>0.860330578512397</v>
      </c>
      <c r="R144" s="12" t="n">
        <f aca="false">Q144*L144</f>
        <v>1.03239669421488</v>
      </c>
      <c r="S144" s="12" t="n">
        <f aca="false">J144-R144</f>
        <v>-0.432396694214876</v>
      </c>
      <c r="T144" s="12" t="n">
        <f aca="false">MIN(197.4,T143+S144)</f>
        <v>196.967603305785</v>
      </c>
      <c r="V144" s="8" t="n">
        <v>223.9</v>
      </c>
      <c r="X144" s="8" t="n">
        <f aca="false">X143+V144</f>
        <v>63049.1</v>
      </c>
      <c r="AA144" s="19" t="n">
        <v>8.36851608297802</v>
      </c>
    </row>
    <row r="145" s="8" customFormat="true" ht="15" hidden="false" customHeight="false" outlineLevel="0" collapsed="false">
      <c r="A145" s="14"/>
      <c r="B145" s="15"/>
      <c r="C145" s="16" t="n">
        <v>41261</v>
      </c>
      <c r="D145" s="8" t="n">
        <v>7.3</v>
      </c>
      <c r="E145" s="8" t="n">
        <v>6.4</v>
      </c>
      <c r="F145" s="8" t="n">
        <v>9.6</v>
      </c>
      <c r="G145" s="8" t="n">
        <f aca="false">G144+D145</f>
        <v>1102.6</v>
      </c>
      <c r="J145" s="8" t="n">
        <v>8.5</v>
      </c>
      <c r="K145" s="8" t="n">
        <f aca="false">J145+K144</f>
        <v>327.5</v>
      </c>
      <c r="L145" s="8" t="n">
        <v>0.6</v>
      </c>
      <c r="M145" s="8" t="n">
        <f aca="false">M144+L145</f>
        <v>133.5</v>
      </c>
      <c r="N145" s="8" t="n">
        <v>7.9</v>
      </c>
      <c r="O145" s="8" t="n">
        <v>197.4</v>
      </c>
      <c r="P145" s="8" t="n">
        <v>105</v>
      </c>
      <c r="Q145" s="8" t="n">
        <f aca="false">0.35+((P145-9)/121)*(1-0.35)</f>
        <v>0.865702479338843</v>
      </c>
      <c r="R145" s="12" t="n">
        <f aca="false">Q145*L145</f>
        <v>0.519421487603306</v>
      </c>
      <c r="S145" s="12" t="n">
        <f aca="false">J145-R145</f>
        <v>7.98057851239669</v>
      </c>
      <c r="T145" s="12" t="n">
        <f aca="false">MIN(197.4,T144+S145)</f>
        <v>197.4</v>
      </c>
      <c r="V145" s="8" t="n">
        <v>152.4</v>
      </c>
      <c r="X145" s="8" t="n">
        <f aca="false">X144+V145</f>
        <v>63201.5</v>
      </c>
      <c r="AA145" s="19" t="n">
        <v>8.36082987502309</v>
      </c>
    </row>
    <row r="146" s="8" customFormat="true" ht="15" hidden="false" customHeight="false" outlineLevel="0" collapsed="false">
      <c r="A146" s="14"/>
      <c r="B146" s="15"/>
      <c r="C146" s="16" t="n">
        <v>41262</v>
      </c>
      <c r="D146" s="8" t="n">
        <v>10</v>
      </c>
      <c r="E146" s="8" t="n">
        <v>6.1</v>
      </c>
      <c r="F146" s="8" t="n">
        <v>12.2</v>
      </c>
      <c r="G146" s="8" t="n">
        <f aca="false">G145+D146</f>
        <v>1112.6</v>
      </c>
      <c r="J146" s="8" t="n">
        <v>20.8</v>
      </c>
      <c r="K146" s="8" t="n">
        <f aca="false">J146+K145</f>
        <v>348.3</v>
      </c>
      <c r="L146" s="8" t="n">
        <v>0.2</v>
      </c>
      <c r="M146" s="8" t="n">
        <f aca="false">M145+L146</f>
        <v>133.7</v>
      </c>
      <c r="N146" s="8" t="n">
        <v>20.6</v>
      </c>
      <c r="O146" s="8" t="n">
        <v>197.4</v>
      </c>
      <c r="P146" s="8" t="n">
        <v>106</v>
      </c>
      <c r="Q146" s="8" t="n">
        <f aca="false">0.35+((P146-9)/121)*(1-0.35)</f>
        <v>0.871074380165289</v>
      </c>
      <c r="R146" s="12" t="n">
        <f aca="false">Q146*L146</f>
        <v>0.174214876033058</v>
      </c>
      <c r="S146" s="12" t="n">
        <f aca="false">J146-R146</f>
        <v>20.6257851239669</v>
      </c>
      <c r="T146" s="12" t="n">
        <f aca="false">MIN(197.4,T145+S146)</f>
        <v>197.4</v>
      </c>
      <c r="V146" s="8" t="n">
        <v>65.4</v>
      </c>
      <c r="X146" s="8" t="n">
        <f aca="false">X145+V146</f>
        <v>63266.9</v>
      </c>
      <c r="AA146" s="19" t="n">
        <v>8.35467352904764</v>
      </c>
    </row>
    <row r="147" s="8" customFormat="true" ht="15" hidden="false" customHeight="false" outlineLevel="0" collapsed="false">
      <c r="A147" s="14"/>
      <c r="B147" s="15"/>
      <c r="C147" s="16" t="n">
        <v>41263</v>
      </c>
      <c r="D147" s="8" t="n">
        <v>10.2</v>
      </c>
      <c r="E147" s="8" t="n">
        <v>9.4</v>
      </c>
      <c r="F147" s="8" t="n">
        <v>12.1</v>
      </c>
      <c r="G147" s="8" t="n">
        <f aca="false">G146+D147</f>
        <v>1122.8</v>
      </c>
      <c r="J147" s="8" t="n">
        <v>2.6</v>
      </c>
      <c r="K147" s="8" t="n">
        <f aca="false">J147+K146</f>
        <v>350.9</v>
      </c>
      <c r="L147" s="8" t="n">
        <v>0.7</v>
      </c>
      <c r="M147" s="8" t="n">
        <f aca="false">M146+L147</f>
        <v>134.4</v>
      </c>
      <c r="N147" s="8" t="n">
        <v>1.9</v>
      </c>
      <c r="O147" s="8" t="n">
        <v>197.4</v>
      </c>
      <c r="P147" s="8" t="n">
        <v>107</v>
      </c>
      <c r="Q147" s="8" t="n">
        <f aca="false">0.35+((P147-9)/121)*(1-0.35)</f>
        <v>0.876446280991736</v>
      </c>
      <c r="R147" s="12" t="n">
        <f aca="false">Q147*L147</f>
        <v>0.613512396694215</v>
      </c>
      <c r="S147" s="12" t="n">
        <f aca="false">J147-R147</f>
        <v>1.98648760330579</v>
      </c>
      <c r="T147" s="12" t="n">
        <f aca="false">MIN(197.4,T146+S147)</f>
        <v>197.4</v>
      </c>
      <c r="V147" s="8" t="n">
        <v>231.1</v>
      </c>
      <c r="X147" s="8" t="n">
        <f aca="false">X146+V147</f>
        <v>63498</v>
      </c>
      <c r="AA147" s="19" t="n">
        <v>8.35005491920091</v>
      </c>
    </row>
    <row r="148" s="8" customFormat="true" ht="15" hidden="false" customHeight="false" outlineLevel="0" collapsed="false">
      <c r="A148" s="14"/>
      <c r="B148" s="15"/>
      <c r="C148" s="16" t="n">
        <v>41264</v>
      </c>
      <c r="D148" s="8" t="n">
        <v>8.5</v>
      </c>
      <c r="E148" s="8" t="n">
        <v>7.6</v>
      </c>
      <c r="F148" s="8" t="n">
        <v>10.3</v>
      </c>
      <c r="G148" s="8" t="n">
        <f aca="false">G147+D148</f>
        <v>1131.3</v>
      </c>
      <c r="J148" s="8" t="n">
        <v>10.4</v>
      </c>
      <c r="K148" s="8" t="n">
        <f aca="false">J148+K147</f>
        <v>361.3</v>
      </c>
      <c r="L148" s="8" t="n">
        <v>0.4</v>
      </c>
      <c r="M148" s="8" t="n">
        <f aca="false">M147+L148</f>
        <v>134.8</v>
      </c>
      <c r="N148" s="8" t="n">
        <v>10</v>
      </c>
      <c r="O148" s="8" t="n">
        <v>197.4</v>
      </c>
      <c r="P148" s="8" t="n">
        <v>108</v>
      </c>
      <c r="Q148" s="8" t="n">
        <f aca="false">0.35+((P148-9)/121)*(1-0.35)</f>
        <v>0.881818181818182</v>
      </c>
      <c r="R148" s="12" t="n">
        <f aca="false">Q148*L148</f>
        <v>0.352727272727273</v>
      </c>
      <c r="S148" s="12" t="n">
        <f aca="false">J148-R148</f>
        <v>10.0472727272727</v>
      </c>
      <c r="T148" s="12" t="n">
        <f aca="false">MIN(197.4,T147+S148)</f>
        <v>197.4</v>
      </c>
      <c r="V148" s="8" t="n">
        <v>193.1</v>
      </c>
      <c r="X148" s="8" t="n">
        <f aca="false">X147+V148</f>
        <v>63691.1</v>
      </c>
      <c r="AA148" s="19" t="n">
        <v>8.34698011920513</v>
      </c>
    </row>
    <row r="149" s="8" customFormat="true" ht="15" hidden="false" customHeight="false" outlineLevel="0" collapsed="false">
      <c r="A149" s="14"/>
      <c r="B149" s="15"/>
      <c r="C149" s="16" t="n">
        <v>41265</v>
      </c>
      <c r="D149" s="8" t="n">
        <v>12.6</v>
      </c>
      <c r="E149" s="8" t="n">
        <v>8.1</v>
      </c>
      <c r="F149" s="8" t="n">
        <v>16.2</v>
      </c>
      <c r="G149" s="8" t="n">
        <f aca="false">G148+D149</f>
        <v>1143.9</v>
      </c>
      <c r="J149" s="8" t="n">
        <v>1.1</v>
      </c>
      <c r="K149" s="8" t="n">
        <f aca="false">J149+K148</f>
        <v>362.4</v>
      </c>
      <c r="L149" s="8" t="n">
        <v>0.5</v>
      </c>
      <c r="M149" s="8" t="n">
        <f aca="false">M148+L149</f>
        <v>135.3</v>
      </c>
      <c r="N149" s="8" t="n">
        <v>0.6</v>
      </c>
      <c r="O149" s="8" t="n">
        <v>197.4</v>
      </c>
      <c r="P149" s="8" t="n">
        <v>109</v>
      </c>
      <c r="Q149" s="8" t="n">
        <f aca="false">0.35+((P149-9)/121)*(1-0.35)</f>
        <v>0.887190082644628</v>
      </c>
      <c r="R149" s="12" t="n">
        <f aca="false">Q149*L149</f>
        <v>0.443595041322314</v>
      </c>
      <c r="S149" s="12" t="n">
        <f aca="false">J149-R149</f>
        <v>0.656404958677686</v>
      </c>
      <c r="T149" s="12" t="n">
        <f aca="false">MIN(197.4,T148+S149)</f>
        <v>197.4</v>
      </c>
      <c r="V149" s="8" t="n">
        <v>68.3</v>
      </c>
      <c r="X149" s="8" t="n">
        <f aca="false">X148+V149</f>
        <v>63759.4</v>
      </c>
      <c r="AA149" s="19" t="n">
        <v>8.34545337591164</v>
      </c>
    </row>
    <row r="150" s="8" customFormat="true" ht="15" hidden="false" customHeight="false" outlineLevel="0" collapsed="false">
      <c r="A150" s="14"/>
      <c r="B150" s="15"/>
      <c r="C150" s="16" t="n">
        <v>41266</v>
      </c>
      <c r="D150" s="8" t="n">
        <v>13.6</v>
      </c>
      <c r="E150" s="8" t="n">
        <v>13.4</v>
      </c>
      <c r="F150" s="8" t="n">
        <v>13.9</v>
      </c>
      <c r="G150" s="8" t="n">
        <f aca="false">G149+D150</f>
        <v>1157.5</v>
      </c>
      <c r="J150" s="8" t="n">
        <v>0.2</v>
      </c>
      <c r="K150" s="8" t="n">
        <f aca="false">J150+K149</f>
        <v>362.6</v>
      </c>
      <c r="L150" s="8" t="n">
        <v>1</v>
      </c>
      <c r="M150" s="8" t="n">
        <f aca="false">M149+L150</f>
        <v>136.3</v>
      </c>
      <c r="N150" s="8" t="n">
        <v>-0.8</v>
      </c>
      <c r="O150" s="8" t="n">
        <f aca="false">O149+N150</f>
        <v>196.6</v>
      </c>
      <c r="P150" s="8" t="n">
        <v>110</v>
      </c>
      <c r="Q150" s="8" t="n">
        <f aca="false">0.35+((P150-9)/121)*(1-0.35)</f>
        <v>0.892561983471074</v>
      </c>
      <c r="R150" s="12" t="n">
        <f aca="false">Q150*L150</f>
        <v>0.892561983471074</v>
      </c>
      <c r="S150" s="12" t="n">
        <f aca="false">J150-R150</f>
        <v>-0.692561983471074</v>
      </c>
      <c r="T150" s="12" t="n">
        <f aca="false">MIN(197.4,T149+S150)</f>
        <v>196.707438016529</v>
      </c>
      <c r="V150" s="8" t="n">
        <v>136.4</v>
      </c>
      <c r="X150" s="8" t="n">
        <f aca="false">X149+V150</f>
        <v>63895.8</v>
      </c>
      <c r="AA150" s="19" t="n">
        <v>8.34547709071098</v>
      </c>
    </row>
    <row r="151" s="8" customFormat="true" ht="15" hidden="false" customHeight="false" outlineLevel="0" collapsed="false">
      <c r="A151" s="14"/>
      <c r="B151" s="15"/>
      <c r="C151" s="16" t="n">
        <v>41267</v>
      </c>
      <c r="D151" s="8" t="n">
        <v>11.4</v>
      </c>
      <c r="E151" s="8" t="n">
        <v>9.5</v>
      </c>
      <c r="F151" s="8" t="n">
        <v>13.5</v>
      </c>
      <c r="G151" s="8" t="n">
        <f aca="false">G150+D151</f>
        <v>1168.9</v>
      </c>
      <c r="J151" s="8" t="n">
        <v>4.9</v>
      </c>
      <c r="K151" s="8" t="n">
        <f aca="false">J151+K150</f>
        <v>367.5</v>
      </c>
      <c r="L151" s="8" t="n">
        <v>1</v>
      </c>
      <c r="M151" s="8" t="n">
        <f aca="false">M150+L151</f>
        <v>137.3</v>
      </c>
      <c r="N151" s="8" t="n">
        <v>3.9</v>
      </c>
      <c r="O151" s="8" t="n">
        <v>197.4</v>
      </c>
      <c r="P151" s="8" t="n">
        <v>111</v>
      </c>
      <c r="Q151" s="8" t="n">
        <f aca="false">0.35+((P151-9)/121)*(1-0.35)</f>
        <v>0.897933884297521</v>
      </c>
      <c r="R151" s="12" t="n">
        <f aca="false">Q151*L151</f>
        <v>0.897933884297521</v>
      </c>
      <c r="S151" s="12" t="n">
        <f aca="false">J151-R151</f>
        <v>4.00206611570248</v>
      </c>
      <c r="T151" s="12" t="n">
        <f aca="false">MIN(197.4,T150+S151)</f>
        <v>197.4</v>
      </c>
      <c r="V151" s="8" t="n">
        <v>450</v>
      </c>
      <c r="X151" s="8" t="n">
        <f aca="false">X150+V151</f>
        <v>64345.8</v>
      </c>
      <c r="AA151" s="19" t="n">
        <v>8.34705180896561</v>
      </c>
    </row>
    <row r="152" s="8" customFormat="true" ht="15" hidden="false" customHeight="false" outlineLevel="0" collapsed="false">
      <c r="A152" s="14"/>
      <c r="B152" s="15"/>
      <c r="C152" s="16" t="n">
        <v>41268</v>
      </c>
      <c r="D152" s="8" t="n">
        <v>10</v>
      </c>
      <c r="E152" s="8" t="n">
        <v>9.3</v>
      </c>
      <c r="F152" s="8" t="n">
        <v>12.7</v>
      </c>
      <c r="G152" s="8" t="n">
        <f aca="false">G151+D152</f>
        <v>1178.9</v>
      </c>
      <c r="J152" s="8" t="n">
        <v>1.9</v>
      </c>
      <c r="K152" s="8" t="n">
        <f aca="false">J152+K151</f>
        <v>369.4</v>
      </c>
      <c r="L152" s="8" t="n">
        <v>1.5</v>
      </c>
      <c r="M152" s="8" t="n">
        <f aca="false">M151+L152</f>
        <v>138.8</v>
      </c>
      <c r="N152" s="8" t="n">
        <v>0.4</v>
      </c>
      <c r="O152" s="8" t="n">
        <v>197.4</v>
      </c>
      <c r="P152" s="8" t="n">
        <v>112</v>
      </c>
      <c r="Q152" s="8" t="n">
        <f aca="false">0.35+((P152-9)/121)*(1-0.35)</f>
        <v>0.903305785123967</v>
      </c>
      <c r="R152" s="12" t="n">
        <f aca="false">Q152*L152</f>
        <v>1.35495867768595</v>
      </c>
      <c r="S152" s="12" t="n">
        <f aca="false">J152-R152</f>
        <v>0.54504132231405</v>
      </c>
      <c r="T152" s="12" t="n">
        <f aca="false">MIN(197.4,T151+S152)</f>
        <v>197.4</v>
      </c>
      <c r="V152" s="8" t="n">
        <v>330.7</v>
      </c>
      <c r="X152" s="8" t="n">
        <f aca="false">X151+V152</f>
        <v>64676.5</v>
      </c>
      <c r="AA152" s="19" t="n">
        <v>8.35017621756187</v>
      </c>
    </row>
    <row r="153" s="8" customFormat="true" ht="15" hidden="false" customHeight="false" outlineLevel="0" collapsed="false">
      <c r="A153" s="14"/>
      <c r="B153" s="15"/>
      <c r="C153" s="16" t="n">
        <v>41269</v>
      </c>
      <c r="D153" s="8" t="n">
        <v>9.6</v>
      </c>
      <c r="E153" s="8" t="n">
        <v>6.8</v>
      </c>
      <c r="F153" s="8" t="n">
        <v>12.9</v>
      </c>
      <c r="G153" s="8" t="n">
        <f aca="false">G152+D153</f>
        <v>1188.5</v>
      </c>
      <c r="J153" s="8" t="n">
        <v>7</v>
      </c>
      <c r="K153" s="8" t="n">
        <f aca="false">J153+K152</f>
        <v>376.4</v>
      </c>
      <c r="L153" s="8" t="n">
        <v>1.2</v>
      </c>
      <c r="M153" s="8" t="n">
        <f aca="false">M152+L153</f>
        <v>140</v>
      </c>
      <c r="N153" s="8" t="n">
        <v>5.8</v>
      </c>
      <c r="O153" s="8" t="n">
        <v>197.4</v>
      </c>
      <c r="P153" s="8" t="n">
        <v>113</v>
      </c>
      <c r="Q153" s="8" t="n">
        <f aca="false">0.35+((P153-9)/121)*(1-0.35)</f>
        <v>0.908677685950413</v>
      </c>
      <c r="R153" s="12" t="n">
        <f aca="false">Q153*L153</f>
        <v>1.0904132231405</v>
      </c>
      <c r="S153" s="12" t="n">
        <f aca="false">J153-R153</f>
        <v>5.9095867768595</v>
      </c>
      <c r="T153" s="12" t="n">
        <f aca="false">MIN(197.4,T152+S153)</f>
        <v>197.4</v>
      </c>
      <c r="V153" s="8" t="n">
        <v>440.6</v>
      </c>
      <c r="X153" s="8" t="n">
        <f aca="false">X152+V153</f>
        <v>65117.1</v>
      </c>
      <c r="AA153" s="19" t="n">
        <v>8.35484715060337</v>
      </c>
    </row>
    <row r="154" s="8" customFormat="true" ht="15" hidden="false" customHeight="false" outlineLevel="0" collapsed="false">
      <c r="A154" s="14"/>
      <c r="B154" s="15"/>
      <c r="C154" s="16" t="n">
        <v>41270</v>
      </c>
      <c r="D154" s="8" t="n">
        <v>10</v>
      </c>
      <c r="E154" s="8" t="n">
        <v>9.6</v>
      </c>
      <c r="F154" s="8" t="n">
        <v>11.8</v>
      </c>
      <c r="G154" s="8" t="n">
        <f aca="false">G153+D154</f>
        <v>1198.5</v>
      </c>
      <c r="J154" s="8" t="n">
        <v>0.7</v>
      </c>
      <c r="K154" s="8" t="n">
        <f aca="false">J154+K153</f>
        <v>377.1</v>
      </c>
      <c r="L154" s="8" t="n">
        <v>1.6</v>
      </c>
      <c r="M154" s="8" t="n">
        <f aca="false">M153+L154</f>
        <v>141.6</v>
      </c>
      <c r="N154" s="8" t="n">
        <v>-0.9</v>
      </c>
      <c r="O154" s="8" t="n">
        <f aca="false">O153+N154</f>
        <v>196.5</v>
      </c>
      <c r="P154" s="8" t="n">
        <v>114</v>
      </c>
      <c r="Q154" s="8" t="n">
        <f aca="false">0.35+((P154-9)/121)*(1-0.35)</f>
        <v>0.91404958677686</v>
      </c>
      <c r="R154" s="12" t="n">
        <f aca="false">Q154*L154</f>
        <v>1.46247933884298</v>
      </c>
      <c r="S154" s="12" t="n">
        <f aca="false">J154-R154</f>
        <v>-0.762479338842975</v>
      </c>
      <c r="T154" s="12" t="n">
        <f aca="false">MIN(197.4,T153+S154)</f>
        <v>196.637520661157</v>
      </c>
      <c r="V154" s="8" t="n">
        <v>198.4</v>
      </c>
      <c r="X154" s="8" t="n">
        <f aca="false">X153+V154</f>
        <v>65315.5</v>
      </c>
      <c r="AA154" s="19" t="n">
        <v>8.36105960319404</v>
      </c>
    </row>
    <row r="155" s="8" customFormat="true" ht="15" hidden="false" customHeight="false" outlineLevel="0" collapsed="false">
      <c r="A155" s="14"/>
      <c r="B155" s="15"/>
      <c r="C155" s="16" t="n">
        <v>41271</v>
      </c>
      <c r="D155" s="8" t="n">
        <v>11.5</v>
      </c>
      <c r="E155" s="8" t="n">
        <v>9.1</v>
      </c>
      <c r="F155" s="8" t="n">
        <v>12.5</v>
      </c>
      <c r="G155" s="8" t="n">
        <f aca="false">G154+D155</f>
        <v>1210</v>
      </c>
      <c r="J155" s="8" t="n">
        <v>0.6</v>
      </c>
      <c r="K155" s="8" t="n">
        <f aca="false">J155+K154</f>
        <v>377.7</v>
      </c>
      <c r="L155" s="8" t="n">
        <v>0.3</v>
      </c>
      <c r="M155" s="8" t="n">
        <f aca="false">M154+L155</f>
        <v>141.9</v>
      </c>
      <c r="N155" s="8" t="n">
        <v>0.3</v>
      </c>
      <c r="O155" s="8" t="n">
        <f aca="false">O154+N155</f>
        <v>196.8</v>
      </c>
      <c r="P155" s="8" t="n">
        <v>115</v>
      </c>
      <c r="Q155" s="8" t="n">
        <f aca="false">0.35+((P155-9)/121)*(1-0.35)</f>
        <v>0.919421487603306</v>
      </c>
      <c r="R155" s="12" t="n">
        <f aca="false">Q155*L155</f>
        <v>0.275826446280992</v>
      </c>
      <c r="S155" s="12" t="n">
        <f aca="false">J155-R155</f>
        <v>0.324173553719008</v>
      </c>
      <c r="T155" s="12" t="n">
        <f aca="false">MIN(197.4,T154+S155)</f>
        <v>196.961694214876</v>
      </c>
      <c r="V155" s="8" t="n">
        <v>131.2</v>
      </c>
      <c r="X155" s="8" t="n">
        <f aca="false">X154+V155</f>
        <v>65446.7</v>
      </c>
      <c r="AA155" s="19" t="n">
        <v>8.36880675318514</v>
      </c>
    </row>
    <row r="156" s="8" customFormat="true" ht="15" hidden="false" customHeight="false" outlineLevel="0" collapsed="false">
      <c r="A156" s="14"/>
      <c r="B156" s="15"/>
      <c r="C156" s="16" t="n">
        <v>41272</v>
      </c>
      <c r="D156" s="8" t="n">
        <v>9.6</v>
      </c>
      <c r="E156" s="8" t="n">
        <v>8.1</v>
      </c>
      <c r="F156" s="8" t="n">
        <v>12.9</v>
      </c>
      <c r="G156" s="8" t="n">
        <f aca="false">G155+D156</f>
        <v>1219.6</v>
      </c>
      <c r="J156" s="8" t="n">
        <v>2.8</v>
      </c>
      <c r="K156" s="8" t="n">
        <f aca="false">J156+K155</f>
        <v>380.5</v>
      </c>
      <c r="L156" s="8" t="n">
        <v>1.1</v>
      </c>
      <c r="M156" s="8" t="n">
        <f aca="false">M155+L156</f>
        <v>143</v>
      </c>
      <c r="N156" s="8" t="n">
        <v>1.7</v>
      </c>
      <c r="O156" s="8" t="n">
        <v>197.4</v>
      </c>
      <c r="P156" s="8" t="n">
        <v>116</v>
      </c>
      <c r="Q156" s="8" t="n">
        <f aca="false">0.35+((P156-9)/121)*(1-0.35)</f>
        <v>0.924793388429752</v>
      </c>
      <c r="R156" s="12" t="n">
        <f aca="false">Q156*L156</f>
        <v>1.01727272727273</v>
      </c>
      <c r="S156" s="12" t="n">
        <f aca="false">J156-R156</f>
        <v>1.78272727272727</v>
      </c>
      <c r="T156" s="12" t="n">
        <f aca="false">MIN(197.4,T155+S156)</f>
        <v>197.4</v>
      </c>
      <c r="V156" s="8" t="n">
        <v>113.3</v>
      </c>
      <c r="X156" s="8" t="n">
        <f aca="false">X155+V156</f>
        <v>65560</v>
      </c>
      <c r="AA156" s="19" t="n">
        <v>8.37807999068939</v>
      </c>
    </row>
    <row r="157" s="8" customFormat="true" ht="15" hidden="false" customHeight="false" outlineLevel="0" collapsed="false">
      <c r="A157" s="14"/>
      <c r="B157" s="15"/>
      <c r="C157" s="16" t="n">
        <v>41273</v>
      </c>
      <c r="D157" s="8" t="n">
        <v>8.5</v>
      </c>
      <c r="E157" s="8" t="n">
        <v>6.6</v>
      </c>
      <c r="F157" s="8" t="n">
        <v>11.2</v>
      </c>
      <c r="G157" s="8" t="n">
        <f aca="false">G156+D157</f>
        <v>1228.1</v>
      </c>
      <c r="J157" s="8" t="n">
        <v>0.5</v>
      </c>
      <c r="K157" s="8" t="n">
        <f aca="false">J157+K156</f>
        <v>381</v>
      </c>
      <c r="L157" s="8" t="n">
        <v>1.1</v>
      </c>
      <c r="M157" s="8" t="n">
        <f aca="false">M156+L157</f>
        <v>144.1</v>
      </c>
      <c r="N157" s="8" t="n">
        <v>-0.6</v>
      </c>
      <c r="O157" s="8" t="n">
        <f aca="false">O156+N157</f>
        <v>196.8</v>
      </c>
      <c r="P157" s="8" t="n">
        <v>117</v>
      </c>
      <c r="Q157" s="8" t="n">
        <f aca="false">0.35+((P157-9)/121)*(1-0.35)</f>
        <v>0.930165289256198</v>
      </c>
      <c r="R157" s="12" t="n">
        <f aca="false">Q157*L157</f>
        <v>1.02318181818182</v>
      </c>
      <c r="S157" s="12" t="n">
        <f aca="false">J157-R157</f>
        <v>-0.523181818181818</v>
      </c>
      <c r="T157" s="12" t="n">
        <f aca="false">MIN(197.4,T156+S157)</f>
        <v>196.876818181818</v>
      </c>
      <c r="V157" s="8" t="n">
        <v>416.6</v>
      </c>
      <c r="X157" s="8" t="n">
        <f aca="false">X156+V157</f>
        <v>65976.6</v>
      </c>
      <c r="AA157" s="19" t="n">
        <v>8.38886895509656</v>
      </c>
    </row>
    <row r="158" s="8" customFormat="true" ht="15" hidden="false" customHeight="false" outlineLevel="0" collapsed="false">
      <c r="A158" s="14"/>
      <c r="B158" s="15"/>
      <c r="C158" s="16" t="n">
        <v>41274</v>
      </c>
      <c r="D158" s="8" t="n">
        <v>10.2</v>
      </c>
      <c r="E158" s="8" t="n">
        <v>8.1</v>
      </c>
      <c r="F158" s="8" t="n">
        <v>11.3</v>
      </c>
      <c r="G158" s="8" t="n">
        <f aca="false">G157+D158</f>
        <v>1238.3</v>
      </c>
      <c r="J158" s="8" t="n">
        <v>16.9</v>
      </c>
      <c r="K158" s="8" t="n">
        <f aca="false">J158+K157</f>
        <v>397.9</v>
      </c>
      <c r="L158" s="8" t="n">
        <v>0.4</v>
      </c>
      <c r="M158" s="8" t="n">
        <f aca="false">M157+L158</f>
        <v>144.5</v>
      </c>
      <c r="N158" s="8" t="n">
        <v>16.5</v>
      </c>
      <c r="O158" s="8" t="n">
        <v>197.4</v>
      </c>
      <c r="P158" s="8" t="n">
        <v>118</v>
      </c>
      <c r="Q158" s="8" t="n">
        <f aca="false">0.35+((P158-9)/121)*(1-0.35)</f>
        <v>0.935537190082645</v>
      </c>
      <c r="R158" s="12" t="n">
        <f aca="false">Q158*L158</f>
        <v>0.374214876033058</v>
      </c>
      <c r="S158" s="12" t="n">
        <f aca="false">J158-R158</f>
        <v>16.5257851239669</v>
      </c>
      <c r="T158" s="12" t="n">
        <f aca="false">MIN(197.4,T157+S158)</f>
        <v>197.4</v>
      </c>
      <c r="V158" s="8" t="n">
        <v>106.5</v>
      </c>
      <c r="X158" s="8" t="n">
        <f aca="false">X157+V158</f>
        <v>66083.1</v>
      </c>
      <c r="AA158" s="19" t="n">
        <v>8.40116157926066</v>
      </c>
    </row>
    <row r="159" s="8" customFormat="true" ht="15" hidden="false" customHeight="false" outlineLevel="0" collapsed="false">
      <c r="A159" s="14"/>
      <c r="B159" s="15"/>
      <c r="C159" s="16" t="n">
        <v>41275</v>
      </c>
      <c r="D159" s="8" t="n">
        <v>7.2</v>
      </c>
      <c r="E159" s="8" t="n">
        <v>5.8</v>
      </c>
      <c r="F159" s="8" t="n">
        <v>9.6</v>
      </c>
      <c r="G159" s="8" t="n">
        <f aca="false">G158+D159</f>
        <v>1245.5</v>
      </c>
      <c r="J159" s="8" t="n">
        <v>1.7</v>
      </c>
      <c r="K159" s="8" t="n">
        <f aca="false">J159+K158</f>
        <v>399.6</v>
      </c>
      <c r="L159" s="8" t="n">
        <v>0.7</v>
      </c>
      <c r="M159" s="8" t="n">
        <f aca="false">M158+L159</f>
        <v>145.2</v>
      </c>
      <c r="N159" s="8" t="n">
        <v>1</v>
      </c>
      <c r="O159" s="8" t="n">
        <v>197.4</v>
      </c>
      <c r="P159" s="8" t="n">
        <v>119</v>
      </c>
      <c r="Q159" s="8" t="n">
        <f aca="false">0.35+((P159-9)/121)*(1-0.35)</f>
        <v>0.940909090909091</v>
      </c>
      <c r="R159" s="12" t="n">
        <f aca="false">Q159*L159</f>
        <v>0.658636363636364</v>
      </c>
      <c r="S159" s="12" t="n">
        <f aca="false">J159-R159</f>
        <v>1.04136363636364</v>
      </c>
      <c r="T159" s="12" t="n">
        <f aca="false">MIN(197.4,T158+S159)</f>
        <v>197.4</v>
      </c>
      <c r="V159" s="8" t="n">
        <v>498.2</v>
      </c>
      <c r="X159" s="8" t="n">
        <f aca="false">X158+V159</f>
        <v>66581.3</v>
      </c>
      <c r="AA159" s="19" t="n">
        <v>8.4193892160187</v>
      </c>
    </row>
    <row r="160" s="8" customFormat="true" ht="15" hidden="false" customHeight="false" outlineLevel="0" collapsed="false">
      <c r="A160" s="14"/>
      <c r="B160" s="15"/>
      <c r="C160" s="16" t="n">
        <v>41276</v>
      </c>
      <c r="D160" s="8" t="n">
        <v>7.3</v>
      </c>
      <c r="E160" s="8" t="n">
        <v>3.4</v>
      </c>
      <c r="F160" s="8" t="n">
        <v>9.8</v>
      </c>
      <c r="G160" s="8" t="n">
        <f aca="false">G159+D160</f>
        <v>1252.8</v>
      </c>
      <c r="J160" s="8" t="n">
        <v>0</v>
      </c>
      <c r="K160" s="8" t="n">
        <f aca="false">J160+K159</f>
        <v>399.6</v>
      </c>
      <c r="L160" s="8" t="n">
        <v>0.4</v>
      </c>
      <c r="M160" s="8" t="n">
        <f aca="false">M159+L160</f>
        <v>145.6</v>
      </c>
      <c r="N160" s="8" t="n">
        <v>-0.4</v>
      </c>
      <c r="O160" s="8" t="n">
        <f aca="false">O159+N160</f>
        <v>197</v>
      </c>
      <c r="P160" s="8" t="n">
        <v>120</v>
      </c>
      <c r="Q160" s="8" t="n">
        <f aca="false">0.35+((P160-9)/121)*(1-0.35)</f>
        <v>0.946280991735537</v>
      </c>
      <c r="R160" s="12" t="n">
        <f aca="false">Q160*L160</f>
        <v>0.378512396694215</v>
      </c>
      <c r="S160" s="12" t="n">
        <f aca="false">J160-R160</f>
        <v>-0.378512396694215</v>
      </c>
      <c r="T160" s="12" t="n">
        <f aca="false">MIN(197.4,T159+S160)</f>
        <v>197.021487603306</v>
      </c>
      <c r="V160" s="8" t="n">
        <v>395.7</v>
      </c>
      <c r="X160" s="8" t="n">
        <f aca="false">X159+V160</f>
        <v>66977</v>
      </c>
      <c r="AA160" s="19" t="n">
        <v>8.43508770937232</v>
      </c>
    </row>
    <row r="161" s="8" customFormat="true" ht="15" hidden="false" customHeight="false" outlineLevel="0" collapsed="false">
      <c r="A161" s="14"/>
      <c r="B161" s="15"/>
      <c r="C161" s="16" t="n">
        <v>41277</v>
      </c>
      <c r="D161" s="8" t="n">
        <v>10.1</v>
      </c>
      <c r="E161" s="8" t="n">
        <v>8.9</v>
      </c>
      <c r="F161" s="8" t="n">
        <v>11.6</v>
      </c>
      <c r="G161" s="8" t="n">
        <f aca="false">G160+D161</f>
        <v>1262.9</v>
      </c>
      <c r="J161" s="8" t="n">
        <v>0.1</v>
      </c>
      <c r="K161" s="8" t="n">
        <f aca="false">J161+K160</f>
        <v>399.7</v>
      </c>
      <c r="L161" s="8" t="n">
        <v>0.5</v>
      </c>
      <c r="M161" s="8" t="n">
        <f aca="false">M160+L161</f>
        <v>146.1</v>
      </c>
      <c r="N161" s="8" t="n">
        <v>-0.4</v>
      </c>
      <c r="O161" s="8" t="n">
        <f aca="false">O160+N161</f>
        <v>196.6</v>
      </c>
      <c r="P161" s="8" t="n">
        <v>121</v>
      </c>
      <c r="Q161" s="8" t="n">
        <f aca="false">0.35+((P161-9)/121)*(1-0.35)</f>
        <v>0.951652892561984</v>
      </c>
      <c r="R161" s="12" t="n">
        <f aca="false">Q161*L161</f>
        <v>0.475826446280992</v>
      </c>
      <c r="S161" s="12" t="n">
        <f aca="false">J161-R161</f>
        <v>-0.375826446280992</v>
      </c>
      <c r="T161" s="12" t="n">
        <f aca="false">MIN(197.4,T160+S161)</f>
        <v>196.645661157025</v>
      </c>
      <c r="V161" s="8" t="n">
        <v>157.3</v>
      </c>
      <c r="X161" s="8" t="n">
        <f aca="false">X160+V161</f>
        <v>67134.3</v>
      </c>
      <c r="AA161" s="19" t="n">
        <v>8.45223859013569</v>
      </c>
    </row>
    <row r="162" s="8" customFormat="true" ht="15" hidden="false" customHeight="false" outlineLevel="0" collapsed="false">
      <c r="A162" s="14"/>
      <c r="B162" s="15"/>
      <c r="C162" s="16" t="n">
        <v>41278</v>
      </c>
      <c r="D162" s="8" t="n">
        <v>9.1</v>
      </c>
      <c r="E162" s="8" t="n">
        <v>8.5</v>
      </c>
      <c r="F162" s="8" t="n">
        <v>9.7</v>
      </c>
      <c r="G162" s="8" t="n">
        <f aca="false">G161+D162</f>
        <v>1272</v>
      </c>
      <c r="J162" s="8" t="n">
        <v>0</v>
      </c>
      <c r="K162" s="8" t="n">
        <f aca="false">J162+K161</f>
        <v>399.7</v>
      </c>
      <c r="L162" s="8" t="n">
        <v>0.3</v>
      </c>
      <c r="M162" s="8" t="n">
        <f aca="false">M161+L162</f>
        <v>146.4</v>
      </c>
      <c r="N162" s="8" t="n">
        <v>-0.3</v>
      </c>
      <c r="O162" s="8" t="n">
        <f aca="false">O161+N162</f>
        <v>196.3</v>
      </c>
      <c r="P162" s="8" t="n">
        <v>122</v>
      </c>
      <c r="Q162" s="8" t="n">
        <f aca="false">0.35+((P162-9)/121)*(1-0.35)</f>
        <v>0.95702479338843</v>
      </c>
      <c r="R162" s="12" t="n">
        <f aca="false">Q162*L162</f>
        <v>0.287107438016529</v>
      </c>
      <c r="S162" s="12" t="n">
        <f aca="false">J162-R162</f>
        <v>-0.287107438016529</v>
      </c>
      <c r="T162" s="12" t="n">
        <f aca="false">MIN(197.4,T161+S162)</f>
        <v>196.358553719008</v>
      </c>
      <c r="V162" s="8" t="n">
        <v>139</v>
      </c>
      <c r="X162" s="8" t="n">
        <f aca="false">X161+V162</f>
        <v>67273.3</v>
      </c>
      <c r="AA162" s="19" t="n">
        <v>8.47082310764453</v>
      </c>
    </row>
    <row r="163" s="8" customFormat="true" ht="15" hidden="false" customHeight="false" outlineLevel="0" collapsed="false">
      <c r="A163" s="14"/>
      <c r="B163" s="15"/>
      <c r="C163" s="16" t="n">
        <v>41279</v>
      </c>
      <c r="D163" s="8" t="n">
        <v>6.9</v>
      </c>
      <c r="E163" s="8" t="n">
        <v>6.3</v>
      </c>
      <c r="F163" s="8" t="n">
        <v>7.2</v>
      </c>
      <c r="G163" s="8" t="n">
        <f aca="false">G162+D163</f>
        <v>1278.9</v>
      </c>
      <c r="J163" s="8" t="n">
        <v>0.3</v>
      </c>
      <c r="K163" s="8" t="n">
        <f aca="false">J163+K162</f>
        <v>400</v>
      </c>
      <c r="L163" s="8" t="n">
        <v>0.1</v>
      </c>
      <c r="M163" s="8" t="n">
        <f aca="false">M162+L163</f>
        <v>146.5</v>
      </c>
      <c r="N163" s="8" t="n">
        <v>0.2</v>
      </c>
      <c r="O163" s="8" t="n">
        <f aca="false">O162+N163</f>
        <v>196.5</v>
      </c>
      <c r="P163" s="8" t="n">
        <v>123</v>
      </c>
      <c r="Q163" s="8" t="n">
        <f aca="false">0.35+((P163-9)/121)*(1-0.35)</f>
        <v>0.962396694214876</v>
      </c>
      <c r="R163" s="12" t="n">
        <f aca="false">Q163*L163</f>
        <v>0.0962396694214876</v>
      </c>
      <c r="S163" s="12" t="n">
        <f aca="false">J163-R163</f>
        <v>0.203760330578512</v>
      </c>
      <c r="T163" s="12" t="n">
        <f aca="false">MIN(197.4,T162+S163)</f>
        <v>196.562314049587</v>
      </c>
      <c r="V163" s="8" t="n">
        <v>131.6</v>
      </c>
      <c r="X163" s="8" t="n">
        <f aca="false">X162+V163</f>
        <v>67404.9</v>
      </c>
      <c r="AA163" s="19" t="n">
        <v>8.4908211407778</v>
      </c>
    </row>
    <row r="164" s="8" customFormat="true" ht="15" hidden="false" customHeight="false" outlineLevel="0" collapsed="false">
      <c r="A164" s="14"/>
      <c r="B164" s="15"/>
      <c r="C164" s="16" t="n">
        <v>41280</v>
      </c>
      <c r="D164" s="8" t="n">
        <v>5.2</v>
      </c>
      <c r="E164" s="8" t="n">
        <v>5</v>
      </c>
      <c r="F164" s="8" t="n">
        <v>5.4</v>
      </c>
      <c r="G164" s="8" t="n">
        <f aca="false">G163+D164</f>
        <v>1284.1</v>
      </c>
      <c r="J164" s="8" t="n">
        <v>0.5</v>
      </c>
      <c r="K164" s="8" t="n">
        <f aca="false">J164+K163</f>
        <v>400.5</v>
      </c>
      <c r="L164" s="8" t="n">
        <v>0.1</v>
      </c>
      <c r="M164" s="8" t="n">
        <f aca="false">M163+L164</f>
        <v>146.6</v>
      </c>
      <c r="N164" s="8" t="n">
        <v>0.4</v>
      </c>
      <c r="O164" s="8" t="n">
        <f aca="false">O163+N164</f>
        <v>196.9</v>
      </c>
      <c r="P164" s="8" t="n">
        <v>124</v>
      </c>
      <c r="Q164" s="8" t="n">
        <f aca="false">0.35+((P164-9)/121)*(1-0.35)</f>
        <v>0.967768595041322</v>
      </c>
      <c r="R164" s="12" t="n">
        <f aca="false">Q164*L164</f>
        <v>0.0967768595041322</v>
      </c>
      <c r="S164" s="12" t="n">
        <f aca="false">J164-R164</f>
        <v>0.403223140495868</v>
      </c>
      <c r="T164" s="12" t="n">
        <f aca="false">MIN(197.4,T163+S164)</f>
        <v>196.965537190083</v>
      </c>
      <c r="V164" s="8" t="n">
        <v>83.5</v>
      </c>
      <c r="X164" s="8" t="n">
        <f aca="false">X163+V164</f>
        <v>67488.4</v>
      </c>
      <c r="AA164" s="19" t="n">
        <v>8.51221127650598</v>
      </c>
    </row>
    <row r="165" s="8" customFormat="true" ht="15" hidden="false" customHeight="false" outlineLevel="0" collapsed="false">
      <c r="A165" s="14"/>
      <c r="B165" s="20" t="n">
        <v>9</v>
      </c>
      <c r="C165" s="16" t="n">
        <v>41281</v>
      </c>
      <c r="D165" s="8" t="n">
        <v>4.8</v>
      </c>
      <c r="E165" s="8" t="n">
        <v>3.9</v>
      </c>
      <c r="F165" s="8" t="n">
        <v>5.5</v>
      </c>
      <c r="G165" s="8" t="n">
        <f aca="false">G164+D165</f>
        <v>1288.9</v>
      </c>
      <c r="J165" s="8" t="n">
        <v>0.4</v>
      </c>
      <c r="K165" s="8" t="n">
        <f aca="false">J165+K164</f>
        <v>400.9</v>
      </c>
      <c r="L165" s="8" t="n">
        <v>0.2</v>
      </c>
      <c r="M165" s="8" t="n">
        <f aca="false">M164+L165</f>
        <v>146.8</v>
      </c>
      <c r="N165" s="8" t="n">
        <v>0.2</v>
      </c>
      <c r="O165" s="8" t="n">
        <f aca="false">O164+N165</f>
        <v>197.1</v>
      </c>
      <c r="P165" s="8" t="n">
        <v>125</v>
      </c>
      <c r="Q165" s="8" t="n">
        <f aca="false">0.35+((P165-9)/121)*(1-0.35)</f>
        <v>0.973140495867769</v>
      </c>
      <c r="R165" s="12" t="n">
        <f aca="false">Q165*L165</f>
        <v>0.194628099173554</v>
      </c>
      <c r="S165" s="12" t="n">
        <f aca="false">J165-R165</f>
        <v>0.205371900826446</v>
      </c>
      <c r="T165" s="12" t="n">
        <f aca="false">MIN(197.4,T164+S165)</f>
        <v>197.170909090909</v>
      </c>
      <c r="V165" s="8" t="n">
        <v>116.2</v>
      </c>
      <c r="X165" s="8" t="n">
        <f aca="false">X164+V165</f>
        <v>67604.6</v>
      </c>
      <c r="AA165" s="19" t="n">
        <v>8.53497089182214</v>
      </c>
    </row>
    <row r="166" s="8" customFormat="true" ht="15" hidden="false" customHeight="false" outlineLevel="0" collapsed="false">
      <c r="A166" s="14"/>
      <c r="B166" s="15"/>
      <c r="C166" s="16" t="n">
        <v>41282</v>
      </c>
      <c r="D166" s="8" t="n">
        <v>5.6</v>
      </c>
      <c r="E166" s="8" t="n">
        <v>5</v>
      </c>
      <c r="F166" s="8" t="n">
        <v>6.1</v>
      </c>
      <c r="G166" s="8" t="n">
        <f aca="false">G165+D166</f>
        <v>1294.5</v>
      </c>
      <c r="J166" s="8" t="n">
        <v>0</v>
      </c>
      <c r="K166" s="8" t="n">
        <f aca="false">J166+K165</f>
        <v>400.9</v>
      </c>
      <c r="L166" s="8" t="n">
        <v>0.3</v>
      </c>
      <c r="M166" s="8" t="n">
        <f aca="false">M165+L166</f>
        <v>147.1</v>
      </c>
      <c r="N166" s="8" t="n">
        <v>-0.3</v>
      </c>
      <c r="O166" s="8" t="n">
        <f aca="false">O165+N166</f>
        <v>196.8</v>
      </c>
      <c r="P166" s="8" t="n">
        <v>126</v>
      </c>
      <c r="Q166" s="8" t="n">
        <f aca="false">0.35+((P166-9)/121)*(1-0.35)</f>
        <v>0.978512396694215</v>
      </c>
      <c r="R166" s="12" t="n">
        <f aca="false">Q166*L166</f>
        <v>0.293553719008264</v>
      </c>
      <c r="S166" s="12" t="n">
        <f aca="false">J166-R166</f>
        <v>-0.293553719008264</v>
      </c>
      <c r="T166" s="12" t="n">
        <f aca="false">MIN(197.4,T165+S166)</f>
        <v>196.877355371901</v>
      </c>
      <c r="V166" s="8" t="n">
        <v>144.5</v>
      </c>
      <c r="X166" s="8" t="n">
        <f aca="false">X165+V166</f>
        <v>67749.1</v>
      </c>
      <c r="AA166" s="19" t="n">
        <v>8.55907623844113</v>
      </c>
    </row>
    <row r="167" s="8" customFormat="true" ht="15" hidden="false" customHeight="false" outlineLevel="0" collapsed="false">
      <c r="A167" s="14"/>
      <c r="B167" s="15"/>
      <c r="C167" s="16" t="n">
        <v>41283</v>
      </c>
      <c r="D167" s="8" t="n">
        <v>7.1</v>
      </c>
      <c r="E167" s="8" t="n">
        <v>5.6</v>
      </c>
      <c r="F167" s="8" t="n">
        <v>9.2</v>
      </c>
      <c r="G167" s="8" t="n">
        <f aca="false">G166+D167</f>
        <v>1301.6</v>
      </c>
      <c r="J167" s="8" t="n">
        <v>4.2</v>
      </c>
      <c r="K167" s="8" t="n">
        <f aca="false">J167+K166</f>
        <v>405.1</v>
      </c>
      <c r="L167" s="8" t="n">
        <v>0.3</v>
      </c>
      <c r="M167" s="8" t="n">
        <f aca="false">M166+L167</f>
        <v>147.4</v>
      </c>
      <c r="N167" s="8" t="n">
        <v>3.9</v>
      </c>
      <c r="O167" s="8" t="n">
        <v>197.4</v>
      </c>
      <c r="P167" s="8" t="n">
        <v>127</v>
      </c>
      <c r="Q167" s="8" t="n">
        <f aca="false">0.35+((P167-9)/121)*(1-0.35)</f>
        <v>0.983884297520661</v>
      </c>
      <c r="R167" s="12" t="n">
        <f aca="false">Q167*L167</f>
        <v>0.295165289256198</v>
      </c>
      <c r="S167" s="12" t="n">
        <f aca="false">J167-R167</f>
        <v>3.9048347107438</v>
      </c>
      <c r="T167" s="12" t="n">
        <f aca="false">MIN(197.4,T166+S167)</f>
        <v>197.4</v>
      </c>
      <c r="V167" s="8" t="n">
        <v>51.5</v>
      </c>
      <c r="X167" s="8" t="n">
        <f aca="false">X166+V167</f>
        <v>67800.6</v>
      </c>
      <c r="AA167" s="19" t="n">
        <v>8.584502529652</v>
      </c>
    </row>
    <row r="168" s="8" customFormat="true" ht="15" hidden="false" customHeight="false" outlineLevel="0" collapsed="false">
      <c r="A168" s="14"/>
      <c r="B168" s="15"/>
      <c r="C168" s="16" t="n">
        <v>41284</v>
      </c>
      <c r="D168" s="8" t="n">
        <v>9</v>
      </c>
      <c r="E168" s="8" t="n">
        <v>8.2</v>
      </c>
      <c r="F168" s="8" t="n">
        <v>11.7</v>
      </c>
      <c r="G168" s="8" t="n">
        <f aca="false">G167+D168</f>
        <v>1310.6</v>
      </c>
      <c r="J168" s="8" t="n">
        <v>4.3</v>
      </c>
      <c r="K168" s="8" t="n">
        <f aca="false">J168+K167</f>
        <v>409.4</v>
      </c>
      <c r="L168" s="8" t="n">
        <v>0.6</v>
      </c>
      <c r="M168" s="8" t="n">
        <f aca="false">M167+L168</f>
        <v>148</v>
      </c>
      <c r="N168" s="8" t="n">
        <v>3.7</v>
      </c>
      <c r="O168" s="8" t="n">
        <v>197.4</v>
      </c>
      <c r="P168" s="8" t="n">
        <v>128</v>
      </c>
      <c r="Q168" s="8" t="n">
        <f aca="false">0.35+((P168-9)/121)*(1-0.35)</f>
        <v>0.989256198347107</v>
      </c>
      <c r="R168" s="12" t="n">
        <f aca="false">Q168*L168</f>
        <v>0.593553719008265</v>
      </c>
      <c r="S168" s="12" t="n">
        <f aca="false">J168-R168</f>
        <v>3.70644628099174</v>
      </c>
      <c r="T168" s="12" t="n">
        <f aca="false">MIN(197.4,T167+S168)</f>
        <v>197.4</v>
      </c>
      <c r="V168" s="8" t="n">
        <v>96.8</v>
      </c>
      <c r="X168" s="8" t="n">
        <f aca="false">X167+V168</f>
        <v>67897.4</v>
      </c>
      <c r="AA168" s="19" t="n">
        <v>8.61122402871605</v>
      </c>
    </row>
    <row r="169" s="8" customFormat="true" ht="15" hidden="false" customHeight="false" outlineLevel="0" collapsed="false">
      <c r="A169" s="14"/>
      <c r="B169" s="15"/>
      <c r="C169" s="16" t="n">
        <v>41285</v>
      </c>
      <c r="D169" s="8" t="n">
        <v>7.7</v>
      </c>
      <c r="E169" s="8" t="n">
        <v>5.2</v>
      </c>
      <c r="F169" s="8" t="n">
        <v>11.9</v>
      </c>
      <c r="G169" s="8" t="n">
        <f aca="false">G168+D169</f>
        <v>1318.3</v>
      </c>
      <c r="J169" s="8" t="n">
        <v>5.9</v>
      </c>
      <c r="K169" s="8" t="n">
        <f aca="false">J169+K168</f>
        <v>415.3</v>
      </c>
      <c r="L169" s="8" t="n">
        <v>0.9</v>
      </c>
      <c r="M169" s="8" t="n">
        <f aca="false">M168+L169</f>
        <v>148.9</v>
      </c>
      <c r="N169" s="8" t="n">
        <v>5</v>
      </c>
      <c r="O169" s="8" t="n">
        <v>197.4</v>
      </c>
      <c r="P169" s="8" t="n">
        <v>129</v>
      </c>
      <c r="Q169" s="8" t="n">
        <f aca="false">0.35+((P169-9)/121)*(1-0.35)</f>
        <v>0.994628099173554</v>
      </c>
      <c r="R169" s="12" t="n">
        <f aca="false">Q169*L169</f>
        <v>0.895165289256198</v>
      </c>
      <c r="S169" s="12" t="n">
        <f aca="false">J169-R169</f>
        <v>5.0048347107438</v>
      </c>
      <c r="T169" s="12" t="n">
        <f aca="false">MIN(197.4,T168+S169)</f>
        <v>197.4</v>
      </c>
      <c r="V169" s="8" t="n">
        <v>497.4</v>
      </c>
      <c r="X169" s="8" t="n">
        <f aca="false">X168+V169</f>
        <v>68394.8</v>
      </c>
      <c r="AA169" s="19" t="n">
        <v>8.63921413821649</v>
      </c>
    </row>
    <row r="170" s="23" customFormat="true" ht="15" hidden="false" customHeight="false" outlineLevel="0" collapsed="false">
      <c r="A170" s="14"/>
      <c r="B170" s="21"/>
      <c r="C170" s="22" t="n">
        <v>41286</v>
      </c>
      <c r="D170" s="23" t="n">
        <v>6.1</v>
      </c>
      <c r="E170" s="23" t="n">
        <v>5.8</v>
      </c>
      <c r="F170" s="23" t="n">
        <v>9.7</v>
      </c>
      <c r="G170" s="23" t="n">
        <f aca="false">G169+D170</f>
        <v>1324.4</v>
      </c>
      <c r="J170" s="23" t="n">
        <v>0</v>
      </c>
      <c r="K170" s="23" t="n">
        <f aca="false">J170+K169</f>
        <v>415.3</v>
      </c>
      <c r="L170" s="23" t="n">
        <v>1</v>
      </c>
      <c r="M170" s="23" t="n">
        <f aca="false">M169+L170</f>
        <v>149.9</v>
      </c>
      <c r="N170" s="23" t="n">
        <v>-1</v>
      </c>
      <c r="O170" s="23" t="n">
        <f aca="false">O169+N170</f>
        <v>196.4</v>
      </c>
      <c r="P170" s="23" t="n">
        <v>130</v>
      </c>
      <c r="Q170" s="23" t="n">
        <f aca="false">0.35+((P170-9)/121)*(1-0.35)</f>
        <v>1</v>
      </c>
      <c r="R170" s="24" t="n">
        <f aca="false">Q170*L170</f>
        <v>1</v>
      </c>
      <c r="S170" s="24" t="n">
        <f aca="false">J170-R170</f>
        <v>-1</v>
      </c>
      <c r="T170" s="24" t="n">
        <f aca="false">MIN(197.4,T169+S170)</f>
        <v>196.4</v>
      </c>
      <c r="V170" s="23" t="n">
        <v>567.3</v>
      </c>
      <c r="W170" s="23" t="n">
        <f aca="false">(X170/100)/I54</f>
        <v>0.520704469948656</v>
      </c>
      <c r="X170" s="23" t="n">
        <f aca="false">X169+V170</f>
        <v>68962.1</v>
      </c>
      <c r="AA170" s="25" t="n">
        <v>8.66844548978496</v>
      </c>
    </row>
    <row r="171" s="8" customFormat="true" ht="15" hidden="false" customHeight="false" outlineLevel="0" collapsed="false">
      <c r="A171" s="26" t="s">
        <v>44</v>
      </c>
      <c r="B171" s="20" t="n">
        <v>10</v>
      </c>
      <c r="C171" s="27" t="n">
        <v>41287</v>
      </c>
      <c r="D171" s="8" t="n">
        <v>3.2</v>
      </c>
      <c r="E171" s="8" t="n">
        <v>-0.1</v>
      </c>
      <c r="F171" s="8" t="n">
        <v>5.9</v>
      </c>
      <c r="G171" s="8" t="n">
        <f aca="false">G170+D171</f>
        <v>1327.6</v>
      </c>
      <c r="H171" s="8" t="n">
        <f aca="false">D171</f>
        <v>3.2</v>
      </c>
      <c r="I171" s="28" t="s">
        <v>28</v>
      </c>
      <c r="J171" s="8" t="n">
        <v>0.3</v>
      </c>
      <c r="K171" s="8" t="n">
        <f aca="false">J171+K170</f>
        <v>415.6</v>
      </c>
      <c r="L171" s="8" t="n">
        <v>0.1</v>
      </c>
      <c r="M171" s="8" t="n">
        <f aca="false">M170+L171</f>
        <v>150</v>
      </c>
      <c r="N171" s="8" t="n">
        <v>0.2</v>
      </c>
      <c r="O171" s="8" t="n">
        <f aca="false">O170+N171</f>
        <v>196.6</v>
      </c>
      <c r="P171" s="8" t="n">
        <v>131</v>
      </c>
      <c r="Q171" s="8" t="n">
        <v>1</v>
      </c>
      <c r="R171" s="12" t="n">
        <f aca="false">Q171*L171</f>
        <v>0.1</v>
      </c>
      <c r="S171" s="12" t="n">
        <f aca="false">J171-R171</f>
        <v>0.2</v>
      </c>
      <c r="T171" s="12" t="n">
        <f aca="false">MIN(197.4,T170+S171)</f>
        <v>196.6</v>
      </c>
      <c r="U171" s="28" t="s">
        <v>29</v>
      </c>
      <c r="V171" s="8" t="n">
        <v>176.8</v>
      </c>
      <c r="X171" s="8" t="n">
        <f aca="false">X170+V171</f>
        <v>69138.9</v>
      </c>
      <c r="Y171" s="8" t="n">
        <f aca="false">V171</f>
        <v>176.8</v>
      </c>
      <c r="Z171" s="28" t="s">
        <v>30</v>
      </c>
      <c r="AA171" s="19" t="n">
        <v>8.69889003365503</v>
      </c>
    </row>
    <row r="172" s="8" customFormat="true" ht="15" hidden="false" customHeight="false" outlineLevel="0" collapsed="false">
      <c r="A172" s="26"/>
      <c r="B172" s="20" t="n">
        <v>11</v>
      </c>
      <c r="C172" s="27" t="n">
        <v>41288</v>
      </c>
      <c r="D172" s="8" t="n">
        <v>4.1</v>
      </c>
      <c r="E172" s="8" t="n">
        <v>1.7</v>
      </c>
      <c r="F172" s="8" t="n">
        <v>5.6</v>
      </c>
      <c r="G172" s="8" t="n">
        <f aca="false">G171+D172</f>
        <v>1331.7</v>
      </c>
      <c r="H172" s="8" t="n">
        <f aca="false">H171+D172</f>
        <v>7.3</v>
      </c>
      <c r="I172" s="8" t="n">
        <f aca="false">MIN(E171:E220)</f>
        <v>-3.3</v>
      </c>
      <c r="J172" s="8" t="n">
        <v>7</v>
      </c>
      <c r="K172" s="8" t="n">
        <f aca="false">J172+K171</f>
        <v>422.6</v>
      </c>
      <c r="L172" s="8" t="n">
        <v>0.3</v>
      </c>
      <c r="M172" s="8" t="n">
        <f aca="false">M171+L172</f>
        <v>150.3</v>
      </c>
      <c r="N172" s="8" t="n">
        <v>6.7</v>
      </c>
      <c r="O172" s="8" t="n">
        <v>197.4</v>
      </c>
      <c r="P172" s="8" t="n">
        <v>132</v>
      </c>
      <c r="Q172" s="8" t="n">
        <v>1</v>
      </c>
      <c r="R172" s="12" t="n">
        <f aca="false">Q172*L172</f>
        <v>0.3</v>
      </c>
      <c r="S172" s="12" t="n">
        <f aca="false">J172-R172</f>
        <v>6.7</v>
      </c>
      <c r="T172" s="12" t="n">
        <f aca="false">MIN(197.4,T171+S172)</f>
        <v>197.4</v>
      </c>
      <c r="U172" s="8" t="n">
        <v>26</v>
      </c>
      <c r="V172" s="8" t="n">
        <v>117.3</v>
      </c>
      <c r="X172" s="8" t="n">
        <f aca="false">X171+V172</f>
        <v>69256.2</v>
      </c>
      <c r="Y172" s="8" t="n">
        <f aca="false">Y171+V172</f>
        <v>294.1</v>
      </c>
      <c r="Z172" s="8" t="n">
        <v>22690.6</v>
      </c>
      <c r="AA172" s="19" t="n">
        <v>8.73051912752205</v>
      </c>
    </row>
    <row r="173" s="8" customFormat="true" ht="15" hidden="false" customHeight="false" outlineLevel="0" collapsed="false">
      <c r="A173" s="26"/>
      <c r="B173" s="20" t="n">
        <v>12</v>
      </c>
      <c r="C173" s="27" t="n">
        <v>41289</v>
      </c>
      <c r="D173" s="8" t="n">
        <v>4</v>
      </c>
      <c r="E173" s="8" t="n">
        <v>2</v>
      </c>
      <c r="F173" s="8" t="n">
        <v>6.7</v>
      </c>
      <c r="G173" s="8" t="n">
        <f aca="false">G172+D173</f>
        <v>1335.7</v>
      </c>
      <c r="H173" s="8" t="n">
        <f aca="false">H172+D173</f>
        <v>11.3</v>
      </c>
      <c r="I173" s="28" t="s">
        <v>31</v>
      </c>
      <c r="J173" s="8" t="n">
        <v>1.3</v>
      </c>
      <c r="K173" s="8" t="n">
        <f aca="false">J173+K172</f>
        <v>423.9</v>
      </c>
      <c r="L173" s="8" t="n">
        <v>0.6</v>
      </c>
      <c r="M173" s="8" t="n">
        <f aca="false">M172+L173</f>
        <v>150.9</v>
      </c>
      <c r="N173" s="8" t="n">
        <v>0.7</v>
      </c>
      <c r="O173" s="8" t="n">
        <v>197.4</v>
      </c>
      <c r="P173" s="8" t="n">
        <v>133</v>
      </c>
      <c r="Q173" s="8" t="n">
        <v>1</v>
      </c>
      <c r="R173" s="12" t="n">
        <f aca="false">Q173*L173</f>
        <v>0.6</v>
      </c>
      <c r="S173" s="12" t="n">
        <f aca="false">J173-R173</f>
        <v>0.7</v>
      </c>
      <c r="T173" s="12" t="n">
        <f aca="false">MIN(197.4,T172+S173)</f>
        <v>197.4</v>
      </c>
      <c r="U173" s="28" t="s">
        <v>32</v>
      </c>
      <c r="V173" s="8" t="n">
        <v>328.2</v>
      </c>
      <c r="X173" s="8" t="n">
        <f aca="false">X172+V173</f>
        <v>69584.4</v>
      </c>
      <c r="Y173" s="8" t="n">
        <f aca="false">Y172+V173</f>
        <v>622.3</v>
      </c>
      <c r="Z173" s="28" t="s">
        <v>33</v>
      </c>
      <c r="AA173" s="19" t="n">
        <v>8.7633036242218</v>
      </c>
    </row>
    <row r="174" s="8" customFormat="true" ht="15" hidden="false" customHeight="false" outlineLevel="0" collapsed="false">
      <c r="A174" s="26"/>
      <c r="B174" s="20" t="n">
        <v>13</v>
      </c>
      <c r="C174" s="27" t="n">
        <v>41290</v>
      </c>
      <c r="D174" s="8" t="n">
        <v>1.4</v>
      </c>
      <c r="E174" s="8" t="n">
        <v>-0.7</v>
      </c>
      <c r="F174" s="8" t="n">
        <v>3.2</v>
      </c>
      <c r="G174" s="8" t="n">
        <f aca="false">G173+D174</f>
        <v>1337.1</v>
      </c>
      <c r="H174" s="8" t="n">
        <f aca="false">H173+D174</f>
        <v>12.7</v>
      </c>
      <c r="I174" s="8" t="n">
        <f aca="false">MAX(F171:F220)</f>
        <v>13.5</v>
      </c>
      <c r="J174" s="8" t="n">
        <v>0.1</v>
      </c>
      <c r="K174" s="8" t="n">
        <f aca="false">J174+K173</f>
        <v>424</v>
      </c>
      <c r="L174" s="8" t="n">
        <v>0.5</v>
      </c>
      <c r="M174" s="8" t="n">
        <f aca="false">M173+L174</f>
        <v>151.4</v>
      </c>
      <c r="N174" s="8" t="n">
        <v>-0.4</v>
      </c>
      <c r="O174" s="8" t="n">
        <f aca="false">O173+N174</f>
        <v>197</v>
      </c>
      <c r="P174" s="8" t="n">
        <v>134</v>
      </c>
      <c r="Q174" s="8" t="n">
        <v>1</v>
      </c>
      <c r="R174" s="12" t="n">
        <f aca="false">Q174*L174</f>
        <v>0.5</v>
      </c>
      <c r="S174" s="12" t="n">
        <f aca="false">J174-R174</f>
        <v>-0.4</v>
      </c>
      <c r="T174" s="12" t="n">
        <f aca="false">MIN(197.4,T173+S174)</f>
        <v>197</v>
      </c>
      <c r="U174" s="8" t="n">
        <v>0</v>
      </c>
      <c r="V174" s="8" t="n">
        <v>570.9</v>
      </c>
      <c r="X174" s="8" t="n">
        <f aca="false">X173+V174</f>
        <v>70155.3</v>
      </c>
      <c r="Y174" s="8" t="n">
        <f aca="false">Y173+V174</f>
        <v>1193.2</v>
      </c>
      <c r="Z174" s="8" t="n">
        <f aca="false">(Z172/100)/I184</f>
        <v>1.02486901535682</v>
      </c>
      <c r="AA174" s="19" t="n">
        <v>8.79721395777659</v>
      </c>
    </row>
    <row r="175" s="8" customFormat="true" ht="15" hidden="false" customHeight="false" outlineLevel="0" collapsed="false">
      <c r="A175" s="26"/>
      <c r="B175" s="20" t="n">
        <v>14</v>
      </c>
      <c r="C175" s="27" t="n">
        <v>41291</v>
      </c>
      <c r="D175" s="8" t="n">
        <v>-0.2</v>
      </c>
      <c r="E175" s="8" t="n">
        <v>-3</v>
      </c>
      <c r="F175" s="8" t="n">
        <v>3.5</v>
      </c>
      <c r="G175" s="8" t="n">
        <v>1337.1</v>
      </c>
      <c r="H175" s="8" t="n">
        <v>12.7</v>
      </c>
      <c r="I175" s="28" t="s">
        <v>34</v>
      </c>
      <c r="J175" s="8" t="n">
        <v>0</v>
      </c>
      <c r="K175" s="8" t="n">
        <f aca="false">J175+K174</f>
        <v>424</v>
      </c>
      <c r="L175" s="8" t="n">
        <v>0.6</v>
      </c>
      <c r="M175" s="8" t="n">
        <f aca="false">M174+L175</f>
        <v>152</v>
      </c>
      <c r="N175" s="8" t="n">
        <v>-0.6</v>
      </c>
      <c r="O175" s="8" t="n">
        <f aca="false">O174+N175</f>
        <v>196.4</v>
      </c>
      <c r="P175" s="8" t="n">
        <v>135</v>
      </c>
      <c r="Q175" s="8" t="n">
        <v>1</v>
      </c>
      <c r="R175" s="12" t="n">
        <f aca="false">Q175*L175</f>
        <v>0.6</v>
      </c>
      <c r="S175" s="12" t="n">
        <f aca="false">J175-R175</f>
        <v>-0.6</v>
      </c>
      <c r="T175" s="12" t="n">
        <f aca="false">MIN(197.4,T174+S175)</f>
        <v>196.4</v>
      </c>
      <c r="U175" s="28" t="s">
        <v>35</v>
      </c>
      <c r="V175" s="8" t="n">
        <v>354</v>
      </c>
      <c r="X175" s="8" t="n">
        <f aca="false">X174+V175</f>
        <v>70509.3</v>
      </c>
      <c r="Y175" s="8" t="n">
        <f aca="false">Y174+V175</f>
        <v>1547.2</v>
      </c>
      <c r="Z175" s="28" t="s">
        <v>36</v>
      </c>
      <c r="AA175" s="19" t="n">
        <v>8.83222022739638</v>
      </c>
    </row>
    <row r="176" s="8" customFormat="true" ht="15" hidden="false" customHeight="false" outlineLevel="0" collapsed="false">
      <c r="A176" s="26"/>
      <c r="B176" s="20" t="n">
        <v>15</v>
      </c>
      <c r="C176" s="27" t="n">
        <v>41292</v>
      </c>
      <c r="D176" s="8" t="n">
        <v>-1.7</v>
      </c>
      <c r="E176" s="8" t="n">
        <v>-3.3</v>
      </c>
      <c r="F176" s="8" t="n">
        <v>-0.2</v>
      </c>
      <c r="G176" s="8" t="n">
        <v>1337.1</v>
      </c>
      <c r="H176" s="8" t="n">
        <v>12.7</v>
      </c>
      <c r="I176" s="12" t="n">
        <f aca="false">AVERAGE(D171:D220)</f>
        <v>4.376</v>
      </c>
      <c r="J176" s="8" t="n">
        <v>0</v>
      </c>
      <c r="K176" s="8" t="n">
        <f aca="false">J176+K175</f>
        <v>424</v>
      </c>
      <c r="L176" s="8" t="n">
        <v>0.3</v>
      </c>
      <c r="M176" s="8" t="n">
        <f aca="false">M175+L176</f>
        <v>152.3</v>
      </c>
      <c r="N176" s="8" t="n">
        <v>-0.3</v>
      </c>
      <c r="O176" s="8" t="n">
        <f aca="false">O175+N176</f>
        <v>196.1</v>
      </c>
      <c r="P176" s="8" t="n">
        <v>136</v>
      </c>
      <c r="Q176" s="8" t="n">
        <v>1</v>
      </c>
      <c r="R176" s="12" t="n">
        <f aca="false">Q176*L176</f>
        <v>0.3</v>
      </c>
      <c r="S176" s="12" t="n">
        <f aca="false">J176-R176</f>
        <v>-0.3</v>
      </c>
      <c r="T176" s="12" t="n">
        <f aca="false">MIN(197.4,T175+S176)</f>
        <v>196.1</v>
      </c>
      <c r="U176" s="8" t="n">
        <v>0</v>
      </c>
      <c r="V176" s="8" t="n">
        <v>104.1</v>
      </c>
      <c r="X176" s="8" t="n">
        <f aca="false">X175+V176</f>
        <v>70613.4</v>
      </c>
      <c r="Y176" s="8" t="n">
        <f aca="false">Y175+V176</f>
        <v>1651.3</v>
      </c>
      <c r="Z176" s="8" t="n">
        <v>46</v>
      </c>
      <c r="AA176" s="19" t="n">
        <v>8.86829227906233</v>
      </c>
    </row>
    <row r="177" s="8" customFormat="true" ht="15" hidden="false" customHeight="false" outlineLevel="0" collapsed="false">
      <c r="A177" s="26"/>
      <c r="B177" s="20" t="n">
        <v>16</v>
      </c>
      <c r="C177" s="27" t="n">
        <v>41293</v>
      </c>
      <c r="D177" s="8" t="n">
        <v>0.4</v>
      </c>
      <c r="E177" s="8" t="n">
        <v>-1</v>
      </c>
      <c r="F177" s="8" t="n">
        <v>1.8</v>
      </c>
      <c r="G177" s="8" t="n">
        <f aca="false">G176+D177</f>
        <v>1337.5</v>
      </c>
      <c r="H177" s="8" t="n">
        <f aca="false">H176+D177</f>
        <v>13.1</v>
      </c>
      <c r="I177" s="28" t="s">
        <v>37</v>
      </c>
      <c r="J177" s="8" t="n">
        <v>0.5</v>
      </c>
      <c r="K177" s="8" t="n">
        <f aca="false">J177+K176</f>
        <v>424.5</v>
      </c>
      <c r="L177" s="8" t="n">
        <v>0.3</v>
      </c>
      <c r="M177" s="8" t="n">
        <f aca="false">M176+L177</f>
        <v>152.6</v>
      </c>
      <c r="N177" s="8" t="n">
        <v>0.2</v>
      </c>
      <c r="O177" s="8" t="n">
        <f aca="false">O176+N177</f>
        <v>196.3</v>
      </c>
      <c r="P177" s="8" t="n">
        <v>137</v>
      </c>
      <c r="Q177" s="8" t="n">
        <v>1</v>
      </c>
      <c r="R177" s="12" t="n">
        <f aca="false">Q177*L177</f>
        <v>0.3</v>
      </c>
      <c r="S177" s="12" t="n">
        <f aca="false">J177-R177</f>
        <v>0.2</v>
      </c>
      <c r="T177" s="12" t="n">
        <f aca="false">MIN(197.4,T176+S177)</f>
        <v>196.3</v>
      </c>
      <c r="U177" s="28" t="s">
        <v>38</v>
      </c>
      <c r="V177" s="8" t="n">
        <v>107.5</v>
      </c>
      <c r="X177" s="8" t="n">
        <f aca="false">X176+V177</f>
        <v>70720.9</v>
      </c>
      <c r="Y177" s="8" t="n">
        <f aca="false">Y176+V177</f>
        <v>1758.8</v>
      </c>
      <c r="AA177" s="19" t="n">
        <v>8.90539978436224</v>
      </c>
    </row>
    <row r="178" s="8" customFormat="true" ht="15" hidden="false" customHeight="false" outlineLevel="0" collapsed="false">
      <c r="A178" s="26"/>
      <c r="B178" s="20" t="n">
        <v>17</v>
      </c>
      <c r="C178" s="27" t="n">
        <v>41294</v>
      </c>
      <c r="D178" s="8" t="n">
        <v>1.3</v>
      </c>
      <c r="E178" s="8" t="n">
        <v>0.5</v>
      </c>
      <c r="F178" s="8" t="n">
        <v>2.2</v>
      </c>
      <c r="G178" s="8" t="n">
        <f aca="false">G177+D178</f>
        <v>1338.8</v>
      </c>
      <c r="H178" s="8" t="n">
        <f aca="false">H177+D178</f>
        <v>14.4</v>
      </c>
      <c r="I178" s="8" t="n">
        <v>11</v>
      </c>
      <c r="J178" s="8" t="n">
        <v>1.9</v>
      </c>
      <c r="K178" s="8" t="n">
        <f aca="false">J178+K177</f>
        <v>426.4</v>
      </c>
      <c r="L178" s="8" t="n">
        <v>0.4</v>
      </c>
      <c r="M178" s="8" t="n">
        <f aca="false">M177+L178</f>
        <v>153</v>
      </c>
      <c r="N178" s="8" t="n">
        <v>1.5</v>
      </c>
      <c r="O178" s="8" t="n">
        <v>197.4</v>
      </c>
      <c r="P178" s="8" t="n">
        <v>138</v>
      </c>
      <c r="Q178" s="8" t="n">
        <v>1</v>
      </c>
      <c r="R178" s="12" t="n">
        <f aca="false">Q178*L178</f>
        <v>0.4</v>
      </c>
      <c r="S178" s="12" t="n">
        <f aca="false">J178-R178</f>
        <v>1.5</v>
      </c>
      <c r="T178" s="12" t="n">
        <f aca="false">MIN(197.4,T177+S178)</f>
        <v>197.4</v>
      </c>
      <c r="U178" s="12" t="n">
        <f aca="false">MIN(T171:T220)</f>
        <v>180.9</v>
      </c>
      <c r="V178" s="8" t="n">
        <v>415.2</v>
      </c>
      <c r="X178" s="8" t="n">
        <f aca="false">X177+V178</f>
        <v>71136.1</v>
      </c>
      <c r="Y178" s="8" t="n">
        <f aca="false">Y177+V178</f>
        <v>2174</v>
      </c>
      <c r="AA178" s="19" t="n">
        <v>8.94351231628835</v>
      </c>
    </row>
    <row r="179" s="8" customFormat="true" ht="15" hidden="false" customHeight="false" outlineLevel="0" collapsed="false">
      <c r="A179" s="26"/>
      <c r="B179" s="20" t="n">
        <v>18</v>
      </c>
      <c r="C179" s="27" t="n">
        <v>41295</v>
      </c>
      <c r="D179" s="8" t="n">
        <v>2.3</v>
      </c>
      <c r="E179" s="8" t="n">
        <v>0.4</v>
      </c>
      <c r="F179" s="8" t="n">
        <v>4</v>
      </c>
      <c r="G179" s="8" t="n">
        <f aca="false">G178+D179</f>
        <v>1341.1</v>
      </c>
      <c r="H179" s="8" t="n">
        <f aca="false">H178+D179</f>
        <v>16.7</v>
      </c>
      <c r="I179" s="28" t="s">
        <v>39</v>
      </c>
      <c r="J179" s="8" t="n">
        <v>3.3</v>
      </c>
      <c r="K179" s="8" t="n">
        <f aca="false">J179+K178</f>
        <v>429.7</v>
      </c>
      <c r="L179" s="8" t="n">
        <v>0.3</v>
      </c>
      <c r="M179" s="8" t="n">
        <f aca="false">M178+L179</f>
        <v>153.3</v>
      </c>
      <c r="N179" s="8" t="n">
        <v>3</v>
      </c>
      <c r="O179" s="8" t="n">
        <v>197.4</v>
      </c>
      <c r="P179" s="8" t="n">
        <v>139</v>
      </c>
      <c r="Q179" s="8" t="n">
        <v>1</v>
      </c>
      <c r="R179" s="12" t="n">
        <f aca="false">Q179*L179</f>
        <v>0.3</v>
      </c>
      <c r="S179" s="12" t="n">
        <f aca="false">J179-R179</f>
        <v>3</v>
      </c>
      <c r="T179" s="12" t="n">
        <f aca="false">MIN(197.4,T178+S179)</f>
        <v>197.4</v>
      </c>
      <c r="U179" s="28" t="s">
        <v>40</v>
      </c>
      <c r="V179" s="8" t="n">
        <v>106.1</v>
      </c>
      <c r="X179" s="8" t="n">
        <f aca="false">X178+V179</f>
        <v>71242.2</v>
      </c>
      <c r="Y179" s="8" t="n">
        <f aca="false">Y178+V179</f>
        <v>2280.1</v>
      </c>
      <c r="AA179" s="19" t="n">
        <v>8.98259942175018</v>
      </c>
    </row>
    <row r="180" s="8" customFormat="true" ht="15" hidden="false" customHeight="false" outlineLevel="0" collapsed="false">
      <c r="A180" s="26"/>
      <c r="B180" s="15"/>
      <c r="C180" s="27" t="n">
        <v>41296</v>
      </c>
      <c r="D180" s="8" t="n">
        <v>4.4</v>
      </c>
      <c r="E180" s="8" t="n">
        <v>3</v>
      </c>
      <c r="F180" s="8" t="n">
        <v>7.3</v>
      </c>
      <c r="G180" s="8" t="n">
        <f aca="false">G179+D180</f>
        <v>1345.5</v>
      </c>
      <c r="H180" s="8" t="n">
        <f aca="false">H179+D180</f>
        <v>21.1</v>
      </c>
      <c r="I180" s="8" t="n">
        <v>0</v>
      </c>
      <c r="J180" s="8" t="n">
        <v>3.7</v>
      </c>
      <c r="K180" s="8" t="n">
        <f aca="false">J180+K179</f>
        <v>433.4</v>
      </c>
      <c r="L180" s="8" t="n">
        <v>0.5</v>
      </c>
      <c r="M180" s="8" t="n">
        <f aca="false">M179+L180</f>
        <v>153.8</v>
      </c>
      <c r="N180" s="8" t="n">
        <v>3.2</v>
      </c>
      <c r="O180" s="8" t="n">
        <v>197.4</v>
      </c>
      <c r="P180" s="8" t="n">
        <v>140</v>
      </c>
      <c r="Q180" s="8" t="n">
        <v>1</v>
      </c>
      <c r="R180" s="12" t="n">
        <f aca="false">Q180*L180</f>
        <v>0.5</v>
      </c>
      <c r="S180" s="12" t="n">
        <f aca="false">J180-R180</f>
        <v>3.2</v>
      </c>
      <c r="T180" s="12" t="n">
        <f aca="false">MIN(197.4,T179+S180)</f>
        <v>197.4</v>
      </c>
      <c r="U180" s="12" t="n">
        <f aca="false">MAX(T171:T220)</f>
        <v>197.4</v>
      </c>
      <c r="V180" s="8" t="n">
        <v>133.4</v>
      </c>
      <c r="X180" s="8" t="n">
        <f aca="false">X179+V180</f>
        <v>71375.6</v>
      </c>
      <c r="Y180" s="8" t="n">
        <f aca="false">Y179+V180</f>
        <v>2413.5</v>
      </c>
      <c r="AA180" s="8" t="n">
        <v>9.02263069059555</v>
      </c>
    </row>
    <row r="181" s="8" customFormat="true" ht="15" hidden="false" customHeight="false" outlineLevel="0" collapsed="false">
      <c r="A181" s="26"/>
      <c r="B181" s="15"/>
      <c r="C181" s="27" t="n">
        <v>41297</v>
      </c>
      <c r="D181" s="8" t="n">
        <v>2.6</v>
      </c>
      <c r="E181" s="8" t="n">
        <v>0.4</v>
      </c>
      <c r="F181" s="8" t="n">
        <v>5.7</v>
      </c>
      <c r="G181" s="8" t="n">
        <f aca="false">G180+D181</f>
        <v>1348.1</v>
      </c>
      <c r="H181" s="8" t="n">
        <f aca="false">H180+D181</f>
        <v>23.7</v>
      </c>
      <c r="I181" s="28" t="s">
        <v>41</v>
      </c>
      <c r="J181" s="8" t="n">
        <v>0.3</v>
      </c>
      <c r="K181" s="8" t="n">
        <f aca="false">J181+K180</f>
        <v>433.7</v>
      </c>
      <c r="L181" s="8" t="n">
        <v>0.5</v>
      </c>
      <c r="M181" s="8" t="n">
        <f aca="false">M180+L181</f>
        <v>154.3</v>
      </c>
      <c r="N181" s="8" t="n">
        <v>-0.2</v>
      </c>
      <c r="O181" s="8" t="n">
        <f aca="false">O180+N181</f>
        <v>197.2</v>
      </c>
      <c r="P181" s="8" t="n">
        <v>141</v>
      </c>
      <c r="Q181" s="8" t="n">
        <v>1</v>
      </c>
      <c r="R181" s="12" t="n">
        <f aca="false">Q181*L181</f>
        <v>0.5</v>
      </c>
      <c r="S181" s="12" t="n">
        <f aca="false">J181-R181</f>
        <v>-0.2</v>
      </c>
      <c r="T181" s="12" t="n">
        <f aca="false">MIN(197.4,T180+S181)</f>
        <v>197.2</v>
      </c>
      <c r="U181" s="28" t="s">
        <v>42</v>
      </c>
      <c r="V181" s="8" t="n">
        <v>257.6</v>
      </c>
      <c r="X181" s="8" t="n">
        <f aca="false">X180+V181</f>
        <v>71633.2</v>
      </c>
      <c r="Y181" s="8" t="n">
        <f aca="false">Y180+V181</f>
        <v>2671.1</v>
      </c>
      <c r="AA181" s="8" t="n">
        <v>9.06357582097271</v>
      </c>
    </row>
    <row r="182" s="8" customFormat="true" ht="15" hidden="false" customHeight="false" outlineLevel="0" collapsed="false">
      <c r="A182" s="26"/>
      <c r="B182" s="15"/>
      <c r="C182" s="27" t="n">
        <v>41298</v>
      </c>
      <c r="D182" s="8" t="n">
        <v>3.5</v>
      </c>
      <c r="E182" s="8" t="n">
        <v>1.8</v>
      </c>
      <c r="F182" s="8" t="n">
        <v>6.3</v>
      </c>
      <c r="G182" s="8" t="n">
        <f aca="false">G181+D182</f>
        <v>1351.6</v>
      </c>
      <c r="H182" s="8" t="n">
        <f aca="false">H181+D182</f>
        <v>27.2</v>
      </c>
      <c r="I182" s="8" t="n">
        <v>32</v>
      </c>
      <c r="J182" s="8" t="n">
        <v>0.4</v>
      </c>
      <c r="K182" s="8" t="n">
        <f aca="false">J182+K181</f>
        <v>434.1</v>
      </c>
      <c r="L182" s="8" t="n">
        <v>0.5</v>
      </c>
      <c r="M182" s="8" t="n">
        <f aca="false">M181+L182</f>
        <v>154.8</v>
      </c>
      <c r="N182" s="8" t="n">
        <v>-0.1</v>
      </c>
      <c r="O182" s="8" t="n">
        <f aca="false">O181+N182</f>
        <v>197.1</v>
      </c>
      <c r="P182" s="8" t="n">
        <v>142</v>
      </c>
      <c r="Q182" s="8" t="n">
        <v>1</v>
      </c>
      <c r="R182" s="12" t="n">
        <f aca="false">Q182*L182</f>
        <v>0.5</v>
      </c>
      <c r="S182" s="12" t="n">
        <f aca="false">J182-R182</f>
        <v>-0.1</v>
      </c>
      <c r="T182" s="12" t="n">
        <f aca="false">MIN(197.4,T181+S182)</f>
        <v>197.1</v>
      </c>
      <c r="U182" s="18" t="n">
        <f aca="false">AVERAGE(T171:T220)</f>
        <v>194.02</v>
      </c>
      <c r="V182" s="8" t="n">
        <v>229.5</v>
      </c>
      <c r="X182" s="8" t="n">
        <f aca="false">X181+V182</f>
        <v>71862.7</v>
      </c>
      <c r="Y182" s="8" t="n">
        <f aca="false">Y181+V182</f>
        <v>2900.6</v>
      </c>
      <c r="AA182" s="8" t="n">
        <v>9.1054046809048</v>
      </c>
    </row>
    <row r="183" s="8" customFormat="true" ht="15" hidden="false" customHeight="false" outlineLevel="0" collapsed="false">
      <c r="A183" s="26"/>
      <c r="B183" s="15"/>
      <c r="C183" s="27" t="n">
        <v>41299</v>
      </c>
      <c r="D183" s="8" t="n">
        <v>1</v>
      </c>
      <c r="E183" s="8" t="n">
        <v>-2.2</v>
      </c>
      <c r="F183" s="8" t="n">
        <v>6.9</v>
      </c>
      <c r="G183" s="8" t="n">
        <f aca="false">G182+D183</f>
        <v>1352.6</v>
      </c>
      <c r="H183" s="8" t="n">
        <f aca="false">H182+D183</f>
        <v>28.2</v>
      </c>
      <c r="I183" s="28" t="s">
        <v>43</v>
      </c>
      <c r="J183" s="8" t="n">
        <v>9</v>
      </c>
      <c r="K183" s="8" t="n">
        <f aca="false">J183+K182</f>
        <v>443.1</v>
      </c>
      <c r="L183" s="8" t="n">
        <v>0.7</v>
      </c>
      <c r="M183" s="8" t="n">
        <f aca="false">M182+L183</f>
        <v>155.5</v>
      </c>
      <c r="N183" s="8" t="n">
        <v>8.3</v>
      </c>
      <c r="O183" s="8" t="n">
        <v>197.4</v>
      </c>
      <c r="P183" s="8" t="n">
        <v>143</v>
      </c>
      <c r="Q183" s="8" t="n">
        <v>1</v>
      </c>
      <c r="R183" s="12" t="n">
        <f aca="false">Q183*L183</f>
        <v>0.7</v>
      </c>
      <c r="S183" s="12" t="n">
        <f aca="false">J183-R183</f>
        <v>8.3</v>
      </c>
      <c r="T183" s="12" t="n">
        <f aca="false">MIN(197.4,T182+S183)</f>
        <v>197.4</v>
      </c>
      <c r="U183" s="28" t="s">
        <v>45</v>
      </c>
      <c r="V183" s="8" t="n">
        <v>239.7</v>
      </c>
      <c r="X183" s="8" t="n">
        <f aca="false">X182+V183</f>
        <v>72102.4</v>
      </c>
      <c r="Y183" s="8" t="n">
        <f aca="false">Y182+V183</f>
        <v>3140.3</v>
      </c>
      <c r="AA183" s="8" t="n">
        <v>9.14808736598376</v>
      </c>
    </row>
    <row r="184" s="8" customFormat="true" ht="15" hidden="false" customHeight="false" outlineLevel="0" collapsed="false">
      <c r="A184" s="26"/>
      <c r="B184" s="15" t="n">
        <v>8</v>
      </c>
      <c r="C184" s="27" t="n">
        <v>41300</v>
      </c>
      <c r="D184" s="8" t="n">
        <v>7.6</v>
      </c>
      <c r="E184" s="8" t="n">
        <v>1.2</v>
      </c>
      <c r="F184" s="8" t="n">
        <v>10</v>
      </c>
      <c r="G184" s="8" t="n">
        <f aca="false">G183+D184</f>
        <v>1360.2</v>
      </c>
      <c r="H184" s="8" t="n">
        <f aca="false">H183+D184</f>
        <v>35.8</v>
      </c>
      <c r="I184" s="8" t="n">
        <v>221.4</v>
      </c>
      <c r="J184" s="8" t="n">
        <v>4.9</v>
      </c>
      <c r="K184" s="8" t="n">
        <f aca="false">J184+K183</f>
        <v>448</v>
      </c>
      <c r="L184" s="8" t="n">
        <v>0.4</v>
      </c>
      <c r="M184" s="8" t="n">
        <f aca="false">M183+L184</f>
        <v>155.9</v>
      </c>
      <c r="N184" s="8" t="n">
        <v>4.5</v>
      </c>
      <c r="O184" s="8" t="n">
        <v>197.4</v>
      </c>
      <c r="P184" s="8" t="n">
        <v>144</v>
      </c>
      <c r="Q184" s="8" t="n">
        <v>1</v>
      </c>
      <c r="R184" s="12" t="n">
        <f aca="false">Q184*L184</f>
        <v>0.4</v>
      </c>
      <c r="S184" s="12" t="n">
        <f aca="false">J184-R184</f>
        <v>4.5</v>
      </c>
      <c r="T184" s="12" t="n">
        <f aca="false">MIN(197.4,T183+S184)</f>
        <v>197.4</v>
      </c>
      <c r="U184" s="12" t="n">
        <v>18</v>
      </c>
      <c r="V184" s="8" t="n">
        <v>638.2</v>
      </c>
      <c r="X184" s="8" t="n">
        <f aca="false">X183+V184</f>
        <v>72740.6</v>
      </c>
      <c r="Y184" s="8" t="n">
        <f aca="false">Y183+V184</f>
        <v>3778.5</v>
      </c>
      <c r="AA184" s="8" t="n">
        <v>9.1915942531253</v>
      </c>
    </row>
    <row r="185" s="8" customFormat="true" ht="15" hidden="false" customHeight="false" outlineLevel="0" collapsed="false">
      <c r="A185" s="26"/>
      <c r="B185" s="15"/>
      <c r="C185" s="27" t="n">
        <v>41301</v>
      </c>
      <c r="D185" s="8" t="n">
        <v>9.2</v>
      </c>
      <c r="E185" s="8" t="n">
        <v>7.6</v>
      </c>
      <c r="F185" s="8" t="n">
        <v>11.7</v>
      </c>
      <c r="G185" s="8" t="n">
        <f aca="false">G184+D185</f>
        <v>1369.4</v>
      </c>
      <c r="H185" s="8" t="n">
        <f aca="false">H184+D185</f>
        <v>45</v>
      </c>
      <c r="J185" s="8" t="n">
        <v>3.8</v>
      </c>
      <c r="K185" s="8" t="n">
        <f aca="false">J185+K184</f>
        <v>451.8</v>
      </c>
      <c r="L185" s="8" t="n">
        <v>1.3</v>
      </c>
      <c r="M185" s="8" t="n">
        <f aca="false">M184+L185</f>
        <v>157.2</v>
      </c>
      <c r="N185" s="8" t="n">
        <v>2.5</v>
      </c>
      <c r="O185" s="8" t="n">
        <v>197.4</v>
      </c>
      <c r="P185" s="8" t="n">
        <v>145</v>
      </c>
      <c r="Q185" s="8" t="n">
        <v>1</v>
      </c>
      <c r="R185" s="12" t="n">
        <f aca="false">Q185*L185</f>
        <v>1.3</v>
      </c>
      <c r="S185" s="12" t="n">
        <f aca="false">J185-R185</f>
        <v>2.5</v>
      </c>
      <c r="T185" s="12" t="n">
        <f aca="false">MIN(197.4,T184+S185)</f>
        <v>197.4</v>
      </c>
      <c r="V185" s="8" t="n">
        <v>286.5</v>
      </c>
      <c r="X185" s="8" t="n">
        <f aca="false">X184+V185</f>
        <v>73027.1</v>
      </c>
      <c r="Y185" s="8" t="n">
        <f aca="false">Y184+V185</f>
        <v>4065</v>
      </c>
      <c r="AA185" s="8" t="n">
        <v>9.23589605035778</v>
      </c>
    </row>
    <row r="186" s="8" customFormat="true" ht="15" hidden="false" customHeight="false" outlineLevel="0" collapsed="false">
      <c r="A186" s="26"/>
      <c r="B186" s="15"/>
      <c r="C186" s="27" t="n">
        <v>41302</v>
      </c>
      <c r="D186" s="8" t="n">
        <v>8.3</v>
      </c>
      <c r="E186" s="8" t="n">
        <v>3.8</v>
      </c>
      <c r="F186" s="8" t="n">
        <v>11.3</v>
      </c>
      <c r="G186" s="8" t="n">
        <f aca="false">G185+D186</f>
        <v>1377.7</v>
      </c>
      <c r="H186" s="8" t="n">
        <f aca="false">H185+D186</f>
        <v>53.3</v>
      </c>
      <c r="J186" s="8" t="n">
        <v>2.7</v>
      </c>
      <c r="K186" s="8" t="n">
        <f aca="false">J186+K185</f>
        <v>454.5</v>
      </c>
      <c r="L186" s="8" t="n">
        <v>0.6</v>
      </c>
      <c r="M186" s="8" t="n">
        <f aca="false">M185+L186</f>
        <v>157.8</v>
      </c>
      <c r="N186" s="8" t="n">
        <v>2.1</v>
      </c>
      <c r="O186" s="8" t="n">
        <v>197.4</v>
      </c>
      <c r="P186" s="8" t="n">
        <v>146</v>
      </c>
      <c r="Q186" s="8" t="n">
        <v>1</v>
      </c>
      <c r="R186" s="12" t="n">
        <f aca="false">Q186*L186</f>
        <v>0.6</v>
      </c>
      <c r="S186" s="12" t="n">
        <f aca="false">J186-R186</f>
        <v>2.1</v>
      </c>
      <c r="T186" s="12" t="n">
        <f aca="false">MIN(197.4,T185+S186)</f>
        <v>197.4</v>
      </c>
      <c r="U186" s="12" t="n">
        <f aca="false">(U182*100)/197.4</f>
        <v>98.2877406281661</v>
      </c>
      <c r="V186" s="8" t="n">
        <v>622.1</v>
      </c>
      <c r="X186" s="8" t="n">
        <f aca="false">X185+V186</f>
        <v>73649.2</v>
      </c>
      <c r="Y186" s="8" t="n">
        <f aca="false">Y185+V186</f>
        <v>4687.1</v>
      </c>
      <c r="AA186" s="8" t="n">
        <v>9.2809638426474</v>
      </c>
    </row>
    <row r="187" s="8" customFormat="true" ht="15" hidden="false" customHeight="false" outlineLevel="0" collapsed="false">
      <c r="A187" s="26"/>
      <c r="B187" s="15"/>
      <c r="C187" s="27" t="n">
        <v>41303</v>
      </c>
      <c r="D187" s="8" t="n">
        <v>12.4</v>
      </c>
      <c r="E187" s="8" t="n">
        <v>10.9</v>
      </c>
      <c r="F187" s="8" t="n">
        <v>13.5</v>
      </c>
      <c r="G187" s="8" t="n">
        <f aca="false">G186+D187</f>
        <v>1390.1</v>
      </c>
      <c r="H187" s="8" t="n">
        <f aca="false">H186+D187</f>
        <v>65.7</v>
      </c>
      <c r="J187" s="8" t="n">
        <v>2.7</v>
      </c>
      <c r="K187" s="8" t="n">
        <f aca="false">J187+K186</f>
        <v>457.2</v>
      </c>
      <c r="L187" s="8" t="n">
        <v>0.5</v>
      </c>
      <c r="M187" s="8" t="n">
        <f aca="false">M186+L187</f>
        <v>158.3</v>
      </c>
      <c r="N187" s="8" t="n">
        <v>2.2</v>
      </c>
      <c r="O187" s="8" t="n">
        <v>197.4</v>
      </c>
      <c r="P187" s="8" t="n">
        <v>147</v>
      </c>
      <c r="Q187" s="8" t="n">
        <v>1</v>
      </c>
      <c r="R187" s="12" t="n">
        <f aca="false">Q187*L187</f>
        <v>0.5</v>
      </c>
      <c r="S187" s="12" t="n">
        <f aca="false">J187-R187</f>
        <v>2.2</v>
      </c>
      <c r="T187" s="12" t="n">
        <f aca="false">MIN(197.4,T186+S187)</f>
        <v>197.4</v>
      </c>
      <c r="V187" s="8" t="n">
        <v>141.4</v>
      </c>
      <c r="X187" s="8" t="n">
        <f aca="false">X186+V187</f>
        <v>73790.6</v>
      </c>
      <c r="Y187" s="8" t="n">
        <f aca="false">Y186+V187</f>
        <v>4828.5</v>
      </c>
      <c r="AA187" s="8" t="n">
        <v>9.32676913378859</v>
      </c>
    </row>
    <row r="188" s="8" customFormat="true" ht="15" hidden="false" customHeight="false" outlineLevel="0" collapsed="false">
      <c r="A188" s="26"/>
      <c r="B188" s="15"/>
      <c r="C188" s="27" t="n">
        <v>41304</v>
      </c>
      <c r="D188" s="8" t="n">
        <v>11.2</v>
      </c>
      <c r="E188" s="8" t="n">
        <v>9.3</v>
      </c>
      <c r="F188" s="8" t="n">
        <v>13.3</v>
      </c>
      <c r="G188" s="8" t="n">
        <f aca="false">G187+D188</f>
        <v>1401.3</v>
      </c>
      <c r="H188" s="8" t="n">
        <f aca="false">H187+D188</f>
        <v>76.9</v>
      </c>
      <c r="J188" s="8" t="n">
        <v>1.1</v>
      </c>
      <c r="K188" s="8" t="n">
        <f aca="false">J188+K187</f>
        <v>458.3</v>
      </c>
      <c r="L188" s="8" t="n">
        <v>0.9</v>
      </c>
      <c r="M188" s="8" t="n">
        <f aca="false">M187+L188</f>
        <v>159.2</v>
      </c>
      <c r="N188" s="8" t="n">
        <v>0.2</v>
      </c>
      <c r="O188" s="8" t="n">
        <v>197.4</v>
      </c>
      <c r="P188" s="8" t="n">
        <v>148</v>
      </c>
      <c r="Q188" s="8" t="n">
        <v>1</v>
      </c>
      <c r="R188" s="12" t="n">
        <f aca="false">Q188*L188</f>
        <v>0.9</v>
      </c>
      <c r="S188" s="12" t="n">
        <f aca="false">J188-R188</f>
        <v>0.2</v>
      </c>
      <c r="T188" s="12" t="n">
        <f aca="false">MIN(197.4,T187+S188)</f>
        <v>197.4</v>
      </c>
      <c r="V188" s="8" t="n">
        <v>379.5</v>
      </c>
      <c r="X188" s="8" t="n">
        <f aca="false">X187+V188</f>
        <v>74170.1</v>
      </c>
      <c r="Y188" s="8" t="n">
        <f aca="false">Y187+V188</f>
        <v>5208</v>
      </c>
      <c r="AA188" s="8" t="n">
        <v>9.37328388441213</v>
      </c>
    </row>
    <row r="189" s="8" customFormat="true" ht="15" hidden="false" customHeight="false" outlineLevel="0" collapsed="false">
      <c r="A189" s="26"/>
      <c r="B189" s="15"/>
      <c r="C189" s="27" t="n">
        <v>41305</v>
      </c>
      <c r="D189" s="8" t="n">
        <v>10</v>
      </c>
      <c r="E189" s="8" t="n">
        <v>5.7</v>
      </c>
      <c r="F189" s="8" t="n">
        <v>13.2</v>
      </c>
      <c r="G189" s="8" t="n">
        <f aca="false">G188+D189</f>
        <v>1411.3</v>
      </c>
      <c r="H189" s="8" t="n">
        <f aca="false">H188+D189</f>
        <v>86.9</v>
      </c>
      <c r="J189" s="8" t="n">
        <v>5.9</v>
      </c>
      <c r="K189" s="8" t="n">
        <f aca="false">J189+K188</f>
        <v>464.2</v>
      </c>
      <c r="L189" s="8" t="n">
        <v>0.6</v>
      </c>
      <c r="M189" s="8" t="n">
        <f aca="false">M188+L189</f>
        <v>159.8</v>
      </c>
      <c r="N189" s="8" t="n">
        <v>5.3</v>
      </c>
      <c r="O189" s="8" t="n">
        <v>197.4</v>
      </c>
      <c r="P189" s="8" t="n">
        <v>149</v>
      </c>
      <c r="Q189" s="8" t="n">
        <v>1</v>
      </c>
      <c r="R189" s="12" t="n">
        <f aca="false">Q189*L189</f>
        <v>0.6</v>
      </c>
      <c r="S189" s="12" t="n">
        <f aca="false">J189-R189</f>
        <v>5.3</v>
      </c>
      <c r="T189" s="12" t="n">
        <f aca="false">MIN(197.4,T188+S189)</f>
        <v>197.4</v>
      </c>
      <c r="V189" s="8" t="n">
        <v>339.8</v>
      </c>
      <c r="X189" s="8" t="n">
        <f aca="false">X188+V189</f>
        <v>74509.9</v>
      </c>
      <c r="Y189" s="8" t="n">
        <f aca="false">Y188+V189</f>
        <v>5547.8</v>
      </c>
      <c r="AA189" s="8" t="n">
        <v>9.42048054618519</v>
      </c>
    </row>
    <row r="190" s="8" customFormat="true" ht="15" hidden="false" customHeight="false" outlineLevel="0" collapsed="false">
      <c r="A190" s="26"/>
      <c r="B190" s="15"/>
      <c r="C190" s="27" t="n">
        <v>41306</v>
      </c>
      <c r="D190" s="8" t="n">
        <v>8.4</v>
      </c>
      <c r="E190" s="8" t="n">
        <v>7.1</v>
      </c>
      <c r="F190" s="8" t="n">
        <v>10.9</v>
      </c>
      <c r="G190" s="8" t="n">
        <f aca="false">G189+D190</f>
        <v>1419.7</v>
      </c>
      <c r="H190" s="8" t="n">
        <f aca="false">H189+D190</f>
        <v>95.3</v>
      </c>
      <c r="J190" s="8" t="n">
        <v>8.7</v>
      </c>
      <c r="K190" s="8" t="n">
        <f aca="false">J190+K189</f>
        <v>472.9</v>
      </c>
      <c r="L190" s="8" t="n">
        <v>0.5</v>
      </c>
      <c r="M190" s="8" t="n">
        <f aca="false">M189+L190</f>
        <v>160.3</v>
      </c>
      <c r="N190" s="8" t="n">
        <v>8.2</v>
      </c>
      <c r="O190" s="8" t="n">
        <v>197.4</v>
      </c>
      <c r="P190" s="8" t="n">
        <v>150</v>
      </c>
      <c r="Q190" s="8" t="n">
        <v>1</v>
      </c>
      <c r="R190" s="12" t="n">
        <f aca="false">Q190*L190</f>
        <v>0.5</v>
      </c>
      <c r="S190" s="12" t="n">
        <f aca="false">J190-R190</f>
        <v>8.2</v>
      </c>
      <c r="T190" s="12" t="n">
        <f aca="false">MIN(197.4,T189+S190)</f>
        <v>197.4</v>
      </c>
      <c r="V190" s="8" t="n">
        <v>114.2</v>
      </c>
      <c r="X190" s="8" t="n">
        <f aca="false">X189+V190</f>
        <v>74624.1</v>
      </c>
      <c r="Y190" s="8" t="n">
        <f aca="false">Y189+V190</f>
        <v>5662</v>
      </c>
      <c r="AA190" s="8" t="n">
        <v>9.46833209229584</v>
      </c>
    </row>
    <row r="191" s="8" customFormat="true" ht="15" hidden="false" customHeight="false" outlineLevel="0" collapsed="false">
      <c r="A191" s="26"/>
      <c r="B191" s="15" t="n">
        <v>9</v>
      </c>
      <c r="C191" s="27" t="n">
        <v>41307</v>
      </c>
      <c r="D191" s="8" t="n">
        <v>5.1</v>
      </c>
      <c r="E191" s="8" t="n">
        <v>4.3</v>
      </c>
      <c r="F191" s="8" t="n">
        <v>6.9</v>
      </c>
      <c r="G191" s="8" t="n">
        <f aca="false">G190+D191</f>
        <v>1424.8</v>
      </c>
      <c r="H191" s="8" t="n">
        <f aca="false">H190+D191</f>
        <v>100.4</v>
      </c>
      <c r="J191" s="8" t="n">
        <v>0.2</v>
      </c>
      <c r="K191" s="8" t="n">
        <f aca="false">J191+K190</f>
        <v>473.1</v>
      </c>
      <c r="L191" s="8" t="n">
        <v>1.2</v>
      </c>
      <c r="M191" s="8" t="n">
        <f aca="false">M190+L191</f>
        <v>161.5</v>
      </c>
      <c r="N191" s="8" t="n">
        <v>-1</v>
      </c>
      <c r="O191" s="8" t="n">
        <f aca="false">O190+N191</f>
        <v>196.4</v>
      </c>
      <c r="P191" s="8" t="n">
        <v>151</v>
      </c>
      <c r="Q191" s="8" t="n">
        <v>1</v>
      </c>
      <c r="R191" s="12" t="n">
        <f aca="false">Q191*L191</f>
        <v>1.2</v>
      </c>
      <c r="S191" s="12" t="n">
        <f aca="false">J191-R191</f>
        <v>-1</v>
      </c>
      <c r="T191" s="12" t="n">
        <f aca="false">MIN(197.4,T190+S191)</f>
        <v>196.4</v>
      </c>
      <c r="V191" s="8" t="n">
        <v>707.1</v>
      </c>
      <c r="X191" s="8" t="n">
        <f aca="false">X190+V191</f>
        <v>75331.2</v>
      </c>
      <c r="Y191" s="8" t="n">
        <f aca="false">Y190+V191</f>
        <v>6369.1</v>
      </c>
      <c r="AA191" s="8" t="n">
        <v>9.51681204433054</v>
      </c>
    </row>
    <row r="192" s="8" customFormat="true" ht="15" hidden="false" customHeight="false" outlineLevel="0" collapsed="false">
      <c r="A192" s="26"/>
      <c r="B192" s="15"/>
      <c r="C192" s="27" t="n">
        <v>41308</v>
      </c>
      <c r="D192" s="8" t="n">
        <v>5.2</v>
      </c>
      <c r="E192" s="8" t="n">
        <v>-0.5</v>
      </c>
      <c r="F192" s="8" t="n">
        <v>9.6</v>
      </c>
      <c r="G192" s="8" t="n">
        <f aca="false">G191+D192</f>
        <v>1430</v>
      </c>
      <c r="H192" s="8" t="n">
        <f aca="false">H191+D192</f>
        <v>105.6</v>
      </c>
      <c r="J192" s="8" t="n">
        <v>1.3</v>
      </c>
      <c r="K192" s="8" t="n">
        <f aca="false">J192+K191</f>
        <v>474.4</v>
      </c>
      <c r="L192" s="8" t="n">
        <v>0.4</v>
      </c>
      <c r="M192" s="8" t="n">
        <f aca="false">M191+L192</f>
        <v>161.9</v>
      </c>
      <c r="N192" s="8" t="n">
        <v>0.9</v>
      </c>
      <c r="O192" s="8" t="n">
        <f aca="false">O191+N192</f>
        <v>197.3</v>
      </c>
      <c r="P192" s="8" t="n">
        <v>152</v>
      </c>
      <c r="Q192" s="8" t="n">
        <v>1</v>
      </c>
      <c r="R192" s="12" t="n">
        <f aca="false">Q192*L192</f>
        <v>0.4</v>
      </c>
      <c r="S192" s="12" t="n">
        <f aca="false">J192-R192</f>
        <v>0.9</v>
      </c>
      <c r="T192" s="12" t="n">
        <f aca="false">MIN(197.4,T191+S192)</f>
        <v>197.3</v>
      </c>
      <c r="V192" s="8" t="n">
        <v>217.8</v>
      </c>
      <c r="X192" s="8" t="n">
        <f aca="false">X191+V192</f>
        <v>75549</v>
      </c>
      <c r="Y192" s="8" t="n">
        <f aca="false">Y191+V192</f>
        <v>6586.9</v>
      </c>
      <c r="AA192" s="8" t="n">
        <v>9.56589449566721</v>
      </c>
    </row>
    <row r="193" s="8" customFormat="true" ht="15" hidden="false" customHeight="false" outlineLevel="0" collapsed="false">
      <c r="A193" s="26"/>
      <c r="B193" s="15"/>
      <c r="C193" s="27" t="n">
        <v>41309</v>
      </c>
      <c r="D193" s="8" t="n">
        <v>9.7</v>
      </c>
      <c r="E193" s="8" t="n">
        <v>8.7</v>
      </c>
      <c r="F193" s="8" t="n">
        <v>12.4</v>
      </c>
      <c r="G193" s="8" t="n">
        <f aca="false">G192+D193</f>
        <v>1439.7</v>
      </c>
      <c r="H193" s="8" t="n">
        <f aca="false">H192+D193</f>
        <v>115.3</v>
      </c>
      <c r="J193" s="8" t="n">
        <v>0.5</v>
      </c>
      <c r="K193" s="8" t="n">
        <f aca="false">J193+K192</f>
        <v>474.9</v>
      </c>
      <c r="L193" s="8" t="n">
        <v>0.9</v>
      </c>
      <c r="M193" s="8" t="n">
        <f aca="false">M192+L193</f>
        <v>162.8</v>
      </c>
      <c r="N193" s="8" t="n">
        <v>-0.4</v>
      </c>
      <c r="O193" s="8" t="n">
        <f aca="false">O192+N193</f>
        <v>196.9</v>
      </c>
      <c r="P193" s="8" t="n">
        <v>153</v>
      </c>
      <c r="Q193" s="8" t="n">
        <v>1</v>
      </c>
      <c r="R193" s="12" t="n">
        <f aca="false">Q193*L193</f>
        <v>0.9</v>
      </c>
      <c r="S193" s="12" t="n">
        <f aca="false">J193-R193</f>
        <v>-0.4</v>
      </c>
      <c r="T193" s="12" t="n">
        <f aca="false">MIN(197.4,T192+S193)</f>
        <v>196.9</v>
      </c>
      <c r="V193" s="8" t="n">
        <v>312.9</v>
      </c>
      <c r="X193" s="8" t="n">
        <f aca="false">X192+V193</f>
        <v>75861.9</v>
      </c>
      <c r="Y193" s="8" t="n">
        <f aca="false">Y192+V193</f>
        <v>6899.8</v>
      </c>
      <c r="AA193" s="8" t="n">
        <v>9.61555413151689</v>
      </c>
    </row>
    <row r="194" s="8" customFormat="true" ht="15" hidden="false" customHeight="false" outlineLevel="0" collapsed="false">
      <c r="A194" s="26"/>
      <c r="B194" s="15"/>
      <c r="C194" s="27" t="n">
        <v>41310</v>
      </c>
      <c r="D194" s="8" t="n">
        <v>5.9</v>
      </c>
      <c r="E194" s="8" t="n">
        <v>4.3</v>
      </c>
      <c r="F194" s="8" t="n">
        <v>7</v>
      </c>
      <c r="G194" s="8" t="n">
        <f aca="false">G193+D194</f>
        <v>1445.6</v>
      </c>
      <c r="H194" s="8" t="n">
        <f aca="false">H193+D194</f>
        <v>121.2</v>
      </c>
      <c r="J194" s="8" t="n">
        <v>8.1</v>
      </c>
      <c r="K194" s="8" t="n">
        <f aca="false">J194+K193</f>
        <v>483</v>
      </c>
      <c r="L194" s="8" t="n">
        <v>0.9</v>
      </c>
      <c r="M194" s="8" t="n">
        <f aca="false">M193+L194</f>
        <v>163.7</v>
      </c>
      <c r="N194" s="8" t="n">
        <v>7.2</v>
      </c>
      <c r="O194" s="8" t="n">
        <v>197.4</v>
      </c>
      <c r="P194" s="8" t="n">
        <v>154</v>
      </c>
      <c r="Q194" s="8" t="n">
        <v>1</v>
      </c>
      <c r="R194" s="12" t="n">
        <f aca="false">Q194*L194</f>
        <v>0.9</v>
      </c>
      <c r="S194" s="12" t="n">
        <f aca="false">J194-R194</f>
        <v>7.2</v>
      </c>
      <c r="T194" s="12" t="n">
        <f aca="false">MIN(197.4,T193+S194)</f>
        <v>197.4</v>
      </c>
      <c r="V194" s="8" t="n">
        <v>804.9</v>
      </c>
      <c r="X194" s="8" t="n">
        <f aca="false">X193+V194</f>
        <v>76666.8</v>
      </c>
      <c r="Y194" s="8" t="n">
        <f aca="false">Y193+V194</f>
        <v>7704.7</v>
      </c>
      <c r="AA194" s="8" t="n">
        <v>9.66576624575695</v>
      </c>
    </row>
    <row r="195" s="8" customFormat="true" ht="15" hidden="false" customHeight="false" outlineLevel="0" collapsed="false">
      <c r="A195" s="26"/>
      <c r="B195" s="15"/>
      <c r="C195" s="27" t="n">
        <v>41311</v>
      </c>
      <c r="D195" s="8" t="n">
        <v>4.9</v>
      </c>
      <c r="E195" s="8" t="n">
        <v>3.6</v>
      </c>
      <c r="F195" s="8" t="n">
        <v>5.9</v>
      </c>
      <c r="G195" s="8" t="n">
        <f aca="false">G194+D195</f>
        <v>1450.5</v>
      </c>
      <c r="H195" s="8" t="n">
        <f aca="false">H194+D195</f>
        <v>126.1</v>
      </c>
      <c r="J195" s="8" t="n">
        <v>3.7</v>
      </c>
      <c r="K195" s="8" t="n">
        <f aca="false">J195+K194</f>
        <v>486.7</v>
      </c>
      <c r="L195" s="8" t="n">
        <v>0.7</v>
      </c>
      <c r="M195" s="8" t="n">
        <f aca="false">M194+L195</f>
        <v>164.4</v>
      </c>
      <c r="N195" s="8" t="n">
        <v>3</v>
      </c>
      <c r="O195" s="8" t="n">
        <v>197.4</v>
      </c>
      <c r="P195" s="8" t="n">
        <v>155</v>
      </c>
      <c r="Q195" s="8" t="n">
        <v>1</v>
      </c>
      <c r="R195" s="12" t="n">
        <f aca="false">Q195*L195</f>
        <v>0.7</v>
      </c>
      <c r="S195" s="12" t="n">
        <f aca="false">J195-R195</f>
        <v>3</v>
      </c>
      <c r="T195" s="12" t="n">
        <f aca="false">MIN(197.4,T194+S195)</f>
        <v>197.4</v>
      </c>
      <c r="V195" s="8" t="n">
        <v>230.4</v>
      </c>
      <c r="X195" s="8" t="n">
        <f aca="false">X194+V195</f>
        <v>76897.2</v>
      </c>
      <c r="Y195" s="8" t="n">
        <f aca="false">Y194+V195</f>
        <v>7935.1</v>
      </c>
      <c r="AA195" s="8" t="n">
        <v>9.71650675470507</v>
      </c>
    </row>
    <row r="196" s="8" customFormat="true" ht="15" hidden="false" customHeight="false" outlineLevel="0" collapsed="false">
      <c r="A196" s="26"/>
      <c r="B196" s="15"/>
      <c r="C196" s="27" t="n">
        <v>41312</v>
      </c>
      <c r="D196" s="8" t="n">
        <v>3.6</v>
      </c>
      <c r="E196" s="8" t="n">
        <v>0.2</v>
      </c>
      <c r="F196" s="8" t="n">
        <v>6.7</v>
      </c>
      <c r="G196" s="8" t="n">
        <f aca="false">G195+D196</f>
        <v>1454.1</v>
      </c>
      <c r="H196" s="8" t="n">
        <f aca="false">H195+D196</f>
        <v>129.7</v>
      </c>
      <c r="J196" s="8" t="n">
        <v>3.7</v>
      </c>
      <c r="K196" s="8" t="n">
        <f aca="false">J196+K195</f>
        <v>490.4</v>
      </c>
      <c r="L196" s="8" t="n">
        <v>0.7</v>
      </c>
      <c r="M196" s="8" t="n">
        <f aca="false">M195+L196</f>
        <v>165.1</v>
      </c>
      <c r="N196" s="8" t="n">
        <v>3</v>
      </c>
      <c r="O196" s="8" t="n">
        <v>197.4</v>
      </c>
      <c r="P196" s="8" t="n">
        <v>156</v>
      </c>
      <c r="Q196" s="8" t="n">
        <v>1</v>
      </c>
      <c r="R196" s="12" t="n">
        <f aca="false">Q196*L196</f>
        <v>0.7</v>
      </c>
      <c r="S196" s="12" t="n">
        <f aca="false">J196-R196</f>
        <v>3</v>
      </c>
      <c r="T196" s="12" t="n">
        <f aca="false">MIN(197.4,T195+S196)</f>
        <v>197.4</v>
      </c>
      <c r="V196" s="8" t="n">
        <v>259.4</v>
      </c>
      <c r="X196" s="8" t="n">
        <f aca="false">X195+V196</f>
        <v>77156.6</v>
      </c>
      <c r="Y196" s="8" t="n">
        <f aca="false">Y195+V196</f>
        <v>8194.5</v>
      </c>
      <c r="AA196" s="8" t="n">
        <v>9.76775220798853</v>
      </c>
    </row>
    <row r="197" s="8" customFormat="true" ht="15" hidden="false" customHeight="false" outlineLevel="0" collapsed="false">
      <c r="A197" s="26"/>
      <c r="B197" s="15"/>
      <c r="C197" s="27" t="n">
        <v>41313</v>
      </c>
      <c r="D197" s="8" t="n">
        <v>4.4</v>
      </c>
      <c r="E197" s="8" t="n">
        <v>3.1</v>
      </c>
      <c r="F197" s="8" t="n">
        <v>6.6</v>
      </c>
      <c r="G197" s="8" t="n">
        <f aca="false">G196+D197</f>
        <v>1458.5</v>
      </c>
      <c r="H197" s="8" t="n">
        <f aca="false">H196+D197</f>
        <v>134.1</v>
      </c>
      <c r="J197" s="8" t="n">
        <v>1.4</v>
      </c>
      <c r="K197" s="8" t="n">
        <f aca="false">J197+K196</f>
        <v>491.8</v>
      </c>
      <c r="L197" s="8" t="n">
        <v>0.7</v>
      </c>
      <c r="M197" s="8" t="n">
        <f aca="false">M196+L197</f>
        <v>165.8</v>
      </c>
      <c r="N197" s="8" t="n">
        <v>0.7</v>
      </c>
      <c r="O197" s="8" t="n">
        <v>197.4</v>
      </c>
      <c r="P197" s="8" t="n">
        <v>157</v>
      </c>
      <c r="Q197" s="8" t="n">
        <v>1</v>
      </c>
      <c r="R197" s="12" t="n">
        <f aca="false">Q197*L197</f>
        <v>0.7</v>
      </c>
      <c r="S197" s="12" t="n">
        <f aca="false">J197-R197</f>
        <v>0.7</v>
      </c>
      <c r="T197" s="12" t="n">
        <f aca="false">MIN(197.4,T196+S197)</f>
        <v>197.4</v>
      </c>
      <c r="V197" s="8" t="n">
        <v>474</v>
      </c>
      <c r="X197" s="8" t="n">
        <f aca="false">X196+V197</f>
        <v>77630.6</v>
      </c>
      <c r="Y197" s="8" t="n">
        <f aca="false">Y196+V197</f>
        <v>8668.5</v>
      </c>
      <c r="AA197" s="8" t="n">
        <v>9.81947979666666</v>
      </c>
    </row>
    <row r="198" s="8" customFormat="true" ht="15" hidden="false" customHeight="false" outlineLevel="0" collapsed="false">
      <c r="A198" s="26"/>
      <c r="B198" s="15" t="n">
        <v>10</v>
      </c>
      <c r="C198" s="27" t="n">
        <v>41314</v>
      </c>
      <c r="D198" s="8" t="n">
        <v>5.1</v>
      </c>
      <c r="E198" s="8" t="n">
        <v>3.2</v>
      </c>
      <c r="F198" s="8" t="n">
        <v>6.7</v>
      </c>
      <c r="G198" s="8" t="n">
        <f aca="false">G197+D198</f>
        <v>1463.6</v>
      </c>
      <c r="H198" s="8" t="n">
        <f aca="false">H197+D198</f>
        <v>139.2</v>
      </c>
      <c r="J198" s="8" t="n">
        <v>8.9</v>
      </c>
      <c r="K198" s="8" t="n">
        <f aca="false">J198+K197</f>
        <v>500.7</v>
      </c>
      <c r="L198" s="8" t="n">
        <v>0.2</v>
      </c>
      <c r="M198" s="8" t="n">
        <f aca="false">M197+L198</f>
        <v>166</v>
      </c>
      <c r="N198" s="8" t="n">
        <v>8.7</v>
      </c>
      <c r="O198" s="8" t="n">
        <v>197.4</v>
      </c>
      <c r="P198" s="8" t="n">
        <v>158</v>
      </c>
      <c r="Q198" s="8" t="n">
        <v>1</v>
      </c>
      <c r="R198" s="12" t="n">
        <f aca="false">Q198*L198</f>
        <v>0.2</v>
      </c>
      <c r="S198" s="12" t="n">
        <f aca="false">J198-R198</f>
        <v>8.7</v>
      </c>
      <c r="T198" s="12" t="n">
        <f aca="false">MIN(197.4,T197+S198)</f>
        <v>197.4</v>
      </c>
      <c r="V198" s="8" t="n">
        <v>158.2</v>
      </c>
      <c r="X198" s="8" t="n">
        <f aca="false">X197+V198</f>
        <v>77788.8</v>
      </c>
      <c r="Y198" s="8" t="n">
        <f aca="false">Y197+V198</f>
        <v>8826.7</v>
      </c>
      <c r="AA198" s="8" t="n">
        <v>9.87166735876594</v>
      </c>
    </row>
    <row r="199" s="8" customFormat="true" ht="15" hidden="false" customHeight="false" outlineLevel="0" collapsed="false">
      <c r="A199" s="26"/>
      <c r="B199" s="15"/>
      <c r="C199" s="27" t="n">
        <v>41315</v>
      </c>
      <c r="D199" s="8" t="n">
        <v>6.9</v>
      </c>
      <c r="E199" s="8" t="n">
        <v>5.8</v>
      </c>
      <c r="F199" s="8" t="n">
        <v>10</v>
      </c>
      <c r="G199" s="8" t="n">
        <f aca="false">G198+D199</f>
        <v>1470.5</v>
      </c>
      <c r="H199" s="8" t="n">
        <f aca="false">H198+D199</f>
        <v>146.1</v>
      </c>
      <c r="J199" s="8" t="n">
        <v>12.4</v>
      </c>
      <c r="K199" s="8" t="n">
        <f aca="false">J199+K198</f>
        <v>513.1</v>
      </c>
      <c r="L199" s="8" t="n">
        <v>0.6</v>
      </c>
      <c r="M199" s="8" t="n">
        <f aca="false">M198+L199</f>
        <v>166.6</v>
      </c>
      <c r="N199" s="8" t="n">
        <v>11.8</v>
      </c>
      <c r="O199" s="8" t="n">
        <v>197.4</v>
      </c>
      <c r="P199" s="8" t="n">
        <v>159</v>
      </c>
      <c r="Q199" s="8" t="n">
        <v>1</v>
      </c>
      <c r="R199" s="12" t="n">
        <f aca="false">Q199*L199</f>
        <v>0.6</v>
      </c>
      <c r="S199" s="12" t="n">
        <f aca="false">J199-R199</f>
        <v>11.8</v>
      </c>
      <c r="T199" s="12" t="n">
        <f aca="false">MIN(197.4,T198+S199)</f>
        <v>197.4</v>
      </c>
      <c r="V199" s="8" t="n">
        <v>160.2</v>
      </c>
      <c r="X199" s="8" t="n">
        <f aca="false">X198+V199</f>
        <v>77949</v>
      </c>
      <c r="Y199" s="8" t="n">
        <f aca="false">Y198+V199</f>
        <v>8986.9</v>
      </c>
      <c r="AA199" s="8" t="n">
        <v>9.92429338238747</v>
      </c>
    </row>
    <row r="200" s="8" customFormat="true" ht="15" hidden="false" customHeight="false" outlineLevel="0" collapsed="false">
      <c r="A200" s="26"/>
      <c r="B200" s="15"/>
      <c r="C200" s="27" t="n">
        <v>41316</v>
      </c>
      <c r="D200" s="8" t="n">
        <v>4.6</v>
      </c>
      <c r="E200" s="8" t="n">
        <v>1.1</v>
      </c>
      <c r="F200" s="8" t="n">
        <v>8.1</v>
      </c>
      <c r="G200" s="8" t="n">
        <f aca="false">G199+D200</f>
        <v>1475.1</v>
      </c>
      <c r="H200" s="8" t="n">
        <f aca="false">H199+D200</f>
        <v>150.7</v>
      </c>
      <c r="J200" s="8" t="n">
        <v>0.2</v>
      </c>
      <c r="K200" s="8" t="n">
        <f aca="false">J200+K199</f>
        <v>513.3</v>
      </c>
      <c r="L200" s="8" t="n">
        <v>0.6</v>
      </c>
      <c r="M200" s="8" t="n">
        <f aca="false">M199+L200</f>
        <v>167.2</v>
      </c>
      <c r="N200" s="8" t="n">
        <v>-0.4</v>
      </c>
      <c r="O200" s="8" t="n">
        <f aca="false">O199+N200</f>
        <v>197</v>
      </c>
      <c r="P200" s="8" t="n">
        <v>160</v>
      </c>
      <c r="Q200" s="8" t="n">
        <v>1</v>
      </c>
      <c r="R200" s="12" t="n">
        <f aca="false">Q200*L200</f>
        <v>0.6</v>
      </c>
      <c r="S200" s="12" t="n">
        <f aca="false">J200-R200</f>
        <v>-0.4</v>
      </c>
      <c r="T200" s="12" t="n">
        <f aca="false">MIN(197.4,T199+S200)</f>
        <v>197</v>
      </c>
      <c r="V200" s="8" t="n">
        <v>464.5</v>
      </c>
      <c r="X200" s="8" t="n">
        <f aca="false">X199+V200</f>
        <v>78413.5</v>
      </c>
      <c r="Y200" s="8" t="n">
        <f aca="false">Y199+V200</f>
        <v>9451.4</v>
      </c>
      <c r="AA200" s="8" t="n">
        <v>9.97733700654557</v>
      </c>
    </row>
    <row r="201" s="8" customFormat="true" ht="15" hidden="false" customHeight="false" outlineLevel="0" collapsed="false">
      <c r="A201" s="26"/>
      <c r="B201" s="15"/>
      <c r="C201" s="27" t="n">
        <v>41317</v>
      </c>
      <c r="D201" s="8" t="n">
        <v>4.3</v>
      </c>
      <c r="E201" s="8" t="n">
        <v>2.2</v>
      </c>
      <c r="F201" s="8" t="n">
        <v>5.6</v>
      </c>
      <c r="G201" s="8" t="n">
        <f aca="false">G200+D201</f>
        <v>1479.4</v>
      </c>
      <c r="H201" s="8" t="n">
        <f aca="false">H200+D201</f>
        <v>155</v>
      </c>
      <c r="J201" s="8" t="n">
        <v>0.4</v>
      </c>
      <c r="K201" s="8" t="n">
        <f aca="false">J201+K200</f>
        <v>513.7</v>
      </c>
      <c r="L201" s="8" t="n">
        <v>0.3</v>
      </c>
      <c r="M201" s="8" t="n">
        <f aca="false">M200+L201</f>
        <v>167.5</v>
      </c>
      <c r="N201" s="8" t="n">
        <v>0.1</v>
      </c>
      <c r="O201" s="8" t="n">
        <f aca="false">O200+N201</f>
        <v>197.1</v>
      </c>
      <c r="P201" s="8" t="n">
        <v>161</v>
      </c>
      <c r="Q201" s="8" t="n">
        <v>1</v>
      </c>
      <c r="R201" s="12" t="n">
        <f aca="false">Q201*L201</f>
        <v>0.3</v>
      </c>
      <c r="S201" s="12" t="n">
        <f aca="false">J201-R201</f>
        <v>0.1</v>
      </c>
      <c r="T201" s="12" t="n">
        <f aca="false">MIN(197.4,T200+S201)</f>
        <v>197.1</v>
      </c>
      <c r="V201" s="8" t="n">
        <v>256.8</v>
      </c>
      <c r="X201" s="8" t="n">
        <f aca="false">X200+V201</f>
        <v>78670.3</v>
      </c>
      <c r="Y201" s="8" t="n">
        <f aca="false">Y200+V201</f>
        <v>9708.2</v>
      </c>
      <c r="AA201" s="8" t="n">
        <v>10.0307780198942</v>
      </c>
    </row>
    <row r="202" s="8" customFormat="true" ht="15" hidden="false" customHeight="false" outlineLevel="0" collapsed="false">
      <c r="A202" s="26"/>
      <c r="B202" s="29" t="s">
        <v>46</v>
      </c>
      <c r="C202" s="27" t="n">
        <v>41318</v>
      </c>
      <c r="D202" s="8" t="n">
        <v>4.3</v>
      </c>
      <c r="E202" s="8" t="n">
        <v>2.9</v>
      </c>
      <c r="F202" s="8" t="n">
        <v>7.9</v>
      </c>
      <c r="G202" s="8" t="n">
        <f aca="false">G201+D202</f>
        <v>1483.7</v>
      </c>
      <c r="H202" s="8" t="n">
        <f aca="false">H201+D202</f>
        <v>159.3</v>
      </c>
      <c r="J202" s="8" t="n">
        <v>1.3</v>
      </c>
      <c r="K202" s="8" t="n">
        <f aca="false">J202+K201</f>
        <v>515</v>
      </c>
      <c r="L202" s="8" t="n">
        <v>0.8</v>
      </c>
      <c r="M202" s="8" t="n">
        <f aca="false">M201+L202</f>
        <v>168.3</v>
      </c>
      <c r="N202" s="8" t="n">
        <v>0.5</v>
      </c>
      <c r="O202" s="8" t="n">
        <v>197.4</v>
      </c>
      <c r="P202" s="8" t="n">
        <v>162</v>
      </c>
      <c r="Q202" s="8" t="n">
        <v>1</v>
      </c>
      <c r="R202" s="12" t="n">
        <f aca="false">Q202*L202</f>
        <v>0.8</v>
      </c>
      <c r="S202" s="12" t="n">
        <f aca="false">J202-R202</f>
        <v>0.5</v>
      </c>
      <c r="T202" s="12" t="n">
        <f aca="false">MIN(197.4,T201+S202)</f>
        <v>197.4</v>
      </c>
      <c r="V202" s="8" t="n">
        <v>355.2</v>
      </c>
      <c r="X202" s="8" t="n">
        <f aca="false">X201+V202</f>
        <v>79025.5</v>
      </c>
      <c r="Y202" s="8" t="n">
        <f aca="false">Y201+V202</f>
        <v>10063.4</v>
      </c>
      <c r="AA202" s="8" t="n">
        <v>10.0845968574949</v>
      </c>
    </row>
    <row r="203" s="8" customFormat="true" ht="15" hidden="false" customHeight="false" outlineLevel="0" collapsed="false">
      <c r="A203" s="26"/>
      <c r="B203" s="9"/>
      <c r="C203" s="27" t="n">
        <v>41319</v>
      </c>
      <c r="D203" s="8" t="n">
        <v>8.2</v>
      </c>
      <c r="E203" s="8" t="n">
        <v>4.6</v>
      </c>
      <c r="F203" s="8" t="n">
        <v>12.4</v>
      </c>
      <c r="G203" s="8" t="n">
        <f aca="false">G202+D203</f>
        <v>1491.9</v>
      </c>
      <c r="H203" s="8" t="n">
        <f aca="false">H202+D203</f>
        <v>167.5</v>
      </c>
      <c r="J203" s="8" t="n">
        <v>1.1</v>
      </c>
      <c r="K203" s="8" t="n">
        <f aca="false">J203+K202</f>
        <v>516.1</v>
      </c>
      <c r="L203" s="8" t="n">
        <v>1.4</v>
      </c>
      <c r="M203" s="8" t="n">
        <f aca="false">M202+L203</f>
        <v>169.7</v>
      </c>
      <c r="N203" s="8" t="n">
        <v>-0.3</v>
      </c>
      <c r="O203" s="8" t="n">
        <f aca="false">O202+N203</f>
        <v>197.1</v>
      </c>
      <c r="P203" s="8" t="n">
        <v>163</v>
      </c>
      <c r="Q203" s="8" t="n">
        <v>1</v>
      </c>
      <c r="R203" s="12" t="n">
        <f aca="false">Q203*L203</f>
        <v>1.4</v>
      </c>
      <c r="S203" s="12" t="n">
        <f aca="false">J203-R203</f>
        <v>-0.3</v>
      </c>
      <c r="T203" s="12" t="n">
        <f aca="false">MIN(197.4,T202+S203)</f>
        <v>197.1</v>
      </c>
      <c r="V203" s="8" t="n">
        <v>837.9</v>
      </c>
      <c r="X203" s="8" t="n">
        <f aca="false">X202+V203</f>
        <v>79863.4</v>
      </c>
      <c r="Y203" s="8" t="n">
        <f aca="false">Y202+V203</f>
        <v>10901.3</v>
      </c>
      <c r="AA203" s="8" t="n">
        <v>10.1387745957753</v>
      </c>
    </row>
    <row r="204" s="8" customFormat="true" ht="15" hidden="false" customHeight="false" outlineLevel="0" collapsed="false">
      <c r="A204" s="26"/>
      <c r="B204" s="15"/>
      <c r="C204" s="27" t="n">
        <v>41320</v>
      </c>
      <c r="D204" s="8" t="n">
        <v>6.4</v>
      </c>
      <c r="E204" s="8" t="n">
        <v>1.7</v>
      </c>
      <c r="F204" s="8" t="n">
        <v>11.9</v>
      </c>
      <c r="G204" s="8" t="n">
        <f aca="false">G203+D204</f>
        <v>1498.3</v>
      </c>
      <c r="H204" s="8" t="n">
        <f aca="false">H203+D204</f>
        <v>173.9</v>
      </c>
      <c r="J204" s="30" t="n">
        <v>0.2</v>
      </c>
      <c r="K204" s="8" t="n">
        <f aca="false">J204+K203</f>
        <v>516.3</v>
      </c>
      <c r="L204" s="8" t="n">
        <v>0.9</v>
      </c>
      <c r="M204" s="8" t="n">
        <f aca="false">M203+L204</f>
        <v>170.6</v>
      </c>
      <c r="N204" s="8" t="n">
        <v>-0.7</v>
      </c>
      <c r="O204" s="8" t="n">
        <f aca="false">O203+N204</f>
        <v>196.4</v>
      </c>
      <c r="P204" s="8" t="n">
        <v>164</v>
      </c>
      <c r="Q204" s="8" t="n">
        <v>1</v>
      </c>
      <c r="R204" s="12" t="n">
        <f aca="false">Q204*L204</f>
        <v>0.9</v>
      </c>
      <c r="S204" s="12" t="n">
        <f aca="false">J204-R204</f>
        <v>-0.7</v>
      </c>
      <c r="T204" s="12" t="n">
        <f aca="false">MIN(197.4,T203+S204)</f>
        <v>196.4</v>
      </c>
      <c r="V204" s="8" t="n">
        <v>665.5</v>
      </c>
      <c r="X204" s="8" t="n">
        <f aca="false">X203+V204</f>
        <v>80528.9</v>
      </c>
      <c r="Y204" s="8" t="n">
        <f aca="false">Y203+V204</f>
        <v>11566.8</v>
      </c>
      <c r="AA204" s="8" t="n">
        <v>10.1932929458242</v>
      </c>
      <c r="AB204" s="31" t="s">
        <v>47</v>
      </c>
    </row>
    <row r="205" s="8" customFormat="true" ht="15" hidden="false" customHeight="false" outlineLevel="0" collapsed="false">
      <c r="A205" s="26"/>
      <c r="B205" s="15"/>
      <c r="C205" s="27" t="n">
        <v>41321</v>
      </c>
      <c r="D205" s="8" t="n">
        <v>4.7</v>
      </c>
      <c r="E205" s="8" t="n">
        <v>2.2</v>
      </c>
      <c r="F205" s="8" t="n">
        <v>7.6</v>
      </c>
      <c r="G205" s="8" t="n">
        <f aca="false">G204+D205</f>
        <v>1503</v>
      </c>
      <c r="H205" s="8" t="n">
        <f aca="false">H204+D205</f>
        <v>178.6</v>
      </c>
      <c r="J205" s="30" t="n">
        <v>0</v>
      </c>
      <c r="K205" s="8" t="n">
        <f aca="false">J205+K204</f>
        <v>516.3</v>
      </c>
      <c r="L205" s="8" t="n">
        <v>0.5</v>
      </c>
      <c r="M205" s="8" t="n">
        <f aca="false">M204+L205</f>
        <v>171.1</v>
      </c>
      <c r="N205" s="8" t="n">
        <v>-0.5</v>
      </c>
      <c r="O205" s="8" t="n">
        <f aca="false">O204+N205</f>
        <v>195.9</v>
      </c>
      <c r="P205" s="8" t="n">
        <v>165</v>
      </c>
      <c r="Q205" s="8" t="n">
        <v>1</v>
      </c>
      <c r="R205" s="12" t="n">
        <f aca="false">Q205*L205</f>
        <v>0.5</v>
      </c>
      <c r="S205" s="12" t="n">
        <f aca="false">J205-R205</f>
        <v>-0.5</v>
      </c>
      <c r="T205" s="12" t="n">
        <f aca="false">MIN(197.4,T204+S205)</f>
        <v>195.9</v>
      </c>
      <c r="V205" s="8" t="n">
        <v>340.9</v>
      </c>
      <c r="X205" s="8" t="n">
        <f aca="false">X204+V205</f>
        <v>80869.8</v>
      </c>
      <c r="Y205" s="8" t="n">
        <f aca="false">Y204+V205</f>
        <v>11907.7</v>
      </c>
      <c r="AA205" s="8" t="n">
        <v>10.2481342451621</v>
      </c>
      <c r="AB205" s="12" t="n">
        <f aca="false">AVERAGE(T211:T224)</f>
        <v>183.374206349206</v>
      </c>
    </row>
    <row r="206" s="8" customFormat="true" ht="15" hidden="false" customHeight="false" outlineLevel="0" collapsed="false">
      <c r="A206" s="26"/>
      <c r="B206" s="15"/>
      <c r="C206" s="27" t="n">
        <v>41322</v>
      </c>
      <c r="D206" s="8" t="n">
        <v>4.3</v>
      </c>
      <c r="E206" s="8" t="n">
        <v>2.7</v>
      </c>
      <c r="F206" s="8" t="n">
        <v>7.2</v>
      </c>
      <c r="G206" s="8" t="n">
        <f aca="false">G205+D206</f>
        <v>1507.3</v>
      </c>
      <c r="H206" s="8" t="n">
        <f aca="false">H205+D206</f>
        <v>182.9</v>
      </c>
      <c r="J206" s="30" t="n">
        <v>0</v>
      </c>
      <c r="K206" s="8" t="n">
        <f aca="false">J206+K205</f>
        <v>516.3</v>
      </c>
      <c r="L206" s="8" t="n">
        <v>0.9</v>
      </c>
      <c r="M206" s="8" t="n">
        <f aca="false">M205+L206</f>
        <v>172</v>
      </c>
      <c r="N206" s="8" t="n">
        <v>-0.9</v>
      </c>
      <c r="O206" s="8" t="n">
        <f aca="false">O205+N206</f>
        <v>195</v>
      </c>
      <c r="P206" s="8" t="n">
        <v>166</v>
      </c>
      <c r="Q206" s="8" t="n">
        <v>1</v>
      </c>
      <c r="R206" s="12" t="n">
        <f aca="false">Q206*L206</f>
        <v>0.9</v>
      </c>
      <c r="S206" s="12" t="n">
        <f aca="false">J206-R206</f>
        <v>-0.9</v>
      </c>
      <c r="T206" s="12" t="n">
        <f aca="false">MIN(197.4,T205+S206)</f>
        <v>195</v>
      </c>
      <c r="V206" s="8" t="n">
        <v>767.1</v>
      </c>
      <c r="X206" s="8" t="n">
        <f aca="false">X205+V206</f>
        <v>81636.9</v>
      </c>
      <c r="Y206" s="8" t="n">
        <f aca="false">Y205+V206</f>
        <v>12674.8</v>
      </c>
      <c r="AA206" s="8" t="n">
        <v>10.3032814481223</v>
      </c>
      <c r="AB206" s="31" t="s">
        <v>48</v>
      </c>
    </row>
    <row r="207" s="8" customFormat="true" ht="15" hidden="false" customHeight="false" outlineLevel="0" collapsed="false">
      <c r="A207" s="26"/>
      <c r="B207" s="15"/>
      <c r="C207" s="27" t="n">
        <v>41323</v>
      </c>
      <c r="D207" s="8" t="n">
        <v>4.4</v>
      </c>
      <c r="E207" s="8" t="n">
        <v>1.6</v>
      </c>
      <c r="F207" s="8" t="n">
        <v>9</v>
      </c>
      <c r="G207" s="8" t="n">
        <f aca="false">G206+D207</f>
        <v>1511.7</v>
      </c>
      <c r="H207" s="8" t="n">
        <f aca="false">H206+D207</f>
        <v>187.3</v>
      </c>
      <c r="J207" s="30" t="n">
        <v>0</v>
      </c>
      <c r="K207" s="8" t="n">
        <f aca="false">J207+K206</f>
        <v>516.3</v>
      </c>
      <c r="L207" s="8" t="n">
        <v>1.5</v>
      </c>
      <c r="M207" s="8" t="n">
        <f aca="false">M206+L207</f>
        <v>173.5</v>
      </c>
      <c r="N207" s="8" t="n">
        <v>-1.5</v>
      </c>
      <c r="O207" s="8" t="n">
        <f aca="false">O206+N207</f>
        <v>193.5</v>
      </c>
      <c r="P207" s="8" t="n">
        <v>167</v>
      </c>
      <c r="Q207" s="8" t="n">
        <v>1</v>
      </c>
      <c r="R207" s="12" t="n">
        <f aca="false">Q207*L207</f>
        <v>1.5</v>
      </c>
      <c r="S207" s="12" t="n">
        <f aca="false">J207-R207</f>
        <v>-1.5</v>
      </c>
      <c r="T207" s="12" t="n">
        <f aca="false">MIN(197.4,T206+S207)</f>
        <v>193.5</v>
      </c>
      <c r="V207" s="8" t="n">
        <v>1257.7</v>
      </c>
      <c r="X207" s="8" t="n">
        <f aca="false">X206+V207</f>
        <v>82894.6</v>
      </c>
      <c r="Y207" s="8" t="n">
        <f aca="false">Y206+V207</f>
        <v>13932.5</v>
      </c>
      <c r="AA207" s="8" t="n">
        <v>10.3587181149694</v>
      </c>
      <c r="AB207" s="8" t="n">
        <v>4</v>
      </c>
    </row>
    <row r="208" s="8" customFormat="true" ht="15" hidden="false" customHeight="false" outlineLevel="0" collapsed="false">
      <c r="A208" s="26"/>
      <c r="B208" s="15"/>
      <c r="C208" s="27" t="n">
        <v>41324</v>
      </c>
      <c r="D208" s="8" t="n">
        <v>4.5</v>
      </c>
      <c r="E208" s="8" t="n">
        <v>0.4</v>
      </c>
      <c r="F208" s="8" t="n">
        <v>10.6</v>
      </c>
      <c r="G208" s="8" t="n">
        <f aca="false">G207+D208</f>
        <v>1516.2</v>
      </c>
      <c r="H208" s="8" t="n">
        <f aca="false">H207+D208</f>
        <v>191.8</v>
      </c>
      <c r="J208" s="30" t="n">
        <v>0</v>
      </c>
      <c r="K208" s="8" t="n">
        <f aca="false">J208+K207</f>
        <v>516.3</v>
      </c>
      <c r="L208" s="8" t="n">
        <v>1.5</v>
      </c>
      <c r="M208" s="8" t="n">
        <f aca="false">M207+L208</f>
        <v>175</v>
      </c>
      <c r="N208" s="8" t="n">
        <v>-1.5</v>
      </c>
      <c r="O208" s="8" t="n">
        <f aca="false">O207+N208</f>
        <v>192</v>
      </c>
      <c r="P208" s="8" t="n">
        <v>168</v>
      </c>
      <c r="Q208" s="8" t="n">
        <v>1</v>
      </c>
      <c r="R208" s="12" t="n">
        <f aca="false">Q208*L208</f>
        <v>1.5</v>
      </c>
      <c r="S208" s="12" t="n">
        <f aca="false">J208-R208</f>
        <v>-1.5</v>
      </c>
      <c r="T208" s="12" t="n">
        <f aca="false">MIN(197.4,T207+S208)</f>
        <v>192</v>
      </c>
      <c r="V208" s="8" t="n">
        <v>1195.1</v>
      </c>
      <c r="X208" s="8" t="n">
        <f aca="false">X207+V208</f>
        <v>84089.7</v>
      </c>
      <c r="Y208" s="8" t="n">
        <f aca="false">Y207+V208</f>
        <v>15127.6</v>
      </c>
      <c r="AA208" s="8" t="n">
        <v>10.4144283998791</v>
      </c>
      <c r="AB208" s="31" t="s">
        <v>49</v>
      </c>
    </row>
    <row r="209" s="8" customFormat="true" ht="15" hidden="false" customHeight="false" outlineLevel="0" collapsed="false">
      <c r="A209" s="26"/>
      <c r="B209" s="29" t="s">
        <v>50</v>
      </c>
      <c r="C209" s="27" t="n">
        <v>41325</v>
      </c>
      <c r="D209" s="8" t="n">
        <v>3.9</v>
      </c>
      <c r="E209" s="8" t="n">
        <v>-0.9</v>
      </c>
      <c r="F209" s="8" t="n">
        <v>10.4</v>
      </c>
      <c r="G209" s="8" t="n">
        <f aca="false">G208+D209</f>
        <v>1520.1</v>
      </c>
      <c r="H209" s="8" t="n">
        <f aca="false">H208+D209</f>
        <v>195.7</v>
      </c>
      <c r="J209" s="30" t="n">
        <v>0.1</v>
      </c>
      <c r="K209" s="8" t="n">
        <f aca="false">J209+K208</f>
        <v>516.4</v>
      </c>
      <c r="L209" s="8" t="n">
        <v>1.7</v>
      </c>
      <c r="M209" s="8" t="n">
        <f aca="false">M208+L209</f>
        <v>176.7</v>
      </c>
      <c r="N209" s="8" t="n">
        <v>-1.6</v>
      </c>
      <c r="O209" s="8" t="n">
        <f aca="false">O208+N209</f>
        <v>190.4</v>
      </c>
      <c r="P209" s="8" t="n">
        <v>169</v>
      </c>
      <c r="Q209" s="8" t="n">
        <v>1</v>
      </c>
      <c r="R209" s="12" t="n">
        <f aca="false">Q209*L209</f>
        <v>1.7</v>
      </c>
      <c r="S209" s="12" t="n">
        <f aca="false">J209-R209</f>
        <v>-1.6</v>
      </c>
      <c r="T209" s="12" t="n">
        <f aca="false">MIN(197.4,T208+S209)</f>
        <v>190.4</v>
      </c>
      <c r="V209" s="8" t="n">
        <v>1284.7</v>
      </c>
      <c r="X209" s="8" t="n">
        <f aca="false">X208+V209</f>
        <v>85374.4</v>
      </c>
      <c r="Y209" s="8" t="n">
        <f aca="false">Y208+V209</f>
        <v>16412.3</v>
      </c>
      <c r="AA209" s="8" t="n">
        <v>10.4703970378929</v>
      </c>
      <c r="AB209" s="8" t="n">
        <v>7</v>
      </c>
    </row>
    <row r="210" s="8" customFormat="true" ht="15" hidden="false" customHeight="false" outlineLevel="0" collapsed="false">
      <c r="A210" s="26"/>
      <c r="B210" s="15"/>
      <c r="C210" s="27" t="n">
        <v>41326</v>
      </c>
      <c r="D210" s="8" t="n">
        <v>1.3</v>
      </c>
      <c r="E210" s="8" t="n">
        <v>-0.4</v>
      </c>
      <c r="F210" s="8" t="n">
        <v>4.1</v>
      </c>
      <c r="G210" s="8" t="n">
        <f aca="false">G209+D210</f>
        <v>1521.4</v>
      </c>
      <c r="H210" s="8" t="n">
        <f aca="false">H209+D210</f>
        <v>197</v>
      </c>
      <c r="J210" s="30" t="n">
        <v>0</v>
      </c>
      <c r="K210" s="8" t="n">
        <f aca="false">J210+K209</f>
        <v>516.4</v>
      </c>
      <c r="L210" s="8" t="n">
        <v>1.8</v>
      </c>
      <c r="M210" s="8" t="n">
        <f aca="false">M209+L210</f>
        <v>178.5</v>
      </c>
      <c r="N210" s="8" t="n">
        <v>-1.8</v>
      </c>
      <c r="O210" s="8" t="n">
        <f aca="false">O209+N210</f>
        <v>188.6</v>
      </c>
      <c r="P210" s="8" t="n">
        <v>170</v>
      </c>
      <c r="Q210" s="8" t="n">
        <v>1</v>
      </c>
      <c r="R210" s="12" t="n">
        <f aca="false">Q210*L210</f>
        <v>1.8</v>
      </c>
      <c r="S210" s="12" t="n">
        <f aca="false">J210-R210</f>
        <v>-1.8</v>
      </c>
      <c r="T210" s="12" t="n">
        <f aca="false">MIN(197.4,T209+S210)</f>
        <v>188.6</v>
      </c>
      <c r="V210" s="8" t="n">
        <v>1313.2</v>
      </c>
      <c r="X210" s="8" t="n">
        <f aca="false">X209+V210</f>
        <v>86687.6</v>
      </c>
      <c r="Y210" s="8" t="n">
        <f aca="false">Y209+V210</f>
        <v>17725.5</v>
      </c>
      <c r="AA210" s="8" t="n">
        <v>10.5266093309573</v>
      </c>
      <c r="AB210" s="31" t="s">
        <v>51</v>
      </c>
    </row>
    <row r="211" s="8" customFormat="true" ht="15" hidden="false" customHeight="false" outlineLevel="0" collapsed="false">
      <c r="A211" s="26"/>
      <c r="B211" s="15"/>
      <c r="C211" s="27" t="n">
        <v>41327</v>
      </c>
      <c r="D211" s="8" t="n">
        <v>-0.1</v>
      </c>
      <c r="E211" s="8" t="n">
        <v>-1.5</v>
      </c>
      <c r="F211" s="8" t="n">
        <v>2.5</v>
      </c>
      <c r="G211" s="8" t="n">
        <v>1521.4</v>
      </c>
      <c r="H211" s="8" t="n">
        <v>197</v>
      </c>
      <c r="J211" s="30" t="n">
        <v>0</v>
      </c>
      <c r="K211" s="8" t="n">
        <f aca="false">J211+K210</f>
        <v>516.4</v>
      </c>
      <c r="L211" s="8" t="n">
        <v>1.5</v>
      </c>
      <c r="M211" s="8" t="n">
        <f aca="false">M210+L211</f>
        <v>180</v>
      </c>
      <c r="N211" s="8" t="n">
        <v>-1.5</v>
      </c>
      <c r="O211" s="8" t="n">
        <f aca="false">O210+N211</f>
        <v>187.1</v>
      </c>
      <c r="P211" s="8" t="n">
        <v>171</v>
      </c>
      <c r="Q211" s="8" t="n">
        <v>1</v>
      </c>
      <c r="R211" s="12" t="n">
        <f aca="false">Q211*L211</f>
        <v>1.5</v>
      </c>
      <c r="S211" s="12" t="n">
        <f aca="false">J211-R211</f>
        <v>-1.5</v>
      </c>
      <c r="T211" s="32" t="n">
        <f aca="false">MIN(197.4,T210+S211)</f>
        <v>187.1</v>
      </c>
      <c r="V211" s="8" t="n">
        <v>821.6</v>
      </c>
      <c r="X211" s="8" t="n">
        <f aca="false">X210+V211</f>
        <v>87509.2</v>
      </c>
      <c r="Y211" s="8" t="n">
        <f aca="false">Y210+V211</f>
        <v>18547.1</v>
      </c>
      <c r="AA211" s="8" t="n">
        <v>10.5830511331501</v>
      </c>
      <c r="AB211" s="8" t="n">
        <v>0</v>
      </c>
    </row>
    <row r="212" s="8" customFormat="true" ht="15" hidden="false" customHeight="false" outlineLevel="0" collapsed="false">
      <c r="A212" s="26"/>
      <c r="B212" s="15"/>
      <c r="C212" s="27" t="n">
        <v>41328</v>
      </c>
      <c r="D212" s="8" t="n">
        <v>-0.6</v>
      </c>
      <c r="E212" s="8" t="n">
        <v>-3.3</v>
      </c>
      <c r="F212" s="8" t="n">
        <v>1</v>
      </c>
      <c r="G212" s="8" t="n">
        <v>1521.4</v>
      </c>
      <c r="H212" s="8" t="n">
        <v>197</v>
      </c>
      <c r="J212" s="30" t="n">
        <v>0</v>
      </c>
      <c r="K212" s="8" t="n">
        <f aca="false">J212+K211</f>
        <v>516.4</v>
      </c>
      <c r="L212" s="8" t="n">
        <v>0.7</v>
      </c>
      <c r="M212" s="8" t="n">
        <f aca="false">M211+L212</f>
        <v>180.7</v>
      </c>
      <c r="N212" s="8" t="n">
        <v>-0.7</v>
      </c>
      <c r="O212" s="8" t="n">
        <f aca="false">O211+N212</f>
        <v>186.4</v>
      </c>
      <c r="P212" s="8" t="n">
        <v>172</v>
      </c>
      <c r="Q212" s="8" t="n">
        <v>1</v>
      </c>
      <c r="R212" s="12" t="n">
        <f aca="false">Q212*L212</f>
        <v>0.7</v>
      </c>
      <c r="S212" s="12" t="n">
        <f aca="false">J212-R212</f>
        <v>-0.7</v>
      </c>
      <c r="T212" s="32" t="n">
        <f aca="false">MIN(197.4,T211+S212)</f>
        <v>186.4</v>
      </c>
      <c r="V212" s="8" t="n">
        <v>373.3</v>
      </c>
      <c r="X212" s="8" t="n">
        <f aca="false">X211+V212</f>
        <v>87882.5</v>
      </c>
      <c r="Y212" s="8" t="n">
        <f aca="false">Y211+V212</f>
        <v>18920.4</v>
      </c>
      <c r="AA212" s="8" t="n">
        <v>10.6397088351891</v>
      </c>
      <c r="AB212" s="31" t="s">
        <v>52</v>
      </c>
    </row>
    <row r="213" s="8" customFormat="true" ht="15" hidden="false" customHeight="false" outlineLevel="0" collapsed="false">
      <c r="A213" s="26"/>
      <c r="B213" s="15"/>
      <c r="C213" s="27" t="n">
        <v>41329</v>
      </c>
      <c r="D213" s="8" t="n">
        <v>2</v>
      </c>
      <c r="E213" s="8" t="n">
        <v>0.3</v>
      </c>
      <c r="F213" s="8" t="n">
        <v>3.9</v>
      </c>
      <c r="G213" s="8" t="n">
        <f aca="false">G212+D213</f>
        <v>1523.4</v>
      </c>
      <c r="H213" s="8" t="n">
        <f aca="false">H212+D213</f>
        <v>199</v>
      </c>
      <c r="J213" s="30" t="n">
        <v>0.3</v>
      </c>
      <c r="K213" s="8" t="n">
        <f aca="false">J213+K212</f>
        <v>516.7</v>
      </c>
      <c r="L213" s="8" t="n">
        <v>1</v>
      </c>
      <c r="M213" s="8" t="n">
        <f aca="false">M212+L213</f>
        <v>181.7</v>
      </c>
      <c r="N213" s="8" t="n">
        <v>-0.7</v>
      </c>
      <c r="O213" s="8" t="n">
        <f aca="false">O212+N213</f>
        <v>185.7</v>
      </c>
      <c r="P213" s="8" t="n">
        <v>173</v>
      </c>
      <c r="Q213" s="8" t="n">
        <v>1</v>
      </c>
      <c r="R213" s="12" t="n">
        <f aca="false">Q213*L213</f>
        <v>1</v>
      </c>
      <c r="S213" s="12" t="n">
        <f aca="false">J213-R213</f>
        <v>-0.7</v>
      </c>
      <c r="T213" s="32" t="n">
        <f aca="false">MIN(197.4,T212+S213)</f>
        <v>185.7</v>
      </c>
      <c r="V213" s="8" t="n">
        <v>448.2</v>
      </c>
      <c r="X213" s="8" t="n">
        <f aca="false">X212+V213</f>
        <v>88330.7</v>
      </c>
      <c r="Y213" s="8" t="n">
        <f aca="false">Y212+V213</f>
        <v>19368.6</v>
      </c>
      <c r="AA213" s="8" t="n">
        <v>10.6965693483125</v>
      </c>
      <c r="AB213" s="8" t="n">
        <f aca="false">SUM(J215:J224)</f>
        <v>15.5</v>
      </c>
    </row>
    <row r="214" s="35" customFormat="true" ht="15" hidden="false" customHeight="false" outlineLevel="0" collapsed="false">
      <c r="A214" s="26"/>
      <c r="B214" s="33" t="s">
        <v>53</v>
      </c>
      <c r="C214" s="34" t="n">
        <v>41330</v>
      </c>
      <c r="D214" s="35" t="n">
        <v>3.7</v>
      </c>
      <c r="E214" s="35" t="n">
        <v>1.4</v>
      </c>
      <c r="F214" s="35" t="n">
        <v>5.7</v>
      </c>
      <c r="G214" s="35" t="n">
        <f aca="false">G213+D214</f>
        <v>1527.1</v>
      </c>
      <c r="H214" s="35" t="n">
        <f aca="false">H213+D214</f>
        <v>202.7</v>
      </c>
      <c r="J214" s="35" t="n">
        <v>0.8</v>
      </c>
      <c r="K214" s="35" t="n">
        <f aca="false">J214+K213</f>
        <v>517.5</v>
      </c>
      <c r="L214" s="35" t="n">
        <v>0.8</v>
      </c>
      <c r="M214" s="35" t="n">
        <f aca="false">M213+L214</f>
        <v>182.5</v>
      </c>
      <c r="N214" s="35" t="n">
        <v>0</v>
      </c>
      <c r="O214" s="35" t="n">
        <f aca="false">O213+N214</f>
        <v>185.7</v>
      </c>
      <c r="P214" s="35" t="n">
        <v>174</v>
      </c>
      <c r="Q214" s="35" t="n">
        <v>1</v>
      </c>
      <c r="R214" s="36" t="n">
        <f aca="false">Q214*L214</f>
        <v>0.8</v>
      </c>
      <c r="S214" s="36" t="n">
        <f aca="false">J214-R214</f>
        <v>0</v>
      </c>
      <c r="T214" s="36" t="n">
        <f aca="false">MIN(197.4,T213+S214)</f>
        <v>185.7</v>
      </c>
      <c r="V214" s="35" t="n">
        <v>315.8</v>
      </c>
      <c r="X214" s="35" t="n">
        <f aca="false">X213+V214</f>
        <v>88646.5</v>
      </c>
      <c r="Y214" s="35" t="n">
        <f aca="false">Y213+V214</f>
        <v>19684.4</v>
      </c>
      <c r="AA214" s="35" t="n">
        <v>10.7536200876135</v>
      </c>
    </row>
    <row r="215" s="8" customFormat="true" ht="15" hidden="false" customHeight="false" outlineLevel="0" collapsed="false">
      <c r="A215" s="26"/>
      <c r="B215" s="15"/>
      <c r="C215" s="27" t="n">
        <v>41331</v>
      </c>
      <c r="D215" s="8" t="n">
        <v>3.4</v>
      </c>
      <c r="E215" s="8" t="n">
        <v>3.1</v>
      </c>
      <c r="F215" s="8" t="n">
        <v>3.8</v>
      </c>
      <c r="G215" s="8" t="n">
        <f aca="false">G214+D215</f>
        <v>1530.5</v>
      </c>
      <c r="H215" s="8" t="n">
        <f aca="false">H214+D215</f>
        <v>206.1</v>
      </c>
      <c r="J215" s="30" t="n">
        <v>0</v>
      </c>
      <c r="K215" s="8" t="n">
        <f aca="false">J215+K214</f>
        <v>517.5</v>
      </c>
      <c r="L215" s="8" t="n">
        <v>0.7</v>
      </c>
      <c r="M215" s="8" t="n">
        <f aca="false">M214+L215</f>
        <v>183.2</v>
      </c>
      <c r="N215" s="8" t="n">
        <v>-0.7</v>
      </c>
      <c r="O215" s="8" t="n">
        <f aca="false">O214+N215</f>
        <v>185</v>
      </c>
      <c r="P215" s="8" t="n">
        <v>175</v>
      </c>
      <c r="Q215" s="8" t="n">
        <v>1</v>
      </c>
      <c r="R215" s="12" t="n">
        <f aca="false">Q215*L215</f>
        <v>0.7</v>
      </c>
      <c r="S215" s="12" t="n">
        <f aca="false">J215-R215</f>
        <v>-0.7</v>
      </c>
      <c r="T215" s="32" t="n">
        <f aca="false">MIN(197.4,T214+S215)</f>
        <v>185</v>
      </c>
      <c r="V215" s="8" t="n">
        <v>306.4</v>
      </c>
      <c r="X215" s="8" t="n">
        <f aca="false">X214+V215</f>
        <v>88952.9</v>
      </c>
      <c r="Y215" s="8" t="n">
        <f aca="false">Y214+V215</f>
        <v>19990.8</v>
      </c>
      <c r="AA215" s="8" t="n">
        <v>10.8108489549064</v>
      </c>
    </row>
    <row r="216" s="8" customFormat="true" ht="15" hidden="false" customHeight="false" outlineLevel="0" collapsed="false">
      <c r="A216" s="26"/>
      <c r="B216" s="29" t="s">
        <v>54</v>
      </c>
      <c r="C216" s="27" t="n">
        <v>41332</v>
      </c>
      <c r="D216" s="8" t="n">
        <v>3.7</v>
      </c>
      <c r="E216" s="8" t="n">
        <v>2.4</v>
      </c>
      <c r="F216" s="8" t="n">
        <v>5.4</v>
      </c>
      <c r="G216" s="8" t="n">
        <f aca="false">G215+D216</f>
        <v>1534.2</v>
      </c>
      <c r="H216" s="8" t="n">
        <f aca="false">H215+D216</f>
        <v>209.8</v>
      </c>
      <c r="J216" s="30" t="n">
        <v>0</v>
      </c>
      <c r="K216" s="8" t="n">
        <f aca="false">J216+K215</f>
        <v>517.5</v>
      </c>
      <c r="L216" s="8" t="n">
        <v>1.1</v>
      </c>
      <c r="M216" s="8" t="n">
        <f aca="false">M215+L216</f>
        <v>184.3</v>
      </c>
      <c r="N216" s="8" t="n">
        <v>-1.1</v>
      </c>
      <c r="O216" s="8" t="n">
        <f aca="false">O215+N216</f>
        <v>183.9</v>
      </c>
      <c r="P216" s="8" t="n">
        <v>176</v>
      </c>
      <c r="Q216" s="8" t="n">
        <v>1</v>
      </c>
      <c r="R216" s="12" t="n">
        <f aca="false">Q216*L216</f>
        <v>1.1</v>
      </c>
      <c r="S216" s="12" t="n">
        <f aca="false">J216-R216</f>
        <v>-1.1</v>
      </c>
      <c r="T216" s="32" t="n">
        <f aca="false">MIN(197.4,T215+S216)</f>
        <v>183.9</v>
      </c>
      <c r="V216" s="8" t="n">
        <v>745.7</v>
      </c>
      <c r="X216" s="8" t="n">
        <f aca="false">X215+V216</f>
        <v>89698.6</v>
      </c>
      <c r="Y216" s="8" t="n">
        <f aca="false">Y215+V216</f>
        <v>20736.5</v>
      </c>
      <c r="AA216" s="8" t="n">
        <v>10.8682443211932</v>
      </c>
    </row>
    <row r="217" s="8" customFormat="true" ht="15" hidden="false" customHeight="false" outlineLevel="0" collapsed="false">
      <c r="A217" s="26"/>
      <c r="B217" s="15"/>
      <c r="C217" s="27" t="n">
        <v>41333</v>
      </c>
      <c r="D217" s="8" t="n">
        <v>3</v>
      </c>
      <c r="E217" s="8" t="n">
        <v>1.9</v>
      </c>
      <c r="F217" s="8" t="n">
        <v>4.1</v>
      </c>
      <c r="G217" s="8" t="n">
        <f aca="false">G216+D217</f>
        <v>1537.2</v>
      </c>
      <c r="H217" s="8" t="n">
        <f aca="false">H216+D217</f>
        <v>212.8</v>
      </c>
      <c r="J217" s="30" t="n">
        <v>0</v>
      </c>
      <c r="K217" s="8" t="n">
        <f aca="false">J217+K216</f>
        <v>517.5</v>
      </c>
      <c r="L217" s="8" t="n">
        <v>0.4</v>
      </c>
      <c r="M217" s="8" t="n">
        <f aca="false">M216+L217</f>
        <v>184.7</v>
      </c>
      <c r="N217" s="8" t="n">
        <v>-0.4</v>
      </c>
      <c r="O217" s="8" t="n">
        <f aca="false">O216+N217</f>
        <v>183.5</v>
      </c>
      <c r="P217" s="8" t="n">
        <v>177</v>
      </c>
      <c r="Q217" s="8" t="n">
        <v>1</v>
      </c>
      <c r="R217" s="12" t="n">
        <f aca="false">Q217*L217</f>
        <v>0.4</v>
      </c>
      <c r="S217" s="12" t="n">
        <f aca="false">J217-R217</f>
        <v>-0.4</v>
      </c>
      <c r="T217" s="32" t="n">
        <f aca="false">MIN(197.4,T216+S217)</f>
        <v>183.5</v>
      </c>
      <c r="V217" s="8" t="n">
        <v>325.5</v>
      </c>
      <c r="X217" s="8" t="n">
        <f aca="false">X216+V217</f>
        <v>90024.1</v>
      </c>
      <c r="Y217" s="8" t="n">
        <f aca="false">Y216+V217</f>
        <v>21062</v>
      </c>
      <c r="AA217" s="8" t="n">
        <v>10.9257950087975</v>
      </c>
    </row>
    <row r="218" s="8" customFormat="true" ht="15" hidden="false" customHeight="false" outlineLevel="0" collapsed="false">
      <c r="A218" s="26"/>
      <c r="B218" s="15"/>
      <c r="C218" s="27" t="n">
        <v>41334</v>
      </c>
      <c r="D218" s="8" t="n">
        <v>3.1</v>
      </c>
      <c r="E218" s="8" t="n">
        <v>1.5</v>
      </c>
      <c r="F218" s="8" t="n">
        <v>4.3</v>
      </c>
      <c r="G218" s="8" t="n">
        <f aca="false">G217+D218</f>
        <v>1540.3</v>
      </c>
      <c r="H218" s="8" t="n">
        <f aca="false">H217+D218</f>
        <v>215.9</v>
      </c>
      <c r="J218" s="30" t="n">
        <v>0</v>
      </c>
      <c r="K218" s="8" t="n">
        <f aca="false">J218+K217</f>
        <v>517.5</v>
      </c>
      <c r="L218" s="8" t="n">
        <v>0.8</v>
      </c>
      <c r="M218" s="8" t="n">
        <f aca="false">M217+L218</f>
        <v>185.5</v>
      </c>
      <c r="N218" s="8" t="n">
        <v>-0.8</v>
      </c>
      <c r="O218" s="8" t="n">
        <f aca="false">O217+N218</f>
        <v>182.7</v>
      </c>
      <c r="P218" s="8" t="n">
        <v>178</v>
      </c>
      <c r="Q218" s="8" t="n">
        <v>1</v>
      </c>
      <c r="R218" s="12" t="n">
        <f aca="false">Q218*L218</f>
        <v>0.8</v>
      </c>
      <c r="S218" s="12" t="n">
        <f aca="false">J218-R218</f>
        <v>-0.8</v>
      </c>
      <c r="T218" s="32" t="n">
        <f aca="false">MIN(197.4,T217+S218)</f>
        <v>182.7</v>
      </c>
      <c r="V218" s="8" t="n">
        <v>424.6</v>
      </c>
      <c r="X218" s="8" t="n">
        <f aca="false">X217+V218</f>
        <v>90448.7</v>
      </c>
      <c r="Y218" s="8" t="n">
        <f aca="false">Y217+V218</f>
        <v>21486.6</v>
      </c>
      <c r="AA218" s="8" t="n">
        <v>10.9834902732216</v>
      </c>
    </row>
    <row r="219" s="8" customFormat="true" ht="15" hidden="false" customHeight="false" outlineLevel="0" collapsed="false">
      <c r="A219" s="26"/>
      <c r="B219" s="15"/>
      <c r="C219" s="27" t="n">
        <v>41335</v>
      </c>
      <c r="D219" s="8" t="n">
        <v>2.9</v>
      </c>
      <c r="E219" s="8" t="n">
        <v>2.5</v>
      </c>
      <c r="F219" s="8" t="n">
        <v>3.4</v>
      </c>
      <c r="G219" s="8" t="n">
        <f aca="false">G218+D219</f>
        <v>1543.2</v>
      </c>
      <c r="H219" s="8" t="n">
        <f aca="false">H218+D219</f>
        <v>218.8</v>
      </c>
      <c r="J219" s="30" t="n">
        <v>0</v>
      </c>
      <c r="K219" s="8" t="n">
        <f aca="false">J219+K218</f>
        <v>517.5</v>
      </c>
      <c r="L219" s="8" t="n">
        <v>0.9</v>
      </c>
      <c r="M219" s="8" t="n">
        <f aca="false">M218+L219</f>
        <v>186.4</v>
      </c>
      <c r="N219" s="8" t="n">
        <v>-0.9</v>
      </c>
      <c r="O219" s="8" t="n">
        <f aca="false">O218+N219</f>
        <v>181.8</v>
      </c>
      <c r="P219" s="8" t="n">
        <v>179</v>
      </c>
      <c r="Q219" s="8" t="n">
        <v>1</v>
      </c>
      <c r="R219" s="12" t="n">
        <f aca="false">Q219*L219</f>
        <v>0.9</v>
      </c>
      <c r="S219" s="12" t="n">
        <f aca="false">J219-R219</f>
        <v>-0.9</v>
      </c>
      <c r="T219" s="32" t="n">
        <f aca="false">MIN(197.4,T218+S219)</f>
        <v>181.8</v>
      </c>
      <c r="V219" s="8" t="n">
        <v>530.3</v>
      </c>
      <c r="X219" s="8" t="n">
        <f aca="false">X218+V219</f>
        <v>90979</v>
      </c>
      <c r="Y219" s="8" t="n">
        <f aca="false">Y218+V219</f>
        <v>22016.9</v>
      </c>
      <c r="AA219" s="8" t="n">
        <v>11.0413197847836</v>
      </c>
    </row>
    <row r="220" s="23" customFormat="true" ht="15" hidden="false" customHeight="false" outlineLevel="0" collapsed="false">
      <c r="A220" s="26"/>
      <c r="B220" s="21"/>
      <c r="C220" s="37" t="n">
        <v>41336</v>
      </c>
      <c r="D220" s="23" t="n">
        <v>2.6</v>
      </c>
      <c r="E220" s="23" t="n">
        <v>1.2</v>
      </c>
      <c r="F220" s="23" t="n">
        <v>4.3</v>
      </c>
      <c r="G220" s="23" t="n">
        <f aca="false">G219+D220</f>
        <v>1545.8</v>
      </c>
      <c r="H220" s="23" t="n">
        <f aca="false">H219+D220</f>
        <v>221.4</v>
      </c>
      <c r="J220" s="38" t="n">
        <v>0</v>
      </c>
      <c r="K220" s="23" t="n">
        <f aca="false">J220+K219</f>
        <v>517.5</v>
      </c>
      <c r="L220" s="23" t="n">
        <v>0.9</v>
      </c>
      <c r="M220" s="23" t="n">
        <f aca="false">M219+L220</f>
        <v>187.3</v>
      </c>
      <c r="N220" s="23" t="n">
        <v>-0.9</v>
      </c>
      <c r="O220" s="23" t="n">
        <f aca="false">O219+N220</f>
        <v>180.9</v>
      </c>
      <c r="P220" s="23" t="n">
        <v>180</v>
      </c>
      <c r="Q220" s="23" t="n">
        <v>1</v>
      </c>
      <c r="R220" s="24" t="n">
        <f aca="false">Q220*L220</f>
        <v>0.9</v>
      </c>
      <c r="S220" s="24" t="n">
        <f aca="false">J220-R220</f>
        <v>-0.9</v>
      </c>
      <c r="T220" s="39" t="n">
        <f aca="false">MIN(197.4,T219+S220)</f>
        <v>180.9</v>
      </c>
      <c r="V220" s="23" t="n">
        <v>673.7</v>
      </c>
      <c r="W220" s="23" t="n">
        <f aca="false">(Y220/100)/I184</f>
        <v>1.02486901535682</v>
      </c>
      <c r="X220" s="23" t="n">
        <f aca="false">X219+V220</f>
        <v>91652.7</v>
      </c>
      <c r="Y220" s="23" t="n">
        <f aca="false">Y219+V220</f>
        <v>22690.6</v>
      </c>
      <c r="AA220" s="23" t="n">
        <v>11.0992736100799</v>
      </c>
    </row>
    <row r="221" s="8" customFormat="true" ht="15" hidden="false" customHeight="true" outlineLevel="0" collapsed="false">
      <c r="A221" s="40" t="s">
        <v>55</v>
      </c>
      <c r="B221" s="15"/>
      <c r="C221" s="41" t="n">
        <v>41337</v>
      </c>
      <c r="D221" s="8" t="n">
        <v>5.8</v>
      </c>
      <c r="E221" s="8" t="n">
        <v>0.2</v>
      </c>
      <c r="F221" s="8" t="n">
        <v>9.6</v>
      </c>
      <c r="G221" s="8" t="n">
        <f aca="false">G220+D221</f>
        <v>1551.6</v>
      </c>
      <c r="H221" s="8" t="n">
        <v>5.8</v>
      </c>
      <c r="I221" s="42" t="s">
        <v>28</v>
      </c>
      <c r="J221" s="30" t="n">
        <v>0</v>
      </c>
      <c r="K221" s="8" t="n">
        <f aca="false">J221+K220</f>
        <v>517.5</v>
      </c>
      <c r="L221" s="8" t="n">
        <v>1.5</v>
      </c>
      <c r="M221" s="8" t="n">
        <f aca="false">M220+L221</f>
        <v>188.8</v>
      </c>
      <c r="N221" s="8" t="n">
        <v>-1.5</v>
      </c>
      <c r="O221" s="8" t="n">
        <f aca="false">O220+N221</f>
        <v>179.4</v>
      </c>
      <c r="P221" s="8" t="n">
        <v>181</v>
      </c>
      <c r="Q221" s="18" t="n">
        <f aca="false">1+((P221-180)/27)*(1.15-1)</f>
        <v>1.00555555555556</v>
      </c>
      <c r="R221" s="12" t="n">
        <f aca="false">Q221*L221</f>
        <v>1.50833333333333</v>
      </c>
      <c r="S221" s="12" t="n">
        <f aca="false">J221-R221</f>
        <v>-1.50833333333333</v>
      </c>
      <c r="T221" s="32" t="n">
        <f aca="false">MIN(197.4,T220+S221)</f>
        <v>179.391666666667</v>
      </c>
      <c r="U221" s="42" t="s">
        <v>29</v>
      </c>
      <c r="V221" s="8" t="n">
        <v>1366.8</v>
      </c>
      <c r="X221" s="8" t="n">
        <f aca="false">X220+V221</f>
        <v>93019.5</v>
      </c>
      <c r="Y221" s="8" t="n">
        <v>1366.8</v>
      </c>
      <c r="Z221" s="42" t="s">
        <v>30</v>
      </c>
      <c r="AA221" s="8" t="n">
        <v>11.1573421933184</v>
      </c>
    </row>
    <row r="222" s="8" customFormat="true" ht="15" hidden="false" customHeight="false" outlineLevel="0" collapsed="false">
      <c r="A222" s="40"/>
      <c r="B222" s="15"/>
      <c r="C222" s="41" t="n">
        <v>41338</v>
      </c>
      <c r="D222" s="8" t="n">
        <v>10.3</v>
      </c>
      <c r="E222" s="8" t="n">
        <v>6.1</v>
      </c>
      <c r="F222" s="8" t="n">
        <v>15.2</v>
      </c>
      <c r="G222" s="8" t="n">
        <f aca="false">G221+D222</f>
        <v>1561.9</v>
      </c>
      <c r="H222" s="8" t="n">
        <f aca="false">H221+D222</f>
        <v>16.1</v>
      </c>
      <c r="I222" s="8" t="n">
        <f aca="false">MIN(E221:E247)</f>
        <v>-2.5</v>
      </c>
      <c r="J222" s="30" t="n">
        <v>0.1</v>
      </c>
      <c r="K222" s="8" t="n">
        <f aca="false">J222+K221</f>
        <v>517.6</v>
      </c>
      <c r="L222" s="8" t="n">
        <v>2.2</v>
      </c>
      <c r="M222" s="8" t="n">
        <f aca="false">M221+L222</f>
        <v>191</v>
      </c>
      <c r="N222" s="8" t="n">
        <v>-2.1</v>
      </c>
      <c r="O222" s="8" t="n">
        <f aca="false">O221+N222</f>
        <v>177.3</v>
      </c>
      <c r="P222" s="8" t="n">
        <v>182</v>
      </c>
      <c r="Q222" s="18" t="n">
        <f aca="false">1+((P222-180)/27)*(1.15-1)</f>
        <v>1.01111111111111</v>
      </c>
      <c r="R222" s="12" t="n">
        <f aca="false">Q222*L222</f>
        <v>2.22444444444444</v>
      </c>
      <c r="S222" s="12" t="n">
        <f aca="false">J222-R222</f>
        <v>-2.12444444444444</v>
      </c>
      <c r="T222" s="32" t="n">
        <f aca="false">MIN(197.4,T221+S222)</f>
        <v>177.267222222222</v>
      </c>
      <c r="U222" s="8" t="n">
        <v>17</v>
      </c>
      <c r="V222" s="8" t="n">
        <v>1062.3</v>
      </c>
      <c r="X222" s="8" t="n">
        <f aca="false">X221+V222</f>
        <v>94081.8</v>
      </c>
      <c r="Y222" s="8" t="n">
        <f aca="false">Y221+V222</f>
        <v>2429.1</v>
      </c>
      <c r="Z222" s="8" t="n">
        <v>19378</v>
      </c>
      <c r="AA222" s="8" t="n">
        <v>11.2155163375609</v>
      </c>
    </row>
    <row r="223" s="8" customFormat="true" ht="15" hidden="false" customHeight="false" outlineLevel="0" collapsed="false">
      <c r="A223" s="40"/>
      <c r="B223" s="29" t="s">
        <v>56</v>
      </c>
      <c r="C223" s="41" t="n">
        <v>41339</v>
      </c>
      <c r="D223" s="8" t="n">
        <v>11.1</v>
      </c>
      <c r="E223" s="8" t="n">
        <v>8.4</v>
      </c>
      <c r="F223" s="8" t="n">
        <v>14</v>
      </c>
      <c r="G223" s="8" t="n">
        <f aca="false">G222+D223</f>
        <v>1573</v>
      </c>
      <c r="H223" s="8" t="n">
        <f aca="false">H222+D223</f>
        <v>27.2</v>
      </c>
      <c r="I223" s="42" t="s">
        <v>31</v>
      </c>
      <c r="J223" s="30" t="n">
        <v>1</v>
      </c>
      <c r="K223" s="8" t="n">
        <f aca="false">J223+K222</f>
        <v>518.6</v>
      </c>
      <c r="L223" s="8" t="n">
        <v>1.1</v>
      </c>
      <c r="M223" s="8" t="n">
        <f aca="false">M222+L223</f>
        <v>192.1</v>
      </c>
      <c r="N223" s="8" t="n">
        <v>-0.1</v>
      </c>
      <c r="O223" s="8" t="n">
        <f aca="false">O222+N223</f>
        <v>177.2</v>
      </c>
      <c r="P223" s="8" t="n">
        <v>183</v>
      </c>
      <c r="Q223" s="18" t="n">
        <f aca="false">1+((P223-180)/27)*(1.15-1)</f>
        <v>1.01666666666667</v>
      </c>
      <c r="R223" s="12" t="n">
        <f aca="false">Q223*L223</f>
        <v>1.11833333333333</v>
      </c>
      <c r="S223" s="12" t="n">
        <f aca="false">J223-R223</f>
        <v>-0.118333333333333</v>
      </c>
      <c r="T223" s="32" t="n">
        <f aca="false">MIN(197.4,T222+S223)</f>
        <v>177.148888888889</v>
      </c>
      <c r="U223" s="42" t="s">
        <v>32</v>
      </c>
      <c r="V223" s="8" t="n">
        <v>328.9</v>
      </c>
      <c r="X223" s="8" t="n">
        <f aca="false">X222+V223</f>
        <v>94410.7</v>
      </c>
      <c r="Y223" s="8" t="n">
        <f aca="false">Y222+V223</f>
        <v>2758</v>
      </c>
      <c r="Z223" s="42" t="s">
        <v>33</v>
      </c>
      <c r="AA223" s="8" t="n">
        <v>11.2737871859081</v>
      </c>
      <c r="AC223" s="31" t="s">
        <v>47</v>
      </c>
    </row>
    <row r="224" s="8" customFormat="true" ht="15" hidden="false" customHeight="false" outlineLevel="0" collapsed="false">
      <c r="A224" s="40"/>
      <c r="B224" s="15"/>
      <c r="C224" s="41" t="n">
        <v>41340</v>
      </c>
      <c r="D224" s="8" t="n">
        <v>12.1</v>
      </c>
      <c r="E224" s="8" t="n">
        <v>9.8</v>
      </c>
      <c r="F224" s="8" t="n">
        <v>15.6</v>
      </c>
      <c r="G224" s="8" t="n">
        <f aca="false">G223+D224</f>
        <v>1585.1</v>
      </c>
      <c r="H224" s="8" t="n">
        <f aca="false">H223+D224</f>
        <v>39.3</v>
      </c>
      <c r="I224" s="8" t="n">
        <f aca="false">MAX(F221:F247)</f>
        <v>16.3</v>
      </c>
      <c r="J224" s="30" t="n">
        <v>14.4</v>
      </c>
      <c r="K224" s="8" t="n">
        <f aca="false">J224+K223</f>
        <v>533</v>
      </c>
      <c r="L224" s="8" t="n">
        <v>0.8</v>
      </c>
      <c r="M224" s="8" t="n">
        <f aca="false">M223+L224</f>
        <v>192.9</v>
      </c>
      <c r="N224" s="8" t="n">
        <v>13.6</v>
      </c>
      <c r="O224" s="8" t="n">
        <f aca="false">O223+N224</f>
        <v>190.8</v>
      </c>
      <c r="P224" s="8" t="n">
        <v>184</v>
      </c>
      <c r="Q224" s="18" t="n">
        <f aca="false">1+((P224-180)/27)*(1.15-1)</f>
        <v>1.02222222222222</v>
      </c>
      <c r="R224" s="12" t="n">
        <f aca="false">Q224*L224</f>
        <v>0.817777777777778</v>
      </c>
      <c r="S224" s="12" t="n">
        <f aca="false">J224-R224</f>
        <v>13.5822222222222</v>
      </c>
      <c r="T224" s="32" t="n">
        <f aca="false">MIN(197.4,T223+S224)</f>
        <v>190.731111111111</v>
      </c>
      <c r="U224" s="8" t="n">
        <v>0</v>
      </c>
      <c r="V224" s="8" t="n">
        <v>281.1</v>
      </c>
      <c r="X224" s="8" t="n">
        <f aca="false">X223+V224</f>
        <v>94691.8</v>
      </c>
      <c r="Y224" s="8" t="n">
        <f aca="false">Y223+V224</f>
        <v>3039.1</v>
      </c>
      <c r="Z224" s="8" t="n">
        <f aca="false">(Z222/100)/I234</f>
        <v>1.12141203703704</v>
      </c>
      <c r="AA224" s="8" t="n">
        <v>11.3321462026586</v>
      </c>
      <c r="AC224" s="18" t="n">
        <f aca="false">(AB205*(40/80))+(AB236*(40/80))</f>
        <v>185.30251984127</v>
      </c>
    </row>
    <row r="225" s="8" customFormat="true" ht="15" hidden="false" customHeight="false" outlineLevel="0" collapsed="false">
      <c r="A225" s="40"/>
      <c r="B225" s="15"/>
      <c r="C225" s="41" t="n">
        <v>41341</v>
      </c>
      <c r="D225" s="8" t="n">
        <v>11.7</v>
      </c>
      <c r="E225" s="8" t="n">
        <v>9.5</v>
      </c>
      <c r="F225" s="8" t="n">
        <v>16.3</v>
      </c>
      <c r="G225" s="8" t="n">
        <f aca="false">G224+D225</f>
        <v>1596.8</v>
      </c>
      <c r="H225" s="8" t="n">
        <f aca="false">H224+D225</f>
        <v>51</v>
      </c>
      <c r="I225" s="42" t="s">
        <v>34</v>
      </c>
      <c r="J225" s="8" t="n">
        <v>0.6</v>
      </c>
      <c r="K225" s="8" t="n">
        <f aca="false">J225+K224</f>
        <v>533.6</v>
      </c>
      <c r="L225" s="8" t="n">
        <v>1.6</v>
      </c>
      <c r="M225" s="8" t="n">
        <f aca="false">M224+L225</f>
        <v>194.5</v>
      </c>
      <c r="N225" s="8" t="n">
        <v>-1</v>
      </c>
      <c r="O225" s="8" t="n">
        <f aca="false">O224+N225</f>
        <v>189.8</v>
      </c>
      <c r="P225" s="8" t="n">
        <v>185</v>
      </c>
      <c r="Q225" s="18" t="n">
        <f aca="false">1+((P225-180)/27)*(1.15-1)</f>
        <v>1.02777777777778</v>
      </c>
      <c r="R225" s="12" t="n">
        <f aca="false">Q225*L225</f>
        <v>1.64444444444444</v>
      </c>
      <c r="S225" s="12" t="n">
        <f aca="false">J225-R225</f>
        <v>-1.04444444444444</v>
      </c>
      <c r="T225" s="12" t="n">
        <f aca="false">MIN(197.4,T224+S225)</f>
        <v>189.686666666667</v>
      </c>
      <c r="U225" s="42" t="s">
        <v>35</v>
      </c>
      <c r="V225" s="8" t="n">
        <v>717.5</v>
      </c>
      <c r="X225" s="8" t="n">
        <f aca="false">X224+V225</f>
        <v>95409.3</v>
      </c>
      <c r="Y225" s="8" t="n">
        <f aca="false">Y224+V225</f>
        <v>3756.6</v>
      </c>
      <c r="Z225" s="42" t="s">
        <v>36</v>
      </c>
      <c r="AA225" s="8" t="n">
        <v>11.3905851544686</v>
      </c>
      <c r="AC225" s="31" t="s">
        <v>48</v>
      </c>
    </row>
    <row r="226" s="8" customFormat="true" ht="15" hidden="false" customHeight="false" outlineLevel="0" collapsed="false">
      <c r="A226" s="40"/>
      <c r="B226" s="15"/>
      <c r="C226" s="41" t="n">
        <v>41342</v>
      </c>
      <c r="D226" s="8" t="n">
        <v>9.2</v>
      </c>
      <c r="E226" s="8" t="n">
        <v>7.3</v>
      </c>
      <c r="F226" s="8" t="n">
        <v>12.2</v>
      </c>
      <c r="G226" s="8" t="n">
        <f aca="false">G225+D226</f>
        <v>1606</v>
      </c>
      <c r="H226" s="8" t="n">
        <f aca="false">H225+D226</f>
        <v>60.2</v>
      </c>
      <c r="I226" s="12" t="n">
        <f aca="false">AVERAGE(D221:D247)</f>
        <v>6.4</v>
      </c>
      <c r="J226" s="8" t="n">
        <v>0</v>
      </c>
      <c r="K226" s="8" t="n">
        <f aca="false">J226+K225</f>
        <v>533.6</v>
      </c>
      <c r="L226" s="8" t="n">
        <v>0.7</v>
      </c>
      <c r="M226" s="8" t="n">
        <f aca="false">M225+L226</f>
        <v>195.2</v>
      </c>
      <c r="N226" s="8" t="n">
        <v>-0.7</v>
      </c>
      <c r="O226" s="8" t="n">
        <f aca="false">O225+N226</f>
        <v>189.1</v>
      </c>
      <c r="P226" s="8" t="n">
        <v>186</v>
      </c>
      <c r="Q226" s="18" t="n">
        <f aca="false">1+((P226-180)/27)*(1.15-1)</f>
        <v>1.03333333333333</v>
      </c>
      <c r="R226" s="12" t="n">
        <f aca="false">Q226*L226</f>
        <v>0.723333333333333</v>
      </c>
      <c r="S226" s="12" t="n">
        <f aca="false">J226-R226</f>
        <v>-0.723333333333333</v>
      </c>
      <c r="T226" s="12" t="n">
        <f aca="false">MIN(197.4,T225+S226)</f>
        <v>188.963333333333</v>
      </c>
      <c r="U226" s="8" t="n">
        <v>0</v>
      </c>
      <c r="V226" s="8" t="n">
        <v>384.9</v>
      </c>
      <c r="X226" s="8" t="n">
        <f aca="false">X225+V226</f>
        <v>95794.2</v>
      </c>
      <c r="Y226" s="8" t="n">
        <f aca="false">Y225+V226</f>
        <v>4141.5</v>
      </c>
      <c r="Z226" s="8" t="n">
        <v>20</v>
      </c>
      <c r="AA226" s="8" t="n">
        <v>11.4490960915339</v>
      </c>
      <c r="AC226" s="8" t="n">
        <f aca="false">(AB207*(40/80))+(AB238*(40/80))</f>
        <v>4.5</v>
      </c>
    </row>
    <row r="227" s="8" customFormat="true" ht="15" hidden="false" customHeight="false" outlineLevel="0" collapsed="false">
      <c r="A227" s="40"/>
      <c r="B227" s="15"/>
      <c r="C227" s="41" t="n">
        <v>41343</v>
      </c>
      <c r="D227" s="8" t="n">
        <v>9</v>
      </c>
      <c r="E227" s="8" t="n">
        <v>6.3</v>
      </c>
      <c r="F227" s="8" t="n">
        <v>12.8</v>
      </c>
      <c r="G227" s="8" t="n">
        <f aca="false">G226+D227</f>
        <v>1615</v>
      </c>
      <c r="H227" s="8" t="n">
        <f aca="false">H226+D227</f>
        <v>69.2</v>
      </c>
      <c r="I227" s="42" t="s">
        <v>37</v>
      </c>
      <c r="J227" s="8" t="n">
        <v>19.9</v>
      </c>
      <c r="K227" s="8" t="n">
        <f aca="false">J227+K226</f>
        <v>553.5</v>
      </c>
      <c r="L227" s="8" t="n">
        <v>0.5</v>
      </c>
      <c r="M227" s="8" t="n">
        <f aca="false">M226+L227</f>
        <v>195.7</v>
      </c>
      <c r="N227" s="8" t="n">
        <v>19.4</v>
      </c>
      <c r="O227" s="8" t="n">
        <v>197.4</v>
      </c>
      <c r="P227" s="8" t="n">
        <v>187</v>
      </c>
      <c r="Q227" s="18" t="n">
        <f aca="false">1+((P227-180)/27)*(1.15-1)</f>
        <v>1.03888888888889</v>
      </c>
      <c r="R227" s="12" t="n">
        <f aca="false">Q227*L227</f>
        <v>0.519444444444444</v>
      </c>
      <c r="S227" s="12" t="n">
        <f aca="false">J227-R227</f>
        <v>19.3805555555556</v>
      </c>
      <c r="T227" s="12" t="n">
        <f aca="false">MIN(197.4,T226+S227)</f>
        <v>197.4</v>
      </c>
      <c r="U227" s="42" t="s">
        <v>38</v>
      </c>
      <c r="V227" s="8" t="n">
        <v>215.8</v>
      </c>
      <c r="X227" s="8" t="n">
        <f aca="false">X226+V227</f>
        <v>96010</v>
      </c>
      <c r="Y227" s="8" t="n">
        <f aca="false">Y226+V227</f>
        <v>4357.3</v>
      </c>
      <c r="AA227" s="8" t="n">
        <v>11.5076713288146</v>
      </c>
      <c r="AC227" s="31" t="s">
        <v>49</v>
      </c>
    </row>
    <row r="228" s="8" customFormat="true" ht="15" hidden="false" customHeight="false" outlineLevel="0" collapsed="false">
      <c r="A228" s="40"/>
      <c r="B228" s="15"/>
      <c r="C228" s="41" t="n">
        <v>41344</v>
      </c>
      <c r="D228" s="8" t="n">
        <v>5.4</v>
      </c>
      <c r="E228" s="8" t="n">
        <v>1.4</v>
      </c>
      <c r="F228" s="8" t="n">
        <v>9.5</v>
      </c>
      <c r="G228" s="8" t="n">
        <f aca="false">G227+D228</f>
        <v>1620.4</v>
      </c>
      <c r="H228" s="8" t="n">
        <f aca="false">H227+D228</f>
        <v>74.6</v>
      </c>
      <c r="I228" s="8" t="n">
        <v>5</v>
      </c>
      <c r="J228" s="8" t="n">
        <v>2.5</v>
      </c>
      <c r="K228" s="8" t="n">
        <f aca="false">J228+K227</f>
        <v>556</v>
      </c>
      <c r="L228" s="8" t="n">
        <v>0.2</v>
      </c>
      <c r="M228" s="8" t="n">
        <f aca="false">M227+L228</f>
        <v>195.9</v>
      </c>
      <c r="N228" s="8" t="n">
        <v>2.3</v>
      </c>
      <c r="O228" s="8" t="n">
        <v>197.4</v>
      </c>
      <c r="P228" s="8" t="n">
        <v>188</v>
      </c>
      <c r="Q228" s="18" t="n">
        <f aca="false">1+((P228-180)/27)*(1.15-1)</f>
        <v>1.04444444444444</v>
      </c>
      <c r="R228" s="12" t="n">
        <f aca="false">Q228*L228</f>
        <v>0.208888888888889</v>
      </c>
      <c r="S228" s="12" t="n">
        <f aca="false">J228-R228</f>
        <v>2.29111111111111</v>
      </c>
      <c r="T228" s="12" t="n">
        <f aca="false">MIN(197.4,T227+S228)</f>
        <v>197.4</v>
      </c>
      <c r="U228" s="12" t="n">
        <f aca="false">MIN(T221:T247)</f>
        <v>177.148888888889</v>
      </c>
      <c r="V228" s="8" t="n">
        <v>193.6</v>
      </c>
      <c r="X228" s="8" t="n">
        <f aca="false">X227+V228</f>
        <v>96203.6</v>
      </c>
      <c r="Y228" s="8" t="n">
        <f aca="false">Y227+V228</f>
        <v>4550.9</v>
      </c>
      <c r="AA228" s="8" t="n">
        <v>11.5663034273196</v>
      </c>
      <c r="AC228" s="8" t="n">
        <f aca="false">(AB209*(40/80))+(AB240*(40/80))</f>
        <v>6</v>
      </c>
    </row>
    <row r="229" s="8" customFormat="true" ht="15" hidden="false" customHeight="false" outlineLevel="0" collapsed="false">
      <c r="A229" s="40"/>
      <c r="B229" s="15"/>
      <c r="C229" s="41" t="n">
        <v>41345</v>
      </c>
      <c r="D229" s="8" t="n">
        <v>0</v>
      </c>
      <c r="E229" s="8" t="n">
        <v>-1.2</v>
      </c>
      <c r="F229" s="8" t="n">
        <v>0.7</v>
      </c>
      <c r="G229" s="8" t="n">
        <f aca="false">G228+D229</f>
        <v>1620.4</v>
      </c>
      <c r="H229" s="8" t="n">
        <f aca="false">H228+D229</f>
        <v>74.6</v>
      </c>
      <c r="I229" s="42" t="s">
        <v>39</v>
      </c>
      <c r="J229" s="8" t="n">
        <v>0.8</v>
      </c>
      <c r="K229" s="8" t="n">
        <f aca="false">J229+K228</f>
        <v>556.8</v>
      </c>
      <c r="L229" s="8" t="n">
        <v>0.6</v>
      </c>
      <c r="M229" s="8" t="n">
        <f aca="false">M228+L229</f>
        <v>196.5</v>
      </c>
      <c r="N229" s="8" t="n">
        <v>0.2</v>
      </c>
      <c r="O229" s="8" t="n">
        <v>197.4</v>
      </c>
      <c r="P229" s="8" t="n">
        <v>189</v>
      </c>
      <c r="Q229" s="18" t="n">
        <f aca="false">1+((P229-180)/27)*(1.15-1)</f>
        <v>1.05</v>
      </c>
      <c r="R229" s="12" t="n">
        <f aca="false">Q229*L229</f>
        <v>0.63</v>
      </c>
      <c r="S229" s="12" t="n">
        <f aca="false">J229-R229</f>
        <v>0.17</v>
      </c>
      <c r="T229" s="12" t="n">
        <f aca="false">MIN(197.4,T228+S229)</f>
        <v>197.4</v>
      </c>
      <c r="U229" s="42" t="s">
        <v>40</v>
      </c>
      <c r="V229" s="8" t="n">
        <v>387.7</v>
      </c>
      <c r="X229" s="8" t="n">
        <f aca="false">X228+V229</f>
        <v>96591.3</v>
      </c>
      <c r="Y229" s="8" t="n">
        <f aca="false">Y228+V229</f>
        <v>4938.6</v>
      </c>
      <c r="AA229" s="8" t="n">
        <v>11.6249851754635</v>
      </c>
      <c r="AC229" s="31" t="s">
        <v>51</v>
      </c>
    </row>
    <row r="230" s="8" customFormat="true" ht="15" hidden="false" customHeight="false" outlineLevel="0" collapsed="false">
      <c r="A230" s="40"/>
      <c r="B230" s="29" t="s">
        <v>57</v>
      </c>
      <c r="C230" s="41" t="n">
        <v>41346</v>
      </c>
      <c r="D230" s="8" t="n">
        <v>2.2</v>
      </c>
      <c r="E230" s="8" t="n">
        <v>-0.2</v>
      </c>
      <c r="F230" s="8" t="n">
        <v>6</v>
      </c>
      <c r="G230" s="8" t="n">
        <f aca="false">G229+D230</f>
        <v>1622.6</v>
      </c>
      <c r="H230" s="8" t="n">
        <f aca="false">H229+D230</f>
        <v>76.8</v>
      </c>
      <c r="I230" s="8" t="n">
        <v>0</v>
      </c>
      <c r="J230" s="8" t="n">
        <v>0.1</v>
      </c>
      <c r="K230" s="8" t="n">
        <f aca="false">J230+K229</f>
        <v>556.9</v>
      </c>
      <c r="L230" s="8" t="n">
        <v>1</v>
      </c>
      <c r="M230" s="8" t="n">
        <f aca="false">M229+L230</f>
        <v>197.5</v>
      </c>
      <c r="N230" s="8" t="n">
        <v>-0.9</v>
      </c>
      <c r="O230" s="8" t="n">
        <f aca="false">O229+N230</f>
        <v>196.5</v>
      </c>
      <c r="P230" s="8" t="n">
        <v>190</v>
      </c>
      <c r="Q230" s="18" t="n">
        <f aca="false">1+((P230-180)/27)*(1.15-1)</f>
        <v>1.05555555555556</v>
      </c>
      <c r="R230" s="12" t="n">
        <f aca="false">Q230*L230</f>
        <v>1.05555555555556</v>
      </c>
      <c r="S230" s="12" t="n">
        <f aca="false">J230-R230</f>
        <v>-0.955555555555556</v>
      </c>
      <c r="T230" s="12" t="n">
        <f aca="false">MIN(197.4,T229+S230)</f>
        <v>196.444444444444</v>
      </c>
      <c r="U230" s="12" t="n">
        <f aca="false">MAX(T221:T247)</f>
        <v>197.4</v>
      </c>
      <c r="V230" s="8" t="n">
        <v>796.4</v>
      </c>
      <c r="X230" s="8" t="n">
        <f aca="false">X229+V230</f>
        <v>97387.7</v>
      </c>
      <c r="Y230" s="8" t="n">
        <f aca="false">Y229+V230</f>
        <v>5735</v>
      </c>
      <c r="AA230" s="8" t="n">
        <v>11.6837095705081</v>
      </c>
      <c r="AC230" s="8" t="n">
        <f aca="false">(AB211*(40/80))+(AB242*(40/80))</f>
        <v>0</v>
      </c>
    </row>
    <row r="231" s="8" customFormat="true" ht="15" hidden="false" customHeight="false" outlineLevel="0" collapsed="false">
      <c r="A231" s="40"/>
      <c r="B231" s="15"/>
      <c r="C231" s="41" t="n">
        <v>41347</v>
      </c>
      <c r="D231" s="8" t="n">
        <v>2.1</v>
      </c>
      <c r="E231" s="8" t="n">
        <v>-0.4</v>
      </c>
      <c r="F231" s="8" t="n">
        <v>7.1</v>
      </c>
      <c r="G231" s="8" t="n">
        <f aca="false">G230+D231</f>
        <v>1624.7</v>
      </c>
      <c r="H231" s="8" t="n">
        <f aca="false">H230+D231</f>
        <v>78.9</v>
      </c>
      <c r="I231" s="42" t="s">
        <v>41</v>
      </c>
      <c r="J231" s="8" t="n">
        <v>0.1</v>
      </c>
      <c r="K231" s="8" t="n">
        <f aca="false">J231+K230</f>
        <v>557</v>
      </c>
      <c r="L231" s="8" t="n">
        <v>1.4</v>
      </c>
      <c r="M231" s="8" t="n">
        <f aca="false">M230+L231</f>
        <v>198.9</v>
      </c>
      <c r="N231" s="8" t="n">
        <v>-1.3</v>
      </c>
      <c r="O231" s="8" t="n">
        <f aca="false">O230+N231</f>
        <v>195.2</v>
      </c>
      <c r="P231" s="8" t="n">
        <v>191</v>
      </c>
      <c r="Q231" s="18" t="n">
        <f aca="false">1+((P231-180)/27)*(1.15-1)</f>
        <v>1.06111111111111</v>
      </c>
      <c r="R231" s="12" t="n">
        <f aca="false">Q231*L231</f>
        <v>1.48555555555556</v>
      </c>
      <c r="S231" s="12" t="n">
        <f aca="false">J231-R231</f>
        <v>-1.38555555555556</v>
      </c>
      <c r="T231" s="12" t="n">
        <f aca="false">MIN(197.4,T230+S231)</f>
        <v>195.058888888889</v>
      </c>
      <c r="U231" s="42" t="s">
        <v>42</v>
      </c>
      <c r="V231" s="8" t="n">
        <v>1092.1</v>
      </c>
      <c r="X231" s="8" t="n">
        <f aca="false">X230+V231</f>
        <v>98479.8</v>
      </c>
      <c r="Y231" s="8" t="n">
        <f aca="false">Y230+V231</f>
        <v>6827.1</v>
      </c>
      <c r="AA231" s="8" t="n">
        <v>11.7424698000957</v>
      </c>
      <c r="AC231" s="31" t="s">
        <v>52</v>
      </c>
    </row>
    <row r="232" s="8" customFormat="true" ht="15" hidden="false" customHeight="false" outlineLevel="0" collapsed="false">
      <c r="A232" s="40"/>
      <c r="B232" s="15"/>
      <c r="C232" s="41" t="n">
        <v>41348</v>
      </c>
      <c r="D232" s="8" t="n">
        <v>4.2</v>
      </c>
      <c r="E232" s="8" t="n">
        <v>-2.5</v>
      </c>
      <c r="F232" s="8" t="n">
        <v>10.5</v>
      </c>
      <c r="G232" s="8" t="n">
        <f aca="false">G231+D232</f>
        <v>1628.9</v>
      </c>
      <c r="H232" s="8" t="n">
        <f aca="false">H231+D232</f>
        <v>83.1</v>
      </c>
      <c r="I232" s="8" t="n">
        <v>12</v>
      </c>
      <c r="J232" s="8" t="n">
        <v>2.8</v>
      </c>
      <c r="K232" s="8" t="n">
        <f aca="false">J232+K231</f>
        <v>559.8</v>
      </c>
      <c r="L232" s="8" t="n">
        <v>1.1</v>
      </c>
      <c r="M232" s="8" t="n">
        <f aca="false">M231+L232</f>
        <v>200</v>
      </c>
      <c r="N232" s="8" t="n">
        <v>1.7</v>
      </c>
      <c r="O232" s="8" t="n">
        <f aca="false">O231+N232</f>
        <v>196.9</v>
      </c>
      <c r="P232" s="8" t="n">
        <v>192</v>
      </c>
      <c r="Q232" s="18" t="n">
        <f aca="false">1+((P232-180)/27)*(1.15-1)</f>
        <v>1.06666666666667</v>
      </c>
      <c r="R232" s="12" t="n">
        <f aca="false">Q232*L232</f>
        <v>1.17333333333333</v>
      </c>
      <c r="S232" s="12" t="n">
        <f aca="false">J232-R232</f>
        <v>1.62666666666667</v>
      </c>
      <c r="T232" s="12" t="n">
        <f aca="false">MIN(197.4,T231+S232)</f>
        <v>196.685555555556</v>
      </c>
      <c r="U232" s="18" t="n">
        <f aca="false">AVERAGE(T221:T247)</f>
        <v>192.527654320988</v>
      </c>
      <c r="V232" s="8" t="n">
        <v>878.1</v>
      </c>
      <c r="X232" s="8" t="n">
        <f aca="false">X231+V232</f>
        <v>99357.9</v>
      </c>
      <c r="Y232" s="8" t="n">
        <f aca="false">Y231+V232</f>
        <v>7705.2</v>
      </c>
      <c r="AA232" s="8" t="n">
        <v>11.8012592238835</v>
      </c>
      <c r="AC232" s="8" t="n">
        <f aca="false">(AB213*(40/80))+(AB244*(40/80))</f>
        <v>13.7</v>
      </c>
    </row>
    <row r="233" s="8" customFormat="true" ht="15" hidden="false" customHeight="false" outlineLevel="0" collapsed="false">
      <c r="A233" s="40"/>
      <c r="B233" s="15"/>
      <c r="C233" s="41" t="n">
        <v>41349</v>
      </c>
      <c r="D233" s="8" t="n">
        <v>6.3</v>
      </c>
      <c r="E233" s="8" t="n">
        <v>5.8</v>
      </c>
      <c r="F233" s="8" t="n">
        <v>7.9</v>
      </c>
      <c r="G233" s="8" t="n">
        <f aca="false">G232+D233</f>
        <v>1635.2</v>
      </c>
      <c r="H233" s="8" t="n">
        <f aca="false">H232+D233</f>
        <v>89.4</v>
      </c>
      <c r="I233" s="42" t="s">
        <v>43</v>
      </c>
      <c r="J233" s="8" t="n">
        <v>11.6</v>
      </c>
      <c r="K233" s="8" t="n">
        <f aca="false">J233+K232</f>
        <v>571.4</v>
      </c>
      <c r="L233" s="8" t="n">
        <v>0.9</v>
      </c>
      <c r="M233" s="8" t="n">
        <f aca="false">M232+L233</f>
        <v>200.9</v>
      </c>
      <c r="N233" s="8" t="n">
        <v>10.7</v>
      </c>
      <c r="O233" s="8" t="n">
        <v>197.4</v>
      </c>
      <c r="P233" s="8" t="n">
        <v>193</v>
      </c>
      <c r="Q233" s="18" t="n">
        <f aca="false">1+((P233-180)/27)*(1.15-1)</f>
        <v>1.07222222222222</v>
      </c>
      <c r="R233" s="12" t="n">
        <f aca="false">Q233*L233</f>
        <v>0.965</v>
      </c>
      <c r="S233" s="12" t="n">
        <f aca="false">J233-R233</f>
        <v>10.635</v>
      </c>
      <c r="T233" s="12" t="n">
        <f aca="false">MIN(197.4,T232+S233)</f>
        <v>197.4</v>
      </c>
      <c r="V233" s="8" t="n">
        <v>363.7</v>
      </c>
      <c r="X233" s="8" t="n">
        <f aca="false">X232+V233</f>
        <v>99721.6</v>
      </c>
      <c r="Y233" s="8" t="n">
        <f aca="false">Y232+V233</f>
        <v>8068.9</v>
      </c>
      <c r="AA233" s="8" t="n">
        <v>11.8600713552808</v>
      </c>
    </row>
    <row r="234" s="8" customFormat="true" ht="15" hidden="false" customHeight="false" outlineLevel="0" collapsed="false">
      <c r="A234" s="40"/>
      <c r="B234" s="15"/>
      <c r="C234" s="41" t="n">
        <v>41350</v>
      </c>
      <c r="D234" s="8" t="n">
        <v>5.9</v>
      </c>
      <c r="E234" s="8" t="n">
        <v>3.8</v>
      </c>
      <c r="F234" s="8" t="n">
        <v>7.9</v>
      </c>
      <c r="G234" s="8" t="n">
        <f aca="false">G233+D234</f>
        <v>1641.1</v>
      </c>
      <c r="H234" s="8" t="n">
        <f aca="false">H233+D234</f>
        <v>95.3</v>
      </c>
      <c r="I234" s="8" t="n">
        <v>172.8</v>
      </c>
      <c r="J234" s="8" t="n">
        <v>3.1</v>
      </c>
      <c r="K234" s="8" t="n">
        <f aca="false">J234+K233</f>
        <v>574.5</v>
      </c>
      <c r="L234" s="8" t="n">
        <v>0.9</v>
      </c>
      <c r="M234" s="8" t="n">
        <f aca="false">M233+L234</f>
        <v>201.8</v>
      </c>
      <c r="N234" s="8" t="n">
        <v>2.2</v>
      </c>
      <c r="O234" s="8" t="n">
        <v>197.4</v>
      </c>
      <c r="P234" s="8" t="n">
        <v>194</v>
      </c>
      <c r="Q234" s="18" t="n">
        <f aca="false">1+((P234-180)/27)*(1.15-1)</f>
        <v>1.07777777777778</v>
      </c>
      <c r="R234" s="12" t="n">
        <f aca="false">Q234*L234</f>
        <v>0.97</v>
      </c>
      <c r="S234" s="12" t="n">
        <f aca="false">J234-R234</f>
        <v>2.13</v>
      </c>
      <c r="T234" s="12" t="n">
        <f aca="false">MIN(197.4,T233+S234)</f>
        <v>197.4</v>
      </c>
      <c r="U234" s="12" t="n">
        <f aca="false">(U232*100)/197.4</f>
        <v>97.5317397776027</v>
      </c>
      <c r="V234" s="8" t="n">
        <v>560.1</v>
      </c>
      <c r="X234" s="8" t="n">
        <f aca="false">X233+V234</f>
        <v>100281.7</v>
      </c>
      <c r="Y234" s="8" t="n">
        <f aca="false">Y233+V234</f>
        <v>8629</v>
      </c>
      <c r="AA234" s="8" t="n">
        <v>11.9188998432952</v>
      </c>
    </row>
    <row r="235" s="8" customFormat="true" ht="15" hidden="false" customHeight="false" outlineLevel="0" collapsed="false">
      <c r="A235" s="40"/>
      <c r="B235" s="15"/>
      <c r="C235" s="41" t="n">
        <v>41351</v>
      </c>
      <c r="D235" s="8" t="n">
        <v>5.5</v>
      </c>
      <c r="E235" s="8" t="n">
        <v>3.6</v>
      </c>
      <c r="F235" s="8" t="n">
        <v>8.9</v>
      </c>
      <c r="G235" s="8" t="n">
        <f aca="false">G234+D235</f>
        <v>1646.6</v>
      </c>
      <c r="H235" s="8" t="n">
        <f aca="false">H234+D235</f>
        <v>100.8</v>
      </c>
      <c r="J235" s="30" t="n">
        <v>0.6</v>
      </c>
      <c r="K235" s="8" t="n">
        <f aca="false">J235+K234</f>
        <v>575.1</v>
      </c>
      <c r="L235" s="8" t="n">
        <v>1.1</v>
      </c>
      <c r="M235" s="8" t="n">
        <f aca="false">M234+L235</f>
        <v>202.9</v>
      </c>
      <c r="N235" s="8" t="n">
        <v>-0.5</v>
      </c>
      <c r="O235" s="8" t="n">
        <f aca="false">O234+N235</f>
        <v>196.9</v>
      </c>
      <c r="P235" s="8" t="n">
        <v>195</v>
      </c>
      <c r="Q235" s="18" t="n">
        <f aca="false">1+((P235-180)/27)*(1.15-1)</f>
        <v>1.08333333333333</v>
      </c>
      <c r="R235" s="12" t="n">
        <f aca="false">Q235*L235</f>
        <v>1.19166666666667</v>
      </c>
      <c r="S235" s="12" t="n">
        <f aca="false">J235-R235</f>
        <v>-0.591666666666667</v>
      </c>
      <c r="T235" s="12" t="n">
        <f aca="false">MIN(197.4,T234+S235)</f>
        <v>196.808333333333</v>
      </c>
      <c r="V235" s="8" t="n">
        <v>734.6</v>
      </c>
      <c r="X235" s="8" t="n">
        <f aca="false">X234+V235</f>
        <v>101016.3</v>
      </c>
      <c r="Y235" s="8" t="n">
        <f aca="false">Y234+V235</f>
        <v>9363.6</v>
      </c>
      <c r="AA235" s="8" t="n">
        <v>11.9777384544863</v>
      </c>
      <c r="AB235" s="31" t="s">
        <v>47</v>
      </c>
    </row>
    <row r="236" s="8" customFormat="true" ht="15" hidden="false" customHeight="false" outlineLevel="0" collapsed="false">
      <c r="A236" s="40"/>
      <c r="B236" s="15"/>
      <c r="C236" s="41" t="n">
        <v>41352</v>
      </c>
      <c r="D236" s="8" t="n">
        <v>5.4</v>
      </c>
      <c r="E236" s="8" t="n">
        <v>1.5</v>
      </c>
      <c r="F236" s="8" t="n">
        <v>9</v>
      </c>
      <c r="G236" s="8" t="n">
        <f aca="false">G235+D236</f>
        <v>1652</v>
      </c>
      <c r="H236" s="8" t="n">
        <f aca="false">H235+D236</f>
        <v>106.2</v>
      </c>
      <c r="J236" s="30" t="n">
        <v>3.2</v>
      </c>
      <c r="K236" s="8" t="n">
        <f aca="false">J236+K235</f>
        <v>578.3</v>
      </c>
      <c r="L236" s="8" t="n">
        <v>0.9</v>
      </c>
      <c r="M236" s="8" t="n">
        <f aca="false">M235+L236</f>
        <v>203.8</v>
      </c>
      <c r="N236" s="8" t="n">
        <v>2.3</v>
      </c>
      <c r="O236" s="8" t="n">
        <v>197.4</v>
      </c>
      <c r="P236" s="8" t="n">
        <v>196</v>
      </c>
      <c r="Q236" s="18" t="n">
        <f aca="false">1+((P236-180)/27)*(1.15-1)</f>
        <v>1.08888888888889</v>
      </c>
      <c r="R236" s="12" t="n">
        <f aca="false">Q236*L236</f>
        <v>0.98</v>
      </c>
      <c r="S236" s="12" t="n">
        <f aca="false">J236-R236</f>
        <v>2.22</v>
      </c>
      <c r="T236" s="12" t="n">
        <f aca="false">MIN(197.4,T235+S236)</f>
        <v>197.4</v>
      </c>
      <c r="V236" s="8" t="n">
        <v>835.6</v>
      </c>
      <c r="X236" s="8" t="n">
        <f aca="false">X235+V236</f>
        <v>101851.9</v>
      </c>
      <c r="Y236" s="8" t="n">
        <f aca="false">Y235+V236</f>
        <v>10199.2</v>
      </c>
      <c r="AA236" s="8" t="n">
        <v>12.0365810550304</v>
      </c>
      <c r="AB236" s="12" t="n">
        <f aca="false">AVERAGE(T242:T255)</f>
        <v>187.230833333333</v>
      </c>
    </row>
    <row r="237" s="8" customFormat="true" ht="15" hidden="false" customHeight="false" outlineLevel="0" collapsed="false">
      <c r="A237" s="40"/>
      <c r="B237" s="29" t="s">
        <v>58</v>
      </c>
      <c r="C237" s="41" t="n">
        <v>41353</v>
      </c>
      <c r="D237" s="8" t="n">
        <v>6.9</v>
      </c>
      <c r="E237" s="8" t="n">
        <v>2.7</v>
      </c>
      <c r="F237" s="8" t="n">
        <v>10.7</v>
      </c>
      <c r="G237" s="8" t="n">
        <f aca="false">G236+D237</f>
        <v>1658.9</v>
      </c>
      <c r="H237" s="8" t="n">
        <f aca="false">H236+D237</f>
        <v>113.1</v>
      </c>
      <c r="J237" s="30" t="n">
        <v>0.2</v>
      </c>
      <c r="K237" s="8" t="n">
        <f aca="false">J237+K236</f>
        <v>578.5</v>
      </c>
      <c r="L237" s="8" t="n">
        <v>1.4</v>
      </c>
      <c r="M237" s="8" t="n">
        <f aca="false">M236+L237</f>
        <v>205.2</v>
      </c>
      <c r="N237" s="8" t="n">
        <v>-1.2</v>
      </c>
      <c r="O237" s="8" t="n">
        <f aca="false">O236+N237</f>
        <v>196.2</v>
      </c>
      <c r="P237" s="8" t="n">
        <v>197</v>
      </c>
      <c r="Q237" s="18" t="n">
        <f aca="false">1+((P237-180)/27)*(1.15-1)</f>
        <v>1.09444444444444</v>
      </c>
      <c r="R237" s="12" t="n">
        <f aca="false">Q237*L237</f>
        <v>1.53222222222222</v>
      </c>
      <c r="S237" s="12" t="n">
        <f aca="false">J237-R237</f>
        <v>-1.33222222222222</v>
      </c>
      <c r="T237" s="12" t="n">
        <f aca="false">MIN(197.4,T236+S237)</f>
        <v>196.067777777778</v>
      </c>
      <c r="V237" s="8" t="n">
        <v>993.8</v>
      </c>
      <c r="X237" s="8" t="n">
        <f aca="false">X236+V237</f>
        <v>102845.7</v>
      </c>
      <c r="Y237" s="8" t="n">
        <f aca="false">Y236+V237</f>
        <v>11193</v>
      </c>
      <c r="AA237" s="8" t="n">
        <v>12.0954215928926</v>
      </c>
      <c r="AB237" s="31" t="s">
        <v>48</v>
      </c>
    </row>
    <row r="238" s="8" customFormat="true" ht="15" hidden="false" customHeight="false" outlineLevel="0" collapsed="false">
      <c r="A238" s="40"/>
      <c r="B238" s="15"/>
      <c r="C238" s="41" t="n">
        <v>41354</v>
      </c>
      <c r="D238" s="8" t="n">
        <v>7.4</v>
      </c>
      <c r="E238" s="8" t="n">
        <v>5.5</v>
      </c>
      <c r="F238" s="8" t="n">
        <v>9.1</v>
      </c>
      <c r="G238" s="8" t="n">
        <f aca="false">G237+D238</f>
        <v>1666.3</v>
      </c>
      <c r="H238" s="8" t="n">
        <f aca="false">H237+D238</f>
        <v>120.5</v>
      </c>
      <c r="J238" s="30" t="n">
        <v>8.6</v>
      </c>
      <c r="K238" s="8" t="n">
        <f aca="false">J238+K237</f>
        <v>587.1</v>
      </c>
      <c r="L238" s="8" t="n">
        <v>0.7</v>
      </c>
      <c r="M238" s="8" t="n">
        <f aca="false">M237+L238</f>
        <v>205.9</v>
      </c>
      <c r="N238" s="8" t="n">
        <v>7.9</v>
      </c>
      <c r="O238" s="8" t="n">
        <v>197.4</v>
      </c>
      <c r="P238" s="8" t="n">
        <v>198</v>
      </c>
      <c r="Q238" s="18" t="n">
        <f aca="false">1+((P238-180)/27)*(1.15-1)</f>
        <v>1.1</v>
      </c>
      <c r="R238" s="12" t="n">
        <f aca="false">Q238*L238</f>
        <v>0.77</v>
      </c>
      <c r="S238" s="12" t="n">
        <f aca="false">J238-R238</f>
        <v>7.83</v>
      </c>
      <c r="T238" s="12" t="n">
        <f aca="false">MIN(197.4,T237+S238)</f>
        <v>197.4</v>
      </c>
      <c r="V238" s="8" t="n">
        <v>318.7</v>
      </c>
      <c r="X238" s="8" t="n">
        <f aca="false">X237+V238</f>
        <v>103164.4</v>
      </c>
      <c r="Y238" s="8" t="n">
        <f aca="false">Y237+V238</f>
        <v>11511.7</v>
      </c>
      <c r="AA238" s="8" t="n">
        <v>12.1542540801066</v>
      </c>
      <c r="AB238" s="8" t="n">
        <v>5</v>
      </c>
    </row>
    <row r="239" s="8" customFormat="true" ht="15" hidden="false" customHeight="false" outlineLevel="0" collapsed="false">
      <c r="A239" s="40"/>
      <c r="B239" s="15"/>
      <c r="C239" s="41" t="n">
        <v>41355</v>
      </c>
      <c r="D239" s="8" t="n">
        <v>10.5</v>
      </c>
      <c r="E239" s="8" t="n">
        <v>7.1</v>
      </c>
      <c r="F239" s="8" t="n">
        <v>14.4</v>
      </c>
      <c r="G239" s="8" t="n">
        <f aca="false">G238+D239</f>
        <v>1676.8</v>
      </c>
      <c r="H239" s="8" t="n">
        <f aca="false">H238+D239</f>
        <v>131</v>
      </c>
      <c r="J239" s="30" t="n">
        <v>1.6</v>
      </c>
      <c r="K239" s="8" t="n">
        <f aca="false">J239+K238</f>
        <v>588.7</v>
      </c>
      <c r="L239" s="8" t="n">
        <v>1.7</v>
      </c>
      <c r="M239" s="8" t="n">
        <f aca="false">M238+L239</f>
        <v>207.6</v>
      </c>
      <c r="N239" s="8" t="n">
        <v>-0.0999999999999999</v>
      </c>
      <c r="O239" s="8" t="n">
        <f aca="false">O238+N239</f>
        <v>197.3</v>
      </c>
      <c r="P239" s="8" t="n">
        <v>199</v>
      </c>
      <c r="Q239" s="18" t="n">
        <f aca="false">1+((P239-180)/27)*(1.15-1)</f>
        <v>1.10555555555556</v>
      </c>
      <c r="R239" s="12" t="n">
        <f aca="false">Q239*L239</f>
        <v>1.87944444444444</v>
      </c>
      <c r="S239" s="12" t="n">
        <f aca="false">J239-R239</f>
        <v>-0.279444444444444</v>
      </c>
      <c r="T239" s="12" t="n">
        <f aca="false">MIN(197.4,T238+S239)</f>
        <v>197.120555555556</v>
      </c>
      <c r="V239" s="8" t="n">
        <v>854.9</v>
      </c>
      <c r="X239" s="8" t="n">
        <f aca="false">X238+V239</f>
        <v>104019.3</v>
      </c>
      <c r="Y239" s="8" t="n">
        <f aca="false">Y238+V239</f>
        <v>12366.6</v>
      </c>
      <c r="AA239" s="8" t="n">
        <v>12.2130725751594</v>
      </c>
      <c r="AB239" s="31" t="s">
        <v>49</v>
      </c>
    </row>
    <row r="240" s="8" customFormat="true" ht="15" hidden="false" customHeight="false" outlineLevel="0" collapsed="false">
      <c r="A240" s="40"/>
      <c r="B240" s="15"/>
      <c r="C240" s="41" t="n">
        <v>41356</v>
      </c>
      <c r="D240" s="8" t="n">
        <v>9.3</v>
      </c>
      <c r="E240" s="8" t="n">
        <v>6.9</v>
      </c>
      <c r="F240" s="8" t="n">
        <v>11.4</v>
      </c>
      <c r="G240" s="8" t="n">
        <f aca="false">G239+D240</f>
        <v>1686.1</v>
      </c>
      <c r="H240" s="8" t="n">
        <f aca="false">H239+D240</f>
        <v>140.3</v>
      </c>
      <c r="J240" s="30" t="n">
        <v>0</v>
      </c>
      <c r="K240" s="8" t="n">
        <f aca="false">J240+K239</f>
        <v>588.7</v>
      </c>
      <c r="L240" s="8" t="n">
        <v>1.1</v>
      </c>
      <c r="M240" s="8" t="n">
        <f aca="false">M239+L240</f>
        <v>208.7</v>
      </c>
      <c r="N240" s="8" t="n">
        <v>-1.1</v>
      </c>
      <c r="O240" s="8" t="n">
        <f aca="false">O239+N240</f>
        <v>196.2</v>
      </c>
      <c r="P240" s="8" t="n">
        <v>200</v>
      </c>
      <c r="Q240" s="18" t="n">
        <f aca="false">1+((P240-180)/27)*(1.15-1)</f>
        <v>1.11111111111111</v>
      </c>
      <c r="R240" s="12" t="n">
        <f aca="false">Q240*L240</f>
        <v>1.22222222222222</v>
      </c>
      <c r="S240" s="12" t="n">
        <f aca="false">J240-R240</f>
        <v>-1.22222222222222</v>
      </c>
      <c r="T240" s="12" t="n">
        <f aca="false">MIN(197.4,T239+S240)</f>
        <v>195.898333333333</v>
      </c>
      <c r="V240" s="8" t="n">
        <v>904.4</v>
      </c>
      <c r="X240" s="8" t="n">
        <f aca="false">X239+V240</f>
        <v>104923.7</v>
      </c>
      <c r="Y240" s="8" t="n">
        <f aca="false">Y239+V240</f>
        <v>13271</v>
      </c>
      <c r="AA240" s="8" t="n">
        <v>12.2718711654767</v>
      </c>
      <c r="AB240" s="8" t="n">
        <v>5</v>
      </c>
    </row>
    <row r="241" s="8" customFormat="true" ht="15" hidden="false" customHeight="false" outlineLevel="0" collapsed="false">
      <c r="A241" s="40"/>
      <c r="B241" s="15"/>
      <c r="C241" s="41" t="n">
        <v>41357</v>
      </c>
      <c r="D241" s="8" t="n">
        <v>7.9</v>
      </c>
      <c r="E241" s="8" t="n">
        <v>5</v>
      </c>
      <c r="F241" s="8" t="n">
        <v>13</v>
      </c>
      <c r="G241" s="8" t="n">
        <f aca="false">G240+D241</f>
        <v>1694</v>
      </c>
      <c r="H241" s="8" t="n">
        <f aca="false">H240+D241</f>
        <v>148.2</v>
      </c>
      <c r="J241" s="30" t="n">
        <v>0</v>
      </c>
      <c r="K241" s="8" t="n">
        <f aca="false">J241+K240</f>
        <v>588.7</v>
      </c>
      <c r="L241" s="8" t="n">
        <v>1.9</v>
      </c>
      <c r="M241" s="8" t="n">
        <f aca="false">M240+L241</f>
        <v>210.6</v>
      </c>
      <c r="N241" s="8" t="n">
        <v>-1.9</v>
      </c>
      <c r="O241" s="8" t="n">
        <f aca="false">O240+N241</f>
        <v>194.3</v>
      </c>
      <c r="P241" s="8" t="n">
        <v>201</v>
      </c>
      <c r="Q241" s="18" t="n">
        <f aca="false">1+((P241-180)/27)*(1.15-1)</f>
        <v>1.11666666666667</v>
      </c>
      <c r="R241" s="12" t="n">
        <f aca="false">Q241*L241</f>
        <v>2.12166666666667</v>
      </c>
      <c r="S241" s="12" t="n">
        <f aca="false">J241-R241</f>
        <v>-2.12166666666667</v>
      </c>
      <c r="T241" s="12" t="n">
        <f aca="false">MIN(197.4,T240+S241)</f>
        <v>193.776666666667</v>
      </c>
      <c r="V241" s="8" t="n">
        <v>1286.6</v>
      </c>
      <c r="X241" s="8" t="n">
        <f aca="false">X240+V241</f>
        <v>106210.3</v>
      </c>
      <c r="Y241" s="8" t="n">
        <f aca="false">Y240+V241</f>
        <v>14557.6</v>
      </c>
      <c r="AA241" s="8" t="n">
        <v>12.3306439500082</v>
      </c>
      <c r="AB241" s="31" t="s">
        <v>51</v>
      </c>
    </row>
    <row r="242" s="8" customFormat="true" ht="15" hidden="false" customHeight="false" outlineLevel="0" collapsed="false">
      <c r="A242" s="40"/>
      <c r="B242" s="15"/>
      <c r="C242" s="41" t="n">
        <v>41358</v>
      </c>
      <c r="D242" s="8" t="n">
        <v>5.4</v>
      </c>
      <c r="E242" s="8" t="n">
        <v>4.4</v>
      </c>
      <c r="F242" s="8" t="n">
        <v>7.1</v>
      </c>
      <c r="G242" s="8" t="n">
        <f aca="false">G241+D242</f>
        <v>1699.4</v>
      </c>
      <c r="H242" s="8" t="n">
        <f aca="false">H241+D242</f>
        <v>153.6</v>
      </c>
      <c r="J242" s="30" t="n">
        <v>0</v>
      </c>
      <c r="K242" s="8" t="n">
        <f aca="false">J242+K241</f>
        <v>588.7</v>
      </c>
      <c r="L242" s="8" t="n">
        <v>1</v>
      </c>
      <c r="M242" s="8" t="n">
        <f aca="false">M241+L242</f>
        <v>211.6</v>
      </c>
      <c r="N242" s="8" t="n">
        <v>-1</v>
      </c>
      <c r="O242" s="8" t="n">
        <f aca="false">O241+N242</f>
        <v>193.3</v>
      </c>
      <c r="P242" s="8" t="n">
        <v>202</v>
      </c>
      <c r="Q242" s="18" t="n">
        <f aca="false">1+((P242-180)/27)*(1.15-1)</f>
        <v>1.12222222222222</v>
      </c>
      <c r="R242" s="12" t="n">
        <f aca="false">Q242*L242</f>
        <v>1.12222222222222</v>
      </c>
      <c r="S242" s="12" t="n">
        <f aca="false">J242-R242</f>
        <v>-1.12222222222222</v>
      </c>
      <c r="T242" s="32" t="n">
        <f aca="false">MIN(197.4,T241+S242)</f>
        <v>192.654444444444</v>
      </c>
      <c r="V242" s="8" t="n">
        <v>673.6</v>
      </c>
      <c r="X242" s="8" t="n">
        <f aca="false">X241+V242</f>
        <v>106883.9</v>
      </c>
      <c r="Y242" s="8" t="n">
        <f aca="false">Y241+V242</f>
        <v>15231.2</v>
      </c>
      <c r="AA242" s="8" t="n">
        <v>12.3893850219061</v>
      </c>
      <c r="AB242" s="8" t="n">
        <v>0</v>
      </c>
    </row>
    <row r="243" s="8" customFormat="true" ht="15" hidden="false" customHeight="false" outlineLevel="0" collapsed="false">
      <c r="A243" s="40"/>
      <c r="B243" s="15"/>
      <c r="C243" s="41" t="n">
        <v>41359</v>
      </c>
      <c r="D243" s="8" t="n">
        <v>5.5</v>
      </c>
      <c r="E243" s="8" t="n">
        <v>3.1</v>
      </c>
      <c r="F243" s="8" t="n">
        <v>7.4</v>
      </c>
      <c r="G243" s="8" t="n">
        <f aca="false">G242+D243</f>
        <v>1704.9</v>
      </c>
      <c r="H243" s="8" t="n">
        <f aca="false">H242+D243</f>
        <v>159.1</v>
      </c>
      <c r="J243" s="30" t="n">
        <v>0</v>
      </c>
      <c r="K243" s="8" t="n">
        <f aca="false">J243+K242</f>
        <v>588.7</v>
      </c>
      <c r="L243" s="8" t="n">
        <v>1</v>
      </c>
      <c r="M243" s="8" t="n">
        <f aca="false">M242+L243</f>
        <v>212.6</v>
      </c>
      <c r="N243" s="8" t="n">
        <v>-1</v>
      </c>
      <c r="O243" s="8" t="n">
        <f aca="false">O242+N243</f>
        <v>192.3</v>
      </c>
      <c r="P243" s="8" t="n">
        <v>203</v>
      </c>
      <c r="Q243" s="18" t="n">
        <f aca="false">1+((P243-180)/27)*(1.15-1)</f>
        <v>1.12777777777778</v>
      </c>
      <c r="R243" s="12" t="n">
        <f aca="false">Q243*L243</f>
        <v>1.12777777777778</v>
      </c>
      <c r="S243" s="12" t="n">
        <f aca="false">J243-R243</f>
        <v>-1.12777777777778</v>
      </c>
      <c r="T243" s="32" t="n">
        <f aca="false">MIN(197.4,T242+S243)</f>
        <v>191.526666666667</v>
      </c>
      <c r="V243" s="8" t="n">
        <v>744.7</v>
      </c>
      <c r="X243" s="8" t="n">
        <f aca="false">X242+V243</f>
        <v>107628.6</v>
      </c>
      <c r="Y243" s="8" t="n">
        <f aca="false">Y242+V243</f>
        <v>15975.9</v>
      </c>
      <c r="AA243" s="8" t="n">
        <v>12.4480884512964</v>
      </c>
      <c r="AB243" s="31" t="s">
        <v>52</v>
      </c>
    </row>
    <row r="244" s="8" customFormat="true" ht="15" hidden="false" customHeight="false" outlineLevel="0" collapsed="false">
      <c r="A244" s="40"/>
      <c r="B244" s="29" t="s">
        <v>59</v>
      </c>
      <c r="C244" s="41" t="n">
        <v>41360</v>
      </c>
      <c r="D244" s="8" t="n">
        <v>4.5</v>
      </c>
      <c r="E244" s="8" t="n">
        <v>2.3</v>
      </c>
      <c r="F244" s="8" t="n">
        <v>6.8</v>
      </c>
      <c r="G244" s="8" t="n">
        <f aca="false">G243+D244</f>
        <v>1709.4</v>
      </c>
      <c r="H244" s="8" t="n">
        <f aca="false">H243+D244</f>
        <v>163.6</v>
      </c>
      <c r="J244" s="30" t="n">
        <v>0</v>
      </c>
      <c r="K244" s="8" t="n">
        <f aca="false">J244+K243</f>
        <v>588.7</v>
      </c>
      <c r="L244" s="8" t="n">
        <v>1.1</v>
      </c>
      <c r="M244" s="8" t="n">
        <f aca="false">M243+L244</f>
        <v>213.7</v>
      </c>
      <c r="N244" s="8" t="n">
        <v>-1.1</v>
      </c>
      <c r="O244" s="8" t="n">
        <f aca="false">O243+N244</f>
        <v>191.2</v>
      </c>
      <c r="P244" s="8" t="n">
        <v>204</v>
      </c>
      <c r="Q244" s="18" t="n">
        <f aca="false">1+((P244-180)/27)*(1.15-1)</f>
        <v>1.13333333333333</v>
      </c>
      <c r="R244" s="12" t="n">
        <f aca="false">Q244*L244</f>
        <v>1.24666666666667</v>
      </c>
      <c r="S244" s="12" t="n">
        <f aca="false">J244-R244</f>
        <v>-1.24666666666667</v>
      </c>
      <c r="T244" s="32" t="n">
        <f aca="false">MIN(197.4,T243+S244)</f>
        <v>190.28</v>
      </c>
      <c r="V244" s="8" t="n">
        <v>750.8</v>
      </c>
      <c r="W244" s="43"/>
      <c r="X244" s="8" t="n">
        <f aca="false">X243+V244</f>
        <v>108379.4</v>
      </c>
      <c r="Y244" s="8" t="n">
        <f aca="false">Y243+V244</f>
        <v>16726.7</v>
      </c>
      <c r="AA244" s="8" t="n">
        <v>12.5067482681373</v>
      </c>
      <c r="AB244" s="8" t="n">
        <f aca="false">SUM(J246:J255)</f>
        <v>11.9</v>
      </c>
    </row>
    <row r="245" s="35" customFormat="true" ht="15" hidden="false" customHeight="true" outlineLevel="0" collapsed="false">
      <c r="A245" s="44"/>
      <c r="B245" s="33" t="s">
        <v>53</v>
      </c>
      <c r="C245" s="34" t="n">
        <v>41361</v>
      </c>
      <c r="D245" s="35" t="n">
        <v>3.3</v>
      </c>
      <c r="E245" s="35" t="n">
        <v>-0.1</v>
      </c>
      <c r="F245" s="35" t="n">
        <v>7.1</v>
      </c>
      <c r="G245" s="35" t="n">
        <f aca="false">G244+D245</f>
        <v>1712.7</v>
      </c>
      <c r="H245" s="35" t="n">
        <f aca="false">H244+D245</f>
        <v>166.9</v>
      </c>
      <c r="J245" s="35" t="n">
        <v>0</v>
      </c>
      <c r="K245" s="35" t="n">
        <f aca="false">J245+K244</f>
        <v>588.7</v>
      </c>
      <c r="L245" s="35" t="n">
        <v>1.8</v>
      </c>
      <c r="M245" s="35" t="n">
        <f aca="false">M244+L245</f>
        <v>215.5</v>
      </c>
      <c r="N245" s="35" t="n">
        <v>-1.8</v>
      </c>
      <c r="O245" s="35" t="n">
        <f aca="false">O244+N245</f>
        <v>189.4</v>
      </c>
      <c r="P245" s="35" t="n">
        <v>205</v>
      </c>
      <c r="Q245" s="45" t="n">
        <f aca="false">1+((P245-180)/27)*(1.15-1)</f>
        <v>1.13888888888889</v>
      </c>
      <c r="R245" s="36" t="n">
        <f aca="false">Q245*L245</f>
        <v>2.05</v>
      </c>
      <c r="S245" s="36" t="n">
        <f aca="false">J245-R245</f>
        <v>-2.05</v>
      </c>
      <c r="T245" s="36" t="n">
        <f aca="false">MIN(197.4,T244+S245)</f>
        <v>188.23</v>
      </c>
      <c r="V245" s="35" t="n">
        <v>1380</v>
      </c>
      <c r="X245" s="35" t="n">
        <f aca="false">X244+V245</f>
        <v>109759.4</v>
      </c>
      <c r="Y245" s="35" t="n">
        <f aca="false">Y244+V245</f>
        <v>18106.7</v>
      </c>
      <c r="AA245" s="35" t="n">
        <v>12.5653584451621</v>
      </c>
    </row>
    <row r="246" s="8" customFormat="true" ht="15" hidden="false" customHeight="false" outlineLevel="0" collapsed="false">
      <c r="A246" s="40"/>
      <c r="B246" s="15"/>
      <c r="C246" s="41" t="n">
        <v>41362</v>
      </c>
      <c r="D246" s="8" t="n">
        <v>3.1</v>
      </c>
      <c r="E246" s="8" t="n">
        <v>1.2</v>
      </c>
      <c r="F246" s="8" t="n">
        <v>4.9</v>
      </c>
      <c r="G246" s="8" t="n">
        <f aca="false">G245+D246</f>
        <v>1715.8</v>
      </c>
      <c r="H246" s="8" t="n">
        <f aca="false">H245+D246</f>
        <v>170</v>
      </c>
      <c r="J246" s="30" t="n">
        <v>4.8</v>
      </c>
      <c r="K246" s="8" t="n">
        <f aca="false">J246+K245</f>
        <v>593.5</v>
      </c>
      <c r="L246" s="8" t="n">
        <v>1</v>
      </c>
      <c r="M246" s="8" t="n">
        <f aca="false">M245+L246</f>
        <v>216.5</v>
      </c>
      <c r="N246" s="8" t="n">
        <v>3.8</v>
      </c>
      <c r="O246" s="8" t="n">
        <f aca="false">O245+N246</f>
        <v>193.2</v>
      </c>
      <c r="P246" s="8" t="n">
        <v>206</v>
      </c>
      <c r="Q246" s="18" t="n">
        <f aca="false">1+((P246-180)/27)*(1.15-1)</f>
        <v>1.14444444444444</v>
      </c>
      <c r="R246" s="12" t="n">
        <f aca="false">Q246*L246</f>
        <v>1.14444444444444</v>
      </c>
      <c r="S246" s="12" t="n">
        <f aca="false">J246-R246</f>
        <v>3.65555555555556</v>
      </c>
      <c r="T246" s="32" t="n">
        <f aca="false">MIN(197.4,T245+S246)</f>
        <v>191.885555555556</v>
      </c>
      <c r="U246" s="46"/>
      <c r="V246" s="8" t="n">
        <v>558.4</v>
      </c>
      <c r="X246" s="8" t="n">
        <f aca="false">X245+V246</f>
        <v>110317.8</v>
      </c>
      <c r="Y246" s="8" t="n">
        <f aca="false">Y245+V246</f>
        <v>18665.1</v>
      </c>
      <c r="AA246" s="8" t="n">
        <v>12.6239128809042</v>
      </c>
    </row>
    <row r="247" s="23" customFormat="true" ht="15" hidden="false" customHeight="false" outlineLevel="0" collapsed="false">
      <c r="A247" s="47"/>
      <c r="B247" s="21"/>
      <c r="C247" s="48" t="n">
        <v>41363</v>
      </c>
      <c r="D247" s="23" t="n">
        <v>2.8</v>
      </c>
      <c r="E247" s="23" t="n">
        <v>2.3</v>
      </c>
      <c r="F247" s="23" t="n">
        <v>4.7</v>
      </c>
      <c r="G247" s="23" t="n">
        <f aca="false">G246+D247</f>
        <v>1718.6</v>
      </c>
      <c r="H247" s="23" t="n">
        <f aca="false">H246+D247</f>
        <v>172.8</v>
      </c>
      <c r="J247" s="38" t="n">
        <v>0.2</v>
      </c>
      <c r="K247" s="23" t="n">
        <f aca="false">J247+K246</f>
        <v>593.7</v>
      </c>
      <c r="L247" s="23" t="n">
        <v>1.1</v>
      </c>
      <c r="M247" s="23" t="n">
        <f aca="false">M246+L247</f>
        <v>217.6</v>
      </c>
      <c r="N247" s="23" t="n">
        <v>-0.9</v>
      </c>
      <c r="O247" s="23" t="n">
        <f aca="false">O246+N247</f>
        <v>192.3</v>
      </c>
      <c r="P247" s="23" t="n">
        <v>207</v>
      </c>
      <c r="Q247" s="49" t="n">
        <f aca="false">1+((P247-180)/27)*(1.15-1)</f>
        <v>1.15</v>
      </c>
      <c r="R247" s="24" t="n">
        <f aca="false">Q247*L247</f>
        <v>1.265</v>
      </c>
      <c r="S247" s="24" t="n">
        <f aca="false">J247-R247</f>
        <v>-1.065</v>
      </c>
      <c r="T247" s="39" t="n">
        <f aca="false">MIN(197.4,T246+S247)</f>
        <v>190.820555555556</v>
      </c>
      <c r="V247" s="23" t="n">
        <v>712.9</v>
      </c>
      <c r="X247" s="23" t="n">
        <f aca="false">X246+V247</f>
        <v>111030.7</v>
      </c>
      <c r="Y247" s="23" t="n">
        <f aca="false">Y246+V247</f>
        <v>19378</v>
      </c>
      <c r="AA247" s="23" t="n">
        <v>12.6824053828018</v>
      </c>
    </row>
    <row r="248" s="8" customFormat="true" ht="15" hidden="false" customHeight="false" outlineLevel="0" collapsed="false">
      <c r="A248" s="50" t="s">
        <v>60</v>
      </c>
      <c r="B248" s="9"/>
      <c r="C248" s="51" t="n">
        <v>41364</v>
      </c>
      <c r="D248" s="8" t="n">
        <v>3.1</v>
      </c>
      <c r="E248" s="8" t="n">
        <v>-1.2</v>
      </c>
      <c r="F248" s="8" t="n">
        <v>6.5</v>
      </c>
      <c r="G248" s="8" t="n">
        <f aca="false">G247+D248</f>
        <v>1721.7</v>
      </c>
      <c r="H248" s="8" t="n">
        <v>3.1</v>
      </c>
      <c r="I248" s="52" t="s">
        <v>28</v>
      </c>
      <c r="J248" s="30" t="n">
        <v>0</v>
      </c>
      <c r="K248" s="8" t="n">
        <f aca="false">J248+K247</f>
        <v>593.7</v>
      </c>
      <c r="L248" s="8" t="n">
        <v>1.4</v>
      </c>
      <c r="M248" s="8" t="n">
        <f aca="false">M247+L248</f>
        <v>219</v>
      </c>
      <c r="N248" s="8" t="n">
        <v>-1.4</v>
      </c>
      <c r="O248" s="8" t="n">
        <f aca="false">O247+N248</f>
        <v>190.9</v>
      </c>
      <c r="P248" s="8" t="n">
        <v>208</v>
      </c>
      <c r="Q248" s="8" t="n">
        <v>1.15</v>
      </c>
      <c r="R248" s="12" t="n">
        <f aca="false">Q248*L248</f>
        <v>1.61</v>
      </c>
      <c r="S248" s="12" t="n">
        <f aca="false">J248-R248</f>
        <v>-1.61</v>
      </c>
      <c r="T248" s="32" t="n">
        <f aca="false">MIN(197.4,T247+S248)</f>
        <v>189.210555555556</v>
      </c>
      <c r="U248" s="52" t="s">
        <v>29</v>
      </c>
      <c r="V248" s="8" t="n">
        <v>1323.9</v>
      </c>
      <c r="X248" s="8" t="n">
        <f aca="false">X247+V248</f>
        <v>112354.6</v>
      </c>
      <c r="Y248" s="8" t="n">
        <v>1323.9</v>
      </c>
      <c r="Z248" s="52" t="s">
        <v>30</v>
      </c>
      <c r="AA248" s="8" t="n">
        <v>12.7408296503808</v>
      </c>
    </row>
    <row r="249" s="8" customFormat="true" ht="15" hidden="false" customHeight="false" outlineLevel="0" collapsed="false">
      <c r="A249" s="53"/>
      <c r="B249" s="9"/>
      <c r="C249" s="51" t="n">
        <v>41365</v>
      </c>
      <c r="D249" s="8" t="n">
        <v>4.5</v>
      </c>
      <c r="E249" s="8" t="n">
        <v>-0.2</v>
      </c>
      <c r="F249" s="8" t="n">
        <v>8.1</v>
      </c>
      <c r="G249" s="8" t="n">
        <f aca="false">G248+D249</f>
        <v>1726.2</v>
      </c>
      <c r="H249" s="8" t="n">
        <f aca="false">H248+D249</f>
        <v>7.6</v>
      </c>
      <c r="I249" s="8" t="n">
        <f aca="false">MIN(E248:E268)</f>
        <v>-1.2</v>
      </c>
      <c r="J249" s="30" t="n">
        <v>0</v>
      </c>
      <c r="K249" s="8" t="n">
        <f aca="false">J249+K248</f>
        <v>593.7</v>
      </c>
      <c r="L249" s="8" t="n">
        <v>2.3</v>
      </c>
      <c r="M249" s="8" t="n">
        <f aca="false">M248+L249</f>
        <v>221.3</v>
      </c>
      <c r="N249" s="8" t="n">
        <v>-2.3</v>
      </c>
      <c r="O249" s="8" t="n">
        <f aca="false">O248+N249</f>
        <v>188.6</v>
      </c>
      <c r="P249" s="8" t="n">
        <v>209</v>
      </c>
      <c r="Q249" s="8" t="n">
        <v>1.15</v>
      </c>
      <c r="R249" s="12" t="n">
        <f aca="false">Q249*L249</f>
        <v>2.645</v>
      </c>
      <c r="S249" s="12" t="n">
        <f aca="false">J249-R249</f>
        <v>-2.645</v>
      </c>
      <c r="T249" s="32" t="n">
        <f aca="false">MIN(197.4,T248+S249)</f>
        <v>186.565555555556</v>
      </c>
      <c r="U249" s="8" t="n">
        <v>17</v>
      </c>
      <c r="V249" s="8" t="n">
        <v>1901.3</v>
      </c>
      <c r="X249" s="8" t="n">
        <f aca="false">X248+V249</f>
        <v>114255.9</v>
      </c>
      <c r="Y249" s="8" t="n">
        <f aca="false">Y248+V249</f>
        <v>3225.2</v>
      </c>
      <c r="Z249" s="8" t="n">
        <v>26874.2</v>
      </c>
      <c r="AA249" s="8" t="n">
        <v>12.7991792585143</v>
      </c>
    </row>
    <row r="250" s="8" customFormat="true" ht="15" hidden="false" customHeight="false" outlineLevel="0" collapsed="false">
      <c r="A250" s="53"/>
      <c r="B250" s="9"/>
      <c r="C250" s="51" t="n">
        <v>41366</v>
      </c>
      <c r="D250" s="8" t="n">
        <v>4.8</v>
      </c>
      <c r="E250" s="8" t="n">
        <v>0.2</v>
      </c>
      <c r="F250" s="8" t="n">
        <v>10.3</v>
      </c>
      <c r="G250" s="8" t="n">
        <f aca="false">G249+D250</f>
        <v>1731</v>
      </c>
      <c r="H250" s="8" t="n">
        <f aca="false">H249+D250</f>
        <v>12.4</v>
      </c>
      <c r="I250" s="52" t="s">
        <v>31</v>
      </c>
      <c r="J250" s="30" t="n">
        <v>0</v>
      </c>
      <c r="K250" s="8" t="n">
        <f aca="false">J250+K249</f>
        <v>593.7</v>
      </c>
      <c r="L250" s="8" t="n">
        <v>1.9</v>
      </c>
      <c r="M250" s="8" t="n">
        <f aca="false">M249+L250</f>
        <v>223.2</v>
      </c>
      <c r="N250" s="8" t="n">
        <v>-1.9</v>
      </c>
      <c r="O250" s="8" t="n">
        <f aca="false">O249+N250</f>
        <v>186.7</v>
      </c>
      <c r="P250" s="8" t="n">
        <v>210</v>
      </c>
      <c r="Q250" s="8" t="n">
        <v>1.15</v>
      </c>
      <c r="R250" s="12" t="n">
        <f aca="false">Q250*L250</f>
        <v>2.185</v>
      </c>
      <c r="S250" s="12" t="n">
        <f aca="false">J250-R250</f>
        <v>-2.185</v>
      </c>
      <c r="T250" s="32" t="n">
        <f aca="false">MIN(197.4,T249+S250)</f>
        <v>184.380555555556</v>
      </c>
      <c r="U250" s="52" t="s">
        <v>32</v>
      </c>
      <c r="V250" s="8" t="n">
        <v>1345.4</v>
      </c>
      <c r="X250" s="8" t="n">
        <f aca="false">X249+V250</f>
        <v>115601.3</v>
      </c>
      <c r="Y250" s="8" t="n">
        <f aca="false">Y249+V250</f>
        <v>4570.6</v>
      </c>
      <c r="Z250" s="52" t="s">
        <v>33</v>
      </c>
      <c r="AA250" s="8" t="n">
        <v>12.8574476407617</v>
      </c>
    </row>
    <row r="251" s="8" customFormat="true" ht="15" hidden="false" customHeight="false" outlineLevel="0" collapsed="false">
      <c r="A251" s="53"/>
      <c r="B251" s="9"/>
      <c r="C251" s="51" t="n">
        <v>41367</v>
      </c>
      <c r="D251" s="8" t="n">
        <v>3.9</v>
      </c>
      <c r="E251" s="8" t="n">
        <v>-0.3</v>
      </c>
      <c r="F251" s="8" t="n">
        <v>9.5</v>
      </c>
      <c r="G251" s="8" t="n">
        <f aca="false">G250+D251</f>
        <v>1734.9</v>
      </c>
      <c r="H251" s="8" t="n">
        <f aca="false">H250+D251</f>
        <v>16.3</v>
      </c>
      <c r="I251" s="8" t="n">
        <f aca="false">MAX(F248:F268)</f>
        <v>22.8</v>
      </c>
      <c r="J251" s="30" t="n">
        <v>0</v>
      </c>
      <c r="K251" s="8" t="n">
        <f aca="false">J251+K250</f>
        <v>593.7</v>
      </c>
      <c r="L251" s="8" t="n">
        <v>2.7</v>
      </c>
      <c r="M251" s="8" t="n">
        <f aca="false">M250+L251</f>
        <v>225.9</v>
      </c>
      <c r="N251" s="8" t="n">
        <v>-2.7</v>
      </c>
      <c r="O251" s="8" t="n">
        <f aca="false">O250+N251</f>
        <v>184</v>
      </c>
      <c r="P251" s="8" t="n">
        <v>211</v>
      </c>
      <c r="Q251" s="8" t="n">
        <v>1.15</v>
      </c>
      <c r="R251" s="12" t="n">
        <f aca="false">Q251*L251</f>
        <v>3.105</v>
      </c>
      <c r="S251" s="12" t="n">
        <f aca="false">J251-R251</f>
        <v>-3.105</v>
      </c>
      <c r="T251" s="32" t="n">
        <f aca="false">MIN(197.4,T250+S251)</f>
        <v>181.275555555556</v>
      </c>
      <c r="U251" s="8" t="n">
        <v>0</v>
      </c>
      <c r="V251" s="8" t="n">
        <v>1868.2</v>
      </c>
      <c r="X251" s="8" t="n">
        <f aca="false">X250+V251</f>
        <v>117469.5</v>
      </c>
      <c r="Y251" s="8" t="n">
        <f aca="false">Y250+V251</f>
        <v>6438.8</v>
      </c>
      <c r="Z251" s="8" t="n">
        <f aca="false">(Z249/100)/I261</f>
        <v>1.51745906267645</v>
      </c>
      <c r="AA251" s="8" t="n">
        <v>12.9156280727854</v>
      </c>
    </row>
    <row r="252" s="8" customFormat="true" ht="15" hidden="false" customHeight="false" outlineLevel="0" collapsed="false">
      <c r="A252" s="53"/>
      <c r="B252" s="9"/>
      <c r="C252" s="51" t="n">
        <v>41368</v>
      </c>
      <c r="D252" s="8" t="n">
        <v>3.2</v>
      </c>
      <c r="E252" s="8" t="n">
        <v>0.3</v>
      </c>
      <c r="F252" s="8" t="n">
        <v>7.6</v>
      </c>
      <c r="G252" s="8" t="n">
        <f aca="false">G251+D252</f>
        <v>1738.1</v>
      </c>
      <c r="H252" s="8" t="n">
        <f aca="false">H251+D252</f>
        <v>19.5</v>
      </c>
      <c r="I252" s="52" t="s">
        <v>34</v>
      </c>
      <c r="J252" s="30" t="n">
        <v>2.8</v>
      </c>
      <c r="K252" s="8" t="n">
        <f aca="false">J252+K251</f>
        <v>596.5</v>
      </c>
      <c r="L252" s="8" t="n">
        <v>1.6</v>
      </c>
      <c r="M252" s="8" t="n">
        <f aca="false">M251+L252</f>
        <v>227.5</v>
      </c>
      <c r="N252" s="8" t="n">
        <v>1.2</v>
      </c>
      <c r="O252" s="8" t="n">
        <f aca="false">O251+N252</f>
        <v>185.2</v>
      </c>
      <c r="P252" s="8" t="n">
        <v>212</v>
      </c>
      <c r="Q252" s="8" t="n">
        <v>1.15</v>
      </c>
      <c r="R252" s="12" t="n">
        <f aca="false">Q252*L252</f>
        <v>1.84</v>
      </c>
      <c r="S252" s="12" t="n">
        <f aca="false">J252-R252</f>
        <v>0.96</v>
      </c>
      <c r="T252" s="32" t="n">
        <f aca="false">MIN(197.4,T251+S252)</f>
        <v>182.235555555556</v>
      </c>
      <c r="U252" s="52" t="s">
        <v>35</v>
      </c>
      <c r="V252" s="8" t="n">
        <v>926</v>
      </c>
      <c r="X252" s="8" t="n">
        <f aca="false">X251+V252</f>
        <v>118395.5</v>
      </c>
      <c r="Y252" s="8" t="n">
        <f aca="false">Y251+V252</f>
        <v>7364.8</v>
      </c>
      <c r="Z252" s="52" t="s">
        <v>36</v>
      </c>
      <c r="AA252" s="8" t="n">
        <v>12.973713655852</v>
      </c>
    </row>
    <row r="253" s="8" customFormat="true" ht="15" hidden="false" customHeight="false" outlineLevel="0" collapsed="false">
      <c r="A253" s="53"/>
      <c r="B253" s="9"/>
      <c r="C253" s="51" t="n">
        <v>41369</v>
      </c>
      <c r="D253" s="8" t="n">
        <v>3.3</v>
      </c>
      <c r="E253" s="8" t="n">
        <v>2.6</v>
      </c>
      <c r="F253" s="8" t="n">
        <v>4</v>
      </c>
      <c r="G253" s="8" t="n">
        <f aca="false">G252+D253</f>
        <v>1741.4</v>
      </c>
      <c r="H253" s="8" t="n">
        <f aca="false">H252+D253</f>
        <v>22.8</v>
      </c>
      <c r="I253" s="12" t="n">
        <f aca="false">AVERAGE(D248:D268)</f>
        <v>8.43333333333333</v>
      </c>
      <c r="J253" s="30" t="n">
        <v>3.9</v>
      </c>
      <c r="K253" s="8" t="n">
        <f aca="false">J253+K252</f>
        <v>600.4</v>
      </c>
      <c r="L253" s="8" t="n">
        <v>0.6</v>
      </c>
      <c r="M253" s="8" t="n">
        <f aca="false">M252+L253</f>
        <v>228.1</v>
      </c>
      <c r="N253" s="8" t="n">
        <v>3.3</v>
      </c>
      <c r="O253" s="8" t="n">
        <f aca="false">O252+N253</f>
        <v>188.5</v>
      </c>
      <c r="P253" s="8" t="n">
        <v>213</v>
      </c>
      <c r="Q253" s="8" t="n">
        <v>1.15</v>
      </c>
      <c r="R253" s="12" t="n">
        <f aca="false">Q253*L253</f>
        <v>0.69</v>
      </c>
      <c r="S253" s="12" t="n">
        <f aca="false">J253-R253</f>
        <v>3.21</v>
      </c>
      <c r="T253" s="32" t="n">
        <f aca="false">MIN(197.4,T252+S253)</f>
        <v>185.445555555556</v>
      </c>
      <c r="U253" s="8" t="n">
        <v>0</v>
      </c>
      <c r="V253" s="8" t="n">
        <v>396.8</v>
      </c>
      <c r="X253" s="8" t="n">
        <f aca="false">X252+V253</f>
        <v>118792.3</v>
      </c>
      <c r="Y253" s="8" t="n">
        <f aca="false">Y252+V253</f>
        <v>7761.6</v>
      </c>
      <c r="Z253" s="8" t="n">
        <v>7</v>
      </c>
      <c r="AA253" s="8" t="n">
        <v>13.0316973004188</v>
      </c>
    </row>
    <row r="254" s="8" customFormat="true" ht="15" hidden="false" customHeight="false" outlineLevel="0" collapsed="false">
      <c r="A254" s="53"/>
      <c r="B254" s="9"/>
      <c r="C254" s="51" t="n">
        <v>41370</v>
      </c>
      <c r="D254" s="8" t="n">
        <v>4.7</v>
      </c>
      <c r="E254" s="8" t="n">
        <v>3</v>
      </c>
      <c r="F254" s="8" t="n">
        <v>7.6</v>
      </c>
      <c r="G254" s="8" t="n">
        <f aca="false">G253+D254</f>
        <v>1746.1</v>
      </c>
      <c r="H254" s="8" t="n">
        <f aca="false">H253+D254</f>
        <v>27.5</v>
      </c>
      <c r="I254" s="52" t="s">
        <v>37</v>
      </c>
      <c r="J254" s="30" t="n">
        <v>0</v>
      </c>
      <c r="K254" s="8" t="n">
        <f aca="false">J254+K253</f>
        <v>600.4</v>
      </c>
      <c r="L254" s="8" t="n">
        <v>1.4</v>
      </c>
      <c r="M254" s="8" t="n">
        <f aca="false">M253+L254</f>
        <v>229.5</v>
      </c>
      <c r="N254" s="8" t="n">
        <v>-1.4</v>
      </c>
      <c r="O254" s="8" t="n">
        <f aca="false">O253+N254</f>
        <v>187.1</v>
      </c>
      <c r="P254" s="8" t="n">
        <v>214</v>
      </c>
      <c r="Q254" s="8" t="n">
        <v>1.15</v>
      </c>
      <c r="R254" s="12" t="n">
        <f aca="false">Q254*L254</f>
        <v>1.61</v>
      </c>
      <c r="S254" s="12" t="n">
        <f aca="false">J254-R254</f>
        <v>-1.61</v>
      </c>
      <c r="T254" s="32" t="n">
        <f aca="false">MIN(197.4,T253+S254)</f>
        <v>183.835555555556</v>
      </c>
      <c r="U254" s="52" t="s">
        <v>38</v>
      </c>
      <c r="V254" s="8" t="n">
        <v>676.8</v>
      </c>
      <c r="X254" s="8" t="n">
        <f aca="false">X253+V254</f>
        <v>119469.1</v>
      </c>
      <c r="Y254" s="8" t="n">
        <f aca="false">Y253+V254</f>
        <v>8438.4</v>
      </c>
      <c r="AA254" s="8" t="n">
        <v>13.0895717098142</v>
      </c>
    </row>
    <row r="255" s="8" customFormat="true" ht="15" hidden="false" customHeight="false" outlineLevel="0" collapsed="false">
      <c r="A255" s="53"/>
      <c r="B255" s="9"/>
      <c r="C255" s="51" t="n">
        <v>41371</v>
      </c>
      <c r="D255" s="8" t="n">
        <v>5</v>
      </c>
      <c r="E255" s="8" t="n">
        <v>1.4</v>
      </c>
      <c r="F255" s="8" t="n">
        <v>7.5</v>
      </c>
      <c r="G255" s="8" t="n">
        <f aca="false">G254+D255</f>
        <v>1751.1</v>
      </c>
      <c r="H255" s="8" t="n">
        <f aca="false">H254+D255</f>
        <v>32.5</v>
      </c>
      <c r="I255" s="8" t="n">
        <v>3</v>
      </c>
      <c r="J255" s="30" t="n">
        <v>0.2</v>
      </c>
      <c r="K255" s="8" t="n">
        <f aca="false">J255+K254</f>
        <v>600.6</v>
      </c>
      <c r="L255" s="8" t="n">
        <v>1</v>
      </c>
      <c r="M255" s="8" t="n">
        <f aca="false">M254+L255</f>
        <v>230.5</v>
      </c>
      <c r="N255" s="8" t="n">
        <v>-0.8</v>
      </c>
      <c r="O255" s="8" t="n">
        <f aca="false">O254+N255</f>
        <v>186.3</v>
      </c>
      <c r="P255" s="8" t="n">
        <v>215</v>
      </c>
      <c r="Q255" s="8" t="n">
        <v>1.15</v>
      </c>
      <c r="R255" s="12" t="n">
        <f aca="false">Q255*L255</f>
        <v>1.15</v>
      </c>
      <c r="S255" s="12" t="n">
        <f aca="false">J255-R255</f>
        <v>-0.95</v>
      </c>
      <c r="T255" s="32" t="n">
        <f aca="false">MIN(197.4,T254+S255)</f>
        <v>182.885555555556</v>
      </c>
      <c r="U255" s="12" t="n">
        <f aca="false">MIN(T248:T268)</f>
        <v>172.76</v>
      </c>
      <c r="V255" s="8" t="n">
        <v>694.4</v>
      </c>
      <c r="X255" s="8" t="n">
        <f aca="false">X254+V255</f>
        <v>120163.5</v>
      </c>
      <c r="Y255" s="8" t="n">
        <f aca="false">Y254+V255</f>
        <v>9132.8</v>
      </c>
      <c r="AA255" s="8" t="n">
        <v>13.1473293640191</v>
      </c>
    </row>
    <row r="256" s="8" customFormat="true" ht="15" hidden="false" customHeight="false" outlineLevel="0" collapsed="false">
      <c r="A256" s="53"/>
      <c r="B256" s="9"/>
      <c r="C256" s="51" t="n">
        <v>41372</v>
      </c>
      <c r="D256" s="8" t="n">
        <v>8.2</v>
      </c>
      <c r="E256" s="8" t="n">
        <v>4.6</v>
      </c>
      <c r="F256" s="8" t="n">
        <v>13</v>
      </c>
      <c r="G256" s="8" t="n">
        <f aca="false">G255+D256</f>
        <v>1759.3</v>
      </c>
      <c r="H256" s="8" t="n">
        <f aca="false">H255+D256</f>
        <v>40.7</v>
      </c>
      <c r="I256" s="52" t="s">
        <v>39</v>
      </c>
      <c r="J256" s="8" t="n">
        <v>8.8</v>
      </c>
      <c r="K256" s="8" t="n">
        <f aca="false">J256+K255</f>
        <v>609.4</v>
      </c>
      <c r="L256" s="8" t="n">
        <v>1.9</v>
      </c>
      <c r="M256" s="8" t="n">
        <f aca="false">M255+L256</f>
        <v>232.4</v>
      </c>
      <c r="N256" s="8" t="n">
        <v>6.9</v>
      </c>
      <c r="O256" s="8" t="n">
        <f aca="false">O255+N256</f>
        <v>193.2</v>
      </c>
      <c r="P256" s="8" t="n">
        <v>216</v>
      </c>
      <c r="Q256" s="8" t="n">
        <v>1.15</v>
      </c>
      <c r="R256" s="12" t="n">
        <f aca="false">Q256*L256</f>
        <v>2.185</v>
      </c>
      <c r="S256" s="12" t="n">
        <f aca="false">J256-R256</f>
        <v>6.615</v>
      </c>
      <c r="T256" s="12" t="n">
        <f aca="false">MIN(197.4,T255+S256)</f>
        <v>189.500555555556</v>
      </c>
      <c r="U256" s="52" t="s">
        <v>40</v>
      </c>
      <c r="V256" s="8" t="n">
        <v>1147.7</v>
      </c>
      <c r="X256" s="8" t="n">
        <f aca="false">X255+V256</f>
        <v>121311.2</v>
      </c>
      <c r="Y256" s="8" t="n">
        <f aca="false">Y255+V256</f>
        <v>10280.5</v>
      </c>
      <c r="AA256" s="8" t="n">
        <v>13.2049625035586</v>
      </c>
    </row>
    <row r="257" s="8" customFormat="true" ht="15" hidden="false" customHeight="false" outlineLevel="0" collapsed="false">
      <c r="A257" s="53"/>
      <c r="B257" s="9"/>
      <c r="C257" s="51" t="n">
        <v>41373</v>
      </c>
      <c r="D257" s="8" t="n">
        <v>9.6</v>
      </c>
      <c r="E257" s="8" t="n">
        <v>6.5</v>
      </c>
      <c r="F257" s="8" t="n">
        <v>12.4</v>
      </c>
      <c r="G257" s="8" t="n">
        <f aca="false">G256+D257</f>
        <v>1768.9</v>
      </c>
      <c r="H257" s="8" t="n">
        <f aca="false">H256+D257</f>
        <v>50.3</v>
      </c>
      <c r="I257" s="8" t="n">
        <v>0</v>
      </c>
      <c r="J257" s="8" t="n">
        <v>5.5</v>
      </c>
      <c r="K257" s="8" t="n">
        <f aca="false">J257+K256</f>
        <v>614.9</v>
      </c>
      <c r="L257" s="8" t="n">
        <v>1.2</v>
      </c>
      <c r="M257" s="8" t="n">
        <f aca="false">M256+L257</f>
        <v>233.6</v>
      </c>
      <c r="N257" s="8" t="n">
        <v>4.3</v>
      </c>
      <c r="O257" s="8" t="n">
        <v>197.4</v>
      </c>
      <c r="P257" s="8" t="n">
        <v>217</v>
      </c>
      <c r="Q257" s="8" t="n">
        <v>1.15</v>
      </c>
      <c r="R257" s="12" t="n">
        <f aca="false">Q257*L257</f>
        <v>1.38</v>
      </c>
      <c r="S257" s="12" t="n">
        <f aca="false">J257-R257</f>
        <v>4.12</v>
      </c>
      <c r="T257" s="12" t="n">
        <f aca="false">MIN(197.4,T256+S257)</f>
        <v>193.620555555556</v>
      </c>
      <c r="U257" s="12" t="n">
        <f aca="false">MAX(T248:T268)</f>
        <v>197.4</v>
      </c>
      <c r="V257" s="8" t="n">
        <v>782.7</v>
      </c>
      <c r="X257" s="8" t="n">
        <f aca="false">X256+V257</f>
        <v>122093.9</v>
      </c>
      <c r="Y257" s="8" t="n">
        <f aca="false">Y256+V257</f>
        <v>11063.2</v>
      </c>
      <c r="AA257" s="8" t="n">
        <v>13.2624631135172</v>
      </c>
    </row>
    <row r="258" s="8" customFormat="true" ht="15" hidden="false" customHeight="false" outlineLevel="0" collapsed="false">
      <c r="A258" s="53"/>
      <c r="B258" s="9"/>
      <c r="C258" s="51" t="n">
        <v>41374</v>
      </c>
      <c r="D258" s="8" t="n">
        <v>9.6</v>
      </c>
      <c r="E258" s="8" t="n">
        <v>6</v>
      </c>
      <c r="F258" s="8" t="n">
        <v>11.8</v>
      </c>
      <c r="G258" s="8" t="n">
        <f aca="false">G257+D258</f>
        <v>1778.5</v>
      </c>
      <c r="H258" s="8" t="n">
        <f aca="false">H257+D258</f>
        <v>59.9</v>
      </c>
      <c r="I258" s="52" t="s">
        <v>41</v>
      </c>
      <c r="J258" s="8" t="n">
        <v>11.9</v>
      </c>
      <c r="K258" s="8" t="n">
        <f aca="false">J258+K257</f>
        <v>626.8</v>
      </c>
      <c r="L258" s="8" t="n">
        <v>0.6</v>
      </c>
      <c r="M258" s="8" t="n">
        <f aca="false">M257+L258</f>
        <v>234.2</v>
      </c>
      <c r="N258" s="8" t="n">
        <v>11.3</v>
      </c>
      <c r="O258" s="8" t="n">
        <v>197.4</v>
      </c>
      <c r="P258" s="8" t="n">
        <v>218</v>
      </c>
      <c r="Q258" s="8" t="n">
        <v>1.15</v>
      </c>
      <c r="R258" s="12" t="n">
        <f aca="false">Q258*L258</f>
        <v>0.69</v>
      </c>
      <c r="S258" s="12" t="n">
        <f aca="false">J258-R258</f>
        <v>11.21</v>
      </c>
      <c r="T258" s="12" t="n">
        <f aca="false">MIN(197.4,T257+S258)</f>
        <v>197.4</v>
      </c>
      <c r="U258" s="52" t="s">
        <v>42</v>
      </c>
      <c r="V258" s="8" t="n">
        <v>479.6</v>
      </c>
      <c r="X258" s="8" t="n">
        <f aca="false">X257+V258</f>
        <v>122573.5</v>
      </c>
      <c r="Y258" s="8" t="n">
        <f aca="false">Y257+V258</f>
        <v>11542.8</v>
      </c>
      <c r="AA258" s="8" t="n">
        <v>13.3198229076905</v>
      </c>
    </row>
    <row r="259" s="8" customFormat="true" ht="15" hidden="false" customHeight="false" outlineLevel="0" collapsed="false">
      <c r="A259" s="50" t="s">
        <v>61</v>
      </c>
      <c r="B259" s="9"/>
      <c r="C259" s="51" t="n">
        <v>41375</v>
      </c>
      <c r="D259" s="8" t="n">
        <v>11.5</v>
      </c>
      <c r="E259" s="8" t="n">
        <v>9.5</v>
      </c>
      <c r="F259" s="8" t="n">
        <v>13</v>
      </c>
      <c r="G259" s="8" t="n">
        <f aca="false">G258+D259</f>
        <v>1790</v>
      </c>
      <c r="H259" s="8" t="n">
        <f aca="false">H258+D259</f>
        <v>71.4</v>
      </c>
      <c r="I259" s="8" t="n">
        <v>8</v>
      </c>
      <c r="J259" s="8" t="n">
        <v>6.7</v>
      </c>
      <c r="K259" s="8" t="n">
        <f aca="false">J259+K258</f>
        <v>633.5</v>
      </c>
      <c r="L259" s="8" t="n">
        <v>1.7</v>
      </c>
      <c r="M259" s="8" t="n">
        <f aca="false">M258+L259</f>
        <v>235.9</v>
      </c>
      <c r="N259" s="8" t="n">
        <v>5</v>
      </c>
      <c r="O259" s="8" t="n">
        <v>197.4</v>
      </c>
      <c r="P259" s="8" t="n">
        <v>219</v>
      </c>
      <c r="Q259" s="8" t="n">
        <v>1.15</v>
      </c>
      <c r="R259" s="12" t="n">
        <f aca="false">Q259*L259</f>
        <v>1.955</v>
      </c>
      <c r="S259" s="12" t="n">
        <f aca="false">J259-R259</f>
        <v>4.745</v>
      </c>
      <c r="T259" s="12" t="n">
        <f aca="false">MIN(197.4,T258+S259)</f>
        <v>197.4</v>
      </c>
      <c r="U259" s="18" t="n">
        <f aca="false">AVERAGE(T248:T268)</f>
        <v>187.107169312169</v>
      </c>
      <c r="V259" s="8" t="n">
        <v>1033.4</v>
      </c>
      <c r="X259" s="8" t="n">
        <f aca="false">X258+V259</f>
        <v>123606.9</v>
      </c>
      <c r="Y259" s="8" t="n">
        <f aca="false">Y258+V259</f>
        <v>12576.2</v>
      </c>
      <c r="AA259" s="8" t="n">
        <v>13.3770333128915</v>
      </c>
    </row>
    <row r="260" s="8" customFormat="true" ht="15" hidden="false" customHeight="false" outlineLevel="0" collapsed="false">
      <c r="A260" s="53"/>
      <c r="B260" s="9"/>
      <c r="C260" s="51" t="n">
        <v>41376</v>
      </c>
      <c r="D260" s="8" t="n">
        <v>11.3</v>
      </c>
      <c r="E260" s="8" t="n">
        <v>10.1</v>
      </c>
      <c r="F260" s="8" t="n">
        <v>14.8</v>
      </c>
      <c r="G260" s="8" t="n">
        <f aca="false">G259+D260</f>
        <v>1801.3</v>
      </c>
      <c r="H260" s="8" t="n">
        <f aca="false">H259+D260</f>
        <v>82.7</v>
      </c>
      <c r="I260" s="52" t="s">
        <v>43</v>
      </c>
      <c r="J260" s="8" t="n">
        <v>1.7</v>
      </c>
      <c r="K260" s="8" t="n">
        <f aca="false">J260+K259</f>
        <v>635.2</v>
      </c>
      <c r="L260" s="8" t="n">
        <v>2.9</v>
      </c>
      <c r="M260" s="8" t="n">
        <f aca="false">M259+L260</f>
        <v>238.8</v>
      </c>
      <c r="N260" s="8" t="n">
        <v>-1.2</v>
      </c>
      <c r="O260" s="8" t="n">
        <f aca="false">O259+N260</f>
        <v>196.2</v>
      </c>
      <c r="P260" s="8" t="n">
        <v>220</v>
      </c>
      <c r="Q260" s="8" t="n">
        <v>1.15</v>
      </c>
      <c r="R260" s="12" t="n">
        <f aca="false">Q260*L260</f>
        <v>3.335</v>
      </c>
      <c r="S260" s="12" t="n">
        <f aca="false">J260-R260</f>
        <v>-1.635</v>
      </c>
      <c r="T260" s="12" t="n">
        <f aca="false">MIN(197.4,T259+S260)</f>
        <v>195.765</v>
      </c>
      <c r="V260" s="8" t="n">
        <v>1334.9</v>
      </c>
      <c r="X260" s="8" t="n">
        <f aca="false">X259+V260</f>
        <v>124941.8</v>
      </c>
      <c r="Y260" s="8" t="n">
        <f aca="false">Y259+V260</f>
        <v>13911.1</v>
      </c>
      <c r="AA260" s="8" t="n">
        <v>13.4340854534294</v>
      </c>
    </row>
    <row r="261" s="8" customFormat="true" ht="15" hidden="false" customHeight="false" outlineLevel="0" collapsed="false">
      <c r="A261" s="53"/>
      <c r="B261" s="9"/>
      <c r="C261" s="51" t="n">
        <v>41377</v>
      </c>
      <c r="D261" s="8" t="n">
        <v>11</v>
      </c>
      <c r="E261" s="8" t="n">
        <v>6.5</v>
      </c>
      <c r="F261" s="8" t="n">
        <v>13.9</v>
      </c>
      <c r="G261" s="8" t="n">
        <f aca="false">G260+D261</f>
        <v>1812.3</v>
      </c>
      <c r="H261" s="8" t="n">
        <f aca="false">H260+D261</f>
        <v>93.7</v>
      </c>
      <c r="I261" s="8" t="n">
        <v>177.1</v>
      </c>
      <c r="J261" s="8" t="n">
        <v>1</v>
      </c>
      <c r="K261" s="8" t="n">
        <f aca="false">J261+K260</f>
        <v>636.2</v>
      </c>
      <c r="L261" s="8" t="n">
        <v>0.7</v>
      </c>
      <c r="M261" s="8" t="n">
        <f aca="false">M260+L261</f>
        <v>239.5</v>
      </c>
      <c r="N261" s="8" t="n">
        <v>0.3</v>
      </c>
      <c r="O261" s="8" t="n">
        <f aca="false">O260+N261</f>
        <v>196.5</v>
      </c>
      <c r="P261" s="8" t="n">
        <v>221</v>
      </c>
      <c r="Q261" s="8" t="n">
        <v>1.15</v>
      </c>
      <c r="R261" s="12" t="n">
        <f aca="false">Q261*L261</f>
        <v>0.805</v>
      </c>
      <c r="S261" s="12" t="n">
        <f aca="false">J261-R261</f>
        <v>0.195</v>
      </c>
      <c r="T261" s="12" t="n">
        <f aca="false">MIN(197.4,T260+S261)</f>
        <v>195.96</v>
      </c>
      <c r="U261" s="12" t="n">
        <f aca="false">(U259*100)/197.4</f>
        <v>94.7858000568234</v>
      </c>
      <c r="V261" s="8" t="n">
        <v>555.2</v>
      </c>
      <c r="X261" s="8" t="n">
        <f aca="false">X260+V261</f>
        <v>125497</v>
      </c>
      <c r="Y261" s="8" t="n">
        <f aca="false">Y260+V261</f>
        <v>14466.3</v>
      </c>
      <c r="AA261" s="8" t="n">
        <v>13.490970135784</v>
      </c>
    </row>
    <row r="262" s="8" customFormat="true" ht="15" hidden="false" customHeight="false" outlineLevel="0" collapsed="false">
      <c r="A262" s="53"/>
      <c r="B262" s="9"/>
      <c r="C262" s="51" t="n">
        <v>41378</v>
      </c>
      <c r="D262" s="8" t="n">
        <v>14.9</v>
      </c>
      <c r="E262" s="8" t="n">
        <v>10.7</v>
      </c>
      <c r="F262" s="8" t="n">
        <v>21.4</v>
      </c>
      <c r="G262" s="8" t="n">
        <f aca="false">G261+D262</f>
        <v>1827.2</v>
      </c>
      <c r="H262" s="8" t="n">
        <f aca="false">H261+D262</f>
        <v>108.6</v>
      </c>
      <c r="J262" s="8" t="n">
        <v>1.5</v>
      </c>
      <c r="K262" s="8" t="n">
        <f aca="false">J262+K261</f>
        <v>637.7</v>
      </c>
      <c r="L262" s="8" t="n">
        <v>4.1</v>
      </c>
      <c r="M262" s="8" t="n">
        <f aca="false">M261+L262</f>
        <v>243.6</v>
      </c>
      <c r="N262" s="8" t="n">
        <v>-2.6</v>
      </c>
      <c r="O262" s="8" t="n">
        <f aca="false">O261+N262</f>
        <v>193.9</v>
      </c>
      <c r="P262" s="8" t="n">
        <v>222</v>
      </c>
      <c r="Q262" s="8" t="n">
        <v>1.15</v>
      </c>
      <c r="R262" s="12" t="n">
        <f aca="false">Q262*L262</f>
        <v>4.715</v>
      </c>
      <c r="S262" s="12" t="n">
        <f aca="false">J262-R262</f>
        <v>-3.215</v>
      </c>
      <c r="T262" s="12" t="n">
        <f aca="false">MIN(197.4,T261+S262)</f>
        <v>192.745</v>
      </c>
      <c r="V262" s="8" t="n">
        <v>2062.2</v>
      </c>
      <c r="X262" s="8" t="n">
        <f aca="false">X261+V262</f>
        <v>127559.2</v>
      </c>
      <c r="Y262" s="8" t="n">
        <f aca="false">Y261+V262</f>
        <v>16528.5</v>
      </c>
      <c r="AA262" s="8" t="n">
        <v>13.5476778335012</v>
      </c>
    </row>
    <row r="263" s="8" customFormat="true" ht="15" hidden="false" customHeight="false" outlineLevel="0" collapsed="false">
      <c r="A263" s="53"/>
      <c r="B263" s="9"/>
      <c r="C263" s="51" t="n">
        <v>41379</v>
      </c>
      <c r="D263" s="8" t="n">
        <v>13.4</v>
      </c>
      <c r="E263" s="8" t="n">
        <v>10.9</v>
      </c>
      <c r="F263" s="8" t="n">
        <v>16.4</v>
      </c>
      <c r="G263" s="8" t="n">
        <f aca="false">G262+D263</f>
        <v>1840.6</v>
      </c>
      <c r="H263" s="8" t="n">
        <f aca="false">H262+D263</f>
        <v>122</v>
      </c>
      <c r="J263" s="8" t="n">
        <v>0</v>
      </c>
      <c r="K263" s="8" t="n">
        <f aca="false">J263+K262</f>
        <v>637.7</v>
      </c>
      <c r="L263" s="8" t="n">
        <v>3.1</v>
      </c>
      <c r="M263" s="8" t="n">
        <f aca="false">M262+L263</f>
        <v>246.7</v>
      </c>
      <c r="N263" s="8" t="n">
        <v>-3.1</v>
      </c>
      <c r="O263" s="8" t="n">
        <f aca="false">O262+N263</f>
        <v>190.8</v>
      </c>
      <c r="P263" s="8" t="n">
        <v>223</v>
      </c>
      <c r="Q263" s="8" t="n">
        <v>1.15</v>
      </c>
      <c r="R263" s="12" t="n">
        <f aca="false">Q263*L263</f>
        <v>3.565</v>
      </c>
      <c r="S263" s="12" t="n">
        <f aca="false">J263-R263</f>
        <v>-3.565</v>
      </c>
      <c r="T263" s="12" t="n">
        <f aca="false">MIN(197.4,T262+S263)</f>
        <v>189.18</v>
      </c>
      <c r="V263" s="8" t="n">
        <v>1859.9</v>
      </c>
      <c r="X263" s="8" t="n">
        <f aca="false">X262+V263</f>
        <v>129419.1</v>
      </c>
      <c r="Y263" s="8" t="n">
        <f aca="false">Y262+V263</f>
        <v>18388.4</v>
      </c>
      <c r="AA263" s="8" t="n">
        <v>13.6041986723355</v>
      </c>
    </row>
    <row r="264" s="8" customFormat="true" ht="15" hidden="false" customHeight="false" outlineLevel="0" collapsed="false">
      <c r="A264" s="53"/>
      <c r="B264" s="9"/>
      <c r="C264" s="51" t="n">
        <v>41380</v>
      </c>
      <c r="D264" s="8" t="n">
        <v>12.7</v>
      </c>
      <c r="E264" s="8" t="n">
        <v>10.7</v>
      </c>
      <c r="F264" s="8" t="n">
        <v>14.4</v>
      </c>
      <c r="G264" s="8" t="n">
        <f aca="false">G263+D264</f>
        <v>1853.3</v>
      </c>
      <c r="H264" s="8" t="n">
        <f aca="false">H263+D264</f>
        <v>134.7</v>
      </c>
      <c r="J264" s="8" t="n">
        <v>0</v>
      </c>
      <c r="K264" s="8" t="n">
        <f aca="false">J264+K263</f>
        <v>637.7</v>
      </c>
      <c r="L264" s="8" t="n">
        <v>1</v>
      </c>
      <c r="M264" s="8" t="n">
        <f aca="false">M263+L264</f>
        <v>247.7</v>
      </c>
      <c r="N264" s="8" t="n">
        <v>-1</v>
      </c>
      <c r="O264" s="8" t="n">
        <f aca="false">O263+N264</f>
        <v>189.8</v>
      </c>
      <c r="P264" s="8" t="n">
        <v>224</v>
      </c>
      <c r="Q264" s="8" t="n">
        <v>1.15</v>
      </c>
      <c r="R264" s="12" t="n">
        <f aca="false">Q264*L264</f>
        <v>1.15</v>
      </c>
      <c r="S264" s="12" t="n">
        <f aca="false">J264-R264</f>
        <v>-1.15</v>
      </c>
      <c r="T264" s="12" t="n">
        <f aca="false">MIN(197.4,T263+S264)</f>
        <v>188.03</v>
      </c>
      <c r="V264" s="8" t="n">
        <v>586.3</v>
      </c>
      <c r="X264" s="8" t="n">
        <f aca="false">X263+V264</f>
        <v>130005.4</v>
      </c>
      <c r="Y264" s="8" t="n">
        <f aca="false">Y263+V264</f>
        <v>18974.7</v>
      </c>
      <c r="AA264" s="8" t="n">
        <v>13.6605224156742</v>
      </c>
    </row>
    <row r="265" s="8" customFormat="true" ht="15" hidden="false" customHeight="false" outlineLevel="0" collapsed="false">
      <c r="A265" s="53"/>
      <c r="B265" s="9"/>
      <c r="C265" s="51" t="n">
        <v>41381</v>
      </c>
      <c r="D265" s="8" t="n">
        <v>15</v>
      </c>
      <c r="E265" s="8" t="n">
        <v>9.3</v>
      </c>
      <c r="F265" s="8" t="n">
        <v>22.8</v>
      </c>
      <c r="G265" s="8" t="n">
        <f aca="false">G264+D265</f>
        <v>1868.3</v>
      </c>
      <c r="H265" s="8" t="n">
        <f aca="false">H264+D265</f>
        <v>149.7</v>
      </c>
      <c r="J265" s="8" t="n">
        <v>0</v>
      </c>
      <c r="K265" s="8" t="n">
        <f aca="false">J265+K264</f>
        <v>637.7</v>
      </c>
      <c r="L265" s="8" t="n">
        <v>3.8</v>
      </c>
      <c r="M265" s="8" t="n">
        <f aca="false">M264+L265</f>
        <v>251.5</v>
      </c>
      <c r="N265" s="54" t="n">
        <v>-3.8</v>
      </c>
      <c r="O265" s="8" t="n">
        <f aca="false">O264+N265</f>
        <v>186</v>
      </c>
      <c r="P265" s="8" t="n">
        <v>225</v>
      </c>
      <c r="Q265" s="8" t="n">
        <v>1.15</v>
      </c>
      <c r="R265" s="12" t="n">
        <f aca="false">Q265*L265</f>
        <v>4.37</v>
      </c>
      <c r="S265" s="12" t="n">
        <f aca="false">J265-R265</f>
        <v>-4.37</v>
      </c>
      <c r="T265" s="12" t="n">
        <f aca="false">MIN(197.4,T264+S265)</f>
        <v>183.66</v>
      </c>
      <c r="V265" s="8" t="n">
        <v>1898.5</v>
      </c>
      <c r="W265" s="43"/>
      <c r="X265" s="8" t="n">
        <f aca="false">X264+V265</f>
        <v>131903.9</v>
      </c>
      <c r="Y265" s="8" t="n">
        <f aca="false">Y264+V265</f>
        <v>20873.2</v>
      </c>
      <c r="AA265" s="8" t="n">
        <v>13.7166384502749</v>
      </c>
    </row>
    <row r="266" s="8" customFormat="true" ht="15" hidden="false" customHeight="true" outlineLevel="0" collapsed="false">
      <c r="A266" s="53"/>
      <c r="B266" s="9"/>
      <c r="C266" s="51" t="n">
        <v>41382</v>
      </c>
      <c r="D266" s="8" t="n">
        <v>11.3</v>
      </c>
      <c r="E266" s="8" t="n">
        <v>9.3</v>
      </c>
      <c r="F266" s="8" t="n">
        <v>15.3</v>
      </c>
      <c r="G266" s="8" t="n">
        <f aca="false">G265+D266</f>
        <v>1879.6</v>
      </c>
      <c r="H266" s="8" t="n">
        <f aca="false">H265+D266</f>
        <v>161</v>
      </c>
      <c r="J266" s="8" t="n">
        <v>0.4</v>
      </c>
      <c r="K266" s="8" t="n">
        <f aca="false">J266+K265</f>
        <v>638.1</v>
      </c>
      <c r="L266" s="8" t="n">
        <v>3.2</v>
      </c>
      <c r="M266" s="8" t="n">
        <f aca="false">M265+L266</f>
        <v>254.7</v>
      </c>
      <c r="N266" s="8" t="n">
        <v>-2.8</v>
      </c>
      <c r="O266" s="8" t="n">
        <f aca="false">O265+N266</f>
        <v>183.2</v>
      </c>
      <c r="P266" s="8" t="n">
        <v>226</v>
      </c>
      <c r="Q266" s="8" t="n">
        <v>1.15</v>
      </c>
      <c r="R266" s="12" t="n">
        <f aca="false">Q266*L266</f>
        <v>3.68</v>
      </c>
      <c r="S266" s="12" t="n">
        <f aca="false">J266-R266</f>
        <v>-3.28</v>
      </c>
      <c r="T266" s="12" t="n">
        <f aca="false">MIN(197.4,T265+S266)</f>
        <v>180.38</v>
      </c>
      <c r="U266" s="43"/>
      <c r="V266" s="8" t="n">
        <v>1740.8</v>
      </c>
      <c r="X266" s="8" t="n">
        <f aca="false">X265+V266</f>
        <v>133644.7</v>
      </c>
      <c r="Y266" s="8" t="n">
        <f aca="false">Y265+V266</f>
        <v>22614</v>
      </c>
      <c r="AA266" s="8" t="n">
        <v>13.7725357723564</v>
      </c>
    </row>
    <row r="267" s="8" customFormat="true" ht="15" hidden="false" customHeight="false" outlineLevel="0" collapsed="false">
      <c r="A267" s="53"/>
      <c r="B267" s="9"/>
      <c r="C267" s="51" t="n">
        <v>41383</v>
      </c>
      <c r="D267" s="8" t="n">
        <v>8.5</v>
      </c>
      <c r="E267" s="8" t="n">
        <v>4</v>
      </c>
      <c r="F267" s="8" t="n">
        <v>14.4</v>
      </c>
      <c r="G267" s="8" t="n">
        <f aca="false">G266+D267</f>
        <v>1888.1</v>
      </c>
      <c r="H267" s="8" t="n">
        <f aca="false">H266+D267</f>
        <v>169.5</v>
      </c>
      <c r="J267" s="8" t="n">
        <v>0.2</v>
      </c>
      <c r="K267" s="8" t="n">
        <f aca="false">J267+K266</f>
        <v>638.3</v>
      </c>
      <c r="L267" s="8" t="n">
        <v>3.1</v>
      </c>
      <c r="M267" s="8" t="n">
        <f aca="false">M266+L267</f>
        <v>257.8</v>
      </c>
      <c r="N267" s="8" t="n">
        <v>-2.9</v>
      </c>
      <c r="O267" s="8" t="n">
        <f aca="false">O266+N267</f>
        <v>180.3</v>
      </c>
      <c r="P267" s="8" t="n">
        <v>227</v>
      </c>
      <c r="Q267" s="8" t="n">
        <v>1.15</v>
      </c>
      <c r="R267" s="12" t="n">
        <f aca="false">Q267*L267</f>
        <v>3.565</v>
      </c>
      <c r="S267" s="12" t="n">
        <f aca="false">J267-R267</f>
        <v>-3.365</v>
      </c>
      <c r="T267" s="12" t="n">
        <f aca="false">MIN(197.4,T266+S267)</f>
        <v>177.015</v>
      </c>
      <c r="V267" s="8" t="n">
        <v>1857.4</v>
      </c>
      <c r="X267" s="8" t="n">
        <f aca="false">X266+V267</f>
        <v>135502.1</v>
      </c>
      <c r="Y267" s="8" t="n">
        <f aca="false">Y266+V267</f>
        <v>24471.4</v>
      </c>
      <c r="AA267" s="8" t="n">
        <v>13.8282029740852</v>
      </c>
    </row>
    <row r="268" s="23" customFormat="true" ht="15" hidden="false" customHeight="false" outlineLevel="0" collapsed="false">
      <c r="A268" s="55" t="s">
        <v>62</v>
      </c>
      <c r="B268" s="56"/>
      <c r="C268" s="57" t="n">
        <v>41384</v>
      </c>
      <c r="D268" s="23" t="n">
        <v>7.6</v>
      </c>
      <c r="E268" s="23" t="n">
        <v>2.5</v>
      </c>
      <c r="F268" s="23" t="n">
        <v>15.4</v>
      </c>
      <c r="G268" s="23" t="n">
        <f aca="false">G267+D268</f>
        <v>1895.7</v>
      </c>
      <c r="H268" s="23" t="n">
        <f aca="false">H267+D268</f>
        <v>177.1</v>
      </c>
      <c r="J268" s="23" t="n">
        <v>0</v>
      </c>
      <c r="K268" s="23" t="n">
        <f aca="false">J268+K267</f>
        <v>638.3</v>
      </c>
      <c r="L268" s="23" t="n">
        <v>3.7</v>
      </c>
      <c r="M268" s="23" t="n">
        <f aca="false">M267+L268</f>
        <v>261.5</v>
      </c>
      <c r="N268" s="23" t="n">
        <v>-3.7</v>
      </c>
      <c r="O268" s="23" t="n">
        <f aca="false">O267+N268</f>
        <v>176.6</v>
      </c>
      <c r="P268" s="23" t="n">
        <v>228</v>
      </c>
      <c r="Q268" s="23" t="n">
        <v>1.15</v>
      </c>
      <c r="R268" s="24" t="n">
        <f aca="false">Q268*L268</f>
        <v>4.255</v>
      </c>
      <c r="S268" s="24" t="n">
        <f aca="false">J268-R268</f>
        <v>-4.255</v>
      </c>
      <c r="T268" s="24" t="n">
        <f aca="false">MIN(197.4,T267+S268)</f>
        <v>172.76</v>
      </c>
      <c r="V268" s="23" t="n">
        <v>2402.8</v>
      </c>
      <c r="X268" s="23" t="n">
        <f aca="false">X267+V268</f>
        <v>137904.9</v>
      </c>
      <c r="Y268" s="23" t="n">
        <f aca="false">Y267+V268</f>
        <v>26874.2</v>
      </c>
      <c r="AA268" s="23" t="n">
        <v>13.8836282305015</v>
      </c>
    </row>
    <row r="269" s="8" customFormat="true" ht="15" hidden="false" customHeight="false" outlineLevel="0" collapsed="false">
      <c r="A269" s="58"/>
      <c r="B269" s="15"/>
      <c r="C269" s="59" t="n">
        <v>41385</v>
      </c>
      <c r="D269" s="8" t="n">
        <v>7.4</v>
      </c>
      <c r="E269" s="8" t="n">
        <v>0.4</v>
      </c>
      <c r="F269" s="8" t="n">
        <v>14.2</v>
      </c>
      <c r="G269" s="8" t="n">
        <f aca="false">G268+D269</f>
        <v>1903.1</v>
      </c>
      <c r="H269" s="8" t="n">
        <v>7.4</v>
      </c>
      <c r="I269" s="60" t="s">
        <v>28</v>
      </c>
      <c r="J269" s="8" t="n">
        <v>0</v>
      </c>
      <c r="K269" s="8" t="n">
        <f aca="false">J269+K268</f>
        <v>638.3</v>
      </c>
      <c r="L269" s="8" t="n">
        <v>3</v>
      </c>
      <c r="M269" s="8" t="n">
        <f aca="false">M268+L269</f>
        <v>264.5</v>
      </c>
      <c r="N269" s="8" t="n">
        <v>-3</v>
      </c>
      <c r="O269" s="8" t="n">
        <f aca="false">O268+N269</f>
        <v>173.6</v>
      </c>
      <c r="P269" s="8" t="n">
        <v>229</v>
      </c>
      <c r="Q269" s="8" t="n">
        <v>1.15</v>
      </c>
      <c r="R269" s="12" t="n">
        <f aca="false">Q269*L269</f>
        <v>3.45</v>
      </c>
      <c r="S269" s="12" t="n">
        <f aca="false">J269-R269</f>
        <v>-3.45</v>
      </c>
      <c r="T269" s="12" t="n">
        <f aca="false">MIN(197.4,T268+S269)</f>
        <v>169.31</v>
      </c>
      <c r="U269" s="60" t="s">
        <v>29</v>
      </c>
      <c r="V269" s="8" t="n">
        <v>2072.3</v>
      </c>
      <c r="X269" s="8" t="n">
        <f aca="false">X268+V269</f>
        <v>139977.2</v>
      </c>
      <c r="Y269" s="8" t="n">
        <v>2072.3</v>
      </c>
      <c r="Z269" s="60" t="s">
        <v>30</v>
      </c>
      <c r="AA269" s="8" t="n">
        <v>13.9387992869362</v>
      </c>
    </row>
    <row r="270" s="8" customFormat="true" ht="15" hidden="false" customHeight="false" outlineLevel="0" collapsed="false">
      <c r="A270" s="58"/>
      <c r="B270" s="15"/>
      <c r="C270" s="59" t="n">
        <v>41386</v>
      </c>
      <c r="D270" s="8" t="n">
        <v>10.7</v>
      </c>
      <c r="E270" s="8" t="n">
        <v>5.4</v>
      </c>
      <c r="F270" s="8" t="n">
        <v>14.4</v>
      </c>
      <c r="G270" s="8" t="n">
        <f aca="false">G269+D270</f>
        <v>1913.8</v>
      </c>
      <c r="H270" s="8" t="n">
        <f aca="false">H269+D270</f>
        <v>18.1</v>
      </c>
      <c r="I270" s="8" t="n">
        <f aca="false">MIN(E269:E295)</f>
        <v>0.4</v>
      </c>
      <c r="J270" s="8" t="n">
        <v>0</v>
      </c>
      <c r="K270" s="8" t="n">
        <f aca="false">J270+K269</f>
        <v>638.3</v>
      </c>
      <c r="L270" s="8" t="n">
        <v>2.1</v>
      </c>
      <c r="M270" s="8" t="n">
        <f aca="false">M269+L270</f>
        <v>266.6</v>
      </c>
      <c r="N270" s="8" t="n">
        <v>-2.1</v>
      </c>
      <c r="O270" s="8" t="n">
        <f aca="false">O269+N270</f>
        <v>171.5</v>
      </c>
      <c r="P270" s="8" t="n">
        <v>230</v>
      </c>
      <c r="Q270" s="8" t="n">
        <v>1.15</v>
      </c>
      <c r="R270" s="12" t="n">
        <f aca="false">Q270*L270</f>
        <v>2.415</v>
      </c>
      <c r="S270" s="12" t="n">
        <f aca="false">J270-R270</f>
        <v>-2.415</v>
      </c>
      <c r="T270" s="12" t="n">
        <f aca="false">MIN(197.4,T269+S270)</f>
        <v>166.895</v>
      </c>
      <c r="U270" s="8" t="n">
        <v>24</v>
      </c>
      <c r="V270" s="8" t="n">
        <v>1539.6</v>
      </c>
      <c r="X270" s="8" t="n">
        <f aca="false">X269+V270</f>
        <v>141516.8</v>
      </c>
      <c r="Y270" s="8" t="n">
        <f aca="false">Y269+V270</f>
        <v>3611.9</v>
      </c>
      <c r="Z270" s="8" t="n">
        <v>39169.4</v>
      </c>
      <c r="AA270" s="8" t="n">
        <v>13.9937034469721</v>
      </c>
    </row>
    <row r="271" s="8" customFormat="true" ht="15" hidden="false" customHeight="false" outlineLevel="0" collapsed="false">
      <c r="A271" s="58"/>
      <c r="B271" s="15"/>
      <c r="C271" s="59" t="n">
        <v>41387</v>
      </c>
      <c r="D271" s="8" t="n">
        <v>12.5</v>
      </c>
      <c r="E271" s="8" t="n">
        <v>10.7</v>
      </c>
      <c r="F271" s="8" t="n">
        <v>15.8</v>
      </c>
      <c r="G271" s="8" t="n">
        <f aca="false">G270+D271</f>
        <v>1926.3</v>
      </c>
      <c r="H271" s="8" t="n">
        <f aca="false">H270+D271</f>
        <v>30.6</v>
      </c>
      <c r="I271" s="60" t="s">
        <v>31</v>
      </c>
      <c r="J271" s="8" t="n">
        <v>0</v>
      </c>
      <c r="K271" s="8" t="n">
        <f aca="false">J271+K270</f>
        <v>638.3</v>
      </c>
      <c r="L271" s="8" t="n">
        <v>1.5</v>
      </c>
      <c r="M271" s="8" t="n">
        <f aca="false">M270+L271</f>
        <v>268.1</v>
      </c>
      <c r="N271" s="8" t="n">
        <v>-1.5</v>
      </c>
      <c r="O271" s="8" t="n">
        <f aca="false">O270+N271</f>
        <v>170</v>
      </c>
      <c r="P271" s="8" t="n">
        <v>231</v>
      </c>
      <c r="Q271" s="8" t="n">
        <v>1.15</v>
      </c>
      <c r="R271" s="12" t="n">
        <f aca="false">Q271*L271</f>
        <v>1.725</v>
      </c>
      <c r="S271" s="12" t="n">
        <f aca="false">J271-R271</f>
        <v>-1.725</v>
      </c>
      <c r="T271" s="12" t="n">
        <f aca="false">MIN(197.4,T270+S271)</f>
        <v>165.17</v>
      </c>
      <c r="U271" s="60" t="s">
        <v>32</v>
      </c>
      <c r="V271" s="8" t="n">
        <v>738.6</v>
      </c>
      <c r="X271" s="8" t="n">
        <f aca="false">X270+V271</f>
        <v>142255.4</v>
      </c>
      <c r="Y271" s="8" t="n">
        <f aca="false">Y270+V271</f>
        <v>4350.5</v>
      </c>
      <c r="Z271" s="60" t="s">
        <v>33</v>
      </c>
      <c r="AA271" s="8" t="n">
        <v>14.0483275610059</v>
      </c>
    </row>
    <row r="272" s="8" customFormat="true" ht="15" hidden="false" customHeight="false" outlineLevel="0" collapsed="false">
      <c r="A272" s="58"/>
      <c r="B272" s="15"/>
      <c r="C272" s="59" t="n">
        <v>41388</v>
      </c>
      <c r="D272" s="8" t="n">
        <v>14</v>
      </c>
      <c r="E272" s="8" t="n">
        <v>7.1</v>
      </c>
      <c r="F272" s="8" t="n">
        <v>20.5</v>
      </c>
      <c r="G272" s="8" t="n">
        <f aca="false">G271+D272</f>
        <v>1940.3</v>
      </c>
      <c r="H272" s="8" t="n">
        <f aca="false">H271+D272</f>
        <v>44.6</v>
      </c>
      <c r="I272" s="8" t="n">
        <f aca="false">MAX(F269:F295)</f>
        <v>23.6</v>
      </c>
      <c r="J272" s="8" t="n">
        <v>0</v>
      </c>
      <c r="K272" s="8" t="n">
        <f aca="false">J272+K271</f>
        <v>638.3</v>
      </c>
      <c r="L272" s="8" t="n">
        <v>3.7</v>
      </c>
      <c r="M272" s="8" t="n">
        <f aca="false">M271+L272</f>
        <v>271.8</v>
      </c>
      <c r="N272" s="8" t="n">
        <v>-3.7</v>
      </c>
      <c r="O272" s="8" t="n">
        <f aca="false">O271+N272</f>
        <v>166.3</v>
      </c>
      <c r="P272" s="8" t="n">
        <v>232</v>
      </c>
      <c r="Q272" s="8" t="n">
        <v>1.15</v>
      </c>
      <c r="R272" s="12" t="n">
        <f aca="false">Q272*L272</f>
        <v>4.255</v>
      </c>
      <c r="S272" s="12" t="n">
        <f aca="false">J272-R272</f>
        <v>-4.255</v>
      </c>
      <c r="T272" s="12" t="n">
        <f aca="false">MIN(197.4,T271+S272)</f>
        <v>160.915</v>
      </c>
      <c r="U272" s="8" t="n">
        <v>0</v>
      </c>
      <c r="V272" s="8" t="n">
        <v>2194.4</v>
      </c>
      <c r="X272" s="8" t="n">
        <f aca="false">X271+V272</f>
        <v>144449.8</v>
      </c>
      <c r="Y272" s="8" t="n">
        <f aca="false">Y271+V272</f>
        <v>6544.9</v>
      </c>
      <c r="Z272" s="8" t="n">
        <f aca="false">(Z270/100)/I282</f>
        <v>1.29271947194719</v>
      </c>
      <c r="AA272" s="8" t="n">
        <v>14.1026580154747</v>
      </c>
    </row>
    <row r="273" s="8" customFormat="true" ht="15" hidden="false" customHeight="false" outlineLevel="0" collapsed="false">
      <c r="A273" s="58"/>
      <c r="B273" s="15"/>
      <c r="C273" s="59" t="n">
        <v>41389</v>
      </c>
      <c r="D273" s="8" t="n">
        <v>15.9</v>
      </c>
      <c r="E273" s="8" t="n">
        <v>8.4</v>
      </c>
      <c r="F273" s="8" t="n">
        <v>23.6</v>
      </c>
      <c r="G273" s="8" t="n">
        <f aca="false">G272+D273</f>
        <v>1956.2</v>
      </c>
      <c r="H273" s="8" t="n">
        <f aca="false">H272+D273</f>
        <v>60.5</v>
      </c>
      <c r="I273" s="60" t="s">
        <v>34</v>
      </c>
      <c r="J273" s="8" t="n">
        <v>0</v>
      </c>
      <c r="K273" s="8" t="n">
        <f aca="false">J273+K272</f>
        <v>638.3</v>
      </c>
      <c r="L273" s="8" t="n">
        <v>4.6</v>
      </c>
      <c r="M273" s="8" t="n">
        <f aca="false">M272+L273</f>
        <v>276.4</v>
      </c>
      <c r="N273" s="8" t="n">
        <v>-4.6</v>
      </c>
      <c r="O273" s="8" t="n">
        <f aca="false">O272+N273</f>
        <v>161.7</v>
      </c>
      <c r="P273" s="8" t="n">
        <v>233</v>
      </c>
      <c r="Q273" s="8" t="n">
        <v>1.15</v>
      </c>
      <c r="R273" s="12" t="n">
        <f aca="false">Q273*L273</f>
        <v>5.29</v>
      </c>
      <c r="S273" s="12" t="n">
        <f aca="false">J273-R273</f>
        <v>-5.29</v>
      </c>
      <c r="T273" s="12" t="n">
        <f aca="false">MIN(197.4,T272+S273)</f>
        <v>155.625</v>
      </c>
      <c r="U273" s="60" t="s">
        <v>35</v>
      </c>
      <c r="V273" s="8" t="n">
        <v>2146.1</v>
      </c>
      <c r="X273" s="8" t="n">
        <f aca="false">X272+V273</f>
        <v>146595.9</v>
      </c>
      <c r="Y273" s="8" t="n">
        <f aca="false">Y272+V273</f>
        <v>8691</v>
      </c>
      <c r="Z273" s="60" t="s">
        <v>36</v>
      </c>
      <c r="AA273" s="8" t="n">
        <v>14.1566807228112</v>
      </c>
    </row>
    <row r="274" s="8" customFormat="true" ht="15" hidden="false" customHeight="false" outlineLevel="0" collapsed="false">
      <c r="A274" s="58"/>
      <c r="B274" s="15"/>
      <c r="C274" s="59" t="n">
        <v>41390</v>
      </c>
      <c r="D274" s="8" t="n">
        <v>8.9</v>
      </c>
      <c r="E274" s="8" t="n">
        <v>8.5</v>
      </c>
      <c r="F274" s="8" t="n">
        <v>10.9</v>
      </c>
      <c r="G274" s="8" t="n">
        <f aca="false">G273+D274</f>
        <v>1965.1</v>
      </c>
      <c r="H274" s="8" t="n">
        <f aca="false">H273+D274</f>
        <v>69.4</v>
      </c>
      <c r="I274" s="12" t="n">
        <f aca="false">AVERAGE(D269:D295)</f>
        <v>11.2222222222222</v>
      </c>
      <c r="J274" s="8" t="n">
        <v>0</v>
      </c>
      <c r="K274" s="8" t="n">
        <f aca="false">J274+K273</f>
        <v>638.3</v>
      </c>
      <c r="L274" s="8" t="n">
        <v>1.8</v>
      </c>
      <c r="M274" s="8" t="n">
        <f aca="false">M273+L274</f>
        <v>278.2</v>
      </c>
      <c r="N274" s="8" t="n">
        <v>-1.8</v>
      </c>
      <c r="O274" s="8" t="n">
        <f aca="false">O273+N274</f>
        <v>159.9</v>
      </c>
      <c r="P274" s="8" t="n">
        <v>234</v>
      </c>
      <c r="Q274" s="8" t="n">
        <v>1.15</v>
      </c>
      <c r="R274" s="12" t="n">
        <f aca="false">Q274*L274</f>
        <v>2.07</v>
      </c>
      <c r="S274" s="12" t="n">
        <f aca="false">J274-R274</f>
        <v>-2.07</v>
      </c>
      <c r="T274" s="12" t="n">
        <f aca="false">MIN(197.4,T273+S274)</f>
        <v>153.555</v>
      </c>
      <c r="U274" s="8" t="n">
        <v>0</v>
      </c>
      <c r="V274" s="8" t="n">
        <v>1044.7</v>
      </c>
      <c r="X274" s="8" t="n">
        <f aca="false">X273+V274</f>
        <v>147640.6</v>
      </c>
      <c r="Y274" s="8" t="n">
        <f aca="false">Y273+V274</f>
        <v>9735.7</v>
      </c>
      <c r="Z274" s="8" t="n">
        <v>8</v>
      </c>
      <c r="AA274" s="8" t="n">
        <v>14.2103811121992</v>
      </c>
    </row>
    <row r="275" s="8" customFormat="true" ht="15" hidden="false" customHeight="false" outlineLevel="0" collapsed="false">
      <c r="A275" s="58"/>
      <c r="B275" s="15"/>
      <c r="C275" s="59" t="n">
        <v>41391</v>
      </c>
      <c r="D275" s="8" t="n">
        <v>6.7</v>
      </c>
      <c r="E275" s="8" t="n">
        <v>2.8</v>
      </c>
      <c r="F275" s="8" t="n">
        <v>12.1</v>
      </c>
      <c r="G275" s="8" t="n">
        <f aca="false">G274+D275</f>
        <v>1971.8</v>
      </c>
      <c r="H275" s="8" t="n">
        <f aca="false">H274+D275</f>
        <v>76.1</v>
      </c>
      <c r="I275" s="60" t="s">
        <v>37</v>
      </c>
      <c r="J275" s="8" t="n">
        <v>1</v>
      </c>
      <c r="K275" s="8" t="n">
        <f aca="false">J275+K274</f>
        <v>639.3</v>
      </c>
      <c r="L275" s="8" t="n">
        <v>2.9</v>
      </c>
      <c r="M275" s="8" t="n">
        <f aca="false">M274+L275</f>
        <v>281.1</v>
      </c>
      <c r="N275" s="8" t="n">
        <v>-1.9</v>
      </c>
      <c r="O275" s="8" t="n">
        <f aca="false">O274+N275</f>
        <v>158</v>
      </c>
      <c r="P275" s="8" t="n">
        <v>235</v>
      </c>
      <c r="Q275" s="8" t="n">
        <v>1.15</v>
      </c>
      <c r="R275" s="12" t="n">
        <f aca="false">Q275*L275</f>
        <v>3.335</v>
      </c>
      <c r="S275" s="12" t="n">
        <f aca="false">J275-R275</f>
        <v>-2.335</v>
      </c>
      <c r="T275" s="12" t="n">
        <f aca="false">MIN(197.4,T274+S275)</f>
        <v>151.22</v>
      </c>
      <c r="U275" s="60" t="s">
        <v>38</v>
      </c>
      <c r="V275" s="8" t="n">
        <v>2001.2</v>
      </c>
      <c r="X275" s="8" t="n">
        <f aca="false">X274+V275</f>
        <v>149641.8</v>
      </c>
      <c r="Y275" s="8" t="n">
        <f aca="false">Y274+V275</f>
        <v>11736.9</v>
      </c>
      <c r="AA275" s="8" t="n">
        <v>14.2637441212025</v>
      </c>
    </row>
    <row r="276" s="8" customFormat="true" ht="15" hidden="false" customHeight="false" outlineLevel="0" collapsed="false">
      <c r="A276" s="58"/>
      <c r="B276" s="15"/>
      <c r="C276" s="59" t="n">
        <v>41392</v>
      </c>
      <c r="D276" s="8" t="n">
        <v>7.9</v>
      </c>
      <c r="E276" s="8" t="n">
        <v>3.7</v>
      </c>
      <c r="F276" s="8" t="n">
        <v>13</v>
      </c>
      <c r="G276" s="8" t="n">
        <f aca="false">G275+D276</f>
        <v>1979.7</v>
      </c>
      <c r="H276" s="8" t="n">
        <f aca="false">H275+D276</f>
        <v>84</v>
      </c>
      <c r="I276" s="8" t="n">
        <v>0</v>
      </c>
      <c r="J276" s="8" t="n">
        <v>0</v>
      </c>
      <c r="K276" s="8" t="n">
        <f aca="false">J276+K275</f>
        <v>639.3</v>
      </c>
      <c r="L276" s="8" t="n">
        <v>2.9</v>
      </c>
      <c r="M276" s="8" t="n">
        <f aca="false">M275+L276</f>
        <v>284</v>
      </c>
      <c r="N276" s="8" t="n">
        <v>-2.9</v>
      </c>
      <c r="O276" s="8" t="n">
        <f aca="false">O275+N276</f>
        <v>155.1</v>
      </c>
      <c r="P276" s="8" t="n">
        <v>236</v>
      </c>
      <c r="Q276" s="8" t="n">
        <v>1.15</v>
      </c>
      <c r="R276" s="12" t="n">
        <f aca="false">Q276*L276</f>
        <v>3.335</v>
      </c>
      <c r="S276" s="12" t="n">
        <f aca="false">J276-R276</f>
        <v>-3.335</v>
      </c>
      <c r="T276" s="12" t="n">
        <f aca="false">MIN(197.4,T275+S276)</f>
        <v>147.885</v>
      </c>
      <c r="U276" s="12" t="n">
        <f aca="false">MIN(T269:T295)</f>
        <v>120.135</v>
      </c>
      <c r="V276" s="8" t="n">
        <v>1693.8</v>
      </c>
      <c r="X276" s="8" t="n">
        <f aca="false">X275+V276</f>
        <v>151335.6</v>
      </c>
      <c r="Y276" s="8" t="n">
        <f aca="false">Y275+V276</f>
        <v>13430.7</v>
      </c>
      <c r="AA276" s="8" t="n">
        <v>14.3167541883465</v>
      </c>
    </row>
    <row r="277" s="8" customFormat="true" ht="15" hidden="false" customHeight="false" outlineLevel="0" collapsed="false">
      <c r="A277" s="58"/>
      <c r="B277" s="15"/>
      <c r="C277" s="59" t="n">
        <v>41393</v>
      </c>
      <c r="D277" s="8" t="n">
        <v>8.1</v>
      </c>
      <c r="E277" s="8" t="n">
        <v>1.6</v>
      </c>
      <c r="F277" s="8" t="n">
        <v>12.5</v>
      </c>
      <c r="G277" s="8" t="n">
        <f aca="false">G276+D277</f>
        <v>1987.8</v>
      </c>
      <c r="H277" s="8" t="n">
        <f aca="false">H276+D277</f>
        <v>92.1</v>
      </c>
      <c r="I277" s="60" t="s">
        <v>39</v>
      </c>
      <c r="J277" s="8" t="n">
        <v>0</v>
      </c>
      <c r="K277" s="8" t="n">
        <f aca="false">J277+K276</f>
        <v>639.3</v>
      </c>
      <c r="L277" s="8" t="n">
        <v>1.9</v>
      </c>
      <c r="M277" s="8" t="n">
        <f aca="false">M276+L277</f>
        <v>285.9</v>
      </c>
      <c r="N277" s="8" t="n">
        <v>-1.9</v>
      </c>
      <c r="O277" s="8" t="n">
        <f aca="false">O276+N277</f>
        <v>153.2</v>
      </c>
      <c r="P277" s="8" t="n">
        <v>237</v>
      </c>
      <c r="Q277" s="8" t="n">
        <v>1.15</v>
      </c>
      <c r="R277" s="12" t="n">
        <f aca="false">Q277*L277</f>
        <v>2.185</v>
      </c>
      <c r="S277" s="12" t="n">
        <f aca="false">J277-R277</f>
        <v>-2.185</v>
      </c>
      <c r="T277" s="12" t="n">
        <f aca="false">MIN(197.4,T276+S277)</f>
        <v>145.7</v>
      </c>
      <c r="U277" s="60" t="s">
        <v>40</v>
      </c>
      <c r="V277" s="8" t="n">
        <v>1150.5</v>
      </c>
      <c r="X277" s="8" t="n">
        <f aca="false">X276+V277</f>
        <v>152486.1</v>
      </c>
      <c r="Y277" s="8" t="n">
        <f aca="false">Y276+V277</f>
        <v>14581.2</v>
      </c>
      <c r="AA277" s="8" t="n">
        <v>14.3693952467345</v>
      </c>
    </row>
    <row r="278" s="8" customFormat="true" ht="15" hidden="false" customHeight="false" outlineLevel="0" collapsed="false">
      <c r="A278" s="58"/>
      <c r="B278" s="15"/>
      <c r="C278" s="59" t="n">
        <v>41394</v>
      </c>
      <c r="D278" s="8" t="n">
        <v>11.5</v>
      </c>
      <c r="E278" s="8" t="n">
        <v>6.3</v>
      </c>
      <c r="F278" s="8" t="n">
        <v>16.9</v>
      </c>
      <c r="G278" s="8" t="n">
        <f aca="false">G277+D278</f>
        <v>1999.3</v>
      </c>
      <c r="H278" s="8" t="n">
        <f aca="false">H277+D278</f>
        <v>103.6</v>
      </c>
      <c r="I278" s="8" t="n">
        <v>0</v>
      </c>
      <c r="J278" s="8" t="n">
        <v>0</v>
      </c>
      <c r="K278" s="8" t="n">
        <f aca="false">J278+K277</f>
        <v>639.3</v>
      </c>
      <c r="L278" s="8" t="n">
        <v>4.1</v>
      </c>
      <c r="M278" s="8" t="n">
        <f aca="false">M277+L278</f>
        <v>290</v>
      </c>
      <c r="N278" s="8" t="n">
        <v>-4.1</v>
      </c>
      <c r="O278" s="8" t="n">
        <f aca="false">O277+N278</f>
        <v>149.1</v>
      </c>
      <c r="P278" s="8" t="n">
        <v>238</v>
      </c>
      <c r="Q278" s="8" t="n">
        <v>1.15</v>
      </c>
      <c r="R278" s="12" t="n">
        <f aca="false">Q278*L278</f>
        <v>4.715</v>
      </c>
      <c r="S278" s="12" t="n">
        <f aca="false">J278-R278</f>
        <v>-4.715</v>
      </c>
      <c r="T278" s="12" t="n">
        <f aca="false">MIN(197.4,T277+S278)</f>
        <v>140.985</v>
      </c>
      <c r="U278" s="12" t="n">
        <f aca="false">MAX(T269:T295)</f>
        <v>169.31</v>
      </c>
      <c r="V278" s="8" t="n">
        <v>2062.4</v>
      </c>
      <c r="X278" s="8" t="n">
        <f aca="false">X277+V278</f>
        <v>154548.5</v>
      </c>
      <c r="Y278" s="8" t="n">
        <f aca="false">Y277+V278</f>
        <v>16643.6</v>
      </c>
      <c r="AA278" s="8" t="n">
        <v>14.4216507187847</v>
      </c>
    </row>
    <row r="279" s="8" customFormat="true" ht="15" hidden="false" customHeight="false" outlineLevel="0" collapsed="false">
      <c r="A279" s="58"/>
      <c r="B279" s="15"/>
      <c r="C279" s="59" t="n">
        <v>41395</v>
      </c>
      <c r="D279" s="8" t="n">
        <v>9.8</v>
      </c>
      <c r="E279" s="8" t="n">
        <v>8</v>
      </c>
      <c r="F279" s="8" t="n">
        <v>13.2</v>
      </c>
      <c r="G279" s="8" t="n">
        <f aca="false">G278+D279</f>
        <v>2009.1</v>
      </c>
      <c r="H279" s="8" t="n">
        <f aca="false">H278+D279</f>
        <v>113.4</v>
      </c>
      <c r="I279" s="60" t="s">
        <v>41</v>
      </c>
      <c r="J279" s="8" t="n">
        <v>12.3</v>
      </c>
      <c r="K279" s="8" t="n">
        <f aca="false">J279+K278</f>
        <v>651.6</v>
      </c>
      <c r="L279" s="8" t="n">
        <v>1.7</v>
      </c>
      <c r="M279" s="8" t="n">
        <f aca="false">M278+L279</f>
        <v>291.7</v>
      </c>
      <c r="N279" s="8" t="n">
        <v>10.6</v>
      </c>
      <c r="O279" s="8" t="n">
        <f aca="false">O278+N279</f>
        <v>159.7</v>
      </c>
      <c r="P279" s="8" t="n">
        <v>239</v>
      </c>
      <c r="Q279" s="8" t="n">
        <v>1.15</v>
      </c>
      <c r="R279" s="12" t="n">
        <f aca="false">Q279*L279</f>
        <v>1.955</v>
      </c>
      <c r="S279" s="12" t="n">
        <f aca="false">J279-R279</f>
        <v>10.345</v>
      </c>
      <c r="T279" s="12" t="n">
        <f aca="false">MIN(197.4,T278+S279)</f>
        <v>151.33</v>
      </c>
      <c r="U279" s="60" t="s">
        <v>42</v>
      </c>
      <c r="V279" s="8" t="n">
        <v>629.4</v>
      </c>
      <c r="X279" s="8" t="n">
        <f aca="false">X278+V279</f>
        <v>155177.9</v>
      </c>
      <c r="Y279" s="8" t="n">
        <f aca="false">Y278+V279</f>
        <v>17273</v>
      </c>
      <c r="AA279" s="8" t="n">
        <v>14.4735035121777</v>
      </c>
    </row>
    <row r="280" s="8" customFormat="true" ht="15" hidden="false" customHeight="false" outlineLevel="0" collapsed="false">
      <c r="A280" s="58"/>
      <c r="B280" s="15"/>
      <c r="C280" s="59" t="n">
        <v>41396</v>
      </c>
      <c r="D280" s="8" t="n">
        <v>9.1</v>
      </c>
      <c r="E280" s="8" t="n">
        <v>8.1</v>
      </c>
      <c r="F280" s="8" t="n">
        <v>10.2</v>
      </c>
      <c r="G280" s="8" t="n">
        <f aca="false">G279+D280</f>
        <v>2018.2</v>
      </c>
      <c r="H280" s="8" t="n">
        <f aca="false">H279+D280</f>
        <v>122.5</v>
      </c>
      <c r="I280" s="8" t="n">
        <v>5</v>
      </c>
      <c r="J280" s="8" t="n">
        <v>0</v>
      </c>
      <c r="K280" s="8" t="n">
        <f aca="false">J280+K279</f>
        <v>651.6</v>
      </c>
      <c r="L280" s="8" t="n">
        <v>0.8</v>
      </c>
      <c r="M280" s="8" t="n">
        <f aca="false">M279+L280</f>
        <v>292.5</v>
      </c>
      <c r="N280" s="8" t="n">
        <v>-0.8</v>
      </c>
      <c r="O280" s="8" t="n">
        <f aca="false">O279+N280</f>
        <v>158.9</v>
      </c>
      <c r="P280" s="8" t="n">
        <v>240</v>
      </c>
      <c r="Q280" s="8" t="n">
        <v>1.15</v>
      </c>
      <c r="R280" s="12" t="n">
        <f aca="false">Q280*L280</f>
        <v>0.92</v>
      </c>
      <c r="S280" s="12" t="n">
        <f aca="false">J280-R280</f>
        <v>-0.92</v>
      </c>
      <c r="T280" s="12" t="n">
        <f aca="false">MIN(197.4,T279+S280)</f>
        <v>150.41</v>
      </c>
      <c r="U280" s="18" t="n">
        <f aca="false">AVERAGE(T269:T295)</f>
        <v>142.227222222222</v>
      </c>
      <c r="V280" s="8" t="n">
        <v>573.5</v>
      </c>
      <c r="X280" s="8" t="n">
        <f aca="false">X279+V280</f>
        <v>155751.4</v>
      </c>
      <c r="Y280" s="8" t="n">
        <f aca="false">Y279+V280</f>
        <v>17846.5</v>
      </c>
      <c r="AA280" s="8" t="n">
        <v>14.5249360171082</v>
      </c>
    </row>
    <row r="281" s="8" customFormat="true" ht="15" hidden="false" customHeight="false" outlineLevel="0" collapsed="false">
      <c r="A281" s="58"/>
      <c r="B281" s="15"/>
      <c r="C281" s="59" t="n">
        <v>41397</v>
      </c>
      <c r="D281" s="8" t="n">
        <v>11.1</v>
      </c>
      <c r="E281" s="8" t="n">
        <v>6</v>
      </c>
      <c r="F281" s="8" t="n">
        <v>17.9</v>
      </c>
      <c r="G281" s="8" t="n">
        <f aca="false">G280+D281</f>
        <v>2029.3</v>
      </c>
      <c r="H281" s="8" t="n">
        <f aca="false">H280+D281</f>
        <v>133.6</v>
      </c>
      <c r="I281" s="60" t="s">
        <v>43</v>
      </c>
      <c r="J281" s="8" t="n">
        <v>0</v>
      </c>
      <c r="K281" s="8" t="n">
        <f aca="false">J281+K280</f>
        <v>651.6</v>
      </c>
      <c r="L281" s="8" t="n">
        <v>3.8</v>
      </c>
      <c r="M281" s="8" t="n">
        <f aca="false">M280+L281</f>
        <v>296.3</v>
      </c>
      <c r="N281" s="8" t="n">
        <v>-3.8</v>
      </c>
      <c r="O281" s="8" t="n">
        <f aca="false">O280+N281</f>
        <v>155.1</v>
      </c>
      <c r="P281" s="8" t="n">
        <v>241</v>
      </c>
      <c r="Q281" s="8" t="n">
        <v>1.15</v>
      </c>
      <c r="R281" s="12" t="n">
        <f aca="false">Q281*L281</f>
        <v>4.37</v>
      </c>
      <c r="S281" s="12" t="n">
        <f aca="false">J281-R281</f>
        <v>-4.37</v>
      </c>
      <c r="T281" s="12" t="n">
        <f aca="false">MIN(197.4,T280+S281)</f>
        <v>146.04</v>
      </c>
      <c r="V281" s="8" t="n">
        <v>2349.8</v>
      </c>
      <c r="X281" s="8" t="n">
        <f aca="false">X280+V281</f>
        <v>158101.2</v>
      </c>
      <c r="Y281" s="8" t="n">
        <f aca="false">Y280+V281</f>
        <v>20196.3</v>
      </c>
      <c r="AA281" s="8" t="n">
        <v>14.5759301049357</v>
      </c>
    </row>
    <row r="282" s="8" customFormat="true" ht="15" hidden="false" customHeight="false" outlineLevel="0" collapsed="false">
      <c r="A282" s="58"/>
      <c r="B282" s="15"/>
      <c r="C282" s="59" t="n">
        <v>41398</v>
      </c>
      <c r="D282" s="8" t="n">
        <v>11.2</v>
      </c>
      <c r="E282" s="8" t="n">
        <v>4.6</v>
      </c>
      <c r="F282" s="8" t="n">
        <v>16.8</v>
      </c>
      <c r="G282" s="8" t="n">
        <f aca="false">G281+D282</f>
        <v>2040.5</v>
      </c>
      <c r="H282" s="8" t="n">
        <f aca="false">H281+D282</f>
        <v>144.8</v>
      </c>
      <c r="I282" s="8" t="n">
        <v>303</v>
      </c>
      <c r="J282" s="8" t="n">
        <v>0</v>
      </c>
      <c r="K282" s="8" t="n">
        <f aca="false">J282+K281</f>
        <v>651.6</v>
      </c>
      <c r="L282" s="8" t="n">
        <v>2.8</v>
      </c>
      <c r="M282" s="8" t="n">
        <f aca="false">M281+L282</f>
        <v>299.1</v>
      </c>
      <c r="N282" s="8" t="n">
        <v>-2.8</v>
      </c>
      <c r="O282" s="8" t="n">
        <f aca="false">O281+N282</f>
        <v>152.3</v>
      </c>
      <c r="P282" s="8" t="n">
        <v>242</v>
      </c>
      <c r="Q282" s="8" t="n">
        <v>1.15</v>
      </c>
      <c r="R282" s="12" t="n">
        <f aca="false">Q282*L282</f>
        <v>3.22</v>
      </c>
      <c r="S282" s="12" t="n">
        <f aca="false">J282-R282</f>
        <v>-3.22</v>
      </c>
      <c r="T282" s="12" t="n">
        <f aca="false">MIN(197.4,T281+S282)</f>
        <v>142.82</v>
      </c>
      <c r="U282" s="12" t="n">
        <f aca="false">(U280*100)/197.4</f>
        <v>72.0502645502646</v>
      </c>
      <c r="V282" s="8" t="n">
        <v>1969.3</v>
      </c>
      <c r="X282" s="8" t="n">
        <f aca="false">X281+V282</f>
        <v>160070.5</v>
      </c>
      <c r="Y282" s="8" t="n">
        <f aca="false">Y281+V282</f>
        <v>22165.6</v>
      </c>
      <c r="AA282" s="8" t="n">
        <v>14.6264671283348</v>
      </c>
    </row>
    <row r="283" s="8" customFormat="true" ht="15" hidden="false" customHeight="false" outlineLevel="0" collapsed="false">
      <c r="A283" s="58"/>
      <c r="B283" s="15"/>
      <c r="C283" s="59" t="n">
        <v>41399</v>
      </c>
      <c r="D283" s="8" t="n">
        <v>14.2</v>
      </c>
      <c r="E283" s="8" t="n">
        <v>9.1</v>
      </c>
      <c r="F283" s="8" t="n">
        <v>18.9</v>
      </c>
      <c r="G283" s="8" t="n">
        <f aca="false">G282+D283</f>
        <v>2054.7</v>
      </c>
      <c r="H283" s="8" t="n">
        <f aca="false">H282+D283</f>
        <v>159</v>
      </c>
      <c r="J283" s="8" t="n">
        <v>0</v>
      </c>
      <c r="K283" s="8" t="n">
        <f aca="false">J283+K282</f>
        <v>651.6</v>
      </c>
      <c r="L283" s="8" t="n">
        <v>1.4</v>
      </c>
      <c r="M283" s="8" t="n">
        <f aca="false">M282+L283</f>
        <v>300.5</v>
      </c>
      <c r="N283" s="8" t="n">
        <v>-1.4</v>
      </c>
      <c r="O283" s="8" t="n">
        <f aca="false">O282+N283</f>
        <v>150.9</v>
      </c>
      <c r="P283" s="8" t="n">
        <v>243</v>
      </c>
      <c r="Q283" s="8" t="n">
        <v>1.15</v>
      </c>
      <c r="R283" s="12" t="n">
        <f aca="false">Q283*L283</f>
        <v>1.61</v>
      </c>
      <c r="S283" s="12" t="n">
        <f aca="false">J283-R283</f>
        <v>-1.61</v>
      </c>
      <c r="T283" s="12" t="n">
        <f aca="false">MIN(197.4,T282+S283)</f>
        <v>141.21</v>
      </c>
      <c r="V283" s="8" t="n">
        <v>877</v>
      </c>
      <c r="X283" s="8" t="n">
        <f aca="false">X282+V283</f>
        <v>160947.5</v>
      </c>
      <c r="Y283" s="8" t="n">
        <f aca="false">Y282+V283</f>
        <v>23042.6</v>
      </c>
      <c r="AA283" s="8" t="n">
        <v>14.6765279230442</v>
      </c>
    </row>
    <row r="284" s="8" customFormat="true" ht="15" hidden="false" customHeight="false" outlineLevel="0" collapsed="false">
      <c r="A284" s="58"/>
      <c r="B284" s="15"/>
      <c r="C284" s="59" t="n">
        <v>41400</v>
      </c>
      <c r="D284" s="8" t="n">
        <v>15</v>
      </c>
      <c r="E284" s="8" t="n">
        <v>8.5</v>
      </c>
      <c r="F284" s="8" t="n">
        <v>21.9</v>
      </c>
      <c r="G284" s="8" t="n">
        <f aca="false">G283+D284</f>
        <v>2069.7</v>
      </c>
      <c r="H284" s="8" t="n">
        <f aca="false">H283+D284</f>
        <v>174</v>
      </c>
      <c r="J284" s="8" t="n">
        <v>0</v>
      </c>
      <c r="K284" s="8" t="n">
        <f aca="false">J284+K283</f>
        <v>651.6</v>
      </c>
      <c r="L284" s="8" t="n">
        <v>3.5</v>
      </c>
      <c r="M284" s="8" t="n">
        <f aca="false">M283+L284</f>
        <v>304</v>
      </c>
      <c r="N284" s="8" t="n">
        <v>-3.5</v>
      </c>
      <c r="O284" s="8" t="n">
        <f aca="false">O283+N284</f>
        <v>147.4</v>
      </c>
      <c r="P284" s="8" t="n">
        <v>244</v>
      </c>
      <c r="Q284" s="8" t="n">
        <v>1.15</v>
      </c>
      <c r="R284" s="12" t="n">
        <f aca="false">Q284*L284</f>
        <v>4.025</v>
      </c>
      <c r="S284" s="12" t="n">
        <f aca="false">J284-R284</f>
        <v>-4.025</v>
      </c>
      <c r="T284" s="12" t="n">
        <f aca="false">MIN(197.4,T283+S284)</f>
        <v>137.185</v>
      </c>
      <c r="V284" s="8" t="n">
        <v>2021.1</v>
      </c>
      <c r="X284" s="8" t="n">
        <f aca="false">X283+V284</f>
        <v>162968.6</v>
      </c>
      <c r="Y284" s="8" t="n">
        <f aca="false">Y283+V284</f>
        <v>25063.7</v>
      </c>
      <c r="AA284" s="8" t="n">
        <v>14.7260928113191</v>
      </c>
    </row>
    <row r="285" s="8" customFormat="true" ht="15" hidden="false" customHeight="false" outlineLevel="0" collapsed="false">
      <c r="A285" s="58"/>
      <c r="B285" s="15"/>
      <c r="C285" s="59" t="n">
        <v>41401</v>
      </c>
      <c r="D285" s="8" t="n">
        <v>16.3</v>
      </c>
      <c r="E285" s="8" t="n">
        <v>11.5</v>
      </c>
      <c r="F285" s="8" t="n">
        <v>22.6</v>
      </c>
      <c r="G285" s="8" t="n">
        <f aca="false">G284+D285</f>
        <v>2086</v>
      </c>
      <c r="H285" s="8" t="n">
        <f aca="false">H284+D285</f>
        <v>190.3</v>
      </c>
      <c r="J285" s="8" t="n">
        <v>4.1</v>
      </c>
      <c r="K285" s="8" t="n">
        <f aca="false">J285+K284</f>
        <v>655.7</v>
      </c>
      <c r="L285" s="8" t="n">
        <v>3</v>
      </c>
      <c r="M285" s="8" t="n">
        <f aca="false">M284+L285</f>
        <v>307</v>
      </c>
      <c r="N285" s="8" t="n">
        <v>1.1</v>
      </c>
      <c r="O285" s="8" t="n">
        <f aca="false">O284+N285</f>
        <v>148.5</v>
      </c>
      <c r="P285" s="8" t="n">
        <v>245</v>
      </c>
      <c r="Q285" s="8" t="n">
        <v>1.15</v>
      </c>
      <c r="R285" s="12" t="n">
        <f aca="false">Q285*L285</f>
        <v>3.45</v>
      </c>
      <c r="S285" s="12" t="n">
        <f aca="false">J285-R285</f>
        <v>0.65</v>
      </c>
      <c r="T285" s="12" t="n">
        <f aca="false">MIN(197.4,T284+S285)</f>
        <v>137.835</v>
      </c>
      <c r="V285" s="8" t="n">
        <v>1449.7</v>
      </c>
      <c r="X285" s="8" t="n">
        <f aca="false">X284+V285</f>
        <v>164418.3</v>
      </c>
      <c r="Y285" s="8" t="n">
        <f aca="false">Y284+V285</f>
        <v>26513.4</v>
      </c>
      <c r="AA285" s="8" t="n">
        <v>14.7751416071881</v>
      </c>
    </row>
    <row r="286" s="8" customFormat="true" ht="15" hidden="false" customHeight="false" outlineLevel="0" collapsed="false">
      <c r="A286" s="58"/>
      <c r="B286" s="15"/>
      <c r="C286" s="59" t="n">
        <v>41402</v>
      </c>
      <c r="D286" s="8" t="n">
        <v>13.8</v>
      </c>
      <c r="E286" s="8" t="n">
        <v>13.6</v>
      </c>
      <c r="F286" s="8" t="n">
        <v>16.5</v>
      </c>
      <c r="G286" s="8" t="n">
        <f aca="false">G285+D286</f>
        <v>2099.8</v>
      </c>
      <c r="H286" s="8" t="n">
        <f aca="false">H285+D286</f>
        <v>204.1</v>
      </c>
      <c r="J286" s="8" t="n">
        <v>0.1</v>
      </c>
      <c r="K286" s="8" t="n">
        <f aca="false">J286+K285</f>
        <v>655.8</v>
      </c>
      <c r="L286" s="8" t="n">
        <v>1.6</v>
      </c>
      <c r="M286" s="8" t="n">
        <f aca="false">M285+L286</f>
        <v>308.6</v>
      </c>
      <c r="N286" s="8" t="n">
        <v>-1.5</v>
      </c>
      <c r="O286" s="8" t="n">
        <f aca="false">O285+N286</f>
        <v>147</v>
      </c>
      <c r="P286" s="8" t="n">
        <v>246</v>
      </c>
      <c r="Q286" s="8" t="n">
        <v>1.15</v>
      </c>
      <c r="R286" s="12" t="n">
        <f aca="false">Q286*L286</f>
        <v>1.84</v>
      </c>
      <c r="S286" s="12" t="n">
        <f aca="false">J286-R286</f>
        <v>-1.74</v>
      </c>
      <c r="T286" s="12" t="n">
        <f aca="false">MIN(197.4,T285+S286)</f>
        <v>136.095</v>
      </c>
      <c r="V286" s="8" t="n">
        <v>596.5</v>
      </c>
      <c r="X286" s="8" t="n">
        <f aca="false">X285+V286</f>
        <v>165014.8</v>
      </c>
      <c r="Y286" s="8" t="n">
        <f aca="false">Y285+V286</f>
        <v>27109.9</v>
      </c>
      <c r="AA286" s="8" t="n">
        <v>14.8236536236216</v>
      </c>
    </row>
    <row r="287" s="8" customFormat="true" ht="15" hidden="false" customHeight="false" outlineLevel="0" collapsed="false">
      <c r="A287" s="58"/>
      <c r="B287" s="15"/>
      <c r="C287" s="59" t="n">
        <v>41403</v>
      </c>
      <c r="D287" s="8" t="n">
        <v>11.3</v>
      </c>
      <c r="E287" s="8" t="n">
        <v>7.6</v>
      </c>
      <c r="F287" s="8" t="n">
        <v>15.3</v>
      </c>
      <c r="G287" s="8" t="n">
        <f aca="false">G286+D287</f>
        <v>2111.1</v>
      </c>
      <c r="H287" s="8" t="n">
        <f aca="false">H286+D287</f>
        <v>215.4</v>
      </c>
      <c r="J287" s="8" t="n">
        <v>0</v>
      </c>
      <c r="K287" s="8" t="n">
        <f aca="false">J287+K286</f>
        <v>655.8</v>
      </c>
      <c r="L287" s="8" t="n">
        <v>3.3</v>
      </c>
      <c r="M287" s="8" t="n">
        <f aca="false">M286+L287</f>
        <v>311.9</v>
      </c>
      <c r="N287" s="8" t="n">
        <v>-3.3</v>
      </c>
      <c r="O287" s="8" t="n">
        <f aca="false">O286+N287</f>
        <v>143.7</v>
      </c>
      <c r="P287" s="8" t="n">
        <v>247</v>
      </c>
      <c r="Q287" s="8" t="n">
        <v>1.15</v>
      </c>
      <c r="R287" s="12" t="n">
        <f aca="false">Q287*L287</f>
        <v>3.795</v>
      </c>
      <c r="S287" s="12" t="n">
        <f aca="false">J287-R287</f>
        <v>-3.795</v>
      </c>
      <c r="T287" s="12" t="n">
        <f aca="false">MIN(197.4,T286+S287)</f>
        <v>132.3</v>
      </c>
      <c r="V287" s="8" t="n">
        <v>1801.7</v>
      </c>
      <c r="X287" s="8" t="n">
        <f aca="false">X286+V287</f>
        <v>166816.5</v>
      </c>
      <c r="Y287" s="8" t="n">
        <f aca="false">Y286+V287</f>
        <v>28911.6</v>
      </c>
      <c r="AA287" s="8" t="n">
        <v>14.8716076817126</v>
      </c>
    </row>
    <row r="288" s="8" customFormat="true" ht="15" hidden="false" customHeight="false" outlineLevel="0" collapsed="false">
      <c r="A288" s="58"/>
      <c r="B288" s="15"/>
      <c r="C288" s="59" t="n">
        <v>41404</v>
      </c>
      <c r="D288" s="8" t="n">
        <v>12.2</v>
      </c>
      <c r="E288" s="8" t="n">
        <v>9.9</v>
      </c>
      <c r="F288" s="8" t="n">
        <v>14.4</v>
      </c>
      <c r="G288" s="8" t="n">
        <f aca="false">G287+D288</f>
        <v>2123.3</v>
      </c>
      <c r="H288" s="8" t="n">
        <f aca="false">H287+D288</f>
        <v>227.6</v>
      </c>
      <c r="J288" s="8" t="n">
        <v>1</v>
      </c>
      <c r="K288" s="8" t="n">
        <f aca="false">J288+K287</f>
        <v>656.8</v>
      </c>
      <c r="L288" s="8" t="n">
        <v>1.5</v>
      </c>
      <c r="M288" s="8" t="n">
        <f aca="false">M287+L288</f>
        <v>313.4</v>
      </c>
      <c r="N288" s="8" t="n">
        <v>-0.5</v>
      </c>
      <c r="O288" s="8" t="n">
        <f aca="false">O287+N288</f>
        <v>143.2</v>
      </c>
      <c r="P288" s="8" t="n">
        <v>248</v>
      </c>
      <c r="Q288" s="8" t="n">
        <v>1.15</v>
      </c>
      <c r="R288" s="12" t="n">
        <f aca="false">Q288*L288</f>
        <v>1.725</v>
      </c>
      <c r="S288" s="12" t="n">
        <f aca="false">J288-R288</f>
        <v>-0.725</v>
      </c>
      <c r="T288" s="12" t="n">
        <f aca="false">MIN(197.4,T287+S288)</f>
        <v>131.575</v>
      </c>
      <c r="V288" s="8" t="n">
        <v>745.6</v>
      </c>
      <c r="X288" s="8" t="n">
        <f aca="false">X287+V288</f>
        <v>167562.1</v>
      </c>
      <c r="Y288" s="8" t="n">
        <f aca="false">Y287+V288</f>
        <v>29657.2</v>
      </c>
      <c r="AA288" s="8" t="n">
        <v>14.9189821219744</v>
      </c>
    </row>
    <row r="289" s="8" customFormat="true" ht="15" hidden="false" customHeight="false" outlineLevel="0" collapsed="false">
      <c r="A289" s="58"/>
      <c r="B289" s="15"/>
      <c r="C289" s="59" t="n">
        <v>41405</v>
      </c>
      <c r="D289" s="8" t="n">
        <v>11.6</v>
      </c>
      <c r="E289" s="8" t="n">
        <v>9.9</v>
      </c>
      <c r="F289" s="8" t="n">
        <v>14.8</v>
      </c>
      <c r="G289" s="8" t="n">
        <f aca="false">G288+D289</f>
        <v>2134.9</v>
      </c>
      <c r="H289" s="8" t="n">
        <f aca="false">H288+D289</f>
        <v>239.2</v>
      </c>
      <c r="J289" s="8" t="n">
        <v>0.6</v>
      </c>
      <c r="K289" s="8" t="n">
        <f aca="false">J289+K288</f>
        <v>657.4</v>
      </c>
      <c r="L289" s="8" t="n">
        <v>3.3</v>
      </c>
      <c r="M289" s="8" t="n">
        <f aca="false">M288+L289</f>
        <v>316.7</v>
      </c>
      <c r="N289" s="8" t="n">
        <v>-2.7</v>
      </c>
      <c r="O289" s="8" t="n">
        <f aca="false">O288+N289</f>
        <v>140.5</v>
      </c>
      <c r="P289" s="8" t="n">
        <v>249</v>
      </c>
      <c r="Q289" s="8" t="n">
        <v>1.15</v>
      </c>
      <c r="R289" s="12" t="n">
        <f aca="false">Q289*L289</f>
        <v>3.795</v>
      </c>
      <c r="S289" s="12" t="n">
        <f aca="false">J289-R289</f>
        <v>-3.195</v>
      </c>
      <c r="T289" s="12" t="n">
        <f aca="false">MIN(197.4,T288+S289)</f>
        <v>128.38</v>
      </c>
      <c r="V289" s="8" t="n">
        <v>2014.8</v>
      </c>
      <c r="X289" s="8" t="n">
        <f aca="false">X288+V289</f>
        <v>169576.9</v>
      </c>
      <c r="Y289" s="8" t="n">
        <f aca="false">Y288+V289</f>
        <v>31672</v>
      </c>
      <c r="AA289" s="8" t="n">
        <v>14.9657548178534</v>
      </c>
    </row>
    <row r="290" s="8" customFormat="true" ht="15" hidden="false" customHeight="false" outlineLevel="0" collapsed="false">
      <c r="A290" s="58"/>
      <c r="B290" s="15"/>
      <c r="C290" s="59" t="n">
        <v>41406</v>
      </c>
      <c r="D290" s="8" t="n">
        <v>11.5</v>
      </c>
      <c r="E290" s="8" t="n">
        <v>8.2</v>
      </c>
      <c r="F290" s="8" t="n">
        <v>13.7</v>
      </c>
      <c r="G290" s="8" t="n">
        <f aca="false">G289+D290</f>
        <v>2146.4</v>
      </c>
      <c r="H290" s="8" t="n">
        <f aca="false">H289+D290</f>
        <v>250.7</v>
      </c>
      <c r="J290" s="8" t="n">
        <v>0</v>
      </c>
      <c r="K290" s="8" t="n">
        <f aca="false">J290+K289</f>
        <v>657.4</v>
      </c>
      <c r="L290" s="8" t="n">
        <v>1.7</v>
      </c>
      <c r="M290" s="8" t="n">
        <f aca="false">M289+L290</f>
        <v>318.4</v>
      </c>
      <c r="N290" s="8" t="n">
        <v>-1.7</v>
      </c>
      <c r="O290" s="8" t="n">
        <f aca="false">O289+N290</f>
        <v>138.8</v>
      </c>
      <c r="P290" s="8" t="n">
        <v>250</v>
      </c>
      <c r="Q290" s="8" t="n">
        <v>1.15</v>
      </c>
      <c r="R290" s="12" t="n">
        <f aca="false">Q290*L290</f>
        <v>1.955</v>
      </c>
      <c r="S290" s="12" t="n">
        <f aca="false">J290-R290</f>
        <v>-1.955</v>
      </c>
      <c r="T290" s="12" t="n">
        <f aca="false">MIN(197.4,T289+S290)</f>
        <v>126.425</v>
      </c>
      <c r="V290" s="8" t="n">
        <v>935</v>
      </c>
      <c r="X290" s="8" t="n">
        <f aca="false">X289+V290</f>
        <v>170511.9</v>
      </c>
      <c r="Y290" s="8" t="n">
        <f aca="false">Y289+V290</f>
        <v>32607</v>
      </c>
      <c r="AA290" s="8" t="n">
        <v>15.0119031915551</v>
      </c>
    </row>
    <row r="291" s="8" customFormat="true" ht="15" hidden="false" customHeight="false" outlineLevel="0" collapsed="false">
      <c r="A291" s="58"/>
      <c r="B291" s="15"/>
      <c r="C291" s="59" t="n">
        <v>41407</v>
      </c>
      <c r="D291" s="8" t="n">
        <v>13.1</v>
      </c>
      <c r="E291" s="8" t="n">
        <v>11.5</v>
      </c>
      <c r="F291" s="8" t="n">
        <v>16.3</v>
      </c>
      <c r="G291" s="8" t="n">
        <f aca="false">G290+D291</f>
        <v>2159.5</v>
      </c>
      <c r="H291" s="8" t="n">
        <f aca="false">H290+D291</f>
        <v>263.8</v>
      </c>
      <c r="J291" s="8" t="n">
        <v>0</v>
      </c>
      <c r="K291" s="8" t="n">
        <f aca="false">J291+K290</f>
        <v>657.4</v>
      </c>
      <c r="L291" s="8" t="n">
        <v>1.9</v>
      </c>
      <c r="M291" s="8" t="n">
        <f aca="false">M290+L291</f>
        <v>320.3</v>
      </c>
      <c r="N291" s="8" t="n">
        <v>-1.9</v>
      </c>
      <c r="O291" s="8" t="n">
        <f aca="false">O290+N291</f>
        <v>136.9</v>
      </c>
      <c r="P291" s="8" t="n">
        <v>251</v>
      </c>
      <c r="Q291" s="8" t="n">
        <v>1.15</v>
      </c>
      <c r="R291" s="12" t="n">
        <f aca="false">Q291*L291</f>
        <v>2.185</v>
      </c>
      <c r="S291" s="12" t="n">
        <f aca="false">J291-R291</f>
        <v>-2.185</v>
      </c>
      <c r="T291" s="12" t="n">
        <f aca="false">MIN(197.4,T290+S291)</f>
        <v>124.24</v>
      </c>
      <c r="V291" s="8" t="n">
        <v>641.7</v>
      </c>
      <c r="X291" s="8" t="n">
        <f aca="false">X290+V291</f>
        <v>171153.6</v>
      </c>
      <c r="Y291" s="8" t="n">
        <f aca="false">Y290+V291</f>
        <v>33248.7</v>
      </c>
      <c r="AA291" s="8" t="n">
        <v>15.0574042322748</v>
      </c>
    </row>
    <row r="292" s="8" customFormat="true" ht="15" hidden="false" customHeight="false" outlineLevel="0" collapsed="false">
      <c r="A292" s="58"/>
      <c r="B292" s="15"/>
      <c r="C292" s="59" t="n">
        <v>41408</v>
      </c>
      <c r="D292" s="8" t="n">
        <v>9.9</v>
      </c>
      <c r="E292" s="8" t="n">
        <v>8.3</v>
      </c>
      <c r="F292" s="8" t="n">
        <v>11.6</v>
      </c>
      <c r="G292" s="8" t="n">
        <f aca="false">G291+D292</f>
        <v>2169.4</v>
      </c>
      <c r="H292" s="8" t="n">
        <f aca="false">H291+D292</f>
        <v>273.7</v>
      </c>
      <c r="J292" s="8" t="n">
        <v>4</v>
      </c>
      <c r="K292" s="8" t="n">
        <f aca="false">J292+K291</f>
        <v>661.4</v>
      </c>
      <c r="L292" s="8" t="n">
        <v>1.4</v>
      </c>
      <c r="M292" s="8" t="n">
        <f aca="false">M291+L292</f>
        <v>321.7</v>
      </c>
      <c r="N292" s="8" t="n">
        <v>2.6</v>
      </c>
      <c r="O292" s="8" t="n">
        <f aca="false">O291+N292</f>
        <v>139.5</v>
      </c>
      <c r="P292" s="8" t="n">
        <v>252</v>
      </c>
      <c r="Q292" s="8" t="n">
        <v>1.15</v>
      </c>
      <c r="R292" s="12" t="n">
        <f aca="false">Q292*L292</f>
        <v>1.61</v>
      </c>
      <c r="S292" s="12" t="n">
        <f aca="false">J292-R292</f>
        <v>2.39</v>
      </c>
      <c r="T292" s="12" t="n">
        <f aca="false">MIN(197.4,T291+S292)</f>
        <v>126.63</v>
      </c>
      <c r="V292" s="8" t="n">
        <v>747.6</v>
      </c>
      <c r="W292" s="43"/>
      <c r="X292" s="8" t="n">
        <f aca="false">X291+V292</f>
        <v>171901.2</v>
      </c>
      <c r="Y292" s="8" t="n">
        <f aca="false">Y291+V292</f>
        <v>33996.3</v>
      </c>
      <c r="AA292" s="8" t="n">
        <v>15.1022345169196</v>
      </c>
    </row>
    <row r="293" s="8" customFormat="true" ht="15" hidden="false" customHeight="true" outlineLevel="0" collapsed="false">
      <c r="A293" s="58"/>
      <c r="B293" s="15"/>
      <c r="C293" s="59" t="n">
        <v>41409</v>
      </c>
      <c r="D293" s="8" t="n">
        <v>8.6</v>
      </c>
      <c r="E293" s="8" t="n">
        <v>6.4</v>
      </c>
      <c r="F293" s="8" t="n">
        <v>10.6</v>
      </c>
      <c r="G293" s="8" t="n">
        <f aca="false">G292+D293</f>
        <v>2178</v>
      </c>
      <c r="H293" s="8" t="n">
        <f aca="false">H292+D293</f>
        <v>282.3</v>
      </c>
      <c r="J293" s="8" t="n">
        <v>1.2</v>
      </c>
      <c r="K293" s="8" t="n">
        <f aca="false">J293+K292</f>
        <v>662.6</v>
      </c>
      <c r="L293" s="8" t="n">
        <v>1.9</v>
      </c>
      <c r="M293" s="8" t="n">
        <f aca="false">M292+L293</f>
        <v>323.6</v>
      </c>
      <c r="N293" s="8" t="n">
        <v>-0.7</v>
      </c>
      <c r="O293" s="8" t="n">
        <f aca="false">O292+N293</f>
        <v>138.8</v>
      </c>
      <c r="P293" s="8" t="n">
        <v>253</v>
      </c>
      <c r="Q293" s="8" t="n">
        <v>1.15</v>
      </c>
      <c r="R293" s="12" t="n">
        <f aca="false">Q293*L293</f>
        <v>2.185</v>
      </c>
      <c r="S293" s="12" t="n">
        <f aca="false">J293-R293</f>
        <v>-0.985</v>
      </c>
      <c r="T293" s="12" t="n">
        <f aca="false">MIN(197.4,T292+S293)</f>
        <v>125.645</v>
      </c>
      <c r="U293" s="46"/>
      <c r="V293" s="8" t="n">
        <v>1496.3</v>
      </c>
      <c r="X293" s="8" t="n">
        <f aca="false">X292+V293</f>
        <v>173397.5</v>
      </c>
      <c r="Y293" s="8" t="n">
        <f aca="false">Y292+V293</f>
        <v>35492.6</v>
      </c>
      <c r="AA293" s="8" t="n">
        <v>15.1463702334015</v>
      </c>
    </row>
    <row r="294" s="8" customFormat="true" ht="15" hidden="false" customHeight="false" outlineLevel="0" collapsed="false">
      <c r="A294" s="58"/>
      <c r="B294" s="15"/>
      <c r="C294" s="59" t="n">
        <v>41410</v>
      </c>
      <c r="D294" s="8" t="n">
        <v>9.6</v>
      </c>
      <c r="E294" s="8" t="n">
        <v>5.6</v>
      </c>
      <c r="F294" s="8" t="n">
        <v>13.5</v>
      </c>
      <c r="G294" s="8" t="n">
        <f aca="false">G293+D294</f>
        <v>2187.6</v>
      </c>
      <c r="H294" s="8" t="n">
        <f aca="false">H293+D294</f>
        <v>291.9</v>
      </c>
      <c r="J294" s="8" t="n">
        <v>0.7</v>
      </c>
      <c r="K294" s="8" t="n">
        <f aca="false">J294+K293</f>
        <v>663.3</v>
      </c>
      <c r="L294" s="8" t="n">
        <v>1.5</v>
      </c>
      <c r="M294" s="8" t="n">
        <f aca="false">M293+L294</f>
        <v>325.1</v>
      </c>
      <c r="N294" s="8" t="n">
        <v>-0.8</v>
      </c>
      <c r="O294" s="8" t="n">
        <f aca="false">O293+N294</f>
        <v>138</v>
      </c>
      <c r="P294" s="8" t="n">
        <v>254</v>
      </c>
      <c r="Q294" s="8" t="n">
        <v>1.15</v>
      </c>
      <c r="R294" s="12" t="n">
        <f aca="false">Q294*L294</f>
        <v>1.725</v>
      </c>
      <c r="S294" s="12" t="n">
        <f aca="false">J294-R294</f>
        <v>-1.025</v>
      </c>
      <c r="T294" s="12" t="n">
        <f aca="false">MIN(197.4,T293+S294)</f>
        <v>124.62</v>
      </c>
      <c r="V294" s="8" t="n">
        <v>997.6</v>
      </c>
      <c r="X294" s="8" t="n">
        <f aca="false">X293+V294</f>
        <v>174395.1</v>
      </c>
      <c r="Y294" s="8" t="n">
        <f aca="false">Y293+V294</f>
        <v>36490.2</v>
      </c>
      <c r="AA294" s="8" t="n">
        <v>15.1897872065722</v>
      </c>
    </row>
    <row r="295" s="23" customFormat="true" ht="15" hidden="false" customHeight="false" outlineLevel="0" collapsed="false">
      <c r="A295" s="61"/>
      <c r="B295" s="21" t="n">
        <v>300</v>
      </c>
      <c r="C295" s="62" t="n">
        <v>41411</v>
      </c>
      <c r="D295" s="23" t="n">
        <v>11.1</v>
      </c>
      <c r="E295" s="23" t="n">
        <v>5.7</v>
      </c>
      <c r="F295" s="23" t="n">
        <v>16.2</v>
      </c>
      <c r="G295" s="23" t="n">
        <f aca="false">G294+D295</f>
        <v>2198.7</v>
      </c>
      <c r="H295" s="23" t="n">
        <f aca="false">H294+D295</f>
        <v>303</v>
      </c>
      <c r="J295" s="23" t="n">
        <v>0</v>
      </c>
      <c r="K295" s="23" t="n">
        <f aca="false">J295+K294</f>
        <v>663.3</v>
      </c>
      <c r="L295" s="23" t="n">
        <v>3.9</v>
      </c>
      <c r="M295" s="23" t="n">
        <f aca="false">M294+L295</f>
        <v>329</v>
      </c>
      <c r="N295" s="23" t="n">
        <v>-3.9</v>
      </c>
      <c r="O295" s="23" t="n">
        <f aca="false">O294+N295</f>
        <v>134.1</v>
      </c>
      <c r="P295" s="23" t="n">
        <v>255</v>
      </c>
      <c r="Q295" s="49" t="n">
        <v>1.15</v>
      </c>
      <c r="R295" s="24" t="n">
        <f aca="false">Q295*L295</f>
        <v>4.485</v>
      </c>
      <c r="S295" s="24" t="n">
        <f aca="false">J295-R295</f>
        <v>-4.485</v>
      </c>
      <c r="T295" s="24" t="n">
        <f aca="false">MIN(197.4,T294+S295)</f>
        <v>120.135</v>
      </c>
      <c r="V295" s="23" t="n">
        <v>2679.2</v>
      </c>
      <c r="X295" s="23" t="n">
        <f aca="false">X294+V295</f>
        <v>177074.3</v>
      </c>
      <c r="Y295" s="23" t="n">
        <f aca="false">Y294+V295</f>
        <v>39169.4</v>
      </c>
      <c r="AA295" s="23" t="n">
        <v>15.2324609268607</v>
      </c>
    </row>
    <row r="296" s="8" customFormat="true" ht="15" hidden="false" customHeight="false" outlineLevel="0" collapsed="false">
      <c r="A296" s="63"/>
      <c r="B296" s="15"/>
      <c r="C296" s="64" t="n">
        <v>41412</v>
      </c>
      <c r="D296" s="8" t="n">
        <v>11.3</v>
      </c>
      <c r="E296" s="8" t="n">
        <v>7.7</v>
      </c>
      <c r="F296" s="8" t="n">
        <v>15.6</v>
      </c>
      <c r="G296" s="8" t="n">
        <f aca="false">G295+D296</f>
        <v>2210</v>
      </c>
      <c r="H296" s="8" t="n">
        <v>11.3</v>
      </c>
      <c r="I296" s="65" t="s">
        <v>28</v>
      </c>
      <c r="J296" s="8" t="n">
        <v>7.3</v>
      </c>
      <c r="K296" s="8" t="n">
        <f aca="false">J296+K295</f>
        <v>670.6</v>
      </c>
      <c r="L296" s="8" t="n">
        <v>2.3</v>
      </c>
      <c r="M296" s="8" t="n">
        <f aca="false">M295+L296</f>
        <v>331.3</v>
      </c>
      <c r="N296" s="8" t="n">
        <v>5</v>
      </c>
      <c r="O296" s="8" t="n">
        <f aca="false">O295+N296</f>
        <v>139.1</v>
      </c>
      <c r="P296" s="8" t="n">
        <v>256</v>
      </c>
      <c r="Q296" s="18" t="n">
        <f aca="false">1.15+((P296-255)/59)*(0.35-1.15)</f>
        <v>1.1364406779661</v>
      </c>
      <c r="R296" s="12" t="n">
        <f aca="false">Q296*L296</f>
        <v>2.61381355932203</v>
      </c>
      <c r="S296" s="12" t="n">
        <f aca="false">J296-R296</f>
        <v>4.68618644067797</v>
      </c>
      <c r="T296" s="12" t="n">
        <f aca="false">MIN(197.4,T295+S296)</f>
        <v>124.821186440678</v>
      </c>
      <c r="U296" s="65" t="s">
        <v>29</v>
      </c>
      <c r="V296" s="8" t="n">
        <v>1126.7</v>
      </c>
      <c r="X296" s="8" t="n">
        <f aca="false">X295+V296</f>
        <v>178201</v>
      </c>
      <c r="Y296" s="8" t="n">
        <v>1126.7</v>
      </c>
      <c r="Z296" s="65" t="s">
        <v>30</v>
      </c>
      <c r="AA296" s="8" t="n">
        <v>15.274366581664</v>
      </c>
    </row>
    <row r="297" s="8" customFormat="true" ht="15" hidden="false" customHeight="false" outlineLevel="0" collapsed="false">
      <c r="A297" s="63"/>
      <c r="B297" s="15"/>
      <c r="C297" s="64" t="n">
        <v>41413</v>
      </c>
      <c r="D297" s="8" t="n">
        <v>10.5</v>
      </c>
      <c r="E297" s="8" t="n">
        <v>9.6</v>
      </c>
      <c r="F297" s="8" t="n">
        <v>11.4</v>
      </c>
      <c r="G297" s="8" t="n">
        <f aca="false">G296+D297</f>
        <v>2220.5</v>
      </c>
      <c r="H297" s="8" t="n">
        <f aca="false">H296+D297</f>
        <v>21.8</v>
      </c>
      <c r="I297" s="8" t="n">
        <f aca="false">MIN(E296:E319)</f>
        <v>4.4</v>
      </c>
      <c r="J297" s="8" t="n">
        <v>5.8</v>
      </c>
      <c r="K297" s="8" t="n">
        <f aca="false">J297+K296</f>
        <v>676.4</v>
      </c>
      <c r="L297" s="8" t="n">
        <v>0.6</v>
      </c>
      <c r="M297" s="8" t="n">
        <f aca="false">M296+L297</f>
        <v>331.9</v>
      </c>
      <c r="N297" s="8" t="n">
        <v>5.2</v>
      </c>
      <c r="O297" s="8" t="n">
        <f aca="false">O296+N297</f>
        <v>144.3</v>
      </c>
      <c r="P297" s="8" t="n">
        <v>257</v>
      </c>
      <c r="Q297" s="18" t="n">
        <f aca="false">1.15+((P297-255)/59)*(0.35-1.15)</f>
        <v>1.1228813559322</v>
      </c>
      <c r="R297" s="12" t="n">
        <f aca="false">Q297*L297</f>
        <v>0.673728813559322</v>
      </c>
      <c r="S297" s="12" t="n">
        <f aca="false">J297-R297</f>
        <v>5.12627118644068</v>
      </c>
      <c r="T297" s="12" t="n">
        <f aca="false">MIN(197.4,T296+S297)</f>
        <v>129.947457627119</v>
      </c>
      <c r="U297" s="8" t="n">
        <v>15</v>
      </c>
      <c r="V297" s="8" t="n">
        <v>413</v>
      </c>
      <c r="X297" s="8" t="n">
        <f aca="false">X296+V297</f>
        <v>178614</v>
      </c>
      <c r="Y297" s="8" t="n">
        <f aca="false">Y296+V297</f>
        <v>1539.7</v>
      </c>
      <c r="Z297" s="8" t="n">
        <v>36257.5</v>
      </c>
      <c r="AA297" s="8" t="n">
        <v>15.3154790895267</v>
      </c>
    </row>
    <row r="298" s="8" customFormat="true" ht="15" hidden="false" customHeight="false" outlineLevel="0" collapsed="false">
      <c r="A298" s="63"/>
      <c r="B298" s="15"/>
      <c r="C298" s="64" t="n">
        <v>41414</v>
      </c>
      <c r="D298" s="8" t="n">
        <v>11.4</v>
      </c>
      <c r="E298" s="8" t="n">
        <v>10.1</v>
      </c>
      <c r="F298" s="8" t="n">
        <v>12.5</v>
      </c>
      <c r="G298" s="8" t="n">
        <f aca="false">G297+D298</f>
        <v>2231.9</v>
      </c>
      <c r="H298" s="8" t="n">
        <f aca="false">H297+D298</f>
        <v>33.2</v>
      </c>
      <c r="I298" s="65" t="s">
        <v>31</v>
      </c>
      <c r="J298" s="8" t="n">
        <v>1.3</v>
      </c>
      <c r="K298" s="8" t="n">
        <f aca="false">J298+K297</f>
        <v>677.7</v>
      </c>
      <c r="L298" s="8" t="n">
        <v>1</v>
      </c>
      <c r="M298" s="8" t="n">
        <f aca="false">M297+L298</f>
        <v>332.9</v>
      </c>
      <c r="N298" s="8" t="n">
        <v>0.3</v>
      </c>
      <c r="O298" s="8" t="n">
        <f aca="false">O297+N298</f>
        <v>144.6</v>
      </c>
      <c r="P298" s="8" t="n">
        <v>258</v>
      </c>
      <c r="Q298" s="18" t="n">
        <f aca="false">1.15+((P298-255)/59)*(0.35-1.15)</f>
        <v>1.10932203389831</v>
      </c>
      <c r="R298" s="12" t="n">
        <f aca="false">Q298*L298</f>
        <v>1.10932203389831</v>
      </c>
      <c r="S298" s="12" t="n">
        <f aca="false">J298-R298</f>
        <v>0.190677966101695</v>
      </c>
      <c r="T298" s="12" t="n">
        <f aca="false">MIN(197.4,T297+S298)</f>
        <v>130.13813559322</v>
      </c>
      <c r="U298" s="65" t="s">
        <v>32</v>
      </c>
      <c r="V298" s="8" t="n">
        <v>638.6</v>
      </c>
      <c r="X298" s="8" t="n">
        <f aca="false">X297+V298</f>
        <v>179252.6</v>
      </c>
      <c r="Y298" s="8" t="n">
        <f aca="false">Y297+V298</f>
        <v>2178.3</v>
      </c>
      <c r="Z298" s="65" t="s">
        <v>33</v>
      </c>
      <c r="AA298" s="8" t="n">
        <v>15.3557731371327</v>
      </c>
    </row>
    <row r="299" s="8" customFormat="true" ht="15" hidden="false" customHeight="false" outlineLevel="0" collapsed="false">
      <c r="A299" s="63"/>
      <c r="B299" s="15"/>
      <c r="C299" s="64" t="n">
        <v>41415</v>
      </c>
      <c r="D299" s="8" t="n">
        <v>13.6</v>
      </c>
      <c r="E299" s="8" t="n">
        <v>11.8</v>
      </c>
      <c r="F299" s="8" t="n">
        <v>17.2</v>
      </c>
      <c r="G299" s="8" t="n">
        <f aca="false">G298+D299</f>
        <v>2245.5</v>
      </c>
      <c r="H299" s="8" t="n">
        <f aca="false">H298+D299</f>
        <v>46.8</v>
      </c>
      <c r="I299" s="8" t="n">
        <f aca="false">MAX(F296:F319)</f>
        <v>27.8</v>
      </c>
      <c r="J299" s="8" t="n">
        <v>0.1</v>
      </c>
      <c r="K299" s="8" t="n">
        <f aca="false">J299+K298</f>
        <v>677.8</v>
      </c>
      <c r="L299" s="8" t="n">
        <v>1.6</v>
      </c>
      <c r="M299" s="8" t="n">
        <f aca="false">M298+L299</f>
        <v>334.5</v>
      </c>
      <c r="N299" s="8" t="n">
        <v>-1.5</v>
      </c>
      <c r="O299" s="8" t="n">
        <f aca="false">O298+N299</f>
        <v>143.1</v>
      </c>
      <c r="P299" s="8" t="n">
        <v>259</v>
      </c>
      <c r="Q299" s="18" t="n">
        <f aca="false">1.15+((P299-255)/59)*(0.35-1.15)</f>
        <v>1.09576271186441</v>
      </c>
      <c r="R299" s="12" t="n">
        <f aca="false">Q299*L299</f>
        <v>1.75322033898305</v>
      </c>
      <c r="S299" s="12" t="n">
        <f aca="false">J299-R299</f>
        <v>-1.65322033898305</v>
      </c>
      <c r="T299" s="12" t="n">
        <f aca="false">MIN(197.4,T298+S299)</f>
        <v>128.484915254237</v>
      </c>
      <c r="U299" s="8" t="n">
        <v>0</v>
      </c>
      <c r="V299" s="8" t="n">
        <v>637.4</v>
      </c>
      <c r="X299" s="8" t="n">
        <f aca="false">X298+V299</f>
        <v>179890</v>
      </c>
      <c r="Y299" s="8" t="n">
        <f aca="false">Y298+V299</f>
        <v>2815.7</v>
      </c>
      <c r="Z299" s="8" t="n">
        <f aca="false">(Z297/100)/I309</f>
        <v>1.15139726897428</v>
      </c>
      <c r="AA299" s="8" t="n">
        <v>15.3952232191133</v>
      </c>
    </row>
    <row r="300" s="8" customFormat="true" ht="15" hidden="false" customHeight="false" outlineLevel="0" collapsed="false">
      <c r="A300" s="63"/>
      <c r="B300" s="15"/>
      <c r="C300" s="64" t="n">
        <v>41416</v>
      </c>
      <c r="D300" s="8" t="n">
        <v>12.5</v>
      </c>
      <c r="E300" s="8" t="n">
        <v>10.8</v>
      </c>
      <c r="F300" s="8" t="n">
        <v>15.1</v>
      </c>
      <c r="G300" s="8" t="n">
        <f aca="false">G299+D300</f>
        <v>2258</v>
      </c>
      <c r="H300" s="8" t="n">
        <f aca="false">H299+D300</f>
        <v>59.3</v>
      </c>
      <c r="I300" s="65" t="s">
        <v>34</v>
      </c>
      <c r="J300" s="8" t="n">
        <v>0</v>
      </c>
      <c r="K300" s="8" t="n">
        <f aca="false">J300+K299</f>
        <v>677.8</v>
      </c>
      <c r="L300" s="8" t="n">
        <v>1.8</v>
      </c>
      <c r="M300" s="8" t="n">
        <f aca="false">M299+L300</f>
        <v>336.3</v>
      </c>
      <c r="N300" s="8" t="n">
        <v>-1.8</v>
      </c>
      <c r="O300" s="8" t="n">
        <f aca="false">O299+N300</f>
        <v>141.3</v>
      </c>
      <c r="P300" s="8" t="n">
        <v>260</v>
      </c>
      <c r="Q300" s="18" t="n">
        <f aca="false">1.15+((P300-255)/59)*(0.35-1.15)</f>
        <v>1.08220338983051</v>
      </c>
      <c r="R300" s="12" t="n">
        <f aca="false">Q300*L300</f>
        <v>1.94796610169492</v>
      </c>
      <c r="S300" s="12" t="n">
        <f aca="false">J300-R300</f>
        <v>-1.94796610169492</v>
      </c>
      <c r="T300" s="12" t="n">
        <f aca="false">MIN(197.4,T299+S300)</f>
        <v>126.536949152542</v>
      </c>
      <c r="U300" s="65" t="s">
        <v>35</v>
      </c>
      <c r="V300" s="8" t="n">
        <v>1060.1</v>
      </c>
      <c r="X300" s="8" t="n">
        <f aca="false">X299+V300</f>
        <v>180950.1</v>
      </c>
      <c r="Y300" s="8" t="n">
        <f aca="false">Y299+V300</f>
        <v>3875.8</v>
      </c>
      <c r="Z300" s="65" t="s">
        <v>36</v>
      </c>
      <c r="AA300" s="8" t="n">
        <v>15.4338036806613</v>
      </c>
    </row>
    <row r="301" s="8" customFormat="true" ht="15" hidden="false" customHeight="false" outlineLevel="0" collapsed="false">
      <c r="A301" s="63"/>
      <c r="B301" s="15"/>
      <c r="C301" s="64" t="n">
        <v>41417</v>
      </c>
      <c r="D301" s="8" t="n">
        <v>9.8</v>
      </c>
      <c r="E301" s="8" t="n">
        <v>8.1</v>
      </c>
      <c r="F301" s="8" t="n">
        <v>12.8</v>
      </c>
      <c r="G301" s="8" t="n">
        <f aca="false">G300+D301</f>
        <v>2267.8</v>
      </c>
      <c r="H301" s="8" t="n">
        <f aca="false">H300+D301</f>
        <v>69.1</v>
      </c>
      <c r="I301" s="8" t="n">
        <f aca="false">AVERAGE(D296:D319)</f>
        <v>13.1208333333333</v>
      </c>
      <c r="J301" s="8" t="n">
        <v>2.4</v>
      </c>
      <c r="K301" s="8" t="n">
        <f aca="false">J301+K300</f>
        <v>680.2</v>
      </c>
      <c r="L301" s="8" t="n">
        <v>3.8</v>
      </c>
      <c r="M301" s="8" t="n">
        <f aca="false">M300+L301</f>
        <v>340.1</v>
      </c>
      <c r="N301" s="8" t="n">
        <v>-1.4</v>
      </c>
      <c r="O301" s="8" t="n">
        <f aca="false">O300+N301</f>
        <v>139.9</v>
      </c>
      <c r="P301" s="8" t="n">
        <v>261</v>
      </c>
      <c r="Q301" s="18" t="n">
        <f aca="false">1.15+((P301-255)/59)*(0.35-1.15)</f>
        <v>1.06864406779661</v>
      </c>
      <c r="R301" s="12" t="n">
        <f aca="false">Q301*L301</f>
        <v>4.06084745762712</v>
      </c>
      <c r="S301" s="12" t="n">
        <f aca="false">J301-R301</f>
        <v>-1.66084745762712</v>
      </c>
      <c r="T301" s="12" t="n">
        <f aca="false">MIN(197.4,T300+S301)</f>
        <v>124.876101694915</v>
      </c>
      <c r="U301" s="8" t="n">
        <v>0</v>
      </c>
      <c r="V301" s="8" t="n">
        <v>2409.3</v>
      </c>
      <c r="X301" s="8" t="n">
        <f aca="false">X300+V301</f>
        <v>183359.4</v>
      </c>
      <c r="Y301" s="8" t="n">
        <f aca="false">Y300+V301</f>
        <v>6285.1</v>
      </c>
      <c r="Z301" s="8" t="n">
        <v>5</v>
      </c>
      <c r="AA301" s="8" t="n">
        <v>15.4714887629188</v>
      </c>
    </row>
    <row r="302" s="8" customFormat="true" ht="15" hidden="false" customHeight="false" outlineLevel="0" collapsed="false">
      <c r="A302" s="63"/>
      <c r="B302" s="15"/>
      <c r="C302" s="64" t="n">
        <v>41418</v>
      </c>
      <c r="D302" s="8" t="n">
        <v>8.5</v>
      </c>
      <c r="E302" s="8" t="n">
        <v>5.2</v>
      </c>
      <c r="F302" s="8" t="n">
        <v>10.2</v>
      </c>
      <c r="G302" s="8" t="n">
        <f aca="false">G301+D302</f>
        <v>2276.3</v>
      </c>
      <c r="H302" s="8" t="n">
        <f aca="false">H301+D302</f>
        <v>77.6</v>
      </c>
      <c r="I302" s="65" t="s">
        <v>37</v>
      </c>
      <c r="J302" s="8" t="n">
        <v>2.7</v>
      </c>
      <c r="K302" s="8" t="n">
        <f aca="false">J302+K301</f>
        <v>682.9</v>
      </c>
      <c r="L302" s="8" t="n">
        <v>1.8</v>
      </c>
      <c r="M302" s="8" t="n">
        <f aca="false">M301+L302</f>
        <v>341.9</v>
      </c>
      <c r="N302" s="8" t="n">
        <v>0.9</v>
      </c>
      <c r="O302" s="8" t="n">
        <f aca="false">O301+N302</f>
        <v>140.8</v>
      </c>
      <c r="P302" s="8" t="n">
        <v>262</v>
      </c>
      <c r="Q302" s="18" t="n">
        <f aca="false">1.15+((P302-255)/59)*(0.35-1.15)</f>
        <v>1.05508474576271</v>
      </c>
      <c r="R302" s="12" t="n">
        <f aca="false">Q302*L302</f>
        <v>1.89915254237288</v>
      </c>
      <c r="S302" s="12" t="n">
        <f aca="false">J302-R302</f>
        <v>0.800847457627119</v>
      </c>
      <c r="T302" s="12" t="n">
        <f aca="false">MIN(197.4,T301+S302)</f>
        <v>125.676949152542</v>
      </c>
      <c r="U302" s="65" t="s">
        <v>38</v>
      </c>
      <c r="V302" s="8" t="n">
        <v>1471.4</v>
      </c>
      <c r="X302" s="8" t="n">
        <f aca="false">X301+V302</f>
        <v>184830.8</v>
      </c>
      <c r="Y302" s="8" t="n">
        <f aca="false">Y301+V302</f>
        <v>7756.5</v>
      </c>
      <c r="AA302" s="8" t="n">
        <v>15.5082526510869</v>
      </c>
    </row>
    <row r="303" s="8" customFormat="true" ht="15" hidden="false" customHeight="false" outlineLevel="0" collapsed="false">
      <c r="A303" s="63"/>
      <c r="B303" s="15"/>
      <c r="C303" s="64" t="n">
        <v>41419</v>
      </c>
      <c r="D303" s="8" t="n">
        <v>10.2</v>
      </c>
      <c r="E303" s="8" t="n">
        <v>7.9</v>
      </c>
      <c r="F303" s="8" t="n">
        <v>13.7</v>
      </c>
      <c r="G303" s="8" t="n">
        <f aca="false">G302+D303</f>
        <v>2286.5</v>
      </c>
      <c r="H303" s="8" t="n">
        <f aca="false">H302+D303</f>
        <v>87.8</v>
      </c>
      <c r="I303" s="8" t="n">
        <v>0</v>
      </c>
      <c r="J303" s="8" t="n">
        <v>0</v>
      </c>
      <c r="K303" s="8" t="n">
        <f aca="false">J303+K302</f>
        <v>682.9</v>
      </c>
      <c r="L303" s="8" t="n">
        <v>3.4</v>
      </c>
      <c r="M303" s="8" t="n">
        <f aca="false">M302+L303</f>
        <v>345.3</v>
      </c>
      <c r="N303" s="8" t="n">
        <v>-3.4</v>
      </c>
      <c r="O303" s="8" t="n">
        <f aca="false">O302+N303</f>
        <v>137.4</v>
      </c>
      <c r="P303" s="8" t="n">
        <v>263</v>
      </c>
      <c r="Q303" s="18" t="n">
        <f aca="false">1.15+((P303-255)/59)*(0.35-1.15)</f>
        <v>1.04152542372881</v>
      </c>
      <c r="R303" s="12" t="n">
        <f aca="false">Q303*L303</f>
        <v>3.54118644067797</v>
      </c>
      <c r="S303" s="12" t="n">
        <f aca="false">J303-R303</f>
        <v>-3.54118644067797</v>
      </c>
      <c r="T303" s="12" t="n">
        <f aca="false">MIN(197.4,T302+S303)</f>
        <v>122.135762711864</v>
      </c>
      <c r="U303" s="12" t="n">
        <f aca="false">MIN(T296:T319)</f>
        <v>120.285423728814</v>
      </c>
      <c r="V303" s="8" t="n">
        <v>2253.1</v>
      </c>
      <c r="X303" s="8" t="n">
        <f aca="false">X302+V303</f>
        <v>187083.9</v>
      </c>
      <c r="Y303" s="8" t="n">
        <f aca="false">Y302+V303</f>
        <v>10009.6</v>
      </c>
      <c r="AA303" s="8" t="n">
        <v>15.5440695251827</v>
      </c>
    </row>
    <row r="304" s="8" customFormat="true" ht="15" hidden="false" customHeight="false" outlineLevel="0" collapsed="false">
      <c r="A304" s="63"/>
      <c r="B304" s="15"/>
      <c r="C304" s="64" t="n">
        <v>41420</v>
      </c>
      <c r="D304" s="8" t="n">
        <v>10.8</v>
      </c>
      <c r="E304" s="8" t="n">
        <v>4.4</v>
      </c>
      <c r="F304" s="8" t="n">
        <v>17.3</v>
      </c>
      <c r="G304" s="8" t="n">
        <f aca="false">G303+D304</f>
        <v>2297.3</v>
      </c>
      <c r="H304" s="8" t="n">
        <f aca="false">H303+D304</f>
        <v>98.6</v>
      </c>
      <c r="I304" s="65" t="s">
        <v>39</v>
      </c>
      <c r="J304" s="8" t="n">
        <v>0</v>
      </c>
      <c r="K304" s="8" t="n">
        <f aca="false">J304+K303</f>
        <v>682.9</v>
      </c>
      <c r="L304" s="8" t="n">
        <v>1.8</v>
      </c>
      <c r="M304" s="8" t="n">
        <f aca="false">M303+L304</f>
        <v>347.1</v>
      </c>
      <c r="N304" s="8" t="n">
        <v>-1.8</v>
      </c>
      <c r="O304" s="8" t="n">
        <f aca="false">O303+N304</f>
        <v>135.6</v>
      </c>
      <c r="P304" s="8" t="n">
        <v>264</v>
      </c>
      <c r="Q304" s="18" t="n">
        <f aca="false">1.15+((P304-255)/59)*(0.35-1.15)</f>
        <v>1.02796610169492</v>
      </c>
      <c r="R304" s="12" t="n">
        <f aca="false">Q304*L304</f>
        <v>1.85033898305085</v>
      </c>
      <c r="S304" s="12" t="n">
        <f aca="false">J304-R304</f>
        <v>-1.85033898305085</v>
      </c>
      <c r="T304" s="12" t="n">
        <f aca="false">MIN(197.4,T303+S304)</f>
        <v>120.285423728814</v>
      </c>
      <c r="U304" s="65" t="s">
        <v>40</v>
      </c>
      <c r="V304" s="8" t="n">
        <v>1162.7</v>
      </c>
      <c r="X304" s="8" t="n">
        <f aca="false">X303+V304</f>
        <v>188246.6</v>
      </c>
      <c r="Y304" s="8" t="n">
        <f aca="false">Y303+V304</f>
        <v>11172.3</v>
      </c>
      <c r="AA304" s="8" t="n">
        <v>15.5789136133458</v>
      </c>
    </row>
    <row r="305" s="8" customFormat="true" ht="15" hidden="false" customHeight="false" outlineLevel="0" collapsed="false">
      <c r="A305" s="63"/>
      <c r="B305" s="15"/>
      <c r="C305" s="64" t="n">
        <v>41421</v>
      </c>
      <c r="D305" s="8" t="n">
        <v>12.8</v>
      </c>
      <c r="E305" s="8" t="n">
        <v>6.6</v>
      </c>
      <c r="F305" s="8" t="n">
        <v>18.6</v>
      </c>
      <c r="G305" s="8" t="n">
        <f aca="false">G304+D305</f>
        <v>2310.1</v>
      </c>
      <c r="H305" s="8" t="n">
        <f aca="false">H304+D305</f>
        <v>111.4</v>
      </c>
      <c r="I305" s="8" t="n">
        <v>2</v>
      </c>
      <c r="J305" s="8" t="n">
        <v>15.1</v>
      </c>
      <c r="K305" s="8" t="n">
        <f aca="false">J305+K304</f>
        <v>698</v>
      </c>
      <c r="L305" s="8" t="n">
        <v>3</v>
      </c>
      <c r="M305" s="8" t="n">
        <f aca="false">M304+L305</f>
        <v>350.1</v>
      </c>
      <c r="N305" s="8" t="n">
        <v>12.1</v>
      </c>
      <c r="O305" s="8" t="n">
        <f aca="false">O304+N305</f>
        <v>147.7</v>
      </c>
      <c r="P305" s="8" t="n">
        <v>265</v>
      </c>
      <c r="Q305" s="18" t="n">
        <f aca="false">1.15+((P305-255)/59)*(0.35-1.15)</f>
        <v>1.01440677966102</v>
      </c>
      <c r="R305" s="12" t="n">
        <f aca="false">Q305*L305</f>
        <v>3.04322033898305</v>
      </c>
      <c r="S305" s="12" t="n">
        <f aca="false">J305-R305</f>
        <v>12.056779661017</v>
      </c>
      <c r="T305" s="12" t="n">
        <f aca="false">MIN(197.4,T304+S305)</f>
        <v>132.342203389831</v>
      </c>
      <c r="U305" s="12" t="n">
        <f aca="false">MAX(T296:T319)</f>
        <v>144.581016949153</v>
      </c>
      <c r="V305" s="8" t="n">
        <v>1520.9</v>
      </c>
      <c r="X305" s="8" t="n">
        <f aca="false">X304+V305</f>
        <v>189767.5</v>
      </c>
      <c r="Y305" s="8" t="n">
        <f aca="false">Y304+V305</f>
        <v>12693.2</v>
      </c>
      <c r="AA305" s="8" t="n">
        <v>15.6127592475723</v>
      </c>
    </row>
    <row r="306" s="8" customFormat="true" ht="15" hidden="false" customHeight="false" outlineLevel="0" collapsed="false">
      <c r="A306" s="63"/>
      <c r="B306" s="15"/>
      <c r="C306" s="64" t="n">
        <v>41422</v>
      </c>
      <c r="D306" s="8" t="n">
        <v>9.3</v>
      </c>
      <c r="E306" s="8" t="n">
        <v>7.7</v>
      </c>
      <c r="F306" s="8" t="n">
        <v>10.5</v>
      </c>
      <c r="G306" s="8" t="n">
        <f aca="false">G305+D306</f>
        <v>2319.4</v>
      </c>
      <c r="H306" s="8" t="n">
        <f aca="false">H305+D306</f>
        <v>120.7</v>
      </c>
      <c r="I306" s="65" t="s">
        <v>41</v>
      </c>
      <c r="J306" s="8" t="n">
        <v>9</v>
      </c>
      <c r="K306" s="8" t="n">
        <f aca="false">J306+K305</f>
        <v>707</v>
      </c>
      <c r="L306" s="8" t="n">
        <v>1.6</v>
      </c>
      <c r="M306" s="8" t="n">
        <f aca="false">M305+L306</f>
        <v>351.7</v>
      </c>
      <c r="N306" s="8" t="n">
        <v>7.4</v>
      </c>
      <c r="O306" s="8" t="n">
        <f aca="false">O305+N306</f>
        <v>155.1</v>
      </c>
      <c r="P306" s="8" t="n">
        <v>266</v>
      </c>
      <c r="Q306" s="18" t="n">
        <f aca="false">1.15+((P306-255)/59)*(0.35-1.15)</f>
        <v>1.00084745762712</v>
      </c>
      <c r="R306" s="12" t="n">
        <f aca="false">Q306*L306</f>
        <v>1.60135593220339</v>
      </c>
      <c r="S306" s="12" t="n">
        <f aca="false">J306-R306</f>
        <v>7.39864406779661</v>
      </c>
      <c r="T306" s="12" t="n">
        <f aca="false">MIN(197.4,T305+S306)</f>
        <v>139.740847457627</v>
      </c>
      <c r="U306" s="65" t="s">
        <v>42</v>
      </c>
      <c r="V306" s="8" t="n">
        <v>1079.2</v>
      </c>
      <c r="X306" s="8" t="n">
        <f aca="false">X305+V306</f>
        <v>190846.7</v>
      </c>
      <c r="Y306" s="8" t="n">
        <f aca="false">Y305+V306</f>
        <v>13772.4</v>
      </c>
      <c r="AA306" s="8" t="n">
        <v>15.6455809217266</v>
      </c>
    </row>
    <row r="307" s="8" customFormat="true" ht="15" hidden="false" customHeight="false" outlineLevel="0" collapsed="false">
      <c r="A307" s="63"/>
      <c r="B307" s="15"/>
      <c r="C307" s="64" t="n">
        <v>41423</v>
      </c>
      <c r="D307" s="8" t="n">
        <v>10.7</v>
      </c>
      <c r="E307" s="8" t="n">
        <v>6.6</v>
      </c>
      <c r="F307" s="8" t="n">
        <v>13.5</v>
      </c>
      <c r="G307" s="8" t="n">
        <f aca="false">G306+D307</f>
        <v>2330.1</v>
      </c>
      <c r="H307" s="8" t="n">
        <f aca="false">H306+D307</f>
        <v>131.4</v>
      </c>
      <c r="I307" s="8" t="n">
        <v>1</v>
      </c>
      <c r="J307" s="8" t="n">
        <v>0.6</v>
      </c>
      <c r="K307" s="8" t="n">
        <f aca="false">J307+K306</f>
        <v>707.6</v>
      </c>
      <c r="L307" s="8" t="n">
        <v>1.3</v>
      </c>
      <c r="M307" s="8" t="n">
        <f aca="false">M306+L307</f>
        <v>353</v>
      </c>
      <c r="N307" s="8" t="n">
        <v>-0.7</v>
      </c>
      <c r="O307" s="8" t="n">
        <f aca="false">O306+N307</f>
        <v>154.4</v>
      </c>
      <c r="P307" s="8" t="n">
        <v>267</v>
      </c>
      <c r="Q307" s="18" t="n">
        <f aca="false">1.15+((P307-255)/59)*(0.35-1.15)</f>
        <v>0.98728813559322</v>
      </c>
      <c r="R307" s="12" t="n">
        <f aca="false">Q307*L307</f>
        <v>1.28347457627119</v>
      </c>
      <c r="S307" s="12" t="n">
        <f aca="false">J307-R307</f>
        <v>-0.683474576271186</v>
      </c>
      <c r="T307" s="12" t="n">
        <f aca="false">MIN(197.4,T306+S307)</f>
        <v>139.057372881356</v>
      </c>
      <c r="U307" s="18" t="n">
        <f aca="false">AVERAGE(T296:T319)</f>
        <v>131.502697740113</v>
      </c>
      <c r="V307" s="8" t="n">
        <v>941.7</v>
      </c>
      <c r="X307" s="8" t="n">
        <f aca="false">X306+V307</f>
        <v>191788.4</v>
      </c>
      <c r="Y307" s="8" t="n">
        <f aca="false">Y306+V307</f>
        <v>14714.1</v>
      </c>
      <c r="AA307" s="8" t="n">
        <v>15.6773533516589</v>
      </c>
    </row>
    <row r="308" s="8" customFormat="true" ht="15" hidden="false" customHeight="false" outlineLevel="0" collapsed="false">
      <c r="A308" s="63"/>
      <c r="B308" s="15"/>
      <c r="C308" s="64" t="n">
        <v>41424</v>
      </c>
      <c r="D308" s="8" t="n">
        <v>12.5</v>
      </c>
      <c r="E308" s="8" t="n">
        <v>10.3</v>
      </c>
      <c r="F308" s="8" t="n">
        <v>14</v>
      </c>
      <c r="G308" s="8" t="n">
        <f aca="false">G307+D308</f>
        <v>2342.6</v>
      </c>
      <c r="H308" s="8" t="n">
        <f aca="false">H307+D308</f>
        <v>143.9</v>
      </c>
      <c r="I308" s="65" t="s">
        <v>43</v>
      </c>
      <c r="J308" s="8" t="n">
        <v>6.4</v>
      </c>
      <c r="K308" s="8" t="n">
        <f aca="false">J308+K307</f>
        <v>714</v>
      </c>
      <c r="L308" s="8" t="n">
        <v>0.9</v>
      </c>
      <c r="M308" s="8" t="n">
        <f aca="false">M307+L308</f>
        <v>353.9</v>
      </c>
      <c r="N308" s="8" t="n">
        <v>5.5</v>
      </c>
      <c r="O308" s="8" t="n">
        <f aca="false">O307+N308</f>
        <v>159.9</v>
      </c>
      <c r="P308" s="8" t="n">
        <v>268</v>
      </c>
      <c r="Q308" s="18" t="n">
        <f aca="false">1.15+((P308-255)/59)*(0.35-1.15)</f>
        <v>0.973728813559322</v>
      </c>
      <c r="R308" s="12" t="n">
        <f aca="false">Q308*L308</f>
        <v>0.87635593220339</v>
      </c>
      <c r="S308" s="12" t="n">
        <f aca="false">J308-R308</f>
        <v>5.52364406779661</v>
      </c>
      <c r="T308" s="12" t="n">
        <f aca="false">MIN(197.4,T307+S308)</f>
        <v>144.581016949153</v>
      </c>
      <c r="V308" s="8" t="n">
        <v>649.8</v>
      </c>
      <c r="X308" s="8" t="n">
        <f aca="false">X307+V308</f>
        <v>192438.2</v>
      </c>
      <c r="Y308" s="8" t="n">
        <f aca="false">Y307+V308</f>
        <v>15363.9</v>
      </c>
      <c r="AA308" s="8" t="n">
        <v>15.7080515372264</v>
      </c>
    </row>
    <row r="309" s="8" customFormat="true" ht="15" hidden="false" customHeight="false" outlineLevel="0" collapsed="false">
      <c r="A309" s="63"/>
      <c r="B309" s="15"/>
      <c r="C309" s="64" t="n">
        <v>41425</v>
      </c>
      <c r="D309" s="8" t="n">
        <v>14.1</v>
      </c>
      <c r="E309" s="8" t="n">
        <v>11.4</v>
      </c>
      <c r="F309" s="8" t="n">
        <v>17.2</v>
      </c>
      <c r="G309" s="8" t="n">
        <f aca="false">G308+D309</f>
        <v>2356.7</v>
      </c>
      <c r="H309" s="8" t="n">
        <f aca="false">H308+D309</f>
        <v>158</v>
      </c>
      <c r="I309" s="8" t="n">
        <v>314.9</v>
      </c>
      <c r="J309" s="8" t="n">
        <v>0</v>
      </c>
      <c r="K309" s="8" t="n">
        <f aca="false">J309+K308</f>
        <v>714</v>
      </c>
      <c r="L309" s="8" t="n">
        <v>2.2</v>
      </c>
      <c r="M309" s="8" t="n">
        <f aca="false">M308+L309</f>
        <v>356.1</v>
      </c>
      <c r="N309" s="8" t="n">
        <v>-2.2</v>
      </c>
      <c r="O309" s="8" t="n">
        <f aca="false">O308+N309</f>
        <v>157.7</v>
      </c>
      <c r="P309" s="8" t="n">
        <v>269</v>
      </c>
      <c r="Q309" s="18" t="n">
        <f aca="false">1.15+((P309-255)/59)*(0.35-1.15)</f>
        <v>0.960169491525424</v>
      </c>
      <c r="R309" s="12" t="n">
        <f aca="false">Q309*L309</f>
        <v>2.11237288135593</v>
      </c>
      <c r="S309" s="12" t="n">
        <f aca="false">J309-R309</f>
        <v>-2.11237288135593</v>
      </c>
      <c r="T309" s="12" t="n">
        <f aca="false">MIN(197.4,T308+S309)</f>
        <v>142.468644067797</v>
      </c>
      <c r="U309" s="12" t="n">
        <f aca="false">(U307*100)/197.4</f>
        <v>66.6173747416986</v>
      </c>
      <c r="V309" s="8" t="n">
        <v>1169.9</v>
      </c>
      <c r="X309" s="8" t="n">
        <f aca="false">X308+V309</f>
        <v>193608.1</v>
      </c>
      <c r="Y309" s="8" t="n">
        <f aca="false">Y308+V309</f>
        <v>16533.8</v>
      </c>
      <c r="AA309" s="8" t="n">
        <v>15.7376508259911</v>
      </c>
    </row>
    <row r="310" s="8" customFormat="true" ht="15" hidden="false" customHeight="false" outlineLevel="0" collapsed="false">
      <c r="A310" s="63"/>
      <c r="B310" s="15"/>
      <c r="C310" s="64" t="n">
        <v>41426</v>
      </c>
      <c r="D310" s="8" t="n">
        <v>13.4</v>
      </c>
      <c r="E310" s="8" t="n">
        <v>10.4</v>
      </c>
      <c r="F310" s="8" t="n">
        <v>17.8</v>
      </c>
      <c r="G310" s="8" t="n">
        <f aca="false">G309+D310</f>
        <v>2370.1</v>
      </c>
      <c r="H310" s="8" t="n">
        <f aca="false">H309+D310</f>
        <v>171.4</v>
      </c>
      <c r="J310" s="8" t="n">
        <v>0</v>
      </c>
      <c r="K310" s="8" t="n">
        <f aca="false">J310+K309</f>
        <v>714</v>
      </c>
      <c r="L310" s="8" t="n">
        <v>2.7</v>
      </c>
      <c r="M310" s="8" t="n">
        <f aca="false">M309+L310</f>
        <v>358.8</v>
      </c>
      <c r="N310" s="8" t="n">
        <v>-2.7</v>
      </c>
      <c r="O310" s="8" t="n">
        <f aca="false">O309+N310</f>
        <v>155</v>
      </c>
      <c r="P310" s="8" t="n">
        <v>270</v>
      </c>
      <c r="Q310" s="18" t="n">
        <f aca="false">1.15+((P310-255)/59)*(0.35-1.15)</f>
        <v>0.946610169491525</v>
      </c>
      <c r="R310" s="12" t="n">
        <f aca="false">Q310*L310</f>
        <v>2.55584745762712</v>
      </c>
      <c r="S310" s="12" t="n">
        <f aca="false">J310-R310</f>
        <v>-2.55584745762712</v>
      </c>
      <c r="T310" s="12" t="n">
        <f aca="false">MIN(197.4,T309+S310)</f>
        <v>139.91279661017</v>
      </c>
      <c r="V310" s="8" t="n">
        <v>1503.3</v>
      </c>
      <c r="X310" s="8" t="n">
        <f aca="false">X309+V310</f>
        <v>195111.4</v>
      </c>
      <c r="Y310" s="8" t="n">
        <f aca="false">Y309+V310</f>
        <v>18037.1</v>
      </c>
      <c r="AA310" s="8" t="n">
        <v>15.7661269783405</v>
      </c>
    </row>
    <row r="311" s="8" customFormat="true" ht="15" hidden="false" customHeight="false" outlineLevel="0" collapsed="false">
      <c r="A311" s="63"/>
      <c r="B311" s="15"/>
      <c r="C311" s="64" t="n">
        <v>41427</v>
      </c>
      <c r="D311" s="8" t="n">
        <v>13.3</v>
      </c>
      <c r="E311" s="8" t="n">
        <v>8.3</v>
      </c>
      <c r="F311" s="8" t="n">
        <v>17.5</v>
      </c>
      <c r="G311" s="8" t="n">
        <f aca="false">G310+D311</f>
        <v>2383.4</v>
      </c>
      <c r="H311" s="8" t="n">
        <f aca="false">H310+D311</f>
        <v>184.7</v>
      </c>
      <c r="J311" s="8" t="n">
        <v>0</v>
      </c>
      <c r="K311" s="8" t="n">
        <f aca="false">J311+K310</f>
        <v>714</v>
      </c>
      <c r="L311" s="8" t="n">
        <v>3</v>
      </c>
      <c r="M311" s="8" t="n">
        <f aca="false">M310+L311</f>
        <v>361.8</v>
      </c>
      <c r="N311" s="8" t="n">
        <v>-3</v>
      </c>
      <c r="O311" s="8" t="n">
        <f aca="false">O310+N311</f>
        <v>152</v>
      </c>
      <c r="P311" s="8" t="n">
        <v>271</v>
      </c>
      <c r="Q311" s="18" t="n">
        <f aca="false">1.15+((P311-255)/59)*(0.35-1.15)</f>
        <v>0.933050847457627</v>
      </c>
      <c r="R311" s="12" t="n">
        <f aca="false">Q311*L311</f>
        <v>2.79915254237288</v>
      </c>
      <c r="S311" s="12" t="n">
        <f aca="false">J311-R311</f>
        <v>-2.79915254237288</v>
      </c>
      <c r="T311" s="12" t="n">
        <f aca="false">MIN(197.4,T310+S311)</f>
        <v>137.113644067797</v>
      </c>
      <c r="V311" s="8" t="n">
        <v>1993.2</v>
      </c>
      <c r="X311" s="8" t="n">
        <f aca="false">X310+V311</f>
        <v>197104.6</v>
      </c>
      <c r="Y311" s="8" t="n">
        <f aca="false">Y310+V311</f>
        <v>20030.3</v>
      </c>
      <c r="AA311" s="8" t="n">
        <v>15.7934562337511</v>
      </c>
    </row>
    <row r="312" s="8" customFormat="true" ht="15" hidden="false" customHeight="false" outlineLevel="0" collapsed="false">
      <c r="A312" s="63"/>
      <c r="B312" s="15"/>
      <c r="C312" s="64" t="n">
        <v>41428</v>
      </c>
      <c r="D312" s="8" t="n">
        <v>14.1</v>
      </c>
      <c r="E312" s="8" t="n">
        <v>9.6</v>
      </c>
      <c r="F312" s="8" t="n">
        <v>18.1</v>
      </c>
      <c r="G312" s="8" t="n">
        <f aca="false">G311+D312</f>
        <v>2397.5</v>
      </c>
      <c r="H312" s="8" t="n">
        <f aca="false">H311+D312</f>
        <v>198.8</v>
      </c>
      <c r="J312" s="8" t="n">
        <v>0</v>
      </c>
      <c r="K312" s="8" t="n">
        <f aca="false">J312+K311</f>
        <v>714</v>
      </c>
      <c r="L312" s="8" t="n">
        <v>5.1</v>
      </c>
      <c r="M312" s="8" t="n">
        <f aca="false">M311+L312</f>
        <v>366.9</v>
      </c>
      <c r="N312" s="8" t="n">
        <v>-5.1</v>
      </c>
      <c r="O312" s="8" t="n">
        <f aca="false">O311+N312</f>
        <v>146.9</v>
      </c>
      <c r="P312" s="8" t="n">
        <v>272</v>
      </c>
      <c r="Q312" s="18" t="n">
        <f aca="false">1.15+((P312-255)/59)*(0.35-1.15)</f>
        <v>0.919491525423729</v>
      </c>
      <c r="R312" s="12" t="n">
        <f aca="false">Q312*L312</f>
        <v>4.68940677966102</v>
      </c>
      <c r="S312" s="12" t="n">
        <f aca="false">J312-R312</f>
        <v>-4.68940677966102</v>
      </c>
      <c r="T312" s="12" t="n">
        <f aca="false">MIN(197.4,T311+S312)</f>
        <v>132.424237288136</v>
      </c>
      <c r="V312" s="8" t="n">
        <v>3209.4</v>
      </c>
      <c r="X312" s="8" t="n">
        <f aca="false">X311+V312</f>
        <v>200314</v>
      </c>
      <c r="Y312" s="8" t="n">
        <f aca="false">Y311+V312</f>
        <v>23239.7</v>
      </c>
      <c r="AA312" s="8" t="n">
        <v>15.8196153778914</v>
      </c>
    </row>
    <row r="313" s="8" customFormat="true" ht="15" hidden="false" customHeight="false" outlineLevel="0" collapsed="false">
      <c r="A313" s="63"/>
      <c r="B313" s="15"/>
      <c r="C313" s="64" t="n">
        <v>41429</v>
      </c>
      <c r="D313" s="8" t="n">
        <v>14</v>
      </c>
      <c r="E313" s="8" t="n">
        <v>9.1</v>
      </c>
      <c r="F313" s="8" t="n">
        <v>18.4</v>
      </c>
      <c r="G313" s="8" t="n">
        <f aca="false">G312+D313</f>
        <v>2411.5</v>
      </c>
      <c r="H313" s="8" t="n">
        <f aca="false">H312+D313</f>
        <v>212.8</v>
      </c>
      <c r="J313" s="8" t="n">
        <v>0</v>
      </c>
      <c r="K313" s="8" t="n">
        <f aca="false">J313+K312</f>
        <v>714</v>
      </c>
      <c r="L313" s="8" t="n">
        <v>3.9</v>
      </c>
      <c r="M313" s="8" t="n">
        <f aca="false">M312+L313</f>
        <v>370.8</v>
      </c>
      <c r="N313" s="8" t="n">
        <v>-3.9</v>
      </c>
      <c r="O313" s="8" t="n">
        <f aca="false">O312+N313</f>
        <v>143</v>
      </c>
      <c r="P313" s="8" t="n">
        <v>273</v>
      </c>
      <c r="Q313" s="18" t="n">
        <f aca="false">1.15+((P313-255)/59)*(0.35-1.15)</f>
        <v>0.905932203389831</v>
      </c>
      <c r="R313" s="12" t="n">
        <f aca="false">Q313*L313</f>
        <v>3.53313559322034</v>
      </c>
      <c r="S313" s="12" t="n">
        <f aca="false">J313-R313</f>
        <v>-3.53313559322034</v>
      </c>
      <c r="T313" s="12" t="n">
        <f aca="false">MIN(197.4,T312+S313)</f>
        <v>128.891101694915</v>
      </c>
      <c r="V313" s="8" t="n">
        <v>2458</v>
      </c>
      <c r="X313" s="8" t="n">
        <f aca="false">X312+V313</f>
        <v>202772</v>
      </c>
      <c r="Y313" s="8" t="n">
        <f aca="false">Y312+V313</f>
        <v>25697.7</v>
      </c>
      <c r="AA313" s="8" t="n">
        <v>15.8445818102358</v>
      </c>
    </row>
    <row r="314" s="8" customFormat="true" ht="15" hidden="false" customHeight="false" outlineLevel="0" collapsed="false">
      <c r="A314" s="63"/>
      <c r="B314" s="15"/>
      <c r="C314" s="64" t="n">
        <v>41430</v>
      </c>
      <c r="D314" s="8" t="n">
        <v>16.6</v>
      </c>
      <c r="E314" s="8" t="n">
        <v>10.6</v>
      </c>
      <c r="F314" s="8" t="n">
        <v>22.7</v>
      </c>
      <c r="G314" s="8" t="n">
        <f aca="false">G313+D314</f>
        <v>2428.1</v>
      </c>
      <c r="H314" s="8" t="n">
        <f aca="false">H313+D314</f>
        <v>229.4</v>
      </c>
      <c r="J314" s="8" t="n">
        <v>0</v>
      </c>
      <c r="K314" s="8" t="n">
        <f aca="false">J314+K313</f>
        <v>714</v>
      </c>
      <c r="L314" s="8" t="n">
        <v>4.7</v>
      </c>
      <c r="M314" s="8" t="n">
        <f aca="false">M313+L314</f>
        <v>375.5</v>
      </c>
      <c r="N314" s="8" t="n">
        <v>-4.7</v>
      </c>
      <c r="O314" s="8" t="n">
        <f aca="false">O313+N314</f>
        <v>138.3</v>
      </c>
      <c r="P314" s="8" t="n">
        <v>274</v>
      </c>
      <c r="Q314" s="18" t="n">
        <f aca="false">1.15+((P314-255)/59)*(0.35-1.15)</f>
        <v>0.892372881355932</v>
      </c>
      <c r="R314" s="12" t="n">
        <f aca="false">Q314*L314</f>
        <v>4.19415254237288</v>
      </c>
      <c r="S314" s="12" t="n">
        <f aca="false">J314-R314</f>
        <v>-4.19415254237288</v>
      </c>
      <c r="T314" s="12" t="n">
        <f aca="false">MIN(197.4,T313+S314)</f>
        <v>124.696949152542</v>
      </c>
      <c r="V314" s="8" t="n">
        <v>2660.7</v>
      </c>
      <c r="X314" s="8" t="n">
        <f aca="false">X313+V314</f>
        <v>205432.7</v>
      </c>
      <c r="Y314" s="8" t="n">
        <f aca="false">Y313+V314</f>
        <v>28358.4</v>
      </c>
      <c r="AA314" s="8" t="n">
        <v>15.86833361184</v>
      </c>
    </row>
    <row r="315" s="8" customFormat="true" ht="15" hidden="false" customHeight="false" outlineLevel="0" collapsed="false">
      <c r="A315" s="63"/>
      <c r="B315" s="15"/>
      <c r="C315" s="64" t="n">
        <v>41431</v>
      </c>
      <c r="D315" s="8" t="n">
        <v>20.3</v>
      </c>
      <c r="E315" s="8" t="n">
        <v>12.8</v>
      </c>
      <c r="F315" s="8" t="n">
        <v>25.6</v>
      </c>
      <c r="G315" s="8" t="n">
        <f aca="false">G314+D315</f>
        <v>2448.4</v>
      </c>
      <c r="H315" s="8" t="n">
        <f aca="false">H314+D315</f>
        <v>249.7</v>
      </c>
      <c r="J315" s="8" t="n">
        <v>0</v>
      </c>
      <c r="K315" s="8" t="n">
        <f aca="false">J315+K314</f>
        <v>714</v>
      </c>
      <c r="L315" s="8" t="n">
        <v>4</v>
      </c>
      <c r="M315" s="8" t="n">
        <f aca="false">M314+L315</f>
        <v>379.5</v>
      </c>
      <c r="N315" s="8" t="n">
        <v>-4</v>
      </c>
      <c r="O315" s="8" t="n">
        <f aca="false">O314+N315</f>
        <v>134.3</v>
      </c>
      <c r="P315" s="8" t="n">
        <v>275</v>
      </c>
      <c r="Q315" s="18" t="n">
        <f aca="false">1.15+((P315-255)/59)*(0.35-1.15)</f>
        <v>0.878813559322034</v>
      </c>
      <c r="R315" s="12" t="n">
        <f aca="false">Q315*L315</f>
        <v>3.51525423728814</v>
      </c>
      <c r="S315" s="12" t="n">
        <f aca="false">J315-R315</f>
        <v>-3.51525423728814</v>
      </c>
      <c r="T315" s="12" t="n">
        <f aca="false">MIN(197.4,T314+S315)</f>
        <v>121.181694915254</v>
      </c>
      <c r="V315" s="8" t="n">
        <v>2188.8</v>
      </c>
      <c r="X315" s="8" t="n">
        <f aca="false">X314+V315</f>
        <v>207621.5</v>
      </c>
      <c r="Y315" s="8" t="n">
        <f aca="false">Y314+V315</f>
        <v>30547.2</v>
      </c>
      <c r="AA315" s="8" t="n">
        <v>15.8908496129102</v>
      </c>
    </row>
    <row r="316" s="8" customFormat="true" ht="15" hidden="false" customHeight="false" outlineLevel="0" collapsed="false">
      <c r="A316" s="63"/>
      <c r="B316" s="15"/>
      <c r="C316" s="64" t="n">
        <v>41432</v>
      </c>
      <c r="D316" s="8" t="n">
        <v>19.3</v>
      </c>
      <c r="E316" s="8" t="n">
        <v>15.9</v>
      </c>
      <c r="F316" s="8" t="n">
        <v>27.8</v>
      </c>
      <c r="G316" s="8" t="n">
        <f aca="false">G315+D316</f>
        <v>2467.7</v>
      </c>
      <c r="H316" s="8" t="n">
        <f aca="false">H315+D316</f>
        <v>269</v>
      </c>
      <c r="J316" s="8" t="n">
        <v>21.2</v>
      </c>
      <c r="K316" s="8" t="n">
        <f aca="false">J316+K315</f>
        <v>735.2</v>
      </c>
      <c r="L316" s="8" t="n">
        <v>5.3</v>
      </c>
      <c r="M316" s="8" t="n">
        <f aca="false">M315+L316</f>
        <v>384.8</v>
      </c>
      <c r="N316" s="8" t="n">
        <v>15.9</v>
      </c>
      <c r="O316" s="8" t="n">
        <f aca="false">O315+N316</f>
        <v>150.2</v>
      </c>
      <c r="P316" s="8" t="n">
        <v>276</v>
      </c>
      <c r="Q316" s="18" t="n">
        <f aca="false">1.15+((P316-255)/59)*(0.35-1.15)</f>
        <v>0.865254237288136</v>
      </c>
      <c r="R316" s="12" t="n">
        <f aca="false">Q316*L316</f>
        <v>4.58584745762712</v>
      </c>
      <c r="S316" s="12" t="n">
        <f aca="false">J316-R316</f>
        <v>16.6141525423729</v>
      </c>
      <c r="T316" s="12" t="n">
        <f aca="false">MIN(197.4,T315+S316)</f>
        <v>137.795847457627</v>
      </c>
      <c r="V316" s="8" t="n">
        <v>2337.5</v>
      </c>
      <c r="X316" s="8" t="n">
        <f aca="false">X315+V316</f>
        <v>209959</v>
      </c>
      <c r="Y316" s="8" t="n">
        <f aca="false">Y315+V316</f>
        <v>32884.7</v>
      </c>
      <c r="AA316" s="8" t="n">
        <v>15.9121094597803</v>
      </c>
    </row>
    <row r="317" s="8" customFormat="true" ht="15" hidden="false" customHeight="false" outlineLevel="0" collapsed="false">
      <c r="A317" s="63"/>
      <c r="B317" s="15"/>
      <c r="C317" s="64" t="n">
        <v>41433</v>
      </c>
      <c r="D317" s="8" t="n">
        <v>17.4</v>
      </c>
      <c r="E317" s="8" t="n">
        <v>14.6</v>
      </c>
      <c r="F317" s="8" t="n">
        <v>24.1</v>
      </c>
      <c r="G317" s="8" t="n">
        <f aca="false">G316+D317</f>
        <v>2485.1</v>
      </c>
      <c r="H317" s="8" t="n">
        <f aca="false">H316+D317</f>
        <v>286.4</v>
      </c>
      <c r="J317" s="8" t="n">
        <v>0.3</v>
      </c>
      <c r="K317" s="8" t="n">
        <f aca="false">J317+K316</f>
        <v>735.5</v>
      </c>
      <c r="L317" s="8" t="n">
        <v>3.7</v>
      </c>
      <c r="M317" s="8" t="n">
        <f aca="false">M316+L317</f>
        <v>388.5</v>
      </c>
      <c r="N317" s="8" t="n">
        <v>-3.4</v>
      </c>
      <c r="O317" s="8" t="n">
        <f aca="false">O316+N317</f>
        <v>146.8</v>
      </c>
      <c r="P317" s="8" t="n">
        <v>277</v>
      </c>
      <c r="Q317" s="18" t="n">
        <f aca="false">1.15+((P317-255)/59)*(0.35-1.15)</f>
        <v>0.851694915254237</v>
      </c>
      <c r="R317" s="12" t="n">
        <f aca="false">Q317*L317</f>
        <v>3.15127118644068</v>
      </c>
      <c r="S317" s="12" t="n">
        <f aca="false">J317-R317</f>
        <v>-2.85127118644068</v>
      </c>
      <c r="T317" s="12" t="n">
        <f aca="false">MIN(197.4,T316+S317)</f>
        <v>134.944576271186</v>
      </c>
      <c r="V317" s="8" t="n">
        <v>1771.2</v>
      </c>
      <c r="W317" s="43"/>
      <c r="X317" s="8" t="n">
        <f aca="false">X316+V317</f>
        <v>211730.2</v>
      </c>
      <c r="Y317" s="8" t="n">
        <f aca="false">Y316+V317</f>
        <v>34655.9</v>
      </c>
      <c r="AA317" s="8" t="n">
        <v>15.9320936808984</v>
      </c>
    </row>
    <row r="318" s="8" customFormat="true" ht="15" hidden="false" customHeight="true" outlineLevel="0" collapsed="false">
      <c r="A318" s="63"/>
      <c r="B318" s="15"/>
      <c r="C318" s="64" t="n">
        <v>41434</v>
      </c>
      <c r="D318" s="8" t="n">
        <v>13.4</v>
      </c>
      <c r="E318" s="8" t="n">
        <v>12.3</v>
      </c>
      <c r="F318" s="8" t="n">
        <v>14.7</v>
      </c>
      <c r="G318" s="8" t="n">
        <f aca="false">G317+D318</f>
        <v>2498.5</v>
      </c>
      <c r="H318" s="8" t="n">
        <f aca="false">H317+D318</f>
        <v>299.8</v>
      </c>
      <c r="J318" s="8" t="n">
        <v>0</v>
      </c>
      <c r="K318" s="8" t="n">
        <f aca="false">J318+K317</f>
        <v>735.5</v>
      </c>
      <c r="L318" s="8" t="n">
        <v>1.2</v>
      </c>
      <c r="M318" s="8" t="n">
        <f aca="false">M317+L318</f>
        <v>389.7</v>
      </c>
      <c r="N318" s="8" t="n">
        <v>-1.2</v>
      </c>
      <c r="O318" s="8" t="n">
        <f aca="false">O317+N318</f>
        <v>145.6</v>
      </c>
      <c r="P318" s="8" t="n">
        <v>278</v>
      </c>
      <c r="Q318" s="18" t="n">
        <f aca="false">1.15+((P318-255)/59)*(0.35-1.15)</f>
        <v>0.838135593220339</v>
      </c>
      <c r="R318" s="12" t="n">
        <f aca="false">Q318*L318</f>
        <v>1.00576271186441</v>
      </c>
      <c r="S318" s="12" t="n">
        <f aca="false">J318-R318</f>
        <v>-1.00576271186441</v>
      </c>
      <c r="T318" s="12" t="n">
        <f aca="false">MIN(197.4,T317+S318)</f>
        <v>133.938813559322</v>
      </c>
      <c r="U318" s="46"/>
      <c r="V318" s="8" t="n">
        <v>686.6</v>
      </c>
      <c r="X318" s="8" t="n">
        <f aca="false">X317+V318</f>
        <v>212416.8</v>
      </c>
      <c r="Y318" s="8" t="n">
        <f aca="false">Y317+V318</f>
        <v>35342.5</v>
      </c>
      <c r="AA318" s="8" t="n">
        <v>15.950783751414</v>
      </c>
    </row>
    <row r="319" s="23" customFormat="true" ht="15" hidden="false" customHeight="false" outlineLevel="0" collapsed="false">
      <c r="A319" s="66"/>
      <c r="B319" s="21" t="n">
        <v>600</v>
      </c>
      <c r="C319" s="67" t="n">
        <v>41435</v>
      </c>
      <c r="D319" s="23" t="n">
        <v>15.1</v>
      </c>
      <c r="E319" s="23" t="n">
        <v>12.5</v>
      </c>
      <c r="F319" s="23" t="n">
        <v>18.2</v>
      </c>
      <c r="G319" s="23" t="n">
        <f aca="false">G318+D319</f>
        <v>2513.6</v>
      </c>
      <c r="H319" s="23" t="n">
        <f aca="false">H318+D319</f>
        <v>314.9</v>
      </c>
      <c r="J319" s="23" t="n">
        <v>1.7</v>
      </c>
      <c r="K319" s="23" t="n">
        <f aca="false">J319+K318</f>
        <v>737.2</v>
      </c>
      <c r="L319" s="23" t="n">
        <v>1.9</v>
      </c>
      <c r="M319" s="23" t="n">
        <f aca="false">M318+L319</f>
        <v>391.6</v>
      </c>
      <c r="N319" s="23" t="n">
        <v>-0.2</v>
      </c>
      <c r="O319" s="23" t="n">
        <f aca="false">O318+N319</f>
        <v>145.4</v>
      </c>
      <c r="P319" s="23" t="n">
        <v>279</v>
      </c>
      <c r="Q319" s="49" t="n">
        <f aca="false">1.15+((P319-255)/59)*(0.35-1.15)</f>
        <v>0.824576271186441</v>
      </c>
      <c r="R319" s="24" t="n">
        <f aca="false">Q319*L319</f>
        <v>1.56669491525424</v>
      </c>
      <c r="S319" s="24" t="n">
        <f aca="false">J319-R319</f>
        <v>0.133305084745763</v>
      </c>
      <c r="T319" s="24" t="n">
        <f aca="false">MIN(197.4,T318+S319)</f>
        <v>134.072118644068</v>
      </c>
      <c r="V319" s="23" t="n">
        <v>915</v>
      </c>
      <c r="X319" s="23" t="n">
        <f aca="false">X318+V319</f>
        <v>213331.8</v>
      </c>
      <c r="Y319" s="23" t="n">
        <f aca="false">Y318+V319</f>
        <v>36257.5</v>
      </c>
      <c r="AA319" s="23" t="n">
        <v>15.9681621559513</v>
      </c>
    </row>
    <row r="320" s="8" customFormat="true" ht="15" hidden="false" customHeight="false" outlineLevel="0" collapsed="false">
      <c r="A320" s="68"/>
      <c r="B320" s="15"/>
      <c r="C320" s="69" t="n">
        <v>41436</v>
      </c>
      <c r="D320" s="8" t="n">
        <v>15.7</v>
      </c>
      <c r="E320" s="8" t="n">
        <v>14.2</v>
      </c>
      <c r="F320" s="8" t="n">
        <v>17.1</v>
      </c>
      <c r="G320" s="8" t="n">
        <f aca="false">G319+D320</f>
        <v>2529.3</v>
      </c>
      <c r="H320" s="8" t="n">
        <v>15.7</v>
      </c>
      <c r="I320" s="70" t="s">
        <v>28</v>
      </c>
      <c r="J320" s="8" t="n">
        <v>0.7</v>
      </c>
      <c r="K320" s="8" t="n">
        <f aca="false">J320+K319</f>
        <v>737.9</v>
      </c>
      <c r="L320" s="8" t="n">
        <v>0.9</v>
      </c>
      <c r="M320" s="8" t="n">
        <f aca="false">M319+L320</f>
        <v>392.5</v>
      </c>
      <c r="N320" s="8" t="n">
        <v>-0.2</v>
      </c>
      <c r="O320" s="8" t="n">
        <f aca="false">O319+N320</f>
        <v>145.2</v>
      </c>
      <c r="P320" s="8" t="n">
        <v>280</v>
      </c>
      <c r="Q320" s="18" t="n">
        <f aca="false">1.15+((P320-255)/59)*(0.35-1.15)</f>
        <v>0.811016949152542</v>
      </c>
      <c r="R320" s="12" t="n">
        <f aca="false">Q320*L320</f>
        <v>0.729915254237288</v>
      </c>
      <c r="S320" s="12" t="n">
        <f aca="false">J320-R320</f>
        <v>-0.0299152542372881</v>
      </c>
      <c r="T320" s="12" t="n">
        <f aca="false">MIN(197.4,T319+S320)</f>
        <v>134.042203389831</v>
      </c>
      <c r="U320" s="70" t="s">
        <v>29</v>
      </c>
      <c r="V320" s="8" t="n">
        <v>455.8</v>
      </c>
      <c r="X320" s="8" t="n">
        <f aca="false">X319+V320</f>
        <v>213787.6</v>
      </c>
      <c r="Y320" s="8" t="n">
        <v>455.8</v>
      </c>
      <c r="Z320" s="70" t="s">
        <v>30</v>
      </c>
      <c r="AA320" s="8" t="n">
        <v>15.9842124491506</v>
      </c>
    </row>
    <row r="321" s="8" customFormat="true" ht="15" hidden="false" customHeight="false" outlineLevel="0" collapsed="false">
      <c r="A321" s="68"/>
      <c r="B321" s="15"/>
      <c r="C321" s="69" t="n">
        <v>41437</v>
      </c>
      <c r="D321" s="8" t="n">
        <v>16.8</v>
      </c>
      <c r="E321" s="8" t="n">
        <v>15.5</v>
      </c>
      <c r="F321" s="8" t="n">
        <v>18.6</v>
      </c>
      <c r="G321" s="8" t="n">
        <f aca="false">G320+D321</f>
        <v>2546.1</v>
      </c>
      <c r="H321" s="8" t="n">
        <f aca="false">H320+D321</f>
        <v>32.5</v>
      </c>
      <c r="I321" s="8" t="n">
        <f aca="false">MIN(E320:E345)</f>
        <v>7.9</v>
      </c>
      <c r="J321" s="8" t="n">
        <v>1.8</v>
      </c>
      <c r="K321" s="8" t="n">
        <f aca="false">J321+K320</f>
        <v>739.7</v>
      </c>
      <c r="L321" s="8" t="n">
        <v>1.2</v>
      </c>
      <c r="M321" s="8" t="n">
        <f aca="false">M320+L321</f>
        <v>393.7</v>
      </c>
      <c r="N321" s="8" t="n">
        <v>0.6</v>
      </c>
      <c r="O321" s="8" t="n">
        <f aca="false">O320+N321</f>
        <v>145.8</v>
      </c>
      <c r="P321" s="8" t="n">
        <v>281</v>
      </c>
      <c r="Q321" s="18" t="n">
        <f aca="false">1.15+((P321-255)/59)*(0.35-1.15)</f>
        <v>0.797457627118644</v>
      </c>
      <c r="R321" s="12" t="n">
        <f aca="false">Q321*L321</f>
        <v>0.956949152542373</v>
      </c>
      <c r="S321" s="12" t="n">
        <f aca="false">J321-R321</f>
        <v>0.843050847457627</v>
      </c>
      <c r="T321" s="12" t="n">
        <f aca="false">MIN(197.4,T320+S321)</f>
        <v>134.885254237288</v>
      </c>
      <c r="V321" s="8" t="n">
        <v>524.2</v>
      </c>
      <c r="X321" s="8" t="n">
        <f aca="false">X320+V321</f>
        <v>214311.8</v>
      </c>
      <c r="Y321" s="8" t="n">
        <f aca="false">Y320+V321</f>
        <v>980</v>
      </c>
      <c r="Z321" s="8" t="n">
        <v>31916.8</v>
      </c>
      <c r="AA321" s="8" t="n">
        <v>15.9989193135647</v>
      </c>
    </row>
    <row r="322" s="8" customFormat="true" ht="15" hidden="false" customHeight="false" outlineLevel="0" collapsed="false">
      <c r="A322" s="68"/>
      <c r="B322" s="15"/>
      <c r="C322" s="69" t="n">
        <v>41438</v>
      </c>
      <c r="D322" s="8" t="n">
        <v>14.9</v>
      </c>
      <c r="E322" s="8" t="n">
        <v>13.9</v>
      </c>
      <c r="F322" s="8" t="n">
        <v>18.4</v>
      </c>
      <c r="G322" s="8" t="n">
        <f aca="false">G321+D322</f>
        <v>2561</v>
      </c>
      <c r="H322" s="8" t="n">
        <f aca="false">H321+D322</f>
        <v>47.4</v>
      </c>
      <c r="I322" s="70" t="s">
        <v>31</v>
      </c>
      <c r="J322" s="8" t="n">
        <v>0.8</v>
      </c>
      <c r="K322" s="8" t="n">
        <f aca="false">J322+K321</f>
        <v>740.5</v>
      </c>
      <c r="L322" s="8" t="n">
        <v>2.4</v>
      </c>
      <c r="M322" s="8" t="n">
        <f aca="false">M321+L322</f>
        <v>396.1</v>
      </c>
      <c r="N322" s="8" t="n">
        <v>-1.6</v>
      </c>
      <c r="O322" s="8" t="n">
        <f aca="false">O321+N322</f>
        <v>144.2</v>
      </c>
      <c r="P322" s="8" t="n">
        <v>282</v>
      </c>
      <c r="Q322" s="18" t="n">
        <f aca="false">1.15+((P322-255)/59)*(0.35-1.15)</f>
        <v>0.783898305084746</v>
      </c>
      <c r="R322" s="12" t="n">
        <f aca="false">Q322*L322</f>
        <v>1.88135593220339</v>
      </c>
      <c r="S322" s="12" t="n">
        <f aca="false">J322-R322</f>
        <v>-1.08135593220339</v>
      </c>
      <c r="T322" s="12" t="n">
        <f aca="false">MIN(197.4,T321+S322)</f>
        <v>133.803898305085</v>
      </c>
      <c r="U322" s="70" t="s">
        <v>32</v>
      </c>
      <c r="V322" s="8" t="n">
        <v>1177.1</v>
      </c>
      <c r="X322" s="8" t="n">
        <f aca="false">X321+V322</f>
        <v>215488.9</v>
      </c>
      <c r="Y322" s="8" t="n">
        <f aca="false">Y321+V322</f>
        <v>2157.1</v>
      </c>
      <c r="Z322" s="70" t="s">
        <v>33</v>
      </c>
      <c r="AA322" s="8" t="n">
        <v>16.0122686145</v>
      </c>
    </row>
    <row r="323" s="8" customFormat="true" ht="15" hidden="false" customHeight="false" outlineLevel="0" collapsed="false">
      <c r="A323" s="68"/>
      <c r="B323" s="15"/>
      <c r="C323" s="69" t="n">
        <v>41439</v>
      </c>
      <c r="D323" s="8" t="n">
        <v>15</v>
      </c>
      <c r="E323" s="8" t="n">
        <v>9.9</v>
      </c>
      <c r="F323" s="8" t="n">
        <v>20.2</v>
      </c>
      <c r="G323" s="8" t="n">
        <f aca="false">G322+D323</f>
        <v>2576</v>
      </c>
      <c r="H323" s="8" t="n">
        <f aca="false">H322+D323</f>
        <v>62.4</v>
      </c>
      <c r="I323" s="8" t="n">
        <f aca="false">MAX(F320:F345)</f>
        <v>24.9</v>
      </c>
      <c r="J323" s="8" t="n">
        <v>0.3</v>
      </c>
      <c r="K323" s="8" t="n">
        <f aca="false">J323+K322</f>
        <v>740.8</v>
      </c>
      <c r="L323" s="8" t="n">
        <v>2.9</v>
      </c>
      <c r="M323" s="8" t="n">
        <f aca="false">M322+L323</f>
        <v>399</v>
      </c>
      <c r="N323" s="8" t="n">
        <v>-2.6</v>
      </c>
      <c r="O323" s="8" t="n">
        <f aca="false">O322+N323</f>
        <v>141.6</v>
      </c>
      <c r="P323" s="8" t="n">
        <v>283</v>
      </c>
      <c r="Q323" s="18" t="n">
        <f aca="false">1.15+((P323-255)/59)*(0.35-1.15)</f>
        <v>0.770338983050847</v>
      </c>
      <c r="R323" s="12" t="n">
        <f aca="false">Q323*L323</f>
        <v>2.23398305084746</v>
      </c>
      <c r="S323" s="12" t="n">
        <f aca="false">J323-R323</f>
        <v>-1.93398305084746</v>
      </c>
      <c r="T323" s="12" t="n">
        <f aca="false">MIN(197.4,T322+S323)</f>
        <v>131.869915254237</v>
      </c>
      <c r="V323" s="8" t="n">
        <v>1511.9</v>
      </c>
      <c r="X323" s="8" t="n">
        <f aca="false">X322+V323</f>
        <v>217000.8</v>
      </c>
      <c r="Y323" s="8" t="n">
        <f aca="false">Y322+V323</f>
        <v>3669</v>
      </c>
      <c r="Z323" s="8" t="n">
        <f aca="false">(Z321/100)/I333</f>
        <v>0.765574478292156</v>
      </c>
      <c r="AA323" s="8" t="n">
        <v>16.0242474514084</v>
      </c>
    </row>
    <row r="324" s="8" customFormat="true" ht="15" hidden="false" customHeight="false" outlineLevel="0" collapsed="false">
      <c r="A324" s="68"/>
      <c r="B324" s="15"/>
      <c r="C324" s="69" t="n">
        <v>41440</v>
      </c>
      <c r="D324" s="8" t="n">
        <v>14.7</v>
      </c>
      <c r="E324" s="8" t="n">
        <v>11.9</v>
      </c>
      <c r="F324" s="8" t="n">
        <v>17.3</v>
      </c>
      <c r="G324" s="8" t="n">
        <f aca="false">G323+D324</f>
        <v>2590.7</v>
      </c>
      <c r="H324" s="8" t="n">
        <f aca="false">H323+D324</f>
        <v>77.1</v>
      </c>
      <c r="I324" s="70" t="s">
        <v>34</v>
      </c>
      <c r="J324" s="8" t="n">
        <v>0</v>
      </c>
      <c r="K324" s="8" t="n">
        <f aca="false">J324+K323</f>
        <v>740.8</v>
      </c>
      <c r="L324" s="8" t="n">
        <v>3.2</v>
      </c>
      <c r="M324" s="8" t="n">
        <f aca="false">M323+L324</f>
        <v>402.2</v>
      </c>
      <c r="N324" s="8" t="n">
        <v>-3.2</v>
      </c>
      <c r="O324" s="8" t="n">
        <f aca="false">O323+N324</f>
        <v>138.4</v>
      </c>
      <c r="P324" s="8" t="n">
        <v>284</v>
      </c>
      <c r="Q324" s="18" t="n">
        <f aca="false">1.15+((P324-255)/59)*(0.35-1.15)</f>
        <v>0.756779661016949</v>
      </c>
      <c r="R324" s="12" t="n">
        <f aca="false">Q324*L324</f>
        <v>2.42169491525424</v>
      </c>
      <c r="S324" s="12" t="n">
        <f aca="false">J324-R324</f>
        <v>-2.42169491525424</v>
      </c>
      <c r="T324" s="12" t="n">
        <f aca="false">MIN(197.4,T323+S324)</f>
        <v>129.448220338983</v>
      </c>
      <c r="U324" s="70" t="s">
        <v>35</v>
      </c>
      <c r="V324" s="8" t="n">
        <v>1936.7</v>
      </c>
      <c r="X324" s="8" t="n">
        <f aca="false">X323+V324</f>
        <v>218937.5</v>
      </c>
      <c r="Y324" s="8" t="n">
        <f aca="false">Y323+V324</f>
        <v>5605.7</v>
      </c>
      <c r="Z324" s="70" t="s">
        <v>36</v>
      </c>
      <c r="AA324" s="8" t="n">
        <v>16.0348442054484</v>
      </c>
    </row>
    <row r="325" s="8" customFormat="true" ht="15" hidden="false" customHeight="false" outlineLevel="0" collapsed="false">
      <c r="A325" s="68"/>
      <c r="B325" s="15"/>
      <c r="C325" s="69" t="n">
        <v>41441</v>
      </c>
      <c r="D325" s="8" t="n">
        <v>16.2</v>
      </c>
      <c r="E325" s="8" t="n">
        <v>11.8</v>
      </c>
      <c r="F325" s="8" t="n">
        <v>19.9</v>
      </c>
      <c r="G325" s="8" t="n">
        <f aca="false">G324+D325</f>
        <v>2606.9</v>
      </c>
      <c r="H325" s="8" t="n">
        <f aca="false">H324+D325</f>
        <v>93.3</v>
      </c>
      <c r="I325" s="12" t="n">
        <f aca="false">AVERAGE(D320:D345)</f>
        <v>16.0346153846154</v>
      </c>
      <c r="J325" s="8" t="n">
        <v>6.7</v>
      </c>
      <c r="K325" s="8" t="n">
        <f aca="false">J325+K324</f>
        <v>747.5</v>
      </c>
      <c r="L325" s="8" t="n">
        <v>1.5</v>
      </c>
      <c r="M325" s="8" t="n">
        <f aca="false">M324+L325</f>
        <v>403.7</v>
      </c>
      <c r="N325" s="8" t="n">
        <v>5.2</v>
      </c>
      <c r="O325" s="8" t="n">
        <f aca="false">O324+N325</f>
        <v>143.6</v>
      </c>
      <c r="P325" s="8" t="n">
        <v>285</v>
      </c>
      <c r="Q325" s="18" t="n">
        <f aca="false">1.15+((P325-255)/59)*(0.35-1.15)</f>
        <v>0.743220338983051</v>
      </c>
      <c r="R325" s="12" t="n">
        <f aca="false">Q325*L325</f>
        <v>1.11483050847458</v>
      </c>
      <c r="S325" s="12" t="n">
        <f aca="false">J325-R325</f>
        <v>5.58516949152542</v>
      </c>
      <c r="T325" s="12" t="n">
        <f aca="false">MIN(197.4,T324+S325)</f>
        <v>135.033389830508</v>
      </c>
      <c r="V325" s="8" t="n">
        <v>1026.2</v>
      </c>
      <c r="X325" s="8" t="n">
        <f aca="false">X324+V325</f>
        <v>219963.7</v>
      </c>
      <c r="Y325" s="8" t="n">
        <f aca="false">Y324+V325</f>
        <v>6631.9</v>
      </c>
      <c r="Z325" s="8" t="n">
        <v>9</v>
      </c>
      <c r="AA325" s="8" t="n">
        <v>16.0440485828574</v>
      </c>
    </row>
    <row r="326" s="8" customFormat="true" ht="15" hidden="false" customHeight="false" outlineLevel="0" collapsed="false">
      <c r="A326" s="68"/>
      <c r="B326" s="15"/>
      <c r="C326" s="69" t="n">
        <v>41442</v>
      </c>
      <c r="D326" s="8" t="n">
        <v>18.9</v>
      </c>
      <c r="E326" s="8" t="n">
        <v>15</v>
      </c>
      <c r="F326" s="8" t="n">
        <v>24.5</v>
      </c>
      <c r="G326" s="8" t="n">
        <f aca="false">G325+D326</f>
        <v>2625.8</v>
      </c>
      <c r="H326" s="8" t="n">
        <f aca="false">H325+D326</f>
        <v>112.2</v>
      </c>
      <c r="I326" s="70" t="s">
        <v>37</v>
      </c>
      <c r="J326" s="8" t="n">
        <v>0.6</v>
      </c>
      <c r="K326" s="8" t="n">
        <f aca="false">J326+K325</f>
        <v>748.1</v>
      </c>
      <c r="L326" s="8" t="n">
        <v>1.5</v>
      </c>
      <c r="M326" s="8" t="n">
        <f aca="false">M325+L326</f>
        <v>405.2</v>
      </c>
      <c r="N326" s="8" t="n">
        <v>-0.9</v>
      </c>
      <c r="O326" s="8" t="n">
        <f aca="false">O325+N326</f>
        <v>142.7</v>
      </c>
      <c r="P326" s="8" t="n">
        <v>286</v>
      </c>
      <c r="Q326" s="18" t="n">
        <f aca="false">1.15+((P326-255)/59)*(0.35-1.15)</f>
        <v>0.729661016949152</v>
      </c>
      <c r="R326" s="12" t="n">
        <f aca="false">Q326*L326</f>
        <v>1.09449152542373</v>
      </c>
      <c r="S326" s="12" t="n">
        <f aca="false">J326-R326</f>
        <v>-0.494491525423729</v>
      </c>
      <c r="T326" s="12" t="n">
        <f aca="false">MIN(197.4,T325+S326)</f>
        <v>134.538898305085</v>
      </c>
      <c r="U326" s="70" t="s">
        <v>38</v>
      </c>
      <c r="V326" s="8" t="n">
        <v>772.9</v>
      </c>
      <c r="X326" s="8" t="n">
        <f aca="false">X325+V326</f>
        <v>220736.6</v>
      </c>
      <c r="Y326" s="8" t="n">
        <f aca="false">Y325+V326</f>
        <v>7404.8</v>
      </c>
      <c r="AA326" s="8" t="n">
        <v>16.0518516538001</v>
      </c>
    </row>
    <row r="327" s="8" customFormat="true" ht="15" hidden="false" customHeight="false" outlineLevel="0" collapsed="false">
      <c r="A327" s="68"/>
      <c r="B327" s="15"/>
      <c r="C327" s="69" t="n">
        <v>41443</v>
      </c>
      <c r="D327" s="8" t="n">
        <v>16.2</v>
      </c>
      <c r="E327" s="8" t="n">
        <v>12.7</v>
      </c>
      <c r="F327" s="8" t="n">
        <v>19.8</v>
      </c>
      <c r="G327" s="8" t="n">
        <f aca="false">G326+D327</f>
        <v>2642</v>
      </c>
      <c r="H327" s="8" t="n">
        <f aca="false">H326+D327</f>
        <v>128.4</v>
      </c>
      <c r="I327" s="8" t="n">
        <v>0</v>
      </c>
      <c r="J327" s="8" t="n">
        <v>0.6</v>
      </c>
      <c r="K327" s="8" t="n">
        <f aca="false">J327+K326</f>
        <v>748.7</v>
      </c>
      <c r="L327" s="8" t="n">
        <v>1.5</v>
      </c>
      <c r="M327" s="8" t="n">
        <f aca="false">M326+L327</f>
        <v>406.7</v>
      </c>
      <c r="N327" s="8" t="n">
        <v>-0.9</v>
      </c>
      <c r="O327" s="8" t="n">
        <f aca="false">O326+N327</f>
        <v>141.8</v>
      </c>
      <c r="P327" s="8" t="n">
        <v>287</v>
      </c>
      <c r="Q327" s="18" t="n">
        <f aca="false">1.15+((P327-255)/59)*(0.35-1.15)</f>
        <v>0.716101694915254</v>
      </c>
      <c r="R327" s="12" t="n">
        <f aca="false">Q327*L327</f>
        <v>1.07415254237288</v>
      </c>
      <c r="S327" s="12" t="n">
        <f aca="false">J327-R327</f>
        <v>-0.474152542372881</v>
      </c>
      <c r="T327" s="12" t="n">
        <f aca="false">MIN(197.4,T326+S327)</f>
        <v>134.064745762712</v>
      </c>
      <c r="U327" s="12"/>
      <c r="V327" s="8" t="n">
        <v>977.3</v>
      </c>
      <c r="X327" s="8" t="n">
        <f aca="false">X326+V327</f>
        <v>221713.9</v>
      </c>
      <c r="Y327" s="8" t="n">
        <f aca="false">Y326+V327</f>
        <v>8382.1</v>
      </c>
      <c r="AA327" s="8" t="n">
        <v>16.0582458863922</v>
      </c>
    </row>
    <row r="328" s="8" customFormat="true" ht="15" hidden="false" customHeight="false" outlineLevel="0" collapsed="false">
      <c r="A328" s="68"/>
      <c r="B328" s="15"/>
      <c r="C328" s="69" t="n">
        <v>41444</v>
      </c>
      <c r="D328" s="8" t="n">
        <v>16.3</v>
      </c>
      <c r="E328" s="8" t="n">
        <v>14.5</v>
      </c>
      <c r="F328" s="8" t="n">
        <v>19.6</v>
      </c>
      <c r="G328" s="8" t="n">
        <f aca="false">G327+D328</f>
        <v>2658.3</v>
      </c>
      <c r="H328" s="8" t="n">
        <f aca="false">H327+D328</f>
        <v>144.7</v>
      </c>
      <c r="I328" s="70" t="s">
        <v>39</v>
      </c>
      <c r="J328" s="8" t="n">
        <v>0.9</v>
      </c>
      <c r="K328" s="8" t="n">
        <f aca="false">J328+K327</f>
        <v>749.6</v>
      </c>
      <c r="L328" s="8" t="n">
        <v>2.2</v>
      </c>
      <c r="M328" s="8" t="n">
        <f aca="false">M327+L328</f>
        <v>408.9</v>
      </c>
      <c r="N328" s="8" t="n">
        <v>-1.3</v>
      </c>
      <c r="O328" s="8" t="n">
        <f aca="false">O327+N328</f>
        <v>140.5</v>
      </c>
      <c r="P328" s="8" t="n">
        <v>288</v>
      </c>
      <c r="Q328" s="18" t="n">
        <f aca="false">1.15+((P328-255)/59)*(0.35-1.15)</f>
        <v>0.702542372881356</v>
      </c>
      <c r="R328" s="12" t="n">
        <f aca="false">Q328*L328</f>
        <v>1.54559322033898</v>
      </c>
      <c r="S328" s="12" t="n">
        <f aca="false">J328-R328</f>
        <v>-0.645593220338983</v>
      </c>
      <c r="T328" s="12" t="n">
        <f aca="false">MIN(197.4,T327+S328)</f>
        <v>133.419152542373</v>
      </c>
      <c r="U328" s="70" t="s">
        <v>40</v>
      </c>
      <c r="V328" s="8" t="n">
        <v>1055.8</v>
      </c>
      <c r="X328" s="8" t="n">
        <f aca="false">X327+V328</f>
        <v>222769.7</v>
      </c>
      <c r="Y328" s="8" t="n">
        <f aca="false">Y327+V328</f>
        <v>9437.9</v>
      </c>
      <c r="AA328" s="8" t="n">
        <v>16.0632251756265</v>
      </c>
    </row>
    <row r="329" s="8" customFormat="true" ht="15" hidden="false" customHeight="false" outlineLevel="0" collapsed="false">
      <c r="A329" s="68"/>
      <c r="B329" s="15"/>
      <c r="C329" s="69" t="n">
        <v>41445</v>
      </c>
      <c r="D329" s="8" t="n">
        <v>15.8</v>
      </c>
      <c r="E329" s="8" t="n">
        <v>10.7</v>
      </c>
      <c r="F329" s="8" t="n">
        <v>19.8</v>
      </c>
      <c r="G329" s="8" t="n">
        <f aca="false">G328+D329</f>
        <v>2674.1</v>
      </c>
      <c r="H329" s="8" t="n">
        <f aca="false">H328+D329</f>
        <v>160.5</v>
      </c>
      <c r="I329" s="8" t="n">
        <v>0</v>
      </c>
      <c r="J329" s="8" t="n">
        <v>0.2</v>
      </c>
      <c r="K329" s="8" t="n">
        <f aca="false">J329+K328</f>
        <v>749.8</v>
      </c>
      <c r="L329" s="8" t="n">
        <v>1.8</v>
      </c>
      <c r="M329" s="8" t="n">
        <f aca="false">M328+L329</f>
        <v>410.7</v>
      </c>
      <c r="N329" s="8" t="n">
        <v>-1.6</v>
      </c>
      <c r="O329" s="8" t="n">
        <f aca="false">O328+N329</f>
        <v>138.9</v>
      </c>
      <c r="P329" s="8" t="n">
        <v>289</v>
      </c>
      <c r="Q329" s="18" t="n">
        <f aca="false">1.15+((P329-255)/59)*(0.35-1.15)</f>
        <v>0.688983050847458</v>
      </c>
      <c r="R329" s="12" t="n">
        <f aca="false">Q329*L329</f>
        <v>1.24016949152542</v>
      </c>
      <c r="S329" s="12" t="n">
        <f aca="false">J329-R329</f>
        <v>-1.04016949152542</v>
      </c>
      <c r="T329" s="12" t="n">
        <f aca="false">MIN(197.4,T328+S329)</f>
        <v>132.378983050847</v>
      </c>
      <c r="U329" s="12"/>
      <c r="V329" s="8" t="n">
        <v>940.2</v>
      </c>
      <c r="X329" s="8" t="n">
        <f aca="false">X328+V329</f>
        <v>223709.9</v>
      </c>
      <c r="Y329" s="8" t="n">
        <f aca="false">Y328+V329</f>
        <v>10378.1</v>
      </c>
      <c r="AA329" s="8" t="n">
        <v>16.0667848669732</v>
      </c>
    </row>
    <row r="330" s="8" customFormat="true" ht="15" hidden="false" customHeight="false" outlineLevel="0" collapsed="false">
      <c r="A330" s="68"/>
      <c r="B330" s="15"/>
      <c r="C330" s="69" t="n">
        <v>41446</v>
      </c>
      <c r="D330" s="8" t="n">
        <v>15.5</v>
      </c>
      <c r="E330" s="8" t="n">
        <v>13.5</v>
      </c>
      <c r="F330" s="8" t="n">
        <v>18</v>
      </c>
      <c r="G330" s="8" t="n">
        <f aca="false">G329+D330</f>
        <v>2689.6</v>
      </c>
      <c r="H330" s="8" t="n">
        <f aca="false">H329+D330</f>
        <v>176</v>
      </c>
      <c r="I330" s="70" t="s">
        <v>41</v>
      </c>
      <c r="J330" s="8" t="n">
        <v>1.8</v>
      </c>
      <c r="K330" s="8" t="n">
        <f aca="false">J330+K329</f>
        <v>751.6</v>
      </c>
      <c r="L330" s="8" t="n">
        <v>1.6</v>
      </c>
      <c r="M330" s="8" t="n">
        <f aca="false">M329+L330</f>
        <v>412.3</v>
      </c>
      <c r="N330" s="8" t="n">
        <v>0.2</v>
      </c>
      <c r="O330" s="8" t="n">
        <f aca="false">O329+N330</f>
        <v>139.1</v>
      </c>
      <c r="P330" s="8" t="n">
        <v>290</v>
      </c>
      <c r="Q330" s="18" t="n">
        <f aca="false">1.15+((P330-255)/59)*(0.35-1.15)</f>
        <v>0.675423728813559</v>
      </c>
      <c r="R330" s="12" t="n">
        <f aca="false">Q330*L330</f>
        <v>1.0806779661017</v>
      </c>
      <c r="S330" s="12" t="n">
        <f aca="false">J330-R330</f>
        <v>0.719322033898305</v>
      </c>
      <c r="T330" s="12" t="n">
        <f aca="false">MIN(197.4,T329+S330)</f>
        <v>133.098305084746</v>
      </c>
      <c r="U330" s="70" t="s">
        <v>42</v>
      </c>
      <c r="V330" s="8" t="n">
        <v>773.1</v>
      </c>
      <c r="X330" s="8" t="n">
        <f aca="false">X329+V330</f>
        <v>224483</v>
      </c>
      <c r="Y330" s="8" t="n">
        <f aca="false">Y329+V330</f>
        <v>11151.2</v>
      </c>
      <c r="AA330" s="8" t="n">
        <v>16.0689217744591</v>
      </c>
    </row>
    <row r="331" s="8" customFormat="true" ht="15" hidden="false" customHeight="false" outlineLevel="0" collapsed="false">
      <c r="A331" s="68"/>
      <c r="B331" s="15"/>
      <c r="C331" s="69" t="n">
        <v>41447</v>
      </c>
      <c r="D331" s="8" t="n">
        <v>15.2</v>
      </c>
      <c r="E331" s="8" t="n">
        <v>12.9</v>
      </c>
      <c r="F331" s="8" t="n">
        <v>18.1</v>
      </c>
      <c r="G331" s="8" t="n">
        <f aca="false">G330+D331</f>
        <v>2704.8</v>
      </c>
      <c r="H331" s="8" t="n">
        <f aca="false">H330+D331</f>
        <v>191.2</v>
      </c>
      <c r="I331" s="8" t="n">
        <v>0</v>
      </c>
      <c r="J331" s="8" t="n">
        <v>0.6</v>
      </c>
      <c r="K331" s="8" t="n">
        <f aca="false">J331+K330</f>
        <v>752.2</v>
      </c>
      <c r="L331" s="8" t="n">
        <v>1.4</v>
      </c>
      <c r="M331" s="8" t="n">
        <f aca="false">M330+L331</f>
        <v>413.7</v>
      </c>
      <c r="N331" s="8" t="n">
        <v>-0.8</v>
      </c>
      <c r="O331" s="8" t="n">
        <f aca="false">O330+N331</f>
        <v>138.3</v>
      </c>
      <c r="P331" s="8" t="n">
        <v>291</v>
      </c>
      <c r="Q331" s="18" t="n">
        <f aca="false">1.15+((P331-255)/59)*(0.35-1.15)</f>
        <v>0.661864406779661</v>
      </c>
      <c r="R331" s="12" t="n">
        <f aca="false">Q331*L331</f>
        <v>0.926610169491525</v>
      </c>
      <c r="S331" s="12" t="n">
        <f aca="false">J331-R331</f>
        <v>-0.326610169491525</v>
      </c>
      <c r="T331" s="12" t="n">
        <f aca="false">MIN(197.4,T330+S331)</f>
        <v>132.771694915254</v>
      </c>
      <c r="U331" s="18" t="n">
        <f aca="false">AVERAGE(T320:T345)</f>
        <v>128.647731421121</v>
      </c>
      <c r="V331" s="8" t="n">
        <v>608.5</v>
      </c>
      <c r="X331" s="8" t="n">
        <f aca="false">X330+V331</f>
        <v>225091.5</v>
      </c>
      <c r="Y331" s="8" t="n">
        <f aca="false">Y330+V331</f>
        <v>11759.7</v>
      </c>
      <c r="AA331" s="8" t="n">
        <v>16.0696341930829</v>
      </c>
    </row>
    <row r="332" s="8" customFormat="true" ht="15" hidden="false" customHeight="false" outlineLevel="0" collapsed="false">
      <c r="A332" s="68"/>
      <c r="B332" s="15"/>
      <c r="C332" s="69" t="n">
        <v>41448</v>
      </c>
      <c r="D332" s="8" t="n">
        <v>14</v>
      </c>
      <c r="E332" s="8" t="n">
        <v>12.6</v>
      </c>
      <c r="F332" s="8" t="n">
        <v>15.7</v>
      </c>
      <c r="G332" s="8" t="n">
        <f aca="false">G331+D332</f>
        <v>2718.8</v>
      </c>
      <c r="H332" s="8" t="n">
        <f aca="false">H331+D332</f>
        <v>205.2</v>
      </c>
      <c r="I332" s="70" t="s">
        <v>43</v>
      </c>
      <c r="J332" s="8" t="n">
        <v>2.2</v>
      </c>
      <c r="K332" s="8" t="n">
        <f aca="false">J332+K331</f>
        <v>754.4</v>
      </c>
      <c r="L332" s="8" t="n">
        <v>2.4</v>
      </c>
      <c r="M332" s="8" t="n">
        <f aca="false">M331+L332</f>
        <v>416.1</v>
      </c>
      <c r="N332" s="8" t="n">
        <v>-0.2</v>
      </c>
      <c r="O332" s="8" t="n">
        <f aca="false">O331+N332</f>
        <v>138.1</v>
      </c>
      <c r="P332" s="8" t="n">
        <v>292</v>
      </c>
      <c r="Q332" s="18" t="n">
        <f aca="false">1.15+((P332-255)/59)*(0.35-1.15)</f>
        <v>0.648305084745763</v>
      </c>
      <c r="R332" s="12" t="n">
        <f aca="false">Q332*L332</f>
        <v>1.55593220338983</v>
      </c>
      <c r="S332" s="12" t="n">
        <f aca="false">J332-R332</f>
        <v>0.64406779661017</v>
      </c>
      <c r="T332" s="12" t="n">
        <f aca="false">MIN(197.4,T331+S332)</f>
        <v>133.415762711864</v>
      </c>
      <c r="V332" s="8" t="n">
        <v>1268.6</v>
      </c>
      <c r="X332" s="8" t="n">
        <f aca="false">X331+V332</f>
        <v>226360.1</v>
      </c>
      <c r="Y332" s="8" t="n">
        <f aca="false">Y331+V332</f>
        <v>13028.3</v>
      </c>
      <c r="AA332" s="8" t="n">
        <v>16.0689219054602</v>
      </c>
    </row>
    <row r="333" s="8" customFormat="true" ht="15" hidden="false" customHeight="false" outlineLevel="0" collapsed="false">
      <c r="A333" s="68"/>
      <c r="B333" s="15"/>
      <c r="C333" s="69" t="n">
        <v>41449</v>
      </c>
      <c r="D333" s="8" t="n">
        <v>13.5</v>
      </c>
      <c r="E333" s="8" t="n">
        <v>11.2</v>
      </c>
      <c r="F333" s="8" t="n">
        <v>17.8</v>
      </c>
      <c r="G333" s="8" t="n">
        <f aca="false">G332+D333</f>
        <v>2732.3</v>
      </c>
      <c r="H333" s="8" t="n">
        <f aca="false">H332+D333</f>
        <v>218.7</v>
      </c>
      <c r="I333" s="8" t="n">
        <v>416.9</v>
      </c>
      <c r="J333" s="8" t="n">
        <v>0</v>
      </c>
      <c r="K333" s="8" t="n">
        <f aca="false">J333+K332</f>
        <v>754.4</v>
      </c>
      <c r="L333" s="8" t="n">
        <v>4.4</v>
      </c>
      <c r="M333" s="8" t="n">
        <f aca="false">M332+L333</f>
        <v>420.5</v>
      </c>
      <c r="N333" s="8" t="n">
        <v>-4.4</v>
      </c>
      <c r="O333" s="8" t="n">
        <f aca="false">O332+N333</f>
        <v>133.7</v>
      </c>
      <c r="P333" s="8" t="n">
        <v>293</v>
      </c>
      <c r="Q333" s="18" t="n">
        <f aca="false">1.15+((P333-255)/59)*(0.35-1.15)</f>
        <v>0.634745762711864</v>
      </c>
      <c r="R333" s="12" t="n">
        <f aca="false">Q333*L333</f>
        <v>2.7928813559322</v>
      </c>
      <c r="S333" s="12" t="n">
        <f aca="false">J333-R333</f>
        <v>-2.7928813559322</v>
      </c>
      <c r="T333" s="12" t="n">
        <f aca="false">MIN(197.4,T332+S333)</f>
        <v>130.622881355932</v>
      </c>
      <c r="U333" s="12" t="n">
        <f aca="false">(U331*100)/197.4</f>
        <v>65.1710898789875</v>
      </c>
      <c r="V333" s="8" t="n">
        <v>2578.8</v>
      </c>
      <c r="X333" s="8" t="n">
        <f aca="false">X332+V333</f>
        <v>228938.9</v>
      </c>
      <c r="Y333" s="8" t="n">
        <f aca="false">Y332+V333</f>
        <v>15607.1</v>
      </c>
      <c r="AA333" s="8" t="n">
        <v>16.0667861826471</v>
      </c>
    </row>
    <row r="334" s="8" customFormat="true" ht="15" hidden="false" customHeight="false" outlineLevel="0" collapsed="false">
      <c r="A334" s="68"/>
      <c r="B334" s="15"/>
      <c r="C334" s="69" t="n">
        <v>41450</v>
      </c>
      <c r="D334" s="8" t="n">
        <v>13.5</v>
      </c>
      <c r="E334" s="8" t="n">
        <v>7.9</v>
      </c>
      <c r="F334" s="8" t="n">
        <v>18.3</v>
      </c>
      <c r="G334" s="8" t="n">
        <f aca="false">G333+D334</f>
        <v>2745.8</v>
      </c>
      <c r="H334" s="8" t="n">
        <f aca="false">H333+D334</f>
        <v>232.2</v>
      </c>
      <c r="J334" s="8" t="n">
        <v>0</v>
      </c>
      <c r="K334" s="8" t="n">
        <f aca="false">J334+K333</f>
        <v>754.4</v>
      </c>
      <c r="L334" s="8" t="n">
        <v>3.2</v>
      </c>
      <c r="M334" s="8" t="n">
        <f aca="false">M333+L334</f>
        <v>423.7</v>
      </c>
      <c r="N334" s="8" t="n">
        <v>-3.2</v>
      </c>
      <c r="O334" s="8" t="n">
        <f aca="false">O333+N334</f>
        <v>130.5</v>
      </c>
      <c r="P334" s="8" t="n">
        <v>294</v>
      </c>
      <c r="Q334" s="18" t="n">
        <f aca="false">1.15+((P334-255)/59)*(0.35-1.15)</f>
        <v>0.621186440677966</v>
      </c>
      <c r="R334" s="12" t="n">
        <f aca="false">Q334*L334</f>
        <v>1.98779661016949</v>
      </c>
      <c r="S334" s="12" t="n">
        <f aca="false">J334-R334</f>
        <v>-1.98779661016949</v>
      </c>
      <c r="T334" s="12" t="n">
        <f aca="false">MIN(197.4,T333+S334)</f>
        <v>128.635084745763</v>
      </c>
      <c r="V334" s="8" t="n">
        <v>1972.4</v>
      </c>
      <c r="X334" s="8" t="n">
        <f aca="false">X333+V334</f>
        <v>230911.3</v>
      </c>
      <c r="Y334" s="8" t="n">
        <f aca="false">Y333+V334</f>
        <v>17579.5</v>
      </c>
      <c r="AA334" s="8" t="n">
        <v>16.0632297791328</v>
      </c>
    </row>
    <row r="335" s="8" customFormat="true" ht="15" hidden="false" customHeight="false" outlineLevel="0" collapsed="false">
      <c r="A335" s="68"/>
      <c r="B335" s="15"/>
      <c r="C335" s="69" t="n">
        <v>41451</v>
      </c>
      <c r="D335" s="8" t="n">
        <v>14.5</v>
      </c>
      <c r="E335" s="8" t="n">
        <v>9</v>
      </c>
      <c r="F335" s="8" t="n">
        <v>19.7</v>
      </c>
      <c r="G335" s="8" t="n">
        <f aca="false">G334+D335</f>
        <v>2760.3</v>
      </c>
      <c r="H335" s="8" t="n">
        <f aca="false">H334+D335</f>
        <v>246.7</v>
      </c>
      <c r="J335" s="8" t="n">
        <v>0</v>
      </c>
      <c r="K335" s="8" t="n">
        <f aca="false">J335+K334</f>
        <v>754.4</v>
      </c>
      <c r="L335" s="8" t="n">
        <v>3.3</v>
      </c>
      <c r="M335" s="8" t="n">
        <f aca="false">M334+L335</f>
        <v>427</v>
      </c>
      <c r="N335" s="8" t="n">
        <v>-3.3</v>
      </c>
      <c r="O335" s="8" t="n">
        <f aca="false">O334+N335</f>
        <v>127.2</v>
      </c>
      <c r="P335" s="8" t="n">
        <v>295</v>
      </c>
      <c r="Q335" s="18" t="n">
        <f aca="false">1.15+((P335-255)/59)*(0.35-1.15)</f>
        <v>0.607627118644068</v>
      </c>
      <c r="R335" s="12" t="n">
        <f aca="false">Q335*L335</f>
        <v>2.00516949152542</v>
      </c>
      <c r="S335" s="12" t="n">
        <f aca="false">J335-R335</f>
        <v>-2.00516949152542</v>
      </c>
      <c r="T335" s="12" t="n">
        <f aca="false">MIN(197.4,T334+S335)</f>
        <v>126.629915254237</v>
      </c>
      <c r="V335" s="8" t="n">
        <v>1984.9</v>
      </c>
      <c r="X335" s="8" t="n">
        <f aca="false">X334+V335</f>
        <v>232896.2</v>
      </c>
      <c r="Y335" s="8" t="n">
        <f aca="false">Y334+V335</f>
        <v>19564.4</v>
      </c>
      <c r="AA335" s="8" t="n">
        <v>16.058256922044</v>
      </c>
    </row>
    <row r="336" s="8" customFormat="true" ht="15" hidden="false" customHeight="false" outlineLevel="0" collapsed="false">
      <c r="A336" s="68"/>
      <c r="B336" s="15"/>
      <c r="C336" s="69" t="n">
        <v>41452</v>
      </c>
      <c r="D336" s="8" t="n">
        <v>15.4</v>
      </c>
      <c r="E336" s="8" t="n">
        <v>9.9</v>
      </c>
      <c r="F336" s="8" t="n">
        <v>20</v>
      </c>
      <c r="G336" s="8" t="n">
        <f aca="false">G335+D336</f>
        <v>2775.7</v>
      </c>
      <c r="H336" s="8" t="n">
        <f aca="false">H335+D336</f>
        <v>262.1</v>
      </c>
      <c r="J336" s="8" t="n">
        <v>0.2</v>
      </c>
      <c r="K336" s="8" t="n">
        <f aca="false">J336+K335</f>
        <v>754.6</v>
      </c>
      <c r="L336" s="8" t="n">
        <v>3.5</v>
      </c>
      <c r="M336" s="8" t="n">
        <f aca="false">M335+L336</f>
        <v>430.5</v>
      </c>
      <c r="N336" s="8" t="n">
        <v>-3.3</v>
      </c>
      <c r="O336" s="8" t="n">
        <f aca="false">O335+N336</f>
        <v>123.9</v>
      </c>
      <c r="P336" s="8" t="n">
        <v>296</v>
      </c>
      <c r="Q336" s="18" t="n">
        <f aca="false">1.15+((P336-255)/59)*(0.35-1.15)</f>
        <v>0.594067796610169</v>
      </c>
      <c r="R336" s="12" t="n">
        <f aca="false">Q336*L336</f>
        <v>2.07923728813559</v>
      </c>
      <c r="S336" s="12" t="n">
        <f aca="false">J336-R336</f>
        <v>-1.87923728813559</v>
      </c>
      <c r="T336" s="12" t="n">
        <f aca="false">MIN(197.4,T335+S336)</f>
        <v>124.750677966102</v>
      </c>
      <c r="V336" s="8" t="n">
        <v>1978.5</v>
      </c>
      <c r="X336" s="8" t="n">
        <f aca="false">X335+V336</f>
        <v>234874.7</v>
      </c>
      <c r="Y336" s="8" t="n">
        <f aca="false">Y335+V336</f>
        <v>21542.9</v>
      </c>
      <c r="AA336" s="8" t="n">
        <v>16.0518732946483</v>
      </c>
    </row>
    <row r="337" s="8" customFormat="true" ht="15" hidden="false" customHeight="false" outlineLevel="0" collapsed="false">
      <c r="A337" s="68"/>
      <c r="B337" s="15"/>
      <c r="C337" s="69" t="n">
        <v>41453</v>
      </c>
      <c r="D337" s="8" t="n">
        <v>17.4</v>
      </c>
      <c r="E337" s="8" t="n">
        <v>14.5</v>
      </c>
      <c r="F337" s="8" t="n">
        <v>22.5</v>
      </c>
      <c r="G337" s="8" t="n">
        <f aca="false">G336+D337</f>
        <v>2793.1</v>
      </c>
      <c r="H337" s="8" t="n">
        <f aca="false">H336+D337</f>
        <v>279.5</v>
      </c>
      <c r="J337" s="8" t="n">
        <v>0.1</v>
      </c>
      <c r="K337" s="8" t="n">
        <f aca="false">J337+K336</f>
        <v>754.7</v>
      </c>
      <c r="L337" s="8" t="n">
        <v>2</v>
      </c>
      <c r="M337" s="8" t="n">
        <f aca="false">M336+L337</f>
        <v>432.5</v>
      </c>
      <c r="N337" s="8" t="n">
        <v>-1.9</v>
      </c>
      <c r="O337" s="8" t="n">
        <f aca="false">O336+N337</f>
        <v>122</v>
      </c>
      <c r="P337" s="8" t="n">
        <v>297</v>
      </c>
      <c r="Q337" s="18" t="n">
        <f aca="false">1.15+((P337-255)/59)*(0.35-1.15)</f>
        <v>0.580508474576271</v>
      </c>
      <c r="R337" s="12" t="n">
        <f aca="false">Q337*L337</f>
        <v>1.16101694915254</v>
      </c>
      <c r="S337" s="12" t="n">
        <f aca="false">J337-R337</f>
        <v>-1.06101694915254</v>
      </c>
      <c r="T337" s="12" t="n">
        <f aca="false">MIN(197.4,T336+S337)</f>
        <v>123.689661016949</v>
      </c>
      <c r="V337" s="8" t="n">
        <v>832.9</v>
      </c>
      <c r="X337" s="8" t="n">
        <f aca="false">X336+V337</f>
        <v>235707.6</v>
      </c>
      <c r="Y337" s="8" t="n">
        <f aca="false">Y336+V337</f>
        <v>22375.8</v>
      </c>
      <c r="AA337" s="8" t="n">
        <v>16.0440860142921</v>
      </c>
    </row>
    <row r="338" s="8" customFormat="true" ht="15" hidden="false" customHeight="false" outlineLevel="0" collapsed="false">
      <c r="A338" s="68"/>
      <c r="B338" s="15"/>
      <c r="C338" s="69" t="n">
        <v>41454</v>
      </c>
      <c r="D338" s="8" t="n">
        <v>16.2</v>
      </c>
      <c r="E338" s="8" t="n">
        <v>12.7</v>
      </c>
      <c r="F338" s="8" t="n">
        <v>19.6</v>
      </c>
      <c r="G338" s="8" t="n">
        <f aca="false">G337+D338</f>
        <v>2809.3</v>
      </c>
      <c r="H338" s="8" t="n">
        <f aca="false">H337+D338</f>
        <v>295.7</v>
      </c>
      <c r="J338" s="8" t="n">
        <v>0</v>
      </c>
      <c r="K338" s="8" t="n">
        <f aca="false">J338+K337</f>
        <v>754.7</v>
      </c>
      <c r="L338" s="8" t="n">
        <v>1.8</v>
      </c>
      <c r="M338" s="8" t="n">
        <f aca="false">M337+L338</f>
        <v>434.3</v>
      </c>
      <c r="N338" s="8" t="n">
        <v>-1.8</v>
      </c>
      <c r="O338" s="8" t="n">
        <f aca="false">O337+N338</f>
        <v>120.2</v>
      </c>
      <c r="P338" s="8" t="n">
        <v>298</v>
      </c>
      <c r="Q338" s="18" t="n">
        <f aca="false">1.15+((P338-255)/59)*(0.35-1.15)</f>
        <v>0.566949152542373</v>
      </c>
      <c r="R338" s="12" t="n">
        <f aca="false">Q338*L338</f>
        <v>1.02050847457627</v>
      </c>
      <c r="S338" s="12" t="n">
        <f aca="false">J338-R338</f>
        <v>-1.02050847457627</v>
      </c>
      <c r="T338" s="12" t="n">
        <f aca="false">MIN(197.4,T337+S338)</f>
        <v>122.669152542373</v>
      </c>
      <c r="V338" s="8" t="n">
        <v>774.2</v>
      </c>
      <c r="X338" s="8" t="n">
        <f aca="false">X337+V338</f>
        <v>236481.8</v>
      </c>
      <c r="Y338" s="8" t="n">
        <f aca="false">Y337+V338</f>
        <v>23150</v>
      </c>
      <c r="AA338" s="8" t="n">
        <v>16.034903604951</v>
      </c>
    </row>
    <row r="339" s="8" customFormat="true" ht="15" hidden="false" customHeight="false" outlineLevel="0" collapsed="false">
      <c r="A339" s="68"/>
      <c r="B339" s="15"/>
      <c r="C339" s="69" t="n">
        <v>41455</v>
      </c>
      <c r="D339" s="8" t="n">
        <v>17.8</v>
      </c>
      <c r="E339" s="8" t="n">
        <v>13.7</v>
      </c>
      <c r="F339" s="8" t="n">
        <v>24.3</v>
      </c>
      <c r="G339" s="8" t="n">
        <f aca="false">G338+D339</f>
        <v>2827.1</v>
      </c>
      <c r="H339" s="8" t="n">
        <f aca="false">H338+D339</f>
        <v>313.5</v>
      </c>
      <c r="J339" s="8" t="n">
        <v>0</v>
      </c>
      <c r="K339" s="8" t="n">
        <f aca="false">J339+K338</f>
        <v>754.7</v>
      </c>
      <c r="L339" s="8" t="n">
        <v>2.9</v>
      </c>
      <c r="M339" s="8" t="n">
        <f aca="false">M338+L339</f>
        <v>437.2</v>
      </c>
      <c r="N339" s="8" t="n">
        <v>-2.9</v>
      </c>
      <c r="O339" s="8" t="n">
        <f aca="false">O338+N339</f>
        <v>117.3</v>
      </c>
      <c r="P339" s="8" t="n">
        <v>299</v>
      </c>
      <c r="Q339" s="18" t="n">
        <f aca="false">1.15+((P339-255)/59)*(0.35-1.15)</f>
        <v>0.553389830508475</v>
      </c>
      <c r="R339" s="12" t="n">
        <f aca="false">Q339*L339</f>
        <v>1.60483050847458</v>
      </c>
      <c r="S339" s="12" t="n">
        <f aca="false">J339-R339</f>
        <v>-1.60483050847458</v>
      </c>
      <c r="T339" s="12" t="n">
        <f aca="false">MIN(197.4,T338+S339)</f>
        <v>121.064322033898</v>
      </c>
      <c r="V339" s="8" t="n">
        <v>1460.6</v>
      </c>
      <c r="X339" s="8" t="n">
        <f aca="false">X338+V339</f>
        <v>237942.4</v>
      </c>
      <c r="Y339" s="8" t="n">
        <f aca="false">Y338+V339</f>
        <v>24610.6</v>
      </c>
      <c r="AA339" s="8" t="n">
        <v>16.0243359646141</v>
      </c>
    </row>
    <row r="340" s="8" customFormat="true" ht="15" hidden="false" customHeight="false" outlineLevel="0" collapsed="false">
      <c r="A340" s="68"/>
      <c r="B340" s="15"/>
      <c r="C340" s="69" t="n">
        <v>41456</v>
      </c>
      <c r="D340" s="8" t="n">
        <v>15.8</v>
      </c>
      <c r="E340" s="8" t="n">
        <v>12.8</v>
      </c>
      <c r="F340" s="8" t="n">
        <v>20.5</v>
      </c>
      <c r="G340" s="8" t="n">
        <f aca="false">G339+D340</f>
        <v>2842.9</v>
      </c>
      <c r="H340" s="8" t="n">
        <f aca="false">H339+D340</f>
        <v>329.3</v>
      </c>
      <c r="J340" s="8" t="n">
        <v>0</v>
      </c>
      <c r="K340" s="8" t="n">
        <f aca="false">J340+K339</f>
        <v>754.7</v>
      </c>
      <c r="L340" s="8" t="n">
        <v>1.9</v>
      </c>
      <c r="M340" s="8" t="n">
        <f aca="false">M339+L340</f>
        <v>439.1</v>
      </c>
      <c r="N340" s="8" t="n">
        <v>-1.9</v>
      </c>
      <c r="O340" s="8" t="n">
        <f aca="false">O339+N340</f>
        <v>115.4</v>
      </c>
      <c r="P340" s="8" t="n">
        <v>300</v>
      </c>
      <c r="Q340" s="18" t="n">
        <f aca="false">1.15+((P340-255)/59)*(0.35-1.15)</f>
        <v>0.539830508474576</v>
      </c>
      <c r="R340" s="12" t="n">
        <f aca="false">Q340*L340</f>
        <v>1.02567796610169</v>
      </c>
      <c r="S340" s="12" t="n">
        <f aca="false">J340-R340</f>
        <v>-1.02567796610169</v>
      </c>
      <c r="T340" s="12" t="n">
        <f aca="false">MIN(197.4,T339+S340)</f>
        <v>120.038644067797</v>
      </c>
      <c r="V340" s="8" t="n">
        <v>1072.2</v>
      </c>
      <c r="X340" s="8" t="n">
        <f aca="false">X339+V340</f>
        <v>239014.6</v>
      </c>
      <c r="Y340" s="8" t="n">
        <f aca="false">Y339+V340</f>
        <v>25682.8</v>
      </c>
      <c r="AA340" s="8" t="n">
        <v>16.01239432776</v>
      </c>
    </row>
    <row r="341" s="8" customFormat="true" ht="15" hidden="false" customHeight="false" outlineLevel="0" collapsed="false">
      <c r="A341" s="68"/>
      <c r="B341" s="15"/>
      <c r="C341" s="69" t="n">
        <v>41457</v>
      </c>
      <c r="D341" s="8" t="n">
        <v>15.4</v>
      </c>
      <c r="E341" s="8" t="n">
        <v>11.4</v>
      </c>
      <c r="F341" s="8" t="n">
        <v>21.4</v>
      </c>
      <c r="G341" s="8" t="n">
        <f aca="false">G340+D341</f>
        <v>2858.3</v>
      </c>
      <c r="H341" s="8" t="n">
        <f aca="false">H340+D341</f>
        <v>344.7</v>
      </c>
      <c r="J341" s="8" t="n">
        <v>6.1</v>
      </c>
      <c r="K341" s="8" t="n">
        <f aca="false">J341+K340</f>
        <v>760.8</v>
      </c>
      <c r="L341" s="8" t="n">
        <v>3.6</v>
      </c>
      <c r="M341" s="8" t="n">
        <f aca="false">M340+L341</f>
        <v>442.7</v>
      </c>
      <c r="N341" s="8" t="n">
        <v>2.5</v>
      </c>
      <c r="O341" s="8" t="n">
        <f aca="false">O340+N341</f>
        <v>117.9</v>
      </c>
      <c r="P341" s="8" t="n">
        <v>301</v>
      </c>
      <c r="Q341" s="18" t="n">
        <f aca="false">1.15+((P341-255)/59)*(0.35-1.15)</f>
        <v>0.526271186440678</v>
      </c>
      <c r="R341" s="12" t="n">
        <f aca="false">Q341*L341</f>
        <v>1.89457627118644</v>
      </c>
      <c r="S341" s="12" t="n">
        <f aca="false">J341-R341</f>
        <v>4.20542372881356</v>
      </c>
      <c r="T341" s="12" t="n">
        <f aca="false">MIN(197.4,T340+S341)</f>
        <v>124.24406779661</v>
      </c>
      <c r="V341" s="8" t="n">
        <v>1912.3</v>
      </c>
      <c r="X341" s="8" t="n">
        <f aca="false">X340+V341</f>
        <v>240926.9</v>
      </c>
      <c r="Y341" s="8" t="n">
        <f aca="false">Y340+V341</f>
        <v>27595.1</v>
      </c>
      <c r="AA341" s="8" t="n">
        <v>15.9990912232204</v>
      </c>
    </row>
    <row r="342" s="8" customFormat="true" ht="15" hidden="false" customHeight="false" outlineLevel="0" collapsed="false">
      <c r="A342" s="68"/>
      <c r="B342" s="15"/>
      <c r="C342" s="69" t="n">
        <v>41458</v>
      </c>
      <c r="D342" s="8" t="n">
        <v>16.7</v>
      </c>
      <c r="E342" s="8" t="n">
        <v>15.1</v>
      </c>
      <c r="F342" s="8" t="n">
        <v>19.3</v>
      </c>
      <c r="G342" s="8" t="n">
        <f aca="false">G341+D342</f>
        <v>2875</v>
      </c>
      <c r="H342" s="8" t="n">
        <f aca="false">H341+D342</f>
        <v>361.4</v>
      </c>
      <c r="J342" s="8" t="n">
        <v>0.5</v>
      </c>
      <c r="K342" s="8" t="n">
        <f aca="false">J342+K341</f>
        <v>761.3</v>
      </c>
      <c r="L342" s="8" t="n">
        <v>1.6</v>
      </c>
      <c r="M342" s="8" t="n">
        <f aca="false">M341+L342</f>
        <v>444.3</v>
      </c>
      <c r="N342" s="8" t="n">
        <v>-1.1</v>
      </c>
      <c r="O342" s="8" t="n">
        <f aca="false">O341+N342</f>
        <v>116.8</v>
      </c>
      <c r="P342" s="8" t="n">
        <v>302</v>
      </c>
      <c r="Q342" s="18" t="n">
        <f aca="false">1.15+((P342-255)/59)*(0.35-1.15)</f>
        <v>0.51271186440678</v>
      </c>
      <c r="R342" s="12" t="n">
        <f aca="false">Q342*L342</f>
        <v>0.820338983050847</v>
      </c>
      <c r="S342" s="12" t="n">
        <f aca="false">J342-R342</f>
        <v>-0.320338983050847</v>
      </c>
      <c r="T342" s="12" t="n">
        <f aca="false">MIN(197.4,T341+S342)</f>
        <v>123.923728813559</v>
      </c>
      <c r="V342" s="8" t="n">
        <v>773.5</v>
      </c>
      <c r="X342" s="8" t="n">
        <f aca="false">X341+V342</f>
        <v>241700.4</v>
      </c>
      <c r="Y342" s="8" t="n">
        <f aca="false">Y341+V342</f>
        <v>28368.6</v>
      </c>
      <c r="AA342" s="8" t="n">
        <v>15.9844404277556</v>
      </c>
    </row>
    <row r="343" s="8" customFormat="true" ht="15" hidden="false" customHeight="false" outlineLevel="0" collapsed="false">
      <c r="A343" s="68"/>
      <c r="B343" s="15"/>
      <c r="C343" s="69" t="n">
        <v>41459</v>
      </c>
      <c r="D343" s="8" t="n">
        <v>18.1</v>
      </c>
      <c r="E343" s="8" t="n">
        <v>12</v>
      </c>
      <c r="F343" s="8" t="n">
        <v>22.7</v>
      </c>
      <c r="G343" s="8" t="n">
        <f aca="false">G342+D343</f>
        <v>2893.1</v>
      </c>
      <c r="H343" s="8" t="n">
        <f aca="false">H342+D343</f>
        <v>379.5</v>
      </c>
      <c r="J343" s="8" t="n">
        <v>0</v>
      </c>
      <c r="K343" s="8" t="n">
        <f aca="false">J343+K342</f>
        <v>761.3</v>
      </c>
      <c r="L343" s="8" t="n">
        <v>1.1</v>
      </c>
      <c r="M343" s="8" t="n">
        <f aca="false">M342+L343</f>
        <v>445.4</v>
      </c>
      <c r="N343" s="8" t="n">
        <v>-1.1</v>
      </c>
      <c r="O343" s="8" t="n">
        <f aca="false">O342+N343</f>
        <v>115.7</v>
      </c>
      <c r="P343" s="8" t="n">
        <v>303</v>
      </c>
      <c r="Q343" s="18" t="n">
        <f aca="false">1.15+((P343-255)/59)*(0.35-1.15)</f>
        <v>0.499152542372881</v>
      </c>
      <c r="R343" s="12" t="n">
        <f aca="false">Q343*L343</f>
        <v>0.54906779661017</v>
      </c>
      <c r="S343" s="12" t="n">
        <f aca="false">J343-R343</f>
        <v>-0.54906779661017</v>
      </c>
      <c r="T343" s="12" t="n">
        <f aca="false">MIN(197.4,T342+S343)</f>
        <v>123.374661016949</v>
      </c>
      <c r="V343" s="8" t="n">
        <v>611.9</v>
      </c>
      <c r="W343" s="43"/>
      <c r="X343" s="8" t="n">
        <f aca="false">X342+V343</f>
        <v>242312.3</v>
      </c>
      <c r="Y343" s="8" t="n">
        <f aca="false">Y342+V343</f>
        <v>28980.5</v>
      </c>
      <c r="AA343" s="8" t="n">
        <v>15.9684569156943</v>
      </c>
    </row>
    <row r="344" s="8" customFormat="true" ht="15" hidden="false" customHeight="true" outlineLevel="0" collapsed="false">
      <c r="A344" s="68"/>
      <c r="B344" s="71"/>
      <c r="C344" s="69" t="n">
        <v>41460</v>
      </c>
      <c r="D344" s="8" t="n">
        <v>18.1</v>
      </c>
      <c r="E344" s="8" t="n">
        <v>15.4</v>
      </c>
      <c r="F344" s="8" t="n">
        <v>22.3</v>
      </c>
      <c r="G344" s="8" t="n">
        <f aca="false">G343+D344</f>
        <v>2911.2</v>
      </c>
      <c r="H344" s="8" t="n">
        <f aca="false">H343+D344</f>
        <v>397.6</v>
      </c>
      <c r="J344" s="8" t="n">
        <v>0</v>
      </c>
      <c r="K344" s="8" t="n">
        <f aca="false">J344+K343</f>
        <v>761.3</v>
      </c>
      <c r="L344" s="8" t="n">
        <v>2.7</v>
      </c>
      <c r="M344" s="8" t="n">
        <f aca="false">M343+L344</f>
        <v>448.1</v>
      </c>
      <c r="N344" s="8" t="n">
        <v>-2.7</v>
      </c>
      <c r="O344" s="8" t="n">
        <f aca="false">O343+N344</f>
        <v>113</v>
      </c>
      <c r="P344" s="8" t="n">
        <v>304</v>
      </c>
      <c r="Q344" s="18" t="n">
        <f aca="false">1.15+((P344-255)/59)*(0.35-1.15)</f>
        <v>0.485593220338983</v>
      </c>
      <c r="R344" s="12" t="n">
        <f aca="false">Q344*L344</f>
        <v>1.31110169491525</v>
      </c>
      <c r="S344" s="12" t="n">
        <f aca="false">J344-R344</f>
        <v>-1.31110169491525</v>
      </c>
      <c r="T344" s="12" t="n">
        <f aca="false">MIN(197.4,T343+S344)</f>
        <v>122.063559322034</v>
      </c>
      <c r="V344" s="8" t="n">
        <v>1140</v>
      </c>
      <c r="X344" s="8" t="n">
        <f aca="false">X343+V344</f>
        <v>243452.3</v>
      </c>
      <c r="Y344" s="8" t="n">
        <f aca="false">Y343+V344</f>
        <v>30120.5</v>
      </c>
      <c r="AA344" s="8" t="n">
        <v>15.9511568050136</v>
      </c>
    </row>
    <row r="345" s="23" customFormat="true" ht="15" hidden="false" customHeight="false" outlineLevel="0" collapsed="false">
      <c r="A345" s="72"/>
      <c r="B345" s="73" t="n">
        <v>1000</v>
      </c>
      <c r="C345" s="74" t="n">
        <v>41461</v>
      </c>
      <c r="D345" s="23" t="n">
        <v>19.3</v>
      </c>
      <c r="E345" s="23" t="n">
        <v>12.9</v>
      </c>
      <c r="F345" s="23" t="n">
        <v>24.9</v>
      </c>
      <c r="G345" s="23" t="n">
        <f aca="false">G344+D345</f>
        <v>2930.5</v>
      </c>
      <c r="H345" s="23" t="n">
        <f aca="false">H344+D345</f>
        <v>416.9</v>
      </c>
      <c r="J345" s="23" t="n">
        <v>0</v>
      </c>
      <c r="K345" s="23" t="n">
        <f aca="false">J345+K344</f>
        <v>761.3</v>
      </c>
      <c r="L345" s="23" t="n">
        <v>3.6</v>
      </c>
      <c r="M345" s="23" t="n">
        <f aca="false">M344+L345</f>
        <v>451.7</v>
      </c>
      <c r="N345" s="23" t="n">
        <v>-3.6</v>
      </c>
      <c r="O345" s="23" t="n">
        <f aca="false">O344+N345</f>
        <v>109.4</v>
      </c>
      <c r="P345" s="23" t="n">
        <v>305</v>
      </c>
      <c r="Q345" s="49" t="n">
        <f aca="false">1.15+((P345-255)/59)*(0.35-1.15)</f>
        <v>0.472033898305085</v>
      </c>
      <c r="R345" s="24" t="n">
        <f aca="false">Q345*L345</f>
        <v>1.69932203389831</v>
      </c>
      <c r="S345" s="24" t="n">
        <f aca="false">J345-R345</f>
        <v>-1.69932203389831</v>
      </c>
      <c r="T345" s="24" t="n">
        <f aca="false">MIN(197.4,T344+S345)</f>
        <v>120.364237288136</v>
      </c>
      <c r="V345" s="23" t="n">
        <v>1796.3</v>
      </c>
      <c r="X345" s="23" t="n">
        <f aca="false">X344+V345</f>
        <v>245248.6</v>
      </c>
      <c r="Y345" s="23" t="n">
        <f aca="false">Y344+V345</f>
        <v>31916.8</v>
      </c>
      <c r="AA345" s="23" t="n">
        <v>15.9325573002492</v>
      </c>
    </row>
    <row r="346" s="8" customFormat="true" ht="15" hidden="false" customHeight="false" outlineLevel="0" collapsed="false">
      <c r="A346" s="75"/>
      <c r="B346" s="71"/>
      <c r="C346" s="10" t="n">
        <v>41462</v>
      </c>
      <c r="D346" s="8" t="n">
        <v>21.7</v>
      </c>
      <c r="E346" s="8" t="n">
        <v>14.4</v>
      </c>
      <c r="F346" s="8" t="n">
        <v>29</v>
      </c>
      <c r="G346" s="8" t="n">
        <f aca="false">G345+D346</f>
        <v>2952.2</v>
      </c>
      <c r="H346" s="8" t="n">
        <v>21.7</v>
      </c>
      <c r="J346" s="8" t="n">
        <v>0</v>
      </c>
      <c r="K346" s="8" t="n">
        <f aca="false">J346+K345</f>
        <v>761.3</v>
      </c>
      <c r="L346" s="8" t="n">
        <v>4.5</v>
      </c>
      <c r="M346" s="8" t="n">
        <f aca="false">M345+L346</f>
        <v>456.2</v>
      </c>
      <c r="N346" s="8" t="n">
        <v>-4.5</v>
      </c>
      <c r="O346" s="8" t="n">
        <f aca="false">O345+N346</f>
        <v>104.9</v>
      </c>
      <c r="P346" s="8" t="n">
        <v>306</v>
      </c>
      <c r="Q346" s="18" t="n">
        <f aca="false">1.15+((P346-255)/59)*(0.35-1.15)</f>
        <v>0.458474576271186</v>
      </c>
      <c r="R346" s="12" t="n">
        <f aca="false">Q346*L346</f>
        <v>2.06313559322034</v>
      </c>
      <c r="S346" s="12" t="n">
        <f aca="false">J346-R346</f>
        <v>-2.06313559322034</v>
      </c>
      <c r="T346" s="12" t="n">
        <f aca="false">MIN(197.4,T345+S346)</f>
        <v>118.301101694915</v>
      </c>
      <c r="V346" s="8" t="n">
        <v>2107.6</v>
      </c>
      <c r="X346" s="8" t="n">
        <f aca="false">X345+V346</f>
        <v>247356.2</v>
      </c>
      <c r="Y346" s="8" t="n">
        <v>2107.6</v>
      </c>
      <c r="AA346" s="8" t="n">
        <v>15.9126766326445</v>
      </c>
    </row>
    <row r="347" s="8" customFormat="true" ht="15" hidden="false" customHeight="false" outlineLevel="0" collapsed="false">
      <c r="A347" s="75"/>
      <c r="B347" s="71"/>
      <c r="C347" s="10" t="n">
        <v>41463</v>
      </c>
      <c r="D347" s="8" t="n">
        <v>23.2</v>
      </c>
      <c r="E347" s="8" t="n">
        <v>17</v>
      </c>
      <c r="F347" s="8" t="n">
        <v>30</v>
      </c>
      <c r="G347" s="8" t="n">
        <f aca="false">G346+D347</f>
        <v>2975.4</v>
      </c>
      <c r="H347" s="8" t="n">
        <f aca="false">H346+D347</f>
        <v>44.9</v>
      </c>
      <c r="J347" s="8" t="n">
        <v>0</v>
      </c>
      <c r="K347" s="8" t="n">
        <f aca="false">J347+K346</f>
        <v>761.3</v>
      </c>
      <c r="L347" s="8" t="n">
        <v>7.1</v>
      </c>
      <c r="M347" s="8" t="n">
        <f aca="false">M346+L347</f>
        <v>463.3</v>
      </c>
      <c r="N347" s="8" t="n">
        <v>-7.1</v>
      </c>
      <c r="O347" s="8" t="n">
        <f aca="false">O346+N347</f>
        <v>97.8</v>
      </c>
      <c r="P347" s="8" t="n">
        <v>307</v>
      </c>
      <c r="Q347" s="18" t="n">
        <f aca="false">1.15+((P347-255)/59)*(0.35-1.15)</f>
        <v>0.444915254237288</v>
      </c>
      <c r="R347" s="12" t="n">
        <f aca="false">Q347*L347</f>
        <v>3.15889830508475</v>
      </c>
      <c r="S347" s="12" t="n">
        <f aca="false">J347-R347</f>
        <v>-3.15889830508475</v>
      </c>
      <c r="T347" s="12" t="n">
        <f aca="false">MIN(197.4,T346+S347)</f>
        <v>115.14220338983</v>
      </c>
      <c r="V347" s="8" t="n">
        <v>3191.7</v>
      </c>
      <c r="X347" s="8" t="n">
        <f aca="false">X346+V347</f>
        <v>250547.9</v>
      </c>
      <c r="Y347" s="8" t="n">
        <f aca="false">Y346+V347</f>
        <v>5299.3</v>
      </c>
      <c r="AA347" s="8" t="n">
        <v>15.8915339979484</v>
      </c>
    </row>
    <row r="348" s="8" customFormat="true" ht="15" hidden="false" customHeight="false" outlineLevel="0" collapsed="false">
      <c r="A348" s="75"/>
      <c r="B348" s="71"/>
      <c r="C348" s="10" t="n">
        <v>41464</v>
      </c>
      <c r="D348" s="8" t="n">
        <v>22.7</v>
      </c>
      <c r="E348" s="8" t="n">
        <v>15.8</v>
      </c>
      <c r="F348" s="8" t="n">
        <v>29.8</v>
      </c>
      <c r="G348" s="8" t="n">
        <f aca="false">G347+D348</f>
        <v>2998.1</v>
      </c>
      <c r="H348" s="8" t="n">
        <f aca="false">H347+D348</f>
        <v>67.6</v>
      </c>
      <c r="J348" s="8" t="n">
        <v>0</v>
      </c>
      <c r="K348" s="8" t="n">
        <f aca="false">J348+K347</f>
        <v>761.3</v>
      </c>
      <c r="L348" s="8" t="n">
        <v>6.3</v>
      </c>
      <c r="M348" s="8" t="n">
        <f aca="false">M347+L348</f>
        <v>469.6</v>
      </c>
      <c r="N348" s="8" t="n">
        <v>-6.3</v>
      </c>
      <c r="O348" s="8" t="n">
        <f aca="false">O347+N348</f>
        <v>91.5</v>
      </c>
      <c r="P348" s="8" t="n">
        <v>308</v>
      </c>
      <c r="Q348" s="18" t="n">
        <f aca="false">1.15+((P348-255)/59)*(0.35-1.15)</f>
        <v>0.43135593220339</v>
      </c>
      <c r="R348" s="12" t="n">
        <f aca="false">Q348*L348</f>
        <v>2.71754237288136</v>
      </c>
      <c r="S348" s="12" t="n">
        <f aca="false">J348-R348</f>
        <v>-2.71754237288136</v>
      </c>
      <c r="T348" s="12" t="n">
        <f aca="false">MIN(197.4,T347+S348)</f>
        <v>112.424661016949</v>
      </c>
      <c r="V348" s="8" t="n">
        <v>2859.9</v>
      </c>
      <c r="X348" s="8" t="n">
        <f aca="false">X347+V348</f>
        <v>253407.8</v>
      </c>
      <c r="Y348" s="8" t="n">
        <f aca="false">Y347+V348</f>
        <v>8159.2</v>
      </c>
      <c r="AA348" s="8" t="n">
        <v>15.8691494922822</v>
      </c>
    </row>
    <row r="349" s="8" customFormat="true" ht="15" hidden="false" customHeight="false" outlineLevel="0" collapsed="false">
      <c r="A349" s="75"/>
      <c r="B349" s="71"/>
      <c r="C349" s="10" t="n">
        <v>41465</v>
      </c>
      <c r="D349" s="8" t="n">
        <v>21.3</v>
      </c>
      <c r="E349" s="8" t="n">
        <v>15.6</v>
      </c>
      <c r="F349" s="8" t="n">
        <v>28.6</v>
      </c>
      <c r="G349" s="8" t="n">
        <f aca="false">G348+D349</f>
        <v>3019.4</v>
      </c>
      <c r="H349" s="8" t="n">
        <f aca="false">H348+D349</f>
        <v>88.9</v>
      </c>
      <c r="J349" s="8" t="n">
        <v>0</v>
      </c>
      <c r="K349" s="8" t="n">
        <f aca="false">J349+K348</f>
        <v>761.3</v>
      </c>
      <c r="L349" s="8" t="n">
        <v>6.6</v>
      </c>
      <c r="M349" s="8" t="n">
        <f aca="false">M348+L349</f>
        <v>476.2</v>
      </c>
      <c r="N349" s="8" t="n">
        <v>-6.6</v>
      </c>
      <c r="O349" s="8" t="n">
        <f aca="false">O348+N349</f>
        <v>84.9</v>
      </c>
      <c r="P349" s="8" t="n">
        <v>309</v>
      </c>
      <c r="Q349" s="18" t="n">
        <f aca="false">1.15+((P349-255)/59)*(0.35-1.15)</f>
        <v>0.417796610169492</v>
      </c>
      <c r="R349" s="12" t="n">
        <f aca="false">Q349*L349</f>
        <v>2.75745762711864</v>
      </c>
      <c r="S349" s="12" t="n">
        <f aca="false">J349-R349</f>
        <v>-2.75745762711864</v>
      </c>
      <c r="T349" s="12" t="n">
        <f aca="false">MIN(197.4,T348+S349)</f>
        <v>109.66720338983</v>
      </c>
      <c r="V349" s="8" t="n">
        <v>3141</v>
      </c>
      <c r="X349" s="8" t="n">
        <f aca="false">X348+V349</f>
        <v>256548.8</v>
      </c>
      <c r="Y349" s="8" t="n">
        <f aca="false">Y348+V349</f>
        <v>11300.2</v>
      </c>
      <c r="AA349" s="8" t="n">
        <v>15.8455440464898</v>
      </c>
    </row>
    <row r="350" s="8" customFormat="true" ht="15" hidden="false" customHeight="false" outlineLevel="0" collapsed="false">
      <c r="A350" s="75"/>
      <c r="B350" s="71"/>
      <c r="C350" s="10" t="n">
        <v>41466</v>
      </c>
      <c r="D350" s="8" t="n">
        <v>18.7</v>
      </c>
      <c r="E350" s="8" t="n">
        <v>14.7</v>
      </c>
      <c r="F350" s="8" t="n">
        <v>23.7</v>
      </c>
      <c r="G350" s="8" t="n">
        <f aca="false">G349+D350</f>
        <v>3038.1</v>
      </c>
      <c r="H350" s="8" t="n">
        <f aca="false">H349+D350</f>
        <v>107.6</v>
      </c>
      <c r="J350" s="8" t="n">
        <v>0</v>
      </c>
      <c r="K350" s="8" t="n">
        <f aca="false">J350+K349</f>
        <v>761.3</v>
      </c>
      <c r="L350" s="8" t="n">
        <v>4.9</v>
      </c>
      <c r="M350" s="8" t="n">
        <f aca="false">M349+L350</f>
        <v>481.1</v>
      </c>
      <c r="N350" s="8" t="n">
        <v>-4.9</v>
      </c>
      <c r="O350" s="8" t="n">
        <f aca="false">O349+N350</f>
        <v>80</v>
      </c>
      <c r="P350" s="8" t="n">
        <v>310</v>
      </c>
      <c r="Q350" s="18" t="n">
        <f aca="false">1.15+((P350-255)/59)*(0.35-1.15)</f>
        <v>0.404237288135593</v>
      </c>
      <c r="R350" s="12" t="n">
        <f aca="false">Q350*L350</f>
        <v>1.98076271186441</v>
      </c>
      <c r="S350" s="12" t="n">
        <f aca="false">J350-R350</f>
        <v>-1.98076271186441</v>
      </c>
      <c r="T350" s="12" t="n">
        <f aca="false">MIN(197.4,T349+S350)</f>
        <v>107.686440677966</v>
      </c>
      <c r="V350" s="8" t="n">
        <v>2362.8</v>
      </c>
      <c r="X350" s="8" t="n">
        <f aca="false">X349+V350</f>
        <v>258911.6</v>
      </c>
      <c r="Y350" s="8" t="n">
        <f aca="false">Y349+V350</f>
        <v>13663</v>
      </c>
      <c r="AA350" s="8" t="n">
        <v>15.8207393593835</v>
      </c>
    </row>
    <row r="351" s="8" customFormat="true" ht="15" hidden="false" customHeight="false" outlineLevel="0" collapsed="false">
      <c r="A351" s="75"/>
      <c r="B351" s="71"/>
      <c r="C351" s="10" t="n">
        <v>41467</v>
      </c>
      <c r="D351" s="8" t="n">
        <v>19.9</v>
      </c>
      <c r="E351" s="8" t="n">
        <v>13.8</v>
      </c>
      <c r="F351" s="8" t="n">
        <v>25.9</v>
      </c>
      <c r="G351" s="8" t="n">
        <f aca="false">G350+D351</f>
        <v>3058</v>
      </c>
      <c r="H351" s="8" t="n">
        <f aca="false">H350+D351</f>
        <v>127.5</v>
      </c>
      <c r="J351" s="8" t="n">
        <v>0</v>
      </c>
      <c r="K351" s="8" t="n">
        <f aca="false">J351+K350</f>
        <v>761.3</v>
      </c>
      <c r="L351" s="8" t="n">
        <v>6.1</v>
      </c>
      <c r="M351" s="8" t="n">
        <f aca="false">M350+L351</f>
        <v>487.2</v>
      </c>
      <c r="N351" s="8" t="n">
        <v>-6.1</v>
      </c>
      <c r="O351" s="8" t="n">
        <f aca="false">O350+N351</f>
        <v>73.9</v>
      </c>
      <c r="P351" s="8" t="n">
        <v>311</v>
      </c>
      <c r="Q351" s="18" t="n">
        <f aca="false">1.15+((P351-255)/59)*(0.35-1.15)</f>
        <v>0.390677966101695</v>
      </c>
      <c r="R351" s="12" t="n">
        <f aca="false">Q351*L351</f>
        <v>2.38313559322034</v>
      </c>
      <c r="S351" s="12" t="n">
        <f aca="false">J351-R351</f>
        <v>-2.38313559322034</v>
      </c>
      <c r="T351" s="12" t="n">
        <f aca="false">MIN(197.4,T350+S351)</f>
        <v>105.303305084746</v>
      </c>
      <c r="V351" s="8" t="n">
        <v>3063.3</v>
      </c>
      <c r="X351" s="8" t="n">
        <f aca="false">X350+V351</f>
        <v>261974.9</v>
      </c>
      <c r="Y351" s="8" t="n">
        <f aca="false">Y350+V351</f>
        <v>16726.3</v>
      </c>
      <c r="AA351" s="8" t="n">
        <v>15.7947578302865</v>
      </c>
    </row>
    <row r="352" s="8" customFormat="true" ht="15" hidden="false" customHeight="false" outlineLevel="0" collapsed="false">
      <c r="A352" s="75"/>
      <c r="B352" s="71"/>
      <c r="C352" s="10" t="n">
        <v>41468</v>
      </c>
      <c r="D352" s="8" t="n">
        <v>21</v>
      </c>
      <c r="E352" s="8" t="n">
        <v>14.6</v>
      </c>
      <c r="F352" s="8" t="n">
        <v>26.7</v>
      </c>
      <c r="G352" s="8" t="n">
        <f aca="false">G351+D352</f>
        <v>3079</v>
      </c>
      <c r="H352" s="8" t="n">
        <f aca="false">H351+D352</f>
        <v>148.5</v>
      </c>
      <c r="J352" s="8" t="n">
        <v>0</v>
      </c>
      <c r="K352" s="8" t="n">
        <f aca="false">J352+K351</f>
        <v>761.3</v>
      </c>
      <c r="L352" s="8" t="n">
        <v>6.2</v>
      </c>
      <c r="M352" s="8" t="n">
        <f aca="false">M351+L352</f>
        <v>493.4</v>
      </c>
      <c r="N352" s="8" t="n">
        <v>-6.2</v>
      </c>
      <c r="O352" s="8" t="n">
        <f aca="false">O351+N352</f>
        <v>67.7</v>
      </c>
      <c r="P352" s="8" t="n">
        <v>312</v>
      </c>
      <c r="Q352" s="18" t="n">
        <f aca="false">1.15+((P352-255)/59)*(0.35-1.15)</f>
        <v>0.377118644067797</v>
      </c>
      <c r="R352" s="12" t="n">
        <f aca="false">Q352*L352</f>
        <v>2.33813559322034</v>
      </c>
      <c r="S352" s="12" t="n">
        <f aca="false">J352-R352</f>
        <v>-2.33813559322034</v>
      </c>
      <c r="T352" s="12" t="n">
        <f aca="false">MIN(197.4,T351+S352)</f>
        <v>102.965169491525</v>
      </c>
      <c r="V352" s="8" t="n">
        <v>3026.1</v>
      </c>
      <c r="X352" s="8" t="n">
        <f aca="false">X351+V352</f>
        <v>265001</v>
      </c>
      <c r="Y352" s="8" t="n">
        <f aca="false">Y351+V352</f>
        <v>19752.4</v>
      </c>
      <c r="AA352" s="8" t="n">
        <v>15.7676224912632</v>
      </c>
    </row>
    <row r="353" s="8" customFormat="true" ht="15" hidden="false" customHeight="false" outlineLevel="0" collapsed="false">
      <c r="A353" s="75"/>
      <c r="B353" s="71"/>
      <c r="C353" s="10" t="n">
        <v>41469</v>
      </c>
      <c r="D353" s="8" t="n">
        <v>22.3</v>
      </c>
      <c r="E353" s="8" t="n">
        <v>16.6</v>
      </c>
      <c r="F353" s="8" t="n">
        <v>29.8</v>
      </c>
      <c r="G353" s="8" t="n">
        <f aca="false">G352+D353</f>
        <v>3101.3</v>
      </c>
      <c r="H353" s="8" t="n">
        <f aca="false">H352+D353</f>
        <v>170.8</v>
      </c>
      <c r="J353" s="8" t="n">
        <v>0</v>
      </c>
      <c r="K353" s="8" t="n">
        <f aca="false">J353+K352</f>
        <v>761.3</v>
      </c>
      <c r="L353" s="8" t="n">
        <v>7</v>
      </c>
      <c r="M353" s="8" t="n">
        <f aca="false">M352+L353</f>
        <v>500.4</v>
      </c>
      <c r="N353" s="8" t="n">
        <v>-7</v>
      </c>
      <c r="O353" s="8" t="n">
        <f aca="false">O352+N353</f>
        <v>60.7</v>
      </c>
      <c r="P353" s="8" t="n">
        <v>313</v>
      </c>
      <c r="Q353" s="18" t="n">
        <f aca="false">1.15+((P353-255)/59)*(0.35-1.15)</f>
        <v>0.363559322033898</v>
      </c>
      <c r="R353" s="12" t="n">
        <f aca="false">Q353*L353</f>
        <v>2.54491525423729</v>
      </c>
      <c r="S353" s="12" t="n">
        <f aca="false">J353-R353</f>
        <v>-2.54491525423729</v>
      </c>
      <c r="T353" s="12" t="n">
        <f aca="false">MIN(197.4,T352+S353)</f>
        <v>100.420254237288</v>
      </c>
      <c r="V353" s="8" t="n">
        <v>3107.5</v>
      </c>
      <c r="X353" s="8" t="n">
        <f aca="false">X352+V353</f>
        <v>268108.5</v>
      </c>
      <c r="Y353" s="8" t="n">
        <f aca="false">Y352+V353</f>
        <v>22859.9</v>
      </c>
      <c r="AA353" s="8" t="n">
        <v>15.7393569394096</v>
      </c>
    </row>
    <row r="354" s="8" customFormat="true" ht="15" hidden="false" customHeight="false" outlineLevel="0" collapsed="false">
      <c r="A354" s="75"/>
      <c r="B354" s="71"/>
      <c r="C354" s="76" t="n">
        <v>41470</v>
      </c>
      <c r="D354" s="8" t="n">
        <v>21.6</v>
      </c>
      <c r="E354" s="8" t="n">
        <v>14.2</v>
      </c>
      <c r="F354" s="8" t="n">
        <v>30.3</v>
      </c>
      <c r="G354" s="8" t="n">
        <f aca="false">G353+D354</f>
        <v>3122.9</v>
      </c>
      <c r="H354" s="8" t="n">
        <f aca="false">H353+D354</f>
        <v>192.4</v>
      </c>
      <c r="J354" s="8" t="n">
        <v>0</v>
      </c>
      <c r="K354" s="8" t="n">
        <f aca="false">J354+K353</f>
        <v>761.3</v>
      </c>
      <c r="L354" s="8" t="n">
        <v>6.7</v>
      </c>
      <c r="M354" s="8" t="n">
        <f aca="false">M353+L354</f>
        <v>507.1</v>
      </c>
      <c r="N354" s="8" t="n">
        <v>-6.7</v>
      </c>
      <c r="O354" s="8" t="n">
        <f aca="false">O353+N354</f>
        <v>54</v>
      </c>
      <c r="P354" s="8" t="n">
        <v>314</v>
      </c>
      <c r="Q354" s="18" t="n">
        <f aca="false">1.15+((P354-255)/59)*(0.35-1.15)</f>
        <v>0.35</v>
      </c>
      <c r="R354" s="12" t="n">
        <f aca="false">Q354*L354</f>
        <v>2.345</v>
      </c>
      <c r="S354" s="12" t="n">
        <f aca="false">J354-R354</f>
        <v>-2.345</v>
      </c>
      <c r="T354" s="12" t="n">
        <f aca="false">MIN(197.4,T353+S354)</f>
        <v>98.0752542372881</v>
      </c>
      <c r="V354" s="8" t="n">
        <v>2976.5</v>
      </c>
      <c r="X354" s="8" t="n">
        <f aca="false">X353+V354</f>
        <v>271085</v>
      </c>
      <c r="Y354" s="8" t="n">
        <f aca="false">Y353+V354</f>
        <v>25836.4</v>
      </c>
      <c r="AA354" s="8" t="n">
        <v>15.7099852695598</v>
      </c>
    </row>
    <row r="355" s="8" customFormat="true" ht="15" hidden="false" customHeight="false" outlineLevel="0" collapsed="false">
      <c r="A355" s="77" t="s">
        <v>63</v>
      </c>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sheetData>
  <mergeCells count="10">
    <mergeCell ref="D1:I2"/>
    <mergeCell ref="J1:U2"/>
    <mergeCell ref="V1:Z2"/>
    <mergeCell ref="P3:T3"/>
    <mergeCell ref="G4:H4"/>
    <mergeCell ref="X4:Y4"/>
    <mergeCell ref="A40:Z40"/>
    <mergeCell ref="A41:A170"/>
    <mergeCell ref="A171:A220"/>
    <mergeCell ref="A355:Z355"/>
  </mergeCells>
  <conditionalFormatting sqref="T1:T4">
    <cfRule type="cellIs" priority="2" operator="equal" aboveAverage="0" equalAverage="0" bottom="0" percent="0" rank="0" text="" dxfId="0">
      <formula>0</formula>
    </cfRule>
    <cfRule type="cellIs" priority="3" operator="lessThanOrEqual" aboveAverage="0" equalAverage="0" bottom="0" percent="0" rank="0" text="" dxfId="1">
      <formula>65.8</formula>
    </cfRule>
  </conditionalFormatting>
  <conditionalFormatting sqref="V1:V4">
    <cfRule type="cellIs" priority="4" operator="between" aboveAverage="0" equalAverage="0" bottom="0" percent="0" rank="0" text="" dxfId="2">
      <formula>899.999</formula>
      <formula>0</formula>
    </cfRule>
  </conditionalFormatting>
  <conditionalFormatting sqref="T5:T355">
    <cfRule type="cellIs" priority="5" operator="equal" aboveAverage="0" equalAverage="0" bottom="0" percent="0" rank="0" text="" dxfId="3">
      <formula>0</formula>
    </cfRule>
    <cfRule type="cellIs" priority="6" operator="lessThanOrEqual" aboveAverage="0" equalAverage="0" bottom="0" percent="0" rank="0" text="" dxfId="4">
      <formula>65.8</formula>
    </cfRule>
  </conditionalFormatting>
  <conditionalFormatting sqref="S41:S354">
    <cfRule type="cellIs" priority="7" operator="lessThanOrEqual" aboveAverage="0" equalAverage="0" bottom="0" percent="0" rank="0" text="" dxfId="5">
      <formula>0</formula>
    </cfRule>
  </conditionalFormatting>
  <conditionalFormatting sqref="V5:V355">
    <cfRule type="cellIs" priority="8" operator="between" aboveAverage="0" equalAverage="0" bottom="0" percent="0" rank="0" text="" dxfId="6">
      <formula>899.999</formula>
      <formula>0</formula>
    </cfRule>
  </conditionalFormatting>
  <conditionalFormatting sqref="N41:N354 N5:N39">
    <cfRule type="cellIs" priority="9" operator="between" aboveAverage="0" equalAverage="0" bottom="0" percent="0" rank="0" text="" dxfId="7">
      <formula>0</formula>
      <formula>-40</formula>
    </cfRule>
  </conditionalFormatting>
  <conditionalFormatting sqref="D41:F354 I54 I50 I52 I48 I178 I180 I182 I184 I228 I230 I232 I234 I255 I259 I257 I261 I282 I280 I278 I276 I297 I299 I303 I305 I307 I309 I333 I331 I329 I327 D5:F39">
    <cfRule type="cellIs" priority="10" operator="between" aboveAverage="0" equalAverage="0" bottom="0" percent="0" rank="0" text="" dxfId="8">
      <formula>25</formula>
      <formula>40</formula>
    </cfRule>
    <cfRule type="cellIs" priority="11" operator="between" aboveAverage="0" equalAverage="0" bottom="0" percent="0" rank="0" text="" dxfId="9">
      <formula>0</formula>
      <formula>5</formula>
    </cfRule>
    <cfRule type="cellIs" priority="12" operator="between" aboveAverage="0" equalAverage="0" bottom="0" percent="0" rank="0" text="" dxfId="10">
      <formula>0</formula>
      <formula>-50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5"/>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U340" activeCellId="0" sqref="U340"/>
    </sheetView>
  </sheetViews>
  <sheetFormatPr defaultColWidth="10.54296875" defaultRowHeight="15" customHeight="true" zeroHeight="false" outlineLevelRow="0" outlineLevelCol="0"/>
  <sheetData>
    <row r="1" s="1" customFormat="true" ht="15" hidden="false" customHeight="false" outlineLevel="0" collapsed="false">
      <c r="B1" s="2"/>
      <c r="D1" s="3" t="s">
        <v>0</v>
      </c>
      <c r="E1" s="3"/>
      <c r="F1" s="3"/>
      <c r="G1" s="3"/>
      <c r="H1" s="3"/>
      <c r="I1" s="3"/>
      <c r="J1" s="3" t="s">
        <v>1</v>
      </c>
      <c r="K1" s="3"/>
      <c r="L1" s="3"/>
      <c r="M1" s="3"/>
      <c r="N1" s="3"/>
      <c r="O1" s="3"/>
      <c r="P1" s="3"/>
      <c r="Q1" s="3"/>
      <c r="R1" s="3"/>
      <c r="S1" s="3"/>
      <c r="T1" s="3"/>
      <c r="U1" s="3"/>
      <c r="V1" s="3" t="s">
        <v>2</v>
      </c>
      <c r="W1" s="3"/>
      <c r="X1" s="3"/>
      <c r="Y1" s="3"/>
      <c r="Z1" s="3"/>
    </row>
    <row r="2" s="1" customFormat="true" ht="15" hidden="false" customHeight="false" outlineLevel="0" collapsed="false">
      <c r="B2" s="2"/>
      <c r="D2" s="3"/>
      <c r="E2" s="3"/>
      <c r="F2" s="3"/>
      <c r="G2" s="3"/>
      <c r="H2" s="3"/>
      <c r="I2" s="3"/>
      <c r="J2" s="3"/>
      <c r="K2" s="3"/>
      <c r="L2" s="3"/>
      <c r="M2" s="3"/>
      <c r="N2" s="3"/>
      <c r="O2" s="3"/>
      <c r="P2" s="3"/>
      <c r="Q2" s="3"/>
      <c r="R2" s="3"/>
      <c r="S2" s="3"/>
      <c r="T2" s="3"/>
      <c r="U2" s="3"/>
      <c r="V2" s="3"/>
      <c r="W2" s="3"/>
      <c r="X2" s="3"/>
      <c r="Y2" s="3"/>
      <c r="Z2" s="3"/>
    </row>
    <row r="3" s="1" customFormat="true" ht="15" hidden="false" customHeight="false" outlineLevel="0" collapsed="false">
      <c r="B3" s="2"/>
      <c r="D3" s="4"/>
      <c r="E3" s="4"/>
      <c r="F3" s="4"/>
      <c r="G3" s="4"/>
      <c r="H3" s="4"/>
      <c r="I3" s="4"/>
      <c r="J3" s="4"/>
      <c r="K3" s="4"/>
      <c r="L3" s="4"/>
      <c r="M3" s="4"/>
      <c r="N3" s="4"/>
      <c r="O3" s="4"/>
      <c r="P3" s="3" t="s">
        <v>3</v>
      </c>
      <c r="Q3" s="3"/>
      <c r="R3" s="3"/>
      <c r="S3" s="3"/>
      <c r="T3" s="3"/>
      <c r="U3" s="4"/>
      <c r="V3" s="5"/>
      <c r="W3" s="5"/>
      <c r="X3" s="5"/>
      <c r="Y3" s="5"/>
      <c r="Z3" s="5"/>
    </row>
    <row r="4" s="1" customFormat="true" ht="15" hidden="false" customHeight="false" outlineLevel="0" collapsed="false">
      <c r="A4" s="1" t="s">
        <v>4</v>
      </c>
      <c r="B4" s="2" t="n">
        <v>5</v>
      </c>
      <c r="C4" s="1" t="s">
        <v>5</v>
      </c>
      <c r="D4" s="1" t="s">
        <v>6</v>
      </c>
      <c r="E4" s="1" t="s">
        <v>7</v>
      </c>
      <c r="F4" s="1" t="s">
        <v>8</v>
      </c>
      <c r="G4" s="6" t="s">
        <v>9</v>
      </c>
      <c r="H4" s="6"/>
      <c r="I4" s="1" t="s">
        <v>10</v>
      </c>
      <c r="J4" s="1" t="s">
        <v>11</v>
      </c>
      <c r="K4" s="1" t="s">
        <v>12</v>
      </c>
      <c r="L4" s="1" t="s">
        <v>13</v>
      </c>
      <c r="M4" s="1" t="s">
        <v>14</v>
      </c>
      <c r="N4" s="1" t="s">
        <v>15</v>
      </c>
      <c r="O4" s="1" t="s">
        <v>16</v>
      </c>
      <c r="P4" s="1" t="s">
        <v>17</v>
      </c>
      <c r="Q4" s="1" t="s">
        <v>18</v>
      </c>
      <c r="R4" s="1" t="s">
        <v>19</v>
      </c>
      <c r="S4" s="1" t="s">
        <v>20</v>
      </c>
      <c r="T4" s="7" t="s">
        <v>21</v>
      </c>
      <c r="U4" s="1" t="s">
        <v>10</v>
      </c>
      <c r="V4" s="7" t="s">
        <v>22</v>
      </c>
      <c r="W4" s="1" t="s">
        <v>23</v>
      </c>
      <c r="X4" s="6" t="s">
        <v>64</v>
      </c>
      <c r="Y4" s="6"/>
      <c r="Z4" s="1" t="s">
        <v>10</v>
      </c>
      <c r="AA4" s="1" t="s">
        <v>25</v>
      </c>
    </row>
    <row r="5" s="8" customFormat="true" ht="15" hidden="false" customHeight="false" outlineLevel="0" collapsed="false">
      <c r="B5" s="9"/>
      <c r="C5" s="10" t="n">
        <v>41122</v>
      </c>
      <c r="D5" s="8" t="n">
        <v>17.8</v>
      </c>
      <c r="E5" s="8" t="n">
        <v>14</v>
      </c>
      <c r="F5" s="8" t="n">
        <v>22.8</v>
      </c>
      <c r="G5" s="11"/>
      <c r="H5" s="11"/>
      <c r="I5" s="11"/>
      <c r="J5" s="8" t="n">
        <v>0.8</v>
      </c>
      <c r="K5" s="11"/>
      <c r="L5" s="8" t="n">
        <v>2.6</v>
      </c>
      <c r="M5" s="11"/>
      <c r="N5" s="8" t="n">
        <v>-1.8</v>
      </c>
      <c r="O5" s="11" t="n">
        <v>0</v>
      </c>
      <c r="T5" s="12"/>
      <c r="V5" s="8" t="n">
        <v>1134.2</v>
      </c>
    </row>
    <row r="6" s="8" customFormat="true" ht="15" hidden="false" customHeight="false" outlineLevel="0" collapsed="false">
      <c r="B6" s="9"/>
      <c r="C6" s="10" t="n">
        <v>41123</v>
      </c>
      <c r="D6" s="8" t="n">
        <v>17.5</v>
      </c>
      <c r="E6" s="8" t="n">
        <v>13.9</v>
      </c>
      <c r="F6" s="8" t="n">
        <v>21</v>
      </c>
      <c r="G6" s="11"/>
      <c r="H6" s="11"/>
      <c r="I6" s="11"/>
      <c r="J6" s="8" t="n">
        <v>0.9</v>
      </c>
      <c r="K6" s="11"/>
      <c r="L6" s="8" t="n">
        <v>2.6</v>
      </c>
      <c r="M6" s="11"/>
      <c r="N6" s="8" t="n">
        <v>-1.7</v>
      </c>
      <c r="O6" s="11" t="n">
        <v>0</v>
      </c>
      <c r="T6" s="12"/>
      <c r="V6" s="8" t="n">
        <v>1279</v>
      </c>
    </row>
    <row r="7" s="8" customFormat="true" ht="15" hidden="false" customHeight="false" outlineLevel="0" collapsed="false">
      <c r="B7" s="9"/>
      <c r="C7" s="10" t="n">
        <v>41124</v>
      </c>
      <c r="D7" s="8" t="n">
        <v>18</v>
      </c>
      <c r="E7" s="8" t="n">
        <v>13.9</v>
      </c>
      <c r="F7" s="8" t="n">
        <v>23</v>
      </c>
      <c r="G7" s="11"/>
      <c r="H7" s="11"/>
      <c r="I7" s="11"/>
      <c r="J7" s="8" t="n">
        <v>3.9</v>
      </c>
      <c r="K7" s="11"/>
      <c r="L7" s="8" t="n">
        <v>3.4</v>
      </c>
      <c r="M7" s="11"/>
      <c r="N7" s="8" t="n">
        <v>0.5</v>
      </c>
      <c r="O7" s="8" t="n">
        <f aca="false">O6+N7</f>
        <v>0.5</v>
      </c>
      <c r="T7" s="12"/>
      <c r="V7" s="8" t="n">
        <v>1806.2</v>
      </c>
    </row>
    <row r="8" s="8" customFormat="true" ht="15" hidden="false" customHeight="false" outlineLevel="0" collapsed="false">
      <c r="B8" s="9"/>
      <c r="C8" s="10" t="n">
        <v>41125</v>
      </c>
      <c r="D8" s="8" t="n">
        <v>17.1</v>
      </c>
      <c r="E8" s="8" t="n">
        <v>15.1</v>
      </c>
      <c r="F8" s="8" t="n">
        <v>19.4</v>
      </c>
      <c r="G8" s="11"/>
      <c r="H8" s="11"/>
      <c r="I8" s="11"/>
      <c r="J8" s="8" t="n">
        <v>4.6</v>
      </c>
      <c r="K8" s="11"/>
      <c r="L8" s="8" t="n">
        <v>1.9</v>
      </c>
      <c r="M8" s="11"/>
      <c r="N8" s="8" t="n">
        <v>2.7</v>
      </c>
      <c r="O8" s="8" t="n">
        <f aca="false">O7+N8</f>
        <v>3.2</v>
      </c>
      <c r="T8" s="12"/>
      <c r="V8" s="8" t="n">
        <v>859</v>
      </c>
    </row>
    <row r="9" s="8" customFormat="true" ht="15" hidden="false" customHeight="false" outlineLevel="0" collapsed="false">
      <c r="B9" s="9"/>
      <c r="C9" s="10" t="n">
        <v>41126</v>
      </c>
      <c r="D9" s="8" t="n">
        <v>16.7</v>
      </c>
      <c r="E9" s="8" t="n">
        <v>13.9</v>
      </c>
      <c r="F9" s="8" t="n">
        <v>21</v>
      </c>
      <c r="G9" s="11"/>
      <c r="H9" s="11"/>
      <c r="I9" s="11"/>
      <c r="J9" s="8" t="n">
        <v>0.5</v>
      </c>
      <c r="K9" s="11"/>
      <c r="L9" s="8" t="n">
        <v>3</v>
      </c>
      <c r="M9" s="11"/>
      <c r="N9" s="8" t="n">
        <v>-2.5</v>
      </c>
      <c r="O9" s="8" t="n">
        <f aca="false">O8+N9</f>
        <v>0.7</v>
      </c>
      <c r="T9" s="12"/>
      <c r="V9" s="8" t="n">
        <v>1473.6</v>
      </c>
    </row>
    <row r="10" s="8" customFormat="true" ht="15" hidden="false" customHeight="false" outlineLevel="0" collapsed="false">
      <c r="B10" s="9"/>
      <c r="C10" s="10" t="n">
        <v>41127</v>
      </c>
      <c r="D10" s="8" t="n">
        <v>16.5</v>
      </c>
      <c r="E10" s="8" t="n">
        <v>13.4</v>
      </c>
      <c r="F10" s="8" t="n">
        <v>20.8</v>
      </c>
      <c r="G10" s="11"/>
      <c r="H10" s="11"/>
      <c r="I10" s="11"/>
      <c r="J10" s="8" t="n">
        <v>0</v>
      </c>
      <c r="K10" s="11"/>
      <c r="L10" s="8" t="n">
        <v>3</v>
      </c>
      <c r="M10" s="11"/>
      <c r="N10" s="8" t="n">
        <v>-3</v>
      </c>
      <c r="O10" s="8" t="n">
        <v>0</v>
      </c>
      <c r="T10" s="12"/>
      <c r="V10" s="8" t="n">
        <v>1430.3</v>
      </c>
    </row>
    <row r="11" s="8" customFormat="true" ht="15" hidden="false" customHeight="false" outlineLevel="0" collapsed="false">
      <c r="B11" s="9"/>
      <c r="C11" s="10" t="n">
        <v>41128</v>
      </c>
      <c r="D11" s="8" t="n">
        <v>16.9</v>
      </c>
      <c r="E11" s="8" t="n">
        <v>11.9</v>
      </c>
      <c r="F11" s="8" t="n">
        <v>21.3</v>
      </c>
      <c r="G11" s="11"/>
      <c r="H11" s="11"/>
      <c r="I11" s="11"/>
      <c r="J11" s="8" t="n">
        <v>0</v>
      </c>
      <c r="K11" s="11"/>
      <c r="L11" s="8" t="n">
        <v>2.9</v>
      </c>
      <c r="M11" s="11"/>
      <c r="N11" s="8" t="n">
        <v>-2.9</v>
      </c>
      <c r="O11" s="8" t="n">
        <v>0</v>
      </c>
      <c r="T11" s="12"/>
      <c r="V11" s="8" t="n">
        <v>1546.4</v>
      </c>
    </row>
    <row r="12" s="8" customFormat="true" ht="15" hidden="false" customHeight="false" outlineLevel="0" collapsed="false">
      <c r="B12" s="9"/>
      <c r="C12" s="10" t="n">
        <v>41129</v>
      </c>
      <c r="D12" s="8" t="n">
        <v>19.4</v>
      </c>
      <c r="E12" s="8" t="n">
        <v>12.4</v>
      </c>
      <c r="F12" s="8" t="n">
        <v>26.9</v>
      </c>
      <c r="G12" s="11"/>
      <c r="H12" s="11"/>
      <c r="I12" s="11"/>
      <c r="J12" s="8" t="n">
        <v>0</v>
      </c>
      <c r="K12" s="11"/>
      <c r="L12" s="8" t="n">
        <v>5.2</v>
      </c>
      <c r="M12" s="11"/>
      <c r="N12" s="8" t="n">
        <v>-5.2</v>
      </c>
      <c r="O12" s="8" t="n">
        <v>0</v>
      </c>
      <c r="T12" s="12"/>
      <c r="V12" s="8" t="n">
        <v>2511.8</v>
      </c>
    </row>
    <row r="13" s="8" customFormat="true" ht="15" hidden="false" customHeight="false" outlineLevel="0" collapsed="false">
      <c r="B13" s="9"/>
      <c r="C13" s="10" t="n">
        <v>41130</v>
      </c>
      <c r="D13" s="8" t="n">
        <v>21.8</v>
      </c>
      <c r="E13" s="8" t="n">
        <v>13.7</v>
      </c>
      <c r="F13" s="8" t="n">
        <v>29.8</v>
      </c>
      <c r="G13" s="11"/>
      <c r="H13" s="11"/>
      <c r="I13" s="11"/>
      <c r="J13" s="8" t="n">
        <v>0</v>
      </c>
      <c r="K13" s="11"/>
      <c r="L13" s="8" t="n">
        <v>5.9</v>
      </c>
      <c r="M13" s="11"/>
      <c r="N13" s="8" t="n">
        <v>-5.9</v>
      </c>
      <c r="O13" s="8" t="n">
        <v>0</v>
      </c>
      <c r="T13" s="12"/>
      <c r="V13" s="8" t="n">
        <v>2708.1</v>
      </c>
    </row>
    <row r="14" s="8" customFormat="true" ht="15" hidden="false" customHeight="false" outlineLevel="0" collapsed="false">
      <c r="B14" s="9"/>
      <c r="C14" s="10" t="n">
        <v>41131</v>
      </c>
      <c r="D14" s="8" t="n">
        <v>22.4</v>
      </c>
      <c r="E14" s="8" t="n">
        <v>17.1</v>
      </c>
      <c r="F14" s="8" t="n">
        <v>29.1</v>
      </c>
      <c r="G14" s="11"/>
      <c r="H14" s="11"/>
      <c r="I14" s="11"/>
      <c r="J14" s="8" t="n">
        <v>0</v>
      </c>
      <c r="K14" s="11"/>
      <c r="L14" s="8" t="n">
        <v>6.6</v>
      </c>
      <c r="M14" s="11"/>
      <c r="N14" s="8" t="n">
        <v>-6.6</v>
      </c>
      <c r="O14" s="8" t="n">
        <v>0</v>
      </c>
      <c r="T14" s="12"/>
      <c r="V14" s="8" t="n">
        <v>2769.7</v>
      </c>
    </row>
    <row r="15" s="8" customFormat="true" ht="15" hidden="false" customHeight="false" outlineLevel="0" collapsed="false">
      <c r="B15" s="9"/>
      <c r="C15" s="10" t="n">
        <v>41132</v>
      </c>
      <c r="D15" s="8" t="n">
        <v>22.6</v>
      </c>
      <c r="E15" s="8" t="n">
        <v>15.7</v>
      </c>
      <c r="F15" s="8" t="n">
        <v>29.3</v>
      </c>
      <c r="G15" s="11"/>
      <c r="H15" s="11"/>
      <c r="I15" s="11"/>
      <c r="J15" s="8" t="n">
        <v>0</v>
      </c>
      <c r="K15" s="11"/>
      <c r="L15" s="8" t="n">
        <v>5.4</v>
      </c>
      <c r="M15" s="11"/>
      <c r="N15" s="8" t="n">
        <v>-5.4</v>
      </c>
      <c r="O15" s="8" t="n">
        <v>0</v>
      </c>
      <c r="T15" s="12"/>
      <c r="V15" s="8" t="n">
        <v>2401.3</v>
      </c>
    </row>
    <row r="16" s="8" customFormat="true" ht="15" hidden="false" customHeight="false" outlineLevel="0" collapsed="false">
      <c r="B16" s="9"/>
      <c r="C16" s="10" t="n">
        <v>41133</v>
      </c>
      <c r="D16" s="8" t="n">
        <v>20</v>
      </c>
      <c r="E16" s="8" t="n">
        <v>16.4</v>
      </c>
      <c r="F16" s="8" t="n">
        <v>23.3</v>
      </c>
      <c r="G16" s="11"/>
      <c r="H16" s="11"/>
      <c r="I16" s="11"/>
      <c r="J16" s="8" t="n">
        <v>0.1</v>
      </c>
      <c r="K16" s="11"/>
      <c r="L16" s="8" t="n">
        <v>3.5</v>
      </c>
      <c r="M16" s="11"/>
      <c r="N16" s="8" t="n">
        <v>-3.4</v>
      </c>
      <c r="O16" s="8" t="n">
        <v>0</v>
      </c>
      <c r="T16" s="12"/>
      <c r="V16" s="8" t="n">
        <v>1621.6</v>
      </c>
    </row>
    <row r="17" s="8" customFormat="true" ht="15" hidden="false" customHeight="false" outlineLevel="0" collapsed="false">
      <c r="B17" s="9"/>
      <c r="C17" s="10" t="n">
        <v>41134</v>
      </c>
      <c r="D17" s="8" t="n">
        <v>19</v>
      </c>
      <c r="E17" s="8" t="n">
        <v>16.5</v>
      </c>
      <c r="F17" s="8" t="n">
        <v>22.4</v>
      </c>
      <c r="G17" s="11"/>
      <c r="H17" s="11"/>
      <c r="I17" s="11"/>
      <c r="J17" s="8" t="n">
        <v>5.1</v>
      </c>
      <c r="K17" s="11"/>
      <c r="L17" s="8" t="n">
        <v>1.4</v>
      </c>
      <c r="M17" s="11"/>
      <c r="N17" s="8" t="n">
        <v>3.7</v>
      </c>
      <c r="O17" s="8" t="n">
        <f aca="false">O16+N17</f>
        <v>3.7</v>
      </c>
      <c r="T17" s="12"/>
      <c r="V17" s="8" t="n">
        <v>575.5</v>
      </c>
    </row>
    <row r="18" s="8" customFormat="true" ht="15" hidden="false" customHeight="false" outlineLevel="0" collapsed="false">
      <c r="B18" s="9"/>
      <c r="C18" s="10" t="n">
        <v>41135</v>
      </c>
      <c r="D18" s="8" t="n">
        <v>20.4</v>
      </c>
      <c r="E18" s="8" t="n">
        <v>17.2</v>
      </c>
      <c r="F18" s="8" t="n">
        <v>23.4</v>
      </c>
      <c r="G18" s="11"/>
      <c r="H18" s="11"/>
      <c r="I18" s="11"/>
      <c r="J18" s="8" t="n">
        <v>2.9</v>
      </c>
      <c r="K18" s="11"/>
      <c r="L18" s="8" t="n">
        <v>1.2</v>
      </c>
      <c r="M18" s="11"/>
      <c r="N18" s="8" t="n">
        <v>1.7</v>
      </c>
      <c r="O18" s="8" t="n">
        <f aca="false">O17+N18</f>
        <v>5.4</v>
      </c>
      <c r="T18" s="12"/>
      <c r="V18" s="8" t="n">
        <v>502</v>
      </c>
    </row>
    <row r="19" s="8" customFormat="true" ht="15" hidden="false" customHeight="false" outlineLevel="0" collapsed="false">
      <c r="B19" s="9"/>
      <c r="C19" s="10" t="n">
        <v>41136</v>
      </c>
      <c r="D19" s="8" t="n">
        <v>19.2</v>
      </c>
      <c r="E19" s="8" t="n">
        <v>18.5</v>
      </c>
      <c r="F19" s="8" t="n">
        <v>21.5</v>
      </c>
      <c r="G19" s="11"/>
      <c r="H19" s="11"/>
      <c r="I19" s="11"/>
      <c r="J19" s="8" t="n">
        <v>0</v>
      </c>
      <c r="K19" s="11"/>
      <c r="L19" s="8" t="n">
        <v>2.3</v>
      </c>
      <c r="M19" s="11"/>
      <c r="N19" s="8" t="n">
        <v>-2.3</v>
      </c>
      <c r="O19" s="8" t="n">
        <f aca="false">O18+N19</f>
        <v>3.1</v>
      </c>
      <c r="T19" s="12"/>
      <c r="V19" s="8" t="n">
        <v>682.1</v>
      </c>
    </row>
    <row r="20" s="8" customFormat="true" ht="15" hidden="false" customHeight="false" outlineLevel="0" collapsed="false">
      <c r="B20" s="9"/>
      <c r="C20" s="10" t="n">
        <v>41137</v>
      </c>
      <c r="D20" s="8" t="n">
        <v>19.9</v>
      </c>
      <c r="E20" s="8" t="n">
        <v>15.3</v>
      </c>
      <c r="F20" s="8" t="n">
        <v>23.8</v>
      </c>
      <c r="G20" s="11"/>
      <c r="H20" s="11"/>
      <c r="I20" s="11"/>
      <c r="J20" s="8" t="n">
        <v>0</v>
      </c>
      <c r="K20" s="11"/>
      <c r="L20" s="8" t="n">
        <v>1.8</v>
      </c>
      <c r="M20" s="11"/>
      <c r="N20" s="8" t="n">
        <v>-1.8</v>
      </c>
      <c r="O20" s="8" t="n">
        <f aca="false">O19+N20</f>
        <v>1.3</v>
      </c>
      <c r="T20" s="12"/>
      <c r="V20" s="8" t="n">
        <v>725.2</v>
      </c>
    </row>
    <row r="21" s="8" customFormat="true" ht="15" hidden="false" customHeight="false" outlineLevel="0" collapsed="false">
      <c r="B21" s="9"/>
      <c r="C21" s="10" t="n">
        <v>41138</v>
      </c>
      <c r="D21" s="8" t="n">
        <v>23.6</v>
      </c>
      <c r="E21" s="8" t="n">
        <v>16.7</v>
      </c>
      <c r="F21" s="8" t="n">
        <v>31.8</v>
      </c>
      <c r="G21" s="11"/>
      <c r="H21" s="11"/>
      <c r="I21" s="11"/>
      <c r="J21" s="8" t="n">
        <v>0</v>
      </c>
      <c r="K21" s="11"/>
      <c r="L21" s="8" t="n">
        <v>6</v>
      </c>
      <c r="M21" s="11"/>
      <c r="N21" s="8" t="n">
        <v>-6</v>
      </c>
      <c r="O21" s="8" t="n">
        <v>0</v>
      </c>
      <c r="T21" s="12"/>
      <c r="V21" s="8" t="n">
        <v>2230.6</v>
      </c>
    </row>
    <row r="22" s="8" customFormat="true" ht="15" hidden="false" customHeight="false" outlineLevel="0" collapsed="false">
      <c r="B22" s="9"/>
      <c r="C22" s="10" t="n">
        <v>41139</v>
      </c>
      <c r="D22" s="8" t="n">
        <v>22.4</v>
      </c>
      <c r="E22" s="8" t="n">
        <v>15.4</v>
      </c>
      <c r="F22" s="8" t="n">
        <v>31</v>
      </c>
      <c r="G22" s="11"/>
      <c r="H22" s="11"/>
      <c r="I22" s="11"/>
      <c r="J22" s="8" t="n">
        <v>0</v>
      </c>
      <c r="K22" s="11"/>
      <c r="L22" s="8" t="n">
        <v>6.1</v>
      </c>
      <c r="M22" s="11"/>
      <c r="N22" s="8" t="n">
        <v>-6.1</v>
      </c>
      <c r="O22" s="8" t="n">
        <v>0</v>
      </c>
      <c r="T22" s="12"/>
      <c r="V22" s="8" t="n">
        <v>2503</v>
      </c>
    </row>
    <row r="23" s="8" customFormat="true" ht="15" hidden="false" customHeight="false" outlineLevel="0" collapsed="false">
      <c r="B23" s="9"/>
      <c r="C23" s="10" t="n">
        <v>41140</v>
      </c>
      <c r="D23" s="8" t="n">
        <v>21.3</v>
      </c>
      <c r="E23" s="8" t="n">
        <v>16.7</v>
      </c>
      <c r="F23" s="8" t="n">
        <v>27.4</v>
      </c>
      <c r="G23" s="11"/>
      <c r="H23" s="11"/>
      <c r="I23" s="11"/>
      <c r="J23" s="8" t="n">
        <v>0</v>
      </c>
      <c r="K23" s="11"/>
      <c r="L23" s="8" t="n">
        <v>3.6</v>
      </c>
      <c r="M23" s="11"/>
      <c r="N23" s="8" t="n">
        <v>-3.6</v>
      </c>
      <c r="O23" s="8" t="n">
        <v>0</v>
      </c>
      <c r="T23" s="12"/>
      <c r="V23" s="8" t="n">
        <v>1808.1</v>
      </c>
    </row>
    <row r="24" s="8" customFormat="true" ht="15" hidden="false" customHeight="false" outlineLevel="0" collapsed="false">
      <c r="B24" s="9"/>
      <c r="C24" s="10" t="n">
        <v>41141</v>
      </c>
      <c r="D24" s="8" t="n">
        <v>20.6</v>
      </c>
      <c r="E24" s="8" t="n">
        <v>16.6</v>
      </c>
      <c r="F24" s="8" t="n">
        <v>25.6</v>
      </c>
      <c r="G24" s="11"/>
      <c r="H24" s="11"/>
      <c r="I24" s="11"/>
      <c r="J24" s="8" t="n">
        <v>0</v>
      </c>
      <c r="K24" s="11"/>
      <c r="L24" s="8" t="n">
        <v>2.2</v>
      </c>
      <c r="M24" s="11"/>
      <c r="N24" s="8" t="n">
        <v>-2.2</v>
      </c>
      <c r="O24" s="8" t="n">
        <v>0</v>
      </c>
      <c r="T24" s="12"/>
      <c r="V24" s="8" t="n">
        <v>1163.9</v>
      </c>
    </row>
    <row r="25" s="8" customFormat="true" ht="15" hidden="false" customHeight="false" outlineLevel="0" collapsed="false">
      <c r="B25" s="9"/>
      <c r="C25" s="10" t="n">
        <v>41142</v>
      </c>
      <c r="D25" s="8" t="n">
        <v>18.8</v>
      </c>
      <c r="E25" s="8" t="n">
        <v>16.3</v>
      </c>
      <c r="F25" s="8" t="n">
        <v>24.5</v>
      </c>
      <c r="G25" s="11"/>
      <c r="H25" s="11"/>
      <c r="I25" s="11"/>
      <c r="J25" s="8" t="n">
        <v>0</v>
      </c>
      <c r="K25" s="11"/>
      <c r="L25" s="8" t="n">
        <v>3.4</v>
      </c>
      <c r="M25" s="11"/>
      <c r="N25" s="8" t="n">
        <v>-3.4</v>
      </c>
      <c r="O25" s="8" t="n">
        <v>0</v>
      </c>
      <c r="T25" s="12"/>
      <c r="V25" s="8" t="n">
        <v>1589.1</v>
      </c>
    </row>
    <row r="26" s="8" customFormat="true" ht="15" hidden="false" customHeight="false" outlineLevel="0" collapsed="false">
      <c r="B26" s="9"/>
      <c r="C26" s="10" t="n">
        <v>41143</v>
      </c>
      <c r="D26" s="8" t="n">
        <v>16.6</v>
      </c>
      <c r="E26" s="8" t="n">
        <v>11.4</v>
      </c>
      <c r="F26" s="8" t="n">
        <v>23.2</v>
      </c>
      <c r="G26" s="11"/>
      <c r="H26" s="11"/>
      <c r="I26" s="11"/>
      <c r="J26" s="8" t="n">
        <v>0</v>
      </c>
      <c r="K26" s="11"/>
      <c r="L26" s="8" t="n">
        <v>3.8</v>
      </c>
      <c r="M26" s="11"/>
      <c r="N26" s="8" t="n">
        <v>-3.8</v>
      </c>
      <c r="O26" s="8" t="n">
        <v>0</v>
      </c>
      <c r="T26" s="12"/>
      <c r="V26" s="8" t="n">
        <v>1816.4</v>
      </c>
    </row>
    <row r="27" s="8" customFormat="true" ht="15" hidden="false" customHeight="false" outlineLevel="0" collapsed="false">
      <c r="B27" s="9"/>
      <c r="C27" s="10" t="n">
        <v>41144</v>
      </c>
      <c r="D27" s="8" t="n">
        <v>17</v>
      </c>
      <c r="E27" s="8" t="n">
        <v>10.5</v>
      </c>
      <c r="F27" s="8" t="n">
        <v>23.6</v>
      </c>
      <c r="G27" s="11"/>
      <c r="H27" s="11"/>
      <c r="I27" s="11"/>
      <c r="J27" s="8" t="n">
        <v>0</v>
      </c>
      <c r="K27" s="11"/>
      <c r="L27" s="8" t="n">
        <v>3.6</v>
      </c>
      <c r="M27" s="11"/>
      <c r="N27" s="8" t="n">
        <v>-3.6</v>
      </c>
      <c r="O27" s="8" t="n">
        <v>0</v>
      </c>
      <c r="T27" s="12"/>
      <c r="V27" s="8" t="n">
        <v>1841.9</v>
      </c>
    </row>
    <row r="28" s="8" customFormat="true" ht="15" hidden="false" customHeight="false" outlineLevel="0" collapsed="false">
      <c r="B28" s="9"/>
      <c r="C28" s="10" t="n">
        <v>41145</v>
      </c>
      <c r="D28" s="8" t="n">
        <v>16.8</v>
      </c>
      <c r="E28" s="8" t="n">
        <v>13.7</v>
      </c>
      <c r="F28" s="8" t="n">
        <v>20.3</v>
      </c>
      <c r="G28" s="11"/>
      <c r="H28" s="11"/>
      <c r="I28" s="11"/>
      <c r="J28" s="8" t="n">
        <v>2.3</v>
      </c>
      <c r="K28" s="11"/>
      <c r="L28" s="8" t="n">
        <v>1.7</v>
      </c>
      <c r="M28" s="11"/>
      <c r="N28" s="8" t="n">
        <v>0.6</v>
      </c>
      <c r="O28" s="8" t="n">
        <f aca="false">O27+N28</f>
        <v>0.6</v>
      </c>
      <c r="T28" s="12"/>
      <c r="V28" s="8" t="n">
        <v>817.7</v>
      </c>
    </row>
    <row r="29" s="8" customFormat="true" ht="15" hidden="false" customHeight="false" outlineLevel="0" collapsed="false">
      <c r="B29" s="9"/>
      <c r="C29" s="10" t="n">
        <v>41146</v>
      </c>
      <c r="D29" s="8" t="n">
        <v>17</v>
      </c>
      <c r="E29" s="8" t="n">
        <v>15.4</v>
      </c>
      <c r="F29" s="8" t="n">
        <v>20.5</v>
      </c>
      <c r="G29" s="11"/>
      <c r="H29" s="11"/>
      <c r="I29" s="11"/>
      <c r="J29" s="8" t="n">
        <v>0.7</v>
      </c>
      <c r="K29" s="11"/>
      <c r="L29" s="8" t="n">
        <v>3</v>
      </c>
      <c r="M29" s="11"/>
      <c r="N29" s="8" t="n">
        <v>-2.3</v>
      </c>
      <c r="O29" s="8" t="n">
        <v>0</v>
      </c>
      <c r="T29" s="12"/>
      <c r="V29" s="8" t="n">
        <v>1460.2</v>
      </c>
    </row>
    <row r="30" s="8" customFormat="true" ht="15" hidden="false" customHeight="false" outlineLevel="0" collapsed="false">
      <c r="B30" s="9"/>
      <c r="C30" s="10" t="n">
        <v>41147</v>
      </c>
      <c r="D30" s="8" t="n">
        <v>17.4</v>
      </c>
      <c r="E30" s="8" t="n">
        <v>12.3</v>
      </c>
      <c r="F30" s="8" t="n">
        <v>22.4</v>
      </c>
      <c r="G30" s="11"/>
      <c r="H30" s="11"/>
      <c r="I30" s="11"/>
      <c r="J30" s="8" t="n">
        <v>0</v>
      </c>
      <c r="K30" s="11"/>
      <c r="L30" s="8" t="n">
        <v>2.9</v>
      </c>
      <c r="M30" s="11"/>
      <c r="N30" s="8" t="n">
        <v>-2.9</v>
      </c>
      <c r="O30" s="8" t="n">
        <v>0</v>
      </c>
      <c r="T30" s="12"/>
      <c r="V30" s="8" t="n">
        <v>1338.7</v>
      </c>
    </row>
    <row r="31" s="8" customFormat="true" ht="15" hidden="false" customHeight="false" outlineLevel="0" collapsed="false">
      <c r="B31" s="9"/>
      <c r="C31" s="10" t="n">
        <v>41148</v>
      </c>
      <c r="D31" s="8" t="n">
        <v>19.8</v>
      </c>
      <c r="E31" s="8" t="n">
        <v>13.8</v>
      </c>
      <c r="F31" s="8" t="n">
        <v>27.2</v>
      </c>
      <c r="G31" s="11"/>
      <c r="H31" s="11"/>
      <c r="I31" s="11"/>
      <c r="J31" s="8" t="n">
        <v>0</v>
      </c>
      <c r="K31" s="11"/>
      <c r="L31" s="8" t="n">
        <v>4.3</v>
      </c>
      <c r="M31" s="11"/>
      <c r="N31" s="8" t="n">
        <v>-4.3</v>
      </c>
      <c r="O31" s="8" t="n">
        <v>0</v>
      </c>
      <c r="T31" s="12"/>
      <c r="V31" s="8" t="n">
        <v>1501.9</v>
      </c>
    </row>
    <row r="32" s="8" customFormat="true" ht="15" hidden="false" customHeight="false" outlineLevel="0" collapsed="false">
      <c r="B32" s="9"/>
      <c r="C32" s="10" t="n">
        <v>41149</v>
      </c>
      <c r="D32" s="8" t="n">
        <v>18.2</v>
      </c>
      <c r="E32" s="8" t="n">
        <v>13.8</v>
      </c>
      <c r="F32" s="8" t="n">
        <v>22.7</v>
      </c>
      <c r="G32" s="11"/>
      <c r="H32" s="11"/>
      <c r="I32" s="11"/>
      <c r="J32" s="8" t="n">
        <v>0.1</v>
      </c>
      <c r="K32" s="11"/>
      <c r="L32" s="8" t="n">
        <v>3.7</v>
      </c>
      <c r="M32" s="11"/>
      <c r="N32" s="8" t="n">
        <v>-3.6</v>
      </c>
      <c r="O32" s="8" t="n">
        <v>0</v>
      </c>
      <c r="T32" s="12"/>
      <c r="V32" s="8" t="n">
        <v>1844.6</v>
      </c>
    </row>
    <row r="33" s="8" customFormat="true" ht="15" hidden="false" customHeight="false" outlineLevel="0" collapsed="false">
      <c r="B33" s="9"/>
      <c r="C33" s="10" t="n">
        <v>41150</v>
      </c>
      <c r="D33" s="8" t="n">
        <v>16.7</v>
      </c>
      <c r="E33" s="8" t="n">
        <v>14.1</v>
      </c>
      <c r="F33" s="8" t="n">
        <v>22.2</v>
      </c>
      <c r="G33" s="11"/>
      <c r="H33" s="11"/>
      <c r="I33" s="11"/>
      <c r="J33" s="8" t="n">
        <v>0.2</v>
      </c>
      <c r="K33" s="11"/>
      <c r="L33" s="8" t="n">
        <v>3.3</v>
      </c>
      <c r="M33" s="11"/>
      <c r="N33" s="8" t="n">
        <v>-3.1</v>
      </c>
      <c r="O33" s="8" t="n">
        <v>0</v>
      </c>
      <c r="T33" s="12"/>
      <c r="V33" s="8" t="n">
        <v>1340.7</v>
      </c>
    </row>
    <row r="34" s="8" customFormat="true" ht="15" hidden="false" customHeight="false" outlineLevel="0" collapsed="false">
      <c r="B34" s="9"/>
      <c r="C34" s="10" t="n">
        <v>41151</v>
      </c>
      <c r="D34" s="8" t="n">
        <v>15.2</v>
      </c>
      <c r="E34" s="8" t="n">
        <v>13.6</v>
      </c>
      <c r="F34" s="8" t="n">
        <v>19.9</v>
      </c>
      <c r="G34" s="11"/>
      <c r="H34" s="11"/>
      <c r="I34" s="11"/>
      <c r="J34" s="8" t="n">
        <v>0.6</v>
      </c>
      <c r="K34" s="11"/>
      <c r="L34" s="8" t="n">
        <v>3.2</v>
      </c>
      <c r="M34" s="11"/>
      <c r="N34" s="8" t="n">
        <v>-2.6</v>
      </c>
      <c r="O34" s="8" t="n">
        <v>0</v>
      </c>
      <c r="T34" s="12"/>
      <c r="V34" s="8" t="n">
        <v>1460.5</v>
      </c>
    </row>
    <row r="35" s="8" customFormat="true" ht="15" hidden="false" customHeight="false" outlineLevel="0" collapsed="false">
      <c r="B35" s="9"/>
      <c r="C35" s="10" t="n">
        <v>41152</v>
      </c>
      <c r="D35" s="8" t="n">
        <v>13.7</v>
      </c>
      <c r="E35" s="8" t="n">
        <v>9.7</v>
      </c>
      <c r="F35" s="8" t="n">
        <v>18.2</v>
      </c>
      <c r="G35" s="11"/>
      <c r="H35" s="11"/>
      <c r="I35" s="11"/>
      <c r="J35" s="8" t="n">
        <v>0</v>
      </c>
      <c r="K35" s="11"/>
      <c r="L35" s="8" t="n">
        <v>2.8</v>
      </c>
      <c r="M35" s="11"/>
      <c r="N35" s="8" t="n">
        <v>-2.8</v>
      </c>
      <c r="O35" s="8" t="n">
        <v>0</v>
      </c>
      <c r="T35" s="12"/>
      <c r="V35" s="8" t="n">
        <v>1343.2</v>
      </c>
    </row>
    <row r="36" s="8" customFormat="true" ht="15" hidden="false" customHeight="false" outlineLevel="0" collapsed="false">
      <c r="B36" s="9"/>
      <c r="C36" s="10" t="n">
        <v>41153</v>
      </c>
      <c r="D36" s="8" t="n">
        <v>14.7</v>
      </c>
      <c r="E36" s="8" t="n">
        <v>11.3</v>
      </c>
      <c r="F36" s="8" t="n">
        <v>17.5</v>
      </c>
      <c r="G36" s="11"/>
      <c r="H36" s="11"/>
      <c r="I36" s="11"/>
      <c r="J36" s="8" t="n">
        <v>0</v>
      </c>
      <c r="K36" s="11"/>
      <c r="L36" s="8" t="n">
        <v>0.9</v>
      </c>
      <c r="M36" s="11"/>
      <c r="N36" s="8" t="n">
        <v>-0.9</v>
      </c>
      <c r="O36" s="8" t="n">
        <v>0</v>
      </c>
      <c r="T36" s="12"/>
      <c r="V36" s="8" t="n">
        <v>639.4</v>
      </c>
    </row>
    <row r="37" s="8" customFormat="true" ht="15" hidden="false" customHeight="false" outlineLevel="0" collapsed="false">
      <c r="B37" s="9"/>
      <c r="C37" s="10" t="n">
        <v>41154</v>
      </c>
      <c r="D37" s="8" t="n">
        <v>15.5</v>
      </c>
      <c r="E37" s="8" t="n">
        <v>10.5</v>
      </c>
      <c r="F37" s="8" t="n">
        <v>20.7</v>
      </c>
      <c r="G37" s="11"/>
      <c r="H37" s="11"/>
      <c r="I37" s="11"/>
      <c r="J37" s="8" t="n">
        <v>0.2</v>
      </c>
      <c r="K37" s="11"/>
      <c r="L37" s="8" t="n">
        <v>3</v>
      </c>
      <c r="M37" s="11"/>
      <c r="N37" s="8" t="n">
        <v>-2.8</v>
      </c>
      <c r="O37" s="8" t="n">
        <v>0</v>
      </c>
      <c r="T37" s="12"/>
      <c r="V37" s="8" t="n">
        <v>1625.9</v>
      </c>
    </row>
    <row r="38" s="8" customFormat="true" ht="15" hidden="false" customHeight="false" outlineLevel="0" collapsed="false">
      <c r="B38" s="9"/>
      <c r="C38" s="10" t="n">
        <v>41155</v>
      </c>
      <c r="D38" s="8" t="n">
        <v>16.4</v>
      </c>
      <c r="E38" s="8" t="n">
        <v>12.2</v>
      </c>
      <c r="F38" s="8" t="n">
        <v>19.3</v>
      </c>
      <c r="G38" s="11"/>
      <c r="H38" s="11"/>
      <c r="I38" s="11"/>
      <c r="J38" s="8" t="n">
        <v>0.2</v>
      </c>
      <c r="K38" s="11"/>
      <c r="L38" s="8" t="n">
        <v>1</v>
      </c>
      <c r="M38" s="11"/>
      <c r="N38" s="8" t="n">
        <v>-0.8</v>
      </c>
      <c r="O38" s="8" t="n">
        <v>0</v>
      </c>
      <c r="T38" s="12"/>
      <c r="V38" s="8" t="n">
        <v>578.4</v>
      </c>
    </row>
    <row r="39" s="8" customFormat="true" ht="15" hidden="false" customHeight="false" outlineLevel="0" collapsed="false">
      <c r="B39" s="9"/>
      <c r="C39" s="10" t="n">
        <v>41156</v>
      </c>
      <c r="D39" s="8" t="n">
        <v>17.5</v>
      </c>
      <c r="E39" s="8" t="n">
        <v>13.7</v>
      </c>
      <c r="F39" s="8" t="n">
        <v>21.3</v>
      </c>
      <c r="G39" s="11"/>
      <c r="H39" s="11"/>
      <c r="I39" s="11"/>
      <c r="J39" s="8" t="n">
        <v>0</v>
      </c>
      <c r="K39" s="11"/>
      <c r="L39" s="8" t="n">
        <v>1.8</v>
      </c>
      <c r="M39" s="11"/>
      <c r="N39" s="8" t="n">
        <v>-1.8</v>
      </c>
      <c r="O39" s="8" t="n">
        <v>0</v>
      </c>
      <c r="T39" s="12" t="n">
        <v>0</v>
      </c>
      <c r="V39" s="8" t="n">
        <v>957.5</v>
      </c>
    </row>
    <row r="40" s="8" customFormat="true" ht="15" hidden="false" customHeight="false" outlineLevel="0" collapsed="false">
      <c r="A40" s="13" t="s">
        <v>26</v>
      </c>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8" customFormat="true" ht="15" hidden="false" customHeight="false" outlineLevel="0" collapsed="false">
      <c r="A41" s="14" t="s">
        <v>27</v>
      </c>
      <c r="B41" s="15"/>
      <c r="C41" s="16" t="n">
        <v>41157</v>
      </c>
      <c r="D41" s="8" t="n">
        <v>17.6</v>
      </c>
      <c r="E41" s="8" t="n">
        <v>15.6</v>
      </c>
      <c r="F41" s="8" t="n">
        <v>23</v>
      </c>
      <c r="G41" s="8" t="n">
        <f aca="false">17.6</f>
        <v>17.6</v>
      </c>
      <c r="I41" s="17" t="s">
        <v>28</v>
      </c>
      <c r="J41" s="8" t="n">
        <v>0</v>
      </c>
      <c r="K41" s="8" t="n">
        <f aca="false">J41</f>
        <v>0</v>
      </c>
      <c r="L41" s="8" t="n">
        <v>2.5</v>
      </c>
      <c r="M41" s="8" t="n">
        <f aca="false">L41</f>
        <v>2.5</v>
      </c>
      <c r="N41" s="8" t="n">
        <v>-2.5</v>
      </c>
      <c r="O41" s="8" t="n">
        <v>0</v>
      </c>
      <c r="P41" s="8" t="n">
        <v>1</v>
      </c>
      <c r="Q41" s="8" t="n">
        <v>0.35</v>
      </c>
      <c r="R41" s="12" t="n">
        <f aca="false">Q41*L41</f>
        <v>0.875</v>
      </c>
      <c r="S41" s="12" t="n">
        <f aca="false">J41-R41</f>
        <v>-0.875</v>
      </c>
      <c r="T41" s="12" t="n">
        <v>0</v>
      </c>
      <c r="U41" s="17" t="s">
        <v>29</v>
      </c>
      <c r="V41" s="8" t="n">
        <v>1003.5</v>
      </c>
      <c r="X41" s="8" t="n">
        <f aca="false">V41</f>
        <v>1003.5</v>
      </c>
      <c r="Z41" s="17" t="s">
        <v>30</v>
      </c>
      <c r="AA41" s="8" t="n">
        <v>13.2394064448619</v>
      </c>
    </row>
    <row r="42" s="8" customFormat="true" ht="15" hidden="false" customHeight="false" outlineLevel="0" collapsed="false">
      <c r="A42" s="14"/>
      <c r="B42" s="15"/>
      <c r="C42" s="16" t="n">
        <v>41158</v>
      </c>
      <c r="D42" s="8" t="n">
        <v>15.8</v>
      </c>
      <c r="E42" s="8" t="n">
        <v>9.6</v>
      </c>
      <c r="F42" s="8" t="n">
        <v>23.6</v>
      </c>
      <c r="G42" s="8" t="n">
        <f aca="false">G41+D42</f>
        <v>33.4</v>
      </c>
      <c r="I42" s="8" t="n">
        <f aca="false">MIN(E41:E170)</f>
        <v>-3.7</v>
      </c>
      <c r="J42" s="8" t="n">
        <v>0</v>
      </c>
      <c r="K42" s="8" t="n">
        <f aca="false">J42+K41</f>
        <v>0</v>
      </c>
      <c r="L42" s="8" t="n">
        <v>4.3</v>
      </c>
      <c r="M42" s="8" t="n">
        <f aca="false">M41+L42</f>
        <v>6.8</v>
      </c>
      <c r="N42" s="8" t="n">
        <v>-4.3</v>
      </c>
      <c r="O42" s="8" t="n">
        <v>0</v>
      </c>
      <c r="P42" s="8" t="n">
        <v>2</v>
      </c>
      <c r="Q42" s="8" t="n">
        <v>0.35</v>
      </c>
      <c r="R42" s="12" t="n">
        <f aca="false">Q42*L42</f>
        <v>1.505</v>
      </c>
      <c r="S42" s="12" t="n">
        <f aca="false">J42-R42</f>
        <v>-1.505</v>
      </c>
      <c r="T42" s="12" t="n">
        <v>0</v>
      </c>
      <c r="U42" s="8" t="n">
        <v>55</v>
      </c>
      <c r="V42" s="8" t="n">
        <v>2183.6</v>
      </c>
      <c r="X42" s="8" t="n">
        <f aca="false">X41+V42</f>
        <v>3187.1</v>
      </c>
      <c r="Z42" s="8" t="n">
        <v>68962.1</v>
      </c>
      <c r="AA42" s="8" t="n">
        <v>13.1826411661021</v>
      </c>
    </row>
    <row r="43" s="8" customFormat="true" ht="15" hidden="false" customHeight="false" outlineLevel="0" collapsed="false">
      <c r="A43" s="14"/>
      <c r="B43" s="15"/>
      <c r="C43" s="16" t="n">
        <v>41159</v>
      </c>
      <c r="D43" s="8" t="n">
        <v>16</v>
      </c>
      <c r="E43" s="8" t="n">
        <v>7.2</v>
      </c>
      <c r="F43" s="8" t="n">
        <v>26</v>
      </c>
      <c r="G43" s="8" t="n">
        <f aca="false">G42+D43</f>
        <v>49.4</v>
      </c>
      <c r="I43" s="17" t="s">
        <v>31</v>
      </c>
      <c r="J43" s="8" t="n">
        <v>0.1</v>
      </c>
      <c r="K43" s="8" t="n">
        <f aca="false">J43+K42</f>
        <v>0.1</v>
      </c>
      <c r="L43" s="8" t="n">
        <v>4.3</v>
      </c>
      <c r="M43" s="8" t="n">
        <f aca="false">M42+L43</f>
        <v>11.1</v>
      </c>
      <c r="N43" s="8" t="n">
        <v>-4.2</v>
      </c>
      <c r="O43" s="8" t="n">
        <v>0</v>
      </c>
      <c r="P43" s="8" t="n">
        <v>3</v>
      </c>
      <c r="Q43" s="8" t="n">
        <v>0.35</v>
      </c>
      <c r="R43" s="12" t="n">
        <f aca="false">Q43*L43</f>
        <v>1.505</v>
      </c>
      <c r="S43" s="12" t="n">
        <f aca="false">J43-R43</f>
        <v>-1.405</v>
      </c>
      <c r="T43" s="12" t="n">
        <v>0</v>
      </c>
      <c r="U43" s="17" t="s">
        <v>32</v>
      </c>
      <c r="V43" s="8" t="n">
        <v>2032.4</v>
      </c>
      <c r="X43" s="8" t="n">
        <f aca="false">X42+V43</f>
        <v>5219.5</v>
      </c>
      <c r="Z43" s="17" t="s">
        <v>33</v>
      </c>
      <c r="AA43" s="8" t="n">
        <v>13.1257537242615</v>
      </c>
    </row>
    <row r="44" s="8" customFormat="true" ht="15" hidden="false" customHeight="false" outlineLevel="0" collapsed="false">
      <c r="A44" s="14"/>
      <c r="B44" s="15"/>
      <c r="C44" s="16" t="n">
        <v>41160</v>
      </c>
      <c r="D44" s="8" t="n">
        <v>17.6</v>
      </c>
      <c r="E44" s="8" t="n">
        <v>7.9</v>
      </c>
      <c r="F44" s="8" t="n">
        <v>28.4</v>
      </c>
      <c r="G44" s="8" t="n">
        <f aca="false">G43+D44</f>
        <v>67</v>
      </c>
      <c r="I44" s="8" t="n">
        <f aca="false">MAX(F41:F170)</f>
        <v>28.4</v>
      </c>
      <c r="J44" s="8" t="n">
        <v>0</v>
      </c>
      <c r="K44" s="8" t="n">
        <f aca="false">J44+K43</f>
        <v>0.1</v>
      </c>
      <c r="L44" s="8" t="n">
        <v>4.9</v>
      </c>
      <c r="M44" s="8" t="n">
        <f aca="false">M43+L44</f>
        <v>16</v>
      </c>
      <c r="N44" s="8" t="n">
        <v>-4.9</v>
      </c>
      <c r="O44" s="8" t="n">
        <v>0</v>
      </c>
      <c r="P44" s="8" t="n">
        <v>4</v>
      </c>
      <c r="Q44" s="8" t="n">
        <v>0.35</v>
      </c>
      <c r="R44" s="12" t="n">
        <f aca="false">Q44*L44</f>
        <v>1.715</v>
      </c>
      <c r="S44" s="12" t="n">
        <f aca="false">J44-R44</f>
        <v>-1.715</v>
      </c>
      <c r="T44" s="12" t="n">
        <v>0</v>
      </c>
      <c r="U44" s="8" t="n">
        <v>5</v>
      </c>
      <c r="V44" s="8" t="n">
        <v>2103</v>
      </c>
      <c r="X44" s="8" t="n">
        <f aca="false">X43+V44</f>
        <v>7322.5</v>
      </c>
      <c r="Z44" s="8" t="n">
        <f aca="false">(Z42/100)/I54</f>
        <v>0.520704469948656</v>
      </c>
      <c r="AA44" s="8" t="n">
        <v>13.0687515053807</v>
      </c>
    </row>
    <row r="45" s="8" customFormat="true" ht="15" hidden="false" customHeight="false" outlineLevel="0" collapsed="false">
      <c r="A45" s="14"/>
      <c r="B45" s="15"/>
      <c r="C45" s="16" t="n">
        <v>41161</v>
      </c>
      <c r="D45" s="8" t="n">
        <v>16.6</v>
      </c>
      <c r="E45" s="8" t="n">
        <v>8.5</v>
      </c>
      <c r="F45" s="8" t="n">
        <v>25.3</v>
      </c>
      <c r="G45" s="8" t="n">
        <f aca="false">G44+D45</f>
        <v>83.6</v>
      </c>
      <c r="I45" s="17" t="s">
        <v>34</v>
      </c>
      <c r="J45" s="8" t="n">
        <v>0</v>
      </c>
      <c r="K45" s="8" t="n">
        <f aca="false">J45+K44</f>
        <v>0.1</v>
      </c>
      <c r="L45" s="8" t="n">
        <v>3.5</v>
      </c>
      <c r="M45" s="8" t="n">
        <f aca="false">M44+L45</f>
        <v>19.5</v>
      </c>
      <c r="N45" s="8" t="n">
        <v>-3.5</v>
      </c>
      <c r="O45" s="8" t="n">
        <v>0</v>
      </c>
      <c r="P45" s="8" t="n">
        <v>5</v>
      </c>
      <c r="Q45" s="8" t="n">
        <v>0.35</v>
      </c>
      <c r="R45" s="12" t="n">
        <f aca="false">Q45*L45</f>
        <v>1.225</v>
      </c>
      <c r="S45" s="12" t="n">
        <f aca="false">J45-R45</f>
        <v>-1.225</v>
      </c>
      <c r="T45" s="12" t="n">
        <v>0</v>
      </c>
      <c r="U45" s="17" t="s">
        <v>35</v>
      </c>
      <c r="V45" s="8" t="n">
        <v>1827.4</v>
      </c>
      <c r="X45" s="8" t="n">
        <f aca="false">X44+V45</f>
        <v>9149.9</v>
      </c>
      <c r="Z45" s="17" t="s">
        <v>36</v>
      </c>
      <c r="AA45" s="8" t="n">
        <v>13.0116416538983</v>
      </c>
    </row>
    <row r="46" s="8" customFormat="true" ht="15" hidden="false" customHeight="false" outlineLevel="0" collapsed="false">
      <c r="A46" s="14"/>
      <c r="B46" s="15"/>
      <c r="C46" s="16" t="n">
        <v>41162</v>
      </c>
      <c r="D46" s="8" t="n">
        <v>18.6</v>
      </c>
      <c r="E46" s="8" t="n">
        <v>14.7</v>
      </c>
      <c r="F46" s="8" t="n">
        <v>23.6</v>
      </c>
      <c r="G46" s="8" t="n">
        <f aca="false">G45+D46</f>
        <v>102.2</v>
      </c>
      <c r="I46" s="12" t="n">
        <f aca="false">AVERAGE(D41:D170)</f>
        <v>10.1776923076923</v>
      </c>
      <c r="J46" s="8" t="n">
        <v>3.4</v>
      </c>
      <c r="K46" s="8" t="n">
        <f aca="false">J46+K45</f>
        <v>3.5</v>
      </c>
      <c r="L46" s="8" t="n">
        <v>1.8</v>
      </c>
      <c r="M46" s="8" t="n">
        <f aca="false">M45+L46</f>
        <v>21.3</v>
      </c>
      <c r="N46" s="8" t="n">
        <v>1.6</v>
      </c>
      <c r="O46" s="8" t="n">
        <f aca="false">O45+N46</f>
        <v>1.6</v>
      </c>
      <c r="P46" s="8" t="n">
        <v>6</v>
      </c>
      <c r="Q46" s="8" t="n">
        <v>0.35</v>
      </c>
      <c r="R46" s="12" t="n">
        <f aca="false">Q46*L46</f>
        <v>0.63</v>
      </c>
      <c r="S46" s="12" t="n">
        <f aca="false">J46-R46</f>
        <v>2.77</v>
      </c>
      <c r="T46" s="12" t="n">
        <f aca="false">MIN(197.4,T45+S46)</f>
        <v>2.77</v>
      </c>
      <c r="U46" s="8" t="n">
        <v>26</v>
      </c>
      <c r="V46" s="8" t="n">
        <v>687.3</v>
      </c>
      <c r="X46" s="8" t="n">
        <f aca="false">X45+V46</f>
        <v>9837.2</v>
      </c>
      <c r="Z46" s="8" t="n">
        <v>111</v>
      </c>
      <c r="AA46" s="8" t="n">
        <v>12.9544310880942</v>
      </c>
    </row>
    <row r="47" s="8" customFormat="true" ht="15" hidden="false" customHeight="false" outlineLevel="0" collapsed="false">
      <c r="A47" s="14"/>
      <c r="B47" s="15"/>
      <c r="C47" s="16" t="n">
        <v>41163</v>
      </c>
      <c r="D47" s="8" t="n">
        <v>15.8</v>
      </c>
      <c r="E47" s="8" t="n">
        <v>15.1</v>
      </c>
      <c r="F47" s="8" t="n">
        <v>18.8</v>
      </c>
      <c r="G47" s="8" t="n">
        <f aca="false">G46+D47</f>
        <v>118</v>
      </c>
      <c r="I47" s="17" t="s">
        <v>37</v>
      </c>
      <c r="J47" s="8" t="n">
        <v>8</v>
      </c>
      <c r="K47" s="8" t="n">
        <f aca="false">J47+K46</f>
        <v>11.5</v>
      </c>
      <c r="L47" s="8" t="n">
        <v>1.5</v>
      </c>
      <c r="M47" s="8" t="n">
        <f aca="false">M46+L47</f>
        <v>22.8</v>
      </c>
      <c r="N47" s="8" t="n">
        <v>6.5</v>
      </c>
      <c r="O47" s="8" t="n">
        <f aca="false">O46+N47</f>
        <v>8.1</v>
      </c>
      <c r="P47" s="8" t="n">
        <v>7</v>
      </c>
      <c r="Q47" s="8" t="n">
        <v>0.35</v>
      </c>
      <c r="R47" s="12" t="n">
        <f aca="false">Q47*L47</f>
        <v>0.525</v>
      </c>
      <c r="S47" s="12" t="n">
        <f aca="false">J47-R47</f>
        <v>7.475</v>
      </c>
      <c r="T47" s="12" t="n">
        <f aca="false">MIN(197.4,T46+S47)</f>
        <v>10.245</v>
      </c>
      <c r="U47" s="17" t="s">
        <v>38</v>
      </c>
      <c r="V47" s="8" t="n">
        <v>546.7</v>
      </c>
      <c r="X47" s="8" t="n">
        <f aca="false">X46+V47</f>
        <v>10383.9</v>
      </c>
      <c r="AA47" s="8" t="n">
        <v>12.8971265156125</v>
      </c>
    </row>
    <row r="48" s="8" customFormat="true" ht="15" hidden="false" customHeight="false" outlineLevel="0" collapsed="false">
      <c r="A48" s="14"/>
      <c r="B48" s="15"/>
      <c r="C48" s="16" t="n">
        <v>41164</v>
      </c>
      <c r="D48" s="8" t="n">
        <v>14.8</v>
      </c>
      <c r="E48" s="8" t="n">
        <v>11.8</v>
      </c>
      <c r="F48" s="8" t="n">
        <v>19.1</v>
      </c>
      <c r="G48" s="8" t="n">
        <f aca="false">G47+D48</f>
        <v>132.8</v>
      </c>
      <c r="I48" s="8" t="n">
        <v>6</v>
      </c>
      <c r="J48" s="8" t="n">
        <v>1</v>
      </c>
      <c r="K48" s="8" t="n">
        <f aca="false">J48+K47</f>
        <v>12.5</v>
      </c>
      <c r="L48" s="8" t="n">
        <v>1.5</v>
      </c>
      <c r="M48" s="8" t="n">
        <f aca="false">M47+L48</f>
        <v>24.3</v>
      </c>
      <c r="N48" s="8" t="n">
        <v>-0.5</v>
      </c>
      <c r="O48" s="8" t="n">
        <f aca="false">O47+N48</f>
        <v>7.6</v>
      </c>
      <c r="P48" s="8" t="n">
        <v>8</v>
      </c>
      <c r="Q48" s="8" t="n">
        <v>0.35</v>
      </c>
      <c r="R48" s="12" t="n">
        <f aca="false">Q48*L48</f>
        <v>0.525</v>
      </c>
      <c r="S48" s="12" t="n">
        <f aca="false">J48-R48</f>
        <v>0.475</v>
      </c>
      <c r="T48" s="12" t="n">
        <f aca="false">MIN(197.4,T47+S48)</f>
        <v>10.72</v>
      </c>
      <c r="U48" s="12" t="n">
        <v>0</v>
      </c>
      <c r="V48" s="8" t="n">
        <v>543.8</v>
      </c>
      <c r="X48" s="8" t="n">
        <f aca="false">X47+V48</f>
        <v>10927.7</v>
      </c>
      <c r="AA48" s="8" t="n">
        <v>12.8397344490566</v>
      </c>
    </row>
    <row r="49" s="8" customFormat="true" ht="15" hidden="false" customHeight="false" outlineLevel="0" collapsed="false">
      <c r="A49" s="14"/>
      <c r="B49" s="15"/>
      <c r="C49" s="16" t="n">
        <v>41165</v>
      </c>
      <c r="D49" s="8" t="n">
        <v>14</v>
      </c>
      <c r="E49" s="8" t="n">
        <v>11</v>
      </c>
      <c r="F49" s="8" t="n">
        <v>18</v>
      </c>
      <c r="G49" s="8" t="n">
        <f aca="false">G48+D49</f>
        <v>146.8</v>
      </c>
      <c r="I49" s="17" t="s">
        <v>39</v>
      </c>
      <c r="J49" s="8" t="n">
        <v>0</v>
      </c>
      <c r="K49" s="8" t="n">
        <f aca="false">J49+K48</f>
        <v>12.5</v>
      </c>
      <c r="L49" s="8" t="n">
        <v>3.4</v>
      </c>
      <c r="M49" s="8" t="n">
        <f aca="false">M48+L49</f>
        <v>27.7</v>
      </c>
      <c r="N49" s="8" t="n">
        <v>-3.4</v>
      </c>
      <c r="O49" s="8" t="n">
        <f aca="false">O48+N49</f>
        <v>4.2</v>
      </c>
      <c r="P49" s="8" t="n">
        <v>9</v>
      </c>
      <c r="Q49" s="8" t="n">
        <v>0.35</v>
      </c>
      <c r="R49" s="12" t="n">
        <f aca="false">Q49*L49</f>
        <v>1.19</v>
      </c>
      <c r="S49" s="12" t="n">
        <f aca="false">J49-R49</f>
        <v>-1.19</v>
      </c>
      <c r="T49" s="12" t="n">
        <f aca="false">MIN(197.4,T48+S49)</f>
        <v>9.53</v>
      </c>
      <c r="U49" s="17" t="s">
        <v>40</v>
      </c>
      <c r="V49" s="8" t="n">
        <v>1761.5</v>
      </c>
      <c r="X49" s="8" t="n">
        <f aca="false">X48+V49</f>
        <v>12689.2</v>
      </c>
      <c r="AA49" s="8" t="n">
        <v>12.78226122165</v>
      </c>
    </row>
    <row r="50" s="8" customFormat="true" ht="15" hidden="false" customHeight="false" outlineLevel="0" collapsed="false">
      <c r="A50" s="14"/>
      <c r="B50" s="15"/>
      <c r="C50" s="16" t="n">
        <v>41166</v>
      </c>
      <c r="D50" s="8" t="n">
        <v>14.2</v>
      </c>
      <c r="E50" s="8" t="n">
        <v>8.6</v>
      </c>
      <c r="F50" s="8" t="n">
        <v>19</v>
      </c>
      <c r="G50" s="8" t="n">
        <f aca="false">G49+D50</f>
        <v>161</v>
      </c>
      <c r="I50" s="8" t="n">
        <v>3</v>
      </c>
      <c r="J50" s="8" t="n">
        <v>0</v>
      </c>
      <c r="K50" s="8" t="n">
        <f aca="false">J50+K49</f>
        <v>12.5</v>
      </c>
      <c r="L50" s="8" t="n">
        <v>0.7</v>
      </c>
      <c r="M50" s="8" t="n">
        <f aca="false">M49+L50</f>
        <v>28.4</v>
      </c>
      <c r="N50" s="8" t="n">
        <v>-0.7</v>
      </c>
      <c r="O50" s="8" t="n">
        <f aca="false">O49+N50</f>
        <v>3.5</v>
      </c>
      <c r="P50" s="8" t="n">
        <v>10</v>
      </c>
      <c r="Q50" s="8" t="n">
        <f aca="false">0.35+((P50-9)/121)*(1-0.35)</f>
        <v>0.355371900826446</v>
      </c>
      <c r="R50" s="12" t="n">
        <f aca="false">Q50*L50</f>
        <v>0.248760330578512</v>
      </c>
      <c r="S50" s="12" t="n">
        <f aca="false">J50-R50</f>
        <v>-0.248760330578512</v>
      </c>
      <c r="T50" s="12" t="n">
        <f aca="false">MIN(197.4,T49+S50)</f>
        <v>9.28123966942149</v>
      </c>
      <c r="U50" s="12" t="n">
        <f aca="false">MAX(T41:T170)</f>
        <v>197.4</v>
      </c>
      <c r="V50" s="8" t="n">
        <v>369.3</v>
      </c>
      <c r="X50" s="8" t="n">
        <f aca="false">X49+V50</f>
        <v>13058.5</v>
      </c>
      <c r="AA50" s="8" t="n">
        <v>12.7247130029575</v>
      </c>
    </row>
    <row r="51" s="8" customFormat="true" ht="15" hidden="false" customHeight="false" outlineLevel="0" collapsed="false">
      <c r="A51" s="14"/>
      <c r="B51" s="15"/>
      <c r="C51" s="16" t="n">
        <v>41167</v>
      </c>
      <c r="D51" s="8" t="n">
        <v>15.1</v>
      </c>
      <c r="E51" s="8" t="n">
        <v>11.8</v>
      </c>
      <c r="F51" s="8" t="n">
        <v>21.1</v>
      </c>
      <c r="G51" s="8" t="n">
        <f aca="false">G50+D51</f>
        <v>176.1</v>
      </c>
      <c r="I51" s="17" t="s">
        <v>41</v>
      </c>
      <c r="J51" s="8" t="n">
        <v>0</v>
      </c>
      <c r="K51" s="8" t="n">
        <f aca="false">J51+K50</f>
        <v>12.5</v>
      </c>
      <c r="L51" s="8" t="n">
        <v>3.2</v>
      </c>
      <c r="M51" s="8" t="n">
        <f aca="false">M50+L51</f>
        <v>31.6</v>
      </c>
      <c r="N51" s="8" t="n">
        <v>-3.2</v>
      </c>
      <c r="O51" s="8" t="n">
        <f aca="false">O50+N51</f>
        <v>0.299999999999999</v>
      </c>
      <c r="P51" s="8" t="n">
        <v>11</v>
      </c>
      <c r="Q51" s="8" t="n">
        <f aca="false">0.35+((P51-9)/121)*(1-0.35)</f>
        <v>0.360743801652893</v>
      </c>
      <c r="R51" s="12" t="n">
        <f aca="false">Q51*L51</f>
        <v>1.15438016528926</v>
      </c>
      <c r="S51" s="12" t="n">
        <f aca="false">J51-R51</f>
        <v>-1.15438016528926</v>
      </c>
      <c r="T51" s="12" t="n">
        <f aca="false">MIN(197.4,T50+S51)</f>
        <v>8.12685950413223</v>
      </c>
      <c r="U51" s="17" t="s">
        <v>42</v>
      </c>
      <c r="V51" s="8" t="n">
        <v>1734.2</v>
      </c>
      <c r="X51" s="8" t="n">
        <f aca="false">X50+V51</f>
        <v>14792.7</v>
      </c>
      <c r="AA51" s="8" t="n">
        <v>12.6670958146642</v>
      </c>
    </row>
    <row r="52" s="8" customFormat="true" ht="15" hidden="false" customHeight="false" outlineLevel="0" collapsed="false">
      <c r="A52" s="14"/>
      <c r="B52" s="15"/>
      <c r="C52" s="16" t="n">
        <v>41168</v>
      </c>
      <c r="D52" s="8" t="n">
        <v>14.3</v>
      </c>
      <c r="E52" s="8" t="n">
        <v>8.1</v>
      </c>
      <c r="F52" s="8" t="n">
        <v>22.7</v>
      </c>
      <c r="G52" s="8" t="n">
        <f aca="false">G51+D52</f>
        <v>190.4</v>
      </c>
      <c r="I52" s="8" t="n">
        <v>27</v>
      </c>
      <c r="J52" s="8" t="n">
        <v>0</v>
      </c>
      <c r="K52" s="8" t="n">
        <f aca="false">J52+K51</f>
        <v>12.5</v>
      </c>
      <c r="L52" s="8" t="n">
        <v>3.3</v>
      </c>
      <c r="M52" s="8" t="n">
        <f aca="false">M51+L52</f>
        <v>34.9</v>
      </c>
      <c r="N52" s="8" t="n">
        <v>-3.3</v>
      </c>
      <c r="O52" s="8" t="n">
        <v>0</v>
      </c>
      <c r="P52" s="8" t="n">
        <v>12</v>
      </c>
      <c r="Q52" s="8" t="n">
        <f aca="false">0.35+((P52-9)/121)*(1-0.35)</f>
        <v>0.366115702479339</v>
      </c>
      <c r="R52" s="12" t="n">
        <f aca="false">Q52*L52</f>
        <v>1.20818181818182</v>
      </c>
      <c r="S52" s="12" t="n">
        <f aca="false">J52-R52</f>
        <v>-1.20818181818182</v>
      </c>
      <c r="T52" s="12" t="n">
        <f aca="false">MIN(197.4,T51+S52)</f>
        <v>6.91867768595041</v>
      </c>
      <c r="U52" s="18" t="n">
        <f aca="false">AVERAGE(T41:T170)</f>
        <v>138.26905785124</v>
      </c>
      <c r="V52" s="8" t="n">
        <v>1801.4</v>
      </c>
      <c r="X52" s="8" t="n">
        <f aca="false">X51+V52</f>
        <v>16594.1</v>
      </c>
      <c r="AA52" s="8" t="n">
        <v>12.6094155464097</v>
      </c>
    </row>
    <row r="53" s="8" customFormat="true" ht="15" hidden="false" customHeight="false" outlineLevel="0" collapsed="false">
      <c r="A53" s="14"/>
      <c r="B53" s="15"/>
      <c r="C53" s="16" t="n">
        <v>41169</v>
      </c>
      <c r="D53" s="8" t="n">
        <v>14.4</v>
      </c>
      <c r="E53" s="8" t="n">
        <v>9.5</v>
      </c>
      <c r="F53" s="8" t="n">
        <v>20.4</v>
      </c>
      <c r="G53" s="8" t="n">
        <f aca="false">G52+D53</f>
        <v>204.8</v>
      </c>
      <c r="I53" s="17" t="s">
        <v>43</v>
      </c>
      <c r="J53" s="8" t="n">
        <v>0</v>
      </c>
      <c r="K53" s="8" t="n">
        <f aca="false">J53+K52</f>
        <v>12.5</v>
      </c>
      <c r="L53" s="8" t="n">
        <v>1.6</v>
      </c>
      <c r="M53" s="8" t="n">
        <f aca="false">M52+L53</f>
        <v>36.5</v>
      </c>
      <c r="N53" s="8" t="n">
        <v>-1.6</v>
      </c>
      <c r="O53" s="8" t="n">
        <v>0</v>
      </c>
      <c r="P53" s="8" t="n">
        <v>13</v>
      </c>
      <c r="Q53" s="8" t="n">
        <f aca="false">0.35+((P53-9)/121)*(1-0.35)</f>
        <v>0.371487603305785</v>
      </c>
      <c r="R53" s="12" t="n">
        <f aca="false">Q53*L53</f>
        <v>0.594380165289256</v>
      </c>
      <c r="S53" s="12" t="n">
        <f aca="false">J53-R53</f>
        <v>-0.594380165289256</v>
      </c>
      <c r="T53" s="12" t="n">
        <f aca="false">MIN(197.4,T52+S53)</f>
        <v>6.32429752066116</v>
      </c>
      <c r="V53" s="8" t="n">
        <v>744</v>
      </c>
      <c r="X53" s="8" t="n">
        <f aca="false">X52+V53</f>
        <v>17338.1</v>
      </c>
      <c r="AA53" s="8" t="n">
        <v>12.5516779716794</v>
      </c>
    </row>
    <row r="54" s="8" customFormat="true" ht="15" hidden="false" customHeight="false" outlineLevel="0" collapsed="false">
      <c r="A54" s="14"/>
      <c r="B54" s="15"/>
      <c r="C54" s="16" t="n">
        <v>41170</v>
      </c>
      <c r="D54" s="8" t="n">
        <v>13.6</v>
      </c>
      <c r="E54" s="8" t="n">
        <v>11.6</v>
      </c>
      <c r="F54" s="8" t="n">
        <v>18.7</v>
      </c>
      <c r="G54" s="8" t="n">
        <f aca="false">G53+D54</f>
        <v>218.4</v>
      </c>
      <c r="I54" s="8" t="n">
        <v>1324.4</v>
      </c>
      <c r="J54" s="8" t="n">
        <v>0</v>
      </c>
      <c r="K54" s="8" t="n">
        <f aca="false">J54+K53</f>
        <v>12.5</v>
      </c>
      <c r="L54" s="8" t="n">
        <v>2.4</v>
      </c>
      <c r="M54" s="8" t="n">
        <f aca="false">M53+L54</f>
        <v>38.9</v>
      </c>
      <c r="N54" s="8" t="n">
        <v>-2.4</v>
      </c>
      <c r="O54" s="8" t="n">
        <v>0</v>
      </c>
      <c r="P54" s="8" t="n">
        <v>14</v>
      </c>
      <c r="Q54" s="8" t="n">
        <f aca="false">0.35+((P54-9)/121)*(1-0.35)</f>
        <v>0.376859504132231</v>
      </c>
      <c r="R54" s="12" t="n">
        <f aca="false">Q54*L54</f>
        <v>0.904462809917355</v>
      </c>
      <c r="S54" s="12" t="n">
        <f aca="false">J54-R54</f>
        <v>-0.904462809917355</v>
      </c>
      <c r="T54" s="12" t="n">
        <f aca="false">MIN(197.4,T53+S54)</f>
        <v>5.4198347107438</v>
      </c>
      <c r="U54" s="12" t="n">
        <f aca="false">(U52*100)/197.4</f>
        <v>70.0451154261599</v>
      </c>
      <c r="V54" s="8" t="n">
        <v>1067.7</v>
      </c>
      <c r="X54" s="8" t="n">
        <f aca="false">X53+V54</f>
        <v>18405.8</v>
      </c>
      <c r="AA54" s="8" t="n">
        <v>12.4938887637508</v>
      </c>
    </row>
    <row r="55" s="8" customFormat="true" ht="15" hidden="false" customHeight="false" outlineLevel="0" collapsed="false">
      <c r="A55" s="14"/>
      <c r="B55" s="15"/>
      <c r="C55" s="16" t="n">
        <v>41171</v>
      </c>
      <c r="D55" s="8" t="n">
        <v>10.7</v>
      </c>
      <c r="E55" s="8" t="n">
        <v>5</v>
      </c>
      <c r="F55" s="8" t="n">
        <v>18.6</v>
      </c>
      <c r="G55" s="8" t="n">
        <f aca="false">G54+D55</f>
        <v>229.1</v>
      </c>
      <c r="J55" s="8" t="n">
        <v>0</v>
      </c>
      <c r="K55" s="8" t="n">
        <f aca="false">J55+K54</f>
        <v>12.5</v>
      </c>
      <c r="L55" s="8" t="n">
        <v>2.8</v>
      </c>
      <c r="M55" s="8" t="n">
        <f aca="false">M54+L55</f>
        <v>41.7</v>
      </c>
      <c r="N55" s="8" t="n">
        <v>-2.8</v>
      </c>
      <c r="O55" s="8" t="n">
        <v>0</v>
      </c>
      <c r="P55" s="8" t="n">
        <v>15</v>
      </c>
      <c r="Q55" s="8" t="n">
        <f aca="false">0.35+((P55-9)/121)*(1-0.35)</f>
        <v>0.382231404958678</v>
      </c>
      <c r="R55" s="12" t="n">
        <f aca="false">Q55*L55</f>
        <v>1.0702479338843</v>
      </c>
      <c r="S55" s="12" t="n">
        <f aca="false">J55-R55</f>
        <v>-1.0702479338843</v>
      </c>
      <c r="T55" s="12" t="n">
        <f aca="false">MIN(197.4,T54+S55)</f>
        <v>4.3495867768595</v>
      </c>
      <c r="V55" s="8" t="n">
        <v>1539.5</v>
      </c>
      <c r="X55" s="8" t="n">
        <f aca="false">X54+V55</f>
        <v>19945.3</v>
      </c>
      <c r="AA55" s="8" t="n">
        <v>12.436053511699</v>
      </c>
    </row>
    <row r="56" s="8" customFormat="true" ht="15" hidden="false" customHeight="false" outlineLevel="0" collapsed="false">
      <c r="A56" s="14"/>
      <c r="B56" s="15"/>
      <c r="C56" s="16" t="n">
        <v>41172</v>
      </c>
      <c r="D56" s="8" t="n">
        <v>10.8</v>
      </c>
      <c r="E56" s="8" t="n">
        <v>3.4</v>
      </c>
      <c r="F56" s="8" t="n">
        <v>19.8</v>
      </c>
      <c r="G56" s="8" t="n">
        <f aca="false">G55+D56</f>
        <v>239.9</v>
      </c>
      <c r="J56" s="8" t="n">
        <v>0</v>
      </c>
      <c r="K56" s="8" t="n">
        <f aca="false">J56+K55</f>
        <v>12.5</v>
      </c>
      <c r="L56" s="8" t="n">
        <v>2.9</v>
      </c>
      <c r="M56" s="8" t="n">
        <f aca="false">M55+L56</f>
        <v>44.6</v>
      </c>
      <c r="N56" s="8" t="n">
        <v>-2.9</v>
      </c>
      <c r="O56" s="8" t="n">
        <v>0</v>
      </c>
      <c r="P56" s="8" t="n">
        <v>16</v>
      </c>
      <c r="Q56" s="8" t="n">
        <f aca="false">0.35+((P56-9)/121)*(1-0.35)</f>
        <v>0.387603305785124</v>
      </c>
      <c r="R56" s="12" t="n">
        <f aca="false">Q56*L56</f>
        <v>1.12404958677686</v>
      </c>
      <c r="S56" s="12" t="n">
        <f aca="false">J56-R56</f>
        <v>-1.12404958677686</v>
      </c>
      <c r="T56" s="12" t="n">
        <f aca="false">MIN(197.4,T55+S56)</f>
        <v>3.22553719008265</v>
      </c>
      <c r="V56" s="8" t="n">
        <v>1588.1</v>
      </c>
      <c r="X56" s="8" t="n">
        <f aca="false">X55+V56</f>
        <v>21533.4</v>
      </c>
      <c r="AA56" s="8" t="n">
        <v>12.3781777364631</v>
      </c>
    </row>
    <row r="57" s="8" customFormat="true" ht="15" hidden="false" customHeight="false" outlineLevel="0" collapsed="false">
      <c r="A57" s="14"/>
      <c r="B57" s="15"/>
      <c r="C57" s="16" t="n">
        <v>41173</v>
      </c>
      <c r="D57" s="8" t="n">
        <v>8.3</v>
      </c>
      <c r="E57" s="8" t="n">
        <v>4.5</v>
      </c>
      <c r="F57" s="8" t="n">
        <v>10.2</v>
      </c>
      <c r="G57" s="8" t="n">
        <f aca="false">G56+D57</f>
        <v>248.2</v>
      </c>
      <c r="J57" s="8" t="n">
        <v>14.9</v>
      </c>
      <c r="K57" s="8" t="n">
        <f aca="false">J57+K56</f>
        <v>27.4</v>
      </c>
      <c r="L57" s="8" t="n">
        <v>0.7</v>
      </c>
      <c r="M57" s="8" t="n">
        <f aca="false">M56+L57</f>
        <v>45.3</v>
      </c>
      <c r="N57" s="8" t="n">
        <v>14.2</v>
      </c>
      <c r="O57" s="8" t="n">
        <f aca="false">O56+N57</f>
        <v>14.2</v>
      </c>
      <c r="P57" s="8" t="n">
        <v>17</v>
      </c>
      <c r="Q57" s="8" t="n">
        <f aca="false">0.35+((P57-9)/121)*(1-0.35)</f>
        <v>0.39297520661157</v>
      </c>
      <c r="R57" s="12" t="n">
        <f aca="false">Q57*L57</f>
        <v>0.275082644628099</v>
      </c>
      <c r="S57" s="12" t="n">
        <f aca="false">J57-R57</f>
        <v>14.6249173553719</v>
      </c>
      <c r="T57" s="12" t="n">
        <f aca="false">MIN(197.4,T56+S57)</f>
        <v>17.8504545454545</v>
      </c>
      <c r="V57" s="8" t="n">
        <v>537.6</v>
      </c>
      <c r="X57" s="8" t="n">
        <f aca="false">X56+V57</f>
        <v>22071</v>
      </c>
      <c r="AA57" s="8" t="n">
        <v>12.3202669069782</v>
      </c>
    </row>
    <row r="58" s="8" customFormat="true" ht="15" hidden="false" customHeight="false" outlineLevel="0" collapsed="false">
      <c r="A58" s="14"/>
      <c r="B58" s="15"/>
      <c r="C58" s="16" t="n">
        <v>41174</v>
      </c>
      <c r="D58" s="8" t="n">
        <v>13.2</v>
      </c>
      <c r="E58" s="8" t="n">
        <v>8</v>
      </c>
      <c r="F58" s="8" t="n">
        <v>18.4</v>
      </c>
      <c r="G58" s="8" t="n">
        <f aca="false">G57+D58</f>
        <v>261.4</v>
      </c>
      <c r="J58" s="8" t="n">
        <v>0</v>
      </c>
      <c r="K58" s="8" t="n">
        <f aca="false">J58+K57</f>
        <v>27.4</v>
      </c>
      <c r="L58" s="8" t="n">
        <v>1.9</v>
      </c>
      <c r="M58" s="8" t="n">
        <f aca="false">M57+L58</f>
        <v>47.2</v>
      </c>
      <c r="N58" s="8" t="n">
        <v>-1.9</v>
      </c>
      <c r="O58" s="8" t="n">
        <f aca="false">O57+N58</f>
        <v>12.3</v>
      </c>
      <c r="P58" s="8" t="n">
        <v>18</v>
      </c>
      <c r="Q58" s="8" t="n">
        <f aca="false">0.35+((P58-9)/121)*(1-0.35)</f>
        <v>0.398347107438017</v>
      </c>
      <c r="R58" s="12" t="n">
        <f aca="false">Q58*L58</f>
        <v>0.756859504132231</v>
      </c>
      <c r="S58" s="12" t="n">
        <f aca="false">J58-R58</f>
        <v>-0.756859504132231</v>
      </c>
      <c r="T58" s="12" t="n">
        <f aca="false">MIN(197.4,T57+S58)</f>
        <v>17.0935950413223</v>
      </c>
      <c r="V58" s="8" t="n">
        <v>1115.6</v>
      </c>
      <c r="X58" s="8" t="n">
        <f aca="false">X57+V58</f>
        <v>23186.6</v>
      </c>
      <c r="AA58" s="8" t="n">
        <v>12.2623264563753</v>
      </c>
    </row>
    <row r="59" s="8" customFormat="true" ht="15" hidden="false" customHeight="false" outlineLevel="0" collapsed="false">
      <c r="A59" s="14"/>
      <c r="B59" s="15"/>
      <c r="C59" s="16" t="n">
        <v>41175</v>
      </c>
      <c r="D59" s="8" t="n">
        <v>16.3</v>
      </c>
      <c r="E59" s="8" t="n">
        <v>12.4</v>
      </c>
      <c r="F59" s="8" t="n">
        <v>20.7</v>
      </c>
      <c r="G59" s="8" t="n">
        <f aca="false">G58+D59</f>
        <v>277.7</v>
      </c>
      <c r="J59" s="8" t="n">
        <v>18.6</v>
      </c>
      <c r="K59" s="8" t="n">
        <f aca="false">J59+K58</f>
        <v>46</v>
      </c>
      <c r="L59" s="8" t="n">
        <v>1.2</v>
      </c>
      <c r="M59" s="8" t="n">
        <f aca="false">M58+L59</f>
        <v>48.4</v>
      </c>
      <c r="N59" s="8" t="n">
        <v>17.4</v>
      </c>
      <c r="O59" s="8" t="n">
        <f aca="false">O58+N59</f>
        <v>29.7</v>
      </c>
      <c r="P59" s="8" t="n">
        <v>19</v>
      </c>
      <c r="Q59" s="8" t="n">
        <f aca="false">0.35+((P59-9)/121)*(1-0.35)</f>
        <v>0.403719008264463</v>
      </c>
      <c r="R59" s="12" t="n">
        <f aca="false">Q59*L59</f>
        <v>0.484462809917355</v>
      </c>
      <c r="S59" s="12" t="n">
        <f aca="false">J59-R59</f>
        <v>18.1155371900826</v>
      </c>
      <c r="T59" s="12" t="n">
        <f aca="false">MIN(197.4,T58+S59)</f>
        <v>35.209132231405</v>
      </c>
      <c r="V59" s="8" t="n">
        <v>383.6</v>
      </c>
      <c r="X59" s="8" t="n">
        <f aca="false">X58+V59</f>
        <v>23570.2</v>
      </c>
      <c r="AA59" s="8" t="n">
        <v>12.2043617982565</v>
      </c>
    </row>
    <row r="60" s="8" customFormat="true" ht="15" hidden="false" customHeight="false" outlineLevel="0" collapsed="false">
      <c r="A60" s="14"/>
      <c r="B60" s="15"/>
      <c r="C60" s="16" t="n">
        <v>41176</v>
      </c>
      <c r="D60" s="8" t="n">
        <v>14.8</v>
      </c>
      <c r="E60" s="8" t="n">
        <v>12.9</v>
      </c>
      <c r="F60" s="8" t="n">
        <v>19.3</v>
      </c>
      <c r="G60" s="8" t="n">
        <f aca="false">G59+D60</f>
        <v>292.5</v>
      </c>
      <c r="J60" s="8" t="n">
        <v>5</v>
      </c>
      <c r="K60" s="8" t="n">
        <f aca="false">J60+K59</f>
        <v>51</v>
      </c>
      <c r="L60" s="8" t="n">
        <v>2.3</v>
      </c>
      <c r="M60" s="8" t="n">
        <f aca="false">M59+L60</f>
        <v>50.7</v>
      </c>
      <c r="N60" s="8" t="n">
        <v>2.7</v>
      </c>
      <c r="O60" s="8" t="n">
        <f aca="false">O59+N60</f>
        <v>32.4</v>
      </c>
      <c r="P60" s="8" t="n">
        <v>20</v>
      </c>
      <c r="Q60" s="8" t="n">
        <f aca="false">0.35+((P60-9)/121)*(1-0.35)</f>
        <v>0.409090909090909</v>
      </c>
      <c r="R60" s="12" t="n">
        <f aca="false">Q60*L60</f>
        <v>0.940909090909091</v>
      </c>
      <c r="S60" s="12" t="n">
        <f aca="false">J60-R60</f>
        <v>4.05909090909091</v>
      </c>
      <c r="T60" s="12" t="n">
        <f aca="false">MIN(197.4,T59+S60)</f>
        <v>39.2682231404959</v>
      </c>
      <c r="V60" s="8" t="n">
        <v>582.8</v>
      </c>
      <c r="X60" s="8" t="n">
        <f aca="false">X59+V60</f>
        <v>24153</v>
      </c>
      <c r="AA60" s="8" t="n">
        <v>12.1463783430485</v>
      </c>
    </row>
    <row r="61" s="8" customFormat="true" ht="15" hidden="false" customHeight="false" outlineLevel="0" collapsed="false">
      <c r="A61" s="14"/>
      <c r="B61" s="15"/>
      <c r="C61" s="16" t="n">
        <v>41177</v>
      </c>
      <c r="D61" s="8" t="n">
        <v>12.3</v>
      </c>
      <c r="E61" s="8" t="n">
        <v>9.2</v>
      </c>
      <c r="F61" s="8" t="n">
        <v>17.7</v>
      </c>
      <c r="G61" s="8" t="n">
        <f aca="false">G60+D61</f>
        <v>304.8</v>
      </c>
      <c r="J61" s="8" t="n">
        <v>6.4</v>
      </c>
      <c r="K61" s="8" t="n">
        <f aca="false">J61+K60</f>
        <v>57.4</v>
      </c>
      <c r="L61" s="8" t="n">
        <v>2.3</v>
      </c>
      <c r="M61" s="8" t="n">
        <f aca="false">M60+L61</f>
        <v>53</v>
      </c>
      <c r="N61" s="8" t="n">
        <v>4.1</v>
      </c>
      <c r="O61" s="8" t="n">
        <f aca="false">O60+N61</f>
        <v>36.5</v>
      </c>
      <c r="P61" s="8" t="n">
        <v>21</v>
      </c>
      <c r="Q61" s="8" t="n">
        <f aca="false">0.35+((P61-9)/121)*(1-0.35)</f>
        <v>0.414462809917355</v>
      </c>
      <c r="R61" s="12" t="n">
        <f aca="false">Q61*L61</f>
        <v>0.953264462809917</v>
      </c>
      <c r="S61" s="12" t="n">
        <f aca="false">J61-R61</f>
        <v>5.44673553719008</v>
      </c>
      <c r="T61" s="12" t="n">
        <f aca="false">MIN(197.4,T60+S61)</f>
        <v>44.714958677686</v>
      </c>
      <c r="V61" s="8" t="n">
        <v>1167.9</v>
      </c>
      <c r="X61" s="8" t="n">
        <f aca="false">X60+V61</f>
        <v>25320.9</v>
      </c>
      <c r="AA61" s="8" t="n">
        <v>12.0883815144407</v>
      </c>
    </row>
    <row r="62" s="8" customFormat="true" ht="15" hidden="false" customHeight="false" outlineLevel="0" collapsed="false">
      <c r="A62" s="14"/>
      <c r="B62" s="15"/>
      <c r="C62" s="16" t="n">
        <v>41178</v>
      </c>
      <c r="D62" s="8" t="n">
        <v>12.7</v>
      </c>
      <c r="E62" s="8" t="n">
        <v>9.7</v>
      </c>
      <c r="F62" s="8" t="n">
        <v>15.7</v>
      </c>
      <c r="G62" s="8" t="n">
        <f aca="false">G61+D62</f>
        <v>317.5</v>
      </c>
      <c r="J62" s="8" t="n">
        <v>4.6</v>
      </c>
      <c r="K62" s="8" t="n">
        <f aca="false">J62+K61</f>
        <v>62</v>
      </c>
      <c r="L62" s="8" t="n">
        <v>1.3</v>
      </c>
      <c r="M62" s="8" t="n">
        <f aca="false">M61+L62</f>
        <v>54.3</v>
      </c>
      <c r="N62" s="8" t="n">
        <v>3.3</v>
      </c>
      <c r="O62" s="8" t="n">
        <f aca="false">O61+N62</f>
        <v>39.8</v>
      </c>
      <c r="P62" s="8" t="n">
        <v>22</v>
      </c>
      <c r="Q62" s="8" t="n">
        <f aca="false">0.35+((P62-9)/121)*(1-0.35)</f>
        <v>0.419834710743802</v>
      </c>
      <c r="R62" s="12" t="n">
        <f aca="false">Q62*L62</f>
        <v>0.545785123966942</v>
      </c>
      <c r="S62" s="12" t="n">
        <f aca="false">J62-R62</f>
        <v>4.05421487603306</v>
      </c>
      <c r="T62" s="12" t="n">
        <f aca="false">MIN(197.4,T61+S62)</f>
        <v>48.769173553719</v>
      </c>
      <c r="V62" s="8" t="n">
        <v>636.1</v>
      </c>
      <c r="X62" s="8" t="n">
        <f aca="false">X61+V62</f>
        <v>25957</v>
      </c>
      <c r="AA62" s="8" t="n">
        <v>12.0303767659133</v>
      </c>
    </row>
    <row r="63" s="8" customFormat="true" ht="15" hidden="false" customHeight="false" outlineLevel="0" collapsed="false">
      <c r="A63" s="14"/>
      <c r="B63" s="15"/>
      <c r="C63" s="16" t="n">
        <v>41179</v>
      </c>
      <c r="D63" s="8" t="n">
        <v>13.4</v>
      </c>
      <c r="E63" s="8" t="n">
        <v>11.9</v>
      </c>
      <c r="F63" s="8" t="n">
        <v>16.7</v>
      </c>
      <c r="G63" s="8" t="n">
        <f aca="false">G62+D63</f>
        <v>330.9</v>
      </c>
      <c r="J63" s="8" t="n">
        <v>1.2</v>
      </c>
      <c r="K63" s="8" t="n">
        <f aca="false">J63+K62</f>
        <v>63.2</v>
      </c>
      <c r="L63" s="8" t="n">
        <v>1.5</v>
      </c>
      <c r="M63" s="8" t="n">
        <f aca="false">M62+L63</f>
        <v>55.8</v>
      </c>
      <c r="N63" s="8" t="n">
        <v>-0.3</v>
      </c>
      <c r="O63" s="8" t="n">
        <f aca="false">O62+N63</f>
        <v>39.5</v>
      </c>
      <c r="P63" s="8" t="n">
        <v>23</v>
      </c>
      <c r="Q63" s="8" t="n">
        <f aca="false">0.35+((P63-9)/121)*(1-0.35)</f>
        <v>0.425206611570248</v>
      </c>
      <c r="R63" s="12" t="n">
        <f aca="false">Q63*L63</f>
        <v>0.637809917355372</v>
      </c>
      <c r="S63" s="12" t="n">
        <f aca="false">J63-R63</f>
        <v>0.562190082644628</v>
      </c>
      <c r="T63" s="12" t="n">
        <f aca="false">MIN(197.4,T62+S63)</f>
        <v>49.3313636363636</v>
      </c>
      <c r="V63" s="8" t="n">
        <v>481.5</v>
      </c>
      <c r="X63" s="8" t="n">
        <f aca="false">X62+V63</f>
        <v>26438.5</v>
      </c>
      <c r="AA63" s="8" t="n">
        <v>11.9723695973606</v>
      </c>
    </row>
    <row r="64" s="8" customFormat="true" ht="15" hidden="false" customHeight="false" outlineLevel="0" collapsed="false">
      <c r="A64" s="14"/>
      <c r="B64" s="15"/>
      <c r="C64" s="16" t="n">
        <v>41180</v>
      </c>
      <c r="D64" s="8" t="n">
        <v>12.2</v>
      </c>
      <c r="E64" s="8" t="n">
        <v>6.6</v>
      </c>
      <c r="F64" s="8" t="n">
        <v>18.7</v>
      </c>
      <c r="G64" s="8" t="n">
        <f aca="false">G63+D64</f>
        <v>343.1</v>
      </c>
      <c r="J64" s="8" t="n">
        <v>0</v>
      </c>
      <c r="K64" s="8" t="n">
        <f aca="false">J64+K63</f>
        <v>63.2</v>
      </c>
      <c r="L64" s="8" t="n">
        <v>1.7</v>
      </c>
      <c r="M64" s="8" t="n">
        <f aca="false">M63+L64</f>
        <v>57.5</v>
      </c>
      <c r="N64" s="8" t="n">
        <v>-1.7</v>
      </c>
      <c r="O64" s="8" t="n">
        <f aca="false">O63+N64</f>
        <v>37.8</v>
      </c>
      <c r="P64" s="8" t="n">
        <v>24</v>
      </c>
      <c r="Q64" s="8" t="n">
        <f aca="false">0.35+((P64-9)/121)*(1-0.35)</f>
        <v>0.430578512396694</v>
      </c>
      <c r="R64" s="12" t="n">
        <f aca="false">Q64*L64</f>
        <v>0.73198347107438</v>
      </c>
      <c r="S64" s="12" t="n">
        <f aca="false">J64-R64</f>
        <v>-0.73198347107438</v>
      </c>
      <c r="T64" s="12" t="n">
        <f aca="false">MIN(197.4,T63+S64)</f>
        <v>48.5993801652893</v>
      </c>
      <c r="V64" s="8" t="n">
        <v>857</v>
      </c>
      <c r="X64" s="8" t="n">
        <f aca="false">X63+V64</f>
        <v>27295.5</v>
      </c>
      <c r="AA64" s="8" t="n">
        <v>11.9143655718154</v>
      </c>
    </row>
    <row r="65" s="8" customFormat="true" ht="15" hidden="false" customHeight="false" outlineLevel="0" collapsed="false">
      <c r="A65" s="14"/>
      <c r="B65" s="15"/>
      <c r="C65" s="16" t="n">
        <v>41181</v>
      </c>
      <c r="D65" s="8" t="n">
        <v>11.4</v>
      </c>
      <c r="E65" s="8" t="n">
        <v>8.4</v>
      </c>
      <c r="F65" s="8" t="n">
        <v>16.8</v>
      </c>
      <c r="G65" s="8" t="n">
        <f aca="false">G64+D65</f>
        <v>354.5</v>
      </c>
      <c r="J65" s="8" t="n">
        <v>0</v>
      </c>
      <c r="K65" s="8" t="n">
        <f aca="false">J65+K64</f>
        <v>63.2</v>
      </c>
      <c r="L65" s="8" t="n">
        <v>2</v>
      </c>
      <c r="M65" s="8" t="n">
        <f aca="false">M64+L65</f>
        <v>59.5</v>
      </c>
      <c r="N65" s="8" t="n">
        <v>-2</v>
      </c>
      <c r="O65" s="8" t="n">
        <f aca="false">O64+N65</f>
        <v>35.8</v>
      </c>
      <c r="P65" s="8" t="n">
        <v>25</v>
      </c>
      <c r="Q65" s="8" t="n">
        <f aca="false">0.35+((P65-9)/121)*(1-0.35)</f>
        <v>0.435950413223141</v>
      </c>
      <c r="R65" s="12" t="n">
        <f aca="false">Q65*L65</f>
        <v>0.871900826446281</v>
      </c>
      <c r="S65" s="12" t="n">
        <f aca="false">J65-R65</f>
        <v>-0.871900826446281</v>
      </c>
      <c r="T65" s="12" t="n">
        <f aca="false">MIN(197.4,T64+S65)</f>
        <v>47.727479338843</v>
      </c>
      <c r="V65" s="8" t="n">
        <v>1047.5</v>
      </c>
      <c r="X65" s="8" t="n">
        <f aca="false">X64+V65</f>
        <v>28343</v>
      </c>
      <c r="AA65" s="8" t="n">
        <v>11.856370332278</v>
      </c>
    </row>
    <row r="66" s="8" customFormat="true" ht="15" hidden="false" customHeight="false" outlineLevel="0" collapsed="false">
      <c r="A66" s="14"/>
      <c r="B66" s="15"/>
      <c r="C66" s="16" t="n">
        <v>41182</v>
      </c>
      <c r="D66" s="8" t="n">
        <v>11.5</v>
      </c>
      <c r="E66" s="8" t="n">
        <v>6.5</v>
      </c>
      <c r="F66" s="8" t="n">
        <v>18.8</v>
      </c>
      <c r="G66" s="8" t="n">
        <f aca="false">G65+D66</f>
        <v>366</v>
      </c>
      <c r="J66" s="8" t="n">
        <v>0.1</v>
      </c>
      <c r="K66" s="8" t="n">
        <f aca="false">J66+K65</f>
        <v>63.3</v>
      </c>
      <c r="L66" s="8" t="n">
        <v>2.2</v>
      </c>
      <c r="M66" s="8" t="n">
        <f aca="false">M65+L66</f>
        <v>61.7</v>
      </c>
      <c r="N66" s="8" t="n">
        <v>-2.1</v>
      </c>
      <c r="O66" s="8" t="n">
        <f aca="false">O65+N66</f>
        <v>33.7</v>
      </c>
      <c r="P66" s="8" t="n">
        <v>26</v>
      </c>
      <c r="Q66" s="8" t="n">
        <f aca="false">0.35+((P66-9)/121)*(1-0.35)</f>
        <v>0.441322314049587</v>
      </c>
      <c r="R66" s="12" t="n">
        <f aca="false">Q66*L66</f>
        <v>0.970909090909091</v>
      </c>
      <c r="S66" s="12" t="n">
        <f aca="false">J66-R66</f>
        <v>-0.870909090909091</v>
      </c>
      <c r="T66" s="12" t="n">
        <f aca="false">MIN(197.4,T65+S66)</f>
        <v>46.8565702479339</v>
      </c>
      <c r="V66" s="8" t="n">
        <v>1264.6</v>
      </c>
      <c r="X66" s="8" t="n">
        <f aca="false">X65+V66</f>
        <v>29607.6</v>
      </c>
      <c r="AA66" s="8" t="n">
        <v>11.7983896186562</v>
      </c>
    </row>
    <row r="67" s="8" customFormat="true" ht="15" hidden="false" customHeight="false" outlineLevel="0" collapsed="false">
      <c r="A67" s="14"/>
      <c r="B67" s="15"/>
      <c r="C67" s="16" t="n">
        <v>41183</v>
      </c>
      <c r="D67" s="8" t="n">
        <v>12.7</v>
      </c>
      <c r="E67" s="8" t="n">
        <v>7.4</v>
      </c>
      <c r="F67" s="8" t="n">
        <v>18.3</v>
      </c>
      <c r="G67" s="8" t="n">
        <f aca="false">G66+D67</f>
        <v>378.7</v>
      </c>
      <c r="J67" s="8" t="n">
        <v>3</v>
      </c>
      <c r="K67" s="8" t="n">
        <f aca="false">J67+K66</f>
        <v>66.3</v>
      </c>
      <c r="L67" s="8" t="n">
        <v>1</v>
      </c>
      <c r="M67" s="8" t="n">
        <f aca="false">M66+L67</f>
        <v>62.7</v>
      </c>
      <c r="N67" s="8" t="n">
        <v>2</v>
      </c>
      <c r="O67" s="8" t="n">
        <f aca="false">O66+N67</f>
        <v>35.7</v>
      </c>
      <c r="P67" s="8" t="n">
        <v>27</v>
      </c>
      <c r="Q67" s="8" t="n">
        <f aca="false">0.35+((P67-9)/121)*(1-0.35)</f>
        <v>0.446694214876033</v>
      </c>
      <c r="R67" s="12" t="n">
        <f aca="false">Q67*L67</f>
        <v>0.446694214876033</v>
      </c>
      <c r="S67" s="12" t="n">
        <f aca="false">J67-R67</f>
        <v>2.55330578512397</v>
      </c>
      <c r="T67" s="12" t="n">
        <f aca="false">MIN(197.4,T66+S67)</f>
        <v>49.4098760330579</v>
      </c>
      <c r="V67" s="8" t="n">
        <v>474.8</v>
      </c>
      <c r="X67" s="8" t="n">
        <f aca="false">X66+V67</f>
        <v>30082.4</v>
      </c>
      <c r="AA67" s="8" t="n">
        <v>11.7404292848174</v>
      </c>
    </row>
    <row r="68" s="8" customFormat="true" ht="15" hidden="false" customHeight="false" outlineLevel="0" collapsed="false">
      <c r="A68" s="14"/>
      <c r="B68" s="15"/>
      <c r="C68" s="16" t="n">
        <v>41184</v>
      </c>
      <c r="D68" s="8" t="n">
        <v>14.2</v>
      </c>
      <c r="E68" s="8" t="n">
        <v>10.9</v>
      </c>
      <c r="F68" s="8" t="n">
        <v>18.2</v>
      </c>
      <c r="G68" s="8" t="n">
        <f aca="false">G67+D68</f>
        <v>392.9</v>
      </c>
      <c r="J68" s="8" t="n">
        <v>1.4</v>
      </c>
      <c r="K68" s="8" t="n">
        <f aca="false">J68+K67</f>
        <v>67.7</v>
      </c>
      <c r="L68" s="8" t="n">
        <v>1.8</v>
      </c>
      <c r="M68" s="8" t="n">
        <f aca="false">M67+L68</f>
        <v>64.5</v>
      </c>
      <c r="N68" s="8" t="n">
        <v>-0.4</v>
      </c>
      <c r="O68" s="8" t="n">
        <f aca="false">O67+N68</f>
        <v>35.3</v>
      </c>
      <c r="P68" s="8" t="n">
        <v>28</v>
      </c>
      <c r="Q68" s="8" t="n">
        <f aca="false">0.35+((P68-9)/121)*(1-0.35)</f>
        <v>0.452066115702479</v>
      </c>
      <c r="R68" s="12" t="n">
        <f aca="false">Q68*L68</f>
        <v>0.813719008264463</v>
      </c>
      <c r="S68" s="12" t="n">
        <f aca="false">J68-R68</f>
        <v>0.586280991735537</v>
      </c>
      <c r="T68" s="12" t="n">
        <f aca="false">MIN(197.4,T67+S68)</f>
        <v>49.9961570247934</v>
      </c>
      <c r="V68" s="8" t="n">
        <v>1006.7</v>
      </c>
      <c r="X68" s="8" t="n">
        <f aca="false">X67+V68</f>
        <v>31089.1</v>
      </c>
      <c r="AA68" s="8" t="n">
        <v>11.6824953157588</v>
      </c>
    </row>
    <row r="69" s="8" customFormat="true" ht="15" hidden="false" customHeight="false" outlineLevel="0" collapsed="false">
      <c r="A69" s="14"/>
      <c r="B69" s="15"/>
      <c r="C69" s="16" t="n">
        <v>41185</v>
      </c>
      <c r="D69" s="8" t="n">
        <v>14.9</v>
      </c>
      <c r="E69" s="8" t="n">
        <v>13.5</v>
      </c>
      <c r="F69" s="8" t="n">
        <v>16.2</v>
      </c>
      <c r="G69" s="8" t="n">
        <f aca="false">G68+D69</f>
        <v>407.8</v>
      </c>
      <c r="J69" s="8" t="n">
        <v>14.3</v>
      </c>
      <c r="K69" s="8" t="n">
        <f aca="false">J69+K68</f>
        <v>82</v>
      </c>
      <c r="L69" s="8" t="n">
        <v>1.1</v>
      </c>
      <c r="M69" s="8" t="n">
        <f aca="false">M68+L69</f>
        <v>65.6</v>
      </c>
      <c r="N69" s="8" t="n">
        <v>13.2</v>
      </c>
      <c r="O69" s="8" t="n">
        <f aca="false">O68+N69</f>
        <v>48.5</v>
      </c>
      <c r="P69" s="8" t="n">
        <v>29</v>
      </c>
      <c r="Q69" s="8" t="n">
        <f aca="false">0.35+((P69-9)/121)*(1-0.35)</f>
        <v>0.457438016528926</v>
      </c>
      <c r="R69" s="12" t="n">
        <f aca="false">Q69*L69</f>
        <v>0.503181818181818</v>
      </c>
      <c r="S69" s="12" t="n">
        <f aca="false">J69-R69</f>
        <v>13.7968181818182</v>
      </c>
      <c r="T69" s="12" t="n">
        <f aca="false">MIN(197.4,T68+S69)</f>
        <v>63.7929752066116</v>
      </c>
      <c r="V69" s="8" t="n">
        <v>379.2</v>
      </c>
      <c r="X69" s="8" t="n">
        <f aca="false">X68+V69</f>
        <v>31468.3</v>
      </c>
      <c r="AA69" s="8" t="n">
        <v>11.6245938448951</v>
      </c>
    </row>
    <row r="70" s="8" customFormat="true" ht="15" hidden="false" customHeight="false" outlineLevel="0" collapsed="false">
      <c r="A70" s="14"/>
      <c r="B70" s="15"/>
      <c r="C70" s="16" t="n">
        <v>41186</v>
      </c>
      <c r="D70" s="8" t="n">
        <v>15.2</v>
      </c>
      <c r="E70" s="8" t="n">
        <v>12.8</v>
      </c>
      <c r="F70" s="8" t="n">
        <v>17.2</v>
      </c>
      <c r="G70" s="8" t="n">
        <f aca="false">G69+D70</f>
        <v>423</v>
      </c>
      <c r="J70" s="8" t="n">
        <v>0</v>
      </c>
      <c r="K70" s="8" t="n">
        <f aca="false">J70+K69</f>
        <v>82</v>
      </c>
      <c r="L70" s="8" t="n">
        <v>1.8</v>
      </c>
      <c r="M70" s="8" t="n">
        <f aca="false">M69+L70</f>
        <v>67.4</v>
      </c>
      <c r="N70" s="8" t="n">
        <v>-1.8</v>
      </c>
      <c r="O70" s="8" t="n">
        <f aca="false">O69+N70</f>
        <v>46.7</v>
      </c>
      <c r="P70" s="8" t="n">
        <v>30</v>
      </c>
      <c r="Q70" s="8" t="n">
        <f aca="false">0.35+((P70-9)/121)*(1-0.35)</f>
        <v>0.462809917355372</v>
      </c>
      <c r="R70" s="12" t="n">
        <f aca="false">Q70*L70</f>
        <v>0.83305785123967</v>
      </c>
      <c r="S70" s="12" t="n">
        <f aca="false">J70-R70</f>
        <v>-0.83305785123967</v>
      </c>
      <c r="T70" s="12" t="n">
        <f aca="false">MIN(197.4,T69+S70)</f>
        <v>62.9599173553719</v>
      </c>
      <c r="V70" s="8" t="n">
        <v>928.6</v>
      </c>
      <c r="X70" s="8" t="n">
        <f aca="false">X69+V70</f>
        <v>32396.9</v>
      </c>
      <c r="AA70" s="8" t="n">
        <v>11.5667311714657</v>
      </c>
    </row>
    <row r="71" s="8" customFormat="true" ht="15" hidden="false" customHeight="false" outlineLevel="0" collapsed="false">
      <c r="A71" s="14"/>
      <c r="B71" s="15"/>
      <c r="C71" s="16" t="n">
        <v>41187</v>
      </c>
      <c r="D71" s="8" t="n">
        <v>16.8</v>
      </c>
      <c r="E71" s="8" t="n">
        <v>15.4</v>
      </c>
      <c r="F71" s="8" t="n">
        <v>19.5</v>
      </c>
      <c r="G71" s="8" t="n">
        <f aca="false">G70+D71</f>
        <v>439.8</v>
      </c>
      <c r="J71" s="8" t="n">
        <v>0.2</v>
      </c>
      <c r="K71" s="8" t="n">
        <f aca="false">J71+K70</f>
        <v>82.2</v>
      </c>
      <c r="L71" s="8" t="n">
        <v>1.4</v>
      </c>
      <c r="M71" s="8" t="n">
        <f aca="false">M70+L71</f>
        <v>68.8</v>
      </c>
      <c r="N71" s="8" t="n">
        <v>-1.2</v>
      </c>
      <c r="O71" s="8" t="n">
        <f aca="false">O70+N71</f>
        <v>45.5</v>
      </c>
      <c r="P71" s="8" t="n">
        <v>31</v>
      </c>
      <c r="Q71" s="8" t="n">
        <f aca="false">0.35+((P71-9)/121)*(1-0.35)</f>
        <v>0.468181818181818</v>
      </c>
      <c r="R71" s="12" t="n">
        <f aca="false">Q71*L71</f>
        <v>0.655454545454545</v>
      </c>
      <c r="S71" s="12" t="n">
        <f aca="false">J71-R71</f>
        <v>-0.455454545454545</v>
      </c>
      <c r="T71" s="12" t="n">
        <f aca="false">MIN(197.4,T70+S71)</f>
        <v>62.5044628099174</v>
      </c>
      <c r="V71" s="8" t="n">
        <v>349.7</v>
      </c>
      <c r="X71" s="8" t="n">
        <f aca="false">X70+V71</f>
        <v>32746.6</v>
      </c>
      <c r="AA71" s="8" t="n">
        <v>11.5089137780611</v>
      </c>
    </row>
    <row r="72" s="8" customFormat="true" ht="15" hidden="false" customHeight="false" outlineLevel="0" collapsed="false">
      <c r="A72" s="14"/>
      <c r="B72" s="15"/>
      <c r="C72" s="16" t="n">
        <v>41188</v>
      </c>
      <c r="D72" s="8" t="n">
        <v>15.7</v>
      </c>
      <c r="E72" s="8" t="n">
        <v>13.7</v>
      </c>
      <c r="F72" s="8" t="n">
        <v>17.7</v>
      </c>
      <c r="G72" s="8" t="n">
        <f aca="false">G71+D72</f>
        <v>455.5</v>
      </c>
      <c r="J72" s="8" t="n">
        <v>6.8</v>
      </c>
      <c r="K72" s="8" t="n">
        <f aca="false">J72+K71</f>
        <v>89</v>
      </c>
      <c r="L72" s="8" t="n">
        <v>0.8</v>
      </c>
      <c r="M72" s="8" t="n">
        <f aca="false">M71+L72</f>
        <v>69.6</v>
      </c>
      <c r="N72" s="8" t="n">
        <v>6</v>
      </c>
      <c r="O72" s="8" t="n">
        <f aca="false">O71+N72</f>
        <v>51.5</v>
      </c>
      <c r="P72" s="8" t="n">
        <v>32</v>
      </c>
      <c r="Q72" s="8" t="n">
        <f aca="false">0.35+((P72-9)/121)*(1-0.35)</f>
        <v>0.473553719008264</v>
      </c>
      <c r="R72" s="12" t="n">
        <f aca="false">Q72*L72</f>
        <v>0.378842975206612</v>
      </c>
      <c r="S72" s="12" t="n">
        <f aca="false">J72-R72</f>
        <v>6.42115702479339</v>
      </c>
      <c r="T72" s="12" t="n">
        <f aca="false">MIN(197.4,T71+S72)</f>
        <v>68.9256198347107</v>
      </c>
      <c r="V72" s="8" t="n">
        <v>330.1</v>
      </c>
      <c r="X72" s="8" t="n">
        <f aca="false">X71+V72</f>
        <v>33076.7</v>
      </c>
      <c r="AA72" s="8" t="n">
        <v>11.4511483482653</v>
      </c>
    </row>
    <row r="73" s="8" customFormat="true" ht="15" hidden="false" customHeight="false" outlineLevel="0" collapsed="false">
      <c r="A73" s="14"/>
      <c r="B73" s="15"/>
      <c r="C73" s="16" t="n">
        <v>41189</v>
      </c>
      <c r="D73" s="8" t="n">
        <v>15</v>
      </c>
      <c r="E73" s="8" t="n">
        <v>14.3</v>
      </c>
      <c r="F73" s="8" t="n">
        <v>16.7</v>
      </c>
      <c r="G73" s="8" t="n">
        <f aca="false">G72+D73</f>
        <v>470.5</v>
      </c>
      <c r="J73" s="8" t="n">
        <v>7.8</v>
      </c>
      <c r="K73" s="8" t="n">
        <f aca="false">J73+K72</f>
        <v>96.8</v>
      </c>
      <c r="L73" s="8" t="n">
        <v>0.7</v>
      </c>
      <c r="M73" s="8" t="n">
        <f aca="false">M72+L73</f>
        <v>70.3</v>
      </c>
      <c r="N73" s="8" t="n">
        <v>7.1</v>
      </c>
      <c r="O73" s="8" t="n">
        <f aca="false">O72+N73</f>
        <v>58.6</v>
      </c>
      <c r="P73" s="8" t="n">
        <v>33</v>
      </c>
      <c r="Q73" s="8" t="n">
        <f aca="false">0.35+((P73-9)/121)*(1-0.35)</f>
        <v>0.478925619834711</v>
      </c>
      <c r="R73" s="12" t="n">
        <f aca="false">Q73*L73</f>
        <v>0.335247933884297</v>
      </c>
      <c r="S73" s="12" t="n">
        <f aca="false">J73-R73</f>
        <v>7.4647520661157</v>
      </c>
      <c r="T73" s="12" t="n">
        <f aca="false">MIN(197.4,T72+S73)</f>
        <v>76.3903719008265</v>
      </c>
      <c r="V73" s="8" t="n">
        <v>332.8</v>
      </c>
      <c r="X73" s="8" t="n">
        <f aca="false">X72+V73</f>
        <v>33409.5</v>
      </c>
      <c r="AA73" s="8" t="n">
        <v>11.3934417844118</v>
      </c>
    </row>
    <row r="74" s="8" customFormat="true" ht="15" hidden="false" customHeight="false" outlineLevel="0" collapsed="false">
      <c r="A74" s="14"/>
      <c r="B74" s="15"/>
      <c r="C74" s="16" t="n">
        <v>41190</v>
      </c>
      <c r="D74" s="8" t="n">
        <v>17.2</v>
      </c>
      <c r="E74" s="8" t="n">
        <v>15</v>
      </c>
      <c r="F74" s="8" t="n">
        <v>19.1</v>
      </c>
      <c r="G74" s="8" t="n">
        <f aca="false">G73+D74</f>
        <v>487.7</v>
      </c>
      <c r="J74" s="8" t="n">
        <v>18.2</v>
      </c>
      <c r="K74" s="8" t="n">
        <f aca="false">J74+K73</f>
        <v>115</v>
      </c>
      <c r="L74" s="8" t="n">
        <v>0.5</v>
      </c>
      <c r="M74" s="8" t="n">
        <f aca="false">M73+L74</f>
        <v>70.8</v>
      </c>
      <c r="N74" s="8" t="n">
        <v>17.7</v>
      </c>
      <c r="O74" s="8" t="n">
        <f aca="false">O73+N74</f>
        <v>76.3</v>
      </c>
      <c r="P74" s="8" t="n">
        <v>34</v>
      </c>
      <c r="Q74" s="8" t="n">
        <f aca="false">0.35+((P74-9)/121)*(1-0.35)</f>
        <v>0.484297520661157</v>
      </c>
      <c r="R74" s="12" t="n">
        <f aca="false">Q74*L74</f>
        <v>0.242148760330579</v>
      </c>
      <c r="S74" s="12" t="n">
        <f aca="false">J74-R74</f>
        <v>17.9578512396694</v>
      </c>
      <c r="T74" s="12" t="n">
        <f aca="false">MIN(197.4,T73+S74)</f>
        <v>94.3482231404959</v>
      </c>
      <c r="V74" s="8" t="n">
        <v>205.1</v>
      </c>
      <c r="X74" s="8" t="n">
        <f aca="false">X73+V74</f>
        <v>33614.6</v>
      </c>
      <c r="AA74" s="8" t="n">
        <v>11.3358012254468</v>
      </c>
    </row>
    <row r="75" s="8" customFormat="true" ht="15" hidden="false" customHeight="false" outlineLevel="0" collapsed="false">
      <c r="A75" s="14"/>
      <c r="B75" s="15"/>
      <c r="C75" s="16" t="n">
        <v>41191</v>
      </c>
      <c r="D75" s="8" t="n">
        <v>17.3</v>
      </c>
      <c r="E75" s="8" t="n">
        <v>16.4</v>
      </c>
      <c r="F75" s="8" t="n">
        <v>18.9</v>
      </c>
      <c r="G75" s="8" t="n">
        <f aca="false">G74+D75</f>
        <v>505</v>
      </c>
      <c r="J75" s="8" t="n">
        <v>3.8</v>
      </c>
      <c r="K75" s="8" t="n">
        <f aca="false">J75+K74</f>
        <v>118.8</v>
      </c>
      <c r="L75" s="8" t="n">
        <v>1</v>
      </c>
      <c r="M75" s="8" t="n">
        <f aca="false">M74+L75</f>
        <v>71.8</v>
      </c>
      <c r="N75" s="8" t="n">
        <v>2.8</v>
      </c>
      <c r="O75" s="8" t="n">
        <f aca="false">O74+N75</f>
        <v>79.1</v>
      </c>
      <c r="P75" s="8" t="n">
        <v>35</v>
      </c>
      <c r="Q75" s="8" t="n">
        <f aca="false">0.35+((P75-9)/121)*(1-0.35)</f>
        <v>0.489669421487603</v>
      </c>
      <c r="R75" s="12" t="n">
        <f aca="false">Q75*L75</f>
        <v>0.489669421487603</v>
      </c>
      <c r="S75" s="12" t="n">
        <f aca="false">J75-R75</f>
        <v>3.3103305785124</v>
      </c>
      <c r="T75" s="12" t="n">
        <f aca="false">MIN(197.4,T74+S75)</f>
        <v>97.6585537190083</v>
      </c>
      <c r="V75" s="8" t="n">
        <v>329.9</v>
      </c>
      <c r="X75" s="8" t="n">
        <f aca="false">X74+V75</f>
        <v>33944.5</v>
      </c>
      <c r="AA75" s="8" t="n">
        <v>11.2782340648923</v>
      </c>
    </row>
    <row r="76" s="8" customFormat="true" ht="15" hidden="false" customHeight="false" outlineLevel="0" collapsed="false">
      <c r="A76" s="14"/>
      <c r="B76" s="15"/>
      <c r="C76" s="16" t="n">
        <v>41192</v>
      </c>
      <c r="D76" s="8" t="n">
        <v>16.6</v>
      </c>
      <c r="E76" s="8" t="n">
        <v>15.3</v>
      </c>
      <c r="F76" s="8" t="n">
        <v>19</v>
      </c>
      <c r="G76" s="8" t="n">
        <f aca="false">G75+D76</f>
        <v>521.6</v>
      </c>
      <c r="J76" s="8" t="n">
        <v>6.1</v>
      </c>
      <c r="K76" s="8" t="n">
        <f aca="false">J76+K75</f>
        <v>124.9</v>
      </c>
      <c r="L76" s="8" t="n">
        <v>0.9</v>
      </c>
      <c r="M76" s="8" t="n">
        <f aca="false">M75+L76</f>
        <v>72.7</v>
      </c>
      <c r="N76" s="8" t="n">
        <v>5.2</v>
      </c>
      <c r="O76" s="8" t="n">
        <f aca="false">O75+N76</f>
        <v>84.3</v>
      </c>
      <c r="P76" s="8" t="n">
        <v>36</v>
      </c>
      <c r="Q76" s="8" t="n">
        <f aca="false">0.35+((P76-9)/121)*(1-0.35)</f>
        <v>0.49504132231405</v>
      </c>
      <c r="R76" s="12" t="n">
        <f aca="false">Q76*L76</f>
        <v>0.445537190082645</v>
      </c>
      <c r="S76" s="12" t="n">
        <f aca="false">J76-R76</f>
        <v>5.65446280991736</v>
      </c>
      <c r="T76" s="12" t="n">
        <f aca="false">MIN(197.4,T75+S76)</f>
        <v>103.313016528926</v>
      </c>
      <c r="V76" s="8" t="n">
        <v>353.9</v>
      </c>
      <c r="X76" s="8" t="n">
        <f aca="false">X75+V76</f>
        <v>34298.4</v>
      </c>
      <c r="AA76" s="8" t="n">
        <v>11.2207479688981</v>
      </c>
    </row>
    <row r="77" s="8" customFormat="true" ht="15" hidden="false" customHeight="false" outlineLevel="0" collapsed="false">
      <c r="A77" s="14"/>
      <c r="B77" s="15"/>
      <c r="C77" s="16" t="n">
        <v>41193</v>
      </c>
      <c r="D77" s="8" t="n">
        <v>16.5</v>
      </c>
      <c r="E77" s="8" t="n">
        <v>15.6</v>
      </c>
      <c r="F77" s="8" t="n">
        <v>20.4</v>
      </c>
      <c r="G77" s="8" t="n">
        <f aca="false">G76+D77</f>
        <v>538.1</v>
      </c>
      <c r="J77" s="8" t="n">
        <v>6</v>
      </c>
      <c r="K77" s="8" t="n">
        <f aca="false">J77+K76</f>
        <v>130.9</v>
      </c>
      <c r="L77" s="8" t="n">
        <v>1.3</v>
      </c>
      <c r="M77" s="8" t="n">
        <f aca="false">M76+L77</f>
        <v>74</v>
      </c>
      <c r="N77" s="8" t="n">
        <v>4.7</v>
      </c>
      <c r="O77" s="8" t="n">
        <f aca="false">O76+N77</f>
        <v>89</v>
      </c>
      <c r="P77" s="8" t="n">
        <v>37</v>
      </c>
      <c r="Q77" s="8" t="n">
        <f aca="false">0.35+((P77-9)/121)*(1-0.35)</f>
        <v>0.500413223140496</v>
      </c>
      <c r="R77" s="12" t="n">
        <f aca="false">Q77*L77</f>
        <v>0.650537190082645</v>
      </c>
      <c r="S77" s="12" t="n">
        <f aca="false">J77-R77</f>
        <v>5.34946280991736</v>
      </c>
      <c r="T77" s="12" t="n">
        <f aca="false">MIN(197.4,T76+S77)</f>
        <v>108.662479338843</v>
      </c>
      <c r="V77" s="8" t="n">
        <v>342.8</v>
      </c>
      <c r="X77" s="8" t="n">
        <f aca="false">X76+V77</f>
        <v>34641.2</v>
      </c>
      <c r="AA77" s="8" t="n">
        <v>11.163350894371</v>
      </c>
    </row>
    <row r="78" s="8" customFormat="true" ht="15" hidden="false" customHeight="false" outlineLevel="0" collapsed="false">
      <c r="A78" s="14"/>
      <c r="B78" s="15"/>
      <c r="C78" s="16" t="n">
        <v>41194</v>
      </c>
      <c r="D78" s="8" t="n">
        <v>12.2</v>
      </c>
      <c r="E78" s="8" t="n">
        <v>8.2</v>
      </c>
      <c r="F78" s="8" t="n">
        <v>16.4</v>
      </c>
      <c r="G78" s="8" t="n">
        <f aca="false">G77+D78</f>
        <v>550.3</v>
      </c>
      <c r="J78" s="8" t="n">
        <v>4.8</v>
      </c>
      <c r="K78" s="8" t="n">
        <f aca="false">J78+K77</f>
        <v>135.7</v>
      </c>
      <c r="L78" s="8" t="n">
        <v>2</v>
      </c>
      <c r="M78" s="8" t="n">
        <f aca="false">M77+L78</f>
        <v>76</v>
      </c>
      <c r="N78" s="8" t="n">
        <v>2.8</v>
      </c>
      <c r="O78" s="8" t="n">
        <f aca="false">O77+N78</f>
        <v>91.8</v>
      </c>
      <c r="P78" s="8" t="n">
        <v>38</v>
      </c>
      <c r="Q78" s="8" t="n">
        <f aca="false">0.35+((P78-9)/121)*(1-0.35)</f>
        <v>0.505785123966942</v>
      </c>
      <c r="R78" s="12" t="n">
        <f aca="false">Q78*L78</f>
        <v>1.01157024793388</v>
      </c>
      <c r="S78" s="12" t="n">
        <f aca="false">J78-R78</f>
        <v>3.78842975206612</v>
      </c>
      <c r="T78" s="12" t="n">
        <f aca="false">MIN(197.4,T77+S78)</f>
        <v>112.450909090909</v>
      </c>
      <c r="V78" s="8" t="n">
        <v>1058.3</v>
      </c>
      <c r="X78" s="8" t="n">
        <f aca="false">X77+V78</f>
        <v>35699.5</v>
      </c>
      <c r="AA78" s="8" t="n">
        <v>11.1060511071659</v>
      </c>
    </row>
    <row r="79" s="8" customFormat="true" ht="15" hidden="false" customHeight="false" outlineLevel="0" collapsed="false">
      <c r="A79" s="14"/>
      <c r="B79" s="15"/>
      <c r="C79" s="16" t="n">
        <v>41195</v>
      </c>
      <c r="D79" s="8" t="n">
        <v>11.1</v>
      </c>
      <c r="E79" s="8" t="n">
        <v>11</v>
      </c>
      <c r="F79" s="8" t="n">
        <v>12.8</v>
      </c>
      <c r="G79" s="8" t="n">
        <f aca="false">G78+D79</f>
        <v>561.4</v>
      </c>
      <c r="J79" s="8" t="n">
        <v>2.3</v>
      </c>
      <c r="K79" s="8" t="n">
        <f aca="false">J79+K78</f>
        <v>138</v>
      </c>
      <c r="L79" s="8" t="n">
        <v>1.4</v>
      </c>
      <c r="M79" s="8" t="n">
        <f aca="false">M78+L79</f>
        <v>77.4</v>
      </c>
      <c r="N79" s="8" t="n">
        <v>0.9</v>
      </c>
      <c r="O79" s="8" t="n">
        <f aca="false">O78+N79</f>
        <v>92.7</v>
      </c>
      <c r="P79" s="8" t="n">
        <v>39</v>
      </c>
      <c r="Q79" s="8" t="n">
        <f aca="false">0.35+((P79-9)/121)*(1-0.35)</f>
        <v>0.511157024793388</v>
      </c>
      <c r="R79" s="12" t="n">
        <f aca="false">Q79*L79</f>
        <v>0.715619834710744</v>
      </c>
      <c r="S79" s="12" t="n">
        <f aca="false">J79-R79</f>
        <v>1.58438016528926</v>
      </c>
      <c r="T79" s="12" t="n">
        <f aca="false">MIN(197.4,T78+S79)</f>
        <v>114.035289256198</v>
      </c>
      <c r="V79" s="8" t="n">
        <v>857.2</v>
      </c>
      <c r="X79" s="8" t="n">
        <f aca="false">X78+V79</f>
        <v>36556.7</v>
      </c>
      <c r="AA79" s="8" t="n">
        <v>11.0488572003194</v>
      </c>
    </row>
    <row r="80" s="8" customFormat="true" ht="15" hidden="false" customHeight="false" outlineLevel="0" collapsed="false">
      <c r="A80" s="14"/>
      <c r="B80" s="15"/>
      <c r="C80" s="16" t="n">
        <v>41196</v>
      </c>
      <c r="D80" s="8" t="n">
        <v>9</v>
      </c>
      <c r="E80" s="8" t="n">
        <v>8.2</v>
      </c>
      <c r="F80" s="8" t="n">
        <v>12.3</v>
      </c>
      <c r="G80" s="8" t="n">
        <f aca="false">G79+D80</f>
        <v>570.4</v>
      </c>
      <c r="J80" s="8" t="n">
        <v>0.2</v>
      </c>
      <c r="K80" s="8" t="n">
        <f aca="false">J80+K79</f>
        <v>138.2</v>
      </c>
      <c r="L80" s="8" t="n">
        <v>1.6</v>
      </c>
      <c r="M80" s="8" t="n">
        <f aca="false">M79+L80</f>
        <v>79</v>
      </c>
      <c r="N80" s="8" t="n">
        <v>-1.4</v>
      </c>
      <c r="O80" s="8" t="n">
        <f aca="false">O79+N80</f>
        <v>91.3</v>
      </c>
      <c r="P80" s="8" t="n">
        <v>40</v>
      </c>
      <c r="Q80" s="8" t="n">
        <f aca="false">0.35+((P80-9)/121)*(1-0.35)</f>
        <v>0.516528925619835</v>
      </c>
      <c r="R80" s="12" t="n">
        <f aca="false">Q80*L80</f>
        <v>0.826446280991735</v>
      </c>
      <c r="S80" s="12" t="n">
        <f aca="false">J80-R80</f>
        <v>-0.626446280991736</v>
      </c>
      <c r="T80" s="12" t="n">
        <f aca="false">MIN(197.4,T79+S80)</f>
        <v>113.408842975207</v>
      </c>
      <c r="V80" s="8" t="n">
        <v>843.1</v>
      </c>
      <c r="X80" s="8" t="n">
        <f aca="false">X79+V80</f>
        <v>37399.8</v>
      </c>
      <c r="AA80" s="8" t="n">
        <v>10.9917781123049</v>
      </c>
    </row>
    <row r="81" s="8" customFormat="true" ht="15" hidden="false" customHeight="false" outlineLevel="0" collapsed="false">
      <c r="A81" s="14"/>
      <c r="B81" s="15"/>
      <c r="C81" s="16" t="n">
        <v>41197</v>
      </c>
      <c r="D81" s="8" t="n">
        <v>10.5</v>
      </c>
      <c r="E81" s="8" t="n">
        <v>5.3</v>
      </c>
      <c r="F81" s="8" t="n">
        <v>14.6</v>
      </c>
      <c r="G81" s="8" t="n">
        <f aca="false">G80+D81</f>
        <v>580.9</v>
      </c>
      <c r="J81" s="8" t="n">
        <v>3.2</v>
      </c>
      <c r="K81" s="8" t="n">
        <f aca="false">J81+K80</f>
        <v>141.4</v>
      </c>
      <c r="L81" s="8" t="n">
        <v>1.6</v>
      </c>
      <c r="M81" s="8" t="n">
        <f aca="false">M80+L81</f>
        <v>80.6</v>
      </c>
      <c r="N81" s="8" t="n">
        <v>1.6</v>
      </c>
      <c r="O81" s="8" t="n">
        <f aca="false">O80+N81</f>
        <v>92.9</v>
      </c>
      <c r="P81" s="8" t="n">
        <v>41</v>
      </c>
      <c r="Q81" s="8" t="n">
        <f aca="false">0.35+((P81-9)/121)*(1-0.35)</f>
        <v>0.521900826446281</v>
      </c>
      <c r="R81" s="12" t="n">
        <f aca="false">Q81*L81</f>
        <v>0.83504132231405</v>
      </c>
      <c r="S81" s="12" t="n">
        <f aca="false">J81-R81</f>
        <v>2.36495867768595</v>
      </c>
      <c r="T81" s="12" t="n">
        <f aca="false">MIN(197.4,T80+S81)</f>
        <v>115.773801652893</v>
      </c>
      <c r="V81" s="8" t="n">
        <v>931.1</v>
      </c>
      <c r="X81" s="8" t="n">
        <f aca="false">X80+V81</f>
        <v>38330.9</v>
      </c>
      <c r="AA81" s="8" t="n">
        <v>10.9348231452836</v>
      </c>
    </row>
    <row r="82" s="8" customFormat="true" ht="15" hidden="false" customHeight="false" outlineLevel="0" collapsed="false">
      <c r="A82" s="14"/>
      <c r="B82" s="15"/>
      <c r="C82" s="16" t="n">
        <v>41198</v>
      </c>
      <c r="D82" s="8" t="n">
        <v>12.5</v>
      </c>
      <c r="E82" s="8" t="n">
        <v>9.4</v>
      </c>
      <c r="F82" s="8" t="n">
        <v>14.9</v>
      </c>
      <c r="G82" s="8" t="n">
        <f aca="false">G81+D82</f>
        <v>593.4</v>
      </c>
      <c r="J82" s="8" t="n">
        <v>9.1</v>
      </c>
      <c r="K82" s="8" t="n">
        <f aca="false">J82+K81</f>
        <v>150.5</v>
      </c>
      <c r="L82" s="8" t="n">
        <v>1</v>
      </c>
      <c r="M82" s="8" t="n">
        <f aca="false">M81+L82</f>
        <v>81.6</v>
      </c>
      <c r="N82" s="8" t="n">
        <v>8.1</v>
      </c>
      <c r="O82" s="8" t="n">
        <f aca="false">O81+N82</f>
        <v>101</v>
      </c>
      <c r="P82" s="8" t="n">
        <v>42</v>
      </c>
      <c r="Q82" s="8" t="n">
        <f aca="false">0.35+((P82-9)/121)*(1-0.35)</f>
        <v>0.527272727272727</v>
      </c>
      <c r="R82" s="12" t="n">
        <f aca="false">Q82*L82</f>
        <v>0.527272727272727</v>
      </c>
      <c r="S82" s="12" t="n">
        <f aca="false">J82-R82</f>
        <v>8.57272727272727</v>
      </c>
      <c r="T82" s="12" t="n">
        <f aca="false">MIN(197.4,T81+S82)</f>
        <v>124.34652892562</v>
      </c>
      <c r="V82" s="8" t="n">
        <v>474.1</v>
      </c>
      <c r="X82" s="8" t="n">
        <f aca="false">X81+V82</f>
        <v>38805</v>
      </c>
      <c r="AA82" s="8" t="n">
        <v>10.878001983323</v>
      </c>
    </row>
    <row r="83" s="8" customFormat="true" ht="15" hidden="false" customHeight="false" outlineLevel="0" collapsed="false">
      <c r="A83" s="14"/>
      <c r="B83" s="15"/>
      <c r="C83" s="16" t="n">
        <v>41199</v>
      </c>
      <c r="D83" s="8" t="n">
        <v>13.8</v>
      </c>
      <c r="E83" s="8" t="n">
        <v>12.5</v>
      </c>
      <c r="F83" s="8" t="n">
        <v>15.5</v>
      </c>
      <c r="G83" s="8" t="n">
        <f aca="false">G82+D83</f>
        <v>607.2</v>
      </c>
      <c r="J83" s="8" t="n">
        <v>5.8</v>
      </c>
      <c r="K83" s="8" t="n">
        <f aca="false">J83+K82</f>
        <v>156.3</v>
      </c>
      <c r="L83" s="8" t="n">
        <v>1</v>
      </c>
      <c r="M83" s="8" t="n">
        <f aca="false">M82+L83</f>
        <v>82.6</v>
      </c>
      <c r="N83" s="8" t="n">
        <v>4.8</v>
      </c>
      <c r="O83" s="8" t="n">
        <f aca="false">O82+N83</f>
        <v>105.8</v>
      </c>
      <c r="P83" s="8" t="n">
        <v>43</v>
      </c>
      <c r="Q83" s="8" t="n">
        <f aca="false">0.35+((P83-9)/121)*(1-0.35)</f>
        <v>0.532644628099174</v>
      </c>
      <c r="R83" s="12" t="n">
        <f aca="false">Q83*L83</f>
        <v>0.532644628099174</v>
      </c>
      <c r="S83" s="12" t="n">
        <f aca="false">J83-R83</f>
        <v>5.26735537190083</v>
      </c>
      <c r="T83" s="12" t="n">
        <f aca="false">MIN(197.4,T82+S83)</f>
        <v>129.613884297521</v>
      </c>
      <c r="V83" s="8" t="n">
        <v>414</v>
      </c>
      <c r="X83" s="8" t="n">
        <f aca="false">X82+V83</f>
        <v>39219</v>
      </c>
      <c r="AA83" s="8" t="n">
        <v>10.8213247105489</v>
      </c>
    </row>
    <row r="84" s="8" customFormat="true" ht="15" hidden="false" customHeight="false" outlineLevel="0" collapsed="false">
      <c r="A84" s="14"/>
      <c r="B84" s="15"/>
      <c r="C84" s="16" t="n">
        <v>41200</v>
      </c>
      <c r="D84" s="8" t="n">
        <v>13</v>
      </c>
      <c r="E84" s="8" t="n">
        <v>12.2</v>
      </c>
      <c r="F84" s="8" t="n">
        <v>15.1</v>
      </c>
      <c r="G84" s="8" t="n">
        <f aca="false">G83+D84</f>
        <v>620.2</v>
      </c>
      <c r="J84" s="8" t="n">
        <v>15.6</v>
      </c>
      <c r="K84" s="8" t="n">
        <f aca="false">J84+K83</f>
        <v>171.9</v>
      </c>
      <c r="L84" s="8" t="n">
        <v>0.7</v>
      </c>
      <c r="M84" s="8" t="n">
        <f aca="false">M83+L84</f>
        <v>83.3</v>
      </c>
      <c r="N84" s="8" t="n">
        <v>14.9</v>
      </c>
      <c r="O84" s="8" t="n">
        <f aca="false">O83+N84</f>
        <v>120.7</v>
      </c>
      <c r="P84" s="8" t="n">
        <v>44</v>
      </c>
      <c r="Q84" s="8" t="n">
        <f aca="false">0.35+((P84-9)/121)*(1-0.35)</f>
        <v>0.53801652892562</v>
      </c>
      <c r="R84" s="12" t="n">
        <f aca="false">Q84*L84</f>
        <v>0.376611570247934</v>
      </c>
      <c r="S84" s="12" t="n">
        <f aca="false">J84-R84</f>
        <v>15.2233884297521</v>
      </c>
      <c r="T84" s="12" t="n">
        <f aca="false">MIN(197.4,T83+S84)</f>
        <v>144.837272727273</v>
      </c>
      <c r="V84" s="8" t="n">
        <v>352.9</v>
      </c>
      <c r="X84" s="8" t="n">
        <f aca="false">X83+V84</f>
        <v>39571.9</v>
      </c>
      <c r="AA84" s="8" t="n">
        <v>10.7648018291947</v>
      </c>
    </row>
    <row r="85" s="8" customFormat="true" ht="15" hidden="false" customHeight="false" outlineLevel="0" collapsed="false">
      <c r="A85" s="14"/>
      <c r="B85" s="15"/>
      <c r="C85" s="16" t="n">
        <v>41201</v>
      </c>
      <c r="D85" s="8" t="n">
        <v>11.1</v>
      </c>
      <c r="E85" s="8" t="n">
        <v>10.6</v>
      </c>
      <c r="F85" s="8" t="n">
        <v>12.3</v>
      </c>
      <c r="G85" s="8" t="n">
        <f aca="false">G84+D85</f>
        <v>631.3</v>
      </c>
      <c r="J85" s="8" t="n">
        <v>1.9</v>
      </c>
      <c r="K85" s="8" t="n">
        <f aca="false">J85+K84</f>
        <v>173.8</v>
      </c>
      <c r="L85" s="8" t="n">
        <v>0.4</v>
      </c>
      <c r="M85" s="8" t="n">
        <f aca="false">M84+L85</f>
        <v>83.7</v>
      </c>
      <c r="N85" s="8" t="n">
        <v>1.5</v>
      </c>
      <c r="O85" s="8" t="n">
        <f aca="false">O84+N85</f>
        <v>122.2</v>
      </c>
      <c r="P85" s="8" t="n">
        <v>45</v>
      </c>
      <c r="Q85" s="8" t="n">
        <f aca="false">0.35+((P85-9)/121)*(1-0.35)</f>
        <v>0.543388429752066</v>
      </c>
      <c r="R85" s="12" t="n">
        <f aca="false">Q85*L85</f>
        <v>0.217355371900826</v>
      </c>
      <c r="S85" s="12" t="n">
        <f aca="false">J85-R85</f>
        <v>1.68264462809917</v>
      </c>
      <c r="T85" s="12" t="n">
        <f aca="false">MIN(197.4,T84+S85)</f>
        <v>146.519917355372</v>
      </c>
      <c r="V85" s="8" t="n">
        <v>197.1</v>
      </c>
      <c r="X85" s="8" t="n">
        <f aca="false">X84+V85</f>
        <v>39769</v>
      </c>
      <c r="AA85" s="8" t="n">
        <v>10.7084442775047</v>
      </c>
    </row>
    <row r="86" s="8" customFormat="true" ht="15" hidden="false" customHeight="false" outlineLevel="0" collapsed="false">
      <c r="A86" s="14"/>
      <c r="B86" s="15"/>
      <c r="C86" s="16" t="n">
        <v>41202</v>
      </c>
      <c r="D86" s="8" t="n">
        <v>11.4</v>
      </c>
      <c r="E86" s="8" t="n">
        <v>8.9</v>
      </c>
      <c r="F86" s="8" t="n">
        <v>12.9</v>
      </c>
      <c r="G86" s="8" t="n">
        <f aca="false">G85+D86</f>
        <v>642.7</v>
      </c>
      <c r="J86" s="8" t="n">
        <v>5</v>
      </c>
      <c r="K86" s="8" t="n">
        <f aca="false">J86+K85</f>
        <v>178.8</v>
      </c>
      <c r="L86" s="8" t="n">
        <v>0.4</v>
      </c>
      <c r="M86" s="8" t="n">
        <f aca="false">M85+L86</f>
        <v>84.1</v>
      </c>
      <c r="N86" s="8" t="n">
        <v>4.6</v>
      </c>
      <c r="O86" s="8" t="n">
        <f aca="false">O85+N86</f>
        <v>126.8</v>
      </c>
      <c r="P86" s="8" t="n">
        <v>46</v>
      </c>
      <c r="Q86" s="8" t="n">
        <f aca="false">0.35+((P86-9)/121)*(1-0.35)</f>
        <v>0.548760330578512</v>
      </c>
      <c r="R86" s="12" t="n">
        <f aca="false">Q86*L86</f>
        <v>0.219504132231405</v>
      </c>
      <c r="S86" s="12" t="n">
        <f aca="false">J86-R86</f>
        <v>4.7804958677686</v>
      </c>
      <c r="T86" s="12" t="n">
        <f aca="false">MIN(197.4,T85+S86)</f>
        <v>151.300413223141</v>
      </c>
      <c r="V86" s="8" t="n">
        <v>241.1</v>
      </c>
      <c r="X86" s="8" t="n">
        <f aca="false">X85+V86</f>
        <v>40010.1</v>
      </c>
      <c r="AA86" s="8" t="n">
        <v>10.6522634474462</v>
      </c>
    </row>
    <row r="87" s="8" customFormat="true" ht="15" hidden="false" customHeight="false" outlineLevel="0" collapsed="false">
      <c r="A87" s="14"/>
      <c r="B87" s="15"/>
      <c r="C87" s="16" t="n">
        <v>41203</v>
      </c>
      <c r="D87" s="8" t="n">
        <v>13.6</v>
      </c>
      <c r="E87" s="8" t="n">
        <v>12.1</v>
      </c>
      <c r="F87" s="8" t="n">
        <v>14.5</v>
      </c>
      <c r="G87" s="8" t="n">
        <f aca="false">G86+D87</f>
        <v>656.3</v>
      </c>
      <c r="J87" s="8" t="n">
        <v>0.7</v>
      </c>
      <c r="K87" s="8" t="n">
        <f aca="false">J87+K86</f>
        <v>179.5</v>
      </c>
      <c r="L87" s="8" t="n">
        <v>0.4</v>
      </c>
      <c r="M87" s="8" t="n">
        <f aca="false">M86+L87</f>
        <v>84.5</v>
      </c>
      <c r="N87" s="8" t="n">
        <v>0.3</v>
      </c>
      <c r="O87" s="8" t="n">
        <f aca="false">O86+N87</f>
        <v>127.1</v>
      </c>
      <c r="P87" s="8" t="n">
        <v>47</v>
      </c>
      <c r="Q87" s="8" t="n">
        <f aca="false">0.35+((P87-9)/121)*(1-0.35)</f>
        <v>0.554132231404959</v>
      </c>
      <c r="R87" s="12" t="n">
        <f aca="false">Q87*L87</f>
        <v>0.221652892561984</v>
      </c>
      <c r="S87" s="12" t="n">
        <f aca="false">J87-R87</f>
        <v>0.478347107438016</v>
      </c>
      <c r="T87" s="12" t="n">
        <f aca="false">MIN(197.4,T86+S87)</f>
        <v>151.778760330579</v>
      </c>
      <c r="V87" s="8" t="n">
        <v>189.9</v>
      </c>
      <c r="X87" s="8" t="n">
        <f aca="false">X86+V87</f>
        <v>40200</v>
      </c>
      <c r="AA87" s="8" t="n">
        <v>10.5962712021773</v>
      </c>
    </row>
    <row r="88" s="8" customFormat="true" ht="15" hidden="false" customHeight="false" outlineLevel="0" collapsed="false">
      <c r="A88" s="14"/>
      <c r="B88" s="15"/>
      <c r="C88" s="16" t="n">
        <v>41204</v>
      </c>
      <c r="D88" s="8" t="n">
        <v>15.3</v>
      </c>
      <c r="E88" s="8" t="n">
        <v>13.6</v>
      </c>
      <c r="F88" s="8" t="n">
        <v>16.9</v>
      </c>
      <c r="G88" s="8" t="n">
        <f aca="false">G87+D88</f>
        <v>671.6</v>
      </c>
      <c r="J88" s="8" t="n">
        <v>0.4</v>
      </c>
      <c r="K88" s="8" t="n">
        <f aca="false">J88+K87</f>
        <v>179.9</v>
      </c>
      <c r="L88" s="8" t="n">
        <v>0.6</v>
      </c>
      <c r="M88" s="8" t="n">
        <f aca="false">M87+L88</f>
        <v>85.1</v>
      </c>
      <c r="N88" s="8" t="n">
        <v>-0.2</v>
      </c>
      <c r="O88" s="8" t="n">
        <f aca="false">O87+N88</f>
        <v>126.9</v>
      </c>
      <c r="P88" s="8" t="n">
        <v>48</v>
      </c>
      <c r="Q88" s="8" t="n">
        <f aca="false">0.35+((P88-9)/121)*(1-0.35)</f>
        <v>0.559504132231405</v>
      </c>
      <c r="R88" s="12" t="n">
        <f aca="false">Q88*L88</f>
        <v>0.335702479338843</v>
      </c>
      <c r="S88" s="12" t="n">
        <f aca="false">J88-R88</f>
        <v>0.0642975206611571</v>
      </c>
      <c r="T88" s="12" t="n">
        <f aca="false">MIN(197.4,T87+S88)</f>
        <v>151.84305785124</v>
      </c>
      <c r="V88" s="8" t="n">
        <v>275</v>
      </c>
      <c r="X88" s="8" t="n">
        <f aca="false">X87+V88</f>
        <v>40475</v>
      </c>
      <c r="AA88" s="8" t="n">
        <v>10.5404798932139</v>
      </c>
    </row>
    <row r="89" s="8" customFormat="true" ht="15" hidden="false" customHeight="false" outlineLevel="0" collapsed="false">
      <c r="A89" s="14"/>
      <c r="B89" s="15"/>
      <c r="C89" s="16" t="n">
        <v>41205</v>
      </c>
      <c r="D89" s="8" t="n">
        <v>15.7</v>
      </c>
      <c r="E89" s="8" t="n">
        <v>14.4</v>
      </c>
      <c r="F89" s="8" t="n">
        <v>18.2</v>
      </c>
      <c r="G89" s="8" t="n">
        <f aca="false">G88+D89</f>
        <v>687.3</v>
      </c>
      <c r="J89" s="8" t="n">
        <v>0</v>
      </c>
      <c r="K89" s="8" t="n">
        <f aca="false">J89+K88</f>
        <v>179.9</v>
      </c>
      <c r="L89" s="8" t="n">
        <v>0.9</v>
      </c>
      <c r="M89" s="8" t="n">
        <f aca="false">M88+L89</f>
        <v>86</v>
      </c>
      <c r="N89" s="8" t="n">
        <v>-0.9</v>
      </c>
      <c r="O89" s="8" t="n">
        <f aca="false">O88+N89</f>
        <v>126</v>
      </c>
      <c r="P89" s="8" t="n">
        <v>49</v>
      </c>
      <c r="Q89" s="8" t="n">
        <f aca="false">0.35+((P89-9)/121)*(1-0.35)</f>
        <v>0.564876033057851</v>
      </c>
      <c r="R89" s="12" t="n">
        <f aca="false">Q89*L89</f>
        <v>0.508388429752066</v>
      </c>
      <c r="S89" s="12" t="n">
        <f aca="false">J89-R89</f>
        <v>-0.508388429752066</v>
      </c>
      <c r="T89" s="12" t="n">
        <f aca="false">MIN(197.4,T88+S89)</f>
        <v>151.334669421488</v>
      </c>
      <c r="V89" s="8" t="n">
        <v>454.7</v>
      </c>
      <c r="X89" s="8" t="n">
        <f aca="false">X88+V89</f>
        <v>40929.7</v>
      </c>
      <c r="AA89" s="8" t="n">
        <v>10.4849023772331</v>
      </c>
    </row>
    <row r="90" s="8" customFormat="true" ht="15" hidden="false" customHeight="false" outlineLevel="0" collapsed="false">
      <c r="A90" s="14"/>
      <c r="B90" s="15"/>
      <c r="C90" s="16" t="n">
        <v>41206</v>
      </c>
      <c r="D90" s="8" t="n">
        <v>13</v>
      </c>
      <c r="E90" s="8" t="n">
        <v>11.3</v>
      </c>
      <c r="F90" s="8" t="n">
        <v>14.6</v>
      </c>
      <c r="G90" s="8" t="n">
        <f aca="false">G89+D90</f>
        <v>700.3</v>
      </c>
      <c r="J90" s="8" t="n">
        <v>0</v>
      </c>
      <c r="K90" s="8" t="n">
        <f aca="false">J90+K89</f>
        <v>179.9</v>
      </c>
      <c r="L90" s="8" t="n">
        <v>0.8</v>
      </c>
      <c r="M90" s="8" t="n">
        <f aca="false">M89+L90</f>
        <v>86.8</v>
      </c>
      <c r="N90" s="8" t="n">
        <v>-0.8</v>
      </c>
      <c r="O90" s="8" t="n">
        <f aca="false">O89+N90</f>
        <v>125.2</v>
      </c>
      <c r="P90" s="8" t="n">
        <v>50</v>
      </c>
      <c r="Q90" s="8" t="n">
        <f aca="false">0.35+((P90-9)/121)*(1-0.35)</f>
        <v>0.570247933884298</v>
      </c>
      <c r="R90" s="12" t="n">
        <f aca="false">Q90*L90</f>
        <v>0.456198347107438</v>
      </c>
      <c r="S90" s="12" t="n">
        <f aca="false">J90-R90</f>
        <v>-0.456198347107438</v>
      </c>
      <c r="T90" s="12" t="n">
        <f aca="false">MIN(197.4,T89+S90)</f>
        <v>150.87847107438</v>
      </c>
      <c r="V90" s="8" t="n">
        <v>287.9</v>
      </c>
      <c r="X90" s="8" t="n">
        <f aca="false">X89+V90</f>
        <v>41217.6</v>
      </c>
      <c r="AA90" s="8" t="n">
        <v>10.4295520324442</v>
      </c>
    </row>
    <row r="91" s="8" customFormat="true" ht="15" hidden="false" customHeight="false" outlineLevel="0" collapsed="false">
      <c r="A91" s="14"/>
      <c r="B91" s="15"/>
      <c r="C91" s="16" t="n">
        <v>41207</v>
      </c>
      <c r="D91" s="8" t="n">
        <v>11.3</v>
      </c>
      <c r="E91" s="8" t="n">
        <v>11</v>
      </c>
      <c r="F91" s="8" t="n">
        <v>11.6</v>
      </c>
      <c r="G91" s="8" t="n">
        <f aca="false">G90+D91</f>
        <v>711.6</v>
      </c>
      <c r="J91" s="8" t="n">
        <v>0</v>
      </c>
      <c r="K91" s="8" t="n">
        <f aca="false">J91+K90</f>
        <v>179.9</v>
      </c>
      <c r="L91" s="8" t="n">
        <v>0.7</v>
      </c>
      <c r="M91" s="8" t="n">
        <f aca="false">M90+L91</f>
        <v>87.5</v>
      </c>
      <c r="N91" s="8" t="n">
        <v>-0.7</v>
      </c>
      <c r="O91" s="8" t="n">
        <f aca="false">O90+N91</f>
        <v>124.5</v>
      </c>
      <c r="P91" s="8" t="n">
        <v>51</v>
      </c>
      <c r="Q91" s="8" t="n">
        <f aca="false">0.35+((P91-9)/121)*(1-0.35)</f>
        <v>0.575619834710744</v>
      </c>
      <c r="R91" s="12" t="n">
        <f aca="false">Q91*L91</f>
        <v>0.402933884297521</v>
      </c>
      <c r="S91" s="12" t="n">
        <f aca="false">J91-R91</f>
        <v>-0.402933884297521</v>
      </c>
      <c r="T91" s="12" t="n">
        <f aca="false">MIN(197.4,T90+S91)</f>
        <v>150.475537190083</v>
      </c>
      <c r="V91" s="8" t="n">
        <v>377.8</v>
      </c>
      <c r="X91" s="8" t="n">
        <f aca="false">X90+V91</f>
        <v>41595.4</v>
      </c>
      <c r="AA91" s="8" t="n">
        <v>10.374442774453</v>
      </c>
    </row>
    <row r="92" s="8" customFormat="true" ht="15" hidden="false" customHeight="false" outlineLevel="0" collapsed="false">
      <c r="A92" s="14"/>
      <c r="B92" s="15"/>
      <c r="C92" s="16" t="n">
        <v>41208</v>
      </c>
      <c r="D92" s="8" t="n">
        <v>11</v>
      </c>
      <c r="E92" s="8" t="n">
        <v>10</v>
      </c>
      <c r="F92" s="8" t="n">
        <v>13.4</v>
      </c>
      <c r="G92" s="8" t="n">
        <f aca="false">G91+D92</f>
        <v>722.6</v>
      </c>
      <c r="J92" s="8" t="n">
        <v>0</v>
      </c>
      <c r="K92" s="8" t="n">
        <f aca="false">J92+K91</f>
        <v>179.9</v>
      </c>
      <c r="L92" s="8" t="n">
        <v>1</v>
      </c>
      <c r="M92" s="8" t="n">
        <f aca="false">M91+L92</f>
        <v>88.5</v>
      </c>
      <c r="N92" s="8" t="n">
        <v>-1</v>
      </c>
      <c r="O92" s="8" t="n">
        <f aca="false">O91+N92</f>
        <v>123.5</v>
      </c>
      <c r="P92" s="8" t="n">
        <v>52</v>
      </c>
      <c r="Q92" s="8" t="n">
        <f aca="false">0.35+((P92-9)/121)*(1-0.35)</f>
        <v>0.58099173553719</v>
      </c>
      <c r="R92" s="12" t="n">
        <f aca="false">Q92*L92</f>
        <v>0.58099173553719</v>
      </c>
      <c r="S92" s="12" t="n">
        <f aca="false">J92-R92</f>
        <v>-0.58099173553719</v>
      </c>
      <c r="T92" s="12" t="n">
        <f aca="false">MIN(197.4,T91+S92)</f>
        <v>149.894545454546</v>
      </c>
      <c r="V92" s="8" t="n">
        <v>200.7</v>
      </c>
      <c r="X92" s="8" t="n">
        <f aca="false">X91+V92</f>
        <v>41796.1</v>
      </c>
      <c r="AA92" s="8" t="n">
        <v>10.3195890715385</v>
      </c>
    </row>
    <row r="93" s="8" customFormat="true" ht="15" hidden="false" customHeight="false" outlineLevel="0" collapsed="false">
      <c r="A93" s="14"/>
      <c r="B93" s="15"/>
      <c r="C93" s="16" t="n">
        <v>41209</v>
      </c>
      <c r="D93" s="8" t="n">
        <v>6.9</v>
      </c>
      <c r="E93" s="8" t="n">
        <v>5.4</v>
      </c>
      <c r="F93" s="8" t="n">
        <v>9.1</v>
      </c>
      <c r="G93" s="8" t="n">
        <f aca="false">G92+D93</f>
        <v>729.5</v>
      </c>
      <c r="J93" s="8" t="n">
        <v>0</v>
      </c>
      <c r="K93" s="8" t="n">
        <f aca="false">J93+K92</f>
        <v>179.9</v>
      </c>
      <c r="L93" s="8" t="n">
        <v>1.8</v>
      </c>
      <c r="M93" s="8" t="n">
        <f aca="false">M92+L93</f>
        <v>90.3</v>
      </c>
      <c r="N93" s="8" t="n">
        <v>-1.8</v>
      </c>
      <c r="O93" s="8" t="n">
        <f aca="false">O92+N93</f>
        <v>121.7</v>
      </c>
      <c r="P93" s="8" t="n">
        <v>53</v>
      </c>
      <c r="Q93" s="8" t="n">
        <f aca="false">0.35+((P93-9)/121)*(1-0.35)</f>
        <v>0.586363636363636</v>
      </c>
      <c r="R93" s="12" t="n">
        <f aca="false">Q93*L93</f>
        <v>1.05545454545455</v>
      </c>
      <c r="S93" s="12" t="n">
        <f aca="false">J93-R93</f>
        <v>-1.05545454545455</v>
      </c>
      <c r="T93" s="12" t="n">
        <f aca="false">MIN(197.4,T92+S93)</f>
        <v>148.839090909091</v>
      </c>
      <c r="V93" s="8" t="n">
        <v>702.5</v>
      </c>
      <c r="X93" s="8" t="n">
        <f aca="false">X92+V93</f>
        <v>42498.6</v>
      </c>
      <c r="AA93" s="8" t="n">
        <v>10.2650059592547</v>
      </c>
    </row>
    <row r="94" s="8" customFormat="true" ht="15" hidden="false" customHeight="false" outlineLevel="0" collapsed="false">
      <c r="A94" s="14"/>
      <c r="B94" s="15"/>
      <c r="C94" s="16" t="n">
        <v>41210</v>
      </c>
      <c r="D94" s="8" t="n">
        <v>6.7</v>
      </c>
      <c r="E94" s="8" t="n">
        <v>2.2</v>
      </c>
      <c r="F94" s="8" t="n">
        <v>10.6</v>
      </c>
      <c r="G94" s="8" t="n">
        <f aca="false">G93+D94</f>
        <v>736.2</v>
      </c>
      <c r="J94" s="8" t="n">
        <v>0</v>
      </c>
      <c r="K94" s="8" t="n">
        <f aca="false">J94+K93</f>
        <v>179.9</v>
      </c>
      <c r="L94" s="8" t="n">
        <v>1.1</v>
      </c>
      <c r="M94" s="8" t="n">
        <f aca="false">M93+L94</f>
        <v>91.4</v>
      </c>
      <c r="N94" s="8" t="n">
        <v>-1.1</v>
      </c>
      <c r="O94" s="8" t="n">
        <f aca="false">O93+N94</f>
        <v>120.6</v>
      </c>
      <c r="P94" s="8" t="n">
        <v>54</v>
      </c>
      <c r="Q94" s="8" t="n">
        <f aca="false">0.35+((P94-9)/121)*(1-0.35)</f>
        <v>0.591735537190083</v>
      </c>
      <c r="R94" s="12" t="n">
        <f aca="false">Q94*L94</f>
        <v>0.650909090909091</v>
      </c>
      <c r="S94" s="12" t="n">
        <f aca="false">J94-R94</f>
        <v>-0.650909090909091</v>
      </c>
      <c r="T94" s="12" t="n">
        <f aca="false">MIN(197.4,T93+S94)</f>
        <v>148.188181818182</v>
      </c>
      <c r="V94" s="8" t="n">
        <v>762.9</v>
      </c>
      <c r="X94" s="8" t="n">
        <f aca="false">X93+V94</f>
        <v>43261.5</v>
      </c>
      <c r="AA94" s="8" t="n">
        <v>10.2107090542644</v>
      </c>
    </row>
    <row r="95" s="8" customFormat="true" ht="15" hidden="false" customHeight="false" outlineLevel="0" collapsed="false">
      <c r="A95" s="14"/>
      <c r="B95" s="15"/>
      <c r="C95" s="16" t="n">
        <v>41211</v>
      </c>
      <c r="D95" s="8" t="n">
        <v>7.6</v>
      </c>
      <c r="E95" s="8" t="n">
        <v>5</v>
      </c>
      <c r="F95" s="8" t="n">
        <v>12.4</v>
      </c>
      <c r="G95" s="8" t="n">
        <f aca="false">G94+D95</f>
        <v>743.8</v>
      </c>
      <c r="J95" s="8" t="n">
        <v>0.1</v>
      </c>
      <c r="K95" s="8" t="n">
        <f aca="false">J95+K94</f>
        <v>180</v>
      </c>
      <c r="L95" s="8" t="n">
        <v>1.1</v>
      </c>
      <c r="M95" s="8" t="n">
        <f aca="false">M94+L95</f>
        <v>92.5</v>
      </c>
      <c r="N95" s="8" t="n">
        <v>-1</v>
      </c>
      <c r="O95" s="8" t="n">
        <f aca="false">O94+N95</f>
        <v>119.6</v>
      </c>
      <c r="P95" s="8" t="n">
        <v>55</v>
      </c>
      <c r="Q95" s="8" t="n">
        <f aca="false">0.35+((P95-9)/121)*(1-0.35)</f>
        <v>0.597107438016529</v>
      </c>
      <c r="R95" s="12" t="n">
        <f aca="false">Q95*L95</f>
        <v>0.656818181818182</v>
      </c>
      <c r="S95" s="12" t="n">
        <f aca="false">J95-R95</f>
        <v>-0.556818181818182</v>
      </c>
      <c r="T95" s="12" t="n">
        <f aca="false">MIN(197.4,T94+S95)</f>
        <v>147.631363636364</v>
      </c>
      <c r="V95" s="8" t="n">
        <v>723.9</v>
      </c>
      <c r="X95" s="8" t="n">
        <f aca="false">X94+V95</f>
        <v>43985.4</v>
      </c>
      <c r="AA95" s="8" t="n">
        <v>10.1567145673041</v>
      </c>
    </row>
    <row r="96" s="8" customFormat="true" ht="15" hidden="false" customHeight="false" outlineLevel="0" collapsed="false">
      <c r="A96" s="14"/>
      <c r="B96" s="15"/>
      <c r="C96" s="16" t="n">
        <v>41212</v>
      </c>
      <c r="D96" s="8" t="n">
        <v>7.7</v>
      </c>
      <c r="E96" s="8" t="n">
        <v>3.4</v>
      </c>
      <c r="F96" s="8" t="n">
        <v>13.8</v>
      </c>
      <c r="G96" s="8" t="n">
        <f aca="false">G95+D96</f>
        <v>751.5</v>
      </c>
      <c r="J96" s="8" t="n">
        <v>0</v>
      </c>
      <c r="K96" s="8" t="n">
        <f aca="false">J96+K95</f>
        <v>180</v>
      </c>
      <c r="L96" s="8" t="n">
        <v>0.7</v>
      </c>
      <c r="M96" s="8" t="n">
        <f aca="false">M95+L96</f>
        <v>93.2</v>
      </c>
      <c r="N96" s="8" t="n">
        <v>-0.7</v>
      </c>
      <c r="O96" s="8" t="n">
        <f aca="false">O95+N96</f>
        <v>118.9</v>
      </c>
      <c r="P96" s="8" t="n">
        <v>56</v>
      </c>
      <c r="Q96" s="8" t="n">
        <f aca="false">0.35+((P96-9)/121)*(1-0.35)</f>
        <v>0.602479338842975</v>
      </c>
      <c r="R96" s="12" t="n">
        <f aca="false">Q96*L96</f>
        <v>0.421735537190083</v>
      </c>
      <c r="S96" s="12" t="n">
        <f aca="false">J96-R96</f>
        <v>-0.421735537190083</v>
      </c>
      <c r="T96" s="12" t="n">
        <f aca="false">MIN(197.4,T95+S96)</f>
        <v>147.209628099174</v>
      </c>
      <c r="V96" s="8" t="n">
        <v>523.1</v>
      </c>
      <c r="X96" s="8" t="n">
        <f aca="false">X95+V96</f>
        <v>44508.5</v>
      </c>
      <c r="AA96" s="8" t="n">
        <v>10.1030393151739</v>
      </c>
    </row>
    <row r="97" s="8" customFormat="true" ht="15" hidden="false" customHeight="false" outlineLevel="0" collapsed="false">
      <c r="A97" s="14"/>
      <c r="B97" s="15"/>
      <c r="C97" s="16" t="n">
        <v>41213</v>
      </c>
      <c r="D97" s="8" t="n">
        <v>8.5</v>
      </c>
      <c r="E97" s="8" t="n">
        <v>2</v>
      </c>
      <c r="F97" s="8" t="n">
        <v>14.3</v>
      </c>
      <c r="G97" s="8" t="n">
        <f aca="false">G96+D97</f>
        <v>760</v>
      </c>
      <c r="J97" s="8" t="n">
        <v>6.3</v>
      </c>
      <c r="K97" s="8" t="n">
        <f aca="false">J97+K96</f>
        <v>186.3</v>
      </c>
      <c r="L97" s="8" t="n">
        <v>1.4</v>
      </c>
      <c r="M97" s="8" t="n">
        <f aca="false">M96+L97</f>
        <v>94.6</v>
      </c>
      <c r="N97" s="8" t="n">
        <v>4.9</v>
      </c>
      <c r="O97" s="8" t="n">
        <f aca="false">O96+N97</f>
        <v>123.8</v>
      </c>
      <c r="P97" s="8" t="n">
        <v>57</v>
      </c>
      <c r="Q97" s="8" t="n">
        <f aca="false">0.35+((P97-9)/121)*(1-0.35)</f>
        <v>0.607851239669422</v>
      </c>
      <c r="R97" s="12" t="n">
        <f aca="false">Q97*L97</f>
        <v>0.85099173553719</v>
      </c>
      <c r="S97" s="12" t="n">
        <f aca="false">J97-R97</f>
        <v>5.44900826446281</v>
      </c>
      <c r="T97" s="12" t="n">
        <f aca="false">MIN(197.4,T96+S97)</f>
        <v>152.658636363636</v>
      </c>
      <c r="V97" s="8" t="n">
        <v>773.5</v>
      </c>
      <c r="X97" s="8" t="n">
        <f aca="false">X96+V97</f>
        <v>45282</v>
      </c>
      <c r="AA97" s="8" t="n">
        <v>10.0497007316379</v>
      </c>
    </row>
    <row r="98" s="8" customFormat="true" ht="15" hidden="false" customHeight="false" outlineLevel="0" collapsed="false">
      <c r="A98" s="14"/>
      <c r="B98" s="15"/>
      <c r="C98" s="16" t="n">
        <v>41214</v>
      </c>
      <c r="D98" s="8" t="n">
        <v>8.3</v>
      </c>
      <c r="E98" s="8" t="n">
        <v>6.7</v>
      </c>
      <c r="F98" s="8" t="n">
        <v>11.5</v>
      </c>
      <c r="G98" s="8" t="n">
        <f aca="false">G97+D98</f>
        <v>768.3</v>
      </c>
      <c r="J98" s="8" t="n">
        <v>1.1</v>
      </c>
      <c r="K98" s="8" t="n">
        <f aca="false">J98+K97</f>
        <v>187.4</v>
      </c>
      <c r="L98" s="8" t="n">
        <v>1.2</v>
      </c>
      <c r="M98" s="8" t="n">
        <f aca="false">M97+L98</f>
        <v>95.8</v>
      </c>
      <c r="N98" s="8" t="n">
        <v>-0.0999999999999999</v>
      </c>
      <c r="O98" s="8" t="n">
        <f aca="false">O97+N98</f>
        <v>123.7</v>
      </c>
      <c r="P98" s="8" t="n">
        <v>58</v>
      </c>
      <c r="Q98" s="8" t="n">
        <f aca="false">0.35+((P98-9)/121)*(1-0.35)</f>
        <v>0.613223140495868</v>
      </c>
      <c r="R98" s="12" t="n">
        <f aca="false">Q98*L98</f>
        <v>0.735867768595041</v>
      </c>
      <c r="S98" s="12" t="n">
        <f aca="false">J98-R98</f>
        <v>0.364132231404959</v>
      </c>
      <c r="T98" s="12" t="n">
        <f aca="false">MIN(197.4,T97+S98)</f>
        <v>153.022768595041</v>
      </c>
      <c r="V98" s="8" t="n">
        <v>578.6</v>
      </c>
      <c r="X98" s="8" t="n">
        <f aca="false">X97+V98</f>
        <v>45860.6</v>
      </c>
      <c r="AA98" s="8" t="n">
        <v>9.99671687711698</v>
      </c>
    </row>
    <row r="99" s="8" customFormat="true" ht="15" hidden="false" customHeight="false" outlineLevel="0" collapsed="false">
      <c r="A99" s="14"/>
      <c r="B99" s="15"/>
      <c r="C99" s="16" t="n">
        <v>41215</v>
      </c>
      <c r="D99" s="8" t="n">
        <v>8.3</v>
      </c>
      <c r="E99" s="8" t="n">
        <v>4.6</v>
      </c>
      <c r="F99" s="8" t="n">
        <v>10.9</v>
      </c>
      <c r="G99" s="8" t="n">
        <f aca="false">G98+D99</f>
        <v>776.6</v>
      </c>
      <c r="J99" s="8" t="n">
        <v>7.6</v>
      </c>
      <c r="K99" s="8" t="n">
        <f aca="false">J99+K98</f>
        <v>195</v>
      </c>
      <c r="L99" s="8" t="n">
        <v>0.6</v>
      </c>
      <c r="M99" s="8" t="n">
        <f aca="false">M98+L99</f>
        <v>96.4</v>
      </c>
      <c r="N99" s="8" t="n">
        <v>7</v>
      </c>
      <c r="O99" s="8" t="n">
        <f aca="false">O98+N99</f>
        <v>130.7</v>
      </c>
      <c r="P99" s="8" t="n">
        <v>59</v>
      </c>
      <c r="Q99" s="8" t="n">
        <f aca="false">0.35+((P99-9)/121)*(1-0.35)</f>
        <v>0.618595041322314</v>
      </c>
      <c r="R99" s="12" t="n">
        <f aca="false">Q99*L99</f>
        <v>0.371157024793388</v>
      </c>
      <c r="S99" s="12" t="n">
        <f aca="false">J99-R99</f>
        <v>7.22884297520661</v>
      </c>
      <c r="T99" s="12" t="n">
        <f aca="false">MIN(197.4,T98+S99)</f>
        <v>160.251611570248</v>
      </c>
      <c r="V99" s="8" t="n">
        <v>501.9</v>
      </c>
      <c r="X99" s="8" t="n">
        <f aca="false">X98+V99</f>
        <v>46362.5</v>
      </c>
      <c r="AA99" s="8" t="n">
        <v>9.94410644704571</v>
      </c>
    </row>
    <row r="100" s="8" customFormat="true" ht="15" hidden="false" customHeight="false" outlineLevel="0" collapsed="false">
      <c r="A100" s="14"/>
      <c r="B100" s="15"/>
      <c r="C100" s="16" t="n">
        <v>41216</v>
      </c>
      <c r="D100" s="8" t="n">
        <v>9</v>
      </c>
      <c r="E100" s="8" t="n">
        <v>7.7</v>
      </c>
      <c r="F100" s="8" t="n">
        <v>12.7</v>
      </c>
      <c r="G100" s="8" t="n">
        <f aca="false">G99+D100</f>
        <v>785.6</v>
      </c>
      <c r="J100" s="8" t="n">
        <v>6.2</v>
      </c>
      <c r="K100" s="8" t="n">
        <f aca="false">J100+K99</f>
        <v>201.2</v>
      </c>
      <c r="L100" s="8" t="n">
        <v>1.6</v>
      </c>
      <c r="M100" s="8" t="n">
        <f aca="false">M99+L100</f>
        <v>98</v>
      </c>
      <c r="N100" s="8" t="n">
        <v>4.6</v>
      </c>
      <c r="O100" s="8" t="n">
        <f aca="false">O99+N100</f>
        <v>135.3</v>
      </c>
      <c r="P100" s="8" t="n">
        <v>60</v>
      </c>
      <c r="Q100" s="8" t="n">
        <f aca="false">0.35+((P100-9)/121)*(1-0.35)</f>
        <v>0.62396694214876</v>
      </c>
      <c r="R100" s="12" t="n">
        <f aca="false">Q100*L100</f>
        <v>0.998347107438017</v>
      </c>
      <c r="S100" s="12" t="n">
        <f aca="false">J100-R100</f>
        <v>5.20165289256198</v>
      </c>
      <c r="T100" s="12" t="n">
        <f aca="false">MIN(197.4,T99+S100)</f>
        <v>165.45326446281</v>
      </c>
      <c r="V100" s="8" t="n">
        <v>805.5</v>
      </c>
      <c r="X100" s="8" t="n">
        <f aca="false">X99+V100</f>
        <v>47168</v>
      </c>
      <c r="AA100" s="8" t="n">
        <v>9.8918887787625</v>
      </c>
    </row>
    <row r="101" s="8" customFormat="true" ht="15" hidden="false" customHeight="false" outlineLevel="0" collapsed="false">
      <c r="A101" s="14"/>
      <c r="B101" s="15"/>
      <c r="C101" s="16" t="n">
        <v>41217</v>
      </c>
      <c r="D101" s="8" t="n">
        <v>9</v>
      </c>
      <c r="E101" s="8" t="n">
        <v>5.4</v>
      </c>
      <c r="F101" s="8" t="n">
        <v>13.1</v>
      </c>
      <c r="G101" s="8" t="n">
        <f aca="false">G100+D101</f>
        <v>794.6</v>
      </c>
      <c r="J101" s="8" t="n">
        <v>2</v>
      </c>
      <c r="K101" s="8" t="n">
        <f aca="false">J101+K100</f>
        <v>203.2</v>
      </c>
      <c r="L101" s="8" t="n">
        <v>1.5</v>
      </c>
      <c r="M101" s="8" t="n">
        <f aca="false">M100+L101</f>
        <v>99.5</v>
      </c>
      <c r="N101" s="8" t="n">
        <v>0.5</v>
      </c>
      <c r="O101" s="8" t="n">
        <f aca="false">O100+N101</f>
        <v>135.8</v>
      </c>
      <c r="P101" s="8" t="n">
        <v>61</v>
      </c>
      <c r="Q101" s="8" t="n">
        <f aca="false">0.35+((P101-9)/121)*(1-0.35)</f>
        <v>0.629338842975207</v>
      </c>
      <c r="R101" s="12" t="n">
        <f aca="false">Q101*L101</f>
        <v>0.94400826446281</v>
      </c>
      <c r="S101" s="12" t="n">
        <f aca="false">J101-R101</f>
        <v>1.05599173553719</v>
      </c>
      <c r="T101" s="12" t="n">
        <f aca="false">MIN(197.4,T100+S101)</f>
        <v>166.509256198347</v>
      </c>
      <c r="V101" s="8" t="n">
        <v>868.9</v>
      </c>
      <c r="X101" s="8" t="n">
        <f aca="false">X100+V101</f>
        <v>48036.9</v>
      </c>
      <c r="AA101" s="8" t="n">
        <v>9.84008385679402</v>
      </c>
    </row>
    <row r="102" s="8" customFormat="true" ht="15" hidden="false" customHeight="false" outlineLevel="0" collapsed="false">
      <c r="A102" s="14"/>
      <c r="B102" s="15"/>
      <c r="C102" s="16" t="n">
        <v>41218</v>
      </c>
      <c r="D102" s="8" t="n">
        <v>8</v>
      </c>
      <c r="E102" s="8" t="n">
        <v>5.6</v>
      </c>
      <c r="F102" s="8" t="n">
        <v>12.9</v>
      </c>
      <c r="G102" s="8" t="n">
        <f aca="false">G101+D102</f>
        <v>802.6</v>
      </c>
      <c r="J102" s="8" t="n">
        <v>4.6</v>
      </c>
      <c r="K102" s="8" t="n">
        <f aca="false">J102+K101</f>
        <v>207.8</v>
      </c>
      <c r="L102" s="8" t="n">
        <v>1.1</v>
      </c>
      <c r="M102" s="8" t="n">
        <f aca="false">M101+L102</f>
        <v>100.6</v>
      </c>
      <c r="N102" s="8" t="n">
        <v>3.5</v>
      </c>
      <c r="O102" s="8" t="n">
        <f aca="false">O101+N102</f>
        <v>139.3</v>
      </c>
      <c r="P102" s="8" t="n">
        <v>62</v>
      </c>
      <c r="Q102" s="8" t="n">
        <f aca="false">0.35+((P102-9)/121)*(1-0.35)</f>
        <v>0.634710743801653</v>
      </c>
      <c r="R102" s="12" t="n">
        <f aca="false">Q102*L102</f>
        <v>0.698181818181818</v>
      </c>
      <c r="S102" s="12" t="n">
        <f aca="false">J102-R102</f>
        <v>3.90181818181818</v>
      </c>
      <c r="T102" s="12" t="n">
        <f aca="false">MIN(197.4,T101+S102)</f>
        <v>170.411074380165</v>
      </c>
      <c r="V102" s="8" t="n">
        <v>475.5</v>
      </c>
      <c r="X102" s="8" t="n">
        <f aca="false">X101+V102</f>
        <v>48512.4</v>
      </c>
      <c r="AA102" s="8" t="n">
        <v>9.78871231639063</v>
      </c>
    </row>
    <row r="103" s="8" customFormat="true" ht="15" hidden="false" customHeight="false" outlineLevel="0" collapsed="false">
      <c r="A103" s="14"/>
      <c r="B103" s="15"/>
      <c r="C103" s="16" t="n">
        <v>41219</v>
      </c>
      <c r="D103" s="8" t="n">
        <v>6.8</v>
      </c>
      <c r="E103" s="8" t="n">
        <v>3.3</v>
      </c>
      <c r="F103" s="8" t="n">
        <v>11.3</v>
      </c>
      <c r="G103" s="8" t="n">
        <f aca="false">G102+D103</f>
        <v>809.4</v>
      </c>
      <c r="J103" s="8" t="n">
        <v>0</v>
      </c>
      <c r="K103" s="8" t="n">
        <f aca="false">J103+K102</f>
        <v>207.8</v>
      </c>
      <c r="L103" s="8" t="n">
        <v>1.2</v>
      </c>
      <c r="M103" s="8" t="n">
        <f aca="false">M102+L103</f>
        <v>101.8</v>
      </c>
      <c r="N103" s="8" t="n">
        <v>-1.2</v>
      </c>
      <c r="O103" s="8" t="n">
        <f aca="false">O102+N103</f>
        <v>138.1</v>
      </c>
      <c r="P103" s="8" t="n">
        <v>63</v>
      </c>
      <c r="Q103" s="8" t="n">
        <f aca="false">0.35+((P103-9)/121)*(1-0.35)</f>
        <v>0.640082644628099</v>
      </c>
      <c r="R103" s="12" t="n">
        <f aca="false">Q103*L103</f>
        <v>0.768099173553719</v>
      </c>
      <c r="S103" s="12" t="n">
        <f aca="false">J103-R103</f>
        <v>-0.768099173553719</v>
      </c>
      <c r="T103" s="12" t="n">
        <f aca="false">MIN(197.4,T102+S103)</f>
        <v>169.642975206612</v>
      </c>
      <c r="V103" s="8" t="n">
        <v>855.2</v>
      </c>
      <c r="X103" s="8" t="n">
        <f aca="false">X102+V103</f>
        <v>49367.6</v>
      </c>
      <c r="AA103" s="8" t="n">
        <v>9.73779544516454</v>
      </c>
    </row>
    <row r="104" s="8" customFormat="true" ht="15" hidden="false" customHeight="false" outlineLevel="0" collapsed="false">
      <c r="A104" s="14"/>
      <c r="B104" s="15"/>
      <c r="C104" s="16" t="n">
        <v>41220</v>
      </c>
      <c r="D104" s="8" t="n">
        <v>8.9</v>
      </c>
      <c r="E104" s="8" t="n">
        <v>5.8</v>
      </c>
      <c r="F104" s="8" t="n">
        <v>12</v>
      </c>
      <c r="G104" s="8" t="n">
        <f aca="false">G103+D104</f>
        <v>818.3</v>
      </c>
      <c r="J104" s="8" t="n">
        <v>0</v>
      </c>
      <c r="K104" s="8" t="n">
        <f aca="false">J104+K103</f>
        <v>207.8</v>
      </c>
      <c r="L104" s="8" t="n">
        <v>0.7</v>
      </c>
      <c r="M104" s="8" t="n">
        <f aca="false">M103+L104</f>
        <v>102.5</v>
      </c>
      <c r="N104" s="8" t="n">
        <v>-0.7</v>
      </c>
      <c r="O104" s="8" t="n">
        <f aca="false">O103+N104</f>
        <v>137.4</v>
      </c>
      <c r="P104" s="8" t="n">
        <v>64</v>
      </c>
      <c r="Q104" s="8" t="n">
        <f aca="false">0.35+((P104-9)/121)*(1-0.35)</f>
        <v>0.645454545454546</v>
      </c>
      <c r="R104" s="12" t="n">
        <f aca="false">Q104*L104</f>
        <v>0.451818181818182</v>
      </c>
      <c r="S104" s="12" t="n">
        <f aca="false">J104-R104</f>
        <v>-0.451818181818182</v>
      </c>
      <c r="T104" s="12" t="n">
        <f aca="false">MIN(197.4,T103+S104)</f>
        <v>169.191157024793</v>
      </c>
      <c r="V104" s="8" t="n">
        <v>262.4</v>
      </c>
      <c r="X104" s="8" t="n">
        <f aca="false">X103+V104</f>
        <v>49630</v>
      </c>
      <c r="AA104" s="8" t="n">
        <v>9.68735518267798</v>
      </c>
    </row>
    <row r="105" s="8" customFormat="true" ht="15" hidden="false" customHeight="false" outlineLevel="0" collapsed="false">
      <c r="A105" s="14"/>
      <c r="B105" s="15"/>
      <c r="C105" s="16" t="n">
        <v>41221</v>
      </c>
      <c r="D105" s="8" t="n">
        <v>6.4</v>
      </c>
      <c r="E105" s="8" t="n">
        <v>5.3</v>
      </c>
      <c r="F105" s="8" t="n">
        <v>11</v>
      </c>
      <c r="G105" s="8" t="n">
        <f aca="false">G104+D105</f>
        <v>824.7</v>
      </c>
      <c r="J105" s="8" t="n">
        <v>0</v>
      </c>
      <c r="K105" s="8" t="n">
        <f aca="false">J105+K104</f>
        <v>207.8</v>
      </c>
      <c r="L105" s="8" t="n">
        <v>1.2</v>
      </c>
      <c r="M105" s="8" t="n">
        <f aca="false">M104+L105</f>
        <v>103.7</v>
      </c>
      <c r="N105" s="8" t="n">
        <v>-1.2</v>
      </c>
      <c r="O105" s="8" t="n">
        <f aca="false">O104+N105</f>
        <v>136.2</v>
      </c>
      <c r="P105" s="8" t="n">
        <v>65</v>
      </c>
      <c r="Q105" s="8" t="n">
        <f aca="false">0.35+((P105-9)/121)*(1-0.35)</f>
        <v>0.650826446280992</v>
      </c>
      <c r="R105" s="12" t="n">
        <f aca="false">Q105*L105</f>
        <v>0.78099173553719</v>
      </c>
      <c r="S105" s="12" t="n">
        <f aca="false">J105-R105</f>
        <v>-0.78099173553719</v>
      </c>
      <c r="T105" s="12" t="n">
        <f aca="false">MIN(197.4,T104+S105)</f>
        <v>168.410165289256</v>
      </c>
      <c r="V105" s="8" t="n">
        <v>769.2</v>
      </c>
      <c r="X105" s="8" t="n">
        <f aca="false">X104+V105</f>
        <v>50399.2</v>
      </c>
      <c r="AA105" s="8" t="n">
        <v>9.63741411782551</v>
      </c>
    </row>
    <row r="106" s="8" customFormat="true" ht="15" hidden="false" customHeight="false" outlineLevel="0" collapsed="false">
      <c r="A106" s="14"/>
      <c r="B106" s="15"/>
      <c r="C106" s="16" t="n">
        <v>41222</v>
      </c>
      <c r="D106" s="8" t="n">
        <v>5</v>
      </c>
      <c r="E106" s="8" t="n">
        <v>0</v>
      </c>
      <c r="F106" s="8" t="n">
        <v>9.1</v>
      </c>
      <c r="G106" s="8" t="n">
        <f aca="false">G105+D106</f>
        <v>829.7</v>
      </c>
      <c r="J106" s="8" t="n">
        <v>4.3</v>
      </c>
      <c r="K106" s="8" t="n">
        <f aca="false">J106+K105</f>
        <v>212.1</v>
      </c>
      <c r="L106" s="8" t="n">
        <v>0.3</v>
      </c>
      <c r="M106" s="8" t="n">
        <f aca="false">M105+L106</f>
        <v>104</v>
      </c>
      <c r="N106" s="8" t="n">
        <v>4</v>
      </c>
      <c r="O106" s="8" t="n">
        <f aca="false">O105+N106</f>
        <v>140.2</v>
      </c>
      <c r="P106" s="8" t="n">
        <v>66</v>
      </c>
      <c r="Q106" s="8" t="n">
        <f aca="false">0.35+((P106-9)/121)*(1-0.35)</f>
        <v>0.656198347107438</v>
      </c>
      <c r="R106" s="12" t="n">
        <f aca="false">Q106*L106</f>
        <v>0.196859504132231</v>
      </c>
      <c r="S106" s="12" t="n">
        <f aca="false">J106-R106</f>
        <v>4.10314049586777</v>
      </c>
      <c r="T106" s="12" t="n">
        <f aca="false">MIN(197.4,T105+S106)</f>
        <v>172.513305785124</v>
      </c>
      <c r="V106" s="8" t="n">
        <v>133.9</v>
      </c>
      <c r="X106" s="8" t="n">
        <f aca="false">X105+V106</f>
        <v>50533.1</v>
      </c>
      <c r="AA106" s="8" t="n">
        <v>9.58799548385225</v>
      </c>
    </row>
    <row r="107" s="8" customFormat="true" ht="15" hidden="false" customHeight="false" outlineLevel="0" collapsed="false">
      <c r="A107" s="14"/>
      <c r="B107" s="15"/>
      <c r="C107" s="16" t="n">
        <v>41223</v>
      </c>
      <c r="D107" s="8" t="n">
        <v>7.6</v>
      </c>
      <c r="E107" s="8" t="n">
        <v>6.4</v>
      </c>
      <c r="F107" s="8" t="n">
        <v>10</v>
      </c>
      <c r="G107" s="8" t="n">
        <f aca="false">G106+D107</f>
        <v>837.3</v>
      </c>
      <c r="J107" s="8" t="n">
        <v>3</v>
      </c>
      <c r="K107" s="8" t="n">
        <f aca="false">J107+K106</f>
        <v>215.1</v>
      </c>
      <c r="L107" s="8" t="n">
        <v>0.6</v>
      </c>
      <c r="M107" s="8" t="n">
        <f aca="false">M106+L107</f>
        <v>104.6</v>
      </c>
      <c r="N107" s="8" t="n">
        <v>2.4</v>
      </c>
      <c r="O107" s="8" t="n">
        <f aca="false">O106+N107</f>
        <v>142.6</v>
      </c>
      <c r="P107" s="8" t="n">
        <v>67</v>
      </c>
      <c r="Q107" s="8" t="n">
        <f aca="false">0.35+((P107-9)/121)*(1-0.35)</f>
        <v>0.661570247933884</v>
      </c>
      <c r="R107" s="12" t="n">
        <f aca="false">Q107*L107</f>
        <v>0.396942148760331</v>
      </c>
      <c r="S107" s="12" t="n">
        <f aca="false">J107-R107</f>
        <v>2.60305785123967</v>
      </c>
      <c r="T107" s="12" t="n">
        <f aca="false">MIN(197.4,T106+S107)</f>
        <v>175.116363636364</v>
      </c>
      <c r="V107" s="8" t="n">
        <v>420.7</v>
      </c>
      <c r="X107" s="8" t="n">
        <f aca="false">X106+V107</f>
        <v>50953.8</v>
      </c>
      <c r="AA107" s="8" t="n">
        <v>9.53912315084801</v>
      </c>
    </row>
    <row r="108" s="8" customFormat="true" ht="15" hidden="false" customHeight="false" outlineLevel="0" collapsed="false">
      <c r="A108" s="14"/>
      <c r="B108" s="15"/>
      <c r="C108" s="16" t="n">
        <v>41224</v>
      </c>
      <c r="D108" s="8" t="n">
        <v>5.8</v>
      </c>
      <c r="E108" s="8" t="n">
        <v>0.9</v>
      </c>
      <c r="F108" s="8" t="n">
        <v>10.7</v>
      </c>
      <c r="G108" s="8" t="n">
        <f aca="false">G107+D108</f>
        <v>843.1</v>
      </c>
      <c r="J108" s="8" t="n">
        <v>0.2</v>
      </c>
      <c r="K108" s="8" t="n">
        <f aca="false">J108+K107</f>
        <v>215.3</v>
      </c>
      <c r="L108" s="8" t="n">
        <v>1</v>
      </c>
      <c r="M108" s="8" t="n">
        <f aca="false">M107+L108</f>
        <v>105.6</v>
      </c>
      <c r="N108" s="8" t="n">
        <v>-0.8</v>
      </c>
      <c r="O108" s="8" t="n">
        <f aca="false">O107+N108</f>
        <v>141.8</v>
      </c>
      <c r="P108" s="8" t="n">
        <v>68</v>
      </c>
      <c r="Q108" s="8" t="n">
        <f aca="false">0.35+((P108-9)/121)*(1-0.35)</f>
        <v>0.666942148760331</v>
      </c>
      <c r="R108" s="12" t="n">
        <f aca="false">Q108*L108</f>
        <v>0.666942148760331</v>
      </c>
      <c r="S108" s="12" t="n">
        <f aca="false">J108-R108</f>
        <v>-0.466942148760331</v>
      </c>
      <c r="T108" s="12" t="n">
        <f aca="false">MIN(197.4,T107+S108)</f>
        <v>174.649421487603</v>
      </c>
      <c r="V108" s="8" t="n">
        <v>798.5</v>
      </c>
      <c r="X108" s="8" t="n">
        <f aca="false">X107+V108</f>
        <v>51752.3</v>
      </c>
      <c r="AA108" s="8" t="n">
        <v>9.49082161555755</v>
      </c>
    </row>
    <row r="109" s="8" customFormat="true" ht="15" hidden="false" customHeight="false" outlineLevel="0" collapsed="false">
      <c r="A109" s="14"/>
      <c r="B109" s="15"/>
      <c r="C109" s="16" t="n">
        <v>41225</v>
      </c>
      <c r="D109" s="8" t="n">
        <v>8</v>
      </c>
      <c r="E109" s="8" t="n">
        <v>4.3</v>
      </c>
      <c r="F109" s="8" t="n">
        <v>10.5</v>
      </c>
      <c r="G109" s="8" t="n">
        <f aca="false">G108+D109</f>
        <v>851.1</v>
      </c>
      <c r="J109" s="8" t="n">
        <v>0.2</v>
      </c>
      <c r="K109" s="8" t="n">
        <f aca="false">J109+K108</f>
        <v>215.5</v>
      </c>
      <c r="L109" s="8" t="n">
        <v>0.2</v>
      </c>
      <c r="M109" s="8" t="n">
        <f aca="false">M108+L109</f>
        <v>105.8</v>
      </c>
      <c r="N109" s="8" t="n">
        <v>0</v>
      </c>
      <c r="O109" s="8" t="n">
        <f aca="false">O108+N109</f>
        <v>141.8</v>
      </c>
      <c r="P109" s="8" t="n">
        <v>69</v>
      </c>
      <c r="Q109" s="8" t="n">
        <f aca="false">0.35+((P109-9)/121)*(1-0.35)</f>
        <v>0.672314049586777</v>
      </c>
      <c r="R109" s="12" t="n">
        <f aca="false">Q109*L109</f>
        <v>0.134462809917355</v>
      </c>
      <c r="S109" s="12" t="n">
        <f aca="false">J109-R109</f>
        <v>0.0655371900826446</v>
      </c>
      <c r="T109" s="12" t="n">
        <f aca="false">MIN(197.4,T108+S109)</f>
        <v>174.714958677686</v>
      </c>
      <c r="V109" s="8" t="n">
        <v>116.1</v>
      </c>
      <c r="X109" s="8" t="n">
        <f aca="false">X108+V109</f>
        <v>51868.4</v>
      </c>
      <c r="AA109" s="8" t="n">
        <v>9.44311598834804</v>
      </c>
    </row>
    <row r="110" s="8" customFormat="true" ht="15" hidden="false" customHeight="false" outlineLevel="0" collapsed="false">
      <c r="A110" s="14"/>
      <c r="B110" s="15"/>
      <c r="C110" s="16" t="n">
        <v>41226</v>
      </c>
      <c r="D110" s="8" t="n">
        <v>10</v>
      </c>
      <c r="E110" s="8" t="n">
        <v>9</v>
      </c>
      <c r="F110" s="8" t="n">
        <v>14.3</v>
      </c>
      <c r="G110" s="8" t="n">
        <f aca="false">G109+D110</f>
        <v>861.1</v>
      </c>
      <c r="J110" s="8" t="n">
        <v>0.1</v>
      </c>
      <c r="K110" s="8" t="n">
        <f aca="false">J110+K109</f>
        <v>215.6</v>
      </c>
      <c r="L110" s="8" t="n">
        <v>1.4</v>
      </c>
      <c r="M110" s="8" t="n">
        <f aca="false">M109+L110</f>
        <v>107.2</v>
      </c>
      <c r="N110" s="8" t="n">
        <v>-1.3</v>
      </c>
      <c r="O110" s="8" t="n">
        <f aca="false">O109+N110</f>
        <v>140.5</v>
      </c>
      <c r="P110" s="8" t="n">
        <v>70</v>
      </c>
      <c r="Q110" s="8" t="n">
        <f aca="false">0.35+((P110-9)/121)*(1-0.35)</f>
        <v>0.677685950413223</v>
      </c>
      <c r="R110" s="12" t="n">
        <f aca="false">Q110*L110</f>
        <v>0.948760330578512</v>
      </c>
      <c r="S110" s="12" t="n">
        <f aca="false">J110-R110</f>
        <v>-0.848760330578512</v>
      </c>
      <c r="T110" s="12" t="n">
        <f aca="false">MIN(197.4,T109+S110)</f>
        <v>173.866198347108</v>
      </c>
      <c r="V110" s="8" t="n">
        <v>663.8</v>
      </c>
      <c r="X110" s="8" t="n">
        <f aca="false">X109+V110</f>
        <v>52532.2</v>
      </c>
      <c r="AA110" s="8" t="n">
        <v>9.39603197717788</v>
      </c>
    </row>
    <row r="111" s="8" customFormat="true" ht="15" hidden="false" customHeight="false" outlineLevel="0" collapsed="false">
      <c r="A111" s="14"/>
      <c r="B111" s="15"/>
      <c r="C111" s="16" t="n">
        <v>41227</v>
      </c>
      <c r="D111" s="8" t="n">
        <v>5.9</v>
      </c>
      <c r="E111" s="8" t="n">
        <v>4.8</v>
      </c>
      <c r="F111" s="8" t="n">
        <v>7.5</v>
      </c>
      <c r="G111" s="8" t="n">
        <f aca="false">G110+D111</f>
        <v>867</v>
      </c>
      <c r="J111" s="8" t="n">
        <v>0</v>
      </c>
      <c r="K111" s="8" t="n">
        <f aca="false">J111+K110</f>
        <v>215.6</v>
      </c>
      <c r="L111" s="8" t="n">
        <v>0.4</v>
      </c>
      <c r="M111" s="8" t="n">
        <f aca="false">M110+L111</f>
        <v>107.6</v>
      </c>
      <c r="N111" s="8" t="n">
        <v>-0.4</v>
      </c>
      <c r="O111" s="8" t="n">
        <f aca="false">O110+N111</f>
        <v>140.1</v>
      </c>
      <c r="P111" s="8" t="n">
        <v>71</v>
      </c>
      <c r="Q111" s="8" t="n">
        <f aca="false">0.35+((P111-9)/121)*(1-0.35)</f>
        <v>0.683057851239669</v>
      </c>
      <c r="R111" s="12" t="n">
        <f aca="false">Q111*L111</f>
        <v>0.273223140495868</v>
      </c>
      <c r="S111" s="12" t="n">
        <f aca="false">J111-R111</f>
        <v>-0.273223140495868</v>
      </c>
      <c r="T111" s="12" t="n">
        <f aca="false">MIN(197.4,T110+S111)</f>
        <v>173.592975206612</v>
      </c>
      <c r="V111" s="8" t="n">
        <v>239</v>
      </c>
      <c r="X111" s="8" t="n">
        <f aca="false">X110+V111</f>
        <v>52771.2</v>
      </c>
      <c r="AA111" s="8" t="n">
        <v>9.34959586841513</v>
      </c>
    </row>
    <row r="112" s="8" customFormat="true" ht="15" hidden="false" customHeight="false" outlineLevel="0" collapsed="false">
      <c r="A112" s="14"/>
      <c r="B112" s="15"/>
      <c r="C112" s="16" t="n">
        <v>41228</v>
      </c>
      <c r="D112" s="8" t="n">
        <v>5.5</v>
      </c>
      <c r="E112" s="8" t="n">
        <v>4.3</v>
      </c>
      <c r="F112" s="8" t="n">
        <v>6.8</v>
      </c>
      <c r="G112" s="8" t="n">
        <f aca="false">G111+D112</f>
        <v>872.5</v>
      </c>
      <c r="J112" s="8" t="n">
        <v>0</v>
      </c>
      <c r="K112" s="8" t="n">
        <f aca="false">J112+K111</f>
        <v>215.6</v>
      </c>
      <c r="L112" s="8" t="n">
        <v>0.3</v>
      </c>
      <c r="M112" s="8" t="n">
        <f aca="false">M111+L112</f>
        <v>107.9</v>
      </c>
      <c r="N112" s="8" t="n">
        <v>-0.3</v>
      </c>
      <c r="O112" s="8" t="n">
        <f aca="false">O111+N112</f>
        <v>139.8</v>
      </c>
      <c r="P112" s="8" t="n">
        <v>72</v>
      </c>
      <c r="Q112" s="8" t="n">
        <f aca="false">0.35+((P112-9)/121)*(1-0.35)</f>
        <v>0.688429752066116</v>
      </c>
      <c r="R112" s="12" t="n">
        <f aca="false">Q112*L112</f>
        <v>0.206528925619835</v>
      </c>
      <c r="S112" s="12" t="n">
        <f aca="false">J112-R112</f>
        <v>-0.206528925619835</v>
      </c>
      <c r="T112" s="12" t="n">
        <f aca="false">MIN(197.4,T111+S112)</f>
        <v>173.386446280992</v>
      </c>
      <c r="V112" s="8" t="n">
        <v>248.9</v>
      </c>
      <c r="X112" s="8" t="n">
        <f aca="false">X111+V112</f>
        <v>53020.1</v>
      </c>
      <c r="AA112" s="8" t="n">
        <v>9.30383450436032</v>
      </c>
    </row>
    <row r="113" s="8" customFormat="true" ht="15" hidden="false" customHeight="false" outlineLevel="0" collapsed="false">
      <c r="A113" s="14"/>
      <c r="B113" s="15"/>
      <c r="C113" s="16" t="n">
        <v>41229</v>
      </c>
      <c r="D113" s="8" t="n">
        <v>7.1</v>
      </c>
      <c r="E113" s="8" t="n">
        <v>5.6</v>
      </c>
      <c r="F113" s="8" t="n">
        <v>8.4</v>
      </c>
      <c r="G113" s="8" t="n">
        <f aca="false">G112+D113</f>
        <v>879.6</v>
      </c>
      <c r="J113" s="8" t="n">
        <v>0.1</v>
      </c>
      <c r="K113" s="8" t="n">
        <f aca="false">J113+K112</f>
        <v>215.7</v>
      </c>
      <c r="L113" s="8" t="n">
        <v>0.3</v>
      </c>
      <c r="M113" s="8" t="n">
        <f aca="false">M112+L113</f>
        <v>108.2</v>
      </c>
      <c r="N113" s="8" t="n">
        <v>-0.2</v>
      </c>
      <c r="O113" s="8" t="n">
        <f aca="false">O112+N113</f>
        <v>139.6</v>
      </c>
      <c r="P113" s="8" t="n">
        <v>73</v>
      </c>
      <c r="Q113" s="8" t="n">
        <f aca="false">0.35+((P113-9)/121)*(1-0.35)</f>
        <v>0.693801652892562</v>
      </c>
      <c r="R113" s="12" t="n">
        <f aca="false">Q113*L113</f>
        <v>0.208140495867769</v>
      </c>
      <c r="S113" s="12" t="n">
        <f aca="false">J113-R113</f>
        <v>-0.108140495867769</v>
      </c>
      <c r="T113" s="12" t="n">
        <f aca="false">MIN(197.4,T112+S113)</f>
        <v>173.278305785124</v>
      </c>
      <c r="V113" s="8" t="n">
        <v>221.5</v>
      </c>
      <c r="X113" s="8" t="n">
        <f aca="false">X112+V113</f>
        <v>53241.6</v>
      </c>
      <c r="AA113" s="8" t="n">
        <v>9.25877525733681</v>
      </c>
    </row>
    <row r="114" s="8" customFormat="true" ht="15" hidden="false" customHeight="false" outlineLevel="0" collapsed="false">
      <c r="A114" s="14"/>
      <c r="B114" s="15"/>
      <c r="C114" s="16" t="n">
        <v>41230</v>
      </c>
      <c r="D114" s="8" t="n">
        <v>9.6</v>
      </c>
      <c r="E114" s="8" t="n">
        <v>7.8</v>
      </c>
      <c r="F114" s="8" t="n">
        <v>10.7</v>
      </c>
      <c r="G114" s="8" t="n">
        <f aca="false">G113+D114</f>
        <v>889.2</v>
      </c>
      <c r="J114" s="8" t="n">
        <v>8.7</v>
      </c>
      <c r="K114" s="8" t="n">
        <f aca="false">J114+K113</f>
        <v>224.4</v>
      </c>
      <c r="L114" s="8" t="n">
        <v>0.3</v>
      </c>
      <c r="M114" s="8" t="n">
        <f aca="false">M113+L114</f>
        <v>108.5</v>
      </c>
      <c r="N114" s="8" t="n">
        <v>8.4</v>
      </c>
      <c r="O114" s="8" t="n">
        <f aca="false">O113+N114</f>
        <v>148</v>
      </c>
      <c r="P114" s="8" t="n">
        <v>74</v>
      </c>
      <c r="Q114" s="8" t="n">
        <f aca="false">0.35+((P114-9)/121)*(1-0.35)</f>
        <v>0.699173553719008</v>
      </c>
      <c r="R114" s="12" t="n">
        <f aca="false">Q114*L114</f>
        <v>0.209752066115702</v>
      </c>
      <c r="S114" s="12" t="n">
        <f aca="false">J114-R114</f>
        <v>8.4902479338843</v>
      </c>
      <c r="T114" s="12" t="n">
        <f aca="false">MIN(197.4,T113+S114)</f>
        <v>181.768553719008</v>
      </c>
      <c r="V114" s="8" t="n">
        <v>109.2</v>
      </c>
      <c r="X114" s="8" t="n">
        <f aca="false">X113+V114</f>
        <v>53350.8</v>
      </c>
      <c r="AA114" s="8" t="n">
        <v>9.214446000222</v>
      </c>
    </row>
    <row r="115" s="8" customFormat="true" ht="15" hidden="false" customHeight="false" outlineLevel="0" collapsed="false">
      <c r="A115" s="14"/>
      <c r="B115" s="15"/>
      <c r="C115" s="16" t="n">
        <v>41231</v>
      </c>
      <c r="D115" s="8" t="n">
        <v>8.3</v>
      </c>
      <c r="E115" s="8" t="n">
        <v>6.7</v>
      </c>
      <c r="F115" s="8" t="n">
        <v>11.1</v>
      </c>
      <c r="G115" s="8" t="n">
        <f aca="false">G114+D115</f>
        <v>897.5</v>
      </c>
      <c r="J115" s="8" t="n">
        <v>0</v>
      </c>
      <c r="K115" s="8" t="n">
        <f aca="false">J115+K114</f>
        <v>224.4</v>
      </c>
      <c r="L115" s="8" t="n">
        <v>0.8</v>
      </c>
      <c r="M115" s="8" t="n">
        <f aca="false">M114+L115</f>
        <v>109.3</v>
      </c>
      <c r="N115" s="8" t="n">
        <v>-0.8</v>
      </c>
      <c r="O115" s="8" t="n">
        <f aca="false">O114+N115</f>
        <v>147.2</v>
      </c>
      <c r="P115" s="8" t="n">
        <v>75</v>
      </c>
      <c r="Q115" s="8" t="n">
        <f aca="false">0.35+((P115-9)/121)*(1-0.35)</f>
        <v>0.704545454545455</v>
      </c>
      <c r="R115" s="12" t="n">
        <f aca="false">Q115*L115</f>
        <v>0.563636363636364</v>
      </c>
      <c r="S115" s="12" t="n">
        <f aca="false">J115-R115</f>
        <v>-0.563636363636364</v>
      </c>
      <c r="T115" s="12" t="n">
        <f aca="false">MIN(197.4,T114+S115)</f>
        <v>181.204917355372</v>
      </c>
      <c r="V115" s="8" t="n">
        <v>334.5</v>
      </c>
      <c r="X115" s="8" t="n">
        <f aca="false">X114+V115</f>
        <v>53685.3</v>
      </c>
      <c r="AA115" s="8" t="n">
        <v>9.17087507330603</v>
      </c>
    </row>
    <row r="116" s="8" customFormat="true" ht="15" hidden="false" customHeight="false" outlineLevel="0" collapsed="false">
      <c r="A116" s="14"/>
      <c r="B116" s="15"/>
      <c r="C116" s="16" t="n">
        <v>41232</v>
      </c>
      <c r="D116" s="8" t="n">
        <v>8.3</v>
      </c>
      <c r="E116" s="8" t="n">
        <v>3.3</v>
      </c>
      <c r="F116" s="8" t="n">
        <v>11.1</v>
      </c>
      <c r="G116" s="8" t="n">
        <f aca="false">G115+D116</f>
        <v>905.8</v>
      </c>
      <c r="J116" s="8" t="n">
        <v>0</v>
      </c>
      <c r="K116" s="8" t="n">
        <f aca="false">J116+K115</f>
        <v>224.4</v>
      </c>
      <c r="L116" s="8" t="n">
        <v>0.3</v>
      </c>
      <c r="M116" s="8" t="n">
        <f aca="false">M115+L116</f>
        <v>109.6</v>
      </c>
      <c r="N116" s="8" t="n">
        <v>-0.3</v>
      </c>
      <c r="O116" s="8" t="n">
        <f aca="false">O115+N116</f>
        <v>146.9</v>
      </c>
      <c r="P116" s="8" t="n">
        <v>76</v>
      </c>
      <c r="Q116" s="8" t="n">
        <f aca="false">0.35+((P116-9)/121)*(1-0.35)</f>
        <v>0.709917355371901</v>
      </c>
      <c r="R116" s="12" t="n">
        <f aca="false">Q116*L116</f>
        <v>0.21297520661157</v>
      </c>
      <c r="S116" s="12" t="n">
        <f aca="false">J116-R116</f>
        <v>-0.21297520661157</v>
      </c>
      <c r="T116" s="12" t="n">
        <f aca="false">MIN(197.4,T115+S116)</f>
        <v>180.99194214876</v>
      </c>
      <c r="V116" s="8" t="n">
        <v>280.2</v>
      </c>
      <c r="X116" s="8" t="n">
        <f aca="false">X115+V116</f>
        <v>53965.5</v>
      </c>
      <c r="AA116" s="8" t="n">
        <v>9.12809124737939</v>
      </c>
    </row>
    <row r="117" s="8" customFormat="true" ht="15" hidden="false" customHeight="false" outlineLevel="0" collapsed="false">
      <c r="A117" s="14"/>
      <c r="B117" s="15"/>
      <c r="C117" s="16" t="n">
        <v>41233</v>
      </c>
      <c r="D117" s="8" t="n">
        <v>11.5</v>
      </c>
      <c r="E117" s="8" t="n">
        <v>10.3</v>
      </c>
      <c r="F117" s="8" t="n">
        <v>12.8</v>
      </c>
      <c r="G117" s="8" t="n">
        <f aca="false">G116+D117</f>
        <v>917.3</v>
      </c>
      <c r="J117" s="8" t="n">
        <v>1.1</v>
      </c>
      <c r="K117" s="8" t="n">
        <f aca="false">J117+K116</f>
        <v>225.5</v>
      </c>
      <c r="L117" s="8" t="n">
        <v>1</v>
      </c>
      <c r="M117" s="8" t="n">
        <f aca="false">M116+L117</f>
        <v>110.6</v>
      </c>
      <c r="N117" s="8" t="n">
        <v>0.1</v>
      </c>
      <c r="O117" s="8" t="n">
        <f aca="false">O116+N117</f>
        <v>147</v>
      </c>
      <c r="P117" s="8" t="n">
        <v>77</v>
      </c>
      <c r="Q117" s="8" t="n">
        <f aca="false">0.35+((P117-9)/121)*(1-0.35)</f>
        <v>0.715289256198347</v>
      </c>
      <c r="R117" s="12" t="n">
        <f aca="false">Q117*L117</f>
        <v>0.715289256198347</v>
      </c>
      <c r="S117" s="12" t="n">
        <f aca="false">J117-R117</f>
        <v>0.384710743801653</v>
      </c>
      <c r="T117" s="12" t="n">
        <f aca="false">MIN(197.4,T116+S117)</f>
        <v>181.376652892562</v>
      </c>
      <c r="V117" s="8" t="n">
        <v>126.4</v>
      </c>
      <c r="X117" s="8" t="n">
        <f aca="false">X116+V117</f>
        <v>54091.9</v>
      </c>
      <c r="AA117" s="8" t="n">
        <v>9.086123682969</v>
      </c>
    </row>
    <row r="118" s="8" customFormat="true" ht="15" hidden="false" customHeight="false" outlineLevel="0" collapsed="false">
      <c r="A118" s="14"/>
      <c r="B118" s="15"/>
      <c r="C118" s="16" t="n">
        <v>41234</v>
      </c>
      <c r="D118" s="8" t="n">
        <v>9.6</v>
      </c>
      <c r="E118" s="8" t="n">
        <v>9</v>
      </c>
      <c r="F118" s="8" t="n">
        <v>11.6</v>
      </c>
      <c r="G118" s="8" t="n">
        <f aca="false">G117+D118</f>
        <v>926.9</v>
      </c>
      <c r="J118" s="8" t="n">
        <v>0.2</v>
      </c>
      <c r="K118" s="8" t="n">
        <f aca="false">J118+K117</f>
        <v>225.7</v>
      </c>
      <c r="L118" s="8" t="n">
        <v>1</v>
      </c>
      <c r="M118" s="8" t="n">
        <f aca="false">M117+L118</f>
        <v>111.6</v>
      </c>
      <c r="N118" s="8" t="n">
        <v>-0.8</v>
      </c>
      <c r="O118" s="8" t="n">
        <f aca="false">O117+N118</f>
        <v>146.2</v>
      </c>
      <c r="P118" s="8" t="n">
        <v>78</v>
      </c>
      <c r="Q118" s="8" t="n">
        <f aca="false">0.35+((P118-9)/121)*(1-0.35)</f>
        <v>0.720661157024793</v>
      </c>
      <c r="R118" s="12" t="n">
        <f aca="false">Q118*L118</f>
        <v>0.720661157024793</v>
      </c>
      <c r="S118" s="12" t="n">
        <f aca="false">J118-R118</f>
        <v>-0.520661157024793</v>
      </c>
      <c r="T118" s="12" t="n">
        <f aca="false">MIN(197.4,T117+S118)</f>
        <v>180.855991735537</v>
      </c>
      <c r="V118" s="8" t="n">
        <v>190.6</v>
      </c>
      <c r="X118" s="8" t="n">
        <f aca="false">X117+V118</f>
        <v>54282.5</v>
      </c>
      <c r="AA118" s="8" t="n">
        <v>9.04500188566246</v>
      </c>
    </row>
    <row r="119" s="8" customFormat="true" ht="15" hidden="false" customHeight="false" outlineLevel="0" collapsed="false">
      <c r="A119" s="14"/>
      <c r="B119" s="15"/>
      <c r="C119" s="16" t="n">
        <v>41235</v>
      </c>
      <c r="D119" s="8" t="n">
        <v>9.9</v>
      </c>
      <c r="E119" s="8" t="n">
        <v>5.8</v>
      </c>
      <c r="F119" s="8" t="n">
        <v>14.8</v>
      </c>
      <c r="G119" s="8" t="n">
        <f aca="false">G118+D119</f>
        <v>936.8</v>
      </c>
      <c r="J119" s="8" t="n">
        <v>11.1</v>
      </c>
      <c r="K119" s="8" t="n">
        <f aca="false">J119+K118</f>
        <v>236.8</v>
      </c>
      <c r="L119" s="8" t="n">
        <v>1.3</v>
      </c>
      <c r="M119" s="8" t="n">
        <f aca="false">M118+L119</f>
        <v>112.9</v>
      </c>
      <c r="N119" s="8" t="n">
        <v>9.8</v>
      </c>
      <c r="O119" s="8" t="n">
        <f aca="false">O118+N119</f>
        <v>156</v>
      </c>
      <c r="P119" s="8" t="n">
        <v>79</v>
      </c>
      <c r="Q119" s="8" t="n">
        <f aca="false">0.35+((P119-9)/121)*(1-0.35)</f>
        <v>0.72603305785124</v>
      </c>
      <c r="R119" s="12" t="n">
        <f aca="false">Q119*L119</f>
        <v>0.943842975206612</v>
      </c>
      <c r="S119" s="12" t="n">
        <f aca="false">J119-R119</f>
        <v>10.1561570247934</v>
      </c>
      <c r="T119" s="12" t="n">
        <f aca="false">MIN(197.4,T118+S119)</f>
        <v>191.012148760331</v>
      </c>
      <c r="V119" s="8" t="n">
        <v>287.5</v>
      </c>
      <c r="X119" s="8" t="n">
        <f aca="false">X118+V119</f>
        <v>54570</v>
      </c>
      <c r="AA119" s="8" t="n">
        <v>9.00475565748354</v>
      </c>
    </row>
    <row r="120" s="8" customFormat="true" ht="15" hidden="false" customHeight="false" outlineLevel="0" collapsed="false">
      <c r="A120" s="14"/>
      <c r="B120" s="15"/>
      <c r="C120" s="16" t="n">
        <v>41236</v>
      </c>
      <c r="D120" s="8" t="n">
        <v>9.5</v>
      </c>
      <c r="E120" s="8" t="n">
        <v>9</v>
      </c>
      <c r="F120" s="8" t="n">
        <v>9.7</v>
      </c>
      <c r="G120" s="8" t="n">
        <f aca="false">G119+D120</f>
        <v>946.3</v>
      </c>
      <c r="J120" s="8" t="n">
        <v>12.6</v>
      </c>
      <c r="K120" s="8" t="n">
        <f aca="false">J120+K119</f>
        <v>249.4</v>
      </c>
      <c r="L120" s="8" t="n">
        <v>0.3</v>
      </c>
      <c r="M120" s="8" t="n">
        <f aca="false">M119+L120</f>
        <v>113.2</v>
      </c>
      <c r="N120" s="8" t="n">
        <v>12.3</v>
      </c>
      <c r="O120" s="8" t="n">
        <f aca="false">O119+N120</f>
        <v>168.3</v>
      </c>
      <c r="P120" s="8" t="n">
        <v>80</v>
      </c>
      <c r="Q120" s="8" t="n">
        <f aca="false">0.35+((P120-9)/121)*(1-0.35)</f>
        <v>0.731404958677686</v>
      </c>
      <c r="R120" s="12" t="n">
        <f aca="false">Q120*L120</f>
        <v>0.219421487603306</v>
      </c>
      <c r="S120" s="12" t="n">
        <f aca="false">J120-R120</f>
        <v>12.3805785123967</v>
      </c>
      <c r="T120" s="12" t="n">
        <f aca="false">MIN(197.4,T119+S120)</f>
        <v>197.4</v>
      </c>
      <c r="V120" s="8" t="n">
        <v>82.2</v>
      </c>
      <c r="X120" s="8" t="n">
        <f aca="false">X119+V120</f>
        <v>54652.2</v>
      </c>
      <c r="AA120" s="19" t="n">
        <v>8.96541504430737</v>
      </c>
    </row>
    <row r="121" s="8" customFormat="true" ht="15" hidden="false" customHeight="false" outlineLevel="0" collapsed="false">
      <c r="A121" s="14"/>
      <c r="B121" s="15"/>
      <c r="C121" s="16" t="n">
        <v>41237</v>
      </c>
      <c r="D121" s="8" t="n">
        <v>11</v>
      </c>
      <c r="E121" s="8" t="n">
        <v>9</v>
      </c>
      <c r="F121" s="8" t="n">
        <v>14.1</v>
      </c>
      <c r="G121" s="8" t="n">
        <f aca="false">G120+D121</f>
        <v>957.3</v>
      </c>
      <c r="J121" s="8" t="n">
        <v>1.5</v>
      </c>
      <c r="K121" s="8" t="n">
        <f aca="false">J121+K120</f>
        <v>250.9</v>
      </c>
      <c r="L121" s="8" t="n">
        <v>0.8</v>
      </c>
      <c r="M121" s="8" t="n">
        <f aca="false">M120+L121</f>
        <v>114</v>
      </c>
      <c r="N121" s="8" t="n">
        <v>0.7</v>
      </c>
      <c r="O121" s="8" t="n">
        <f aca="false">O120+N121</f>
        <v>169</v>
      </c>
      <c r="P121" s="8" t="n">
        <v>81</v>
      </c>
      <c r="Q121" s="8" t="n">
        <f aca="false">0.35+((P121-9)/121)*(1-0.35)</f>
        <v>0.736776859504132</v>
      </c>
      <c r="R121" s="12" t="n">
        <f aca="false">Q121*L121</f>
        <v>0.589421487603306</v>
      </c>
      <c r="S121" s="12" t="n">
        <f aca="false">J121-R121</f>
        <v>0.910578512396694</v>
      </c>
      <c r="T121" s="12" t="n">
        <f aca="false">MIN(197.4,T120+S121)</f>
        <v>197.4</v>
      </c>
      <c r="V121" s="8" t="n">
        <v>102.7</v>
      </c>
      <c r="X121" s="8" t="n">
        <f aca="false">X120+V121</f>
        <v>54754.9</v>
      </c>
      <c r="AA121" s="19" t="n">
        <v>8.92701027933253</v>
      </c>
    </row>
    <row r="122" s="8" customFormat="true" ht="15" hidden="false" customHeight="false" outlineLevel="0" collapsed="false">
      <c r="A122" s="14"/>
      <c r="B122" s="15"/>
      <c r="C122" s="16" t="n">
        <v>41238</v>
      </c>
      <c r="D122" s="8" t="n">
        <v>10.4</v>
      </c>
      <c r="E122" s="8" t="n">
        <v>8.1</v>
      </c>
      <c r="F122" s="8" t="n">
        <v>13.1</v>
      </c>
      <c r="G122" s="8" t="n">
        <f aca="false">G121+D122</f>
        <v>967.7</v>
      </c>
      <c r="J122" s="8" t="n">
        <v>2.3</v>
      </c>
      <c r="K122" s="8" t="n">
        <f aca="false">J122+K121</f>
        <v>253.2</v>
      </c>
      <c r="L122" s="8" t="n">
        <v>1.5</v>
      </c>
      <c r="M122" s="8" t="n">
        <f aca="false">M121+L122</f>
        <v>115.5</v>
      </c>
      <c r="N122" s="8" t="n">
        <v>0.8</v>
      </c>
      <c r="O122" s="8" t="n">
        <f aca="false">O121+N122</f>
        <v>169.8</v>
      </c>
      <c r="P122" s="8" t="n">
        <v>82</v>
      </c>
      <c r="Q122" s="8" t="n">
        <f aca="false">0.35+((P122-9)/121)*(1-0.35)</f>
        <v>0.742148760330579</v>
      </c>
      <c r="R122" s="12" t="n">
        <f aca="false">Q122*L122</f>
        <v>1.11322314049587</v>
      </c>
      <c r="S122" s="12" t="n">
        <f aca="false">J122-R122</f>
        <v>1.18677685950413</v>
      </c>
      <c r="T122" s="12" t="n">
        <f aca="false">MIN(197.4,T121+S122)</f>
        <v>197.4</v>
      </c>
      <c r="V122" s="8" t="n">
        <v>537.4</v>
      </c>
      <c r="X122" s="8" t="n">
        <f aca="false">X121+V122</f>
        <v>55292.3</v>
      </c>
      <c r="AA122" s="19" t="n">
        <v>8.88957172265795</v>
      </c>
    </row>
    <row r="123" s="8" customFormat="true" ht="15" hidden="false" customHeight="false" outlineLevel="0" collapsed="false">
      <c r="A123" s="14"/>
      <c r="B123" s="15"/>
      <c r="C123" s="16" t="n">
        <v>41239</v>
      </c>
      <c r="D123" s="8" t="n">
        <v>8.8</v>
      </c>
      <c r="E123" s="8" t="n">
        <v>7.4</v>
      </c>
      <c r="F123" s="8" t="n">
        <v>10.8</v>
      </c>
      <c r="G123" s="8" t="n">
        <f aca="false">G122+D123</f>
        <v>976.5</v>
      </c>
      <c r="J123" s="8" t="n">
        <v>0.4</v>
      </c>
      <c r="K123" s="8" t="n">
        <f aca="false">J123+K122</f>
        <v>253.6</v>
      </c>
      <c r="L123" s="8" t="n">
        <v>1.2</v>
      </c>
      <c r="M123" s="8" t="n">
        <f aca="false">M122+L123</f>
        <v>116.7</v>
      </c>
      <c r="N123" s="8" t="n">
        <v>-0.8</v>
      </c>
      <c r="O123" s="8" t="n">
        <f aca="false">O122+N123</f>
        <v>169</v>
      </c>
      <c r="P123" s="8" t="n">
        <v>83</v>
      </c>
      <c r="Q123" s="8" t="n">
        <f aca="false">0.35+((P123-9)/121)*(1-0.35)</f>
        <v>0.747520661157025</v>
      </c>
      <c r="R123" s="12" t="n">
        <f aca="false">Q123*L123</f>
        <v>0.89702479338843</v>
      </c>
      <c r="S123" s="12" t="n">
        <f aca="false">J123-R123</f>
        <v>-0.49702479338843</v>
      </c>
      <c r="T123" s="12" t="n">
        <f aca="false">MIN(197.4,T122+S123)</f>
        <v>196.902975206612</v>
      </c>
      <c r="V123" s="8" t="n">
        <v>492.9</v>
      </c>
      <c r="X123" s="8" t="n">
        <f aca="false">X122+V123</f>
        <v>55785.2</v>
      </c>
      <c r="AA123" s="19" t="n">
        <v>8.85312979704607</v>
      </c>
    </row>
    <row r="124" s="8" customFormat="true" ht="15" hidden="false" customHeight="false" outlineLevel="0" collapsed="false">
      <c r="A124" s="14"/>
      <c r="B124" s="15"/>
      <c r="C124" s="16" t="n">
        <v>41240</v>
      </c>
      <c r="D124" s="8" t="n">
        <v>6.9</v>
      </c>
      <c r="E124" s="8" t="n">
        <v>5.7</v>
      </c>
      <c r="F124" s="8" t="n">
        <v>8.6</v>
      </c>
      <c r="G124" s="8" t="n">
        <f aca="false">G123+D124</f>
        <v>983.4</v>
      </c>
      <c r="J124" s="8" t="n">
        <v>1.3</v>
      </c>
      <c r="K124" s="8" t="n">
        <f aca="false">J124+K123</f>
        <v>254.9</v>
      </c>
      <c r="L124" s="8" t="n">
        <v>0.4</v>
      </c>
      <c r="M124" s="8" t="n">
        <f aca="false">M123+L124</f>
        <v>117.1</v>
      </c>
      <c r="N124" s="8" t="n">
        <v>0.9</v>
      </c>
      <c r="O124" s="8" t="n">
        <f aca="false">O123+N124</f>
        <v>169.9</v>
      </c>
      <c r="P124" s="8" t="n">
        <v>84</v>
      </c>
      <c r="Q124" s="8" t="n">
        <f aca="false">0.35+((P124-9)/121)*(1-0.35)</f>
        <v>0.752892561983471</v>
      </c>
      <c r="R124" s="12" t="n">
        <f aca="false">Q124*L124</f>
        <v>0.301157024793388</v>
      </c>
      <c r="S124" s="12" t="n">
        <f aca="false">J124-R124</f>
        <v>0.998842975206612</v>
      </c>
      <c r="T124" s="12" t="n">
        <f aca="false">MIN(197.4,T123+S124)</f>
        <v>197.4</v>
      </c>
      <c r="V124" s="8" t="n">
        <v>196.7</v>
      </c>
      <c r="X124" s="8" t="n">
        <f aca="false">X123+V124</f>
        <v>55981.9</v>
      </c>
      <c r="AA124" s="19" t="n">
        <v>8.8177149199891</v>
      </c>
    </row>
    <row r="125" s="8" customFormat="true" ht="15" hidden="false" customHeight="false" outlineLevel="0" collapsed="false">
      <c r="A125" s="14"/>
      <c r="B125" s="15"/>
      <c r="C125" s="16" t="n">
        <v>41241</v>
      </c>
      <c r="D125" s="8" t="n">
        <v>7.5</v>
      </c>
      <c r="E125" s="8" t="n">
        <v>6</v>
      </c>
      <c r="F125" s="8" t="n">
        <v>8.9</v>
      </c>
      <c r="G125" s="8" t="n">
        <f aca="false">G124+D125</f>
        <v>990.9</v>
      </c>
      <c r="J125" s="8" t="n">
        <v>0.1</v>
      </c>
      <c r="K125" s="8" t="n">
        <f aca="false">J125+K124</f>
        <v>255</v>
      </c>
      <c r="L125" s="8" t="n">
        <v>1.1</v>
      </c>
      <c r="M125" s="8" t="n">
        <f aca="false">M124+L125</f>
        <v>118.2</v>
      </c>
      <c r="N125" s="8" t="n">
        <v>-1</v>
      </c>
      <c r="O125" s="8" t="n">
        <f aca="false">O124+N125</f>
        <v>168.9</v>
      </c>
      <c r="P125" s="8" t="n">
        <v>85</v>
      </c>
      <c r="Q125" s="8" t="n">
        <f aca="false">0.35+((P125-9)/121)*(1-0.35)</f>
        <v>0.758264462809917</v>
      </c>
      <c r="R125" s="12" t="n">
        <f aca="false">Q125*L125</f>
        <v>0.834090909090909</v>
      </c>
      <c r="S125" s="12" t="n">
        <f aca="false">J125-R125</f>
        <v>-0.734090909090909</v>
      </c>
      <c r="T125" s="12" t="n">
        <f aca="false">MIN(197.4,T124+S125)</f>
        <v>196.665909090909</v>
      </c>
      <c r="V125" s="8" t="n">
        <v>296.5</v>
      </c>
      <c r="X125" s="8" t="n">
        <f aca="false">X124+V125</f>
        <v>56278.4</v>
      </c>
      <c r="AA125" s="19" t="n">
        <v>8.78335743223321</v>
      </c>
    </row>
    <row r="126" s="8" customFormat="true" ht="15" hidden="false" customHeight="false" outlineLevel="0" collapsed="false">
      <c r="A126" s="14"/>
      <c r="B126" s="20" t="n">
        <v>1</v>
      </c>
      <c r="C126" s="16" t="n">
        <v>41242</v>
      </c>
      <c r="D126" s="8" t="n">
        <v>4.6</v>
      </c>
      <c r="E126" s="8" t="n">
        <v>3.5</v>
      </c>
      <c r="F126" s="8" t="n">
        <v>7.4</v>
      </c>
      <c r="G126" s="8" t="n">
        <f aca="false">G125+D126</f>
        <v>995.5</v>
      </c>
      <c r="J126" s="8" t="n">
        <v>0</v>
      </c>
      <c r="K126" s="8" t="n">
        <f aca="false">J126+K125</f>
        <v>255</v>
      </c>
      <c r="L126" s="8" t="n">
        <v>1</v>
      </c>
      <c r="M126" s="8" t="n">
        <f aca="false">M125+L126</f>
        <v>119.2</v>
      </c>
      <c r="N126" s="8" t="n">
        <v>-1</v>
      </c>
      <c r="O126" s="8" t="n">
        <f aca="false">O125+N126</f>
        <v>167.9</v>
      </c>
      <c r="P126" s="8" t="n">
        <v>86</v>
      </c>
      <c r="Q126" s="8" t="n">
        <f aca="false">0.35+((P126-9)/121)*(1-0.35)</f>
        <v>0.763636363636364</v>
      </c>
      <c r="R126" s="12" t="n">
        <f aca="false">Q126*L126</f>
        <v>0.763636363636364</v>
      </c>
      <c r="S126" s="12" t="n">
        <f aca="false">J126-R126</f>
        <v>-0.763636363636364</v>
      </c>
      <c r="T126" s="12" t="n">
        <f aca="false">MIN(197.4,T125+S126)</f>
        <v>195.902272727273</v>
      </c>
      <c r="V126" s="8" t="n">
        <v>603.9</v>
      </c>
      <c r="X126" s="8" t="n">
        <f aca="false">X125+V126</f>
        <v>56882.3</v>
      </c>
      <c r="AA126" s="19" t="n">
        <v>8.75008752295438</v>
      </c>
    </row>
    <row r="127" s="8" customFormat="true" ht="15" hidden="false" customHeight="false" outlineLevel="0" collapsed="false">
      <c r="A127" s="14"/>
      <c r="B127" s="20" t="n">
        <v>2</v>
      </c>
      <c r="C127" s="16" t="n">
        <v>41243</v>
      </c>
      <c r="D127" s="8" t="n">
        <v>1.8</v>
      </c>
      <c r="E127" s="8" t="n">
        <v>-2.5</v>
      </c>
      <c r="F127" s="8" t="n">
        <v>6.9</v>
      </c>
      <c r="G127" s="8" t="n">
        <f aca="false">G126+D127</f>
        <v>997.3</v>
      </c>
      <c r="J127" s="8" t="n">
        <v>0.2</v>
      </c>
      <c r="K127" s="8" t="n">
        <f aca="false">J127+K126</f>
        <v>255.2</v>
      </c>
      <c r="L127" s="8" t="n">
        <v>0.3</v>
      </c>
      <c r="M127" s="8" t="n">
        <f aca="false">M126+L127</f>
        <v>119.5</v>
      </c>
      <c r="N127" s="8" t="n">
        <v>-0.1</v>
      </c>
      <c r="O127" s="8" t="n">
        <f aca="false">O126+N127</f>
        <v>167.8</v>
      </c>
      <c r="P127" s="8" t="n">
        <v>87</v>
      </c>
      <c r="Q127" s="8" t="n">
        <f aca="false">0.35+((P127-9)/121)*(1-0.35)</f>
        <v>0.76900826446281</v>
      </c>
      <c r="R127" s="12" t="n">
        <f aca="false">Q127*L127</f>
        <v>0.230702479338843</v>
      </c>
      <c r="S127" s="12" t="n">
        <f aca="false">J127-R127</f>
        <v>-0.030702479338843</v>
      </c>
      <c r="T127" s="12" t="n">
        <f aca="false">MIN(197.4,T126+S127)</f>
        <v>195.871570247934</v>
      </c>
      <c r="V127" s="8" t="n">
        <v>195.9</v>
      </c>
      <c r="X127" s="8" t="n">
        <f aca="false">X126+V127</f>
        <v>57078.2</v>
      </c>
      <c r="AA127" s="19" t="n">
        <v>8.71793515182046</v>
      </c>
    </row>
    <row r="128" s="8" customFormat="true" ht="15" hidden="false" customHeight="false" outlineLevel="0" collapsed="false">
      <c r="A128" s="14"/>
      <c r="B128" s="20" t="n">
        <v>3</v>
      </c>
      <c r="C128" s="16" t="n">
        <v>41244</v>
      </c>
      <c r="D128" s="8" t="n">
        <v>4.3</v>
      </c>
      <c r="E128" s="8" t="n">
        <v>-0.3</v>
      </c>
      <c r="F128" s="8" t="n">
        <v>7.9</v>
      </c>
      <c r="G128" s="8" t="n">
        <f aca="false">G127+D128</f>
        <v>1001.6</v>
      </c>
      <c r="J128" s="8" t="n">
        <v>0.9</v>
      </c>
      <c r="K128" s="8" t="n">
        <f aca="false">J128+K127</f>
        <v>256.1</v>
      </c>
      <c r="L128" s="8" t="n">
        <v>0.3</v>
      </c>
      <c r="M128" s="8" t="n">
        <f aca="false">M127+L128</f>
        <v>119.8</v>
      </c>
      <c r="N128" s="8" t="n">
        <v>0.6</v>
      </c>
      <c r="O128" s="8" t="n">
        <f aca="false">O127+N128</f>
        <v>168.4</v>
      </c>
      <c r="P128" s="8" t="n">
        <v>88</v>
      </c>
      <c r="Q128" s="8" t="n">
        <f aca="false">0.35+((P128-9)/121)*(1-0.35)</f>
        <v>0.774380165289256</v>
      </c>
      <c r="R128" s="12" t="n">
        <f aca="false">Q128*L128</f>
        <v>0.232314049586777</v>
      </c>
      <c r="S128" s="12" t="n">
        <f aca="false">J128-R128</f>
        <v>0.667685950413223</v>
      </c>
      <c r="T128" s="12" t="n">
        <f aca="false">MIN(197.4,T127+S128)</f>
        <v>196.539256198347</v>
      </c>
      <c r="V128" s="8" t="n">
        <v>445.9</v>
      </c>
      <c r="X128" s="8" t="n">
        <f aca="false">X127+V128</f>
        <v>57524.1</v>
      </c>
      <c r="AA128" s="19" t="n">
        <v>8.68692996821549</v>
      </c>
    </row>
    <row r="129" s="8" customFormat="true" ht="15" hidden="false" customHeight="false" outlineLevel="0" collapsed="false">
      <c r="A129" s="14"/>
      <c r="B129" s="15"/>
      <c r="C129" s="16" t="n">
        <v>41245</v>
      </c>
      <c r="D129" s="8" t="n">
        <v>6.7</v>
      </c>
      <c r="E129" s="8" t="n">
        <v>5</v>
      </c>
      <c r="F129" s="8" t="n">
        <v>11</v>
      </c>
      <c r="G129" s="8" t="n">
        <f aca="false">G128+D129</f>
        <v>1008.3</v>
      </c>
      <c r="J129" s="8" t="n">
        <v>6.2</v>
      </c>
      <c r="K129" s="8" t="n">
        <f aca="false">J129+K128</f>
        <v>262.3</v>
      </c>
      <c r="L129" s="8" t="n">
        <v>0.8</v>
      </c>
      <c r="M129" s="8" t="n">
        <f aca="false">M128+L129</f>
        <v>120.6</v>
      </c>
      <c r="N129" s="8" t="n">
        <v>5.4</v>
      </c>
      <c r="O129" s="8" t="n">
        <f aca="false">O128+N129</f>
        <v>173.8</v>
      </c>
      <c r="P129" s="8" t="n">
        <v>89</v>
      </c>
      <c r="Q129" s="8" t="n">
        <f aca="false">0.35+((P129-9)/121)*(1-0.35)</f>
        <v>0.779752066115703</v>
      </c>
      <c r="R129" s="12" t="n">
        <f aca="false">Q129*L129</f>
        <v>0.623801652892562</v>
      </c>
      <c r="S129" s="12" t="n">
        <f aca="false">J129-R129</f>
        <v>5.57619834710744</v>
      </c>
      <c r="T129" s="12" t="n">
        <f aca="false">MIN(197.4,T128+S129)</f>
        <v>197.4</v>
      </c>
      <c r="V129" s="8" t="n">
        <v>405.3</v>
      </c>
      <c r="X129" s="8" t="n">
        <f aca="false">X128+V129</f>
        <v>57929.4</v>
      </c>
      <c r="AA129" s="19" t="n">
        <v>8.65710122794387</v>
      </c>
    </row>
    <row r="130" s="8" customFormat="true" ht="15" hidden="false" customHeight="false" outlineLevel="0" collapsed="false">
      <c r="A130" s="14"/>
      <c r="B130" s="15"/>
      <c r="C130" s="16" t="n">
        <v>41246</v>
      </c>
      <c r="D130" s="8" t="n">
        <v>9.8</v>
      </c>
      <c r="E130" s="8" t="n">
        <v>6.7</v>
      </c>
      <c r="F130" s="8" t="n">
        <v>12</v>
      </c>
      <c r="G130" s="8" t="n">
        <f aca="false">G129+D130</f>
        <v>1018.1</v>
      </c>
      <c r="J130" s="8" t="n">
        <v>7.4</v>
      </c>
      <c r="K130" s="8" t="n">
        <f aca="false">J130+K129</f>
        <v>269.7</v>
      </c>
      <c r="L130" s="8" t="n">
        <v>0.2</v>
      </c>
      <c r="M130" s="8" t="n">
        <f aca="false">M129+L130</f>
        <v>120.8</v>
      </c>
      <c r="N130" s="8" t="n">
        <v>7.2</v>
      </c>
      <c r="O130" s="8" t="n">
        <f aca="false">O129+N130</f>
        <v>181</v>
      </c>
      <c r="P130" s="8" t="n">
        <v>90</v>
      </c>
      <c r="Q130" s="8" t="n">
        <f aca="false">0.35+((P130-9)/121)*(1-0.35)</f>
        <v>0.785123966942149</v>
      </c>
      <c r="R130" s="12" t="n">
        <f aca="false">Q130*L130</f>
        <v>0.15702479338843</v>
      </c>
      <c r="S130" s="12" t="n">
        <f aca="false">J130-R130</f>
        <v>7.24297520661157</v>
      </c>
      <c r="T130" s="12" t="n">
        <f aca="false">MIN(197.4,T129+S130)</f>
        <v>197.4</v>
      </c>
      <c r="V130" s="8" t="n">
        <v>102.8</v>
      </c>
      <c r="X130" s="8" t="n">
        <f aca="false">X129+V130</f>
        <v>58032.2</v>
      </c>
      <c r="AA130" s="19" t="n">
        <v>8.62847770777409</v>
      </c>
    </row>
    <row r="131" s="8" customFormat="true" ht="15" hidden="false" customHeight="false" outlineLevel="0" collapsed="false">
      <c r="A131" s="14"/>
      <c r="B131" s="15"/>
      <c r="C131" s="16" t="n">
        <v>41247</v>
      </c>
      <c r="D131" s="8" t="n">
        <v>5.8</v>
      </c>
      <c r="E131" s="8" t="n">
        <v>4.3</v>
      </c>
      <c r="F131" s="8" t="n">
        <v>9</v>
      </c>
      <c r="G131" s="8" t="n">
        <f aca="false">G130+D131</f>
        <v>1023.9</v>
      </c>
      <c r="J131" s="8" t="n">
        <v>2.2</v>
      </c>
      <c r="K131" s="8" t="n">
        <f aca="false">J131+K130</f>
        <v>271.9</v>
      </c>
      <c r="L131" s="8" t="n">
        <v>1.1</v>
      </c>
      <c r="M131" s="8" t="n">
        <f aca="false">M130+L131</f>
        <v>121.9</v>
      </c>
      <c r="N131" s="8" t="n">
        <v>1.1</v>
      </c>
      <c r="O131" s="8" t="n">
        <f aca="false">O130+N131</f>
        <v>182.1</v>
      </c>
      <c r="P131" s="8" t="n">
        <v>91</v>
      </c>
      <c r="Q131" s="8" t="n">
        <f aca="false">0.35+((P131-9)/121)*(1-0.35)</f>
        <v>0.790495867768595</v>
      </c>
      <c r="R131" s="12" t="n">
        <f aca="false">Q131*L131</f>
        <v>0.869545454545455</v>
      </c>
      <c r="S131" s="12" t="n">
        <f aca="false">J131-R131</f>
        <v>1.33045454545455</v>
      </c>
      <c r="T131" s="12" t="n">
        <f aca="false">MIN(197.4,T130+S131)</f>
        <v>197.4</v>
      </c>
      <c r="V131" s="8" t="n">
        <v>429.8</v>
      </c>
      <c r="X131" s="8" t="n">
        <f aca="false">X130+V131</f>
        <v>58462</v>
      </c>
      <c r="AA131" s="19" t="n">
        <v>8.60108761822177</v>
      </c>
    </row>
    <row r="132" s="8" customFormat="true" ht="15" hidden="false" customHeight="false" outlineLevel="0" collapsed="false">
      <c r="A132" s="14"/>
      <c r="B132" s="20" t="n">
        <v>4</v>
      </c>
      <c r="C132" s="16" t="n">
        <v>41248</v>
      </c>
      <c r="D132" s="8" t="n">
        <v>4.4</v>
      </c>
      <c r="E132" s="8" t="n">
        <v>2.9</v>
      </c>
      <c r="F132" s="8" t="n">
        <v>8.1</v>
      </c>
      <c r="G132" s="8" t="n">
        <f aca="false">G131+D132</f>
        <v>1028.3</v>
      </c>
      <c r="J132" s="8" t="n">
        <v>2.5</v>
      </c>
      <c r="K132" s="8" t="n">
        <f aca="false">J132+K131</f>
        <v>274.4</v>
      </c>
      <c r="L132" s="8" t="n">
        <v>1</v>
      </c>
      <c r="M132" s="8" t="n">
        <f aca="false">M131+L132</f>
        <v>122.9</v>
      </c>
      <c r="N132" s="8" t="n">
        <v>1.5</v>
      </c>
      <c r="O132" s="8" t="n">
        <f aca="false">O131+N132</f>
        <v>183.6</v>
      </c>
      <c r="P132" s="8" t="n">
        <v>92</v>
      </c>
      <c r="Q132" s="8" t="n">
        <f aca="false">0.35+((P132-9)/121)*(1-0.35)</f>
        <v>0.795867768595041</v>
      </c>
      <c r="R132" s="12" t="n">
        <f aca="false">Q132*L132</f>
        <v>0.795867768595041</v>
      </c>
      <c r="S132" s="12" t="n">
        <f aca="false">J132-R132</f>
        <v>1.70413223140496</v>
      </c>
      <c r="T132" s="12" t="n">
        <f aca="false">MIN(197.4,T131+S132)</f>
        <v>197.4</v>
      </c>
      <c r="V132" s="8" t="n">
        <v>476.4</v>
      </c>
      <c r="X132" s="8" t="n">
        <f aca="false">X131+V132</f>
        <v>58938.4</v>
      </c>
      <c r="AA132" s="19" t="n">
        <v>8.57495851501202</v>
      </c>
    </row>
    <row r="133" s="8" customFormat="true" ht="15" hidden="false" customHeight="false" outlineLevel="0" collapsed="false">
      <c r="A133" s="14"/>
      <c r="B133" s="20" t="n">
        <v>5</v>
      </c>
      <c r="C133" s="16" t="n">
        <v>41249</v>
      </c>
      <c r="D133" s="8" t="n">
        <v>2.8</v>
      </c>
      <c r="E133" s="8" t="n">
        <v>-1.2</v>
      </c>
      <c r="F133" s="8" t="n">
        <v>6.6</v>
      </c>
      <c r="G133" s="8" t="n">
        <f aca="false">G132+D133</f>
        <v>1031.1</v>
      </c>
      <c r="J133" s="8" t="n">
        <v>9.1</v>
      </c>
      <c r="K133" s="8" t="n">
        <f aca="false">J133+K132</f>
        <v>283.5</v>
      </c>
      <c r="L133" s="8" t="n">
        <v>0.6</v>
      </c>
      <c r="M133" s="8" t="n">
        <f aca="false">M132+L133</f>
        <v>123.5</v>
      </c>
      <c r="N133" s="8" t="n">
        <v>8.5</v>
      </c>
      <c r="O133" s="8" t="n">
        <f aca="false">O132+N133</f>
        <v>192.1</v>
      </c>
      <c r="P133" s="8" t="n">
        <v>93</v>
      </c>
      <c r="Q133" s="8" t="n">
        <f aca="false">0.35+((P133-9)/121)*(1-0.35)</f>
        <v>0.801239669421488</v>
      </c>
      <c r="R133" s="12" t="n">
        <f aca="false">Q133*L133</f>
        <v>0.480743801652893</v>
      </c>
      <c r="S133" s="12" t="n">
        <f aca="false">J133-R133</f>
        <v>8.61925619834711</v>
      </c>
      <c r="T133" s="12" t="n">
        <f aca="false">MIN(197.4,T132+S133)</f>
        <v>197.4</v>
      </c>
      <c r="V133" s="8" t="n">
        <v>421.2</v>
      </c>
      <c r="X133" s="8" t="n">
        <f aca="false">X132+V133</f>
        <v>59359.6</v>
      </c>
      <c r="AA133" s="19" t="n">
        <v>8.55011720969726</v>
      </c>
    </row>
    <row r="134" s="8" customFormat="true" ht="15" hidden="false" customHeight="false" outlineLevel="0" collapsed="false">
      <c r="A134" s="14"/>
      <c r="B134" s="15"/>
      <c r="C134" s="16" t="n">
        <v>41250</v>
      </c>
      <c r="D134" s="8" t="n">
        <v>6.8</v>
      </c>
      <c r="E134" s="8" t="n">
        <v>4</v>
      </c>
      <c r="F134" s="8" t="n">
        <v>9</v>
      </c>
      <c r="G134" s="8" t="n">
        <f aca="false">G133+D134</f>
        <v>1037.9</v>
      </c>
      <c r="J134" s="8" t="n">
        <v>3.6</v>
      </c>
      <c r="K134" s="8" t="n">
        <f aca="false">J134+K133</f>
        <v>287.1</v>
      </c>
      <c r="L134" s="8" t="n">
        <v>1.1</v>
      </c>
      <c r="M134" s="8" t="n">
        <f aca="false">M133+L134</f>
        <v>124.6</v>
      </c>
      <c r="N134" s="8" t="n">
        <v>2.5</v>
      </c>
      <c r="O134" s="8" t="n">
        <f aca="false">O133+N134</f>
        <v>194.6</v>
      </c>
      <c r="P134" s="8" t="n">
        <v>94</v>
      </c>
      <c r="Q134" s="8" t="n">
        <f aca="false">0.35+((P134-9)/121)*(1-0.35)</f>
        <v>0.806611570247934</v>
      </c>
      <c r="R134" s="12" t="n">
        <f aca="false">Q134*L134</f>
        <v>0.887272727272727</v>
      </c>
      <c r="S134" s="12" t="n">
        <f aca="false">J134-R134</f>
        <v>2.71272727272727</v>
      </c>
      <c r="T134" s="12" t="n">
        <f aca="false">MIN(197.4,T133+S134)</f>
        <v>197.4</v>
      </c>
      <c r="V134" s="8" t="n">
        <v>512</v>
      </c>
      <c r="X134" s="8" t="n">
        <f aca="false">X133+V134</f>
        <v>59871.6</v>
      </c>
      <c r="AA134" s="19" t="n">
        <v>8.52658967994172</v>
      </c>
    </row>
    <row r="135" s="8" customFormat="true" ht="15" hidden="false" customHeight="false" outlineLevel="0" collapsed="false">
      <c r="A135" s="14"/>
      <c r="B135" s="15"/>
      <c r="C135" s="16" t="n">
        <v>41251</v>
      </c>
      <c r="D135" s="8" t="n">
        <v>5.6</v>
      </c>
      <c r="E135" s="8" t="n">
        <v>4.9</v>
      </c>
      <c r="F135" s="8" t="n">
        <v>7.4</v>
      </c>
      <c r="G135" s="8" t="n">
        <f aca="false">G134+D135</f>
        <v>1043.5</v>
      </c>
      <c r="J135" s="8" t="n">
        <v>0</v>
      </c>
      <c r="K135" s="8" t="n">
        <f aca="false">J135+K134</f>
        <v>287.1</v>
      </c>
      <c r="L135" s="8" t="n">
        <v>1</v>
      </c>
      <c r="M135" s="8" t="n">
        <f aca="false">M134+L135</f>
        <v>125.6</v>
      </c>
      <c r="N135" s="8" t="n">
        <v>-1</v>
      </c>
      <c r="O135" s="8" t="n">
        <f aca="false">O134+N135</f>
        <v>193.6</v>
      </c>
      <c r="P135" s="8" t="n">
        <v>95</v>
      </c>
      <c r="Q135" s="8" t="n">
        <f aca="false">0.35+((P135-9)/121)*(1-0.35)</f>
        <v>0.81198347107438</v>
      </c>
      <c r="R135" s="12" t="n">
        <f aca="false">Q135*L135</f>
        <v>0.81198347107438</v>
      </c>
      <c r="S135" s="12" t="n">
        <f aca="false">J135-R135</f>
        <v>-0.81198347107438</v>
      </c>
      <c r="T135" s="12" t="n">
        <f aca="false">MIN(197.4,T134+S135)</f>
        <v>196.588016528926</v>
      </c>
      <c r="V135" s="8" t="n">
        <v>196.7</v>
      </c>
      <c r="X135" s="8" t="n">
        <f aca="false">X134+V135</f>
        <v>60068.3</v>
      </c>
      <c r="AA135" s="19" t="n">
        <v>8.50440098001375</v>
      </c>
    </row>
    <row r="136" s="8" customFormat="true" ht="15" hidden="false" customHeight="false" outlineLevel="0" collapsed="false">
      <c r="A136" s="14"/>
      <c r="B136" s="15"/>
      <c r="C136" s="16" t="n">
        <v>41252</v>
      </c>
      <c r="D136" s="8" t="n">
        <v>5.9</v>
      </c>
      <c r="E136" s="8" t="n">
        <v>1.8</v>
      </c>
      <c r="F136" s="8" t="n">
        <v>9.4</v>
      </c>
      <c r="G136" s="8" t="n">
        <f aca="false">G135+D136</f>
        <v>1049.4</v>
      </c>
      <c r="J136" s="8" t="n">
        <v>1.5</v>
      </c>
      <c r="K136" s="8" t="n">
        <f aca="false">J136+K135</f>
        <v>288.6</v>
      </c>
      <c r="L136" s="8" t="n">
        <v>0.6</v>
      </c>
      <c r="M136" s="8" t="n">
        <f aca="false">M135+L136</f>
        <v>126.2</v>
      </c>
      <c r="N136" s="8" t="n">
        <v>0.9</v>
      </c>
      <c r="O136" s="8" t="n">
        <f aca="false">O135+N136</f>
        <v>194.5</v>
      </c>
      <c r="P136" s="8" t="n">
        <v>96</v>
      </c>
      <c r="Q136" s="8" t="n">
        <f aca="false">0.35+((P136-9)/121)*(1-0.35)</f>
        <v>0.817355371900826</v>
      </c>
      <c r="R136" s="12" t="n">
        <f aca="false">Q136*L136</f>
        <v>0.490413223140496</v>
      </c>
      <c r="S136" s="12" t="n">
        <f aca="false">J136-R136</f>
        <v>1.0095867768595</v>
      </c>
      <c r="T136" s="12" t="n">
        <f aca="false">MIN(197.4,T135+S136)</f>
        <v>197.4</v>
      </c>
      <c r="V136" s="8" t="n">
        <v>171.2</v>
      </c>
      <c r="X136" s="8" t="n">
        <f aca="false">X135+V136</f>
        <v>60239.5</v>
      </c>
      <c r="AA136" s="19" t="n">
        <v>8.48357515205381</v>
      </c>
    </row>
    <row r="137" s="8" customFormat="true" ht="15" hidden="false" customHeight="false" outlineLevel="0" collapsed="false">
      <c r="A137" s="14"/>
      <c r="B137" s="15"/>
      <c r="C137" s="16" t="n">
        <v>41253</v>
      </c>
      <c r="D137" s="8" t="n">
        <v>5.1</v>
      </c>
      <c r="E137" s="8" t="n">
        <v>2.9</v>
      </c>
      <c r="F137" s="8" t="n">
        <v>8.4</v>
      </c>
      <c r="G137" s="8" t="n">
        <f aca="false">G136+D137</f>
        <v>1054.5</v>
      </c>
      <c r="J137" s="8" t="n">
        <v>0</v>
      </c>
      <c r="K137" s="8" t="n">
        <f aca="false">J137+K136</f>
        <v>288.6</v>
      </c>
      <c r="L137" s="8" t="n">
        <v>0.9</v>
      </c>
      <c r="M137" s="8" t="n">
        <f aca="false">M136+L137</f>
        <v>127.1</v>
      </c>
      <c r="N137" s="8" t="n">
        <v>-0.9</v>
      </c>
      <c r="O137" s="8" t="n">
        <f aca="false">O136+N137</f>
        <v>193.6</v>
      </c>
      <c r="P137" s="8" t="n">
        <v>97</v>
      </c>
      <c r="Q137" s="8" t="n">
        <f aca="false">0.35+((P137-9)/121)*(1-0.35)</f>
        <v>0.822727272727273</v>
      </c>
      <c r="R137" s="12" t="n">
        <f aca="false">Q137*L137</f>
        <v>0.740454545454546</v>
      </c>
      <c r="S137" s="12" t="n">
        <f aca="false">J137-R137</f>
        <v>-0.740454545454546</v>
      </c>
      <c r="T137" s="12" t="n">
        <f aca="false">MIN(197.4,T136+S137)</f>
        <v>196.659545454545</v>
      </c>
      <c r="V137" s="8" t="n">
        <v>530.8</v>
      </c>
      <c r="X137" s="8" t="n">
        <f aca="false">X136+V137</f>
        <v>60770.3</v>
      </c>
      <c r="AA137" s="19" t="n">
        <v>8.46413513870674</v>
      </c>
    </row>
    <row r="138" s="8" customFormat="true" ht="15" hidden="false" customHeight="false" outlineLevel="0" collapsed="false">
      <c r="A138" s="14"/>
      <c r="B138" s="20" t="n">
        <v>6</v>
      </c>
      <c r="C138" s="16" t="n">
        <v>41254</v>
      </c>
      <c r="D138" s="8" t="n">
        <v>1.5</v>
      </c>
      <c r="E138" s="8" t="n">
        <v>-0.2</v>
      </c>
      <c r="F138" s="8" t="n">
        <v>6.4</v>
      </c>
      <c r="G138" s="8" t="n">
        <f aca="false">G137+D138</f>
        <v>1056</v>
      </c>
      <c r="J138" s="8" t="n">
        <v>0</v>
      </c>
      <c r="K138" s="8" t="n">
        <f aca="false">J138+K137</f>
        <v>288.6</v>
      </c>
      <c r="L138" s="8" t="n">
        <v>1</v>
      </c>
      <c r="M138" s="8" t="n">
        <f aca="false">M137+L138</f>
        <v>128.1</v>
      </c>
      <c r="N138" s="8" t="n">
        <v>-1</v>
      </c>
      <c r="O138" s="8" t="n">
        <f aca="false">O137+N138</f>
        <v>192.6</v>
      </c>
      <c r="P138" s="8" t="n">
        <v>98</v>
      </c>
      <c r="Q138" s="8" t="n">
        <f aca="false">0.35+((P138-9)/121)*(1-0.35)</f>
        <v>0.828099173553719</v>
      </c>
      <c r="R138" s="12" t="n">
        <f aca="false">Q138*L138</f>
        <v>0.828099173553719</v>
      </c>
      <c r="S138" s="12" t="n">
        <f aca="false">J138-R138</f>
        <v>-0.828099173553719</v>
      </c>
      <c r="T138" s="12" t="n">
        <f aca="false">MIN(197.4,T137+S138)</f>
        <v>195.831446280992</v>
      </c>
      <c r="V138" s="8" t="n">
        <v>618.6</v>
      </c>
      <c r="X138" s="8" t="n">
        <f aca="false">X137+V138</f>
        <v>61388.9</v>
      </c>
      <c r="AA138" s="19" t="n">
        <v>8.44610269772272</v>
      </c>
    </row>
    <row r="139" s="8" customFormat="true" ht="15" hidden="false" customHeight="false" outlineLevel="0" collapsed="false">
      <c r="A139" s="14"/>
      <c r="B139" s="20" t="n">
        <v>7</v>
      </c>
      <c r="C139" s="16" t="n">
        <v>41255</v>
      </c>
      <c r="D139" s="8" t="n">
        <v>-1.3</v>
      </c>
      <c r="E139" s="8" t="n">
        <v>-3.7</v>
      </c>
      <c r="F139" s="8" t="n">
        <v>1.7</v>
      </c>
      <c r="G139" s="8" t="n">
        <v>1056</v>
      </c>
      <c r="J139" s="8" t="n">
        <v>1.4</v>
      </c>
      <c r="K139" s="8" t="n">
        <f aca="false">J139+K138</f>
        <v>290</v>
      </c>
      <c r="L139" s="8" t="n">
        <v>0.6</v>
      </c>
      <c r="M139" s="8" t="n">
        <f aca="false">M138+L139</f>
        <v>128.7</v>
      </c>
      <c r="N139" s="8" t="n">
        <v>0.8</v>
      </c>
      <c r="O139" s="8" t="n">
        <f aca="false">O138+N139</f>
        <v>193.4</v>
      </c>
      <c r="P139" s="8" t="n">
        <v>99</v>
      </c>
      <c r="Q139" s="8" t="n">
        <f aca="false">0.35+((P139-9)/121)*(1-0.35)</f>
        <v>0.833471074380165</v>
      </c>
      <c r="R139" s="12" t="n">
        <f aca="false">Q139*L139</f>
        <v>0.500082644628099</v>
      </c>
      <c r="S139" s="12" t="n">
        <f aca="false">J139-R139</f>
        <v>0.899917355371901</v>
      </c>
      <c r="T139" s="12" t="n">
        <f aca="false">MIN(197.4,T138+S139)</f>
        <v>196.731363636364</v>
      </c>
      <c r="V139" s="8" t="n">
        <v>567.6</v>
      </c>
      <c r="X139" s="8" t="n">
        <f aca="false">X138+V139</f>
        <v>61956.5</v>
      </c>
      <c r="AA139" s="19" t="n">
        <v>8.42949831914019</v>
      </c>
    </row>
    <row r="140" s="8" customFormat="true" ht="15" hidden="false" customHeight="false" outlineLevel="0" collapsed="false">
      <c r="A140" s="14"/>
      <c r="B140" s="20" t="n">
        <v>8</v>
      </c>
      <c r="C140" s="16" t="n">
        <v>41256</v>
      </c>
      <c r="D140" s="8" t="n">
        <v>3.2</v>
      </c>
      <c r="E140" s="8" t="n">
        <v>-0.8</v>
      </c>
      <c r="F140" s="8" t="n">
        <v>9</v>
      </c>
      <c r="G140" s="8" t="n">
        <f aca="false">G139+D140</f>
        <v>1059.2</v>
      </c>
      <c r="J140" s="8" t="n">
        <v>5.3</v>
      </c>
      <c r="K140" s="8" t="n">
        <f aca="false">J140+K139</f>
        <v>295.3</v>
      </c>
      <c r="L140" s="8" t="n">
        <v>0.6</v>
      </c>
      <c r="M140" s="8" t="n">
        <f aca="false">M139+L140</f>
        <v>129.3</v>
      </c>
      <c r="N140" s="8" t="n">
        <v>4.7</v>
      </c>
      <c r="O140" s="8" t="n">
        <v>197.4</v>
      </c>
      <c r="P140" s="8" t="n">
        <v>100</v>
      </c>
      <c r="Q140" s="8" t="n">
        <f aca="false">0.35+((P140-9)/121)*(1-0.35)</f>
        <v>0.838842975206612</v>
      </c>
      <c r="R140" s="12" t="n">
        <f aca="false">Q140*L140</f>
        <v>0.503305785123967</v>
      </c>
      <c r="S140" s="12" t="n">
        <f aca="false">J140-R140</f>
        <v>4.79669421487603</v>
      </c>
      <c r="T140" s="12" t="n">
        <f aca="false">MIN(197.4,T139+S140)</f>
        <v>197.4</v>
      </c>
      <c r="V140" s="8" t="n">
        <v>185.5</v>
      </c>
      <c r="X140" s="8" t="n">
        <f aca="false">X139+V140</f>
        <v>62142</v>
      </c>
      <c r="AA140" s="19" t="n">
        <v>8.41434114566637</v>
      </c>
    </row>
    <row r="141" s="8" customFormat="true" ht="15" hidden="false" customHeight="false" outlineLevel="0" collapsed="false">
      <c r="A141" s="14"/>
      <c r="B141" s="15"/>
      <c r="C141" s="16" t="n">
        <v>41257</v>
      </c>
      <c r="D141" s="8" t="n">
        <v>9.8</v>
      </c>
      <c r="E141" s="8" t="n">
        <v>6.3</v>
      </c>
      <c r="F141" s="8" t="n">
        <v>13.3</v>
      </c>
      <c r="G141" s="8" t="n">
        <f aca="false">G140+D141</f>
        <v>1069</v>
      </c>
      <c r="J141" s="8" t="n">
        <v>9.7</v>
      </c>
      <c r="K141" s="8" t="n">
        <f aca="false">J141+K140</f>
        <v>305</v>
      </c>
      <c r="L141" s="8" t="n">
        <v>0.6</v>
      </c>
      <c r="M141" s="8" t="n">
        <f aca="false">M140+L141</f>
        <v>129.9</v>
      </c>
      <c r="N141" s="8" t="n">
        <v>9.1</v>
      </c>
      <c r="O141" s="8" t="n">
        <v>197.4</v>
      </c>
      <c r="P141" s="8" t="n">
        <v>101</v>
      </c>
      <c r="Q141" s="8" t="n">
        <f aca="false">0.35+((P141-9)/121)*(1-0.35)</f>
        <v>0.844214876033058</v>
      </c>
      <c r="R141" s="12" t="n">
        <f aca="false">Q141*L141</f>
        <v>0.506528925619835</v>
      </c>
      <c r="S141" s="12" t="n">
        <f aca="false">J141-R141</f>
        <v>9.19347107438017</v>
      </c>
      <c r="T141" s="12" t="n">
        <f aca="false">MIN(197.4,T140+S141)</f>
        <v>197.4</v>
      </c>
      <c r="V141" s="8" t="n">
        <v>83.6</v>
      </c>
      <c r="X141" s="8" t="n">
        <f aca="false">X140+V141</f>
        <v>62225.6</v>
      </c>
      <c r="AA141" s="19" t="n">
        <v>8.40064889686631</v>
      </c>
    </row>
    <row r="142" s="8" customFormat="true" ht="15" hidden="false" customHeight="false" outlineLevel="0" collapsed="false">
      <c r="A142" s="14"/>
      <c r="B142" s="15"/>
      <c r="C142" s="16" t="n">
        <v>41258</v>
      </c>
      <c r="D142" s="8" t="n">
        <v>9.2</v>
      </c>
      <c r="E142" s="8" t="n">
        <v>7.5</v>
      </c>
      <c r="F142" s="8" t="n">
        <v>12.3</v>
      </c>
      <c r="G142" s="8" t="n">
        <f aca="false">G141+D142</f>
        <v>1078.2</v>
      </c>
      <c r="J142" s="8" t="n">
        <v>9.3</v>
      </c>
      <c r="K142" s="8" t="n">
        <f aca="false">J142+K141</f>
        <v>314.3</v>
      </c>
      <c r="L142" s="8" t="n">
        <v>1</v>
      </c>
      <c r="M142" s="8" t="n">
        <f aca="false">M141+L142</f>
        <v>130.9</v>
      </c>
      <c r="N142" s="8" t="n">
        <v>8.3</v>
      </c>
      <c r="O142" s="8" t="n">
        <v>197.4</v>
      </c>
      <c r="P142" s="8" t="n">
        <v>102</v>
      </c>
      <c r="Q142" s="8" t="n">
        <f aca="false">0.35+((P142-9)/121)*(1-0.35)</f>
        <v>0.849586776859504</v>
      </c>
      <c r="R142" s="12" t="n">
        <f aca="false">Q142*L142</f>
        <v>0.849586776859504</v>
      </c>
      <c r="S142" s="12" t="n">
        <f aca="false">J142-R142</f>
        <v>8.4504132231405</v>
      </c>
      <c r="T142" s="12" t="n">
        <f aca="false">MIN(197.4,T141+S142)</f>
        <v>197.4</v>
      </c>
      <c r="V142" s="8" t="n">
        <v>250.5</v>
      </c>
      <c r="X142" s="8" t="n">
        <f aca="false">X141+V142</f>
        <v>62476.1</v>
      </c>
      <c r="AA142" s="19" t="n">
        <v>8.38843779775846</v>
      </c>
    </row>
    <row r="143" s="8" customFormat="true" ht="15" hidden="false" customHeight="false" outlineLevel="0" collapsed="false">
      <c r="A143" s="14"/>
      <c r="B143" s="15"/>
      <c r="C143" s="16" t="n">
        <v>41259</v>
      </c>
      <c r="D143" s="8" t="n">
        <v>8.8</v>
      </c>
      <c r="E143" s="8" t="n">
        <v>7.2</v>
      </c>
      <c r="F143" s="8" t="n">
        <v>11.1</v>
      </c>
      <c r="G143" s="8" t="n">
        <f aca="false">G142+D143</f>
        <v>1087</v>
      </c>
      <c r="J143" s="8" t="n">
        <v>4.1</v>
      </c>
      <c r="K143" s="8" t="n">
        <f aca="false">J143+K142</f>
        <v>318.4</v>
      </c>
      <c r="L143" s="8" t="n">
        <v>0.8</v>
      </c>
      <c r="M143" s="8" t="n">
        <f aca="false">M142+L143</f>
        <v>131.7</v>
      </c>
      <c r="N143" s="8" t="n">
        <v>3.3</v>
      </c>
      <c r="O143" s="8" t="n">
        <v>197.4</v>
      </c>
      <c r="P143" s="8" t="n">
        <v>103</v>
      </c>
      <c r="Q143" s="8" t="n">
        <f aca="false">0.35+((P143-9)/121)*(1-0.35)</f>
        <v>0.85495867768595</v>
      </c>
      <c r="R143" s="12" t="n">
        <f aca="false">Q143*L143</f>
        <v>0.68396694214876</v>
      </c>
      <c r="S143" s="12" t="n">
        <f aca="false">J143-R143</f>
        <v>3.41603305785124</v>
      </c>
      <c r="T143" s="12" t="n">
        <f aca="false">MIN(197.4,T142+S143)</f>
        <v>197.4</v>
      </c>
      <c r="V143" s="8" t="n">
        <v>349.1</v>
      </c>
      <c r="X143" s="8" t="n">
        <f aca="false">X142+V143</f>
        <v>62825.2</v>
      </c>
      <c r="AA143" s="19" t="n">
        <v>8.37772251239516</v>
      </c>
    </row>
    <row r="144" s="8" customFormat="true" ht="15" hidden="false" customHeight="false" outlineLevel="0" collapsed="false">
      <c r="A144" s="14"/>
      <c r="B144" s="15"/>
      <c r="C144" s="16" t="n">
        <v>41260</v>
      </c>
      <c r="D144" s="8" t="n">
        <v>8.3</v>
      </c>
      <c r="E144" s="8" t="n">
        <v>7</v>
      </c>
      <c r="F144" s="8" t="n">
        <v>10.9</v>
      </c>
      <c r="G144" s="8" t="n">
        <f aca="false">G143+D144</f>
        <v>1095.3</v>
      </c>
      <c r="J144" s="8" t="n">
        <v>0.6</v>
      </c>
      <c r="K144" s="8" t="n">
        <f aca="false">J144+K143</f>
        <v>319</v>
      </c>
      <c r="L144" s="8" t="n">
        <v>1.2</v>
      </c>
      <c r="M144" s="8" t="n">
        <f aca="false">M143+L144</f>
        <v>132.9</v>
      </c>
      <c r="N144" s="8" t="n">
        <v>-0.6</v>
      </c>
      <c r="O144" s="8" t="n">
        <f aca="false">O143+N144</f>
        <v>196.8</v>
      </c>
      <c r="P144" s="8" t="n">
        <v>104</v>
      </c>
      <c r="Q144" s="8" t="n">
        <f aca="false">0.35+((P144-9)/121)*(1-0.35)</f>
        <v>0.860330578512397</v>
      </c>
      <c r="R144" s="12" t="n">
        <f aca="false">Q144*L144</f>
        <v>1.03239669421488</v>
      </c>
      <c r="S144" s="12" t="n">
        <f aca="false">J144-R144</f>
        <v>-0.432396694214876</v>
      </c>
      <c r="T144" s="12" t="n">
        <f aca="false">MIN(197.4,T143+S144)</f>
        <v>196.967603305785</v>
      </c>
      <c r="V144" s="8" t="n">
        <v>223.9</v>
      </c>
      <c r="X144" s="8" t="n">
        <f aca="false">X143+V144</f>
        <v>63049.1</v>
      </c>
      <c r="AA144" s="19" t="n">
        <v>8.36851608297802</v>
      </c>
    </row>
    <row r="145" s="8" customFormat="true" ht="15" hidden="false" customHeight="false" outlineLevel="0" collapsed="false">
      <c r="A145" s="14"/>
      <c r="B145" s="15"/>
      <c r="C145" s="16" t="n">
        <v>41261</v>
      </c>
      <c r="D145" s="8" t="n">
        <v>7.3</v>
      </c>
      <c r="E145" s="8" t="n">
        <v>6.4</v>
      </c>
      <c r="F145" s="8" t="n">
        <v>9.6</v>
      </c>
      <c r="G145" s="8" t="n">
        <f aca="false">G144+D145</f>
        <v>1102.6</v>
      </c>
      <c r="J145" s="8" t="n">
        <v>8.5</v>
      </c>
      <c r="K145" s="8" t="n">
        <f aca="false">J145+K144</f>
        <v>327.5</v>
      </c>
      <c r="L145" s="8" t="n">
        <v>0.6</v>
      </c>
      <c r="M145" s="8" t="n">
        <f aca="false">M144+L145</f>
        <v>133.5</v>
      </c>
      <c r="N145" s="8" t="n">
        <v>7.9</v>
      </c>
      <c r="O145" s="8" t="n">
        <v>197.4</v>
      </c>
      <c r="P145" s="8" t="n">
        <v>105</v>
      </c>
      <c r="Q145" s="8" t="n">
        <f aca="false">0.35+((P145-9)/121)*(1-0.35)</f>
        <v>0.865702479338843</v>
      </c>
      <c r="R145" s="12" t="n">
        <f aca="false">Q145*L145</f>
        <v>0.519421487603306</v>
      </c>
      <c r="S145" s="12" t="n">
        <f aca="false">J145-R145</f>
        <v>7.98057851239669</v>
      </c>
      <c r="T145" s="12" t="n">
        <f aca="false">MIN(197.4,T144+S145)</f>
        <v>197.4</v>
      </c>
      <c r="V145" s="8" t="n">
        <v>152.4</v>
      </c>
      <c r="X145" s="8" t="n">
        <f aca="false">X144+V145</f>
        <v>63201.5</v>
      </c>
      <c r="AA145" s="19" t="n">
        <v>8.36082987502309</v>
      </c>
    </row>
    <row r="146" s="8" customFormat="true" ht="15" hidden="false" customHeight="false" outlineLevel="0" collapsed="false">
      <c r="A146" s="14"/>
      <c r="B146" s="15"/>
      <c r="C146" s="16" t="n">
        <v>41262</v>
      </c>
      <c r="D146" s="8" t="n">
        <v>10</v>
      </c>
      <c r="E146" s="8" t="n">
        <v>6.1</v>
      </c>
      <c r="F146" s="8" t="n">
        <v>12.2</v>
      </c>
      <c r="G146" s="8" t="n">
        <f aca="false">G145+D146</f>
        <v>1112.6</v>
      </c>
      <c r="J146" s="8" t="n">
        <v>20.8</v>
      </c>
      <c r="K146" s="8" t="n">
        <f aca="false">J146+K145</f>
        <v>348.3</v>
      </c>
      <c r="L146" s="8" t="n">
        <v>0.2</v>
      </c>
      <c r="M146" s="8" t="n">
        <f aca="false">M145+L146</f>
        <v>133.7</v>
      </c>
      <c r="N146" s="8" t="n">
        <v>20.6</v>
      </c>
      <c r="O146" s="8" t="n">
        <v>197.4</v>
      </c>
      <c r="P146" s="8" t="n">
        <v>106</v>
      </c>
      <c r="Q146" s="8" t="n">
        <f aca="false">0.35+((P146-9)/121)*(1-0.35)</f>
        <v>0.871074380165289</v>
      </c>
      <c r="R146" s="12" t="n">
        <f aca="false">Q146*L146</f>
        <v>0.174214876033058</v>
      </c>
      <c r="S146" s="12" t="n">
        <f aca="false">J146-R146</f>
        <v>20.6257851239669</v>
      </c>
      <c r="T146" s="12" t="n">
        <f aca="false">MIN(197.4,T145+S146)</f>
        <v>197.4</v>
      </c>
      <c r="V146" s="8" t="n">
        <v>65.4</v>
      </c>
      <c r="X146" s="8" t="n">
        <f aca="false">X145+V146</f>
        <v>63266.9</v>
      </c>
      <c r="AA146" s="19" t="n">
        <v>8.35467352904764</v>
      </c>
    </row>
    <row r="147" s="8" customFormat="true" ht="15" hidden="false" customHeight="false" outlineLevel="0" collapsed="false">
      <c r="A147" s="14"/>
      <c r="B147" s="15"/>
      <c r="C147" s="16" t="n">
        <v>41263</v>
      </c>
      <c r="D147" s="8" t="n">
        <v>10.2</v>
      </c>
      <c r="E147" s="8" t="n">
        <v>9.4</v>
      </c>
      <c r="F147" s="8" t="n">
        <v>12.1</v>
      </c>
      <c r="G147" s="8" t="n">
        <f aca="false">G146+D147</f>
        <v>1122.8</v>
      </c>
      <c r="J147" s="8" t="n">
        <v>2.6</v>
      </c>
      <c r="K147" s="8" t="n">
        <f aca="false">J147+K146</f>
        <v>350.9</v>
      </c>
      <c r="L147" s="8" t="n">
        <v>0.7</v>
      </c>
      <c r="M147" s="8" t="n">
        <f aca="false">M146+L147</f>
        <v>134.4</v>
      </c>
      <c r="N147" s="8" t="n">
        <v>1.9</v>
      </c>
      <c r="O147" s="8" t="n">
        <v>197.4</v>
      </c>
      <c r="P147" s="8" t="n">
        <v>107</v>
      </c>
      <c r="Q147" s="8" t="n">
        <f aca="false">0.35+((P147-9)/121)*(1-0.35)</f>
        <v>0.876446280991736</v>
      </c>
      <c r="R147" s="12" t="n">
        <f aca="false">Q147*L147</f>
        <v>0.613512396694215</v>
      </c>
      <c r="S147" s="12" t="n">
        <f aca="false">J147-R147</f>
        <v>1.98648760330579</v>
      </c>
      <c r="T147" s="12" t="n">
        <f aca="false">MIN(197.4,T146+S147)</f>
        <v>197.4</v>
      </c>
      <c r="V147" s="8" t="n">
        <v>231.1</v>
      </c>
      <c r="X147" s="8" t="n">
        <f aca="false">X146+V147</f>
        <v>63498</v>
      </c>
      <c r="AA147" s="19" t="n">
        <v>8.35005491920091</v>
      </c>
    </row>
    <row r="148" s="8" customFormat="true" ht="15" hidden="false" customHeight="false" outlineLevel="0" collapsed="false">
      <c r="A148" s="14"/>
      <c r="B148" s="15"/>
      <c r="C148" s="16" t="n">
        <v>41264</v>
      </c>
      <c r="D148" s="8" t="n">
        <v>8.5</v>
      </c>
      <c r="E148" s="8" t="n">
        <v>7.6</v>
      </c>
      <c r="F148" s="8" t="n">
        <v>10.3</v>
      </c>
      <c r="G148" s="8" t="n">
        <f aca="false">G147+D148</f>
        <v>1131.3</v>
      </c>
      <c r="J148" s="8" t="n">
        <v>10.4</v>
      </c>
      <c r="K148" s="8" t="n">
        <f aca="false">J148+K147</f>
        <v>361.3</v>
      </c>
      <c r="L148" s="8" t="n">
        <v>0.4</v>
      </c>
      <c r="M148" s="8" t="n">
        <f aca="false">M147+L148</f>
        <v>134.8</v>
      </c>
      <c r="N148" s="8" t="n">
        <v>10</v>
      </c>
      <c r="O148" s="8" t="n">
        <v>197.4</v>
      </c>
      <c r="P148" s="8" t="n">
        <v>108</v>
      </c>
      <c r="Q148" s="8" t="n">
        <f aca="false">0.35+((P148-9)/121)*(1-0.35)</f>
        <v>0.881818181818182</v>
      </c>
      <c r="R148" s="12" t="n">
        <f aca="false">Q148*L148</f>
        <v>0.352727272727273</v>
      </c>
      <c r="S148" s="12" t="n">
        <f aca="false">J148-R148</f>
        <v>10.0472727272727</v>
      </c>
      <c r="T148" s="12" t="n">
        <f aca="false">MIN(197.4,T147+S148)</f>
        <v>197.4</v>
      </c>
      <c r="V148" s="8" t="n">
        <v>193.1</v>
      </c>
      <c r="X148" s="8" t="n">
        <f aca="false">X147+V148</f>
        <v>63691.1</v>
      </c>
      <c r="AA148" s="19" t="n">
        <v>8.34698011920513</v>
      </c>
    </row>
    <row r="149" s="8" customFormat="true" ht="15" hidden="false" customHeight="false" outlineLevel="0" collapsed="false">
      <c r="A149" s="14"/>
      <c r="B149" s="15"/>
      <c r="C149" s="16" t="n">
        <v>41265</v>
      </c>
      <c r="D149" s="8" t="n">
        <v>12.6</v>
      </c>
      <c r="E149" s="8" t="n">
        <v>8.1</v>
      </c>
      <c r="F149" s="8" t="n">
        <v>16.2</v>
      </c>
      <c r="G149" s="8" t="n">
        <f aca="false">G148+D149</f>
        <v>1143.9</v>
      </c>
      <c r="J149" s="8" t="n">
        <v>1.1</v>
      </c>
      <c r="K149" s="8" t="n">
        <f aca="false">J149+K148</f>
        <v>362.4</v>
      </c>
      <c r="L149" s="8" t="n">
        <v>0.5</v>
      </c>
      <c r="M149" s="8" t="n">
        <f aca="false">M148+L149</f>
        <v>135.3</v>
      </c>
      <c r="N149" s="8" t="n">
        <v>0.6</v>
      </c>
      <c r="O149" s="8" t="n">
        <v>197.4</v>
      </c>
      <c r="P149" s="8" t="n">
        <v>109</v>
      </c>
      <c r="Q149" s="8" t="n">
        <f aca="false">0.35+((P149-9)/121)*(1-0.35)</f>
        <v>0.887190082644628</v>
      </c>
      <c r="R149" s="12" t="n">
        <f aca="false">Q149*L149</f>
        <v>0.443595041322314</v>
      </c>
      <c r="S149" s="12" t="n">
        <f aca="false">J149-R149</f>
        <v>0.656404958677686</v>
      </c>
      <c r="T149" s="12" t="n">
        <f aca="false">MIN(197.4,T148+S149)</f>
        <v>197.4</v>
      </c>
      <c r="V149" s="8" t="n">
        <v>68.3</v>
      </c>
      <c r="X149" s="8" t="n">
        <f aca="false">X148+V149</f>
        <v>63759.4</v>
      </c>
      <c r="AA149" s="19" t="n">
        <v>8.34545337591164</v>
      </c>
    </row>
    <row r="150" s="8" customFormat="true" ht="15" hidden="false" customHeight="false" outlineLevel="0" collapsed="false">
      <c r="A150" s="14"/>
      <c r="B150" s="15"/>
      <c r="C150" s="16" t="n">
        <v>41266</v>
      </c>
      <c r="D150" s="8" t="n">
        <v>13.6</v>
      </c>
      <c r="E150" s="8" t="n">
        <v>13.4</v>
      </c>
      <c r="F150" s="8" t="n">
        <v>13.9</v>
      </c>
      <c r="G150" s="8" t="n">
        <f aca="false">G149+D150</f>
        <v>1157.5</v>
      </c>
      <c r="J150" s="8" t="n">
        <v>0.2</v>
      </c>
      <c r="K150" s="8" t="n">
        <f aca="false">J150+K149</f>
        <v>362.6</v>
      </c>
      <c r="L150" s="8" t="n">
        <v>1</v>
      </c>
      <c r="M150" s="8" t="n">
        <f aca="false">M149+L150</f>
        <v>136.3</v>
      </c>
      <c r="N150" s="8" t="n">
        <v>-0.8</v>
      </c>
      <c r="O150" s="8" t="n">
        <f aca="false">O149+N150</f>
        <v>196.6</v>
      </c>
      <c r="P150" s="8" t="n">
        <v>110</v>
      </c>
      <c r="Q150" s="8" t="n">
        <f aca="false">0.35+((P150-9)/121)*(1-0.35)</f>
        <v>0.892561983471074</v>
      </c>
      <c r="R150" s="12" t="n">
        <f aca="false">Q150*L150</f>
        <v>0.892561983471074</v>
      </c>
      <c r="S150" s="12" t="n">
        <f aca="false">J150-R150</f>
        <v>-0.692561983471074</v>
      </c>
      <c r="T150" s="12" t="n">
        <f aca="false">MIN(197.4,T149+S150)</f>
        <v>196.707438016529</v>
      </c>
      <c r="V150" s="8" t="n">
        <v>136.4</v>
      </c>
      <c r="X150" s="8" t="n">
        <f aca="false">X149+V150</f>
        <v>63895.8</v>
      </c>
      <c r="AA150" s="19" t="n">
        <v>8.34547709071098</v>
      </c>
    </row>
    <row r="151" s="8" customFormat="true" ht="15" hidden="false" customHeight="false" outlineLevel="0" collapsed="false">
      <c r="A151" s="14"/>
      <c r="B151" s="15"/>
      <c r="C151" s="16" t="n">
        <v>41267</v>
      </c>
      <c r="D151" s="8" t="n">
        <v>11.4</v>
      </c>
      <c r="E151" s="8" t="n">
        <v>9.5</v>
      </c>
      <c r="F151" s="8" t="n">
        <v>13.5</v>
      </c>
      <c r="G151" s="8" t="n">
        <f aca="false">G150+D151</f>
        <v>1168.9</v>
      </c>
      <c r="J151" s="8" t="n">
        <v>4.9</v>
      </c>
      <c r="K151" s="8" t="n">
        <f aca="false">J151+K150</f>
        <v>367.5</v>
      </c>
      <c r="L151" s="8" t="n">
        <v>1</v>
      </c>
      <c r="M151" s="8" t="n">
        <f aca="false">M150+L151</f>
        <v>137.3</v>
      </c>
      <c r="N151" s="8" t="n">
        <v>3.9</v>
      </c>
      <c r="O151" s="8" t="n">
        <v>197.4</v>
      </c>
      <c r="P151" s="8" t="n">
        <v>111</v>
      </c>
      <c r="Q151" s="8" t="n">
        <f aca="false">0.35+((P151-9)/121)*(1-0.35)</f>
        <v>0.897933884297521</v>
      </c>
      <c r="R151" s="12" t="n">
        <f aca="false">Q151*L151</f>
        <v>0.897933884297521</v>
      </c>
      <c r="S151" s="12" t="n">
        <f aca="false">J151-R151</f>
        <v>4.00206611570248</v>
      </c>
      <c r="T151" s="12" t="n">
        <f aca="false">MIN(197.4,T150+S151)</f>
        <v>197.4</v>
      </c>
      <c r="V151" s="8" t="n">
        <v>450</v>
      </c>
      <c r="X151" s="8" t="n">
        <f aca="false">X150+V151</f>
        <v>64345.8</v>
      </c>
      <c r="AA151" s="19" t="n">
        <v>8.34705180896561</v>
      </c>
    </row>
    <row r="152" s="8" customFormat="true" ht="15" hidden="false" customHeight="false" outlineLevel="0" collapsed="false">
      <c r="A152" s="14"/>
      <c r="B152" s="15"/>
      <c r="C152" s="16" t="n">
        <v>41268</v>
      </c>
      <c r="D152" s="8" t="n">
        <v>10</v>
      </c>
      <c r="E152" s="8" t="n">
        <v>9.3</v>
      </c>
      <c r="F152" s="8" t="n">
        <v>12.7</v>
      </c>
      <c r="G152" s="8" t="n">
        <f aca="false">G151+D152</f>
        <v>1178.9</v>
      </c>
      <c r="J152" s="8" t="n">
        <v>1.9</v>
      </c>
      <c r="K152" s="8" t="n">
        <f aca="false">J152+K151</f>
        <v>369.4</v>
      </c>
      <c r="L152" s="8" t="n">
        <v>1.5</v>
      </c>
      <c r="M152" s="8" t="n">
        <f aca="false">M151+L152</f>
        <v>138.8</v>
      </c>
      <c r="N152" s="8" t="n">
        <v>0.4</v>
      </c>
      <c r="O152" s="8" t="n">
        <v>197.4</v>
      </c>
      <c r="P152" s="8" t="n">
        <v>112</v>
      </c>
      <c r="Q152" s="8" t="n">
        <f aca="false">0.35+((P152-9)/121)*(1-0.35)</f>
        <v>0.903305785123967</v>
      </c>
      <c r="R152" s="12" t="n">
        <f aca="false">Q152*L152</f>
        <v>1.35495867768595</v>
      </c>
      <c r="S152" s="12" t="n">
        <f aca="false">J152-R152</f>
        <v>0.54504132231405</v>
      </c>
      <c r="T152" s="12" t="n">
        <f aca="false">MIN(197.4,T151+S152)</f>
        <v>197.4</v>
      </c>
      <c r="V152" s="8" t="n">
        <v>330.7</v>
      </c>
      <c r="X152" s="8" t="n">
        <f aca="false">X151+V152</f>
        <v>64676.5</v>
      </c>
      <c r="AA152" s="19" t="n">
        <v>8.35017621756187</v>
      </c>
    </row>
    <row r="153" s="8" customFormat="true" ht="15" hidden="false" customHeight="false" outlineLevel="0" collapsed="false">
      <c r="A153" s="14"/>
      <c r="B153" s="15"/>
      <c r="C153" s="16" t="n">
        <v>41269</v>
      </c>
      <c r="D153" s="8" t="n">
        <v>9.6</v>
      </c>
      <c r="E153" s="8" t="n">
        <v>6.8</v>
      </c>
      <c r="F153" s="8" t="n">
        <v>12.9</v>
      </c>
      <c r="G153" s="8" t="n">
        <f aca="false">G152+D153</f>
        <v>1188.5</v>
      </c>
      <c r="J153" s="8" t="n">
        <v>7</v>
      </c>
      <c r="K153" s="8" t="n">
        <f aca="false">J153+K152</f>
        <v>376.4</v>
      </c>
      <c r="L153" s="8" t="n">
        <v>1.2</v>
      </c>
      <c r="M153" s="8" t="n">
        <f aca="false">M152+L153</f>
        <v>140</v>
      </c>
      <c r="N153" s="8" t="n">
        <v>5.8</v>
      </c>
      <c r="O153" s="8" t="n">
        <v>197.4</v>
      </c>
      <c r="P153" s="8" t="n">
        <v>113</v>
      </c>
      <c r="Q153" s="8" t="n">
        <f aca="false">0.35+((P153-9)/121)*(1-0.35)</f>
        <v>0.908677685950413</v>
      </c>
      <c r="R153" s="12" t="n">
        <f aca="false">Q153*L153</f>
        <v>1.0904132231405</v>
      </c>
      <c r="S153" s="12" t="n">
        <f aca="false">J153-R153</f>
        <v>5.9095867768595</v>
      </c>
      <c r="T153" s="12" t="n">
        <f aca="false">MIN(197.4,T152+S153)</f>
        <v>197.4</v>
      </c>
      <c r="V153" s="8" t="n">
        <v>440.6</v>
      </c>
      <c r="X153" s="8" t="n">
        <f aca="false">X152+V153</f>
        <v>65117.1</v>
      </c>
      <c r="AA153" s="19" t="n">
        <v>8.35484715060337</v>
      </c>
    </row>
    <row r="154" s="8" customFormat="true" ht="15" hidden="false" customHeight="false" outlineLevel="0" collapsed="false">
      <c r="A154" s="14"/>
      <c r="B154" s="15"/>
      <c r="C154" s="16" t="n">
        <v>41270</v>
      </c>
      <c r="D154" s="8" t="n">
        <v>10</v>
      </c>
      <c r="E154" s="8" t="n">
        <v>9.6</v>
      </c>
      <c r="F154" s="8" t="n">
        <v>11.8</v>
      </c>
      <c r="G154" s="8" t="n">
        <f aca="false">G153+D154</f>
        <v>1198.5</v>
      </c>
      <c r="J154" s="8" t="n">
        <v>0.7</v>
      </c>
      <c r="K154" s="8" t="n">
        <f aca="false">J154+K153</f>
        <v>377.1</v>
      </c>
      <c r="L154" s="8" t="n">
        <v>1.6</v>
      </c>
      <c r="M154" s="8" t="n">
        <f aca="false">M153+L154</f>
        <v>141.6</v>
      </c>
      <c r="N154" s="8" t="n">
        <v>-0.9</v>
      </c>
      <c r="O154" s="8" t="n">
        <f aca="false">O153+N154</f>
        <v>196.5</v>
      </c>
      <c r="P154" s="8" t="n">
        <v>114</v>
      </c>
      <c r="Q154" s="8" t="n">
        <f aca="false">0.35+((P154-9)/121)*(1-0.35)</f>
        <v>0.91404958677686</v>
      </c>
      <c r="R154" s="12" t="n">
        <f aca="false">Q154*L154</f>
        <v>1.46247933884298</v>
      </c>
      <c r="S154" s="12" t="n">
        <f aca="false">J154-R154</f>
        <v>-0.762479338842975</v>
      </c>
      <c r="T154" s="12" t="n">
        <f aca="false">MIN(197.4,T153+S154)</f>
        <v>196.637520661157</v>
      </c>
      <c r="V154" s="8" t="n">
        <v>198.4</v>
      </c>
      <c r="X154" s="8" t="n">
        <f aca="false">X153+V154</f>
        <v>65315.5</v>
      </c>
      <c r="AA154" s="19" t="n">
        <v>8.36105960319404</v>
      </c>
    </row>
    <row r="155" s="8" customFormat="true" ht="15" hidden="false" customHeight="false" outlineLevel="0" collapsed="false">
      <c r="A155" s="14"/>
      <c r="B155" s="15"/>
      <c r="C155" s="16" t="n">
        <v>41271</v>
      </c>
      <c r="D155" s="8" t="n">
        <v>11.5</v>
      </c>
      <c r="E155" s="8" t="n">
        <v>9.1</v>
      </c>
      <c r="F155" s="8" t="n">
        <v>12.5</v>
      </c>
      <c r="G155" s="8" t="n">
        <f aca="false">G154+D155</f>
        <v>1210</v>
      </c>
      <c r="J155" s="8" t="n">
        <v>0.6</v>
      </c>
      <c r="K155" s="8" t="n">
        <f aca="false">J155+K154</f>
        <v>377.7</v>
      </c>
      <c r="L155" s="8" t="n">
        <v>0.3</v>
      </c>
      <c r="M155" s="8" t="n">
        <f aca="false">M154+L155</f>
        <v>141.9</v>
      </c>
      <c r="N155" s="8" t="n">
        <v>0.3</v>
      </c>
      <c r="O155" s="8" t="n">
        <f aca="false">O154+N155</f>
        <v>196.8</v>
      </c>
      <c r="P155" s="8" t="n">
        <v>115</v>
      </c>
      <c r="Q155" s="8" t="n">
        <f aca="false">0.35+((P155-9)/121)*(1-0.35)</f>
        <v>0.919421487603306</v>
      </c>
      <c r="R155" s="12" t="n">
        <f aca="false">Q155*L155</f>
        <v>0.275826446280992</v>
      </c>
      <c r="S155" s="12" t="n">
        <f aca="false">J155-R155</f>
        <v>0.324173553719008</v>
      </c>
      <c r="T155" s="12" t="n">
        <f aca="false">MIN(197.4,T154+S155)</f>
        <v>196.961694214876</v>
      </c>
      <c r="V155" s="8" t="n">
        <v>131.2</v>
      </c>
      <c r="X155" s="8" t="n">
        <f aca="false">X154+V155</f>
        <v>65446.7</v>
      </c>
      <c r="AA155" s="19" t="n">
        <v>8.36880675318514</v>
      </c>
    </row>
    <row r="156" s="8" customFormat="true" ht="15" hidden="false" customHeight="false" outlineLevel="0" collapsed="false">
      <c r="A156" s="14"/>
      <c r="B156" s="15"/>
      <c r="C156" s="16" t="n">
        <v>41272</v>
      </c>
      <c r="D156" s="8" t="n">
        <v>9.6</v>
      </c>
      <c r="E156" s="8" t="n">
        <v>8.1</v>
      </c>
      <c r="F156" s="8" t="n">
        <v>12.9</v>
      </c>
      <c r="G156" s="8" t="n">
        <f aca="false">G155+D156</f>
        <v>1219.6</v>
      </c>
      <c r="J156" s="8" t="n">
        <v>2.8</v>
      </c>
      <c r="K156" s="8" t="n">
        <f aca="false">J156+K155</f>
        <v>380.5</v>
      </c>
      <c r="L156" s="8" t="n">
        <v>1.1</v>
      </c>
      <c r="M156" s="8" t="n">
        <f aca="false">M155+L156</f>
        <v>143</v>
      </c>
      <c r="N156" s="8" t="n">
        <v>1.7</v>
      </c>
      <c r="O156" s="8" t="n">
        <v>197.4</v>
      </c>
      <c r="P156" s="8" t="n">
        <v>116</v>
      </c>
      <c r="Q156" s="8" t="n">
        <f aca="false">0.35+((P156-9)/121)*(1-0.35)</f>
        <v>0.924793388429752</v>
      </c>
      <c r="R156" s="12" t="n">
        <f aca="false">Q156*L156</f>
        <v>1.01727272727273</v>
      </c>
      <c r="S156" s="12" t="n">
        <f aca="false">J156-R156</f>
        <v>1.78272727272727</v>
      </c>
      <c r="T156" s="12" t="n">
        <f aca="false">MIN(197.4,T155+S156)</f>
        <v>197.4</v>
      </c>
      <c r="V156" s="8" t="n">
        <v>113.3</v>
      </c>
      <c r="X156" s="8" t="n">
        <f aca="false">X155+V156</f>
        <v>65560</v>
      </c>
      <c r="AA156" s="19" t="n">
        <v>8.37807999068939</v>
      </c>
    </row>
    <row r="157" s="8" customFormat="true" ht="15" hidden="false" customHeight="false" outlineLevel="0" collapsed="false">
      <c r="A157" s="14"/>
      <c r="B157" s="15"/>
      <c r="C157" s="16" t="n">
        <v>41273</v>
      </c>
      <c r="D157" s="8" t="n">
        <v>8.5</v>
      </c>
      <c r="E157" s="8" t="n">
        <v>6.6</v>
      </c>
      <c r="F157" s="8" t="n">
        <v>11.2</v>
      </c>
      <c r="G157" s="8" t="n">
        <f aca="false">G156+D157</f>
        <v>1228.1</v>
      </c>
      <c r="J157" s="8" t="n">
        <v>0.5</v>
      </c>
      <c r="K157" s="8" t="n">
        <f aca="false">J157+K156</f>
        <v>381</v>
      </c>
      <c r="L157" s="8" t="n">
        <v>1.1</v>
      </c>
      <c r="M157" s="8" t="n">
        <f aca="false">M156+L157</f>
        <v>144.1</v>
      </c>
      <c r="N157" s="8" t="n">
        <v>-0.6</v>
      </c>
      <c r="O157" s="8" t="n">
        <f aca="false">O156+N157</f>
        <v>196.8</v>
      </c>
      <c r="P157" s="8" t="n">
        <v>117</v>
      </c>
      <c r="Q157" s="8" t="n">
        <f aca="false">0.35+((P157-9)/121)*(1-0.35)</f>
        <v>0.930165289256198</v>
      </c>
      <c r="R157" s="12" t="n">
        <f aca="false">Q157*L157</f>
        <v>1.02318181818182</v>
      </c>
      <c r="S157" s="12" t="n">
        <f aca="false">J157-R157</f>
        <v>-0.523181818181818</v>
      </c>
      <c r="T157" s="12" t="n">
        <f aca="false">MIN(197.4,T156+S157)</f>
        <v>196.876818181818</v>
      </c>
      <c r="V157" s="8" t="n">
        <v>416.6</v>
      </c>
      <c r="X157" s="8" t="n">
        <f aca="false">X156+V157</f>
        <v>65976.6</v>
      </c>
      <c r="AA157" s="19" t="n">
        <v>8.38886895509656</v>
      </c>
    </row>
    <row r="158" s="8" customFormat="true" ht="15" hidden="false" customHeight="false" outlineLevel="0" collapsed="false">
      <c r="A158" s="14"/>
      <c r="B158" s="15"/>
      <c r="C158" s="16" t="n">
        <v>41274</v>
      </c>
      <c r="D158" s="8" t="n">
        <v>10.2</v>
      </c>
      <c r="E158" s="8" t="n">
        <v>8.1</v>
      </c>
      <c r="F158" s="8" t="n">
        <v>11.3</v>
      </c>
      <c r="G158" s="8" t="n">
        <f aca="false">G157+D158</f>
        <v>1238.3</v>
      </c>
      <c r="J158" s="8" t="n">
        <v>16.9</v>
      </c>
      <c r="K158" s="8" t="n">
        <f aca="false">J158+K157</f>
        <v>397.9</v>
      </c>
      <c r="L158" s="8" t="n">
        <v>0.4</v>
      </c>
      <c r="M158" s="8" t="n">
        <f aca="false">M157+L158</f>
        <v>144.5</v>
      </c>
      <c r="N158" s="8" t="n">
        <v>16.5</v>
      </c>
      <c r="O158" s="8" t="n">
        <v>197.4</v>
      </c>
      <c r="P158" s="8" t="n">
        <v>118</v>
      </c>
      <c r="Q158" s="8" t="n">
        <f aca="false">0.35+((P158-9)/121)*(1-0.35)</f>
        <v>0.935537190082645</v>
      </c>
      <c r="R158" s="12" t="n">
        <f aca="false">Q158*L158</f>
        <v>0.374214876033058</v>
      </c>
      <c r="S158" s="12" t="n">
        <f aca="false">J158-R158</f>
        <v>16.5257851239669</v>
      </c>
      <c r="T158" s="12" t="n">
        <f aca="false">MIN(197.4,T157+S158)</f>
        <v>197.4</v>
      </c>
      <c r="V158" s="8" t="n">
        <v>106.5</v>
      </c>
      <c r="X158" s="8" t="n">
        <f aca="false">X157+V158</f>
        <v>66083.1</v>
      </c>
      <c r="AA158" s="19" t="n">
        <v>8.40116157926066</v>
      </c>
    </row>
    <row r="159" s="8" customFormat="true" ht="15" hidden="false" customHeight="false" outlineLevel="0" collapsed="false">
      <c r="A159" s="14"/>
      <c r="B159" s="15"/>
      <c r="C159" s="16" t="n">
        <v>41275</v>
      </c>
      <c r="D159" s="8" t="n">
        <v>7.2</v>
      </c>
      <c r="E159" s="8" t="n">
        <v>5.8</v>
      </c>
      <c r="F159" s="8" t="n">
        <v>9.6</v>
      </c>
      <c r="G159" s="8" t="n">
        <f aca="false">G158+D159</f>
        <v>1245.5</v>
      </c>
      <c r="J159" s="8" t="n">
        <v>1.7</v>
      </c>
      <c r="K159" s="8" t="n">
        <f aca="false">J159+K158</f>
        <v>399.6</v>
      </c>
      <c r="L159" s="8" t="n">
        <v>0.7</v>
      </c>
      <c r="M159" s="8" t="n">
        <f aca="false">M158+L159</f>
        <v>145.2</v>
      </c>
      <c r="N159" s="8" t="n">
        <v>1</v>
      </c>
      <c r="O159" s="8" t="n">
        <v>197.4</v>
      </c>
      <c r="P159" s="8" t="n">
        <v>119</v>
      </c>
      <c r="Q159" s="8" t="n">
        <f aca="false">0.35+((P159-9)/121)*(1-0.35)</f>
        <v>0.940909090909091</v>
      </c>
      <c r="R159" s="12" t="n">
        <f aca="false">Q159*L159</f>
        <v>0.658636363636364</v>
      </c>
      <c r="S159" s="12" t="n">
        <f aca="false">J159-R159</f>
        <v>1.04136363636364</v>
      </c>
      <c r="T159" s="12" t="n">
        <f aca="false">MIN(197.4,T158+S159)</f>
        <v>197.4</v>
      </c>
      <c r="V159" s="8" t="n">
        <v>498.2</v>
      </c>
      <c r="X159" s="8" t="n">
        <f aca="false">X158+V159</f>
        <v>66581.3</v>
      </c>
      <c r="AA159" s="19" t="n">
        <v>8.4193892160187</v>
      </c>
    </row>
    <row r="160" s="8" customFormat="true" ht="15" hidden="false" customHeight="false" outlineLevel="0" collapsed="false">
      <c r="A160" s="14"/>
      <c r="B160" s="15"/>
      <c r="C160" s="16" t="n">
        <v>41276</v>
      </c>
      <c r="D160" s="8" t="n">
        <v>7.3</v>
      </c>
      <c r="E160" s="8" t="n">
        <v>3.4</v>
      </c>
      <c r="F160" s="8" t="n">
        <v>9.8</v>
      </c>
      <c r="G160" s="8" t="n">
        <f aca="false">G159+D160</f>
        <v>1252.8</v>
      </c>
      <c r="J160" s="8" t="n">
        <v>0</v>
      </c>
      <c r="K160" s="8" t="n">
        <f aca="false">J160+K159</f>
        <v>399.6</v>
      </c>
      <c r="L160" s="8" t="n">
        <v>0.4</v>
      </c>
      <c r="M160" s="8" t="n">
        <f aca="false">M159+L160</f>
        <v>145.6</v>
      </c>
      <c r="N160" s="8" t="n">
        <v>-0.4</v>
      </c>
      <c r="O160" s="8" t="n">
        <f aca="false">O159+N160</f>
        <v>197</v>
      </c>
      <c r="P160" s="8" t="n">
        <v>120</v>
      </c>
      <c r="Q160" s="8" t="n">
        <f aca="false">0.35+((P160-9)/121)*(1-0.35)</f>
        <v>0.946280991735537</v>
      </c>
      <c r="R160" s="12" t="n">
        <f aca="false">Q160*L160</f>
        <v>0.378512396694215</v>
      </c>
      <c r="S160" s="12" t="n">
        <f aca="false">J160-R160</f>
        <v>-0.378512396694215</v>
      </c>
      <c r="T160" s="12" t="n">
        <f aca="false">MIN(197.4,T159+S160)</f>
        <v>197.021487603306</v>
      </c>
      <c r="V160" s="8" t="n">
        <v>395.7</v>
      </c>
      <c r="X160" s="8" t="n">
        <f aca="false">X159+V160</f>
        <v>66977</v>
      </c>
      <c r="AA160" s="19" t="n">
        <v>8.43508770937232</v>
      </c>
    </row>
    <row r="161" s="8" customFormat="true" ht="15" hidden="false" customHeight="false" outlineLevel="0" collapsed="false">
      <c r="A161" s="14"/>
      <c r="B161" s="15"/>
      <c r="C161" s="16" t="n">
        <v>41277</v>
      </c>
      <c r="D161" s="8" t="n">
        <v>10.1</v>
      </c>
      <c r="E161" s="8" t="n">
        <v>8.9</v>
      </c>
      <c r="F161" s="8" t="n">
        <v>11.6</v>
      </c>
      <c r="G161" s="8" t="n">
        <f aca="false">G160+D161</f>
        <v>1262.9</v>
      </c>
      <c r="J161" s="8" t="n">
        <v>0.1</v>
      </c>
      <c r="K161" s="8" t="n">
        <f aca="false">J161+K160</f>
        <v>399.7</v>
      </c>
      <c r="L161" s="8" t="n">
        <v>0.5</v>
      </c>
      <c r="M161" s="8" t="n">
        <f aca="false">M160+L161</f>
        <v>146.1</v>
      </c>
      <c r="N161" s="8" t="n">
        <v>-0.4</v>
      </c>
      <c r="O161" s="8" t="n">
        <f aca="false">O160+N161</f>
        <v>196.6</v>
      </c>
      <c r="P161" s="8" t="n">
        <v>121</v>
      </c>
      <c r="Q161" s="8" t="n">
        <f aca="false">0.35+((P161-9)/121)*(1-0.35)</f>
        <v>0.951652892561984</v>
      </c>
      <c r="R161" s="12" t="n">
        <f aca="false">Q161*L161</f>
        <v>0.475826446280992</v>
      </c>
      <c r="S161" s="12" t="n">
        <f aca="false">J161-R161</f>
        <v>-0.375826446280992</v>
      </c>
      <c r="T161" s="12" t="n">
        <f aca="false">MIN(197.4,T160+S161)</f>
        <v>196.645661157025</v>
      </c>
      <c r="V161" s="8" t="n">
        <v>157.3</v>
      </c>
      <c r="X161" s="8" t="n">
        <f aca="false">X160+V161</f>
        <v>67134.3</v>
      </c>
      <c r="AA161" s="19" t="n">
        <v>8.45223859013569</v>
      </c>
    </row>
    <row r="162" s="8" customFormat="true" ht="15" hidden="false" customHeight="false" outlineLevel="0" collapsed="false">
      <c r="A162" s="14"/>
      <c r="B162" s="15"/>
      <c r="C162" s="16" t="n">
        <v>41278</v>
      </c>
      <c r="D162" s="8" t="n">
        <v>9.1</v>
      </c>
      <c r="E162" s="8" t="n">
        <v>8.5</v>
      </c>
      <c r="F162" s="8" t="n">
        <v>9.7</v>
      </c>
      <c r="G162" s="8" t="n">
        <f aca="false">G161+D162</f>
        <v>1272</v>
      </c>
      <c r="J162" s="8" t="n">
        <v>0</v>
      </c>
      <c r="K162" s="8" t="n">
        <f aca="false">J162+K161</f>
        <v>399.7</v>
      </c>
      <c r="L162" s="8" t="n">
        <v>0.3</v>
      </c>
      <c r="M162" s="8" t="n">
        <f aca="false">M161+L162</f>
        <v>146.4</v>
      </c>
      <c r="N162" s="8" t="n">
        <v>-0.3</v>
      </c>
      <c r="O162" s="8" t="n">
        <f aca="false">O161+N162</f>
        <v>196.3</v>
      </c>
      <c r="P162" s="8" t="n">
        <v>122</v>
      </c>
      <c r="Q162" s="8" t="n">
        <f aca="false">0.35+((P162-9)/121)*(1-0.35)</f>
        <v>0.95702479338843</v>
      </c>
      <c r="R162" s="12" t="n">
        <f aca="false">Q162*L162</f>
        <v>0.287107438016529</v>
      </c>
      <c r="S162" s="12" t="n">
        <f aca="false">J162-R162</f>
        <v>-0.287107438016529</v>
      </c>
      <c r="T162" s="12" t="n">
        <f aca="false">MIN(197.4,T161+S162)</f>
        <v>196.358553719008</v>
      </c>
      <c r="V162" s="8" t="n">
        <v>139</v>
      </c>
      <c r="X162" s="8" t="n">
        <f aca="false">X161+V162</f>
        <v>67273.3</v>
      </c>
      <c r="AA162" s="19" t="n">
        <v>8.47082310764453</v>
      </c>
    </row>
    <row r="163" s="8" customFormat="true" ht="15" hidden="false" customHeight="false" outlineLevel="0" collapsed="false">
      <c r="A163" s="14"/>
      <c r="B163" s="15"/>
      <c r="C163" s="16" t="n">
        <v>41279</v>
      </c>
      <c r="D163" s="8" t="n">
        <v>6.9</v>
      </c>
      <c r="E163" s="8" t="n">
        <v>6.3</v>
      </c>
      <c r="F163" s="8" t="n">
        <v>7.2</v>
      </c>
      <c r="G163" s="8" t="n">
        <f aca="false">G162+D163</f>
        <v>1278.9</v>
      </c>
      <c r="J163" s="8" t="n">
        <v>0.3</v>
      </c>
      <c r="K163" s="8" t="n">
        <f aca="false">J163+K162</f>
        <v>400</v>
      </c>
      <c r="L163" s="8" t="n">
        <v>0.1</v>
      </c>
      <c r="M163" s="8" t="n">
        <f aca="false">M162+L163</f>
        <v>146.5</v>
      </c>
      <c r="N163" s="8" t="n">
        <v>0.2</v>
      </c>
      <c r="O163" s="8" t="n">
        <f aca="false">O162+N163</f>
        <v>196.5</v>
      </c>
      <c r="P163" s="8" t="n">
        <v>123</v>
      </c>
      <c r="Q163" s="8" t="n">
        <f aca="false">0.35+((P163-9)/121)*(1-0.35)</f>
        <v>0.962396694214876</v>
      </c>
      <c r="R163" s="12" t="n">
        <f aca="false">Q163*L163</f>
        <v>0.0962396694214876</v>
      </c>
      <c r="S163" s="12" t="n">
        <f aca="false">J163-R163</f>
        <v>0.203760330578512</v>
      </c>
      <c r="T163" s="12" t="n">
        <f aca="false">MIN(197.4,T162+S163)</f>
        <v>196.562314049587</v>
      </c>
      <c r="V163" s="8" t="n">
        <v>131.6</v>
      </c>
      <c r="X163" s="8" t="n">
        <f aca="false">X162+V163</f>
        <v>67404.9</v>
      </c>
      <c r="AA163" s="19" t="n">
        <v>8.4908211407778</v>
      </c>
    </row>
    <row r="164" s="8" customFormat="true" ht="15" hidden="false" customHeight="false" outlineLevel="0" collapsed="false">
      <c r="A164" s="14"/>
      <c r="B164" s="15"/>
      <c r="C164" s="16" t="n">
        <v>41280</v>
      </c>
      <c r="D164" s="8" t="n">
        <v>5.2</v>
      </c>
      <c r="E164" s="8" t="n">
        <v>5</v>
      </c>
      <c r="F164" s="8" t="n">
        <v>5.4</v>
      </c>
      <c r="G164" s="8" t="n">
        <f aca="false">G163+D164</f>
        <v>1284.1</v>
      </c>
      <c r="J164" s="8" t="n">
        <v>0.5</v>
      </c>
      <c r="K164" s="8" t="n">
        <f aca="false">J164+K163</f>
        <v>400.5</v>
      </c>
      <c r="L164" s="8" t="n">
        <v>0.1</v>
      </c>
      <c r="M164" s="8" t="n">
        <f aca="false">M163+L164</f>
        <v>146.6</v>
      </c>
      <c r="N164" s="8" t="n">
        <v>0.4</v>
      </c>
      <c r="O164" s="8" t="n">
        <f aca="false">O163+N164</f>
        <v>196.9</v>
      </c>
      <c r="P164" s="8" t="n">
        <v>124</v>
      </c>
      <c r="Q164" s="8" t="n">
        <f aca="false">0.35+((P164-9)/121)*(1-0.35)</f>
        <v>0.967768595041322</v>
      </c>
      <c r="R164" s="12" t="n">
        <f aca="false">Q164*L164</f>
        <v>0.0967768595041322</v>
      </c>
      <c r="S164" s="12" t="n">
        <f aca="false">J164-R164</f>
        <v>0.403223140495868</v>
      </c>
      <c r="T164" s="12" t="n">
        <f aca="false">MIN(197.4,T163+S164)</f>
        <v>196.965537190083</v>
      </c>
      <c r="V164" s="8" t="n">
        <v>83.5</v>
      </c>
      <c r="X164" s="8" t="n">
        <f aca="false">X163+V164</f>
        <v>67488.4</v>
      </c>
      <c r="AA164" s="19" t="n">
        <v>8.51221127650598</v>
      </c>
    </row>
    <row r="165" s="8" customFormat="true" ht="15" hidden="false" customHeight="false" outlineLevel="0" collapsed="false">
      <c r="A165" s="14"/>
      <c r="B165" s="20" t="n">
        <v>9</v>
      </c>
      <c r="C165" s="16" t="n">
        <v>41281</v>
      </c>
      <c r="D165" s="8" t="n">
        <v>4.8</v>
      </c>
      <c r="E165" s="8" t="n">
        <v>3.9</v>
      </c>
      <c r="F165" s="8" t="n">
        <v>5.5</v>
      </c>
      <c r="G165" s="8" t="n">
        <f aca="false">G164+D165</f>
        <v>1288.9</v>
      </c>
      <c r="J165" s="8" t="n">
        <v>0.4</v>
      </c>
      <c r="K165" s="8" t="n">
        <f aca="false">J165+K164</f>
        <v>400.9</v>
      </c>
      <c r="L165" s="8" t="n">
        <v>0.2</v>
      </c>
      <c r="M165" s="8" t="n">
        <f aca="false">M164+L165</f>
        <v>146.8</v>
      </c>
      <c r="N165" s="8" t="n">
        <v>0.2</v>
      </c>
      <c r="O165" s="8" t="n">
        <f aca="false">O164+N165</f>
        <v>197.1</v>
      </c>
      <c r="P165" s="8" t="n">
        <v>125</v>
      </c>
      <c r="Q165" s="8" t="n">
        <f aca="false">0.35+((P165-9)/121)*(1-0.35)</f>
        <v>0.973140495867769</v>
      </c>
      <c r="R165" s="12" t="n">
        <f aca="false">Q165*L165</f>
        <v>0.194628099173554</v>
      </c>
      <c r="S165" s="12" t="n">
        <f aca="false">J165-R165</f>
        <v>0.205371900826446</v>
      </c>
      <c r="T165" s="12" t="n">
        <f aca="false">MIN(197.4,T164+S165)</f>
        <v>197.170909090909</v>
      </c>
      <c r="V165" s="8" t="n">
        <v>116.2</v>
      </c>
      <c r="X165" s="8" t="n">
        <f aca="false">X164+V165</f>
        <v>67604.6</v>
      </c>
      <c r="AA165" s="19" t="n">
        <v>8.53497089182214</v>
      </c>
    </row>
    <row r="166" s="8" customFormat="true" ht="15" hidden="false" customHeight="false" outlineLevel="0" collapsed="false">
      <c r="A166" s="14"/>
      <c r="B166" s="15"/>
      <c r="C166" s="16" t="n">
        <v>41282</v>
      </c>
      <c r="D166" s="8" t="n">
        <v>5.6</v>
      </c>
      <c r="E166" s="8" t="n">
        <v>5</v>
      </c>
      <c r="F166" s="8" t="n">
        <v>6.1</v>
      </c>
      <c r="G166" s="8" t="n">
        <f aca="false">G165+D166</f>
        <v>1294.5</v>
      </c>
      <c r="J166" s="8" t="n">
        <v>0</v>
      </c>
      <c r="K166" s="8" t="n">
        <f aca="false">J166+K165</f>
        <v>400.9</v>
      </c>
      <c r="L166" s="8" t="n">
        <v>0.3</v>
      </c>
      <c r="M166" s="8" t="n">
        <f aca="false">M165+L166</f>
        <v>147.1</v>
      </c>
      <c r="N166" s="8" t="n">
        <v>-0.3</v>
      </c>
      <c r="O166" s="8" t="n">
        <f aca="false">O165+N166</f>
        <v>196.8</v>
      </c>
      <c r="P166" s="8" t="n">
        <v>126</v>
      </c>
      <c r="Q166" s="8" t="n">
        <f aca="false">0.35+((P166-9)/121)*(1-0.35)</f>
        <v>0.978512396694215</v>
      </c>
      <c r="R166" s="12" t="n">
        <f aca="false">Q166*L166</f>
        <v>0.293553719008264</v>
      </c>
      <c r="S166" s="12" t="n">
        <f aca="false">J166-R166</f>
        <v>-0.293553719008264</v>
      </c>
      <c r="T166" s="12" t="n">
        <f aca="false">MIN(197.4,T165+S166)</f>
        <v>196.877355371901</v>
      </c>
      <c r="V166" s="8" t="n">
        <v>144.5</v>
      </c>
      <c r="X166" s="8" t="n">
        <f aca="false">X165+V166</f>
        <v>67749.1</v>
      </c>
      <c r="AA166" s="19" t="n">
        <v>8.55907623844113</v>
      </c>
    </row>
    <row r="167" s="8" customFormat="true" ht="15" hidden="false" customHeight="false" outlineLevel="0" collapsed="false">
      <c r="A167" s="14"/>
      <c r="B167" s="15"/>
      <c r="C167" s="16" t="n">
        <v>41283</v>
      </c>
      <c r="D167" s="8" t="n">
        <v>7.1</v>
      </c>
      <c r="E167" s="8" t="n">
        <v>5.6</v>
      </c>
      <c r="F167" s="8" t="n">
        <v>9.2</v>
      </c>
      <c r="G167" s="8" t="n">
        <f aca="false">G166+D167</f>
        <v>1301.6</v>
      </c>
      <c r="J167" s="8" t="n">
        <v>4.2</v>
      </c>
      <c r="K167" s="8" t="n">
        <f aca="false">J167+K166</f>
        <v>405.1</v>
      </c>
      <c r="L167" s="8" t="n">
        <v>0.3</v>
      </c>
      <c r="M167" s="8" t="n">
        <f aca="false">M166+L167</f>
        <v>147.4</v>
      </c>
      <c r="N167" s="8" t="n">
        <v>3.9</v>
      </c>
      <c r="O167" s="8" t="n">
        <v>197.4</v>
      </c>
      <c r="P167" s="8" t="n">
        <v>127</v>
      </c>
      <c r="Q167" s="8" t="n">
        <f aca="false">0.35+((P167-9)/121)*(1-0.35)</f>
        <v>0.983884297520661</v>
      </c>
      <c r="R167" s="12" t="n">
        <f aca="false">Q167*L167</f>
        <v>0.295165289256198</v>
      </c>
      <c r="S167" s="12" t="n">
        <f aca="false">J167-R167</f>
        <v>3.9048347107438</v>
      </c>
      <c r="T167" s="12" t="n">
        <f aca="false">MIN(197.4,T166+S167)</f>
        <v>197.4</v>
      </c>
      <c r="V167" s="8" t="n">
        <v>51.5</v>
      </c>
      <c r="X167" s="8" t="n">
        <f aca="false">X166+V167</f>
        <v>67800.6</v>
      </c>
      <c r="AA167" s="19" t="n">
        <v>8.584502529652</v>
      </c>
    </row>
    <row r="168" s="8" customFormat="true" ht="15" hidden="false" customHeight="false" outlineLevel="0" collapsed="false">
      <c r="A168" s="14"/>
      <c r="B168" s="15"/>
      <c r="C168" s="16" t="n">
        <v>41284</v>
      </c>
      <c r="D168" s="8" t="n">
        <v>9</v>
      </c>
      <c r="E168" s="8" t="n">
        <v>8.2</v>
      </c>
      <c r="F168" s="8" t="n">
        <v>11.7</v>
      </c>
      <c r="G168" s="8" t="n">
        <f aca="false">G167+D168</f>
        <v>1310.6</v>
      </c>
      <c r="J168" s="8" t="n">
        <v>4.3</v>
      </c>
      <c r="K168" s="8" t="n">
        <f aca="false">J168+K167</f>
        <v>409.4</v>
      </c>
      <c r="L168" s="8" t="n">
        <v>0.6</v>
      </c>
      <c r="M168" s="8" t="n">
        <f aca="false">M167+L168</f>
        <v>148</v>
      </c>
      <c r="N168" s="8" t="n">
        <v>3.7</v>
      </c>
      <c r="O168" s="8" t="n">
        <v>197.4</v>
      </c>
      <c r="P168" s="8" t="n">
        <v>128</v>
      </c>
      <c r="Q168" s="8" t="n">
        <f aca="false">0.35+((P168-9)/121)*(1-0.35)</f>
        <v>0.989256198347107</v>
      </c>
      <c r="R168" s="12" t="n">
        <f aca="false">Q168*L168</f>
        <v>0.593553719008265</v>
      </c>
      <c r="S168" s="12" t="n">
        <f aca="false">J168-R168</f>
        <v>3.70644628099174</v>
      </c>
      <c r="T168" s="12" t="n">
        <f aca="false">MIN(197.4,T167+S168)</f>
        <v>197.4</v>
      </c>
      <c r="V168" s="8" t="n">
        <v>96.8</v>
      </c>
      <c r="X168" s="8" t="n">
        <f aca="false">X167+V168</f>
        <v>67897.4</v>
      </c>
      <c r="AA168" s="19" t="n">
        <v>8.61122402871605</v>
      </c>
    </row>
    <row r="169" s="8" customFormat="true" ht="15" hidden="false" customHeight="false" outlineLevel="0" collapsed="false">
      <c r="A169" s="14"/>
      <c r="B169" s="15"/>
      <c r="C169" s="16" t="n">
        <v>41285</v>
      </c>
      <c r="D169" s="8" t="n">
        <v>7.7</v>
      </c>
      <c r="E169" s="8" t="n">
        <v>5.2</v>
      </c>
      <c r="F169" s="8" t="n">
        <v>11.9</v>
      </c>
      <c r="G169" s="8" t="n">
        <f aca="false">G168+D169</f>
        <v>1318.3</v>
      </c>
      <c r="J169" s="8" t="n">
        <v>5.9</v>
      </c>
      <c r="K169" s="8" t="n">
        <f aca="false">J169+K168</f>
        <v>415.3</v>
      </c>
      <c r="L169" s="8" t="n">
        <v>0.9</v>
      </c>
      <c r="M169" s="8" t="n">
        <f aca="false">M168+L169</f>
        <v>148.9</v>
      </c>
      <c r="N169" s="8" t="n">
        <v>5</v>
      </c>
      <c r="O169" s="8" t="n">
        <v>197.4</v>
      </c>
      <c r="P169" s="8" t="n">
        <v>129</v>
      </c>
      <c r="Q169" s="8" t="n">
        <f aca="false">0.35+((P169-9)/121)*(1-0.35)</f>
        <v>0.994628099173554</v>
      </c>
      <c r="R169" s="12" t="n">
        <f aca="false">Q169*L169</f>
        <v>0.895165289256198</v>
      </c>
      <c r="S169" s="12" t="n">
        <f aca="false">J169-R169</f>
        <v>5.0048347107438</v>
      </c>
      <c r="T169" s="12" t="n">
        <f aca="false">MIN(197.4,T168+S169)</f>
        <v>197.4</v>
      </c>
      <c r="V169" s="8" t="n">
        <v>497.4</v>
      </c>
      <c r="X169" s="8" t="n">
        <f aca="false">X168+V169</f>
        <v>68394.8</v>
      </c>
      <c r="AA169" s="19" t="n">
        <v>8.63921413821649</v>
      </c>
    </row>
    <row r="170" s="23" customFormat="true" ht="15" hidden="false" customHeight="false" outlineLevel="0" collapsed="false">
      <c r="A170" s="14"/>
      <c r="B170" s="21"/>
      <c r="C170" s="22" t="n">
        <v>41286</v>
      </c>
      <c r="D170" s="23" t="n">
        <v>6.1</v>
      </c>
      <c r="E170" s="23" t="n">
        <v>5.8</v>
      </c>
      <c r="F170" s="23" t="n">
        <v>9.7</v>
      </c>
      <c r="G170" s="23" t="n">
        <f aca="false">G169+D170</f>
        <v>1324.4</v>
      </c>
      <c r="J170" s="23" t="n">
        <v>0</v>
      </c>
      <c r="K170" s="23" t="n">
        <f aca="false">J170+K169</f>
        <v>415.3</v>
      </c>
      <c r="L170" s="23" t="n">
        <v>1</v>
      </c>
      <c r="M170" s="23" t="n">
        <f aca="false">M169+L170</f>
        <v>149.9</v>
      </c>
      <c r="N170" s="23" t="n">
        <v>-1</v>
      </c>
      <c r="O170" s="23" t="n">
        <f aca="false">O169+N170</f>
        <v>196.4</v>
      </c>
      <c r="P170" s="23" t="n">
        <v>130</v>
      </c>
      <c r="Q170" s="23" t="n">
        <f aca="false">0.35+((P170-9)/121)*(1-0.35)</f>
        <v>1</v>
      </c>
      <c r="R170" s="24" t="n">
        <f aca="false">Q170*L170</f>
        <v>1</v>
      </c>
      <c r="S170" s="24" t="n">
        <f aca="false">J170-R170</f>
        <v>-1</v>
      </c>
      <c r="T170" s="24" t="n">
        <f aca="false">MIN(197.4,T169+S170)</f>
        <v>196.4</v>
      </c>
      <c r="V170" s="23" t="n">
        <v>567.3</v>
      </c>
      <c r="W170" s="23" t="n">
        <f aca="false">(X170/100)/I54</f>
        <v>0.520704469948656</v>
      </c>
      <c r="X170" s="23" t="n">
        <f aca="false">X169+V170</f>
        <v>68962.1</v>
      </c>
      <c r="AA170" s="25" t="n">
        <v>8.66844548978496</v>
      </c>
    </row>
    <row r="171" s="8" customFormat="true" ht="15" hidden="false" customHeight="false" outlineLevel="0" collapsed="false">
      <c r="A171" s="26" t="s">
        <v>44</v>
      </c>
      <c r="B171" s="20" t="n">
        <v>10</v>
      </c>
      <c r="C171" s="27" t="n">
        <v>41287</v>
      </c>
      <c r="D171" s="8" t="n">
        <v>3.2</v>
      </c>
      <c r="E171" s="8" t="n">
        <v>-0.1</v>
      </c>
      <c r="F171" s="8" t="n">
        <v>5.9</v>
      </c>
      <c r="G171" s="8" t="n">
        <f aca="false">G170+D171</f>
        <v>1327.6</v>
      </c>
      <c r="H171" s="8" t="n">
        <f aca="false">D171</f>
        <v>3.2</v>
      </c>
      <c r="I171" s="28" t="s">
        <v>28</v>
      </c>
      <c r="J171" s="8" t="n">
        <v>0.3</v>
      </c>
      <c r="K171" s="8" t="n">
        <f aca="false">J171+K170</f>
        <v>415.6</v>
      </c>
      <c r="L171" s="8" t="n">
        <v>0.1</v>
      </c>
      <c r="M171" s="8" t="n">
        <f aca="false">M170+L171</f>
        <v>150</v>
      </c>
      <c r="N171" s="8" t="n">
        <v>0.2</v>
      </c>
      <c r="O171" s="8" t="n">
        <f aca="false">O170+N171</f>
        <v>196.6</v>
      </c>
      <c r="P171" s="8" t="n">
        <v>131</v>
      </c>
      <c r="Q171" s="8" t="n">
        <v>1</v>
      </c>
      <c r="R171" s="12" t="n">
        <f aca="false">Q171*L171</f>
        <v>0.1</v>
      </c>
      <c r="S171" s="12" t="n">
        <f aca="false">J171-R171</f>
        <v>0.2</v>
      </c>
      <c r="T171" s="12" t="n">
        <f aca="false">MIN(197.4,T170+S171)</f>
        <v>196.6</v>
      </c>
      <c r="U171" s="28" t="s">
        <v>29</v>
      </c>
      <c r="V171" s="8" t="n">
        <v>176.8</v>
      </c>
      <c r="X171" s="8" t="n">
        <f aca="false">X170+V171</f>
        <v>69138.9</v>
      </c>
      <c r="Y171" s="8" t="n">
        <f aca="false">V171</f>
        <v>176.8</v>
      </c>
      <c r="Z171" s="28" t="s">
        <v>30</v>
      </c>
      <c r="AA171" s="19" t="n">
        <v>8.69889003365503</v>
      </c>
    </row>
    <row r="172" s="8" customFormat="true" ht="15" hidden="false" customHeight="false" outlineLevel="0" collapsed="false">
      <c r="A172" s="26"/>
      <c r="B172" s="20" t="n">
        <v>11</v>
      </c>
      <c r="C172" s="27" t="n">
        <v>41288</v>
      </c>
      <c r="D172" s="8" t="n">
        <v>4.1</v>
      </c>
      <c r="E172" s="8" t="n">
        <v>1.7</v>
      </c>
      <c r="F172" s="8" t="n">
        <v>5.6</v>
      </c>
      <c r="G172" s="8" t="n">
        <f aca="false">G171+D172</f>
        <v>1331.7</v>
      </c>
      <c r="H172" s="8" t="n">
        <f aca="false">H171+D172</f>
        <v>7.3</v>
      </c>
      <c r="I172" s="8" t="n">
        <f aca="false">MIN(E171:E220)</f>
        <v>-3.3</v>
      </c>
      <c r="J172" s="8" t="n">
        <v>7</v>
      </c>
      <c r="K172" s="8" t="n">
        <f aca="false">J172+K171</f>
        <v>422.6</v>
      </c>
      <c r="L172" s="8" t="n">
        <v>0.3</v>
      </c>
      <c r="M172" s="8" t="n">
        <f aca="false">M171+L172</f>
        <v>150.3</v>
      </c>
      <c r="N172" s="8" t="n">
        <v>6.7</v>
      </c>
      <c r="O172" s="8" t="n">
        <v>197.4</v>
      </c>
      <c r="P172" s="8" t="n">
        <v>132</v>
      </c>
      <c r="Q172" s="8" t="n">
        <v>1</v>
      </c>
      <c r="R172" s="12" t="n">
        <f aca="false">Q172*L172</f>
        <v>0.3</v>
      </c>
      <c r="S172" s="12" t="n">
        <f aca="false">J172-R172</f>
        <v>6.7</v>
      </c>
      <c r="T172" s="12" t="n">
        <f aca="false">MIN(197.4,T171+S172)</f>
        <v>197.4</v>
      </c>
      <c r="U172" s="8" t="n">
        <v>26</v>
      </c>
      <c r="V172" s="8" t="n">
        <v>117.3</v>
      </c>
      <c r="X172" s="8" t="n">
        <f aca="false">X171+V172</f>
        <v>69256.2</v>
      </c>
      <c r="Y172" s="8" t="n">
        <f aca="false">Y171+V172</f>
        <v>294.1</v>
      </c>
      <c r="Z172" s="8" t="n">
        <v>22690.6</v>
      </c>
      <c r="AA172" s="19" t="n">
        <v>8.73051912752205</v>
      </c>
    </row>
    <row r="173" s="8" customFormat="true" ht="15" hidden="false" customHeight="false" outlineLevel="0" collapsed="false">
      <c r="A173" s="26"/>
      <c r="B173" s="20" t="n">
        <v>12</v>
      </c>
      <c r="C173" s="27" t="n">
        <v>41289</v>
      </c>
      <c r="D173" s="8" t="n">
        <v>4</v>
      </c>
      <c r="E173" s="8" t="n">
        <v>2</v>
      </c>
      <c r="F173" s="8" t="n">
        <v>6.7</v>
      </c>
      <c r="G173" s="8" t="n">
        <f aca="false">G172+D173</f>
        <v>1335.7</v>
      </c>
      <c r="H173" s="8" t="n">
        <f aca="false">H172+D173</f>
        <v>11.3</v>
      </c>
      <c r="I173" s="28" t="s">
        <v>31</v>
      </c>
      <c r="J173" s="8" t="n">
        <v>1.3</v>
      </c>
      <c r="K173" s="8" t="n">
        <f aca="false">J173+K172</f>
        <v>423.9</v>
      </c>
      <c r="L173" s="8" t="n">
        <v>0.6</v>
      </c>
      <c r="M173" s="8" t="n">
        <f aca="false">M172+L173</f>
        <v>150.9</v>
      </c>
      <c r="N173" s="8" t="n">
        <v>0.7</v>
      </c>
      <c r="O173" s="8" t="n">
        <v>197.4</v>
      </c>
      <c r="P173" s="8" t="n">
        <v>133</v>
      </c>
      <c r="Q173" s="8" t="n">
        <v>1</v>
      </c>
      <c r="R173" s="12" t="n">
        <f aca="false">Q173*L173</f>
        <v>0.6</v>
      </c>
      <c r="S173" s="12" t="n">
        <f aca="false">J173-R173</f>
        <v>0.7</v>
      </c>
      <c r="T173" s="12" t="n">
        <f aca="false">MIN(197.4,T172+S173)</f>
        <v>197.4</v>
      </c>
      <c r="U173" s="28" t="s">
        <v>32</v>
      </c>
      <c r="V173" s="8" t="n">
        <v>328.2</v>
      </c>
      <c r="X173" s="8" t="n">
        <f aca="false">X172+V173</f>
        <v>69584.4</v>
      </c>
      <c r="Y173" s="8" t="n">
        <f aca="false">Y172+V173</f>
        <v>622.3</v>
      </c>
      <c r="Z173" s="28" t="s">
        <v>33</v>
      </c>
      <c r="AA173" s="19" t="n">
        <v>8.7633036242218</v>
      </c>
    </row>
    <row r="174" s="8" customFormat="true" ht="15" hidden="false" customHeight="false" outlineLevel="0" collapsed="false">
      <c r="A174" s="26"/>
      <c r="B174" s="20" t="n">
        <v>13</v>
      </c>
      <c r="C174" s="27" t="n">
        <v>41290</v>
      </c>
      <c r="D174" s="8" t="n">
        <v>1.4</v>
      </c>
      <c r="E174" s="8" t="n">
        <v>-0.7</v>
      </c>
      <c r="F174" s="8" t="n">
        <v>3.2</v>
      </c>
      <c r="G174" s="8" t="n">
        <f aca="false">G173+D174</f>
        <v>1337.1</v>
      </c>
      <c r="H174" s="8" t="n">
        <f aca="false">H173+D174</f>
        <v>12.7</v>
      </c>
      <c r="I174" s="8" t="n">
        <f aca="false">MAX(F171:F220)</f>
        <v>13.5</v>
      </c>
      <c r="J174" s="8" t="n">
        <v>0.1</v>
      </c>
      <c r="K174" s="8" t="n">
        <f aca="false">J174+K173</f>
        <v>424</v>
      </c>
      <c r="L174" s="8" t="n">
        <v>0.5</v>
      </c>
      <c r="M174" s="8" t="n">
        <f aca="false">M173+L174</f>
        <v>151.4</v>
      </c>
      <c r="N174" s="8" t="n">
        <v>-0.4</v>
      </c>
      <c r="O174" s="8" t="n">
        <f aca="false">O173+N174</f>
        <v>197</v>
      </c>
      <c r="P174" s="8" t="n">
        <v>134</v>
      </c>
      <c r="Q174" s="8" t="n">
        <v>1</v>
      </c>
      <c r="R174" s="12" t="n">
        <f aca="false">Q174*L174</f>
        <v>0.5</v>
      </c>
      <c r="S174" s="12" t="n">
        <f aca="false">J174-R174</f>
        <v>-0.4</v>
      </c>
      <c r="T174" s="12" t="n">
        <f aca="false">MIN(197.4,T173+S174)</f>
        <v>197</v>
      </c>
      <c r="U174" s="8" t="n">
        <v>0</v>
      </c>
      <c r="V174" s="8" t="n">
        <v>570.9</v>
      </c>
      <c r="X174" s="8" t="n">
        <f aca="false">X173+V174</f>
        <v>70155.3</v>
      </c>
      <c r="Y174" s="8" t="n">
        <f aca="false">Y173+V174</f>
        <v>1193.2</v>
      </c>
      <c r="Z174" s="8" t="n">
        <f aca="false">(Z172/100)/I184</f>
        <v>1.02486901535682</v>
      </c>
      <c r="AA174" s="19" t="n">
        <v>8.79721395777659</v>
      </c>
    </row>
    <row r="175" s="8" customFormat="true" ht="15" hidden="false" customHeight="false" outlineLevel="0" collapsed="false">
      <c r="A175" s="26"/>
      <c r="B175" s="20" t="n">
        <v>14</v>
      </c>
      <c r="C175" s="27" t="n">
        <v>41291</v>
      </c>
      <c r="D175" s="8" t="n">
        <v>-0.2</v>
      </c>
      <c r="E175" s="8" t="n">
        <v>-3</v>
      </c>
      <c r="F175" s="8" t="n">
        <v>3.5</v>
      </c>
      <c r="G175" s="8" t="n">
        <v>1337.1</v>
      </c>
      <c r="H175" s="8" t="n">
        <v>12.7</v>
      </c>
      <c r="I175" s="28" t="s">
        <v>34</v>
      </c>
      <c r="J175" s="8" t="n">
        <v>0</v>
      </c>
      <c r="K175" s="8" t="n">
        <f aca="false">J175+K174</f>
        <v>424</v>
      </c>
      <c r="L175" s="8" t="n">
        <v>0.6</v>
      </c>
      <c r="M175" s="8" t="n">
        <f aca="false">M174+L175</f>
        <v>152</v>
      </c>
      <c r="N175" s="8" t="n">
        <v>-0.6</v>
      </c>
      <c r="O175" s="8" t="n">
        <f aca="false">O174+N175</f>
        <v>196.4</v>
      </c>
      <c r="P175" s="8" t="n">
        <v>135</v>
      </c>
      <c r="Q175" s="8" t="n">
        <v>1</v>
      </c>
      <c r="R175" s="12" t="n">
        <f aca="false">Q175*L175</f>
        <v>0.6</v>
      </c>
      <c r="S175" s="12" t="n">
        <f aca="false">J175-R175</f>
        <v>-0.6</v>
      </c>
      <c r="T175" s="12" t="n">
        <f aca="false">MIN(197.4,T174+S175)</f>
        <v>196.4</v>
      </c>
      <c r="U175" s="28" t="s">
        <v>35</v>
      </c>
      <c r="V175" s="8" t="n">
        <v>354</v>
      </c>
      <c r="X175" s="8" t="n">
        <f aca="false">X174+V175</f>
        <v>70509.3</v>
      </c>
      <c r="Y175" s="8" t="n">
        <f aca="false">Y174+V175</f>
        <v>1547.2</v>
      </c>
      <c r="Z175" s="28" t="s">
        <v>36</v>
      </c>
      <c r="AA175" s="19" t="n">
        <v>8.83222022739638</v>
      </c>
    </row>
    <row r="176" s="8" customFormat="true" ht="15" hidden="false" customHeight="false" outlineLevel="0" collapsed="false">
      <c r="A176" s="26"/>
      <c r="B176" s="20" t="n">
        <v>15</v>
      </c>
      <c r="C176" s="27" t="n">
        <v>41292</v>
      </c>
      <c r="D176" s="8" t="n">
        <v>-1.7</v>
      </c>
      <c r="E176" s="8" t="n">
        <v>-3.3</v>
      </c>
      <c r="F176" s="8" t="n">
        <v>-0.2</v>
      </c>
      <c r="G176" s="8" t="n">
        <v>1337.1</v>
      </c>
      <c r="H176" s="8" t="n">
        <v>12.7</v>
      </c>
      <c r="I176" s="12" t="n">
        <f aca="false">AVERAGE(D171:D220)</f>
        <v>4.376</v>
      </c>
      <c r="J176" s="8" t="n">
        <v>0</v>
      </c>
      <c r="K176" s="8" t="n">
        <f aca="false">J176+K175</f>
        <v>424</v>
      </c>
      <c r="L176" s="8" t="n">
        <v>0.3</v>
      </c>
      <c r="M176" s="8" t="n">
        <f aca="false">M175+L176</f>
        <v>152.3</v>
      </c>
      <c r="N176" s="8" t="n">
        <v>-0.3</v>
      </c>
      <c r="O176" s="8" t="n">
        <f aca="false">O175+N176</f>
        <v>196.1</v>
      </c>
      <c r="P176" s="8" t="n">
        <v>136</v>
      </c>
      <c r="Q176" s="8" t="n">
        <v>1</v>
      </c>
      <c r="R176" s="12" t="n">
        <f aca="false">Q176*L176</f>
        <v>0.3</v>
      </c>
      <c r="S176" s="12" t="n">
        <f aca="false">J176-R176</f>
        <v>-0.3</v>
      </c>
      <c r="T176" s="12" t="n">
        <f aca="false">MIN(197.4,T175+S176)</f>
        <v>196.1</v>
      </c>
      <c r="U176" s="8" t="n">
        <v>0</v>
      </c>
      <c r="V176" s="8" t="n">
        <v>104.1</v>
      </c>
      <c r="X176" s="8" t="n">
        <f aca="false">X175+V176</f>
        <v>70613.4</v>
      </c>
      <c r="Y176" s="8" t="n">
        <f aca="false">Y175+V176</f>
        <v>1651.3</v>
      </c>
      <c r="Z176" s="8" t="n">
        <v>46</v>
      </c>
      <c r="AA176" s="19" t="n">
        <v>8.86829227906233</v>
      </c>
    </row>
    <row r="177" s="8" customFormat="true" ht="15" hidden="false" customHeight="false" outlineLevel="0" collapsed="false">
      <c r="A177" s="26"/>
      <c r="B177" s="20" t="n">
        <v>16</v>
      </c>
      <c r="C177" s="27" t="n">
        <v>41293</v>
      </c>
      <c r="D177" s="8" t="n">
        <v>0.4</v>
      </c>
      <c r="E177" s="8" t="n">
        <v>-1</v>
      </c>
      <c r="F177" s="8" t="n">
        <v>1.8</v>
      </c>
      <c r="G177" s="8" t="n">
        <f aca="false">G176+D177</f>
        <v>1337.5</v>
      </c>
      <c r="H177" s="8" t="n">
        <f aca="false">H176+D177</f>
        <v>13.1</v>
      </c>
      <c r="I177" s="28" t="s">
        <v>37</v>
      </c>
      <c r="J177" s="8" t="n">
        <v>0.5</v>
      </c>
      <c r="K177" s="8" t="n">
        <f aca="false">J177+K176</f>
        <v>424.5</v>
      </c>
      <c r="L177" s="8" t="n">
        <v>0.3</v>
      </c>
      <c r="M177" s="8" t="n">
        <f aca="false">M176+L177</f>
        <v>152.6</v>
      </c>
      <c r="N177" s="8" t="n">
        <v>0.2</v>
      </c>
      <c r="O177" s="8" t="n">
        <f aca="false">O176+N177</f>
        <v>196.3</v>
      </c>
      <c r="P177" s="8" t="n">
        <v>137</v>
      </c>
      <c r="Q177" s="8" t="n">
        <v>1</v>
      </c>
      <c r="R177" s="12" t="n">
        <f aca="false">Q177*L177</f>
        <v>0.3</v>
      </c>
      <c r="S177" s="12" t="n">
        <f aca="false">J177-R177</f>
        <v>0.2</v>
      </c>
      <c r="T177" s="12" t="n">
        <f aca="false">MIN(197.4,T176+S177)</f>
        <v>196.3</v>
      </c>
      <c r="U177" s="28" t="s">
        <v>38</v>
      </c>
      <c r="V177" s="8" t="n">
        <v>107.5</v>
      </c>
      <c r="X177" s="8" t="n">
        <f aca="false">X176+V177</f>
        <v>70720.9</v>
      </c>
      <c r="Y177" s="8" t="n">
        <f aca="false">Y176+V177</f>
        <v>1758.8</v>
      </c>
      <c r="AA177" s="19" t="n">
        <v>8.90539978436224</v>
      </c>
    </row>
    <row r="178" s="8" customFormat="true" ht="15" hidden="false" customHeight="false" outlineLevel="0" collapsed="false">
      <c r="A178" s="26"/>
      <c r="B178" s="20" t="n">
        <v>17</v>
      </c>
      <c r="C178" s="27" t="n">
        <v>41294</v>
      </c>
      <c r="D178" s="8" t="n">
        <v>1.3</v>
      </c>
      <c r="E178" s="8" t="n">
        <v>0.5</v>
      </c>
      <c r="F178" s="8" t="n">
        <v>2.2</v>
      </c>
      <c r="G178" s="8" t="n">
        <f aca="false">G177+D178</f>
        <v>1338.8</v>
      </c>
      <c r="H178" s="8" t="n">
        <f aca="false">H177+D178</f>
        <v>14.4</v>
      </c>
      <c r="I178" s="8" t="n">
        <v>11</v>
      </c>
      <c r="J178" s="8" t="n">
        <v>1.9</v>
      </c>
      <c r="K178" s="8" t="n">
        <f aca="false">J178+K177</f>
        <v>426.4</v>
      </c>
      <c r="L178" s="8" t="n">
        <v>0.4</v>
      </c>
      <c r="M178" s="8" t="n">
        <f aca="false">M177+L178</f>
        <v>153</v>
      </c>
      <c r="N178" s="8" t="n">
        <v>1.5</v>
      </c>
      <c r="O178" s="8" t="n">
        <v>197.4</v>
      </c>
      <c r="P178" s="8" t="n">
        <v>138</v>
      </c>
      <c r="Q178" s="8" t="n">
        <v>1</v>
      </c>
      <c r="R178" s="12" t="n">
        <f aca="false">Q178*L178</f>
        <v>0.4</v>
      </c>
      <c r="S178" s="12" t="n">
        <f aca="false">J178-R178</f>
        <v>1.5</v>
      </c>
      <c r="T178" s="12" t="n">
        <f aca="false">MIN(197.4,T177+S178)</f>
        <v>197.4</v>
      </c>
      <c r="U178" s="12" t="n">
        <f aca="false">MIN(T171:T220)</f>
        <v>180.9</v>
      </c>
      <c r="V178" s="8" t="n">
        <v>415.2</v>
      </c>
      <c r="X178" s="8" t="n">
        <f aca="false">X177+V178</f>
        <v>71136.1</v>
      </c>
      <c r="Y178" s="8" t="n">
        <f aca="false">Y177+V178</f>
        <v>2174</v>
      </c>
      <c r="AA178" s="19" t="n">
        <v>8.94351231628835</v>
      </c>
    </row>
    <row r="179" s="8" customFormat="true" ht="15" hidden="false" customHeight="false" outlineLevel="0" collapsed="false">
      <c r="A179" s="26"/>
      <c r="B179" s="20" t="n">
        <v>18</v>
      </c>
      <c r="C179" s="27" t="n">
        <v>41295</v>
      </c>
      <c r="D179" s="8" t="n">
        <v>2.3</v>
      </c>
      <c r="E179" s="8" t="n">
        <v>0.4</v>
      </c>
      <c r="F179" s="8" t="n">
        <v>4</v>
      </c>
      <c r="G179" s="8" t="n">
        <f aca="false">G178+D179</f>
        <v>1341.1</v>
      </c>
      <c r="H179" s="8" t="n">
        <f aca="false">H178+D179</f>
        <v>16.7</v>
      </c>
      <c r="I179" s="28" t="s">
        <v>39</v>
      </c>
      <c r="J179" s="8" t="n">
        <v>3.3</v>
      </c>
      <c r="K179" s="8" t="n">
        <f aca="false">J179+K178</f>
        <v>429.7</v>
      </c>
      <c r="L179" s="8" t="n">
        <v>0.3</v>
      </c>
      <c r="M179" s="8" t="n">
        <f aca="false">M178+L179</f>
        <v>153.3</v>
      </c>
      <c r="N179" s="8" t="n">
        <v>3</v>
      </c>
      <c r="O179" s="8" t="n">
        <v>197.4</v>
      </c>
      <c r="P179" s="8" t="n">
        <v>139</v>
      </c>
      <c r="Q179" s="8" t="n">
        <v>1</v>
      </c>
      <c r="R179" s="12" t="n">
        <f aca="false">Q179*L179</f>
        <v>0.3</v>
      </c>
      <c r="S179" s="12" t="n">
        <f aca="false">J179-R179</f>
        <v>3</v>
      </c>
      <c r="T179" s="12" t="n">
        <f aca="false">MIN(197.4,T178+S179)</f>
        <v>197.4</v>
      </c>
      <c r="U179" s="28" t="s">
        <v>40</v>
      </c>
      <c r="V179" s="8" t="n">
        <v>106.1</v>
      </c>
      <c r="X179" s="8" t="n">
        <f aca="false">X178+V179</f>
        <v>71242.2</v>
      </c>
      <c r="Y179" s="8" t="n">
        <f aca="false">Y178+V179</f>
        <v>2280.1</v>
      </c>
      <c r="AA179" s="19" t="n">
        <v>8.98259942175018</v>
      </c>
    </row>
    <row r="180" s="8" customFormat="true" ht="15" hidden="false" customHeight="false" outlineLevel="0" collapsed="false">
      <c r="A180" s="26"/>
      <c r="B180" s="15"/>
      <c r="C180" s="27" t="n">
        <v>41296</v>
      </c>
      <c r="D180" s="8" t="n">
        <v>4.4</v>
      </c>
      <c r="E180" s="8" t="n">
        <v>3</v>
      </c>
      <c r="F180" s="8" t="n">
        <v>7.3</v>
      </c>
      <c r="G180" s="8" t="n">
        <f aca="false">G179+D180</f>
        <v>1345.5</v>
      </c>
      <c r="H180" s="8" t="n">
        <f aca="false">H179+D180</f>
        <v>21.1</v>
      </c>
      <c r="I180" s="8" t="n">
        <v>0</v>
      </c>
      <c r="J180" s="8" t="n">
        <v>3.7</v>
      </c>
      <c r="K180" s="8" t="n">
        <f aca="false">J180+K179</f>
        <v>433.4</v>
      </c>
      <c r="L180" s="8" t="n">
        <v>0.5</v>
      </c>
      <c r="M180" s="8" t="n">
        <f aca="false">M179+L180</f>
        <v>153.8</v>
      </c>
      <c r="N180" s="8" t="n">
        <v>3.2</v>
      </c>
      <c r="O180" s="8" t="n">
        <v>197.4</v>
      </c>
      <c r="P180" s="8" t="n">
        <v>140</v>
      </c>
      <c r="Q180" s="8" t="n">
        <v>1</v>
      </c>
      <c r="R180" s="12" t="n">
        <f aca="false">Q180*L180</f>
        <v>0.5</v>
      </c>
      <c r="S180" s="12" t="n">
        <f aca="false">J180-R180</f>
        <v>3.2</v>
      </c>
      <c r="T180" s="12" t="n">
        <f aca="false">MIN(197.4,T179+S180)</f>
        <v>197.4</v>
      </c>
      <c r="U180" s="12" t="n">
        <f aca="false">MAX(T171:T220)</f>
        <v>197.4</v>
      </c>
      <c r="V180" s="8" t="n">
        <v>133.4</v>
      </c>
      <c r="X180" s="8" t="n">
        <f aca="false">X179+V180</f>
        <v>71375.6</v>
      </c>
      <c r="Y180" s="8" t="n">
        <f aca="false">Y179+V180</f>
        <v>2413.5</v>
      </c>
      <c r="AA180" s="8" t="n">
        <v>9.02263069059555</v>
      </c>
    </row>
    <row r="181" s="8" customFormat="true" ht="15" hidden="false" customHeight="false" outlineLevel="0" collapsed="false">
      <c r="A181" s="26"/>
      <c r="B181" s="15"/>
      <c r="C181" s="27" t="n">
        <v>41297</v>
      </c>
      <c r="D181" s="8" t="n">
        <v>2.6</v>
      </c>
      <c r="E181" s="8" t="n">
        <v>0.4</v>
      </c>
      <c r="F181" s="8" t="n">
        <v>5.7</v>
      </c>
      <c r="G181" s="8" t="n">
        <f aca="false">G180+D181</f>
        <v>1348.1</v>
      </c>
      <c r="H181" s="8" t="n">
        <f aca="false">H180+D181</f>
        <v>23.7</v>
      </c>
      <c r="I181" s="28" t="s">
        <v>41</v>
      </c>
      <c r="J181" s="8" t="n">
        <v>0.3</v>
      </c>
      <c r="K181" s="8" t="n">
        <f aca="false">J181+K180</f>
        <v>433.7</v>
      </c>
      <c r="L181" s="8" t="n">
        <v>0.5</v>
      </c>
      <c r="M181" s="8" t="n">
        <f aca="false">M180+L181</f>
        <v>154.3</v>
      </c>
      <c r="N181" s="8" t="n">
        <v>-0.2</v>
      </c>
      <c r="O181" s="8" t="n">
        <f aca="false">O180+N181</f>
        <v>197.2</v>
      </c>
      <c r="P181" s="8" t="n">
        <v>141</v>
      </c>
      <c r="Q181" s="8" t="n">
        <v>1</v>
      </c>
      <c r="R181" s="12" t="n">
        <f aca="false">Q181*L181</f>
        <v>0.5</v>
      </c>
      <c r="S181" s="12" t="n">
        <f aca="false">J181-R181</f>
        <v>-0.2</v>
      </c>
      <c r="T181" s="12" t="n">
        <f aca="false">MIN(197.4,T180+S181)</f>
        <v>197.2</v>
      </c>
      <c r="U181" s="28" t="s">
        <v>42</v>
      </c>
      <c r="V181" s="8" t="n">
        <v>257.6</v>
      </c>
      <c r="X181" s="8" t="n">
        <f aca="false">X180+V181</f>
        <v>71633.2</v>
      </c>
      <c r="Y181" s="8" t="n">
        <f aca="false">Y180+V181</f>
        <v>2671.1</v>
      </c>
      <c r="AA181" s="8" t="n">
        <v>9.06357582097271</v>
      </c>
    </row>
    <row r="182" s="8" customFormat="true" ht="15" hidden="false" customHeight="false" outlineLevel="0" collapsed="false">
      <c r="A182" s="26"/>
      <c r="B182" s="15"/>
      <c r="C182" s="27" t="n">
        <v>41298</v>
      </c>
      <c r="D182" s="8" t="n">
        <v>3.5</v>
      </c>
      <c r="E182" s="8" t="n">
        <v>1.8</v>
      </c>
      <c r="F182" s="8" t="n">
        <v>6.3</v>
      </c>
      <c r="G182" s="8" t="n">
        <f aca="false">G181+D182</f>
        <v>1351.6</v>
      </c>
      <c r="H182" s="8" t="n">
        <f aca="false">H181+D182</f>
        <v>27.2</v>
      </c>
      <c r="I182" s="8" t="n">
        <v>32</v>
      </c>
      <c r="J182" s="8" t="n">
        <v>0.4</v>
      </c>
      <c r="K182" s="8" t="n">
        <f aca="false">J182+K181</f>
        <v>434.1</v>
      </c>
      <c r="L182" s="8" t="n">
        <v>0.5</v>
      </c>
      <c r="M182" s="8" t="n">
        <f aca="false">M181+L182</f>
        <v>154.8</v>
      </c>
      <c r="N182" s="8" t="n">
        <v>-0.1</v>
      </c>
      <c r="O182" s="8" t="n">
        <f aca="false">O181+N182</f>
        <v>197.1</v>
      </c>
      <c r="P182" s="8" t="n">
        <v>142</v>
      </c>
      <c r="Q182" s="8" t="n">
        <v>1</v>
      </c>
      <c r="R182" s="12" t="n">
        <f aca="false">Q182*L182</f>
        <v>0.5</v>
      </c>
      <c r="S182" s="12" t="n">
        <f aca="false">J182-R182</f>
        <v>-0.1</v>
      </c>
      <c r="T182" s="12" t="n">
        <f aca="false">MIN(197.4,T181+S182)</f>
        <v>197.1</v>
      </c>
      <c r="U182" s="18" t="n">
        <f aca="false">AVERAGE(T171:T220)</f>
        <v>194.02</v>
      </c>
      <c r="V182" s="8" t="n">
        <v>229.5</v>
      </c>
      <c r="X182" s="8" t="n">
        <f aca="false">X181+V182</f>
        <v>71862.7</v>
      </c>
      <c r="Y182" s="8" t="n">
        <f aca="false">Y181+V182</f>
        <v>2900.6</v>
      </c>
      <c r="AA182" s="8" t="n">
        <v>9.1054046809048</v>
      </c>
    </row>
    <row r="183" s="8" customFormat="true" ht="15" hidden="false" customHeight="false" outlineLevel="0" collapsed="false">
      <c r="A183" s="26"/>
      <c r="B183" s="15"/>
      <c r="C183" s="27" t="n">
        <v>41299</v>
      </c>
      <c r="D183" s="8" t="n">
        <v>1</v>
      </c>
      <c r="E183" s="8" t="n">
        <v>-2.2</v>
      </c>
      <c r="F183" s="8" t="n">
        <v>6.9</v>
      </c>
      <c r="G183" s="8" t="n">
        <f aca="false">G182+D183</f>
        <v>1352.6</v>
      </c>
      <c r="H183" s="8" t="n">
        <f aca="false">H182+D183</f>
        <v>28.2</v>
      </c>
      <c r="I183" s="28" t="s">
        <v>43</v>
      </c>
      <c r="J183" s="8" t="n">
        <v>9</v>
      </c>
      <c r="K183" s="8" t="n">
        <f aca="false">J183+K182</f>
        <v>443.1</v>
      </c>
      <c r="L183" s="8" t="n">
        <v>0.7</v>
      </c>
      <c r="M183" s="8" t="n">
        <f aca="false">M182+L183</f>
        <v>155.5</v>
      </c>
      <c r="N183" s="8" t="n">
        <v>8.3</v>
      </c>
      <c r="O183" s="8" t="n">
        <v>197.4</v>
      </c>
      <c r="P183" s="8" t="n">
        <v>143</v>
      </c>
      <c r="Q183" s="8" t="n">
        <v>1</v>
      </c>
      <c r="R183" s="12" t="n">
        <f aca="false">Q183*L183</f>
        <v>0.7</v>
      </c>
      <c r="S183" s="12" t="n">
        <f aca="false">J183-R183</f>
        <v>8.3</v>
      </c>
      <c r="T183" s="12" t="n">
        <f aca="false">MIN(197.4,T182+S183)</f>
        <v>197.4</v>
      </c>
      <c r="U183" s="28" t="s">
        <v>45</v>
      </c>
      <c r="V183" s="8" t="n">
        <v>239.7</v>
      </c>
      <c r="X183" s="8" t="n">
        <f aca="false">X182+V183</f>
        <v>72102.4</v>
      </c>
      <c r="Y183" s="8" t="n">
        <f aca="false">Y182+V183</f>
        <v>3140.3</v>
      </c>
      <c r="AA183" s="8" t="n">
        <v>9.14808736598376</v>
      </c>
    </row>
    <row r="184" s="8" customFormat="true" ht="15" hidden="false" customHeight="false" outlineLevel="0" collapsed="false">
      <c r="A184" s="26"/>
      <c r="B184" s="15" t="n">
        <v>8</v>
      </c>
      <c r="C184" s="27" t="n">
        <v>41300</v>
      </c>
      <c r="D184" s="8" t="n">
        <v>7.6</v>
      </c>
      <c r="E184" s="8" t="n">
        <v>1.2</v>
      </c>
      <c r="F184" s="8" t="n">
        <v>10</v>
      </c>
      <c r="G184" s="8" t="n">
        <f aca="false">G183+D184</f>
        <v>1360.2</v>
      </c>
      <c r="H184" s="8" t="n">
        <f aca="false">H183+D184</f>
        <v>35.8</v>
      </c>
      <c r="I184" s="8" t="n">
        <v>221.4</v>
      </c>
      <c r="J184" s="8" t="n">
        <v>4.9</v>
      </c>
      <c r="K184" s="8" t="n">
        <f aca="false">J184+K183</f>
        <v>448</v>
      </c>
      <c r="L184" s="8" t="n">
        <v>0.4</v>
      </c>
      <c r="M184" s="8" t="n">
        <f aca="false">M183+L184</f>
        <v>155.9</v>
      </c>
      <c r="N184" s="8" t="n">
        <v>4.5</v>
      </c>
      <c r="O184" s="8" t="n">
        <v>197.4</v>
      </c>
      <c r="P184" s="8" t="n">
        <v>144</v>
      </c>
      <c r="Q184" s="8" t="n">
        <v>1</v>
      </c>
      <c r="R184" s="12" t="n">
        <f aca="false">Q184*L184</f>
        <v>0.4</v>
      </c>
      <c r="S184" s="12" t="n">
        <f aca="false">J184-R184</f>
        <v>4.5</v>
      </c>
      <c r="T184" s="12" t="n">
        <f aca="false">MIN(197.4,T183+S184)</f>
        <v>197.4</v>
      </c>
      <c r="U184" s="12" t="n">
        <v>18</v>
      </c>
      <c r="V184" s="8" t="n">
        <v>638.2</v>
      </c>
      <c r="X184" s="8" t="n">
        <f aca="false">X183+V184</f>
        <v>72740.6</v>
      </c>
      <c r="Y184" s="8" t="n">
        <f aca="false">Y183+V184</f>
        <v>3778.5</v>
      </c>
      <c r="AA184" s="8" t="n">
        <v>9.1915942531253</v>
      </c>
    </row>
    <row r="185" s="8" customFormat="true" ht="15" hidden="false" customHeight="false" outlineLevel="0" collapsed="false">
      <c r="A185" s="26"/>
      <c r="B185" s="15"/>
      <c r="C185" s="27" t="n">
        <v>41301</v>
      </c>
      <c r="D185" s="8" t="n">
        <v>9.2</v>
      </c>
      <c r="E185" s="8" t="n">
        <v>7.6</v>
      </c>
      <c r="F185" s="8" t="n">
        <v>11.7</v>
      </c>
      <c r="G185" s="8" t="n">
        <f aca="false">G184+D185</f>
        <v>1369.4</v>
      </c>
      <c r="H185" s="8" t="n">
        <f aca="false">H184+D185</f>
        <v>45</v>
      </c>
      <c r="J185" s="8" t="n">
        <v>3.8</v>
      </c>
      <c r="K185" s="8" t="n">
        <f aca="false">J185+K184</f>
        <v>451.8</v>
      </c>
      <c r="L185" s="8" t="n">
        <v>1.3</v>
      </c>
      <c r="M185" s="8" t="n">
        <f aca="false">M184+L185</f>
        <v>157.2</v>
      </c>
      <c r="N185" s="8" t="n">
        <v>2.5</v>
      </c>
      <c r="O185" s="8" t="n">
        <v>197.4</v>
      </c>
      <c r="P185" s="8" t="n">
        <v>145</v>
      </c>
      <c r="Q185" s="8" t="n">
        <v>1</v>
      </c>
      <c r="R185" s="12" t="n">
        <f aca="false">Q185*L185</f>
        <v>1.3</v>
      </c>
      <c r="S185" s="12" t="n">
        <f aca="false">J185-R185</f>
        <v>2.5</v>
      </c>
      <c r="T185" s="12" t="n">
        <f aca="false">MIN(197.4,T184+S185)</f>
        <v>197.4</v>
      </c>
      <c r="V185" s="8" t="n">
        <v>286.5</v>
      </c>
      <c r="X185" s="8" t="n">
        <f aca="false">X184+V185</f>
        <v>73027.1</v>
      </c>
      <c r="Y185" s="8" t="n">
        <f aca="false">Y184+V185</f>
        <v>4065</v>
      </c>
      <c r="AA185" s="8" t="n">
        <v>9.23589605035778</v>
      </c>
    </row>
    <row r="186" s="8" customFormat="true" ht="15" hidden="false" customHeight="false" outlineLevel="0" collapsed="false">
      <c r="A186" s="26"/>
      <c r="B186" s="15"/>
      <c r="C186" s="27" t="n">
        <v>41302</v>
      </c>
      <c r="D186" s="8" t="n">
        <v>8.3</v>
      </c>
      <c r="E186" s="8" t="n">
        <v>3.8</v>
      </c>
      <c r="F186" s="8" t="n">
        <v>11.3</v>
      </c>
      <c r="G186" s="8" t="n">
        <f aca="false">G185+D186</f>
        <v>1377.7</v>
      </c>
      <c r="H186" s="8" t="n">
        <f aca="false">H185+D186</f>
        <v>53.3</v>
      </c>
      <c r="J186" s="8" t="n">
        <v>2.7</v>
      </c>
      <c r="K186" s="8" t="n">
        <f aca="false">J186+K185</f>
        <v>454.5</v>
      </c>
      <c r="L186" s="8" t="n">
        <v>0.6</v>
      </c>
      <c r="M186" s="8" t="n">
        <f aca="false">M185+L186</f>
        <v>157.8</v>
      </c>
      <c r="N186" s="8" t="n">
        <v>2.1</v>
      </c>
      <c r="O186" s="8" t="n">
        <v>197.4</v>
      </c>
      <c r="P186" s="8" t="n">
        <v>146</v>
      </c>
      <c r="Q186" s="8" t="n">
        <v>1</v>
      </c>
      <c r="R186" s="12" t="n">
        <f aca="false">Q186*L186</f>
        <v>0.6</v>
      </c>
      <c r="S186" s="12" t="n">
        <f aca="false">J186-R186</f>
        <v>2.1</v>
      </c>
      <c r="T186" s="12" t="n">
        <f aca="false">MIN(197.4,T185+S186)</f>
        <v>197.4</v>
      </c>
      <c r="U186" s="12" t="n">
        <f aca="false">(U182*100)/197.4</f>
        <v>98.2877406281661</v>
      </c>
      <c r="V186" s="8" t="n">
        <v>622.1</v>
      </c>
      <c r="X186" s="8" t="n">
        <f aca="false">X185+V186</f>
        <v>73649.2</v>
      </c>
      <c r="Y186" s="8" t="n">
        <f aca="false">Y185+V186</f>
        <v>4687.1</v>
      </c>
      <c r="AA186" s="8" t="n">
        <v>9.2809638426474</v>
      </c>
    </row>
    <row r="187" s="8" customFormat="true" ht="15" hidden="false" customHeight="false" outlineLevel="0" collapsed="false">
      <c r="A187" s="26"/>
      <c r="B187" s="15"/>
      <c r="C187" s="27" t="n">
        <v>41303</v>
      </c>
      <c r="D187" s="8" t="n">
        <v>12.4</v>
      </c>
      <c r="E187" s="8" t="n">
        <v>10.9</v>
      </c>
      <c r="F187" s="8" t="n">
        <v>13.5</v>
      </c>
      <c r="G187" s="8" t="n">
        <f aca="false">G186+D187</f>
        <v>1390.1</v>
      </c>
      <c r="H187" s="8" t="n">
        <f aca="false">H186+D187</f>
        <v>65.7</v>
      </c>
      <c r="J187" s="8" t="n">
        <v>2.7</v>
      </c>
      <c r="K187" s="8" t="n">
        <f aca="false">J187+K186</f>
        <v>457.2</v>
      </c>
      <c r="L187" s="8" t="n">
        <v>0.5</v>
      </c>
      <c r="M187" s="8" t="n">
        <f aca="false">M186+L187</f>
        <v>158.3</v>
      </c>
      <c r="N187" s="8" t="n">
        <v>2.2</v>
      </c>
      <c r="O187" s="8" t="n">
        <v>197.4</v>
      </c>
      <c r="P187" s="8" t="n">
        <v>147</v>
      </c>
      <c r="Q187" s="8" t="n">
        <v>1</v>
      </c>
      <c r="R187" s="12" t="n">
        <f aca="false">Q187*L187</f>
        <v>0.5</v>
      </c>
      <c r="S187" s="12" t="n">
        <f aca="false">J187-R187</f>
        <v>2.2</v>
      </c>
      <c r="T187" s="12" t="n">
        <f aca="false">MIN(197.4,T186+S187)</f>
        <v>197.4</v>
      </c>
      <c r="V187" s="8" t="n">
        <v>141.4</v>
      </c>
      <c r="X187" s="8" t="n">
        <f aca="false">X186+V187</f>
        <v>73790.6</v>
      </c>
      <c r="Y187" s="8" t="n">
        <f aca="false">Y186+V187</f>
        <v>4828.5</v>
      </c>
      <c r="AA187" s="8" t="n">
        <v>9.32676913378859</v>
      </c>
    </row>
    <row r="188" s="8" customFormat="true" ht="15" hidden="false" customHeight="false" outlineLevel="0" collapsed="false">
      <c r="A188" s="26"/>
      <c r="B188" s="15"/>
      <c r="C188" s="27" t="n">
        <v>41304</v>
      </c>
      <c r="D188" s="8" t="n">
        <v>11.2</v>
      </c>
      <c r="E188" s="8" t="n">
        <v>9.3</v>
      </c>
      <c r="F188" s="8" t="n">
        <v>13.3</v>
      </c>
      <c r="G188" s="8" t="n">
        <f aca="false">G187+D188</f>
        <v>1401.3</v>
      </c>
      <c r="H188" s="8" t="n">
        <f aca="false">H187+D188</f>
        <v>76.9</v>
      </c>
      <c r="J188" s="8" t="n">
        <v>1.1</v>
      </c>
      <c r="K188" s="8" t="n">
        <f aca="false">J188+K187</f>
        <v>458.3</v>
      </c>
      <c r="L188" s="8" t="n">
        <v>0.9</v>
      </c>
      <c r="M188" s="8" t="n">
        <f aca="false">M187+L188</f>
        <v>159.2</v>
      </c>
      <c r="N188" s="8" t="n">
        <v>0.2</v>
      </c>
      <c r="O188" s="8" t="n">
        <v>197.4</v>
      </c>
      <c r="P188" s="8" t="n">
        <v>148</v>
      </c>
      <c r="Q188" s="8" t="n">
        <v>1</v>
      </c>
      <c r="R188" s="12" t="n">
        <f aca="false">Q188*L188</f>
        <v>0.9</v>
      </c>
      <c r="S188" s="12" t="n">
        <f aca="false">J188-R188</f>
        <v>0.2</v>
      </c>
      <c r="T188" s="12" t="n">
        <f aca="false">MIN(197.4,T187+S188)</f>
        <v>197.4</v>
      </c>
      <c r="V188" s="8" t="n">
        <v>379.5</v>
      </c>
      <c r="X188" s="8" t="n">
        <f aca="false">X187+V188</f>
        <v>74170.1</v>
      </c>
      <c r="Y188" s="8" t="n">
        <f aca="false">Y187+V188</f>
        <v>5208</v>
      </c>
      <c r="AA188" s="8" t="n">
        <v>9.37328388441213</v>
      </c>
    </row>
    <row r="189" s="8" customFormat="true" ht="15" hidden="false" customHeight="false" outlineLevel="0" collapsed="false">
      <c r="A189" s="26"/>
      <c r="B189" s="15"/>
      <c r="C189" s="27" t="n">
        <v>41305</v>
      </c>
      <c r="D189" s="8" t="n">
        <v>10</v>
      </c>
      <c r="E189" s="8" t="n">
        <v>5.7</v>
      </c>
      <c r="F189" s="8" t="n">
        <v>13.2</v>
      </c>
      <c r="G189" s="8" t="n">
        <f aca="false">G188+D189</f>
        <v>1411.3</v>
      </c>
      <c r="H189" s="8" t="n">
        <f aca="false">H188+D189</f>
        <v>86.9</v>
      </c>
      <c r="J189" s="8" t="n">
        <v>5.9</v>
      </c>
      <c r="K189" s="8" t="n">
        <f aca="false">J189+K188</f>
        <v>464.2</v>
      </c>
      <c r="L189" s="8" t="n">
        <v>0.6</v>
      </c>
      <c r="M189" s="8" t="n">
        <f aca="false">M188+L189</f>
        <v>159.8</v>
      </c>
      <c r="N189" s="8" t="n">
        <v>5.3</v>
      </c>
      <c r="O189" s="8" t="n">
        <v>197.4</v>
      </c>
      <c r="P189" s="8" t="n">
        <v>149</v>
      </c>
      <c r="Q189" s="8" t="n">
        <v>1</v>
      </c>
      <c r="R189" s="12" t="n">
        <f aca="false">Q189*L189</f>
        <v>0.6</v>
      </c>
      <c r="S189" s="12" t="n">
        <f aca="false">J189-R189</f>
        <v>5.3</v>
      </c>
      <c r="T189" s="12" t="n">
        <f aca="false">MIN(197.4,T188+S189)</f>
        <v>197.4</v>
      </c>
      <c r="V189" s="8" t="n">
        <v>339.8</v>
      </c>
      <c r="X189" s="8" t="n">
        <f aca="false">X188+V189</f>
        <v>74509.9</v>
      </c>
      <c r="Y189" s="8" t="n">
        <f aca="false">Y188+V189</f>
        <v>5547.8</v>
      </c>
      <c r="AA189" s="8" t="n">
        <v>9.42048054618519</v>
      </c>
    </row>
    <row r="190" s="8" customFormat="true" ht="15" hidden="false" customHeight="false" outlineLevel="0" collapsed="false">
      <c r="A190" s="26"/>
      <c r="B190" s="15"/>
      <c r="C190" s="27" t="n">
        <v>41306</v>
      </c>
      <c r="D190" s="8" t="n">
        <v>8.4</v>
      </c>
      <c r="E190" s="8" t="n">
        <v>7.1</v>
      </c>
      <c r="F190" s="8" t="n">
        <v>10.9</v>
      </c>
      <c r="G190" s="8" t="n">
        <f aca="false">G189+D190</f>
        <v>1419.7</v>
      </c>
      <c r="H190" s="8" t="n">
        <f aca="false">H189+D190</f>
        <v>95.3</v>
      </c>
      <c r="J190" s="8" t="n">
        <v>8.7</v>
      </c>
      <c r="K190" s="8" t="n">
        <f aca="false">J190+K189</f>
        <v>472.9</v>
      </c>
      <c r="L190" s="8" t="n">
        <v>0.5</v>
      </c>
      <c r="M190" s="8" t="n">
        <f aca="false">M189+L190</f>
        <v>160.3</v>
      </c>
      <c r="N190" s="8" t="n">
        <v>8.2</v>
      </c>
      <c r="O190" s="8" t="n">
        <v>197.4</v>
      </c>
      <c r="P190" s="8" t="n">
        <v>150</v>
      </c>
      <c r="Q190" s="8" t="n">
        <v>1</v>
      </c>
      <c r="R190" s="12" t="n">
        <f aca="false">Q190*L190</f>
        <v>0.5</v>
      </c>
      <c r="S190" s="12" t="n">
        <f aca="false">J190-R190</f>
        <v>8.2</v>
      </c>
      <c r="T190" s="12" t="n">
        <f aca="false">MIN(197.4,T189+S190)</f>
        <v>197.4</v>
      </c>
      <c r="V190" s="8" t="n">
        <v>114.2</v>
      </c>
      <c r="X190" s="8" t="n">
        <f aca="false">X189+V190</f>
        <v>74624.1</v>
      </c>
      <c r="Y190" s="8" t="n">
        <f aca="false">Y189+V190</f>
        <v>5662</v>
      </c>
      <c r="AA190" s="8" t="n">
        <v>9.46833209229584</v>
      </c>
    </row>
    <row r="191" s="8" customFormat="true" ht="15" hidden="false" customHeight="false" outlineLevel="0" collapsed="false">
      <c r="A191" s="26"/>
      <c r="B191" s="15" t="n">
        <v>9</v>
      </c>
      <c r="C191" s="27" t="n">
        <v>41307</v>
      </c>
      <c r="D191" s="8" t="n">
        <v>5.1</v>
      </c>
      <c r="E191" s="8" t="n">
        <v>4.3</v>
      </c>
      <c r="F191" s="8" t="n">
        <v>6.9</v>
      </c>
      <c r="G191" s="8" t="n">
        <f aca="false">G190+D191</f>
        <v>1424.8</v>
      </c>
      <c r="H191" s="8" t="n">
        <f aca="false">H190+D191</f>
        <v>100.4</v>
      </c>
      <c r="J191" s="8" t="n">
        <v>0.2</v>
      </c>
      <c r="K191" s="8" t="n">
        <f aca="false">J191+K190</f>
        <v>473.1</v>
      </c>
      <c r="L191" s="8" t="n">
        <v>1.2</v>
      </c>
      <c r="M191" s="8" t="n">
        <f aca="false">M190+L191</f>
        <v>161.5</v>
      </c>
      <c r="N191" s="8" t="n">
        <v>-1</v>
      </c>
      <c r="O191" s="8" t="n">
        <f aca="false">O190+N191</f>
        <v>196.4</v>
      </c>
      <c r="P191" s="8" t="n">
        <v>151</v>
      </c>
      <c r="Q191" s="8" t="n">
        <v>1</v>
      </c>
      <c r="R191" s="12" t="n">
        <f aca="false">Q191*L191</f>
        <v>1.2</v>
      </c>
      <c r="S191" s="12" t="n">
        <f aca="false">J191-R191</f>
        <v>-1</v>
      </c>
      <c r="T191" s="12" t="n">
        <f aca="false">MIN(197.4,T190+S191)</f>
        <v>196.4</v>
      </c>
      <c r="V191" s="8" t="n">
        <v>707.1</v>
      </c>
      <c r="X191" s="8" t="n">
        <f aca="false">X190+V191</f>
        <v>75331.2</v>
      </c>
      <c r="Y191" s="8" t="n">
        <f aca="false">Y190+V191</f>
        <v>6369.1</v>
      </c>
      <c r="AA191" s="8" t="n">
        <v>9.51681204433054</v>
      </c>
    </row>
    <row r="192" s="8" customFormat="true" ht="15" hidden="false" customHeight="false" outlineLevel="0" collapsed="false">
      <c r="A192" s="26"/>
      <c r="B192" s="15"/>
      <c r="C192" s="27" t="n">
        <v>41308</v>
      </c>
      <c r="D192" s="8" t="n">
        <v>5.2</v>
      </c>
      <c r="E192" s="8" t="n">
        <v>-0.5</v>
      </c>
      <c r="F192" s="8" t="n">
        <v>9.6</v>
      </c>
      <c r="G192" s="8" t="n">
        <f aca="false">G191+D192</f>
        <v>1430</v>
      </c>
      <c r="H192" s="8" t="n">
        <f aca="false">H191+D192</f>
        <v>105.6</v>
      </c>
      <c r="J192" s="8" t="n">
        <v>1.3</v>
      </c>
      <c r="K192" s="8" t="n">
        <f aca="false">J192+K191</f>
        <v>474.4</v>
      </c>
      <c r="L192" s="8" t="n">
        <v>0.4</v>
      </c>
      <c r="M192" s="8" t="n">
        <f aca="false">M191+L192</f>
        <v>161.9</v>
      </c>
      <c r="N192" s="8" t="n">
        <v>0.9</v>
      </c>
      <c r="O192" s="8" t="n">
        <f aca="false">O191+N192</f>
        <v>197.3</v>
      </c>
      <c r="P192" s="8" t="n">
        <v>152</v>
      </c>
      <c r="Q192" s="8" t="n">
        <v>1</v>
      </c>
      <c r="R192" s="12" t="n">
        <f aca="false">Q192*L192</f>
        <v>0.4</v>
      </c>
      <c r="S192" s="12" t="n">
        <f aca="false">J192-R192</f>
        <v>0.9</v>
      </c>
      <c r="T192" s="12" t="n">
        <f aca="false">MIN(197.4,T191+S192)</f>
        <v>197.3</v>
      </c>
      <c r="V192" s="8" t="n">
        <v>217.8</v>
      </c>
      <c r="X192" s="8" t="n">
        <f aca="false">X191+V192</f>
        <v>75549</v>
      </c>
      <c r="Y192" s="8" t="n">
        <f aca="false">Y191+V192</f>
        <v>6586.9</v>
      </c>
      <c r="AA192" s="8" t="n">
        <v>9.56589449566721</v>
      </c>
    </row>
    <row r="193" s="8" customFormat="true" ht="15" hidden="false" customHeight="false" outlineLevel="0" collapsed="false">
      <c r="A193" s="26"/>
      <c r="B193" s="15"/>
      <c r="C193" s="27" t="n">
        <v>41309</v>
      </c>
      <c r="D193" s="8" t="n">
        <v>9.7</v>
      </c>
      <c r="E193" s="8" t="n">
        <v>8.7</v>
      </c>
      <c r="F193" s="8" t="n">
        <v>12.4</v>
      </c>
      <c r="G193" s="8" t="n">
        <f aca="false">G192+D193</f>
        <v>1439.7</v>
      </c>
      <c r="H193" s="8" t="n">
        <f aca="false">H192+D193</f>
        <v>115.3</v>
      </c>
      <c r="J193" s="8" t="n">
        <v>0.5</v>
      </c>
      <c r="K193" s="8" t="n">
        <f aca="false">J193+K192</f>
        <v>474.9</v>
      </c>
      <c r="L193" s="8" t="n">
        <v>0.9</v>
      </c>
      <c r="M193" s="8" t="n">
        <f aca="false">M192+L193</f>
        <v>162.8</v>
      </c>
      <c r="N193" s="8" t="n">
        <v>-0.4</v>
      </c>
      <c r="O193" s="8" t="n">
        <f aca="false">O192+N193</f>
        <v>196.9</v>
      </c>
      <c r="P193" s="8" t="n">
        <v>153</v>
      </c>
      <c r="Q193" s="8" t="n">
        <v>1</v>
      </c>
      <c r="R193" s="12" t="n">
        <f aca="false">Q193*L193</f>
        <v>0.9</v>
      </c>
      <c r="S193" s="12" t="n">
        <f aca="false">J193-R193</f>
        <v>-0.4</v>
      </c>
      <c r="T193" s="12" t="n">
        <f aca="false">MIN(197.4,T192+S193)</f>
        <v>196.9</v>
      </c>
      <c r="V193" s="8" t="n">
        <v>312.9</v>
      </c>
      <c r="X193" s="8" t="n">
        <f aca="false">X192+V193</f>
        <v>75861.9</v>
      </c>
      <c r="Y193" s="8" t="n">
        <f aca="false">Y192+V193</f>
        <v>6899.8</v>
      </c>
      <c r="AA193" s="8" t="n">
        <v>9.61555413151689</v>
      </c>
    </row>
    <row r="194" s="8" customFormat="true" ht="15" hidden="false" customHeight="false" outlineLevel="0" collapsed="false">
      <c r="A194" s="26"/>
      <c r="B194" s="15"/>
      <c r="C194" s="27" t="n">
        <v>41310</v>
      </c>
      <c r="D194" s="8" t="n">
        <v>5.9</v>
      </c>
      <c r="E194" s="8" t="n">
        <v>4.3</v>
      </c>
      <c r="F194" s="8" t="n">
        <v>7</v>
      </c>
      <c r="G194" s="8" t="n">
        <f aca="false">G193+D194</f>
        <v>1445.6</v>
      </c>
      <c r="H194" s="8" t="n">
        <f aca="false">H193+D194</f>
        <v>121.2</v>
      </c>
      <c r="J194" s="8" t="n">
        <v>8.1</v>
      </c>
      <c r="K194" s="8" t="n">
        <f aca="false">J194+K193</f>
        <v>483</v>
      </c>
      <c r="L194" s="8" t="n">
        <v>0.9</v>
      </c>
      <c r="M194" s="8" t="n">
        <f aca="false">M193+L194</f>
        <v>163.7</v>
      </c>
      <c r="N194" s="8" t="n">
        <v>7.2</v>
      </c>
      <c r="O194" s="8" t="n">
        <v>197.4</v>
      </c>
      <c r="P194" s="8" t="n">
        <v>154</v>
      </c>
      <c r="Q194" s="8" t="n">
        <v>1</v>
      </c>
      <c r="R194" s="12" t="n">
        <f aca="false">Q194*L194</f>
        <v>0.9</v>
      </c>
      <c r="S194" s="12" t="n">
        <f aca="false">J194-R194</f>
        <v>7.2</v>
      </c>
      <c r="T194" s="12" t="n">
        <f aca="false">MIN(197.4,T193+S194)</f>
        <v>197.4</v>
      </c>
      <c r="V194" s="8" t="n">
        <v>804.9</v>
      </c>
      <c r="X194" s="8" t="n">
        <f aca="false">X193+V194</f>
        <v>76666.8</v>
      </c>
      <c r="Y194" s="8" t="n">
        <f aca="false">Y193+V194</f>
        <v>7704.7</v>
      </c>
      <c r="AA194" s="8" t="n">
        <v>9.66576624575695</v>
      </c>
    </row>
    <row r="195" s="8" customFormat="true" ht="15" hidden="false" customHeight="false" outlineLevel="0" collapsed="false">
      <c r="A195" s="26"/>
      <c r="B195" s="15"/>
      <c r="C195" s="27" t="n">
        <v>41311</v>
      </c>
      <c r="D195" s="8" t="n">
        <v>4.9</v>
      </c>
      <c r="E195" s="8" t="n">
        <v>3.6</v>
      </c>
      <c r="F195" s="8" t="n">
        <v>5.9</v>
      </c>
      <c r="G195" s="8" t="n">
        <f aca="false">G194+D195</f>
        <v>1450.5</v>
      </c>
      <c r="H195" s="8" t="n">
        <f aca="false">H194+D195</f>
        <v>126.1</v>
      </c>
      <c r="J195" s="8" t="n">
        <v>3.7</v>
      </c>
      <c r="K195" s="8" t="n">
        <f aca="false">J195+K194</f>
        <v>486.7</v>
      </c>
      <c r="L195" s="8" t="n">
        <v>0.7</v>
      </c>
      <c r="M195" s="8" t="n">
        <f aca="false">M194+L195</f>
        <v>164.4</v>
      </c>
      <c r="N195" s="8" t="n">
        <v>3</v>
      </c>
      <c r="O195" s="8" t="n">
        <v>197.4</v>
      </c>
      <c r="P195" s="8" t="n">
        <v>155</v>
      </c>
      <c r="Q195" s="8" t="n">
        <v>1</v>
      </c>
      <c r="R195" s="12" t="n">
        <f aca="false">Q195*L195</f>
        <v>0.7</v>
      </c>
      <c r="S195" s="12" t="n">
        <f aca="false">J195-R195</f>
        <v>3</v>
      </c>
      <c r="T195" s="12" t="n">
        <f aca="false">MIN(197.4,T194+S195)</f>
        <v>197.4</v>
      </c>
      <c r="V195" s="8" t="n">
        <v>230.4</v>
      </c>
      <c r="X195" s="8" t="n">
        <f aca="false">X194+V195</f>
        <v>76897.2</v>
      </c>
      <c r="Y195" s="8" t="n">
        <f aca="false">Y194+V195</f>
        <v>7935.1</v>
      </c>
      <c r="AA195" s="8" t="n">
        <v>9.71650675470507</v>
      </c>
    </row>
    <row r="196" s="8" customFormat="true" ht="15" hidden="false" customHeight="false" outlineLevel="0" collapsed="false">
      <c r="A196" s="26"/>
      <c r="B196" s="15"/>
      <c r="C196" s="27" t="n">
        <v>41312</v>
      </c>
      <c r="D196" s="8" t="n">
        <v>3.6</v>
      </c>
      <c r="E196" s="8" t="n">
        <v>0.2</v>
      </c>
      <c r="F196" s="8" t="n">
        <v>6.7</v>
      </c>
      <c r="G196" s="8" t="n">
        <f aca="false">G195+D196</f>
        <v>1454.1</v>
      </c>
      <c r="H196" s="8" t="n">
        <f aca="false">H195+D196</f>
        <v>129.7</v>
      </c>
      <c r="J196" s="8" t="n">
        <v>3.7</v>
      </c>
      <c r="K196" s="8" t="n">
        <f aca="false">J196+K195</f>
        <v>490.4</v>
      </c>
      <c r="L196" s="8" t="n">
        <v>0.7</v>
      </c>
      <c r="M196" s="8" t="n">
        <f aca="false">M195+L196</f>
        <v>165.1</v>
      </c>
      <c r="N196" s="8" t="n">
        <v>3</v>
      </c>
      <c r="O196" s="8" t="n">
        <v>197.4</v>
      </c>
      <c r="P196" s="8" t="n">
        <v>156</v>
      </c>
      <c r="Q196" s="8" t="n">
        <v>1</v>
      </c>
      <c r="R196" s="12" t="n">
        <f aca="false">Q196*L196</f>
        <v>0.7</v>
      </c>
      <c r="S196" s="12" t="n">
        <f aca="false">J196-R196</f>
        <v>3</v>
      </c>
      <c r="T196" s="12" t="n">
        <f aca="false">MIN(197.4,T195+S196)</f>
        <v>197.4</v>
      </c>
      <c r="V196" s="8" t="n">
        <v>259.4</v>
      </c>
      <c r="X196" s="8" t="n">
        <f aca="false">X195+V196</f>
        <v>77156.6</v>
      </c>
      <c r="Y196" s="8" t="n">
        <f aca="false">Y195+V196</f>
        <v>8194.5</v>
      </c>
      <c r="AA196" s="8" t="n">
        <v>9.76775220798853</v>
      </c>
    </row>
    <row r="197" s="8" customFormat="true" ht="15" hidden="false" customHeight="false" outlineLevel="0" collapsed="false">
      <c r="A197" s="26"/>
      <c r="B197" s="15"/>
      <c r="C197" s="27" t="n">
        <v>41313</v>
      </c>
      <c r="D197" s="8" t="n">
        <v>4.4</v>
      </c>
      <c r="E197" s="8" t="n">
        <v>3.1</v>
      </c>
      <c r="F197" s="8" t="n">
        <v>6.6</v>
      </c>
      <c r="G197" s="8" t="n">
        <f aca="false">G196+D197</f>
        <v>1458.5</v>
      </c>
      <c r="H197" s="8" t="n">
        <f aca="false">H196+D197</f>
        <v>134.1</v>
      </c>
      <c r="J197" s="8" t="n">
        <v>1.4</v>
      </c>
      <c r="K197" s="8" t="n">
        <f aca="false">J197+K196</f>
        <v>491.8</v>
      </c>
      <c r="L197" s="8" t="n">
        <v>0.7</v>
      </c>
      <c r="M197" s="8" t="n">
        <f aca="false">M196+L197</f>
        <v>165.8</v>
      </c>
      <c r="N197" s="8" t="n">
        <v>0.7</v>
      </c>
      <c r="O197" s="8" t="n">
        <v>197.4</v>
      </c>
      <c r="P197" s="8" t="n">
        <v>157</v>
      </c>
      <c r="Q197" s="8" t="n">
        <v>1</v>
      </c>
      <c r="R197" s="12" t="n">
        <f aca="false">Q197*L197</f>
        <v>0.7</v>
      </c>
      <c r="S197" s="12" t="n">
        <f aca="false">J197-R197</f>
        <v>0.7</v>
      </c>
      <c r="T197" s="12" t="n">
        <f aca="false">MIN(197.4,T196+S197)</f>
        <v>197.4</v>
      </c>
      <c r="V197" s="8" t="n">
        <v>474</v>
      </c>
      <c r="X197" s="8" t="n">
        <f aca="false">X196+V197</f>
        <v>77630.6</v>
      </c>
      <c r="Y197" s="8" t="n">
        <f aca="false">Y196+V197</f>
        <v>8668.5</v>
      </c>
      <c r="AA197" s="8" t="n">
        <v>9.81947979666666</v>
      </c>
    </row>
    <row r="198" s="8" customFormat="true" ht="15" hidden="false" customHeight="false" outlineLevel="0" collapsed="false">
      <c r="A198" s="26"/>
      <c r="B198" s="15" t="n">
        <v>10</v>
      </c>
      <c r="C198" s="27" t="n">
        <v>41314</v>
      </c>
      <c r="D198" s="8" t="n">
        <v>5.1</v>
      </c>
      <c r="E198" s="8" t="n">
        <v>3.2</v>
      </c>
      <c r="F198" s="8" t="n">
        <v>6.7</v>
      </c>
      <c r="G198" s="8" t="n">
        <f aca="false">G197+D198</f>
        <v>1463.6</v>
      </c>
      <c r="H198" s="8" t="n">
        <f aca="false">H197+D198</f>
        <v>139.2</v>
      </c>
      <c r="J198" s="8" t="n">
        <v>8.9</v>
      </c>
      <c r="K198" s="8" t="n">
        <f aca="false">J198+K197</f>
        <v>500.7</v>
      </c>
      <c r="L198" s="8" t="n">
        <v>0.2</v>
      </c>
      <c r="M198" s="8" t="n">
        <f aca="false">M197+L198</f>
        <v>166</v>
      </c>
      <c r="N198" s="8" t="n">
        <v>8.7</v>
      </c>
      <c r="O198" s="8" t="n">
        <v>197.4</v>
      </c>
      <c r="P198" s="8" t="n">
        <v>158</v>
      </c>
      <c r="Q198" s="8" t="n">
        <v>1</v>
      </c>
      <c r="R198" s="12" t="n">
        <f aca="false">Q198*L198</f>
        <v>0.2</v>
      </c>
      <c r="S198" s="12" t="n">
        <f aca="false">J198-R198</f>
        <v>8.7</v>
      </c>
      <c r="T198" s="12" t="n">
        <f aca="false">MIN(197.4,T197+S198)</f>
        <v>197.4</v>
      </c>
      <c r="V198" s="8" t="n">
        <v>158.2</v>
      </c>
      <c r="X198" s="8" t="n">
        <f aca="false">X197+V198</f>
        <v>77788.8</v>
      </c>
      <c r="Y198" s="8" t="n">
        <f aca="false">Y197+V198</f>
        <v>8826.7</v>
      </c>
      <c r="AA198" s="8" t="n">
        <v>9.87166735876594</v>
      </c>
    </row>
    <row r="199" s="8" customFormat="true" ht="15" hidden="false" customHeight="false" outlineLevel="0" collapsed="false">
      <c r="A199" s="26"/>
      <c r="B199" s="15"/>
      <c r="C199" s="27" t="n">
        <v>41315</v>
      </c>
      <c r="D199" s="8" t="n">
        <v>6.9</v>
      </c>
      <c r="E199" s="8" t="n">
        <v>5.8</v>
      </c>
      <c r="F199" s="8" t="n">
        <v>10</v>
      </c>
      <c r="G199" s="8" t="n">
        <f aca="false">G198+D199</f>
        <v>1470.5</v>
      </c>
      <c r="H199" s="8" t="n">
        <f aca="false">H198+D199</f>
        <v>146.1</v>
      </c>
      <c r="J199" s="8" t="n">
        <v>12.4</v>
      </c>
      <c r="K199" s="8" t="n">
        <f aca="false">J199+K198</f>
        <v>513.1</v>
      </c>
      <c r="L199" s="8" t="n">
        <v>0.6</v>
      </c>
      <c r="M199" s="8" t="n">
        <f aca="false">M198+L199</f>
        <v>166.6</v>
      </c>
      <c r="N199" s="8" t="n">
        <v>11.8</v>
      </c>
      <c r="O199" s="8" t="n">
        <v>197.4</v>
      </c>
      <c r="P199" s="8" t="n">
        <v>159</v>
      </c>
      <c r="Q199" s="8" t="n">
        <v>1</v>
      </c>
      <c r="R199" s="12" t="n">
        <f aca="false">Q199*L199</f>
        <v>0.6</v>
      </c>
      <c r="S199" s="12" t="n">
        <f aca="false">J199-R199</f>
        <v>11.8</v>
      </c>
      <c r="T199" s="12" t="n">
        <f aca="false">MIN(197.4,T198+S199)</f>
        <v>197.4</v>
      </c>
      <c r="V199" s="8" t="n">
        <v>160.2</v>
      </c>
      <c r="X199" s="8" t="n">
        <f aca="false">X198+V199</f>
        <v>77949</v>
      </c>
      <c r="Y199" s="8" t="n">
        <f aca="false">Y198+V199</f>
        <v>8986.9</v>
      </c>
      <c r="AA199" s="8" t="n">
        <v>9.92429338238747</v>
      </c>
    </row>
    <row r="200" s="8" customFormat="true" ht="15" hidden="false" customHeight="false" outlineLevel="0" collapsed="false">
      <c r="A200" s="26"/>
      <c r="B200" s="15"/>
      <c r="C200" s="27" t="n">
        <v>41316</v>
      </c>
      <c r="D200" s="8" t="n">
        <v>4.6</v>
      </c>
      <c r="E200" s="8" t="n">
        <v>1.1</v>
      </c>
      <c r="F200" s="8" t="n">
        <v>8.1</v>
      </c>
      <c r="G200" s="8" t="n">
        <f aca="false">G199+D200</f>
        <v>1475.1</v>
      </c>
      <c r="H200" s="8" t="n">
        <f aca="false">H199+D200</f>
        <v>150.7</v>
      </c>
      <c r="J200" s="8" t="n">
        <v>0.2</v>
      </c>
      <c r="K200" s="8" t="n">
        <f aca="false">J200+K199</f>
        <v>513.3</v>
      </c>
      <c r="L200" s="8" t="n">
        <v>0.6</v>
      </c>
      <c r="M200" s="8" t="n">
        <f aca="false">M199+L200</f>
        <v>167.2</v>
      </c>
      <c r="N200" s="8" t="n">
        <v>-0.4</v>
      </c>
      <c r="O200" s="8" t="n">
        <f aca="false">O199+N200</f>
        <v>197</v>
      </c>
      <c r="P200" s="8" t="n">
        <v>160</v>
      </c>
      <c r="Q200" s="8" t="n">
        <v>1</v>
      </c>
      <c r="R200" s="12" t="n">
        <f aca="false">Q200*L200</f>
        <v>0.6</v>
      </c>
      <c r="S200" s="12" t="n">
        <f aca="false">J200-R200</f>
        <v>-0.4</v>
      </c>
      <c r="T200" s="12" t="n">
        <f aca="false">MIN(197.4,T199+S200)</f>
        <v>197</v>
      </c>
      <c r="V200" s="8" t="n">
        <v>464.5</v>
      </c>
      <c r="X200" s="8" t="n">
        <f aca="false">X199+V200</f>
        <v>78413.5</v>
      </c>
      <c r="Y200" s="8" t="n">
        <f aca="false">Y199+V200</f>
        <v>9451.4</v>
      </c>
      <c r="AA200" s="8" t="n">
        <v>9.97733700654557</v>
      </c>
    </row>
    <row r="201" s="8" customFormat="true" ht="15" hidden="false" customHeight="false" outlineLevel="0" collapsed="false">
      <c r="A201" s="26"/>
      <c r="B201" s="15"/>
      <c r="C201" s="27" t="n">
        <v>41317</v>
      </c>
      <c r="D201" s="8" t="n">
        <v>4.3</v>
      </c>
      <c r="E201" s="8" t="n">
        <v>2.2</v>
      </c>
      <c r="F201" s="8" t="n">
        <v>5.6</v>
      </c>
      <c r="G201" s="8" t="n">
        <f aca="false">G200+D201</f>
        <v>1479.4</v>
      </c>
      <c r="H201" s="8" t="n">
        <f aca="false">H200+D201</f>
        <v>155</v>
      </c>
      <c r="J201" s="8" t="n">
        <v>0.4</v>
      </c>
      <c r="K201" s="8" t="n">
        <f aca="false">J201+K200</f>
        <v>513.7</v>
      </c>
      <c r="L201" s="8" t="n">
        <v>0.3</v>
      </c>
      <c r="M201" s="8" t="n">
        <f aca="false">M200+L201</f>
        <v>167.5</v>
      </c>
      <c r="N201" s="8" t="n">
        <v>0.1</v>
      </c>
      <c r="O201" s="8" t="n">
        <f aca="false">O200+N201</f>
        <v>197.1</v>
      </c>
      <c r="P201" s="8" t="n">
        <v>161</v>
      </c>
      <c r="Q201" s="8" t="n">
        <v>1</v>
      </c>
      <c r="R201" s="12" t="n">
        <f aca="false">Q201*L201</f>
        <v>0.3</v>
      </c>
      <c r="S201" s="12" t="n">
        <f aca="false">J201-R201</f>
        <v>0.1</v>
      </c>
      <c r="T201" s="12" t="n">
        <f aca="false">MIN(197.4,T200+S201)</f>
        <v>197.1</v>
      </c>
      <c r="V201" s="8" t="n">
        <v>256.8</v>
      </c>
      <c r="X201" s="8" t="n">
        <f aca="false">X200+V201</f>
        <v>78670.3</v>
      </c>
      <c r="Y201" s="8" t="n">
        <f aca="false">Y200+V201</f>
        <v>9708.2</v>
      </c>
      <c r="AA201" s="8" t="n">
        <v>10.0307780198942</v>
      </c>
    </row>
    <row r="202" s="8" customFormat="true" ht="15" hidden="false" customHeight="false" outlineLevel="0" collapsed="false">
      <c r="A202" s="26"/>
      <c r="B202" s="29" t="s">
        <v>46</v>
      </c>
      <c r="C202" s="27" t="n">
        <v>41318</v>
      </c>
      <c r="D202" s="8" t="n">
        <v>4.3</v>
      </c>
      <c r="E202" s="8" t="n">
        <v>2.9</v>
      </c>
      <c r="F202" s="8" t="n">
        <v>7.9</v>
      </c>
      <c r="G202" s="8" t="n">
        <f aca="false">G201+D202</f>
        <v>1483.7</v>
      </c>
      <c r="H202" s="8" t="n">
        <f aca="false">H201+D202</f>
        <v>159.3</v>
      </c>
      <c r="J202" s="8" t="n">
        <v>1.3</v>
      </c>
      <c r="K202" s="8" t="n">
        <f aca="false">J202+K201</f>
        <v>515</v>
      </c>
      <c r="L202" s="8" t="n">
        <v>0.8</v>
      </c>
      <c r="M202" s="8" t="n">
        <f aca="false">M201+L202</f>
        <v>168.3</v>
      </c>
      <c r="N202" s="8" t="n">
        <v>0.5</v>
      </c>
      <c r="O202" s="8" t="n">
        <v>197.4</v>
      </c>
      <c r="P202" s="8" t="n">
        <v>162</v>
      </c>
      <c r="Q202" s="8" t="n">
        <v>1</v>
      </c>
      <c r="R202" s="12" t="n">
        <f aca="false">Q202*L202</f>
        <v>0.8</v>
      </c>
      <c r="S202" s="12" t="n">
        <f aca="false">J202-R202</f>
        <v>0.5</v>
      </c>
      <c r="T202" s="12" t="n">
        <f aca="false">MIN(197.4,T201+S202)</f>
        <v>197.4</v>
      </c>
      <c r="V202" s="8" t="n">
        <v>355.2</v>
      </c>
      <c r="X202" s="8" t="n">
        <f aca="false">X201+V202</f>
        <v>79025.5</v>
      </c>
      <c r="Y202" s="8" t="n">
        <f aca="false">Y201+V202</f>
        <v>10063.4</v>
      </c>
      <c r="AA202" s="8" t="n">
        <v>10.0845968574949</v>
      </c>
    </row>
    <row r="203" s="8" customFormat="true" ht="15" hidden="false" customHeight="false" outlineLevel="0" collapsed="false">
      <c r="A203" s="26"/>
      <c r="B203" s="9"/>
      <c r="C203" s="27" t="n">
        <v>41319</v>
      </c>
      <c r="D203" s="8" t="n">
        <v>8.2</v>
      </c>
      <c r="E203" s="8" t="n">
        <v>4.6</v>
      </c>
      <c r="F203" s="8" t="n">
        <v>12.4</v>
      </c>
      <c r="G203" s="8" t="n">
        <f aca="false">G202+D203</f>
        <v>1491.9</v>
      </c>
      <c r="H203" s="8" t="n">
        <f aca="false">H202+D203</f>
        <v>167.5</v>
      </c>
      <c r="J203" s="8" t="n">
        <v>1.1</v>
      </c>
      <c r="K203" s="8" t="n">
        <f aca="false">J203+K202</f>
        <v>516.1</v>
      </c>
      <c r="L203" s="8" t="n">
        <v>1.4</v>
      </c>
      <c r="M203" s="8" t="n">
        <f aca="false">M202+L203</f>
        <v>169.7</v>
      </c>
      <c r="N203" s="8" t="n">
        <v>-0.3</v>
      </c>
      <c r="O203" s="8" t="n">
        <f aca="false">O202+N203</f>
        <v>197.1</v>
      </c>
      <c r="P203" s="8" t="n">
        <v>163</v>
      </c>
      <c r="Q203" s="8" t="n">
        <v>1</v>
      </c>
      <c r="R203" s="12" t="n">
        <f aca="false">Q203*L203</f>
        <v>1.4</v>
      </c>
      <c r="S203" s="12" t="n">
        <f aca="false">J203-R203</f>
        <v>-0.3</v>
      </c>
      <c r="T203" s="12" t="n">
        <f aca="false">MIN(197.4,T202+S203)</f>
        <v>197.1</v>
      </c>
      <c r="V203" s="8" t="n">
        <v>837.9</v>
      </c>
      <c r="X203" s="8" t="n">
        <f aca="false">X202+V203</f>
        <v>79863.4</v>
      </c>
      <c r="Y203" s="8" t="n">
        <f aca="false">Y202+V203</f>
        <v>10901.3</v>
      </c>
      <c r="AA203" s="8" t="n">
        <v>10.1387745957753</v>
      </c>
    </row>
    <row r="204" s="8" customFormat="true" ht="15" hidden="false" customHeight="false" outlineLevel="0" collapsed="false">
      <c r="A204" s="26"/>
      <c r="B204" s="15"/>
      <c r="C204" s="27" t="n">
        <v>41320</v>
      </c>
      <c r="D204" s="8" t="n">
        <v>6.4</v>
      </c>
      <c r="E204" s="8" t="n">
        <v>1.7</v>
      </c>
      <c r="F204" s="8" t="n">
        <v>11.9</v>
      </c>
      <c r="G204" s="8" t="n">
        <f aca="false">G203+D204</f>
        <v>1498.3</v>
      </c>
      <c r="H204" s="8" t="n">
        <f aca="false">H203+D204</f>
        <v>173.9</v>
      </c>
      <c r="J204" s="8" t="n">
        <v>0.2</v>
      </c>
      <c r="K204" s="8" t="n">
        <f aca="false">J204+K203</f>
        <v>516.3</v>
      </c>
      <c r="L204" s="8" t="n">
        <v>0.9</v>
      </c>
      <c r="M204" s="8" t="n">
        <f aca="false">M203+L204</f>
        <v>170.6</v>
      </c>
      <c r="N204" s="8" t="n">
        <v>-0.7</v>
      </c>
      <c r="O204" s="8" t="n">
        <f aca="false">O203+N204</f>
        <v>196.4</v>
      </c>
      <c r="P204" s="8" t="n">
        <v>164</v>
      </c>
      <c r="Q204" s="8" t="n">
        <v>1</v>
      </c>
      <c r="R204" s="12" t="n">
        <f aca="false">Q204*L204</f>
        <v>0.9</v>
      </c>
      <c r="S204" s="12" t="n">
        <f aca="false">J204-R204</f>
        <v>-0.7</v>
      </c>
      <c r="T204" s="12" t="n">
        <f aca="false">MIN(197.4,T203+S204)</f>
        <v>196.4</v>
      </c>
      <c r="V204" s="8" t="n">
        <v>665.5</v>
      </c>
      <c r="X204" s="8" t="n">
        <f aca="false">X203+V204</f>
        <v>80528.9</v>
      </c>
      <c r="Y204" s="8" t="n">
        <f aca="false">Y203+V204</f>
        <v>11566.8</v>
      </c>
      <c r="AA204" s="8" t="n">
        <v>10.1932929458242</v>
      </c>
    </row>
    <row r="205" s="8" customFormat="true" ht="15" hidden="false" customHeight="false" outlineLevel="0" collapsed="false">
      <c r="A205" s="26"/>
      <c r="B205" s="15"/>
      <c r="C205" s="27" t="n">
        <v>41321</v>
      </c>
      <c r="D205" s="8" t="n">
        <v>4.7</v>
      </c>
      <c r="E205" s="8" t="n">
        <v>2.2</v>
      </c>
      <c r="F205" s="8" t="n">
        <v>7.6</v>
      </c>
      <c r="G205" s="8" t="n">
        <f aca="false">G204+D205</f>
        <v>1503</v>
      </c>
      <c r="H205" s="8" t="n">
        <f aca="false">H204+D205</f>
        <v>178.6</v>
      </c>
      <c r="J205" s="8" t="n">
        <v>0</v>
      </c>
      <c r="K205" s="8" t="n">
        <f aca="false">J205+K204</f>
        <v>516.3</v>
      </c>
      <c r="L205" s="8" t="n">
        <v>0.5</v>
      </c>
      <c r="M205" s="8" t="n">
        <f aca="false">M204+L205</f>
        <v>171.1</v>
      </c>
      <c r="N205" s="8" t="n">
        <v>-0.5</v>
      </c>
      <c r="O205" s="8" t="n">
        <f aca="false">O204+N205</f>
        <v>195.9</v>
      </c>
      <c r="P205" s="8" t="n">
        <v>165</v>
      </c>
      <c r="Q205" s="8" t="n">
        <v>1</v>
      </c>
      <c r="R205" s="12" t="n">
        <f aca="false">Q205*L205</f>
        <v>0.5</v>
      </c>
      <c r="S205" s="12" t="n">
        <f aca="false">J205-R205</f>
        <v>-0.5</v>
      </c>
      <c r="T205" s="12" t="n">
        <f aca="false">MIN(197.4,T204+S205)</f>
        <v>195.9</v>
      </c>
      <c r="V205" s="8" t="n">
        <v>340.9</v>
      </c>
      <c r="X205" s="8" t="n">
        <f aca="false">X204+V205</f>
        <v>80869.8</v>
      </c>
      <c r="Y205" s="8" t="n">
        <f aca="false">Y204+V205</f>
        <v>11907.7</v>
      </c>
      <c r="AA205" s="8" t="n">
        <v>10.2481342451621</v>
      </c>
    </row>
    <row r="206" s="8" customFormat="true" ht="15" hidden="false" customHeight="false" outlineLevel="0" collapsed="false">
      <c r="A206" s="26"/>
      <c r="B206" s="15"/>
      <c r="C206" s="27" t="n">
        <v>41322</v>
      </c>
      <c r="D206" s="8" t="n">
        <v>4.3</v>
      </c>
      <c r="E206" s="8" t="n">
        <v>2.7</v>
      </c>
      <c r="F206" s="8" t="n">
        <v>7.2</v>
      </c>
      <c r="G206" s="8" t="n">
        <f aca="false">G205+D206</f>
        <v>1507.3</v>
      </c>
      <c r="H206" s="8" t="n">
        <f aca="false">H205+D206</f>
        <v>182.9</v>
      </c>
      <c r="J206" s="8" t="n">
        <v>0</v>
      </c>
      <c r="K206" s="8" t="n">
        <f aca="false">J206+K205</f>
        <v>516.3</v>
      </c>
      <c r="L206" s="8" t="n">
        <v>0.9</v>
      </c>
      <c r="M206" s="8" t="n">
        <f aca="false">M205+L206</f>
        <v>172</v>
      </c>
      <c r="N206" s="8" t="n">
        <v>-0.9</v>
      </c>
      <c r="O206" s="8" t="n">
        <f aca="false">O205+N206</f>
        <v>195</v>
      </c>
      <c r="P206" s="8" t="n">
        <v>166</v>
      </c>
      <c r="Q206" s="8" t="n">
        <v>1</v>
      </c>
      <c r="R206" s="12" t="n">
        <f aca="false">Q206*L206</f>
        <v>0.9</v>
      </c>
      <c r="S206" s="12" t="n">
        <f aca="false">J206-R206</f>
        <v>-0.9</v>
      </c>
      <c r="T206" s="12" t="n">
        <f aca="false">MIN(197.4,T205+S206)</f>
        <v>195</v>
      </c>
      <c r="V206" s="8" t="n">
        <v>767.1</v>
      </c>
      <c r="X206" s="8" t="n">
        <f aca="false">X205+V206</f>
        <v>81636.9</v>
      </c>
      <c r="Y206" s="8" t="n">
        <f aca="false">Y205+V206</f>
        <v>12674.8</v>
      </c>
      <c r="AA206" s="8" t="n">
        <v>10.3032814481223</v>
      </c>
    </row>
    <row r="207" s="8" customFormat="true" ht="15" hidden="false" customHeight="false" outlineLevel="0" collapsed="false">
      <c r="A207" s="26"/>
      <c r="B207" s="15"/>
      <c r="C207" s="27" t="n">
        <v>41323</v>
      </c>
      <c r="D207" s="8" t="n">
        <v>4.4</v>
      </c>
      <c r="E207" s="8" t="n">
        <v>1.6</v>
      </c>
      <c r="F207" s="8" t="n">
        <v>9</v>
      </c>
      <c r="G207" s="8" t="n">
        <f aca="false">G206+D207</f>
        <v>1511.7</v>
      </c>
      <c r="H207" s="8" t="n">
        <f aca="false">H206+D207</f>
        <v>187.3</v>
      </c>
      <c r="J207" s="8" t="n">
        <v>0</v>
      </c>
      <c r="K207" s="8" t="n">
        <f aca="false">J207+K206</f>
        <v>516.3</v>
      </c>
      <c r="L207" s="8" t="n">
        <v>1.5</v>
      </c>
      <c r="M207" s="8" t="n">
        <f aca="false">M206+L207</f>
        <v>173.5</v>
      </c>
      <c r="N207" s="8" t="n">
        <v>-1.5</v>
      </c>
      <c r="O207" s="8" t="n">
        <f aca="false">O206+N207</f>
        <v>193.5</v>
      </c>
      <c r="P207" s="8" t="n">
        <v>167</v>
      </c>
      <c r="Q207" s="8" t="n">
        <v>1</v>
      </c>
      <c r="R207" s="12" t="n">
        <f aca="false">Q207*L207</f>
        <v>1.5</v>
      </c>
      <c r="S207" s="12" t="n">
        <f aca="false">J207-R207</f>
        <v>-1.5</v>
      </c>
      <c r="T207" s="12" t="n">
        <f aca="false">MIN(197.4,T206+S207)</f>
        <v>193.5</v>
      </c>
      <c r="V207" s="8" t="n">
        <v>1257.7</v>
      </c>
      <c r="X207" s="8" t="n">
        <f aca="false">X206+V207</f>
        <v>82894.6</v>
      </c>
      <c r="Y207" s="8" t="n">
        <f aca="false">Y206+V207</f>
        <v>13932.5</v>
      </c>
      <c r="AA207" s="8" t="n">
        <v>10.3587181149694</v>
      </c>
    </row>
    <row r="208" s="8" customFormat="true" ht="15" hidden="false" customHeight="false" outlineLevel="0" collapsed="false">
      <c r="A208" s="26"/>
      <c r="B208" s="15"/>
      <c r="C208" s="27" t="n">
        <v>41324</v>
      </c>
      <c r="D208" s="8" t="n">
        <v>4.5</v>
      </c>
      <c r="E208" s="8" t="n">
        <v>0.4</v>
      </c>
      <c r="F208" s="8" t="n">
        <v>10.6</v>
      </c>
      <c r="G208" s="8" t="n">
        <f aca="false">G207+D208</f>
        <v>1516.2</v>
      </c>
      <c r="H208" s="8" t="n">
        <f aca="false">H207+D208</f>
        <v>191.8</v>
      </c>
      <c r="J208" s="8" t="n">
        <v>0</v>
      </c>
      <c r="K208" s="8" t="n">
        <f aca="false">J208+K207</f>
        <v>516.3</v>
      </c>
      <c r="L208" s="8" t="n">
        <v>1.5</v>
      </c>
      <c r="M208" s="8" t="n">
        <f aca="false">M207+L208</f>
        <v>175</v>
      </c>
      <c r="N208" s="8" t="n">
        <v>-1.5</v>
      </c>
      <c r="O208" s="8" t="n">
        <f aca="false">O207+N208</f>
        <v>192</v>
      </c>
      <c r="P208" s="8" t="n">
        <v>168</v>
      </c>
      <c r="Q208" s="8" t="n">
        <v>1</v>
      </c>
      <c r="R208" s="12" t="n">
        <f aca="false">Q208*L208</f>
        <v>1.5</v>
      </c>
      <c r="S208" s="12" t="n">
        <f aca="false">J208-R208</f>
        <v>-1.5</v>
      </c>
      <c r="T208" s="12" t="n">
        <f aca="false">MIN(197.4,T207+S208)</f>
        <v>192</v>
      </c>
      <c r="V208" s="8" t="n">
        <v>1195.1</v>
      </c>
      <c r="X208" s="8" t="n">
        <f aca="false">X207+V208</f>
        <v>84089.7</v>
      </c>
      <c r="Y208" s="8" t="n">
        <f aca="false">Y207+V208</f>
        <v>15127.6</v>
      </c>
      <c r="AA208" s="8" t="n">
        <v>10.4144283998791</v>
      </c>
    </row>
    <row r="209" s="8" customFormat="true" ht="15" hidden="false" customHeight="false" outlineLevel="0" collapsed="false">
      <c r="A209" s="26"/>
      <c r="B209" s="29" t="s">
        <v>50</v>
      </c>
      <c r="C209" s="27" t="n">
        <v>41325</v>
      </c>
      <c r="D209" s="8" t="n">
        <v>3.9</v>
      </c>
      <c r="E209" s="8" t="n">
        <v>-0.9</v>
      </c>
      <c r="F209" s="8" t="n">
        <v>10.4</v>
      </c>
      <c r="G209" s="8" t="n">
        <f aca="false">G208+D209</f>
        <v>1520.1</v>
      </c>
      <c r="H209" s="8" t="n">
        <f aca="false">H208+D209</f>
        <v>195.7</v>
      </c>
      <c r="J209" s="8" t="n">
        <v>0.1</v>
      </c>
      <c r="K209" s="8" t="n">
        <f aca="false">J209+K208</f>
        <v>516.4</v>
      </c>
      <c r="L209" s="8" t="n">
        <v>1.7</v>
      </c>
      <c r="M209" s="8" t="n">
        <f aca="false">M208+L209</f>
        <v>176.7</v>
      </c>
      <c r="N209" s="8" t="n">
        <v>-1.6</v>
      </c>
      <c r="O209" s="8" t="n">
        <f aca="false">O208+N209</f>
        <v>190.4</v>
      </c>
      <c r="P209" s="8" t="n">
        <v>169</v>
      </c>
      <c r="Q209" s="8" t="n">
        <v>1</v>
      </c>
      <c r="R209" s="12" t="n">
        <f aca="false">Q209*L209</f>
        <v>1.7</v>
      </c>
      <c r="S209" s="12" t="n">
        <f aca="false">J209-R209</f>
        <v>-1.6</v>
      </c>
      <c r="T209" s="12" t="n">
        <f aca="false">MIN(197.4,T208+S209)</f>
        <v>190.4</v>
      </c>
      <c r="V209" s="8" t="n">
        <v>1284.7</v>
      </c>
      <c r="X209" s="8" t="n">
        <f aca="false">X208+V209</f>
        <v>85374.4</v>
      </c>
      <c r="Y209" s="8" t="n">
        <f aca="false">Y208+V209</f>
        <v>16412.3</v>
      </c>
      <c r="AA209" s="8" t="n">
        <v>10.4703970378929</v>
      </c>
    </row>
    <row r="210" s="8" customFormat="true" ht="15" hidden="false" customHeight="false" outlineLevel="0" collapsed="false">
      <c r="A210" s="26"/>
      <c r="B210" s="15"/>
      <c r="C210" s="27" t="n">
        <v>41326</v>
      </c>
      <c r="D210" s="8" t="n">
        <v>1.3</v>
      </c>
      <c r="E210" s="8" t="n">
        <v>-0.4</v>
      </c>
      <c r="F210" s="8" t="n">
        <v>4.1</v>
      </c>
      <c r="G210" s="8" t="n">
        <f aca="false">G209+D210</f>
        <v>1521.4</v>
      </c>
      <c r="H210" s="8" t="n">
        <f aca="false">H209+D210</f>
        <v>197</v>
      </c>
      <c r="J210" s="8" t="n">
        <v>0</v>
      </c>
      <c r="K210" s="8" t="n">
        <f aca="false">J210+K209</f>
        <v>516.4</v>
      </c>
      <c r="L210" s="8" t="n">
        <v>1.8</v>
      </c>
      <c r="M210" s="8" t="n">
        <f aca="false">M209+L210</f>
        <v>178.5</v>
      </c>
      <c r="N210" s="8" t="n">
        <v>-1.8</v>
      </c>
      <c r="O210" s="8" t="n">
        <f aca="false">O209+N210</f>
        <v>188.6</v>
      </c>
      <c r="P210" s="8" t="n">
        <v>170</v>
      </c>
      <c r="Q210" s="8" t="n">
        <v>1</v>
      </c>
      <c r="R210" s="12" t="n">
        <f aca="false">Q210*L210</f>
        <v>1.8</v>
      </c>
      <c r="S210" s="12" t="n">
        <f aca="false">J210-R210</f>
        <v>-1.8</v>
      </c>
      <c r="T210" s="12" t="n">
        <f aca="false">MIN(197.4,T209+S210)</f>
        <v>188.6</v>
      </c>
      <c r="V210" s="8" t="n">
        <v>1313.2</v>
      </c>
      <c r="X210" s="8" t="n">
        <f aca="false">X209+V210</f>
        <v>86687.6</v>
      </c>
      <c r="Y210" s="8" t="n">
        <f aca="false">Y209+V210</f>
        <v>17725.5</v>
      </c>
      <c r="AA210" s="8" t="n">
        <v>10.5266093309573</v>
      </c>
    </row>
    <row r="211" s="8" customFormat="true" ht="15" hidden="false" customHeight="false" outlineLevel="0" collapsed="false">
      <c r="A211" s="26"/>
      <c r="B211" s="15"/>
      <c r="C211" s="27" t="n">
        <v>41327</v>
      </c>
      <c r="D211" s="8" t="n">
        <v>-0.1</v>
      </c>
      <c r="E211" s="8" t="n">
        <v>-1.5</v>
      </c>
      <c r="F211" s="8" t="n">
        <v>2.5</v>
      </c>
      <c r="G211" s="8" t="n">
        <v>1521.4</v>
      </c>
      <c r="H211" s="8" t="n">
        <v>197</v>
      </c>
      <c r="J211" s="8" t="n">
        <v>0</v>
      </c>
      <c r="K211" s="8" t="n">
        <f aca="false">J211+K210</f>
        <v>516.4</v>
      </c>
      <c r="L211" s="8" t="n">
        <v>1.5</v>
      </c>
      <c r="M211" s="8" t="n">
        <f aca="false">M210+L211</f>
        <v>180</v>
      </c>
      <c r="N211" s="8" t="n">
        <v>-1.5</v>
      </c>
      <c r="O211" s="8" t="n">
        <f aca="false">O210+N211</f>
        <v>187.1</v>
      </c>
      <c r="P211" s="8" t="n">
        <v>171</v>
      </c>
      <c r="Q211" s="8" t="n">
        <v>1</v>
      </c>
      <c r="R211" s="12" t="n">
        <f aca="false">Q211*L211</f>
        <v>1.5</v>
      </c>
      <c r="S211" s="12" t="n">
        <f aca="false">J211-R211</f>
        <v>-1.5</v>
      </c>
      <c r="T211" s="12" t="n">
        <f aca="false">MIN(197.4,T210+S211)</f>
        <v>187.1</v>
      </c>
      <c r="V211" s="8" t="n">
        <v>821.6</v>
      </c>
      <c r="X211" s="8" t="n">
        <f aca="false">X210+V211</f>
        <v>87509.2</v>
      </c>
      <c r="Y211" s="8" t="n">
        <f aca="false">Y210+V211</f>
        <v>18547.1</v>
      </c>
      <c r="AA211" s="8" t="n">
        <v>10.5830511331501</v>
      </c>
    </row>
    <row r="212" s="8" customFormat="true" ht="15" hidden="false" customHeight="false" outlineLevel="0" collapsed="false">
      <c r="A212" s="26"/>
      <c r="B212" s="15"/>
      <c r="C212" s="27" t="n">
        <v>41328</v>
      </c>
      <c r="D212" s="8" t="n">
        <v>-0.6</v>
      </c>
      <c r="E212" s="8" t="n">
        <v>-3.3</v>
      </c>
      <c r="F212" s="8" t="n">
        <v>1</v>
      </c>
      <c r="G212" s="8" t="n">
        <v>1521.4</v>
      </c>
      <c r="H212" s="8" t="n">
        <v>197</v>
      </c>
      <c r="J212" s="8" t="n">
        <v>0</v>
      </c>
      <c r="K212" s="8" t="n">
        <f aca="false">J212+K211</f>
        <v>516.4</v>
      </c>
      <c r="L212" s="8" t="n">
        <v>0.7</v>
      </c>
      <c r="M212" s="8" t="n">
        <f aca="false">M211+L212</f>
        <v>180.7</v>
      </c>
      <c r="N212" s="8" t="n">
        <v>-0.7</v>
      </c>
      <c r="O212" s="8" t="n">
        <f aca="false">O211+N212</f>
        <v>186.4</v>
      </c>
      <c r="P212" s="8" t="n">
        <v>172</v>
      </c>
      <c r="Q212" s="8" t="n">
        <v>1</v>
      </c>
      <c r="R212" s="12" t="n">
        <f aca="false">Q212*L212</f>
        <v>0.7</v>
      </c>
      <c r="S212" s="12" t="n">
        <f aca="false">J212-R212</f>
        <v>-0.7</v>
      </c>
      <c r="T212" s="12" t="n">
        <f aca="false">MIN(197.4,T211+S212)</f>
        <v>186.4</v>
      </c>
      <c r="V212" s="8" t="n">
        <v>373.3</v>
      </c>
      <c r="X212" s="8" t="n">
        <f aca="false">X211+V212</f>
        <v>87882.5</v>
      </c>
      <c r="Y212" s="8" t="n">
        <f aca="false">Y211+V212</f>
        <v>18920.4</v>
      </c>
      <c r="AA212" s="8" t="n">
        <v>10.6397088351891</v>
      </c>
    </row>
    <row r="213" s="8" customFormat="true" ht="15" hidden="false" customHeight="false" outlineLevel="0" collapsed="false">
      <c r="A213" s="26"/>
      <c r="B213" s="15"/>
      <c r="C213" s="27" t="n">
        <v>41329</v>
      </c>
      <c r="D213" s="8" t="n">
        <v>2</v>
      </c>
      <c r="E213" s="8" t="n">
        <v>0.3</v>
      </c>
      <c r="F213" s="8" t="n">
        <v>3.9</v>
      </c>
      <c r="G213" s="8" t="n">
        <f aca="false">G212+D213</f>
        <v>1523.4</v>
      </c>
      <c r="H213" s="8" t="n">
        <f aca="false">H212+D213</f>
        <v>199</v>
      </c>
      <c r="J213" s="8" t="n">
        <v>0.3</v>
      </c>
      <c r="K213" s="8" t="n">
        <f aca="false">J213+K212</f>
        <v>516.7</v>
      </c>
      <c r="L213" s="8" t="n">
        <v>1</v>
      </c>
      <c r="M213" s="8" t="n">
        <f aca="false">M212+L213</f>
        <v>181.7</v>
      </c>
      <c r="N213" s="8" t="n">
        <v>-0.7</v>
      </c>
      <c r="O213" s="8" t="n">
        <f aca="false">O212+N213</f>
        <v>185.7</v>
      </c>
      <c r="P213" s="8" t="n">
        <v>173</v>
      </c>
      <c r="Q213" s="8" t="n">
        <v>1</v>
      </c>
      <c r="R213" s="12" t="n">
        <f aca="false">Q213*L213</f>
        <v>1</v>
      </c>
      <c r="S213" s="12" t="n">
        <f aca="false">J213-R213</f>
        <v>-0.7</v>
      </c>
      <c r="T213" s="12" t="n">
        <f aca="false">MIN(197.4,T212+S213)</f>
        <v>185.7</v>
      </c>
      <c r="V213" s="8" t="n">
        <v>448.2</v>
      </c>
      <c r="X213" s="8" t="n">
        <f aca="false">X212+V213</f>
        <v>88330.7</v>
      </c>
      <c r="Y213" s="8" t="n">
        <f aca="false">Y212+V213</f>
        <v>19368.6</v>
      </c>
      <c r="AA213" s="8" t="n">
        <v>10.6965693483125</v>
      </c>
    </row>
    <row r="214" s="8" customFormat="true" ht="15" hidden="false" customHeight="false" outlineLevel="0" collapsed="false">
      <c r="A214" s="26"/>
      <c r="B214" s="15"/>
      <c r="C214" s="27" t="n">
        <v>41330</v>
      </c>
      <c r="D214" s="8" t="n">
        <v>3.7</v>
      </c>
      <c r="E214" s="8" t="n">
        <v>1.4</v>
      </c>
      <c r="F214" s="8" t="n">
        <v>5.7</v>
      </c>
      <c r="G214" s="8" t="n">
        <f aca="false">G213+D214</f>
        <v>1527.1</v>
      </c>
      <c r="H214" s="8" t="n">
        <f aca="false">H213+D214</f>
        <v>202.7</v>
      </c>
      <c r="J214" s="8" t="n">
        <v>0.8</v>
      </c>
      <c r="K214" s="8" t="n">
        <f aca="false">J214+K213</f>
        <v>517.5</v>
      </c>
      <c r="L214" s="8" t="n">
        <v>0.8</v>
      </c>
      <c r="M214" s="8" t="n">
        <f aca="false">M213+L214</f>
        <v>182.5</v>
      </c>
      <c r="N214" s="8" t="n">
        <v>0</v>
      </c>
      <c r="O214" s="8" t="n">
        <f aca="false">O213+N214</f>
        <v>185.7</v>
      </c>
      <c r="P214" s="8" t="n">
        <v>174</v>
      </c>
      <c r="Q214" s="8" t="n">
        <v>1</v>
      </c>
      <c r="R214" s="12" t="n">
        <f aca="false">Q214*L214</f>
        <v>0.8</v>
      </c>
      <c r="S214" s="12" t="n">
        <f aca="false">J214-R214</f>
        <v>0</v>
      </c>
      <c r="T214" s="12" t="n">
        <f aca="false">MIN(197.4,T213+S214)</f>
        <v>185.7</v>
      </c>
      <c r="V214" s="8" t="n">
        <v>315.8</v>
      </c>
      <c r="X214" s="8" t="n">
        <f aca="false">X213+V214</f>
        <v>88646.5</v>
      </c>
      <c r="Y214" s="8" t="n">
        <f aca="false">Y213+V214</f>
        <v>19684.4</v>
      </c>
      <c r="AA214" s="8" t="n">
        <v>10.7536200876135</v>
      </c>
    </row>
    <row r="215" s="8" customFormat="true" ht="15" hidden="false" customHeight="false" outlineLevel="0" collapsed="false">
      <c r="A215" s="26"/>
      <c r="B215" s="15"/>
      <c r="C215" s="27" t="n">
        <v>41331</v>
      </c>
      <c r="D215" s="8" t="n">
        <v>3.4</v>
      </c>
      <c r="E215" s="8" t="n">
        <v>3.1</v>
      </c>
      <c r="F215" s="8" t="n">
        <v>3.8</v>
      </c>
      <c r="G215" s="8" t="n">
        <f aca="false">G214+D215</f>
        <v>1530.5</v>
      </c>
      <c r="H215" s="8" t="n">
        <f aca="false">H214+D215</f>
        <v>206.1</v>
      </c>
      <c r="J215" s="8" t="n">
        <v>0</v>
      </c>
      <c r="K215" s="8" t="n">
        <f aca="false">J215+K214</f>
        <v>517.5</v>
      </c>
      <c r="L215" s="8" t="n">
        <v>0.7</v>
      </c>
      <c r="M215" s="8" t="n">
        <f aca="false">M214+L215</f>
        <v>183.2</v>
      </c>
      <c r="N215" s="8" t="n">
        <v>-0.7</v>
      </c>
      <c r="O215" s="8" t="n">
        <f aca="false">O214+N215</f>
        <v>185</v>
      </c>
      <c r="P215" s="8" t="n">
        <v>175</v>
      </c>
      <c r="Q215" s="8" t="n">
        <v>1</v>
      </c>
      <c r="R215" s="12" t="n">
        <f aca="false">Q215*L215</f>
        <v>0.7</v>
      </c>
      <c r="S215" s="12" t="n">
        <f aca="false">J215-R215</f>
        <v>-0.7</v>
      </c>
      <c r="T215" s="12" t="n">
        <f aca="false">MIN(197.4,T214+S215)</f>
        <v>185</v>
      </c>
      <c r="V215" s="8" t="n">
        <v>306.4</v>
      </c>
      <c r="X215" s="8" t="n">
        <f aca="false">X214+V215</f>
        <v>88952.9</v>
      </c>
      <c r="Y215" s="8" t="n">
        <f aca="false">Y214+V215</f>
        <v>19990.8</v>
      </c>
      <c r="AA215" s="8" t="n">
        <v>10.8108489549064</v>
      </c>
    </row>
    <row r="216" s="8" customFormat="true" ht="15" hidden="false" customHeight="false" outlineLevel="0" collapsed="false">
      <c r="A216" s="26"/>
      <c r="B216" s="29" t="s">
        <v>54</v>
      </c>
      <c r="C216" s="27" t="n">
        <v>41332</v>
      </c>
      <c r="D216" s="8" t="n">
        <v>3.7</v>
      </c>
      <c r="E216" s="8" t="n">
        <v>2.4</v>
      </c>
      <c r="F216" s="8" t="n">
        <v>5.4</v>
      </c>
      <c r="G216" s="8" t="n">
        <f aca="false">G215+D216</f>
        <v>1534.2</v>
      </c>
      <c r="H216" s="8" t="n">
        <f aca="false">H215+D216</f>
        <v>209.8</v>
      </c>
      <c r="J216" s="8" t="n">
        <v>0</v>
      </c>
      <c r="K216" s="8" t="n">
        <f aca="false">J216+K215</f>
        <v>517.5</v>
      </c>
      <c r="L216" s="8" t="n">
        <v>1.1</v>
      </c>
      <c r="M216" s="8" t="n">
        <f aca="false">M215+L216</f>
        <v>184.3</v>
      </c>
      <c r="N216" s="8" t="n">
        <v>-1.1</v>
      </c>
      <c r="O216" s="8" t="n">
        <f aca="false">O215+N216</f>
        <v>183.9</v>
      </c>
      <c r="P216" s="8" t="n">
        <v>176</v>
      </c>
      <c r="Q216" s="8" t="n">
        <v>1</v>
      </c>
      <c r="R216" s="12" t="n">
        <f aca="false">Q216*L216</f>
        <v>1.1</v>
      </c>
      <c r="S216" s="12" t="n">
        <f aca="false">J216-R216</f>
        <v>-1.1</v>
      </c>
      <c r="T216" s="12" t="n">
        <f aca="false">MIN(197.4,T215+S216)</f>
        <v>183.9</v>
      </c>
      <c r="V216" s="8" t="n">
        <v>745.7</v>
      </c>
      <c r="X216" s="8" t="n">
        <f aca="false">X215+V216</f>
        <v>89698.6</v>
      </c>
      <c r="Y216" s="8" t="n">
        <f aca="false">Y215+V216</f>
        <v>20736.5</v>
      </c>
      <c r="AA216" s="8" t="n">
        <v>10.8682443211932</v>
      </c>
    </row>
    <row r="217" s="8" customFormat="true" ht="15" hidden="false" customHeight="false" outlineLevel="0" collapsed="false">
      <c r="A217" s="26"/>
      <c r="B217" s="15"/>
      <c r="C217" s="27" t="n">
        <v>41333</v>
      </c>
      <c r="D217" s="8" t="n">
        <v>3</v>
      </c>
      <c r="E217" s="8" t="n">
        <v>1.9</v>
      </c>
      <c r="F217" s="8" t="n">
        <v>4.1</v>
      </c>
      <c r="G217" s="8" t="n">
        <f aca="false">G216+D217</f>
        <v>1537.2</v>
      </c>
      <c r="H217" s="8" t="n">
        <f aca="false">H216+D217</f>
        <v>212.8</v>
      </c>
      <c r="J217" s="8" t="n">
        <v>0</v>
      </c>
      <c r="K217" s="8" t="n">
        <f aca="false">J217+K216</f>
        <v>517.5</v>
      </c>
      <c r="L217" s="8" t="n">
        <v>0.4</v>
      </c>
      <c r="M217" s="8" t="n">
        <f aca="false">M216+L217</f>
        <v>184.7</v>
      </c>
      <c r="N217" s="8" t="n">
        <v>-0.4</v>
      </c>
      <c r="O217" s="8" t="n">
        <f aca="false">O216+N217</f>
        <v>183.5</v>
      </c>
      <c r="P217" s="8" t="n">
        <v>177</v>
      </c>
      <c r="Q217" s="8" t="n">
        <v>1</v>
      </c>
      <c r="R217" s="12" t="n">
        <f aca="false">Q217*L217</f>
        <v>0.4</v>
      </c>
      <c r="S217" s="12" t="n">
        <f aca="false">J217-R217</f>
        <v>-0.4</v>
      </c>
      <c r="T217" s="12" t="n">
        <f aca="false">MIN(197.4,T216+S217)</f>
        <v>183.5</v>
      </c>
      <c r="V217" s="8" t="n">
        <v>325.5</v>
      </c>
      <c r="X217" s="8" t="n">
        <f aca="false">X216+V217</f>
        <v>90024.1</v>
      </c>
      <c r="Y217" s="8" t="n">
        <f aca="false">Y216+V217</f>
        <v>21062</v>
      </c>
      <c r="AA217" s="8" t="n">
        <v>10.9257950087975</v>
      </c>
    </row>
    <row r="218" s="8" customFormat="true" ht="15" hidden="false" customHeight="false" outlineLevel="0" collapsed="false">
      <c r="A218" s="26"/>
      <c r="B218" s="15"/>
      <c r="C218" s="27" t="n">
        <v>41334</v>
      </c>
      <c r="D218" s="8" t="n">
        <v>3.1</v>
      </c>
      <c r="E218" s="8" t="n">
        <v>1.5</v>
      </c>
      <c r="F218" s="8" t="n">
        <v>4.3</v>
      </c>
      <c r="G218" s="8" t="n">
        <f aca="false">G217+D218</f>
        <v>1540.3</v>
      </c>
      <c r="H218" s="8" t="n">
        <f aca="false">H217+D218</f>
        <v>215.9</v>
      </c>
      <c r="J218" s="8" t="n">
        <v>0</v>
      </c>
      <c r="K218" s="8" t="n">
        <f aca="false">J218+K217</f>
        <v>517.5</v>
      </c>
      <c r="L218" s="8" t="n">
        <v>0.8</v>
      </c>
      <c r="M218" s="8" t="n">
        <f aca="false">M217+L218</f>
        <v>185.5</v>
      </c>
      <c r="N218" s="8" t="n">
        <v>-0.8</v>
      </c>
      <c r="O218" s="8" t="n">
        <f aca="false">O217+N218</f>
        <v>182.7</v>
      </c>
      <c r="P218" s="8" t="n">
        <v>178</v>
      </c>
      <c r="Q218" s="8" t="n">
        <v>1</v>
      </c>
      <c r="R218" s="12" t="n">
        <f aca="false">Q218*L218</f>
        <v>0.8</v>
      </c>
      <c r="S218" s="12" t="n">
        <f aca="false">J218-R218</f>
        <v>-0.8</v>
      </c>
      <c r="T218" s="12" t="n">
        <f aca="false">MIN(197.4,T217+S218)</f>
        <v>182.7</v>
      </c>
      <c r="V218" s="8" t="n">
        <v>424.6</v>
      </c>
      <c r="X218" s="8" t="n">
        <f aca="false">X217+V218</f>
        <v>90448.7</v>
      </c>
      <c r="Y218" s="8" t="n">
        <f aca="false">Y217+V218</f>
        <v>21486.6</v>
      </c>
      <c r="AA218" s="8" t="n">
        <v>10.9834902732216</v>
      </c>
    </row>
    <row r="219" s="8" customFormat="true" ht="15" hidden="false" customHeight="false" outlineLevel="0" collapsed="false">
      <c r="A219" s="26"/>
      <c r="B219" s="15"/>
      <c r="C219" s="27" t="n">
        <v>41335</v>
      </c>
      <c r="D219" s="8" t="n">
        <v>2.9</v>
      </c>
      <c r="E219" s="8" t="n">
        <v>2.5</v>
      </c>
      <c r="F219" s="8" t="n">
        <v>3.4</v>
      </c>
      <c r="G219" s="8" t="n">
        <f aca="false">G218+D219</f>
        <v>1543.2</v>
      </c>
      <c r="H219" s="8" t="n">
        <f aca="false">H218+D219</f>
        <v>218.8</v>
      </c>
      <c r="J219" s="8" t="n">
        <v>0</v>
      </c>
      <c r="K219" s="8" t="n">
        <f aca="false">J219+K218</f>
        <v>517.5</v>
      </c>
      <c r="L219" s="8" t="n">
        <v>0.9</v>
      </c>
      <c r="M219" s="8" t="n">
        <f aca="false">M218+L219</f>
        <v>186.4</v>
      </c>
      <c r="N219" s="8" t="n">
        <v>-0.9</v>
      </c>
      <c r="O219" s="8" t="n">
        <f aca="false">O218+N219</f>
        <v>181.8</v>
      </c>
      <c r="P219" s="8" t="n">
        <v>179</v>
      </c>
      <c r="Q219" s="8" t="n">
        <v>1</v>
      </c>
      <c r="R219" s="12" t="n">
        <f aca="false">Q219*L219</f>
        <v>0.9</v>
      </c>
      <c r="S219" s="12" t="n">
        <f aca="false">J219-R219</f>
        <v>-0.9</v>
      </c>
      <c r="T219" s="12" t="n">
        <f aca="false">MIN(197.4,T218+S219)</f>
        <v>181.8</v>
      </c>
      <c r="V219" s="8" t="n">
        <v>530.3</v>
      </c>
      <c r="X219" s="8" t="n">
        <f aca="false">X218+V219</f>
        <v>90979</v>
      </c>
      <c r="Y219" s="8" t="n">
        <f aca="false">Y218+V219</f>
        <v>22016.9</v>
      </c>
      <c r="AA219" s="8" t="n">
        <v>11.0413197847836</v>
      </c>
    </row>
    <row r="220" s="23" customFormat="true" ht="15" hidden="false" customHeight="false" outlineLevel="0" collapsed="false">
      <c r="A220" s="26"/>
      <c r="B220" s="21"/>
      <c r="C220" s="37" t="n">
        <v>41336</v>
      </c>
      <c r="D220" s="23" t="n">
        <v>2.6</v>
      </c>
      <c r="E220" s="23" t="n">
        <v>1.2</v>
      </c>
      <c r="F220" s="23" t="n">
        <v>4.3</v>
      </c>
      <c r="G220" s="23" t="n">
        <f aca="false">G219+D220</f>
        <v>1545.8</v>
      </c>
      <c r="H220" s="23" t="n">
        <f aca="false">H219+D220</f>
        <v>221.4</v>
      </c>
      <c r="J220" s="23" t="n">
        <v>0</v>
      </c>
      <c r="K220" s="23" t="n">
        <f aca="false">J220+K219</f>
        <v>517.5</v>
      </c>
      <c r="L220" s="23" t="n">
        <v>0.9</v>
      </c>
      <c r="M220" s="23" t="n">
        <f aca="false">M219+L220</f>
        <v>187.3</v>
      </c>
      <c r="N220" s="23" t="n">
        <v>-0.9</v>
      </c>
      <c r="O220" s="23" t="n">
        <f aca="false">O219+N220</f>
        <v>180.9</v>
      </c>
      <c r="P220" s="23" t="n">
        <v>180</v>
      </c>
      <c r="Q220" s="23" t="n">
        <v>1</v>
      </c>
      <c r="R220" s="24" t="n">
        <f aca="false">Q220*L220</f>
        <v>0.9</v>
      </c>
      <c r="S220" s="24" t="n">
        <f aca="false">J220-R220</f>
        <v>-0.9</v>
      </c>
      <c r="T220" s="24" t="n">
        <f aca="false">MIN(197.4,T219+S220)</f>
        <v>180.9</v>
      </c>
      <c r="V220" s="23" t="n">
        <v>673.7</v>
      </c>
      <c r="W220" s="23" t="n">
        <f aca="false">(Y220/100)/I184</f>
        <v>1.02486901535682</v>
      </c>
      <c r="X220" s="23" t="n">
        <f aca="false">X219+V220</f>
        <v>91652.7</v>
      </c>
      <c r="Y220" s="23" t="n">
        <f aca="false">Y219+V220</f>
        <v>22690.6</v>
      </c>
      <c r="AA220" s="23" t="n">
        <v>11.0992736100799</v>
      </c>
    </row>
    <row r="221" s="8" customFormat="true" ht="15" hidden="false" customHeight="true" outlineLevel="0" collapsed="false">
      <c r="A221" s="78" t="s">
        <v>55</v>
      </c>
      <c r="B221" s="15"/>
      <c r="C221" s="41" t="n">
        <v>41337</v>
      </c>
      <c r="D221" s="8" t="n">
        <v>5.8</v>
      </c>
      <c r="E221" s="8" t="n">
        <v>0.2</v>
      </c>
      <c r="F221" s="8" t="n">
        <v>9.6</v>
      </c>
      <c r="G221" s="8" t="n">
        <f aca="false">G220+D221</f>
        <v>1551.6</v>
      </c>
      <c r="H221" s="8" t="n">
        <v>5.8</v>
      </c>
      <c r="I221" s="42" t="s">
        <v>28</v>
      </c>
      <c r="J221" s="8" t="n">
        <v>0</v>
      </c>
      <c r="K221" s="8" t="n">
        <f aca="false">J221+K220</f>
        <v>517.5</v>
      </c>
      <c r="L221" s="8" t="n">
        <v>1.5</v>
      </c>
      <c r="M221" s="8" t="n">
        <f aca="false">M220+L221</f>
        <v>188.8</v>
      </c>
      <c r="N221" s="8" t="n">
        <v>-1.5</v>
      </c>
      <c r="O221" s="8" t="n">
        <f aca="false">O220+N221</f>
        <v>179.4</v>
      </c>
      <c r="P221" s="8" t="n">
        <v>181</v>
      </c>
      <c r="Q221" s="18" t="n">
        <f aca="false">1+((P221-180)/26)*(1.15-1)</f>
        <v>1.00576923076923</v>
      </c>
      <c r="R221" s="12" t="n">
        <f aca="false">Q221*L221</f>
        <v>1.50865384615385</v>
      </c>
      <c r="S221" s="12" t="n">
        <f aca="false">J221-R221</f>
        <v>-1.50865384615385</v>
      </c>
      <c r="T221" s="12" t="n">
        <f aca="false">MIN(197.4,T220+S221)</f>
        <v>179.391346153846</v>
      </c>
      <c r="U221" s="42" t="s">
        <v>32</v>
      </c>
      <c r="V221" s="8" t="n">
        <v>1366.8</v>
      </c>
      <c r="X221" s="8" t="n">
        <f aca="false">X220+V221</f>
        <v>93019.5</v>
      </c>
      <c r="Y221" s="8" t="n">
        <v>1366.8</v>
      </c>
      <c r="Z221" s="42" t="s">
        <v>30</v>
      </c>
      <c r="AA221" s="8" t="n">
        <v>11.1573421933184</v>
      </c>
    </row>
    <row r="222" s="8" customFormat="true" ht="15" hidden="false" customHeight="false" outlineLevel="0" collapsed="false">
      <c r="A222" s="78"/>
      <c r="B222" s="15"/>
      <c r="C222" s="41" t="n">
        <v>41338</v>
      </c>
      <c r="D222" s="8" t="n">
        <v>10.3</v>
      </c>
      <c r="E222" s="8" t="n">
        <v>6.1</v>
      </c>
      <c r="F222" s="8" t="n">
        <v>15.2</v>
      </c>
      <c r="G222" s="8" t="n">
        <f aca="false">G221+D222</f>
        <v>1561.9</v>
      </c>
      <c r="H222" s="8" t="n">
        <f aca="false">H221+D222</f>
        <v>16.1</v>
      </c>
      <c r="I222" s="8" t="n">
        <f aca="false">MIN(E221:E246)</f>
        <v>-2.5</v>
      </c>
      <c r="J222" s="8" t="n">
        <v>0.1</v>
      </c>
      <c r="K222" s="8" t="n">
        <f aca="false">J222+K221</f>
        <v>517.6</v>
      </c>
      <c r="L222" s="8" t="n">
        <v>2.2</v>
      </c>
      <c r="M222" s="8" t="n">
        <f aca="false">M221+L222</f>
        <v>191</v>
      </c>
      <c r="N222" s="8" t="n">
        <v>-2.1</v>
      </c>
      <c r="O222" s="8" t="n">
        <f aca="false">O221+N222</f>
        <v>177.3</v>
      </c>
      <c r="P222" s="8" t="n">
        <v>182</v>
      </c>
      <c r="Q222" s="18" t="n">
        <f aca="false">1+((P222-180)/26)*(1.15-1)</f>
        <v>1.01153846153846</v>
      </c>
      <c r="R222" s="12" t="n">
        <f aca="false">Q222*L222</f>
        <v>2.22538461538462</v>
      </c>
      <c r="S222" s="12" t="n">
        <f aca="false">J222-R222</f>
        <v>-2.12538461538462</v>
      </c>
      <c r="T222" s="12" t="n">
        <f aca="false">MIN(197.4,T221+S222)</f>
        <v>177.265961538462</v>
      </c>
      <c r="U222" s="8" t="n">
        <v>0</v>
      </c>
      <c r="V222" s="8" t="n">
        <v>1062.3</v>
      </c>
      <c r="X222" s="8" t="n">
        <f aca="false">X221+V222</f>
        <v>94081.8</v>
      </c>
      <c r="Y222" s="8" t="n">
        <f aca="false">Y221+V222</f>
        <v>2429.1</v>
      </c>
      <c r="Z222" s="8" t="n">
        <v>18665.1</v>
      </c>
      <c r="AA222" s="8" t="n">
        <v>11.2155163375609</v>
      </c>
    </row>
    <row r="223" s="8" customFormat="true" ht="15" hidden="false" customHeight="false" outlineLevel="0" collapsed="false">
      <c r="A223" s="78"/>
      <c r="B223" s="29" t="s">
        <v>56</v>
      </c>
      <c r="C223" s="41" t="n">
        <v>41339</v>
      </c>
      <c r="D223" s="8" t="n">
        <v>11.1</v>
      </c>
      <c r="E223" s="8" t="n">
        <v>8.4</v>
      </c>
      <c r="F223" s="8" t="n">
        <v>14</v>
      </c>
      <c r="G223" s="8" t="n">
        <f aca="false">G222+D223</f>
        <v>1573</v>
      </c>
      <c r="H223" s="8" t="n">
        <f aca="false">H222+D223</f>
        <v>27.2</v>
      </c>
      <c r="I223" s="42" t="s">
        <v>31</v>
      </c>
      <c r="J223" s="8" t="n">
        <v>1</v>
      </c>
      <c r="K223" s="8" t="n">
        <f aca="false">J223+K222</f>
        <v>518.6</v>
      </c>
      <c r="L223" s="8" t="n">
        <v>1.1</v>
      </c>
      <c r="M223" s="8" t="n">
        <f aca="false">M222+L223</f>
        <v>192.1</v>
      </c>
      <c r="N223" s="8" t="n">
        <v>-0.1</v>
      </c>
      <c r="O223" s="8" t="n">
        <f aca="false">O222+N223</f>
        <v>177.2</v>
      </c>
      <c r="P223" s="8" t="n">
        <v>183</v>
      </c>
      <c r="Q223" s="18" t="n">
        <f aca="false">1+((P223-180)/26)*(1.15-1)</f>
        <v>1.01730769230769</v>
      </c>
      <c r="R223" s="12" t="n">
        <f aca="false">Q223*L223</f>
        <v>1.11903846153846</v>
      </c>
      <c r="S223" s="12" t="n">
        <f aca="false">J223-R223</f>
        <v>-0.119038461538462</v>
      </c>
      <c r="T223" s="12" t="n">
        <f aca="false">MIN(197.4,T222+S223)</f>
        <v>177.146923076923</v>
      </c>
      <c r="U223" s="42" t="s">
        <v>35</v>
      </c>
      <c r="V223" s="8" t="n">
        <v>328.9</v>
      </c>
      <c r="X223" s="8" t="n">
        <f aca="false">X222+V223</f>
        <v>94410.7</v>
      </c>
      <c r="Y223" s="8" t="n">
        <f aca="false">Y222+V223</f>
        <v>2758</v>
      </c>
      <c r="Z223" s="42" t="s">
        <v>33</v>
      </c>
      <c r="AA223" s="8" t="n">
        <v>11.2737871859081</v>
      </c>
    </row>
    <row r="224" s="8" customFormat="true" ht="15" hidden="false" customHeight="false" outlineLevel="0" collapsed="false">
      <c r="A224" s="78"/>
      <c r="B224" s="15"/>
      <c r="C224" s="41" t="n">
        <v>41340</v>
      </c>
      <c r="D224" s="8" t="n">
        <v>12.1</v>
      </c>
      <c r="E224" s="8" t="n">
        <v>9.8</v>
      </c>
      <c r="F224" s="8" t="n">
        <v>15.6</v>
      </c>
      <c r="G224" s="8" t="n">
        <f aca="false">G223+D224</f>
        <v>1585.1</v>
      </c>
      <c r="H224" s="8" t="n">
        <f aca="false">H223+D224</f>
        <v>39.3</v>
      </c>
      <c r="I224" s="8" t="n">
        <f aca="false">MAX(F221:F246)</f>
        <v>16.3</v>
      </c>
      <c r="J224" s="8" t="n">
        <v>14.4</v>
      </c>
      <c r="K224" s="8" t="n">
        <f aca="false">J224+K223</f>
        <v>533</v>
      </c>
      <c r="L224" s="8" t="n">
        <v>0.8</v>
      </c>
      <c r="M224" s="8" t="n">
        <f aca="false">M223+L224</f>
        <v>192.9</v>
      </c>
      <c r="N224" s="8" t="n">
        <v>13.6</v>
      </c>
      <c r="O224" s="8" t="n">
        <f aca="false">O223+N224</f>
        <v>190.8</v>
      </c>
      <c r="P224" s="8" t="n">
        <v>184</v>
      </c>
      <c r="Q224" s="18" t="n">
        <f aca="false">1+((P224-180)/26)*(1.15-1)</f>
        <v>1.02307692307692</v>
      </c>
      <c r="R224" s="12" t="n">
        <f aca="false">Q224*L224</f>
        <v>0.818461538461539</v>
      </c>
      <c r="S224" s="12" t="n">
        <f aca="false">J224-R224</f>
        <v>13.5815384615385</v>
      </c>
      <c r="T224" s="12" t="n">
        <f aca="false">MIN(197.4,T223+S224)</f>
        <v>190.728461538462</v>
      </c>
      <c r="U224" s="8" t="n">
        <v>0</v>
      </c>
      <c r="V224" s="8" t="n">
        <v>281.1</v>
      </c>
      <c r="X224" s="8" t="n">
        <f aca="false">X223+V224</f>
        <v>94691.8</v>
      </c>
      <c r="Y224" s="8" t="n">
        <f aca="false">Y223+V224</f>
        <v>3039.1</v>
      </c>
      <c r="Z224" s="8" t="n">
        <f aca="false">(Z222/100)/I234</f>
        <v>1.09794705882353</v>
      </c>
      <c r="AA224" s="8" t="n">
        <v>11.3321462026586</v>
      </c>
    </row>
    <row r="225" s="8" customFormat="true" ht="15" hidden="false" customHeight="false" outlineLevel="0" collapsed="false">
      <c r="A225" s="78"/>
      <c r="B225" s="15"/>
      <c r="C225" s="41" t="n">
        <v>41341</v>
      </c>
      <c r="D225" s="8" t="n">
        <v>11.7</v>
      </c>
      <c r="E225" s="8" t="n">
        <v>9.5</v>
      </c>
      <c r="F225" s="8" t="n">
        <v>16.3</v>
      </c>
      <c r="G225" s="8" t="n">
        <f aca="false">G224+D225</f>
        <v>1596.8</v>
      </c>
      <c r="H225" s="8" t="n">
        <f aca="false">H224+D225</f>
        <v>51</v>
      </c>
      <c r="I225" s="42" t="s">
        <v>34</v>
      </c>
      <c r="J225" s="8" t="n">
        <v>0.6</v>
      </c>
      <c r="K225" s="8" t="n">
        <f aca="false">J225+K224</f>
        <v>533.6</v>
      </c>
      <c r="L225" s="8" t="n">
        <v>1.6</v>
      </c>
      <c r="M225" s="8" t="n">
        <f aca="false">M224+L225</f>
        <v>194.5</v>
      </c>
      <c r="N225" s="8" t="n">
        <v>-1</v>
      </c>
      <c r="O225" s="8" t="n">
        <f aca="false">O224+N225</f>
        <v>189.8</v>
      </c>
      <c r="P225" s="8" t="n">
        <v>185</v>
      </c>
      <c r="Q225" s="18" t="n">
        <f aca="false">1+((P225-180)/26)*(1.15-1)</f>
        <v>1.02884615384615</v>
      </c>
      <c r="R225" s="12" t="n">
        <f aca="false">Q225*L225</f>
        <v>1.64615384615385</v>
      </c>
      <c r="S225" s="12" t="n">
        <f aca="false">J225-R225</f>
        <v>-1.04615384615385</v>
      </c>
      <c r="T225" s="12" t="n">
        <f aca="false">MIN(197.4,T224+S225)</f>
        <v>189.682307692308</v>
      </c>
      <c r="U225" s="42" t="s">
        <v>38</v>
      </c>
      <c r="V225" s="8" t="n">
        <v>717.5</v>
      </c>
      <c r="X225" s="8" t="n">
        <f aca="false">X224+V225</f>
        <v>95409.3</v>
      </c>
      <c r="Y225" s="8" t="n">
        <f aca="false">Y224+V225</f>
        <v>3756.6</v>
      </c>
      <c r="Z225" s="42" t="s">
        <v>36</v>
      </c>
      <c r="AA225" s="8" t="n">
        <v>11.3905851544686</v>
      </c>
    </row>
    <row r="226" s="8" customFormat="true" ht="15" hidden="false" customHeight="false" outlineLevel="0" collapsed="false">
      <c r="A226" s="78"/>
      <c r="B226" s="15"/>
      <c r="C226" s="41" t="n">
        <v>41342</v>
      </c>
      <c r="D226" s="8" t="n">
        <v>9.2</v>
      </c>
      <c r="E226" s="8" t="n">
        <v>7.3</v>
      </c>
      <c r="F226" s="8" t="n">
        <v>12.2</v>
      </c>
      <c r="G226" s="8" t="n">
        <f aca="false">G225+D226</f>
        <v>1606</v>
      </c>
      <c r="H226" s="8" t="n">
        <f aca="false">H225+D226</f>
        <v>60.2</v>
      </c>
      <c r="I226" s="12" t="n">
        <f aca="false">AVERAGE(D221:D246)</f>
        <v>6.53846153846154</v>
      </c>
      <c r="J226" s="8" t="n">
        <v>0</v>
      </c>
      <c r="K226" s="8" t="n">
        <f aca="false">J226+K225</f>
        <v>533.6</v>
      </c>
      <c r="L226" s="8" t="n">
        <v>0.7</v>
      </c>
      <c r="M226" s="8" t="n">
        <f aca="false">M225+L226</f>
        <v>195.2</v>
      </c>
      <c r="N226" s="8" t="n">
        <v>-0.7</v>
      </c>
      <c r="O226" s="8" t="n">
        <f aca="false">O225+N226</f>
        <v>189.1</v>
      </c>
      <c r="P226" s="8" t="n">
        <v>186</v>
      </c>
      <c r="Q226" s="18" t="n">
        <f aca="false">1+((P226-180)/26)*(1.15-1)</f>
        <v>1.03461538461538</v>
      </c>
      <c r="R226" s="12" t="n">
        <f aca="false">Q226*L226</f>
        <v>0.724230769230769</v>
      </c>
      <c r="S226" s="12" t="n">
        <f aca="false">J226-R226</f>
        <v>-0.724230769230769</v>
      </c>
      <c r="T226" s="12" t="n">
        <f aca="false">MIN(197.4,T225+S226)</f>
        <v>188.958076923077</v>
      </c>
      <c r="U226" s="12" t="n">
        <f aca="false">MIN(T221:T246)</f>
        <v>177.146923076923</v>
      </c>
      <c r="V226" s="8" t="n">
        <v>384.9</v>
      </c>
      <c r="X226" s="8" t="n">
        <f aca="false">X225+V226</f>
        <v>95794.2</v>
      </c>
      <c r="Y226" s="8" t="n">
        <f aca="false">Y225+V226</f>
        <v>4141.5</v>
      </c>
      <c r="Z226" s="8" t="n">
        <v>19</v>
      </c>
      <c r="AA226" s="8" t="n">
        <v>11.4490960915339</v>
      </c>
    </row>
    <row r="227" s="8" customFormat="true" ht="15" hidden="false" customHeight="false" outlineLevel="0" collapsed="false">
      <c r="A227" s="78"/>
      <c r="B227" s="15"/>
      <c r="C227" s="41" t="n">
        <v>41343</v>
      </c>
      <c r="D227" s="8" t="n">
        <v>9</v>
      </c>
      <c r="E227" s="8" t="n">
        <v>6.3</v>
      </c>
      <c r="F227" s="8" t="n">
        <v>12.8</v>
      </c>
      <c r="G227" s="8" t="n">
        <f aca="false">G226+D227</f>
        <v>1615</v>
      </c>
      <c r="H227" s="8" t="n">
        <f aca="false">H226+D227</f>
        <v>69.2</v>
      </c>
      <c r="I227" s="42" t="s">
        <v>37</v>
      </c>
      <c r="J227" s="8" t="n">
        <v>19.9</v>
      </c>
      <c r="K227" s="8" t="n">
        <f aca="false">J227+K226</f>
        <v>553.5</v>
      </c>
      <c r="L227" s="8" t="n">
        <v>0.5</v>
      </c>
      <c r="M227" s="8" t="n">
        <f aca="false">M226+L227</f>
        <v>195.7</v>
      </c>
      <c r="N227" s="8" t="n">
        <v>19.4</v>
      </c>
      <c r="O227" s="8" t="n">
        <v>197.4</v>
      </c>
      <c r="P227" s="8" t="n">
        <v>187</v>
      </c>
      <c r="Q227" s="18" t="n">
        <f aca="false">1+((P227-180)/26)*(1.15-1)</f>
        <v>1.04038461538462</v>
      </c>
      <c r="R227" s="12" t="n">
        <f aca="false">Q227*L227</f>
        <v>0.520192307692308</v>
      </c>
      <c r="S227" s="12" t="n">
        <f aca="false">J227-R227</f>
        <v>19.3798076923077</v>
      </c>
      <c r="T227" s="12" t="n">
        <f aca="false">MIN(197.4,T226+S227)</f>
        <v>197.4</v>
      </c>
      <c r="U227" s="42" t="s">
        <v>40</v>
      </c>
      <c r="V227" s="8" t="n">
        <v>215.8</v>
      </c>
      <c r="X227" s="8" t="n">
        <f aca="false">X226+V227</f>
        <v>96010</v>
      </c>
      <c r="Y227" s="8" t="n">
        <f aca="false">Y226+V227</f>
        <v>4357.3</v>
      </c>
      <c r="AA227" s="8" t="n">
        <v>11.5076713288146</v>
      </c>
    </row>
    <row r="228" s="8" customFormat="true" ht="15" hidden="false" customHeight="false" outlineLevel="0" collapsed="false">
      <c r="A228" s="78"/>
      <c r="B228" s="15"/>
      <c r="C228" s="41" t="n">
        <v>41344</v>
      </c>
      <c r="D228" s="8" t="n">
        <v>5.4</v>
      </c>
      <c r="E228" s="8" t="n">
        <v>1.4</v>
      </c>
      <c r="F228" s="8" t="n">
        <v>9.5</v>
      </c>
      <c r="G228" s="8" t="n">
        <f aca="false">G227+D228</f>
        <v>1620.4</v>
      </c>
      <c r="H228" s="8" t="n">
        <f aca="false">H227+D228</f>
        <v>74.6</v>
      </c>
      <c r="I228" s="8" t="n">
        <v>5</v>
      </c>
      <c r="J228" s="8" t="n">
        <v>2.5</v>
      </c>
      <c r="K228" s="8" t="n">
        <f aca="false">J228+K227</f>
        <v>556</v>
      </c>
      <c r="L228" s="8" t="n">
        <v>0.2</v>
      </c>
      <c r="M228" s="8" t="n">
        <f aca="false">M227+L228</f>
        <v>195.9</v>
      </c>
      <c r="N228" s="8" t="n">
        <v>2.3</v>
      </c>
      <c r="O228" s="8" t="n">
        <v>197.4</v>
      </c>
      <c r="P228" s="8" t="n">
        <v>188</v>
      </c>
      <c r="Q228" s="18" t="n">
        <f aca="false">1+((P228-180)/26)*(1.15-1)</f>
        <v>1.04615384615385</v>
      </c>
      <c r="R228" s="12" t="n">
        <f aca="false">Q228*L228</f>
        <v>0.209230769230769</v>
      </c>
      <c r="S228" s="12" t="n">
        <f aca="false">J228-R228</f>
        <v>2.29076923076923</v>
      </c>
      <c r="T228" s="12" t="n">
        <f aca="false">MIN(197.4,T227+S228)</f>
        <v>197.4</v>
      </c>
      <c r="U228" s="12" t="n">
        <f aca="false">MAX(T221:T246)</f>
        <v>197.4</v>
      </c>
      <c r="V228" s="8" t="n">
        <v>193.6</v>
      </c>
      <c r="X228" s="8" t="n">
        <f aca="false">X227+V228</f>
        <v>96203.6</v>
      </c>
      <c r="Y228" s="8" t="n">
        <f aca="false">Y227+V228</f>
        <v>4550.9</v>
      </c>
      <c r="AA228" s="8" t="n">
        <v>11.5663034273196</v>
      </c>
    </row>
    <row r="229" s="8" customFormat="true" ht="15" hidden="false" customHeight="false" outlineLevel="0" collapsed="false">
      <c r="A229" s="78"/>
      <c r="B229" s="15"/>
      <c r="C229" s="41" t="n">
        <v>41345</v>
      </c>
      <c r="D229" s="8" t="n">
        <v>0</v>
      </c>
      <c r="E229" s="8" t="n">
        <v>-1.2</v>
      </c>
      <c r="F229" s="8" t="n">
        <v>0.7</v>
      </c>
      <c r="G229" s="8" t="n">
        <f aca="false">G228+D229</f>
        <v>1620.4</v>
      </c>
      <c r="H229" s="8" t="n">
        <f aca="false">H228+D229</f>
        <v>74.6</v>
      </c>
      <c r="I229" s="42" t="s">
        <v>39</v>
      </c>
      <c r="J229" s="8" t="n">
        <v>0.8</v>
      </c>
      <c r="K229" s="8" t="n">
        <f aca="false">J229+K228</f>
        <v>556.8</v>
      </c>
      <c r="L229" s="8" t="n">
        <v>0.6</v>
      </c>
      <c r="M229" s="8" t="n">
        <f aca="false">M228+L229</f>
        <v>196.5</v>
      </c>
      <c r="N229" s="8" t="n">
        <v>0.2</v>
      </c>
      <c r="O229" s="8" t="n">
        <v>197.4</v>
      </c>
      <c r="P229" s="8" t="n">
        <v>189</v>
      </c>
      <c r="Q229" s="18" t="n">
        <f aca="false">1+((P229-180)/26)*(1.15-1)</f>
        <v>1.05192307692308</v>
      </c>
      <c r="R229" s="12" t="n">
        <f aca="false">Q229*L229</f>
        <v>0.631153846153846</v>
      </c>
      <c r="S229" s="12" t="n">
        <f aca="false">J229-R229</f>
        <v>0.168846153846154</v>
      </c>
      <c r="T229" s="12" t="n">
        <f aca="false">MIN(197.4,T228+S229)</f>
        <v>197.4</v>
      </c>
      <c r="U229" s="42" t="s">
        <v>42</v>
      </c>
      <c r="V229" s="8" t="n">
        <v>387.7</v>
      </c>
      <c r="X229" s="8" t="n">
        <f aca="false">X228+V229</f>
        <v>96591.3</v>
      </c>
      <c r="Y229" s="8" t="n">
        <f aca="false">Y228+V229</f>
        <v>4938.6</v>
      </c>
      <c r="AA229" s="8" t="n">
        <v>11.6249851754635</v>
      </c>
    </row>
    <row r="230" s="8" customFormat="true" ht="15" hidden="false" customHeight="false" outlineLevel="0" collapsed="false">
      <c r="A230" s="78"/>
      <c r="B230" s="29" t="s">
        <v>57</v>
      </c>
      <c r="C230" s="41" t="n">
        <v>41346</v>
      </c>
      <c r="D230" s="8" t="n">
        <v>2.2</v>
      </c>
      <c r="E230" s="8" t="n">
        <v>-0.2</v>
      </c>
      <c r="F230" s="8" t="n">
        <v>6</v>
      </c>
      <c r="G230" s="8" t="n">
        <f aca="false">G229+D230</f>
        <v>1622.6</v>
      </c>
      <c r="H230" s="8" t="n">
        <f aca="false">H229+D230</f>
        <v>76.8</v>
      </c>
      <c r="I230" s="8" t="n">
        <v>0</v>
      </c>
      <c r="J230" s="8" t="n">
        <v>0.1</v>
      </c>
      <c r="K230" s="8" t="n">
        <f aca="false">J230+K229</f>
        <v>556.9</v>
      </c>
      <c r="L230" s="8" t="n">
        <v>1</v>
      </c>
      <c r="M230" s="8" t="n">
        <f aca="false">M229+L230</f>
        <v>197.5</v>
      </c>
      <c r="N230" s="8" t="n">
        <v>-0.9</v>
      </c>
      <c r="O230" s="8" t="n">
        <f aca="false">O229+N230</f>
        <v>196.5</v>
      </c>
      <c r="P230" s="8" t="n">
        <v>190</v>
      </c>
      <c r="Q230" s="18" t="n">
        <f aca="false">1+((P230-180)/26)*(1.15-1)</f>
        <v>1.05769230769231</v>
      </c>
      <c r="R230" s="12" t="n">
        <f aca="false">Q230*L230</f>
        <v>1.05769230769231</v>
      </c>
      <c r="S230" s="12" t="n">
        <f aca="false">J230-R230</f>
        <v>-0.957692307692308</v>
      </c>
      <c r="T230" s="12" t="n">
        <f aca="false">MIN(197.4,T229+S230)</f>
        <v>196.442307692308</v>
      </c>
      <c r="U230" s="18" t="n">
        <f aca="false">AVERAGE(T221:T246)</f>
        <v>192.583143491124</v>
      </c>
      <c r="V230" s="8" t="n">
        <v>796.4</v>
      </c>
      <c r="X230" s="8" t="n">
        <f aca="false">X229+V230</f>
        <v>97387.7</v>
      </c>
      <c r="Y230" s="8" t="n">
        <f aca="false">Y229+V230</f>
        <v>5735</v>
      </c>
      <c r="AA230" s="8" t="n">
        <v>11.6837095705081</v>
      </c>
    </row>
    <row r="231" s="8" customFormat="true" ht="15" hidden="false" customHeight="false" outlineLevel="0" collapsed="false">
      <c r="A231" s="78"/>
      <c r="B231" s="15"/>
      <c r="C231" s="41" t="n">
        <v>41347</v>
      </c>
      <c r="D231" s="8" t="n">
        <v>2.1</v>
      </c>
      <c r="E231" s="8" t="n">
        <v>-0.4</v>
      </c>
      <c r="F231" s="8" t="n">
        <v>7.1</v>
      </c>
      <c r="G231" s="8" t="n">
        <f aca="false">G230+D231</f>
        <v>1624.7</v>
      </c>
      <c r="H231" s="8" t="n">
        <f aca="false">H230+D231</f>
        <v>78.9</v>
      </c>
      <c r="I231" s="42" t="s">
        <v>41</v>
      </c>
      <c r="J231" s="8" t="n">
        <v>0.1</v>
      </c>
      <c r="K231" s="8" t="n">
        <f aca="false">J231+K230</f>
        <v>557</v>
      </c>
      <c r="L231" s="8" t="n">
        <v>1.4</v>
      </c>
      <c r="M231" s="8" t="n">
        <f aca="false">M230+L231</f>
        <v>198.9</v>
      </c>
      <c r="N231" s="8" t="n">
        <v>-1.3</v>
      </c>
      <c r="O231" s="8" t="n">
        <f aca="false">O230+N231</f>
        <v>195.2</v>
      </c>
      <c r="P231" s="8" t="n">
        <v>191</v>
      </c>
      <c r="Q231" s="18" t="n">
        <f aca="false">1+((P231-180)/26)*(1.15-1)</f>
        <v>1.06346153846154</v>
      </c>
      <c r="R231" s="12" t="n">
        <f aca="false">Q231*L231</f>
        <v>1.48884615384615</v>
      </c>
      <c r="S231" s="12" t="n">
        <f aca="false">J231-R231</f>
        <v>-1.38884615384615</v>
      </c>
      <c r="T231" s="12" t="n">
        <f aca="false">MIN(197.4,T230+S231)</f>
        <v>195.053461538462</v>
      </c>
      <c r="V231" s="8" t="n">
        <v>1092.1</v>
      </c>
      <c r="X231" s="8" t="n">
        <f aca="false">X230+V231</f>
        <v>98479.8</v>
      </c>
      <c r="Y231" s="8" t="n">
        <f aca="false">Y230+V231</f>
        <v>6827.1</v>
      </c>
      <c r="AA231" s="8" t="n">
        <v>11.7424698000957</v>
      </c>
    </row>
    <row r="232" s="8" customFormat="true" ht="15" hidden="false" customHeight="false" outlineLevel="0" collapsed="false">
      <c r="A232" s="78"/>
      <c r="B232" s="15"/>
      <c r="C232" s="41" t="n">
        <v>41348</v>
      </c>
      <c r="D232" s="8" t="n">
        <v>4.2</v>
      </c>
      <c r="E232" s="8" t="n">
        <v>-2.5</v>
      </c>
      <c r="F232" s="8" t="n">
        <v>10.5</v>
      </c>
      <c r="G232" s="8" t="n">
        <f aca="false">G231+D232</f>
        <v>1628.9</v>
      </c>
      <c r="H232" s="8" t="n">
        <f aca="false">H231+D232</f>
        <v>83.1</v>
      </c>
      <c r="I232" s="8" t="n">
        <v>11</v>
      </c>
      <c r="J232" s="8" t="n">
        <v>2.8</v>
      </c>
      <c r="K232" s="8" t="n">
        <f aca="false">J232+K231</f>
        <v>559.8</v>
      </c>
      <c r="L232" s="8" t="n">
        <v>1.1</v>
      </c>
      <c r="M232" s="8" t="n">
        <f aca="false">M231+L232</f>
        <v>200</v>
      </c>
      <c r="N232" s="8" t="n">
        <v>1.7</v>
      </c>
      <c r="O232" s="8" t="n">
        <f aca="false">O231+N232</f>
        <v>196.9</v>
      </c>
      <c r="P232" s="8" t="n">
        <v>192</v>
      </c>
      <c r="Q232" s="18" t="n">
        <f aca="false">1+((P232-180)/26)*(1.15-1)</f>
        <v>1.06923076923077</v>
      </c>
      <c r="R232" s="12" t="n">
        <f aca="false">Q232*L232</f>
        <v>1.17615384615385</v>
      </c>
      <c r="S232" s="12" t="n">
        <f aca="false">J232-R232</f>
        <v>1.62384615384615</v>
      </c>
      <c r="T232" s="12" t="n">
        <f aca="false">MIN(197.4,T231+S232)</f>
        <v>196.677307692308</v>
      </c>
      <c r="U232" s="12" t="n">
        <f aca="false">(U230*100)/197.4</f>
        <v>97.5598497928695</v>
      </c>
      <c r="V232" s="8" t="n">
        <v>878.1</v>
      </c>
      <c r="X232" s="8" t="n">
        <f aca="false">X231+V232</f>
        <v>99357.9</v>
      </c>
      <c r="Y232" s="8" t="n">
        <f aca="false">Y231+V232</f>
        <v>7705.2</v>
      </c>
      <c r="AA232" s="8" t="n">
        <v>11.8012592238835</v>
      </c>
    </row>
    <row r="233" s="8" customFormat="true" ht="15" hidden="false" customHeight="false" outlineLevel="0" collapsed="false">
      <c r="A233" s="78"/>
      <c r="B233" s="15"/>
      <c r="C233" s="41" t="n">
        <v>41349</v>
      </c>
      <c r="D233" s="8" t="n">
        <v>6.3</v>
      </c>
      <c r="E233" s="8" t="n">
        <v>5.8</v>
      </c>
      <c r="F233" s="8" t="n">
        <v>7.9</v>
      </c>
      <c r="G233" s="8" t="n">
        <f aca="false">G232+D233</f>
        <v>1635.2</v>
      </c>
      <c r="H233" s="8" t="n">
        <f aca="false">H232+D233</f>
        <v>89.4</v>
      </c>
      <c r="I233" s="42" t="s">
        <v>43</v>
      </c>
      <c r="J233" s="8" t="n">
        <v>11.6</v>
      </c>
      <c r="K233" s="8" t="n">
        <f aca="false">J233+K232</f>
        <v>571.4</v>
      </c>
      <c r="L233" s="8" t="n">
        <v>0.9</v>
      </c>
      <c r="M233" s="8" t="n">
        <f aca="false">M232+L233</f>
        <v>200.9</v>
      </c>
      <c r="N233" s="8" t="n">
        <v>10.7</v>
      </c>
      <c r="O233" s="8" t="n">
        <v>197.4</v>
      </c>
      <c r="P233" s="8" t="n">
        <v>193</v>
      </c>
      <c r="Q233" s="18" t="n">
        <f aca="false">1+((P233-180)/26)*(1.15-1)</f>
        <v>1.075</v>
      </c>
      <c r="R233" s="12" t="n">
        <f aca="false">Q233*L233</f>
        <v>0.9675</v>
      </c>
      <c r="S233" s="12" t="n">
        <f aca="false">J233-R233</f>
        <v>10.6325</v>
      </c>
      <c r="T233" s="12" t="n">
        <f aca="false">MIN(197.4,T232+S233)</f>
        <v>197.4</v>
      </c>
      <c r="V233" s="8" t="n">
        <v>363.7</v>
      </c>
      <c r="X233" s="8" t="n">
        <f aca="false">X232+V233</f>
        <v>99721.6</v>
      </c>
      <c r="Y233" s="8" t="n">
        <f aca="false">Y232+V233</f>
        <v>8068.9</v>
      </c>
      <c r="AA233" s="8" t="n">
        <v>11.8600713552808</v>
      </c>
    </row>
    <row r="234" s="8" customFormat="true" ht="15" hidden="false" customHeight="false" outlineLevel="0" collapsed="false">
      <c r="A234" s="78"/>
      <c r="B234" s="15"/>
      <c r="C234" s="41" t="n">
        <v>41350</v>
      </c>
      <c r="D234" s="8" t="n">
        <v>5.9</v>
      </c>
      <c r="E234" s="8" t="n">
        <v>3.8</v>
      </c>
      <c r="F234" s="8" t="n">
        <v>7.9</v>
      </c>
      <c r="G234" s="8" t="n">
        <f aca="false">G233+D234</f>
        <v>1641.1</v>
      </c>
      <c r="H234" s="8" t="n">
        <f aca="false">H233+D234</f>
        <v>95.3</v>
      </c>
      <c r="I234" s="8" t="n">
        <v>170</v>
      </c>
      <c r="J234" s="8" t="n">
        <v>3.1</v>
      </c>
      <c r="K234" s="8" t="n">
        <f aca="false">J234+K233</f>
        <v>574.5</v>
      </c>
      <c r="L234" s="8" t="n">
        <v>0.9</v>
      </c>
      <c r="M234" s="8" t="n">
        <f aca="false">M233+L234</f>
        <v>201.8</v>
      </c>
      <c r="N234" s="8" t="n">
        <v>2.2</v>
      </c>
      <c r="O234" s="8" t="n">
        <v>197.4</v>
      </c>
      <c r="P234" s="8" t="n">
        <v>194</v>
      </c>
      <c r="Q234" s="18" t="n">
        <f aca="false">1+((P234-180)/26)*(1.15-1)</f>
        <v>1.08076923076923</v>
      </c>
      <c r="R234" s="12" t="n">
        <f aca="false">Q234*L234</f>
        <v>0.972692307692308</v>
      </c>
      <c r="S234" s="12" t="n">
        <f aca="false">J234-R234</f>
        <v>2.12730769230769</v>
      </c>
      <c r="T234" s="12" t="n">
        <f aca="false">MIN(197.4,T233+S234)</f>
        <v>197.4</v>
      </c>
      <c r="U234" s="12"/>
      <c r="V234" s="8" t="n">
        <v>560.1</v>
      </c>
      <c r="X234" s="8" t="n">
        <f aca="false">X233+V234</f>
        <v>100281.7</v>
      </c>
      <c r="Y234" s="8" t="n">
        <f aca="false">Y233+V234</f>
        <v>8629</v>
      </c>
      <c r="AA234" s="8" t="n">
        <v>11.9188998432952</v>
      </c>
    </row>
    <row r="235" s="8" customFormat="true" ht="15" hidden="false" customHeight="false" outlineLevel="0" collapsed="false">
      <c r="A235" s="78"/>
      <c r="B235" s="15"/>
      <c r="C235" s="41" t="n">
        <v>41351</v>
      </c>
      <c r="D235" s="8" t="n">
        <v>5.5</v>
      </c>
      <c r="E235" s="8" t="n">
        <v>3.6</v>
      </c>
      <c r="F235" s="8" t="n">
        <v>8.9</v>
      </c>
      <c r="G235" s="8" t="n">
        <f aca="false">G234+D235</f>
        <v>1646.6</v>
      </c>
      <c r="H235" s="8" t="n">
        <f aca="false">H234+D235</f>
        <v>100.8</v>
      </c>
      <c r="J235" s="8" t="n">
        <v>0.6</v>
      </c>
      <c r="K235" s="8" t="n">
        <f aca="false">J235+K234</f>
        <v>575.1</v>
      </c>
      <c r="L235" s="8" t="n">
        <v>1.1</v>
      </c>
      <c r="M235" s="8" t="n">
        <f aca="false">M234+L235</f>
        <v>202.9</v>
      </c>
      <c r="N235" s="8" t="n">
        <v>-0.5</v>
      </c>
      <c r="O235" s="8" t="n">
        <f aca="false">O234+N235</f>
        <v>196.9</v>
      </c>
      <c r="P235" s="8" t="n">
        <v>195</v>
      </c>
      <c r="Q235" s="18" t="n">
        <f aca="false">1+((P235-180)/26)*(1.15-1)</f>
        <v>1.08653846153846</v>
      </c>
      <c r="R235" s="12" t="n">
        <f aca="false">Q235*L235</f>
        <v>1.19519230769231</v>
      </c>
      <c r="S235" s="12" t="n">
        <f aca="false">J235-R235</f>
        <v>-0.595192307692308</v>
      </c>
      <c r="T235" s="12" t="n">
        <f aca="false">MIN(197.4,T234+S235)</f>
        <v>196.804807692308</v>
      </c>
      <c r="V235" s="8" t="n">
        <v>734.6</v>
      </c>
      <c r="X235" s="8" t="n">
        <f aca="false">X234+V235</f>
        <v>101016.3</v>
      </c>
      <c r="Y235" s="8" t="n">
        <f aca="false">Y234+V235</f>
        <v>9363.6</v>
      </c>
      <c r="AA235" s="8" t="n">
        <v>11.9777384544863</v>
      </c>
    </row>
    <row r="236" s="8" customFormat="true" ht="15" hidden="false" customHeight="false" outlineLevel="0" collapsed="false">
      <c r="A236" s="78"/>
      <c r="B236" s="15"/>
      <c r="C236" s="41" t="n">
        <v>41352</v>
      </c>
      <c r="D236" s="8" t="n">
        <v>5.4</v>
      </c>
      <c r="E236" s="8" t="n">
        <v>1.5</v>
      </c>
      <c r="F236" s="8" t="n">
        <v>9</v>
      </c>
      <c r="G236" s="8" t="n">
        <f aca="false">G235+D236</f>
        <v>1652</v>
      </c>
      <c r="H236" s="8" t="n">
        <f aca="false">H235+D236</f>
        <v>106.2</v>
      </c>
      <c r="J236" s="8" t="n">
        <v>3.2</v>
      </c>
      <c r="K236" s="8" t="n">
        <f aca="false">J236+K235</f>
        <v>578.3</v>
      </c>
      <c r="L236" s="8" t="n">
        <v>0.9</v>
      </c>
      <c r="M236" s="8" t="n">
        <f aca="false">M235+L236</f>
        <v>203.8</v>
      </c>
      <c r="N236" s="8" t="n">
        <v>2.3</v>
      </c>
      <c r="O236" s="8" t="n">
        <v>197.4</v>
      </c>
      <c r="P236" s="8" t="n">
        <v>196</v>
      </c>
      <c r="Q236" s="18" t="n">
        <f aca="false">1+((P236-180)/26)*(1.15-1)</f>
        <v>1.09230769230769</v>
      </c>
      <c r="R236" s="12" t="n">
        <f aca="false">Q236*L236</f>
        <v>0.983076923076923</v>
      </c>
      <c r="S236" s="12" t="n">
        <f aca="false">J236-R236</f>
        <v>2.21692307692308</v>
      </c>
      <c r="T236" s="12" t="n">
        <f aca="false">MIN(197.4,T235+S236)</f>
        <v>197.4</v>
      </c>
      <c r="V236" s="8" t="n">
        <v>835.6</v>
      </c>
      <c r="X236" s="8" t="n">
        <f aca="false">X235+V236</f>
        <v>101851.9</v>
      </c>
      <c r="Y236" s="8" t="n">
        <f aca="false">Y235+V236</f>
        <v>10199.2</v>
      </c>
      <c r="AA236" s="8" t="n">
        <v>12.0365810550304</v>
      </c>
    </row>
    <row r="237" s="8" customFormat="true" ht="15" hidden="false" customHeight="false" outlineLevel="0" collapsed="false">
      <c r="A237" s="78"/>
      <c r="B237" s="29" t="s">
        <v>58</v>
      </c>
      <c r="C237" s="41" t="n">
        <v>41353</v>
      </c>
      <c r="D237" s="8" t="n">
        <v>6.9</v>
      </c>
      <c r="E237" s="8" t="n">
        <v>2.7</v>
      </c>
      <c r="F237" s="8" t="n">
        <v>10.7</v>
      </c>
      <c r="G237" s="8" t="n">
        <f aca="false">G236+D237</f>
        <v>1658.9</v>
      </c>
      <c r="H237" s="8" t="n">
        <f aca="false">H236+D237</f>
        <v>113.1</v>
      </c>
      <c r="J237" s="8" t="n">
        <v>0.2</v>
      </c>
      <c r="K237" s="8" t="n">
        <f aca="false">J237+K236</f>
        <v>578.5</v>
      </c>
      <c r="L237" s="8" t="n">
        <v>1.4</v>
      </c>
      <c r="M237" s="8" t="n">
        <f aca="false">M236+L237</f>
        <v>205.2</v>
      </c>
      <c r="N237" s="8" t="n">
        <v>-1.2</v>
      </c>
      <c r="O237" s="8" t="n">
        <f aca="false">O236+N237</f>
        <v>196.2</v>
      </c>
      <c r="P237" s="8" t="n">
        <v>197</v>
      </c>
      <c r="Q237" s="18" t="n">
        <f aca="false">1+((P237-180)/26)*(1.15-1)</f>
        <v>1.09807692307692</v>
      </c>
      <c r="R237" s="12" t="n">
        <f aca="false">Q237*L237</f>
        <v>1.53730769230769</v>
      </c>
      <c r="S237" s="12" t="n">
        <f aca="false">J237-R237</f>
        <v>-1.33730769230769</v>
      </c>
      <c r="T237" s="12" t="n">
        <f aca="false">MIN(197.4,T236+S237)</f>
        <v>196.062692307692</v>
      </c>
      <c r="V237" s="8" t="n">
        <v>993.8</v>
      </c>
      <c r="X237" s="8" t="n">
        <f aca="false">X236+V237</f>
        <v>102845.7</v>
      </c>
      <c r="Y237" s="8" t="n">
        <f aca="false">Y236+V237</f>
        <v>11193</v>
      </c>
      <c r="AA237" s="8" t="n">
        <v>12.0954215928926</v>
      </c>
    </row>
    <row r="238" s="8" customFormat="true" ht="15" hidden="false" customHeight="false" outlineLevel="0" collapsed="false">
      <c r="A238" s="78"/>
      <c r="B238" s="15"/>
      <c r="C238" s="41" t="n">
        <v>41354</v>
      </c>
      <c r="D238" s="8" t="n">
        <v>7.4</v>
      </c>
      <c r="E238" s="8" t="n">
        <v>5.5</v>
      </c>
      <c r="F238" s="8" t="n">
        <v>9.1</v>
      </c>
      <c r="G238" s="8" t="n">
        <f aca="false">G237+D238</f>
        <v>1666.3</v>
      </c>
      <c r="H238" s="8" t="n">
        <f aca="false">H237+D238</f>
        <v>120.5</v>
      </c>
      <c r="J238" s="8" t="n">
        <v>8.6</v>
      </c>
      <c r="K238" s="8" t="n">
        <f aca="false">J238+K237</f>
        <v>587.1</v>
      </c>
      <c r="L238" s="8" t="n">
        <v>0.7</v>
      </c>
      <c r="M238" s="8" t="n">
        <f aca="false">M237+L238</f>
        <v>205.9</v>
      </c>
      <c r="N238" s="8" t="n">
        <v>7.9</v>
      </c>
      <c r="O238" s="8" t="n">
        <v>197.4</v>
      </c>
      <c r="P238" s="8" t="n">
        <v>198</v>
      </c>
      <c r="Q238" s="18" t="n">
        <f aca="false">1+((P238-180)/26)*(1.15-1)</f>
        <v>1.10384615384615</v>
      </c>
      <c r="R238" s="12" t="n">
        <f aca="false">Q238*L238</f>
        <v>0.772692307692308</v>
      </c>
      <c r="S238" s="12" t="n">
        <f aca="false">J238-R238</f>
        <v>7.82730769230769</v>
      </c>
      <c r="T238" s="12" t="n">
        <f aca="false">MIN(197.4,T237+S238)</f>
        <v>197.4</v>
      </c>
      <c r="V238" s="8" t="n">
        <v>318.7</v>
      </c>
      <c r="X238" s="8" t="n">
        <f aca="false">X237+V238</f>
        <v>103164.4</v>
      </c>
      <c r="Y238" s="8" t="n">
        <f aca="false">Y237+V238</f>
        <v>11511.7</v>
      </c>
      <c r="AA238" s="8" t="n">
        <v>12.1542540801066</v>
      </c>
    </row>
    <row r="239" s="8" customFormat="true" ht="15" hidden="false" customHeight="false" outlineLevel="0" collapsed="false">
      <c r="A239" s="78"/>
      <c r="B239" s="15"/>
      <c r="C239" s="41" t="n">
        <v>41355</v>
      </c>
      <c r="D239" s="8" t="n">
        <v>10.5</v>
      </c>
      <c r="E239" s="8" t="n">
        <v>7.1</v>
      </c>
      <c r="F239" s="8" t="n">
        <v>14.4</v>
      </c>
      <c r="G239" s="8" t="n">
        <f aca="false">G238+D239</f>
        <v>1676.8</v>
      </c>
      <c r="H239" s="8" t="n">
        <f aca="false">H238+D239</f>
        <v>131</v>
      </c>
      <c r="J239" s="8" t="n">
        <v>1.6</v>
      </c>
      <c r="K239" s="8" t="n">
        <f aca="false">J239+K238</f>
        <v>588.7</v>
      </c>
      <c r="L239" s="8" t="n">
        <v>1.7</v>
      </c>
      <c r="M239" s="8" t="n">
        <f aca="false">M238+L239</f>
        <v>207.6</v>
      </c>
      <c r="N239" s="8" t="n">
        <v>-0.0999999999999999</v>
      </c>
      <c r="O239" s="8" t="n">
        <f aca="false">O238+N239</f>
        <v>197.3</v>
      </c>
      <c r="P239" s="8" t="n">
        <v>199</v>
      </c>
      <c r="Q239" s="18" t="n">
        <f aca="false">1+((P239-180)/26)*(1.15-1)</f>
        <v>1.10961538461538</v>
      </c>
      <c r="R239" s="12" t="n">
        <f aca="false">Q239*L239</f>
        <v>1.88634615384615</v>
      </c>
      <c r="S239" s="12" t="n">
        <f aca="false">J239-R239</f>
        <v>-0.286346153846153</v>
      </c>
      <c r="T239" s="12" t="n">
        <f aca="false">MIN(197.4,T238+S239)</f>
        <v>197.113653846154</v>
      </c>
      <c r="V239" s="8" t="n">
        <v>854.9</v>
      </c>
      <c r="X239" s="8" t="n">
        <f aca="false">X238+V239</f>
        <v>104019.3</v>
      </c>
      <c r="Y239" s="8" t="n">
        <f aca="false">Y238+V239</f>
        <v>12366.6</v>
      </c>
      <c r="AA239" s="8" t="n">
        <v>12.2130725751594</v>
      </c>
    </row>
    <row r="240" s="8" customFormat="true" ht="15" hidden="false" customHeight="false" outlineLevel="0" collapsed="false">
      <c r="A240" s="78"/>
      <c r="B240" s="15"/>
      <c r="C240" s="41" t="n">
        <v>41356</v>
      </c>
      <c r="D240" s="8" t="n">
        <v>9.3</v>
      </c>
      <c r="E240" s="8" t="n">
        <v>6.9</v>
      </c>
      <c r="F240" s="8" t="n">
        <v>11.4</v>
      </c>
      <c r="G240" s="8" t="n">
        <f aca="false">G239+D240</f>
        <v>1686.1</v>
      </c>
      <c r="H240" s="8" t="n">
        <f aca="false">H239+D240</f>
        <v>140.3</v>
      </c>
      <c r="J240" s="8" t="n">
        <v>0</v>
      </c>
      <c r="K240" s="8" t="n">
        <f aca="false">J240+K239</f>
        <v>588.7</v>
      </c>
      <c r="L240" s="8" t="n">
        <v>1.1</v>
      </c>
      <c r="M240" s="8" t="n">
        <f aca="false">M239+L240</f>
        <v>208.7</v>
      </c>
      <c r="N240" s="8" t="n">
        <v>-1.1</v>
      </c>
      <c r="O240" s="8" t="n">
        <f aca="false">O239+N240</f>
        <v>196.2</v>
      </c>
      <c r="P240" s="8" t="n">
        <v>200</v>
      </c>
      <c r="Q240" s="18" t="n">
        <f aca="false">1+((P240-180)/26)*(1.15-1)</f>
        <v>1.11538461538462</v>
      </c>
      <c r="R240" s="12" t="n">
        <f aca="false">Q240*L240</f>
        <v>1.22692307692308</v>
      </c>
      <c r="S240" s="12" t="n">
        <f aca="false">J240-R240</f>
        <v>-1.22692307692308</v>
      </c>
      <c r="T240" s="12" t="n">
        <f aca="false">MIN(197.4,T239+S240)</f>
        <v>195.886730769231</v>
      </c>
      <c r="V240" s="8" t="n">
        <v>904.4</v>
      </c>
      <c r="X240" s="8" t="n">
        <f aca="false">X239+V240</f>
        <v>104923.7</v>
      </c>
      <c r="Y240" s="8" t="n">
        <f aca="false">Y239+V240</f>
        <v>13271</v>
      </c>
      <c r="AA240" s="8" t="n">
        <v>12.2718711654767</v>
      </c>
    </row>
    <row r="241" s="8" customFormat="true" ht="15" hidden="false" customHeight="false" outlineLevel="0" collapsed="false">
      <c r="A241" s="78"/>
      <c r="B241" s="15"/>
      <c r="C241" s="41" t="n">
        <v>41357</v>
      </c>
      <c r="D241" s="8" t="n">
        <v>7.9</v>
      </c>
      <c r="E241" s="8" t="n">
        <v>5</v>
      </c>
      <c r="F241" s="8" t="n">
        <v>13</v>
      </c>
      <c r="G241" s="8" t="n">
        <f aca="false">G240+D241</f>
        <v>1694</v>
      </c>
      <c r="H241" s="8" t="n">
        <f aca="false">H240+D241</f>
        <v>148.2</v>
      </c>
      <c r="J241" s="8" t="n">
        <v>0</v>
      </c>
      <c r="K241" s="8" t="n">
        <f aca="false">J241+K240</f>
        <v>588.7</v>
      </c>
      <c r="L241" s="8" t="n">
        <v>1.9</v>
      </c>
      <c r="M241" s="8" t="n">
        <f aca="false">M240+L241</f>
        <v>210.6</v>
      </c>
      <c r="N241" s="8" t="n">
        <v>-1.9</v>
      </c>
      <c r="O241" s="8" t="n">
        <f aca="false">O240+N241</f>
        <v>194.3</v>
      </c>
      <c r="P241" s="8" t="n">
        <v>201</v>
      </c>
      <c r="Q241" s="18" t="n">
        <f aca="false">1+((P241-180)/26)*(1.15-1)</f>
        <v>1.12115384615385</v>
      </c>
      <c r="R241" s="12" t="n">
        <f aca="false">Q241*L241</f>
        <v>2.13019230769231</v>
      </c>
      <c r="S241" s="12" t="n">
        <f aca="false">J241-R241</f>
        <v>-2.13019230769231</v>
      </c>
      <c r="T241" s="12" t="n">
        <f aca="false">MIN(197.4,T240+S241)</f>
        <v>193.756538461538</v>
      </c>
      <c r="V241" s="8" t="n">
        <v>1286.6</v>
      </c>
      <c r="X241" s="8" t="n">
        <f aca="false">X240+V241</f>
        <v>106210.3</v>
      </c>
      <c r="Y241" s="8" t="n">
        <f aca="false">Y240+V241</f>
        <v>14557.6</v>
      </c>
      <c r="AA241" s="8" t="n">
        <v>12.3306439500082</v>
      </c>
    </row>
    <row r="242" s="8" customFormat="true" ht="15" hidden="false" customHeight="false" outlineLevel="0" collapsed="false">
      <c r="A242" s="78"/>
      <c r="B242" s="15"/>
      <c r="C242" s="41" t="n">
        <v>41358</v>
      </c>
      <c r="D242" s="8" t="n">
        <v>5.4</v>
      </c>
      <c r="E242" s="8" t="n">
        <v>4.4</v>
      </c>
      <c r="F242" s="8" t="n">
        <v>7.1</v>
      </c>
      <c r="G242" s="8" t="n">
        <f aca="false">G241+D242</f>
        <v>1699.4</v>
      </c>
      <c r="H242" s="8" t="n">
        <f aca="false">H241+D242</f>
        <v>153.6</v>
      </c>
      <c r="J242" s="8" t="n">
        <v>0</v>
      </c>
      <c r="K242" s="8" t="n">
        <f aca="false">J242+K241</f>
        <v>588.7</v>
      </c>
      <c r="L242" s="8" t="n">
        <v>1</v>
      </c>
      <c r="M242" s="8" t="n">
        <f aca="false">M241+L242</f>
        <v>211.6</v>
      </c>
      <c r="N242" s="8" t="n">
        <v>-1</v>
      </c>
      <c r="O242" s="8" t="n">
        <f aca="false">O241+N242</f>
        <v>193.3</v>
      </c>
      <c r="P242" s="8" t="n">
        <v>202</v>
      </c>
      <c r="Q242" s="18" t="n">
        <f aca="false">1+((P242-180)/26)*(1.15-1)</f>
        <v>1.12692307692308</v>
      </c>
      <c r="R242" s="12" t="n">
        <f aca="false">Q242*L242</f>
        <v>1.12692307692308</v>
      </c>
      <c r="S242" s="12" t="n">
        <f aca="false">J242-R242</f>
        <v>-1.12692307692308</v>
      </c>
      <c r="T242" s="12" t="n">
        <f aca="false">MIN(197.4,T241+S242)</f>
        <v>192.629615384615</v>
      </c>
      <c r="V242" s="8" t="n">
        <v>673.6</v>
      </c>
      <c r="X242" s="8" t="n">
        <f aca="false">X241+V242</f>
        <v>106883.9</v>
      </c>
      <c r="Y242" s="8" t="n">
        <f aca="false">Y241+V242</f>
        <v>15231.2</v>
      </c>
      <c r="AA242" s="8" t="n">
        <v>12.3893850219061</v>
      </c>
    </row>
    <row r="243" s="8" customFormat="true" ht="15" hidden="false" customHeight="false" outlineLevel="0" collapsed="false">
      <c r="A243" s="78"/>
      <c r="B243" s="15"/>
      <c r="C243" s="41" t="n">
        <v>41359</v>
      </c>
      <c r="D243" s="8" t="n">
        <v>5.5</v>
      </c>
      <c r="E243" s="8" t="n">
        <v>3.1</v>
      </c>
      <c r="F243" s="8" t="n">
        <v>7.4</v>
      </c>
      <c r="G243" s="8" t="n">
        <f aca="false">G242+D243</f>
        <v>1704.9</v>
      </c>
      <c r="H243" s="8" t="n">
        <f aca="false">H242+D243</f>
        <v>159.1</v>
      </c>
      <c r="J243" s="8" t="n">
        <v>0</v>
      </c>
      <c r="K243" s="8" t="n">
        <f aca="false">J243+K242</f>
        <v>588.7</v>
      </c>
      <c r="L243" s="8" t="n">
        <v>1</v>
      </c>
      <c r="M243" s="8" t="n">
        <f aca="false">M242+L243</f>
        <v>212.6</v>
      </c>
      <c r="N243" s="8" t="n">
        <v>-1</v>
      </c>
      <c r="O243" s="8" t="n">
        <f aca="false">O242+N243</f>
        <v>192.3</v>
      </c>
      <c r="P243" s="8" t="n">
        <v>203</v>
      </c>
      <c r="Q243" s="18" t="n">
        <f aca="false">1+((P243-180)/26)*(1.15-1)</f>
        <v>1.13269230769231</v>
      </c>
      <c r="R243" s="12" t="n">
        <f aca="false">Q243*L243</f>
        <v>1.13269230769231</v>
      </c>
      <c r="S243" s="12" t="n">
        <f aca="false">J243-R243</f>
        <v>-1.13269230769231</v>
      </c>
      <c r="T243" s="12" t="n">
        <f aca="false">MIN(197.4,T242+S243)</f>
        <v>191.496923076923</v>
      </c>
      <c r="V243" s="8" t="n">
        <v>744.7</v>
      </c>
      <c r="X243" s="8" t="n">
        <f aca="false">X242+V243</f>
        <v>107628.6</v>
      </c>
      <c r="Y243" s="8" t="n">
        <f aca="false">Y242+V243</f>
        <v>15975.9</v>
      </c>
      <c r="AA243" s="8" t="n">
        <v>12.4480884512964</v>
      </c>
    </row>
    <row r="244" s="8" customFormat="true" ht="15" hidden="false" customHeight="false" outlineLevel="0" collapsed="false">
      <c r="A244" s="78"/>
      <c r="B244" s="29" t="s">
        <v>59</v>
      </c>
      <c r="C244" s="41" t="n">
        <v>41360</v>
      </c>
      <c r="D244" s="8" t="n">
        <v>4.5</v>
      </c>
      <c r="E244" s="8" t="n">
        <v>2.3</v>
      </c>
      <c r="F244" s="8" t="n">
        <v>6.8</v>
      </c>
      <c r="G244" s="8" t="n">
        <f aca="false">G243+D244</f>
        <v>1709.4</v>
      </c>
      <c r="H244" s="8" t="n">
        <f aca="false">H243+D244</f>
        <v>163.6</v>
      </c>
      <c r="J244" s="8" t="n">
        <v>0</v>
      </c>
      <c r="K244" s="8" t="n">
        <f aca="false">J244+K243</f>
        <v>588.7</v>
      </c>
      <c r="L244" s="8" t="n">
        <v>1.1</v>
      </c>
      <c r="M244" s="8" t="n">
        <f aca="false">M243+L244</f>
        <v>213.7</v>
      </c>
      <c r="N244" s="8" t="n">
        <v>-1.1</v>
      </c>
      <c r="O244" s="8" t="n">
        <f aca="false">O243+N244</f>
        <v>191.2</v>
      </c>
      <c r="P244" s="8" t="n">
        <v>204</v>
      </c>
      <c r="Q244" s="18" t="n">
        <f aca="false">1+((P244-180)/26)*(1.15-1)</f>
        <v>1.13846153846154</v>
      </c>
      <c r="R244" s="12" t="n">
        <f aca="false">Q244*L244</f>
        <v>1.25230769230769</v>
      </c>
      <c r="S244" s="12" t="n">
        <f aca="false">J244-R244</f>
        <v>-1.25230769230769</v>
      </c>
      <c r="T244" s="12" t="n">
        <f aca="false">MIN(197.4,T243+S244)</f>
        <v>190.244615384615</v>
      </c>
      <c r="V244" s="8" t="n">
        <v>750.8</v>
      </c>
      <c r="W244" s="43"/>
      <c r="X244" s="8" t="n">
        <f aca="false">X243+V244</f>
        <v>108379.4</v>
      </c>
      <c r="Y244" s="8" t="n">
        <f aca="false">Y243+V244</f>
        <v>16726.7</v>
      </c>
      <c r="AA244" s="8" t="n">
        <v>12.5067482681373</v>
      </c>
    </row>
    <row r="245" s="8" customFormat="true" ht="15" hidden="false" customHeight="true" outlineLevel="0" collapsed="false">
      <c r="A245" s="78"/>
      <c r="B245" s="15"/>
      <c r="C245" s="41" t="n">
        <v>41361</v>
      </c>
      <c r="D245" s="54" t="n">
        <v>3.3</v>
      </c>
      <c r="E245" s="54" t="n">
        <v>-0.1</v>
      </c>
      <c r="F245" s="8" t="n">
        <v>7.1</v>
      </c>
      <c r="G245" s="8" t="n">
        <f aca="false">G244+D245</f>
        <v>1712.7</v>
      </c>
      <c r="H245" s="8" t="n">
        <f aca="false">H244+D245</f>
        <v>166.9</v>
      </c>
      <c r="J245" s="8" t="n">
        <v>0</v>
      </c>
      <c r="K245" s="8" t="n">
        <f aca="false">J245+K244</f>
        <v>588.7</v>
      </c>
      <c r="L245" s="8" t="n">
        <v>1.8</v>
      </c>
      <c r="M245" s="8" t="n">
        <f aca="false">M244+L245</f>
        <v>215.5</v>
      </c>
      <c r="N245" s="54" t="n">
        <v>-1.8</v>
      </c>
      <c r="O245" s="8" t="n">
        <f aca="false">O244+N245</f>
        <v>189.4</v>
      </c>
      <c r="P245" s="8" t="n">
        <v>205</v>
      </c>
      <c r="Q245" s="18" t="n">
        <f aca="false">1+((P245-180)/26)*(1.15-1)</f>
        <v>1.14423076923077</v>
      </c>
      <c r="R245" s="12" t="n">
        <f aca="false">Q245*L245</f>
        <v>2.05961538461538</v>
      </c>
      <c r="S245" s="12" t="n">
        <f aca="false">J245-R245</f>
        <v>-2.05961538461538</v>
      </c>
      <c r="T245" s="12" t="n">
        <f aca="false">MIN(197.4,T244+S245)</f>
        <v>188.185</v>
      </c>
      <c r="V245" s="8" t="n">
        <v>1380</v>
      </c>
      <c r="X245" s="8" t="n">
        <f aca="false">X244+V245</f>
        <v>109759.4</v>
      </c>
      <c r="Y245" s="8" t="n">
        <f aca="false">Y244+V245</f>
        <v>18106.7</v>
      </c>
      <c r="AA245" s="8" t="n">
        <v>12.5653584451621</v>
      </c>
    </row>
    <row r="246" s="23" customFormat="true" ht="15" hidden="false" customHeight="false" outlineLevel="0" collapsed="false">
      <c r="A246" s="78"/>
      <c r="B246" s="21"/>
      <c r="C246" s="48" t="n">
        <v>41362</v>
      </c>
      <c r="D246" s="23" t="n">
        <v>3.1</v>
      </c>
      <c r="E246" s="23" t="n">
        <v>1.2</v>
      </c>
      <c r="F246" s="23" t="n">
        <v>4.9</v>
      </c>
      <c r="G246" s="23" t="n">
        <f aca="false">G245+D246</f>
        <v>1715.8</v>
      </c>
      <c r="H246" s="23" t="n">
        <f aca="false">H245+D246</f>
        <v>170</v>
      </c>
      <c r="J246" s="23" t="n">
        <v>4.8</v>
      </c>
      <c r="K246" s="23" t="n">
        <f aca="false">J246+K245</f>
        <v>593.5</v>
      </c>
      <c r="L246" s="23" t="n">
        <v>1</v>
      </c>
      <c r="M246" s="23" t="n">
        <f aca="false">M245+L246</f>
        <v>216.5</v>
      </c>
      <c r="N246" s="23" t="n">
        <v>3.8</v>
      </c>
      <c r="O246" s="23" t="n">
        <f aca="false">O245+N246</f>
        <v>193.2</v>
      </c>
      <c r="P246" s="23" t="n">
        <v>206</v>
      </c>
      <c r="Q246" s="18" t="n">
        <f aca="false">1+((P246-180)/26)*(1.15-1)</f>
        <v>1.15</v>
      </c>
      <c r="R246" s="24" t="n">
        <f aca="false">Q246*L246</f>
        <v>1.15</v>
      </c>
      <c r="S246" s="24" t="n">
        <f aca="false">J246-R246</f>
        <v>3.65</v>
      </c>
      <c r="T246" s="24" t="n">
        <f aca="false">MIN(197.4,T245+S246)</f>
        <v>191.835</v>
      </c>
      <c r="V246" s="23" t="n">
        <v>558.4</v>
      </c>
      <c r="X246" s="23" t="n">
        <f aca="false">X245+V246</f>
        <v>110317.8</v>
      </c>
      <c r="Y246" s="23" t="n">
        <f aca="false">Y245+V246</f>
        <v>18665.1</v>
      </c>
      <c r="AA246" s="23" t="n">
        <v>12.6239128809042</v>
      </c>
    </row>
    <row r="247" s="82" customFormat="true" ht="15" hidden="false" customHeight="false" outlineLevel="0" collapsed="false">
      <c r="A247" s="79" t="s">
        <v>60</v>
      </c>
      <c r="B247" s="80"/>
      <c r="C247" s="81" t="n">
        <v>41363</v>
      </c>
      <c r="D247" s="82" t="n">
        <v>2.8</v>
      </c>
      <c r="E247" s="82" t="n">
        <v>2.3</v>
      </c>
      <c r="F247" s="82" t="n">
        <v>4.7</v>
      </c>
      <c r="G247" s="82" t="n">
        <f aca="false">G246+D247</f>
        <v>1718.6</v>
      </c>
      <c r="H247" s="82" t="n">
        <f aca="false">D247</f>
        <v>2.8</v>
      </c>
      <c r="I247" s="52" t="s">
        <v>28</v>
      </c>
      <c r="J247" s="82" t="n">
        <v>0.2</v>
      </c>
      <c r="K247" s="82" t="n">
        <f aca="false">J247+K246</f>
        <v>593.7</v>
      </c>
      <c r="L247" s="82" t="n">
        <v>1.1</v>
      </c>
      <c r="M247" s="82" t="n">
        <f aca="false">M246+L247</f>
        <v>217.6</v>
      </c>
      <c r="N247" s="82" t="n">
        <v>-0.9</v>
      </c>
      <c r="O247" s="82" t="n">
        <f aca="false">O246+N247</f>
        <v>192.3</v>
      </c>
      <c r="P247" s="82" t="n">
        <v>207</v>
      </c>
      <c r="Q247" s="83" t="n">
        <v>1.15</v>
      </c>
      <c r="R247" s="84" t="n">
        <f aca="false">Q247*L247</f>
        <v>1.265</v>
      </c>
      <c r="S247" s="84" t="n">
        <f aca="false">J247-R247</f>
        <v>-1.065</v>
      </c>
      <c r="T247" s="84" t="n">
        <f aca="false">MIN(197.4,T246+S247)</f>
        <v>190.77</v>
      </c>
      <c r="U247" s="52" t="s">
        <v>32</v>
      </c>
      <c r="V247" s="82" t="n">
        <v>712.9</v>
      </c>
      <c r="X247" s="82" t="n">
        <f aca="false">X246+V247</f>
        <v>111030.7</v>
      </c>
      <c r="Y247" s="82" t="n">
        <f aca="false">V247</f>
        <v>712.9</v>
      </c>
      <c r="Z247" s="52" t="s">
        <v>30</v>
      </c>
      <c r="AA247" s="82" t="n">
        <v>12.6824053828018</v>
      </c>
    </row>
    <row r="248" s="8" customFormat="true" ht="15" hidden="false" customHeight="false" outlineLevel="0" collapsed="false">
      <c r="A248" s="53"/>
      <c r="B248" s="9"/>
      <c r="C248" s="51" t="n">
        <v>41364</v>
      </c>
      <c r="D248" s="8" t="n">
        <v>3.1</v>
      </c>
      <c r="E248" s="8" t="n">
        <v>-1.2</v>
      </c>
      <c r="F248" s="8" t="n">
        <v>6.5</v>
      </c>
      <c r="G248" s="8" t="n">
        <f aca="false">G247+D248</f>
        <v>1721.7</v>
      </c>
      <c r="H248" s="82" t="n">
        <f aca="false">H247+D248</f>
        <v>5.9</v>
      </c>
      <c r="I248" s="8" t="n">
        <f aca="false">MIN(E247:E267)</f>
        <v>-1.2</v>
      </c>
      <c r="J248" s="8" t="n">
        <v>0</v>
      </c>
      <c r="K248" s="8" t="n">
        <f aca="false">J248+K247</f>
        <v>593.7</v>
      </c>
      <c r="L248" s="8" t="n">
        <v>1.4</v>
      </c>
      <c r="M248" s="8" t="n">
        <f aca="false">M247+L248</f>
        <v>219</v>
      </c>
      <c r="N248" s="8" t="n">
        <v>-1.4</v>
      </c>
      <c r="O248" s="8" t="n">
        <f aca="false">O247+N248</f>
        <v>190.9</v>
      </c>
      <c r="P248" s="8" t="n">
        <v>208</v>
      </c>
      <c r="Q248" s="8" t="n">
        <v>1.15</v>
      </c>
      <c r="R248" s="12" t="n">
        <f aca="false">Q248*L248</f>
        <v>1.61</v>
      </c>
      <c r="S248" s="12" t="n">
        <f aca="false">J248-R248</f>
        <v>-1.61</v>
      </c>
      <c r="T248" s="12" t="n">
        <f aca="false">MIN(197.4,T247+S248)</f>
        <v>189.16</v>
      </c>
      <c r="U248" s="8" t="n">
        <v>0</v>
      </c>
      <c r="V248" s="8" t="n">
        <v>1323.9</v>
      </c>
      <c r="X248" s="8" t="n">
        <f aca="false">X247+V248</f>
        <v>112354.6</v>
      </c>
      <c r="Y248" s="82" t="n">
        <f aca="false">Y247+V248</f>
        <v>2036.8</v>
      </c>
      <c r="Z248" s="8" t="n">
        <v>25184.3</v>
      </c>
      <c r="AA248" s="8" t="n">
        <v>12.7408296503808</v>
      </c>
    </row>
    <row r="249" s="8" customFormat="true" ht="15" hidden="false" customHeight="false" outlineLevel="0" collapsed="false">
      <c r="A249" s="53"/>
      <c r="B249" s="9"/>
      <c r="C249" s="51" t="n">
        <v>41365</v>
      </c>
      <c r="D249" s="8" t="n">
        <v>4.5</v>
      </c>
      <c r="E249" s="8" t="n">
        <v>-0.2</v>
      </c>
      <c r="F249" s="8" t="n">
        <v>8.1</v>
      </c>
      <c r="G249" s="8" t="n">
        <f aca="false">G248+D249</f>
        <v>1726.2</v>
      </c>
      <c r="H249" s="82" t="n">
        <f aca="false">H248+D249</f>
        <v>10.4</v>
      </c>
      <c r="I249" s="52" t="s">
        <v>31</v>
      </c>
      <c r="J249" s="8" t="n">
        <v>0</v>
      </c>
      <c r="K249" s="8" t="n">
        <f aca="false">J249+K248</f>
        <v>593.7</v>
      </c>
      <c r="L249" s="8" t="n">
        <v>2.3</v>
      </c>
      <c r="M249" s="8" t="n">
        <f aca="false">M248+L249</f>
        <v>221.3</v>
      </c>
      <c r="N249" s="8" t="n">
        <v>-2.3</v>
      </c>
      <c r="O249" s="8" t="n">
        <f aca="false">O248+N249</f>
        <v>188.6</v>
      </c>
      <c r="P249" s="8" t="n">
        <v>209</v>
      </c>
      <c r="Q249" s="8" t="n">
        <v>1.15</v>
      </c>
      <c r="R249" s="12" t="n">
        <f aca="false">Q249*L249</f>
        <v>2.645</v>
      </c>
      <c r="S249" s="12" t="n">
        <f aca="false">J249-R249</f>
        <v>-2.645</v>
      </c>
      <c r="T249" s="12" t="n">
        <f aca="false">MIN(197.4,T248+S249)</f>
        <v>186.515</v>
      </c>
      <c r="U249" s="52" t="s">
        <v>35</v>
      </c>
      <c r="V249" s="8" t="n">
        <v>1901.3</v>
      </c>
      <c r="X249" s="8" t="n">
        <f aca="false">X248+V249</f>
        <v>114255.9</v>
      </c>
      <c r="Y249" s="82" t="n">
        <f aca="false">Y248+V249</f>
        <v>3938.1</v>
      </c>
      <c r="Z249" s="52" t="s">
        <v>33</v>
      </c>
      <c r="AA249" s="8" t="n">
        <v>12.7991792585143</v>
      </c>
    </row>
    <row r="250" s="8" customFormat="true" ht="15" hidden="false" customHeight="false" outlineLevel="0" collapsed="false">
      <c r="A250" s="53"/>
      <c r="B250" s="9"/>
      <c r="C250" s="51" t="n">
        <v>41366</v>
      </c>
      <c r="D250" s="8" t="n">
        <v>4.8</v>
      </c>
      <c r="E250" s="8" t="n">
        <v>0.2</v>
      </c>
      <c r="F250" s="8" t="n">
        <v>10.3</v>
      </c>
      <c r="G250" s="8" t="n">
        <f aca="false">G249+D250</f>
        <v>1731</v>
      </c>
      <c r="H250" s="82" t="n">
        <f aca="false">H249+D250</f>
        <v>15.2</v>
      </c>
      <c r="I250" s="8" t="n">
        <f aca="false">MAX(F247:F267)</f>
        <v>22.8</v>
      </c>
      <c r="J250" s="8" t="n">
        <v>0</v>
      </c>
      <c r="K250" s="8" t="n">
        <f aca="false">J250+K249</f>
        <v>593.7</v>
      </c>
      <c r="L250" s="8" t="n">
        <v>1.9</v>
      </c>
      <c r="M250" s="8" t="n">
        <f aca="false">M249+L250</f>
        <v>223.2</v>
      </c>
      <c r="N250" s="8" t="n">
        <v>-1.9</v>
      </c>
      <c r="O250" s="8" t="n">
        <f aca="false">O249+N250</f>
        <v>186.7</v>
      </c>
      <c r="P250" s="8" t="n">
        <v>210</v>
      </c>
      <c r="Q250" s="8" t="n">
        <v>1.15</v>
      </c>
      <c r="R250" s="12" t="n">
        <f aca="false">Q250*L250</f>
        <v>2.185</v>
      </c>
      <c r="S250" s="12" t="n">
        <f aca="false">J250-R250</f>
        <v>-2.185</v>
      </c>
      <c r="T250" s="12" t="n">
        <f aca="false">MIN(197.4,T249+S250)</f>
        <v>184.33</v>
      </c>
      <c r="U250" s="8" t="n">
        <v>0</v>
      </c>
      <c r="V250" s="8" t="n">
        <v>1345.4</v>
      </c>
      <c r="X250" s="8" t="n">
        <f aca="false">X249+V250</f>
        <v>115601.3</v>
      </c>
      <c r="Y250" s="82" t="n">
        <f aca="false">Y249+V250</f>
        <v>5283.5</v>
      </c>
      <c r="Z250" s="8" t="n">
        <f aca="false">(Z248/100)/I260</f>
        <v>1.46165409170052</v>
      </c>
      <c r="AA250" s="8" t="n">
        <v>12.8574476407617</v>
      </c>
    </row>
    <row r="251" s="8" customFormat="true" ht="15" hidden="false" customHeight="false" outlineLevel="0" collapsed="false">
      <c r="A251" s="53"/>
      <c r="B251" s="9"/>
      <c r="C251" s="51" t="n">
        <v>41367</v>
      </c>
      <c r="D251" s="8" t="n">
        <v>3.9</v>
      </c>
      <c r="E251" s="8" t="n">
        <v>-0.3</v>
      </c>
      <c r="F251" s="8" t="n">
        <v>9.5</v>
      </c>
      <c r="G251" s="8" t="n">
        <f aca="false">G250+D251</f>
        <v>1734.9</v>
      </c>
      <c r="H251" s="82" t="n">
        <f aca="false">H250+D251</f>
        <v>19.1</v>
      </c>
      <c r="I251" s="52" t="s">
        <v>34</v>
      </c>
      <c r="J251" s="8" t="n">
        <v>0</v>
      </c>
      <c r="K251" s="8" t="n">
        <f aca="false">J251+K250</f>
        <v>593.7</v>
      </c>
      <c r="L251" s="8" t="n">
        <v>2.7</v>
      </c>
      <c r="M251" s="8" t="n">
        <f aca="false">M250+L251</f>
        <v>225.9</v>
      </c>
      <c r="N251" s="8" t="n">
        <v>-2.7</v>
      </c>
      <c r="O251" s="8" t="n">
        <f aca="false">O250+N251</f>
        <v>184</v>
      </c>
      <c r="P251" s="8" t="n">
        <v>211</v>
      </c>
      <c r="Q251" s="8" t="n">
        <v>1.15</v>
      </c>
      <c r="R251" s="12" t="n">
        <f aca="false">Q251*L251</f>
        <v>3.105</v>
      </c>
      <c r="S251" s="12" t="n">
        <f aca="false">J251-R251</f>
        <v>-3.105</v>
      </c>
      <c r="T251" s="12" t="n">
        <f aca="false">MIN(197.4,T250+S251)</f>
        <v>181.225</v>
      </c>
      <c r="U251" s="52" t="s">
        <v>38</v>
      </c>
      <c r="V251" s="8" t="n">
        <v>1868.2</v>
      </c>
      <c r="X251" s="8" t="n">
        <f aca="false">X250+V251</f>
        <v>117469.5</v>
      </c>
      <c r="Y251" s="82" t="n">
        <f aca="false">Y250+V251</f>
        <v>7151.7</v>
      </c>
      <c r="Z251" s="52" t="s">
        <v>36</v>
      </c>
      <c r="AA251" s="8" t="n">
        <v>12.9156280727854</v>
      </c>
    </row>
    <row r="252" s="8" customFormat="true" ht="15" hidden="false" customHeight="false" outlineLevel="0" collapsed="false">
      <c r="A252" s="53"/>
      <c r="B252" s="9"/>
      <c r="C252" s="51" t="n">
        <v>41368</v>
      </c>
      <c r="D252" s="8" t="n">
        <v>3.2</v>
      </c>
      <c r="E252" s="8" t="n">
        <v>0.3</v>
      </c>
      <c r="F252" s="8" t="n">
        <v>7.6</v>
      </c>
      <c r="G252" s="8" t="n">
        <f aca="false">G251+D252</f>
        <v>1738.1</v>
      </c>
      <c r="H252" s="82" t="n">
        <f aca="false">H251+D252</f>
        <v>22.3</v>
      </c>
      <c r="I252" s="12" t="n">
        <f aca="false">AVERAGE(D247:D267)</f>
        <v>8.20476190476191</v>
      </c>
      <c r="J252" s="8" t="n">
        <v>2.8</v>
      </c>
      <c r="K252" s="8" t="n">
        <f aca="false">J252+K251</f>
        <v>596.5</v>
      </c>
      <c r="L252" s="8" t="n">
        <v>1.6</v>
      </c>
      <c r="M252" s="8" t="n">
        <f aca="false">M251+L252</f>
        <v>227.5</v>
      </c>
      <c r="N252" s="8" t="n">
        <v>1.2</v>
      </c>
      <c r="O252" s="8" t="n">
        <f aca="false">O251+N252</f>
        <v>185.2</v>
      </c>
      <c r="P252" s="8" t="n">
        <v>212</v>
      </c>
      <c r="Q252" s="8" t="n">
        <v>1.15</v>
      </c>
      <c r="R252" s="12" t="n">
        <f aca="false">Q252*L252</f>
        <v>1.84</v>
      </c>
      <c r="S252" s="12" t="n">
        <f aca="false">J252-R252</f>
        <v>0.96</v>
      </c>
      <c r="T252" s="12" t="n">
        <f aca="false">MIN(197.4,T251+S252)</f>
        <v>182.185</v>
      </c>
      <c r="U252" s="12" t="n">
        <f aca="false">MIN(T247:T267)</f>
        <v>177.015</v>
      </c>
      <c r="V252" s="8" t="n">
        <v>926</v>
      </c>
      <c r="X252" s="8" t="n">
        <f aca="false">X251+V252</f>
        <v>118395.5</v>
      </c>
      <c r="Y252" s="82" t="n">
        <f aca="false">Y251+V252</f>
        <v>8077.7</v>
      </c>
      <c r="Z252" s="8" t="n">
        <v>8</v>
      </c>
      <c r="AA252" s="8" t="n">
        <v>12.973713655852</v>
      </c>
    </row>
    <row r="253" s="8" customFormat="true" ht="15" hidden="false" customHeight="false" outlineLevel="0" collapsed="false">
      <c r="A253" s="53"/>
      <c r="B253" s="9"/>
      <c r="C253" s="51" t="n">
        <v>41369</v>
      </c>
      <c r="D253" s="8" t="n">
        <v>3.3</v>
      </c>
      <c r="E253" s="8" t="n">
        <v>2.6</v>
      </c>
      <c r="F253" s="8" t="n">
        <v>4</v>
      </c>
      <c r="G253" s="8" t="n">
        <f aca="false">G252+D253</f>
        <v>1741.4</v>
      </c>
      <c r="H253" s="82" t="n">
        <f aca="false">H252+D253</f>
        <v>25.6</v>
      </c>
      <c r="I253" s="52" t="s">
        <v>37</v>
      </c>
      <c r="J253" s="8" t="n">
        <v>3.9</v>
      </c>
      <c r="K253" s="8" t="n">
        <f aca="false">J253+K252</f>
        <v>600.4</v>
      </c>
      <c r="L253" s="8" t="n">
        <v>0.6</v>
      </c>
      <c r="M253" s="8" t="n">
        <f aca="false">M252+L253</f>
        <v>228.1</v>
      </c>
      <c r="N253" s="8" t="n">
        <v>3.3</v>
      </c>
      <c r="O253" s="8" t="n">
        <f aca="false">O252+N253</f>
        <v>188.5</v>
      </c>
      <c r="P253" s="8" t="n">
        <v>213</v>
      </c>
      <c r="Q253" s="8" t="n">
        <v>1.15</v>
      </c>
      <c r="R253" s="12" t="n">
        <f aca="false">Q253*L253</f>
        <v>0.69</v>
      </c>
      <c r="S253" s="12" t="n">
        <f aca="false">J253-R253</f>
        <v>3.21</v>
      </c>
      <c r="T253" s="12" t="n">
        <f aca="false">MIN(197.4,T252+S253)</f>
        <v>185.395</v>
      </c>
      <c r="U253" s="52" t="s">
        <v>40</v>
      </c>
      <c r="V253" s="8" t="n">
        <v>396.8</v>
      </c>
      <c r="X253" s="8" t="n">
        <f aca="false">X252+V253</f>
        <v>118792.3</v>
      </c>
      <c r="Y253" s="82" t="n">
        <f aca="false">Y252+V253</f>
        <v>8474.5</v>
      </c>
      <c r="AA253" s="8" t="n">
        <v>13.0316973004188</v>
      </c>
    </row>
    <row r="254" s="8" customFormat="true" ht="15" hidden="false" customHeight="false" outlineLevel="0" collapsed="false">
      <c r="A254" s="53"/>
      <c r="B254" s="9"/>
      <c r="C254" s="51" t="n">
        <v>41370</v>
      </c>
      <c r="D254" s="8" t="n">
        <v>4.7</v>
      </c>
      <c r="E254" s="8" t="n">
        <v>3</v>
      </c>
      <c r="F254" s="8" t="n">
        <v>7.6</v>
      </c>
      <c r="G254" s="8" t="n">
        <f aca="false">G253+D254</f>
        <v>1746.1</v>
      </c>
      <c r="H254" s="82" t="n">
        <f aca="false">H253+D254</f>
        <v>30.3</v>
      </c>
      <c r="I254" s="8" t="n">
        <v>3</v>
      </c>
      <c r="J254" s="8" t="n">
        <v>0</v>
      </c>
      <c r="K254" s="8" t="n">
        <f aca="false">J254+K253</f>
        <v>600.4</v>
      </c>
      <c r="L254" s="8" t="n">
        <v>1.4</v>
      </c>
      <c r="M254" s="8" t="n">
        <f aca="false">M253+L254</f>
        <v>229.5</v>
      </c>
      <c r="N254" s="8" t="n">
        <v>-1.4</v>
      </c>
      <c r="O254" s="8" t="n">
        <f aca="false">O253+N254</f>
        <v>187.1</v>
      </c>
      <c r="P254" s="8" t="n">
        <v>214</v>
      </c>
      <c r="Q254" s="8" t="n">
        <v>1.15</v>
      </c>
      <c r="R254" s="12" t="n">
        <f aca="false">Q254*L254</f>
        <v>1.61</v>
      </c>
      <c r="S254" s="12" t="n">
        <f aca="false">J254-R254</f>
        <v>-1.61</v>
      </c>
      <c r="T254" s="12" t="n">
        <f aca="false">MIN(197.4,T253+S254)</f>
        <v>183.785</v>
      </c>
      <c r="U254" s="12" t="n">
        <f aca="false">MAX(T247:T267)</f>
        <v>197.4</v>
      </c>
      <c r="V254" s="8" t="n">
        <v>676.8</v>
      </c>
      <c r="X254" s="8" t="n">
        <f aca="false">X253+V254</f>
        <v>119469.1</v>
      </c>
      <c r="Y254" s="82" t="n">
        <f aca="false">Y253+V254</f>
        <v>9151.3</v>
      </c>
      <c r="AA254" s="8" t="n">
        <v>13.0895717098142</v>
      </c>
    </row>
    <row r="255" s="8" customFormat="true" ht="15" hidden="false" customHeight="false" outlineLevel="0" collapsed="false">
      <c r="A255" s="53"/>
      <c r="B255" s="9"/>
      <c r="C255" s="51" t="n">
        <v>41371</v>
      </c>
      <c r="D255" s="8" t="n">
        <v>5</v>
      </c>
      <c r="E255" s="8" t="n">
        <v>1.4</v>
      </c>
      <c r="F255" s="8" t="n">
        <v>7.5</v>
      </c>
      <c r="G255" s="8" t="n">
        <f aca="false">G254+D255</f>
        <v>1751.1</v>
      </c>
      <c r="H255" s="82" t="n">
        <f aca="false">H254+D255</f>
        <v>35.3</v>
      </c>
      <c r="I255" s="52" t="s">
        <v>39</v>
      </c>
      <c r="J255" s="8" t="n">
        <v>0.2</v>
      </c>
      <c r="K255" s="8" t="n">
        <f aca="false">J255+K254</f>
        <v>600.6</v>
      </c>
      <c r="L255" s="8" t="n">
        <v>1</v>
      </c>
      <c r="M255" s="8" t="n">
        <f aca="false">M254+L255</f>
        <v>230.5</v>
      </c>
      <c r="N255" s="8" t="n">
        <v>-0.8</v>
      </c>
      <c r="O255" s="8" t="n">
        <f aca="false">O254+N255</f>
        <v>186.3</v>
      </c>
      <c r="P255" s="8" t="n">
        <v>215</v>
      </c>
      <c r="Q255" s="8" t="n">
        <v>1.15</v>
      </c>
      <c r="R255" s="12" t="n">
        <f aca="false">Q255*L255</f>
        <v>1.15</v>
      </c>
      <c r="S255" s="12" t="n">
        <f aca="false">J255-R255</f>
        <v>-0.95</v>
      </c>
      <c r="T255" s="12" t="n">
        <f aca="false">MIN(197.4,T254+S255)</f>
        <v>182.835</v>
      </c>
      <c r="U255" s="52" t="s">
        <v>42</v>
      </c>
      <c r="V255" s="8" t="n">
        <v>694.4</v>
      </c>
      <c r="X255" s="8" t="n">
        <f aca="false">X254+V255</f>
        <v>120163.5</v>
      </c>
      <c r="Y255" s="82" t="n">
        <f aca="false">Y254+V255</f>
        <v>9845.7</v>
      </c>
      <c r="AA255" s="8" t="n">
        <v>13.1473293640191</v>
      </c>
    </row>
    <row r="256" s="8" customFormat="true" ht="15" hidden="false" customHeight="false" outlineLevel="0" collapsed="false">
      <c r="A256" s="53"/>
      <c r="B256" s="9"/>
      <c r="C256" s="51" t="n">
        <v>41372</v>
      </c>
      <c r="D256" s="8" t="n">
        <v>8.2</v>
      </c>
      <c r="E256" s="8" t="n">
        <v>4.6</v>
      </c>
      <c r="F256" s="8" t="n">
        <v>13</v>
      </c>
      <c r="G256" s="8" t="n">
        <f aca="false">G255+D256</f>
        <v>1759.3</v>
      </c>
      <c r="H256" s="82" t="n">
        <f aca="false">H255+D256</f>
        <v>43.5</v>
      </c>
      <c r="I256" s="8" t="n">
        <v>0</v>
      </c>
      <c r="J256" s="8" t="n">
        <v>8.8</v>
      </c>
      <c r="K256" s="8" t="n">
        <f aca="false">J256+K255</f>
        <v>609.4</v>
      </c>
      <c r="L256" s="8" t="n">
        <v>1.9</v>
      </c>
      <c r="M256" s="8" t="n">
        <f aca="false">M255+L256</f>
        <v>232.4</v>
      </c>
      <c r="N256" s="8" t="n">
        <v>6.9</v>
      </c>
      <c r="O256" s="8" t="n">
        <f aca="false">O255+N256</f>
        <v>193.2</v>
      </c>
      <c r="P256" s="8" t="n">
        <v>216</v>
      </c>
      <c r="Q256" s="8" t="n">
        <v>1.15</v>
      </c>
      <c r="R256" s="12" t="n">
        <f aca="false">Q256*L256</f>
        <v>2.185</v>
      </c>
      <c r="S256" s="12" t="n">
        <f aca="false">J256-R256</f>
        <v>6.615</v>
      </c>
      <c r="T256" s="12" t="n">
        <f aca="false">MIN(197.4,T255+S256)</f>
        <v>189.45</v>
      </c>
      <c r="U256" s="18" t="n">
        <f aca="false">AVERAGE(T247:T267)</f>
        <v>187.940714285714</v>
      </c>
      <c r="V256" s="8" t="n">
        <v>1147.7</v>
      </c>
      <c r="X256" s="8" t="n">
        <f aca="false">X255+V256</f>
        <v>121311.2</v>
      </c>
      <c r="Y256" s="82" t="n">
        <f aca="false">Y255+V256</f>
        <v>10993.4</v>
      </c>
      <c r="AA256" s="8" t="n">
        <v>13.2049625035586</v>
      </c>
    </row>
    <row r="257" s="8" customFormat="true" ht="15" hidden="false" customHeight="false" outlineLevel="0" collapsed="false">
      <c r="A257" s="53"/>
      <c r="B257" s="9"/>
      <c r="C257" s="51" t="n">
        <v>41373</v>
      </c>
      <c r="D257" s="8" t="n">
        <v>9.6</v>
      </c>
      <c r="E257" s="8" t="n">
        <v>6.5</v>
      </c>
      <c r="F257" s="8" t="n">
        <v>12.4</v>
      </c>
      <c r="G257" s="8" t="n">
        <f aca="false">G256+D257</f>
        <v>1768.9</v>
      </c>
      <c r="H257" s="82" t="n">
        <f aca="false">H256+D257</f>
        <v>53.1</v>
      </c>
      <c r="I257" s="52" t="s">
        <v>41</v>
      </c>
      <c r="J257" s="8" t="n">
        <v>5.5</v>
      </c>
      <c r="K257" s="8" t="n">
        <f aca="false">J257+K256</f>
        <v>614.9</v>
      </c>
      <c r="L257" s="8" t="n">
        <v>1.2</v>
      </c>
      <c r="M257" s="8" t="n">
        <f aca="false">M256+L257</f>
        <v>233.6</v>
      </c>
      <c r="N257" s="8" t="n">
        <v>4.3</v>
      </c>
      <c r="O257" s="8" t="n">
        <v>197.4</v>
      </c>
      <c r="P257" s="8" t="n">
        <v>217</v>
      </c>
      <c r="Q257" s="8" t="n">
        <v>1.15</v>
      </c>
      <c r="R257" s="12" t="n">
        <f aca="false">Q257*L257</f>
        <v>1.38</v>
      </c>
      <c r="S257" s="12" t="n">
        <f aca="false">J257-R257</f>
        <v>4.12</v>
      </c>
      <c r="T257" s="12" t="n">
        <f aca="false">MIN(197.4,T256+S257)</f>
        <v>193.57</v>
      </c>
      <c r="V257" s="8" t="n">
        <v>782.7</v>
      </c>
      <c r="X257" s="8" t="n">
        <f aca="false">X256+V257</f>
        <v>122093.9</v>
      </c>
      <c r="Y257" s="82" t="n">
        <f aca="false">Y256+V257</f>
        <v>11776.1</v>
      </c>
      <c r="AA257" s="8" t="n">
        <v>13.2624631135172</v>
      </c>
    </row>
    <row r="258" s="8" customFormat="true" ht="15" hidden="false" customHeight="false" outlineLevel="0" collapsed="false">
      <c r="A258" s="50"/>
      <c r="B258" s="9"/>
      <c r="C258" s="51" t="n">
        <v>41374</v>
      </c>
      <c r="D258" s="8" t="n">
        <v>9.6</v>
      </c>
      <c r="E258" s="8" t="n">
        <v>6</v>
      </c>
      <c r="F258" s="8" t="n">
        <v>11.8</v>
      </c>
      <c r="G258" s="8" t="n">
        <f aca="false">G257+D258</f>
        <v>1778.5</v>
      </c>
      <c r="H258" s="82" t="n">
        <f aca="false">H257+D258</f>
        <v>62.7</v>
      </c>
      <c r="I258" s="8" t="n">
        <v>8</v>
      </c>
      <c r="J258" s="8" t="n">
        <v>11.9</v>
      </c>
      <c r="K258" s="8" t="n">
        <f aca="false">J258+K257</f>
        <v>626.8</v>
      </c>
      <c r="L258" s="8" t="n">
        <v>0.6</v>
      </c>
      <c r="M258" s="8" t="n">
        <f aca="false">M257+L258</f>
        <v>234.2</v>
      </c>
      <c r="N258" s="8" t="n">
        <v>11.3</v>
      </c>
      <c r="O258" s="8" t="n">
        <v>197.4</v>
      </c>
      <c r="P258" s="8" t="n">
        <v>218</v>
      </c>
      <c r="Q258" s="8" t="n">
        <v>1.15</v>
      </c>
      <c r="R258" s="12" t="n">
        <f aca="false">Q258*L258</f>
        <v>0.69</v>
      </c>
      <c r="S258" s="12" t="n">
        <f aca="false">J258-R258</f>
        <v>11.21</v>
      </c>
      <c r="T258" s="12" t="n">
        <f aca="false">MIN(197.4,T257+S258)</f>
        <v>197.4</v>
      </c>
      <c r="U258" s="12" t="n">
        <f aca="false">(U256*100)/197.4</f>
        <v>95.2080619481835</v>
      </c>
      <c r="V258" s="8" t="n">
        <v>479.6</v>
      </c>
      <c r="X258" s="8" t="n">
        <f aca="false">X257+V258</f>
        <v>122573.5</v>
      </c>
      <c r="Y258" s="82" t="n">
        <f aca="false">Y257+V258</f>
        <v>12255.7</v>
      </c>
      <c r="AA258" s="8" t="n">
        <v>13.3198229076905</v>
      </c>
    </row>
    <row r="259" s="8" customFormat="true" ht="15" hidden="false" customHeight="false" outlineLevel="0" collapsed="false">
      <c r="A259" s="53"/>
      <c r="B259" s="9"/>
      <c r="C259" s="51" t="n">
        <v>41375</v>
      </c>
      <c r="D259" s="8" t="n">
        <v>11.5</v>
      </c>
      <c r="E259" s="8" t="n">
        <v>9.5</v>
      </c>
      <c r="F259" s="8" t="n">
        <v>13</v>
      </c>
      <c r="G259" s="8" t="n">
        <f aca="false">G258+D259</f>
        <v>1790</v>
      </c>
      <c r="H259" s="82" t="n">
        <f aca="false">H258+D259</f>
        <v>74.2</v>
      </c>
      <c r="I259" s="52" t="s">
        <v>43</v>
      </c>
      <c r="J259" s="8" t="n">
        <v>6.7</v>
      </c>
      <c r="K259" s="8" t="n">
        <f aca="false">J259+K258</f>
        <v>633.5</v>
      </c>
      <c r="L259" s="8" t="n">
        <v>1.7</v>
      </c>
      <c r="M259" s="8" t="n">
        <f aca="false">M258+L259</f>
        <v>235.9</v>
      </c>
      <c r="N259" s="8" t="n">
        <v>5</v>
      </c>
      <c r="O259" s="8" t="n">
        <v>197.4</v>
      </c>
      <c r="P259" s="8" t="n">
        <v>219</v>
      </c>
      <c r="Q259" s="8" t="n">
        <v>1.15</v>
      </c>
      <c r="R259" s="12" t="n">
        <f aca="false">Q259*L259</f>
        <v>1.955</v>
      </c>
      <c r="S259" s="12" t="n">
        <f aca="false">J259-R259</f>
        <v>4.745</v>
      </c>
      <c r="T259" s="12" t="n">
        <f aca="false">MIN(197.4,T258+S259)</f>
        <v>197.4</v>
      </c>
      <c r="V259" s="8" t="n">
        <v>1033.4</v>
      </c>
      <c r="X259" s="8" t="n">
        <f aca="false">X258+V259</f>
        <v>123606.9</v>
      </c>
      <c r="Y259" s="82" t="n">
        <f aca="false">Y258+V259</f>
        <v>13289.1</v>
      </c>
      <c r="AA259" s="8" t="n">
        <v>13.3770333128915</v>
      </c>
    </row>
    <row r="260" s="8" customFormat="true" ht="15" hidden="false" customHeight="false" outlineLevel="0" collapsed="false">
      <c r="A260" s="53"/>
      <c r="B260" s="9"/>
      <c r="C260" s="51" t="n">
        <v>41376</v>
      </c>
      <c r="D260" s="8" t="n">
        <v>11.3</v>
      </c>
      <c r="E260" s="8" t="n">
        <v>10.1</v>
      </c>
      <c r="F260" s="8" t="n">
        <v>14.8</v>
      </c>
      <c r="G260" s="8" t="n">
        <f aca="false">G259+D260</f>
        <v>1801.3</v>
      </c>
      <c r="H260" s="82" t="n">
        <f aca="false">H259+D260</f>
        <v>85.5</v>
      </c>
      <c r="I260" s="8" t="n">
        <v>172.3</v>
      </c>
      <c r="J260" s="8" t="n">
        <v>1.7</v>
      </c>
      <c r="K260" s="8" t="n">
        <f aca="false">J260+K259</f>
        <v>635.2</v>
      </c>
      <c r="L260" s="8" t="n">
        <v>2.9</v>
      </c>
      <c r="M260" s="8" t="n">
        <f aca="false">M259+L260</f>
        <v>238.8</v>
      </c>
      <c r="N260" s="8" t="n">
        <v>-1.2</v>
      </c>
      <c r="O260" s="8" t="n">
        <f aca="false">O259+N260</f>
        <v>196.2</v>
      </c>
      <c r="P260" s="8" t="n">
        <v>220</v>
      </c>
      <c r="Q260" s="8" t="n">
        <v>1.15</v>
      </c>
      <c r="R260" s="12" t="n">
        <f aca="false">Q260*L260</f>
        <v>3.335</v>
      </c>
      <c r="S260" s="12" t="n">
        <f aca="false">J260-R260</f>
        <v>-1.635</v>
      </c>
      <c r="T260" s="12" t="n">
        <f aca="false">MIN(197.4,T259+S260)</f>
        <v>195.765</v>
      </c>
      <c r="V260" s="8" t="n">
        <v>1334.9</v>
      </c>
      <c r="X260" s="8" t="n">
        <f aca="false">X259+V260</f>
        <v>124941.8</v>
      </c>
      <c r="Y260" s="82" t="n">
        <f aca="false">Y259+V260</f>
        <v>14624</v>
      </c>
      <c r="AA260" s="8" t="n">
        <v>13.4340854534294</v>
      </c>
    </row>
    <row r="261" s="8" customFormat="true" ht="15" hidden="false" customHeight="false" outlineLevel="0" collapsed="false">
      <c r="A261" s="53"/>
      <c r="B261" s="9"/>
      <c r="C261" s="51" t="n">
        <v>41377</v>
      </c>
      <c r="D261" s="8" t="n">
        <v>11</v>
      </c>
      <c r="E261" s="8" t="n">
        <v>6.5</v>
      </c>
      <c r="F261" s="8" t="n">
        <v>13.9</v>
      </c>
      <c r="G261" s="8" t="n">
        <f aca="false">G260+D261</f>
        <v>1812.3</v>
      </c>
      <c r="H261" s="82" t="n">
        <f aca="false">H260+D261</f>
        <v>96.5</v>
      </c>
      <c r="J261" s="8" t="n">
        <v>1</v>
      </c>
      <c r="K261" s="8" t="n">
        <f aca="false">J261+K260</f>
        <v>636.2</v>
      </c>
      <c r="L261" s="8" t="n">
        <v>0.7</v>
      </c>
      <c r="M261" s="8" t="n">
        <f aca="false">M260+L261</f>
        <v>239.5</v>
      </c>
      <c r="N261" s="8" t="n">
        <v>0.3</v>
      </c>
      <c r="O261" s="8" t="n">
        <f aca="false">O260+N261</f>
        <v>196.5</v>
      </c>
      <c r="P261" s="8" t="n">
        <v>221</v>
      </c>
      <c r="Q261" s="8" t="n">
        <v>1.15</v>
      </c>
      <c r="R261" s="12" t="n">
        <f aca="false">Q261*L261</f>
        <v>0.805</v>
      </c>
      <c r="S261" s="12" t="n">
        <f aca="false">J261-R261</f>
        <v>0.195</v>
      </c>
      <c r="T261" s="12" t="n">
        <f aca="false">MIN(197.4,T260+S261)</f>
        <v>195.96</v>
      </c>
      <c r="V261" s="8" t="n">
        <v>555.2</v>
      </c>
      <c r="X261" s="8" t="n">
        <f aca="false">X260+V261</f>
        <v>125497</v>
      </c>
      <c r="Y261" s="82" t="n">
        <f aca="false">Y260+V261</f>
        <v>15179.2</v>
      </c>
      <c r="AA261" s="8" t="n">
        <v>13.490970135784</v>
      </c>
    </row>
    <row r="262" s="8" customFormat="true" ht="15" hidden="false" customHeight="false" outlineLevel="0" collapsed="false">
      <c r="A262" s="53"/>
      <c r="B262" s="9"/>
      <c r="C262" s="51" t="n">
        <v>41378</v>
      </c>
      <c r="D262" s="8" t="n">
        <v>14.9</v>
      </c>
      <c r="E262" s="8" t="n">
        <v>10.7</v>
      </c>
      <c r="F262" s="8" t="n">
        <v>21.4</v>
      </c>
      <c r="G262" s="8" t="n">
        <f aca="false">G261+D262</f>
        <v>1827.2</v>
      </c>
      <c r="H262" s="82" t="n">
        <f aca="false">H261+D262</f>
        <v>111.4</v>
      </c>
      <c r="J262" s="8" t="n">
        <v>1.5</v>
      </c>
      <c r="K262" s="8" t="n">
        <f aca="false">J262+K261</f>
        <v>637.7</v>
      </c>
      <c r="L262" s="8" t="n">
        <v>4.1</v>
      </c>
      <c r="M262" s="8" t="n">
        <f aca="false">M261+L262</f>
        <v>243.6</v>
      </c>
      <c r="N262" s="8" t="n">
        <v>-2.6</v>
      </c>
      <c r="O262" s="8" t="n">
        <f aca="false">O261+N262</f>
        <v>193.9</v>
      </c>
      <c r="P262" s="8" t="n">
        <v>222</v>
      </c>
      <c r="Q262" s="8" t="n">
        <v>1.15</v>
      </c>
      <c r="R262" s="12" t="n">
        <f aca="false">Q262*L262</f>
        <v>4.715</v>
      </c>
      <c r="S262" s="12" t="n">
        <f aca="false">J262-R262</f>
        <v>-3.215</v>
      </c>
      <c r="T262" s="12" t="n">
        <f aca="false">MIN(197.4,T261+S262)</f>
        <v>192.745</v>
      </c>
      <c r="V262" s="8" t="n">
        <v>2062.2</v>
      </c>
      <c r="X262" s="8" t="n">
        <f aca="false">X261+V262</f>
        <v>127559.2</v>
      </c>
      <c r="Y262" s="82" t="n">
        <f aca="false">Y261+V262</f>
        <v>17241.4</v>
      </c>
      <c r="AA262" s="8" t="n">
        <v>13.5476778335012</v>
      </c>
    </row>
    <row r="263" s="8" customFormat="true" ht="15" hidden="false" customHeight="false" outlineLevel="0" collapsed="false">
      <c r="A263" s="53"/>
      <c r="B263" s="9"/>
      <c r="C263" s="51" t="n">
        <v>41379</v>
      </c>
      <c r="D263" s="8" t="n">
        <v>13.4</v>
      </c>
      <c r="E263" s="8" t="n">
        <v>10.9</v>
      </c>
      <c r="F263" s="8" t="n">
        <v>16.4</v>
      </c>
      <c r="G263" s="8" t="n">
        <f aca="false">G262+D263</f>
        <v>1840.6</v>
      </c>
      <c r="H263" s="82" t="n">
        <f aca="false">H262+D263</f>
        <v>124.8</v>
      </c>
      <c r="J263" s="8" t="n">
        <v>0</v>
      </c>
      <c r="K263" s="8" t="n">
        <f aca="false">J263+K262</f>
        <v>637.7</v>
      </c>
      <c r="L263" s="8" t="n">
        <v>3.1</v>
      </c>
      <c r="M263" s="8" t="n">
        <f aca="false">M262+L263</f>
        <v>246.7</v>
      </c>
      <c r="N263" s="8" t="n">
        <v>-3.1</v>
      </c>
      <c r="O263" s="8" t="n">
        <f aca="false">O262+N263</f>
        <v>190.8</v>
      </c>
      <c r="P263" s="8" t="n">
        <v>223</v>
      </c>
      <c r="Q263" s="8" t="n">
        <v>1.15</v>
      </c>
      <c r="R263" s="12" t="n">
        <f aca="false">Q263*L263</f>
        <v>3.565</v>
      </c>
      <c r="S263" s="12" t="n">
        <f aca="false">J263-R263</f>
        <v>-3.565</v>
      </c>
      <c r="T263" s="12" t="n">
        <f aca="false">MIN(197.4,T262+S263)</f>
        <v>189.18</v>
      </c>
      <c r="V263" s="8" t="n">
        <v>1859.9</v>
      </c>
      <c r="X263" s="8" t="n">
        <f aca="false">X262+V263</f>
        <v>129419.1</v>
      </c>
      <c r="Y263" s="82" t="n">
        <f aca="false">Y262+V263</f>
        <v>19101.3</v>
      </c>
      <c r="AA263" s="8" t="n">
        <v>13.6041986723355</v>
      </c>
    </row>
    <row r="264" s="8" customFormat="true" ht="15" hidden="false" customHeight="false" outlineLevel="0" collapsed="false">
      <c r="A264" s="53"/>
      <c r="B264" s="9"/>
      <c r="C264" s="51" t="n">
        <v>41380</v>
      </c>
      <c r="D264" s="8" t="n">
        <v>12.7</v>
      </c>
      <c r="E264" s="8" t="n">
        <v>10.7</v>
      </c>
      <c r="F264" s="8" t="n">
        <v>14.4</v>
      </c>
      <c r="G264" s="8" t="n">
        <f aca="false">G263+D264</f>
        <v>1853.3</v>
      </c>
      <c r="H264" s="82" t="n">
        <f aca="false">H263+D264</f>
        <v>137.5</v>
      </c>
      <c r="J264" s="8" t="n">
        <v>0</v>
      </c>
      <c r="K264" s="8" t="n">
        <f aca="false">J264+K263</f>
        <v>637.7</v>
      </c>
      <c r="L264" s="8" t="n">
        <v>1</v>
      </c>
      <c r="M264" s="8" t="n">
        <f aca="false">M263+L264</f>
        <v>247.7</v>
      </c>
      <c r="N264" s="8" t="n">
        <v>-1</v>
      </c>
      <c r="O264" s="8" t="n">
        <f aca="false">O263+N264</f>
        <v>189.8</v>
      </c>
      <c r="P264" s="8" t="n">
        <v>224</v>
      </c>
      <c r="Q264" s="8" t="n">
        <v>1.15</v>
      </c>
      <c r="R264" s="12" t="n">
        <f aca="false">Q264*L264</f>
        <v>1.15</v>
      </c>
      <c r="S264" s="12" t="n">
        <f aca="false">J264-R264</f>
        <v>-1.15</v>
      </c>
      <c r="T264" s="12" t="n">
        <f aca="false">MIN(197.4,T263+S264)</f>
        <v>188.03</v>
      </c>
      <c r="V264" s="8" t="n">
        <v>586.3</v>
      </c>
      <c r="X264" s="8" t="n">
        <f aca="false">X263+V264</f>
        <v>130005.4</v>
      </c>
      <c r="Y264" s="82" t="n">
        <f aca="false">Y263+V264</f>
        <v>19687.6</v>
      </c>
      <c r="AA264" s="8" t="n">
        <v>13.6605224156742</v>
      </c>
    </row>
    <row r="265" s="8" customFormat="true" ht="15" hidden="false" customHeight="false" outlineLevel="0" collapsed="false">
      <c r="A265" s="53"/>
      <c r="B265" s="9"/>
      <c r="C265" s="51" t="n">
        <v>41381</v>
      </c>
      <c r="D265" s="8" t="n">
        <v>15</v>
      </c>
      <c r="E265" s="8" t="n">
        <v>9.3</v>
      </c>
      <c r="F265" s="8" t="n">
        <v>22.8</v>
      </c>
      <c r="G265" s="8" t="n">
        <f aca="false">G264+D265</f>
        <v>1868.3</v>
      </c>
      <c r="H265" s="82" t="n">
        <f aca="false">H264+D265</f>
        <v>152.5</v>
      </c>
      <c r="J265" s="8" t="n">
        <v>0</v>
      </c>
      <c r="K265" s="8" t="n">
        <f aca="false">J265+K264</f>
        <v>637.7</v>
      </c>
      <c r="L265" s="8" t="n">
        <v>3.8</v>
      </c>
      <c r="M265" s="8" t="n">
        <f aca="false">M264+L265</f>
        <v>251.5</v>
      </c>
      <c r="N265" s="54" t="n">
        <v>-3.8</v>
      </c>
      <c r="O265" s="8" t="n">
        <f aca="false">O264+N265</f>
        <v>186</v>
      </c>
      <c r="P265" s="8" t="n">
        <v>225</v>
      </c>
      <c r="Q265" s="8" t="n">
        <v>1.15</v>
      </c>
      <c r="R265" s="12" t="n">
        <f aca="false">Q265*L265</f>
        <v>4.37</v>
      </c>
      <c r="S265" s="12" t="n">
        <f aca="false">J265-R265</f>
        <v>-4.37</v>
      </c>
      <c r="T265" s="12" t="n">
        <f aca="false">MIN(197.4,T264+S265)</f>
        <v>183.66</v>
      </c>
      <c r="V265" s="8" t="n">
        <v>1898.5</v>
      </c>
      <c r="W265" s="43"/>
      <c r="X265" s="8" t="n">
        <f aca="false">X264+V265</f>
        <v>131903.9</v>
      </c>
      <c r="Y265" s="82" t="n">
        <f aca="false">Y264+V265</f>
        <v>21586.1</v>
      </c>
      <c r="AA265" s="8" t="n">
        <v>13.7166384502749</v>
      </c>
    </row>
    <row r="266" s="8" customFormat="true" ht="15" hidden="false" customHeight="true" outlineLevel="0" collapsed="false">
      <c r="A266" s="53"/>
      <c r="B266" s="9"/>
      <c r="C266" s="51" t="n">
        <v>41382</v>
      </c>
      <c r="D266" s="8" t="n">
        <v>11.3</v>
      </c>
      <c r="E266" s="8" t="n">
        <v>9.3</v>
      </c>
      <c r="F266" s="8" t="n">
        <v>15.3</v>
      </c>
      <c r="G266" s="8" t="n">
        <f aca="false">G265+D266</f>
        <v>1879.6</v>
      </c>
      <c r="H266" s="82" t="n">
        <f aca="false">H265+D266</f>
        <v>163.8</v>
      </c>
      <c r="J266" s="8" t="n">
        <v>0.4</v>
      </c>
      <c r="K266" s="8" t="n">
        <f aca="false">J266+K265</f>
        <v>638.1</v>
      </c>
      <c r="L266" s="8" t="n">
        <v>3.2</v>
      </c>
      <c r="M266" s="8" t="n">
        <f aca="false">M265+L266</f>
        <v>254.7</v>
      </c>
      <c r="N266" s="8" t="n">
        <v>-2.8</v>
      </c>
      <c r="O266" s="8" t="n">
        <f aca="false">O265+N266</f>
        <v>183.2</v>
      </c>
      <c r="P266" s="8" t="n">
        <v>226</v>
      </c>
      <c r="Q266" s="8" t="n">
        <v>1.15</v>
      </c>
      <c r="R266" s="12" t="n">
        <f aca="false">Q266*L266</f>
        <v>3.68</v>
      </c>
      <c r="S266" s="12" t="n">
        <f aca="false">J266-R266</f>
        <v>-3.28</v>
      </c>
      <c r="T266" s="12" t="n">
        <f aca="false">MIN(197.4,T265+S266)</f>
        <v>180.38</v>
      </c>
      <c r="U266" s="43"/>
      <c r="V266" s="8" t="n">
        <v>1740.8</v>
      </c>
      <c r="X266" s="8" t="n">
        <f aca="false">X265+V266</f>
        <v>133644.7</v>
      </c>
      <c r="Y266" s="82" t="n">
        <f aca="false">Y265+V266</f>
        <v>23326.9</v>
      </c>
      <c r="AA266" s="8" t="n">
        <v>13.7725357723564</v>
      </c>
    </row>
    <row r="267" s="23" customFormat="true" ht="15" hidden="false" customHeight="false" outlineLevel="0" collapsed="false">
      <c r="A267" s="55" t="s">
        <v>62</v>
      </c>
      <c r="B267" s="56"/>
      <c r="C267" s="57" t="n">
        <v>41383</v>
      </c>
      <c r="D267" s="23" t="n">
        <v>8.5</v>
      </c>
      <c r="E267" s="23" t="n">
        <v>4</v>
      </c>
      <c r="F267" s="23" t="n">
        <v>14.4</v>
      </c>
      <c r="G267" s="23" t="n">
        <f aca="false">G266+D267</f>
        <v>1888.1</v>
      </c>
      <c r="H267" s="23" t="n">
        <f aca="false">H266+D267</f>
        <v>172.3</v>
      </c>
      <c r="J267" s="23" t="n">
        <v>0.2</v>
      </c>
      <c r="K267" s="23" t="n">
        <f aca="false">J267+K266</f>
        <v>638.3</v>
      </c>
      <c r="L267" s="23" t="n">
        <v>3.1</v>
      </c>
      <c r="M267" s="23" t="n">
        <f aca="false">M266+L267</f>
        <v>257.8</v>
      </c>
      <c r="N267" s="23" t="n">
        <v>-2.9</v>
      </c>
      <c r="O267" s="23" t="n">
        <f aca="false">O266+N267</f>
        <v>180.3</v>
      </c>
      <c r="P267" s="23" t="n">
        <v>227</v>
      </c>
      <c r="Q267" s="23" t="n">
        <v>1.15</v>
      </c>
      <c r="R267" s="24" t="n">
        <f aca="false">Q267*L267</f>
        <v>3.565</v>
      </c>
      <c r="S267" s="24" t="n">
        <f aca="false">J267-R267</f>
        <v>-3.365</v>
      </c>
      <c r="T267" s="24" t="n">
        <f aca="false">MIN(197.4,T266+S267)</f>
        <v>177.015</v>
      </c>
      <c r="V267" s="23" t="n">
        <v>1857.4</v>
      </c>
      <c r="X267" s="23" t="n">
        <f aca="false">X266+V267</f>
        <v>135502.1</v>
      </c>
      <c r="Y267" s="23" t="n">
        <f aca="false">Y266+V267</f>
        <v>25184.3</v>
      </c>
      <c r="AA267" s="23" t="n">
        <v>13.8282029740852</v>
      </c>
    </row>
    <row r="268" s="82" customFormat="true" ht="15" hidden="false" customHeight="false" outlineLevel="0" collapsed="false">
      <c r="A268" s="58"/>
      <c r="B268" s="85"/>
      <c r="C268" s="86" t="n">
        <v>41384</v>
      </c>
      <c r="D268" s="82" t="n">
        <v>7.6</v>
      </c>
      <c r="E268" s="82" t="n">
        <v>2.5</v>
      </c>
      <c r="F268" s="82" t="n">
        <v>15.4</v>
      </c>
      <c r="G268" s="82" t="n">
        <f aca="false">G267+D268</f>
        <v>1895.7</v>
      </c>
      <c r="H268" s="82" t="n">
        <f aca="false">D268</f>
        <v>7.6</v>
      </c>
      <c r="I268" s="60" t="s">
        <v>28</v>
      </c>
      <c r="J268" s="82" t="n">
        <v>0</v>
      </c>
      <c r="K268" s="82" t="n">
        <f aca="false">J268+K267</f>
        <v>638.3</v>
      </c>
      <c r="L268" s="82" t="n">
        <v>3.7</v>
      </c>
      <c r="M268" s="82" t="n">
        <f aca="false">M267+L268</f>
        <v>261.5</v>
      </c>
      <c r="N268" s="82" t="n">
        <v>-3.7</v>
      </c>
      <c r="O268" s="82" t="n">
        <f aca="false">O267+N268</f>
        <v>176.6</v>
      </c>
      <c r="P268" s="82" t="n">
        <v>228</v>
      </c>
      <c r="Q268" s="82" t="n">
        <v>1.15</v>
      </c>
      <c r="R268" s="84" t="n">
        <f aca="false">Q268*L268</f>
        <v>4.255</v>
      </c>
      <c r="S268" s="84" t="n">
        <f aca="false">J268-R268</f>
        <v>-4.255</v>
      </c>
      <c r="T268" s="84" t="n">
        <f aca="false">MIN(197.4,T267+S268)</f>
        <v>172.76</v>
      </c>
      <c r="U268" s="60" t="s">
        <v>32</v>
      </c>
      <c r="V268" s="82" t="n">
        <v>2402.8</v>
      </c>
      <c r="X268" s="82" t="n">
        <f aca="false">X267+V268</f>
        <v>137904.9</v>
      </c>
      <c r="Y268" s="82" t="n">
        <f aca="false">V268</f>
        <v>2402.8</v>
      </c>
      <c r="Z268" s="60" t="s">
        <v>30</v>
      </c>
      <c r="AA268" s="82" t="n">
        <v>13.8836282305015</v>
      </c>
    </row>
    <row r="269" s="8" customFormat="true" ht="15" hidden="false" customHeight="false" outlineLevel="0" collapsed="false">
      <c r="A269" s="58"/>
      <c r="B269" s="15"/>
      <c r="C269" s="59" t="n">
        <v>41385</v>
      </c>
      <c r="D269" s="8" t="n">
        <v>7.4</v>
      </c>
      <c r="E269" s="8" t="n">
        <v>0.4</v>
      </c>
      <c r="F269" s="8" t="n">
        <v>14.2</v>
      </c>
      <c r="G269" s="8" t="n">
        <f aca="false">G268+D269</f>
        <v>1903.1</v>
      </c>
      <c r="H269" s="82" t="n">
        <f aca="false">H268+D269</f>
        <v>15</v>
      </c>
      <c r="I269" s="8" t="n">
        <f aca="false">MIN(E268:E295)</f>
        <v>0.4</v>
      </c>
      <c r="J269" s="8" t="n">
        <v>0</v>
      </c>
      <c r="K269" s="8" t="n">
        <f aca="false">J269+K268</f>
        <v>638.3</v>
      </c>
      <c r="L269" s="8" t="n">
        <v>3</v>
      </c>
      <c r="M269" s="8" t="n">
        <f aca="false">M268+L269</f>
        <v>264.5</v>
      </c>
      <c r="N269" s="8" t="n">
        <v>-3</v>
      </c>
      <c r="O269" s="8" t="n">
        <f aca="false">O268+N269</f>
        <v>173.6</v>
      </c>
      <c r="P269" s="8" t="n">
        <v>229</v>
      </c>
      <c r="Q269" s="8" t="n">
        <v>1.15</v>
      </c>
      <c r="R269" s="12" t="n">
        <f aca="false">Q269*L269</f>
        <v>3.45</v>
      </c>
      <c r="S269" s="12" t="n">
        <f aca="false">J269-R269</f>
        <v>-3.45</v>
      </c>
      <c r="T269" s="12" t="n">
        <f aca="false">MIN(197.4,T268+S269)</f>
        <v>169.31</v>
      </c>
      <c r="U269" s="8" t="n">
        <v>0</v>
      </c>
      <c r="V269" s="8" t="n">
        <v>2072.3</v>
      </c>
      <c r="X269" s="8" t="n">
        <f aca="false">X268+V269</f>
        <v>139977.2</v>
      </c>
      <c r="Y269" s="82" t="n">
        <f aca="false">Y268+V269</f>
        <v>4475.1</v>
      </c>
      <c r="Z269" s="8" t="n">
        <v>41572.2</v>
      </c>
      <c r="AA269" s="8" t="n">
        <v>13.9387992869362</v>
      </c>
    </row>
    <row r="270" s="8" customFormat="true" ht="15" hidden="false" customHeight="false" outlineLevel="0" collapsed="false">
      <c r="A270" s="58"/>
      <c r="B270" s="15"/>
      <c r="C270" s="59" t="n">
        <v>41386</v>
      </c>
      <c r="D270" s="8" t="n">
        <v>10.7</v>
      </c>
      <c r="E270" s="8" t="n">
        <v>5.4</v>
      </c>
      <c r="F270" s="8" t="n">
        <v>14.4</v>
      </c>
      <c r="G270" s="8" t="n">
        <f aca="false">G269+D270</f>
        <v>1913.8</v>
      </c>
      <c r="H270" s="82" t="n">
        <f aca="false">H269+D270</f>
        <v>25.7</v>
      </c>
      <c r="I270" s="60" t="s">
        <v>31</v>
      </c>
      <c r="J270" s="8" t="n">
        <v>0</v>
      </c>
      <c r="K270" s="8" t="n">
        <f aca="false">J270+K269</f>
        <v>638.3</v>
      </c>
      <c r="L270" s="8" t="n">
        <v>2.1</v>
      </c>
      <c r="M270" s="8" t="n">
        <f aca="false">M269+L270</f>
        <v>266.6</v>
      </c>
      <c r="N270" s="8" t="n">
        <v>-2.1</v>
      </c>
      <c r="O270" s="8" t="n">
        <f aca="false">O269+N270</f>
        <v>171.5</v>
      </c>
      <c r="P270" s="8" t="n">
        <v>230</v>
      </c>
      <c r="Q270" s="8" t="n">
        <v>1.15</v>
      </c>
      <c r="R270" s="12" t="n">
        <f aca="false">Q270*L270</f>
        <v>2.415</v>
      </c>
      <c r="S270" s="12" t="n">
        <f aca="false">J270-R270</f>
        <v>-2.415</v>
      </c>
      <c r="T270" s="12" t="n">
        <f aca="false">MIN(197.4,T269+S270)</f>
        <v>166.895</v>
      </c>
      <c r="U270" s="60" t="s">
        <v>35</v>
      </c>
      <c r="V270" s="8" t="n">
        <v>1539.6</v>
      </c>
      <c r="X270" s="8" t="n">
        <f aca="false">X269+V270</f>
        <v>141516.8</v>
      </c>
      <c r="Y270" s="82" t="n">
        <f aca="false">Y269+V270</f>
        <v>6014.7</v>
      </c>
      <c r="Z270" s="60" t="s">
        <v>33</v>
      </c>
      <c r="AA270" s="8" t="n">
        <v>13.9937034469721</v>
      </c>
    </row>
    <row r="271" s="8" customFormat="true" ht="15" hidden="false" customHeight="false" outlineLevel="0" collapsed="false">
      <c r="A271" s="58"/>
      <c r="B271" s="15"/>
      <c r="C271" s="59" t="n">
        <v>41387</v>
      </c>
      <c r="D271" s="8" t="n">
        <v>12.5</v>
      </c>
      <c r="E271" s="8" t="n">
        <v>10.7</v>
      </c>
      <c r="F271" s="8" t="n">
        <v>15.8</v>
      </c>
      <c r="G271" s="8" t="n">
        <f aca="false">G270+D271</f>
        <v>1926.3</v>
      </c>
      <c r="H271" s="82" t="n">
        <f aca="false">H270+D271</f>
        <v>38.2</v>
      </c>
      <c r="I271" s="8" t="n">
        <f aca="false">MAX(F268:F295)</f>
        <v>23.6</v>
      </c>
      <c r="J271" s="8" t="n">
        <v>0</v>
      </c>
      <c r="K271" s="8" t="n">
        <f aca="false">J271+K270</f>
        <v>638.3</v>
      </c>
      <c r="L271" s="8" t="n">
        <v>1.5</v>
      </c>
      <c r="M271" s="8" t="n">
        <f aca="false">M270+L271</f>
        <v>268.1</v>
      </c>
      <c r="N271" s="8" t="n">
        <v>-1.5</v>
      </c>
      <c r="O271" s="8" t="n">
        <f aca="false">O270+N271</f>
        <v>170</v>
      </c>
      <c r="P271" s="8" t="n">
        <v>231</v>
      </c>
      <c r="Q271" s="8" t="n">
        <v>1.15</v>
      </c>
      <c r="R271" s="12" t="n">
        <f aca="false">Q271*L271</f>
        <v>1.725</v>
      </c>
      <c r="S271" s="12" t="n">
        <f aca="false">J271-R271</f>
        <v>-1.725</v>
      </c>
      <c r="T271" s="12" t="n">
        <f aca="false">MIN(197.4,T270+S271)</f>
        <v>165.17</v>
      </c>
      <c r="U271" s="8" t="n">
        <v>0</v>
      </c>
      <c r="V271" s="8" t="n">
        <v>738.6</v>
      </c>
      <c r="X271" s="8" t="n">
        <f aca="false">X270+V271</f>
        <v>142255.4</v>
      </c>
      <c r="Y271" s="82" t="n">
        <f aca="false">Y270+V271</f>
        <v>6753.3</v>
      </c>
      <c r="Z271" s="8" t="n">
        <f aca="false">(Z269/100)/I281</f>
        <v>1.33844816484224</v>
      </c>
      <c r="AA271" s="8" t="n">
        <v>14.0483275610059</v>
      </c>
    </row>
    <row r="272" s="8" customFormat="true" ht="15" hidden="false" customHeight="false" outlineLevel="0" collapsed="false">
      <c r="A272" s="58"/>
      <c r="B272" s="15"/>
      <c r="C272" s="59" t="n">
        <v>41388</v>
      </c>
      <c r="D272" s="8" t="n">
        <v>14</v>
      </c>
      <c r="E272" s="8" t="n">
        <v>7.1</v>
      </c>
      <c r="F272" s="8" t="n">
        <v>20.5</v>
      </c>
      <c r="G272" s="8" t="n">
        <f aca="false">G271+D272</f>
        <v>1940.3</v>
      </c>
      <c r="H272" s="82" t="n">
        <f aca="false">H271+D272</f>
        <v>52.2</v>
      </c>
      <c r="I272" s="60" t="s">
        <v>34</v>
      </c>
      <c r="J272" s="8" t="n">
        <v>0</v>
      </c>
      <c r="K272" s="8" t="n">
        <f aca="false">J272+K271</f>
        <v>638.3</v>
      </c>
      <c r="L272" s="8" t="n">
        <v>3.7</v>
      </c>
      <c r="M272" s="8" t="n">
        <f aca="false">M271+L272</f>
        <v>271.8</v>
      </c>
      <c r="N272" s="8" t="n">
        <v>-3.7</v>
      </c>
      <c r="O272" s="8" t="n">
        <f aca="false">O271+N272</f>
        <v>166.3</v>
      </c>
      <c r="P272" s="8" t="n">
        <v>232</v>
      </c>
      <c r="Q272" s="8" t="n">
        <v>1.15</v>
      </c>
      <c r="R272" s="12" t="n">
        <f aca="false">Q272*L272</f>
        <v>4.255</v>
      </c>
      <c r="S272" s="12" t="n">
        <f aca="false">J272-R272</f>
        <v>-4.255</v>
      </c>
      <c r="T272" s="12" t="n">
        <f aca="false">MIN(197.4,T271+S272)</f>
        <v>160.915</v>
      </c>
      <c r="U272" s="60" t="s">
        <v>38</v>
      </c>
      <c r="V272" s="8" t="n">
        <v>2194.4</v>
      </c>
      <c r="X272" s="8" t="n">
        <f aca="false">X271+V272</f>
        <v>144449.8</v>
      </c>
      <c r="Y272" s="82" t="n">
        <f aca="false">Y271+V272</f>
        <v>8947.7</v>
      </c>
      <c r="Z272" s="60" t="s">
        <v>36</v>
      </c>
      <c r="AA272" s="8" t="n">
        <v>14.1026580154747</v>
      </c>
    </row>
    <row r="273" s="8" customFormat="true" ht="15" hidden="false" customHeight="false" outlineLevel="0" collapsed="false">
      <c r="A273" s="58"/>
      <c r="B273" s="15"/>
      <c r="C273" s="59" t="n">
        <v>41389</v>
      </c>
      <c r="D273" s="8" t="n">
        <v>15.9</v>
      </c>
      <c r="E273" s="8" t="n">
        <v>8.4</v>
      </c>
      <c r="F273" s="8" t="n">
        <v>23.6</v>
      </c>
      <c r="G273" s="8" t="n">
        <f aca="false">G272+D273</f>
        <v>1956.2</v>
      </c>
      <c r="H273" s="82" t="n">
        <f aca="false">H272+D273</f>
        <v>68.1</v>
      </c>
      <c r="I273" s="12" t="n">
        <f aca="false">AVERAGE(D268:D295)</f>
        <v>11.0928571428571</v>
      </c>
      <c r="J273" s="8" t="n">
        <v>0</v>
      </c>
      <c r="K273" s="8" t="n">
        <f aca="false">J273+K272</f>
        <v>638.3</v>
      </c>
      <c r="L273" s="8" t="n">
        <v>4.6</v>
      </c>
      <c r="M273" s="8" t="n">
        <f aca="false">M272+L273</f>
        <v>276.4</v>
      </c>
      <c r="N273" s="8" t="n">
        <v>-4.6</v>
      </c>
      <c r="O273" s="8" t="n">
        <f aca="false">O272+N273</f>
        <v>161.7</v>
      </c>
      <c r="P273" s="8" t="n">
        <v>233</v>
      </c>
      <c r="Q273" s="8" t="n">
        <v>1.15</v>
      </c>
      <c r="R273" s="12" t="n">
        <f aca="false">Q273*L273</f>
        <v>5.29</v>
      </c>
      <c r="S273" s="12" t="n">
        <f aca="false">J273-R273</f>
        <v>-5.29</v>
      </c>
      <c r="T273" s="12" t="n">
        <f aca="false">MIN(197.4,T272+S273)</f>
        <v>155.625</v>
      </c>
      <c r="U273" s="12" t="n">
        <f aca="false">MIN(T268:T295)</f>
        <v>120.135</v>
      </c>
      <c r="V273" s="8" t="n">
        <v>2146.1</v>
      </c>
      <c r="X273" s="8" t="n">
        <f aca="false">X272+V273</f>
        <v>146595.9</v>
      </c>
      <c r="Y273" s="82" t="n">
        <f aca="false">Y272+V273</f>
        <v>11093.8</v>
      </c>
      <c r="Z273" s="8" t="n">
        <v>8</v>
      </c>
      <c r="AA273" s="8" t="n">
        <v>14.1566807228112</v>
      </c>
    </row>
    <row r="274" s="8" customFormat="true" ht="15" hidden="false" customHeight="false" outlineLevel="0" collapsed="false">
      <c r="A274" s="58"/>
      <c r="B274" s="15"/>
      <c r="C274" s="59" t="n">
        <v>41390</v>
      </c>
      <c r="D274" s="8" t="n">
        <v>8.9</v>
      </c>
      <c r="E274" s="8" t="n">
        <v>8.5</v>
      </c>
      <c r="F274" s="8" t="n">
        <v>10.9</v>
      </c>
      <c r="G274" s="8" t="n">
        <f aca="false">G273+D274</f>
        <v>1965.1</v>
      </c>
      <c r="H274" s="82" t="n">
        <f aca="false">H273+D274</f>
        <v>77</v>
      </c>
      <c r="I274" s="60" t="s">
        <v>37</v>
      </c>
      <c r="J274" s="8" t="n">
        <v>0</v>
      </c>
      <c r="K274" s="8" t="n">
        <f aca="false">J274+K273</f>
        <v>638.3</v>
      </c>
      <c r="L274" s="8" t="n">
        <v>1.8</v>
      </c>
      <c r="M274" s="8" t="n">
        <f aca="false">M273+L274</f>
        <v>278.2</v>
      </c>
      <c r="N274" s="8" t="n">
        <v>-1.8</v>
      </c>
      <c r="O274" s="8" t="n">
        <f aca="false">O273+N274</f>
        <v>159.9</v>
      </c>
      <c r="P274" s="8" t="n">
        <v>234</v>
      </c>
      <c r="Q274" s="8" t="n">
        <v>1.15</v>
      </c>
      <c r="R274" s="12" t="n">
        <f aca="false">Q274*L274</f>
        <v>2.07</v>
      </c>
      <c r="S274" s="12" t="n">
        <f aca="false">J274-R274</f>
        <v>-2.07</v>
      </c>
      <c r="T274" s="12" t="n">
        <f aca="false">MIN(197.4,T273+S274)</f>
        <v>153.555</v>
      </c>
      <c r="U274" s="60" t="s">
        <v>40</v>
      </c>
      <c r="V274" s="8" t="n">
        <v>1044.7</v>
      </c>
      <c r="X274" s="8" t="n">
        <f aca="false">X273+V274</f>
        <v>147640.6</v>
      </c>
      <c r="Y274" s="82" t="n">
        <f aca="false">Y273+V274</f>
        <v>12138.5</v>
      </c>
      <c r="AA274" s="8" t="n">
        <v>14.2103811121992</v>
      </c>
    </row>
    <row r="275" s="8" customFormat="true" ht="15" hidden="false" customHeight="false" outlineLevel="0" collapsed="false">
      <c r="A275" s="58"/>
      <c r="B275" s="15"/>
      <c r="C275" s="59" t="n">
        <v>41391</v>
      </c>
      <c r="D275" s="8" t="n">
        <v>6.7</v>
      </c>
      <c r="E275" s="8" t="n">
        <v>2.8</v>
      </c>
      <c r="F275" s="8" t="n">
        <v>12.1</v>
      </c>
      <c r="G275" s="8" t="n">
        <f aca="false">G274+D275</f>
        <v>1971.8</v>
      </c>
      <c r="H275" s="82" t="n">
        <f aca="false">H274+D275</f>
        <v>83.7</v>
      </c>
      <c r="I275" s="8" t="n">
        <v>0</v>
      </c>
      <c r="J275" s="8" t="n">
        <v>1</v>
      </c>
      <c r="K275" s="8" t="n">
        <f aca="false">J275+K274</f>
        <v>639.3</v>
      </c>
      <c r="L275" s="8" t="n">
        <v>2.9</v>
      </c>
      <c r="M275" s="8" t="n">
        <f aca="false">M274+L275</f>
        <v>281.1</v>
      </c>
      <c r="N275" s="8" t="n">
        <v>-1.9</v>
      </c>
      <c r="O275" s="8" t="n">
        <f aca="false">O274+N275</f>
        <v>158</v>
      </c>
      <c r="P275" s="8" t="n">
        <v>235</v>
      </c>
      <c r="Q275" s="8" t="n">
        <v>1.15</v>
      </c>
      <c r="R275" s="12" t="n">
        <f aca="false">Q275*L275</f>
        <v>3.335</v>
      </c>
      <c r="S275" s="12" t="n">
        <f aca="false">J275-R275</f>
        <v>-2.335</v>
      </c>
      <c r="T275" s="12" t="n">
        <f aca="false">MIN(197.4,T274+S275)</f>
        <v>151.22</v>
      </c>
      <c r="U275" s="12" t="n">
        <f aca="false">MAX(T268:T295)</f>
        <v>172.76</v>
      </c>
      <c r="V275" s="8" t="n">
        <v>2001.2</v>
      </c>
      <c r="X275" s="8" t="n">
        <f aca="false">X274+V275</f>
        <v>149641.8</v>
      </c>
      <c r="Y275" s="82" t="n">
        <f aca="false">Y274+V275</f>
        <v>14139.7</v>
      </c>
      <c r="AA275" s="8" t="n">
        <v>14.2637441212025</v>
      </c>
    </row>
    <row r="276" s="8" customFormat="true" ht="15" hidden="false" customHeight="false" outlineLevel="0" collapsed="false">
      <c r="A276" s="58"/>
      <c r="B276" s="15"/>
      <c r="C276" s="59" t="n">
        <v>41392</v>
      </c>
      <c r="D276" s="8" t="n">
        <v>7.9</v>
      </c>
      <c r="E276" s="8" t="n">
        <v>3.7</v>
      </c>
      <c r="F276" s="8" t="n">
        <v>13</v>
      </c>
      <c r="G276" s="8" t="n">
        <f aca="false">G275+D276</f>
        <v>1979.7</v>
      </c>
      <c r="H276" s="82" t="n">
        <f aca="false">H275+D276</f>
        <v>91.6</v>
      </c>
      <c r="I276" s="60" t="s">
        <v>39</v>
      </c>
      <c r="J276" s="8" t="n">
        <v>0</v>
      </c>
      <c r="K276" s="8" t="n">
        <f aca="false">J276+K275</f>
        <v>639.3</v>
      </c>
      <c r="L276" s="8" t="n">
        <v>2.9</v>
      </c>
      <c r="M276" s="8" t="n">
        <f aca="false">M275+L276</f>
        <v>284</v>
      </c>
      <c r="N276" s="8" t="n">
        <v>-2.9</v>
      </c>
      <c r="O276" s="8" t="n">
        <f aca="false">O275+N276</f>
        <v>155.1</v>
      </c>
      <c r="P276" s="8" t="n">
        <v>236</v>
      </c>
      <c r="Q276" s="8" t="n">
        <v>1.15</v>
      </c>
      <c r="R276" s="12" t="n">
        <f aca="false">Q276*L276</f>
        <v>3.335</v>
      </c>
      <c r="S276" s="12" t="n">
        <f aca="false">J276-R276</f>
        <v>-3.335</v>
      </c>
      <c r="T276" s="12" t="n">
        <f aca="false">MIN(197.4,T275+S276)</f>
        <v>147.885</v>
      </c>
      <c r="U276" s="60" t="s">
        <v>42</v>
      </c>
      <c r="V276" s="8" t="n">
        <v>1693.8</v>
      </c>
      <c r="X276" s="8" t="n">
        <f aca="false">X275+V276</f>
        <v>151335.6</v>
      </c>
      <c r="Y276" s="82" t="n">
        <f aca="false">Y275+V276</f>
        <v>15833.5</v>
      </c>
      <c r="AA276" s="8" t="n">
        <v>14.3167541883465</v>
      </c>
    </row>
    <row r="277" s="8" customFormat="true" ht="15" hidden="false" customHeight="false" outlineLevel="0" collapsed="false">
      <c r="A277" s="58"/>
      <c r="B277" s="15"/>
      <c r="C277" s="59" t="n">
        <v>41393</v>
      </c>
      <c r="D277" s="8" t="n">
        <v>8.1</v>
      </c>
      <c r="E277" s="8" t="n">
        <v>1.6</v>
      </c>
      <c r="F277" s="8" t="n">
        <v>12.5</v>
      </c>
      <c r="G277" s="8" t="n">
        <f aca="false">G276+D277</f>
        <v>1987.8</v>
      </c>
      <c r="H277" s="82" t="n">
        <f aca="false">H276+D277</f>
        <v>99.7</v>
      </c>
      <c r="I277" s="8" t="n">
        <v>0</v>
      </c>
      <c r="J277" s="8" t="n">
        <v>0</v>
      </c>
      <c r="K277" s="8" t="n">
        <f aca="false">J277+K276</f>
        <v>639.3</v>
      </c>
      <c r="L277" s="8" t="n">
        <v>1.9</v>
      </c>
      <c r="M277" s="8" t="n">
        <f aca="false">M276+L277</f>
        <v>285.9</v>
      </c>
      <c r="N277" s="8" t="n">
        <v>-1.9</v>
      </c>
      <c r="O277" s="8" t="n">
        <f aca="false">O276+N277</f>
        <v>153.2</v>
      </c>
      <c r="P277" s="8" t="n">
        <v>237</v>
      </c>
      <c r="Q277" s="8" t="n">
        <v>1.15</v>
      </c>
      <c r="R277" s="12" t="n">
        <f aca="false">Q277*L277</f>
        <v>2.185</v>
      </c>
      <c r="S277" s="12" t="n">
        <f aca="false">J277-R277</f>
        <v>-2.185</v>
      </c>
      <c r="T277" s="12" t="n">
        <f aca="false">MIN(197.4,T276+S277)</f>
        <v>145.7</v>
      </c>
      <c r="U277" s="18" t="n">
        <f aca="false">AVERAGE(T268:T295)</f>
        <v>143.317678571429</v>
      </c>
      <c r="V277" s="8" t="n">
        <v>1150.5</v>
      </c>
      <c r="X277" s="8" t="n">
        <f aca="false">X276+V277</f>
        <v>152486.1</v>
      </c>
      <c r="Y277" s="82" t="n">
        <f aca="false">Y276+V277</f>
        <v>16984</v>
      </c>
      <c r="AA277" s="8" t="n">
        <v>14.3693952467345</v>
      </c>
    </row>
    <row r="278" s="8" customFormat="true" ht="15" hidden="false" customHeight="false" outlineLevel="0" collapsed="false">
      <c r="A278" s="58"/>
      <c r="B278" s="15"/>
      <c r="C278" s="59" t="n">
        <v>41394</v>
      </c>
      <c r="D278" s="8" t="n">
        <v>11.5</v>
      </c>
      <c r="E278" s="8" t="n">
        <v>6.3</v>
      </c>
      <c r="F278" s="8" t="n">
        <v>16.9</v>
      </c>
      <c r="G278" s="8" t="n">
        <f aca="false">G277+D278</f>
        <v>1999.3</v>
      </c>
      <c r="H278" s="82" t="n">
        <f aca="false">H277+D278</f>
        <v>111.2</v>
      </c>
      <c r="I278" s="60" t="s">
        <v>41</v>
      </c>
      <c r="J278" s="8" t="n">
        <v>0</v>
      </c>
      <c r="K278" s="8" t="n">
        <f aca="false">J278+K277</f>
        <v>639.3</v>
      </c>
      <c r="L278" s="8" t="n">
        <v>4.1</v>
      </c>
      <c r="M278" s="8" t="n">
        <f aca="false">M277+L278</f>
        <v>290</v>
      </c>
      <c r="N278" s="8" t="n">
        <v>-4.1</v>
      </c>
      <c r="O278" s="8" t="n">
        <f aca="false">O277+N278</f>
        <v>149.1</v>
      </c>
      <c r="P278" s="8" t="n">
        <v>238</v>
      </c>
      <c r="Q278" s="8" t="n">
        <v>1.15</v>
      </c>
      <c r="R278" s="12" t="n">
        <f aca="false">Q278*L278</f>
        <v>4.715</v>
      </c>
      <c r="S278" s="12" t="n">
        <f aca="false">J278-R278</f>
        <v>-4.715</v>
      </c>
      <c r="T278" s="12" t="n">
        <f aca="false">MIN(197.4,T277+S278)</f>
        <v>140.985</v>
      </c>
      <c r="V278" s="8" t="n">
        <v>2062.4</v>
      </c>
      <c r="X278" s="8" t="n">
        <f aca="false">X277+V278</f>
        <v>154548.5</v>
      </c>
      <c r="Y278" s="82" t="n">
        <f aca="false">Y277+V278</f>
        <v>19046.4</v>
      </c>
      <c r="AA278" s="8" t="n">
        <v>14.4216507187847</v>
      </c>
    </row>
    <row r="279" s="8" customFormat="true" ht="15" hidden="false" customHeight="false" outlineLevel="0" collapsed="false">
      <c r="A279" s="58"/>
      <c r="B279" s="15"/>
      <c r="C279" s="59" t="n">
        <v>41395</v>
      </c>
      <c r="D279" s="8" t="n">
        <v>9.8</v>
      </c>
      <c r="E279" s="8" t="n">
        <v>8</v>
      </c>
      <c r="F279" s="8" t="n">
        <v>13.2</v>
      </c>
      <c r="G279" s="8" t="n">
        <f aca="false">G278+D279</f>
        <v>2009.1</v>
      </c>
      <c r="H279" s="82" t="n">
        <f aca="false">H278+D279</f>
        <v>121</v>
      </c>
      <c r="I279" s="8" t="n">
        <v>6</v>
      </c>
      <c r="J279" s="8" t="n">
        <v>12.3</v>
      </c>
      <c r="K279" s="8" t="n">
        <f aca="false">J279+K278</f>
        <v>651.6</v>
      </c>
      <c r="L279" s="8" t="n">
        <v>1.7</v>
      </c>
      <c r="M279" s="8" t="n">
        <f aca="false">M278+L279</f>
        <v>291.7</v>
      </c>
      <c r="N279" s="8" t="n">
        <v>10.6</v>
      </c>
      <c r="O279" s="8" t="n">
        <f aca="false">O278+N279</f>
        <v>159.7</v>
      </c>
      <c r="P279" s="8" t="n">
        <v>239</v>
      </c>
      <c r="Q279" s="8" t="n">
        <v>1.15</v>
      </c>
      <c r="R279" s="12" t="n">
        <f aca="false">Q279*L279</f>
        <v>1.955</v>
      </c>
      <c r="S279" s="12" t="n">
        <f aca="false">J279-R279</f>
        <v>10.345</v>
      </c>
      <c r="T279" s="12" t="n">
        <f aca="false">MIN(197.4,T278+S279)</f>
        <v>151.33</v>
      </c>
      <c r="U279" s="12" t="n">
        <f aca="false">(U277*100)/197.4</f>
        <v>72.6026740483428</v>
      </c>
      <c r="V279" s="8" t="n">
        <v>629.4</v>
      </c>
      <c r="X279" s="8" t="n">
        <f aca="false">X278+V279</f>
        <v>155177.9</v>
      </c>
      <c r="Y279" s="82" t="n">
        <f aca="false">Y278+V279</f>
        <v>19675.8</v>
      </c>
      <c r="AA279" s="8" t="n">
        <v>14.4735035121777</v>
      </c>
    </row>
    <row r="280" s="8" customFormat="true" ht="15" hidden="false" customHeight="false" outlineLevel="0" collapsed="false">
      <c r="A280" s="58"/>
      <c r="B280" s="15"/>
      <c r="C280" s="59" t="n">
        <v>41396</v>
      </c>
      <c r="D280" s="8" t="n">
        <v>9.1</v>
      </c>
      <c r="E280" s="8" t="n">
        <v>8.1</v>
      </c>
      <c r="F280" s="8" t="n">
        <v>10.2</v>
      </c>
      <c r="G280" s="8" t="n">
        <f aca="false">G279+D280</f>
        <v>2018.2</v>
      </c>
      <c r="H280" s="82" t="n">
        <f aca="false">H279+D280</f>
        <v>130.1</v>
      </c>
      <c r="I280" s="60" t="s">
        <v>43</v>
      </c>
      <c r="J280" s="8" t="n">
        <v>0</v>
      </c>
      <c r="K280" s="8" t="n">
        <f aca="false">J280+K279</f>
        <v>651.6</v>
      </c>
      <c r="L280" s="8" t="n">
        <v>0.8</v>
      </c>
      <c r="M280" s="8" t="n">
        <f aca="false">M279+L280</f>
        <v>292.5</v>
      </c>
      <c r="N280" s="8" t="n">
        <v>-0.8</v>
      </c>
      <c r="O280" s="8" t="n">
        <f aca="false">O279+N280</f>
        <v>158.9</v>
      </c>
      <c r="P280" s="8" t="n">
        <v>240</v>
      </c>
      <c r="Q280" s="8" t="n">
        <v>1.15</v>
      </c>
      <c r="R280" s="12" t="n">
        <f aca="false">Q280*L280</f>
        <v>0.92</v>
      </c>
      <c r="S280" s="12" t="n">
        <f aca="false">J280-R280</f>
        <v>-0.92</v>
      </c>
      <c r="T280" s="12" t="n">
        <f aca="false">MIN(197.4,T279+S280)</f>
        <v>150.41</v>
      </c>
      <c r="V280" s="8" t="n">
        <v>573.5</v>
      </c>
      <c r="X280" s="8" t="n">
        <f aca="false">X279+V280</f>
        <v>155751.4</v>
      </c>
      <c r="Y280" s="82" t="n">
        <f aca="false">Y279+V280</f>
        <v>20249.3</v>
      </c>
      <c r="AA280" s="8" t="n">
        <v>14.5249360171082</v>
      </c>
    </row>
    <row r="281" s="8" customFormat="true" ht="15" hidden="false" customHeight="false" outlineLevel="0" collapsed="false">
      <c r="A281" s="58"/>
      <c r="B281" s="15"/>
      <c r="C281" s="59" t="n">
        <v>41397</v>
      </c>
      <c r="D281" s="8" t="n">
        <v>11.1</v>
      </c>
      <c r="E281" s="8" t="n">
        <v>6</v>
      </c>
      <c r="F281" s="8" t="n">
        <v>17.9</v>
      </c>
      <c r="G281" s="8" t="n">
        <f aca="false">G280+D281</f>
        <v>2029.3</v>
      </c>
      <c r="H281" s="82" t="n">
        <f aca="false">H280+D281</f>
        <v>141.2</v>
      </c>
      <c r="I281" s="8" t="n">
        <v>310.6</v>
      </c>
      <c r="J281" s="8" t="n">
        <v>0</v>
      </c>
      <c r="K281" s="8" t="n">
        <f aca="false">J281+K280</f>
        <v>651.6</v>
      </c>
      <c r="L281" s="8" t="n">
        <v>3.8</v>
      </c>
      <c r="M281" s="8" t="n">
        <f aca="false">M280+L281</f>
        <v>296.3</v>
      </c>
      <c r="N281" s="8" t="n">
        <v>-3.8</v>
      </c>
      <c r="O281" s="8" t="n">
        <f aca="false">O280+N281</f>
        <v>155.1</v>
      </c>
      <c r="P281" s="8" t="n">
        <v>241</v>
      </c>
      <c r="Q281" s="8" t="n">
        <v>1.15</v>
      </c>
      <c r="R281" s="12" t="n">
        <f aca="false">Q281*L281</f>
        <v>4.37</v>
      </c>
      <c r="S281" s="12" t="n">
        <f aca="false">J281-R281</f>
        <v>-4.37</v>
      </c>
      <c r="T281" s="12" t="n">
        <f aca="false">MIN(197.4,T280+S281)</f>
        <v>146.04</v>
      </c>
      <c r="V281" s="8" t="n">
        <v>2349.8</v>
      </c>
      <c r="X281" s="8" t="n">
        <f aca="false">X280+V281</f>
        <v>158101.2</v>
      </c>
      <c r="Y281" s="82" t="n">
        <f aca="false">Y280+V281</f>
        <v>22599.1</v>
      </c>
      <c r="AA281" s="8" t="n">
        <v>14.5759301049357</v>
      </c>
    </row>
    <row r="282" s="8" customFormat="true" ht="15" hidden="false" customHeight="false" outlineLevel="0" collapsed="false">
      <c r="A282" s="58"/>
      <c r="B282" s="15"/>
      <c r="C282" s="59" t="n">
        <v>41398</v>
      </c>
      <c r="D282" s="8" t="n">
        <v>11.2</v>
      </c>
      <c r="E282" s="8" t="n">
        <v>4.6</v>
      </c>
      <c r="F282" s="8" t="n">
        <v>16.8</v>
      </c>
      <c r="G282" s="8" t="n">
        <f aca="false">G281+D282</f>
        <v>2040.5</v>
      </c>
      <c r="H282" s="82" t="n">
        <f aca="false">H281+D282</f>
        <v>152.4</v>
      </c>
      <c r="J282" s="8" t="n">
        <v>0</v>
      </c>
      <c r="K282" s="8" t="n">
        <f aca="false">J282+K281</f>
        <v>651.6</v>
      </c>
      <c r="L282" s="8" t="n">
        <v>2.8</v>
      </c>
      <c r="M282" s="8" t="n">
        <f aca="false">M281+L282</f>
        <v>299.1</v>
      </c>
      <c r="N282" s="8" t="n">
        <v>-2.8</v>
      </c>
      <c r="O282" s="8" t="n">
        <f aca="false">O281+N282</f>
        <v>152.3</v>
      </c>
      <c r="P282" s="8" t="n">
        <v>242</v>
      </c>
      <c r="Q282" s="8" t="n">
        <v>1.15</v>
      </c>
      <c r="R282" s="12" t="n">
        <f aca="false">Q282*L282</f>
        <v>3.22</v>
      </c>
      <c r="S282" s="12" t="n">
        <f aca="false">J282-R282</f>
        <v>-3.22</v>
      </c>
      <c r="T282" s="12" t="n">
        <f aca="false">MIN(197.4,T281+S282)</f>
        <v>142.82</v>
      </c>
      <c r="V282" s="8" t="n">
        <v>1969.3</v>
      </c>
      <c r="X282" s="8" t="n">
        <f aca="false">X281+V282</f>
        <v>160070.5</v>
      </c>
      <c r="Y282" s="82" t="n">
        <f aca="false">Y281+V282</f>
        <v>24568.4</v>
      </c>
      <c r="AA282" s="8" t="n">
        <v>14.6264671283348</v>
      </c>
    </row>
    <row r="283" s="8" customFormat="true" ht="15" hidden="false" customHeight="false" outlineLevel="0" collapsed="false">
      <c r="A283" s="58"/>
      <c r="B283" s="15"/>
      <c r="C283" s="59" t="n">
        <v>41399</v>
      </c>
      <c r="D283" s="8" t="n">
        <v>14.2</v>
      </c>
      <c r="E283" s="8" t="n">
        <v>9.1</v>
      </c>
      <c r="F283" s="8" t="n">
        <v>18.9</v>
      </c>
      <c r="G283" s="8" t="n">
        <f aca="false">G282+D283</f>
        <v>2054.7</v>
      </c>
      <c r="H283" s="82" t="n">
        <f aca="false">H282+D283</f>
        <v>166.6</v>
      </c>
      <c r="J283" s="8" t="n">
        <v>0</v>
      </c>
      <c r="K283" s="8" t="n">
        <f aca="false">J283+K282</f>
        <v>651.6</v>
      </c>
      <c r="L283" s="8" t="n">
        <v>1.4</v>
      </c>
      <c r="M283" s="8" t="n">
        <f aca="false">M282+L283</f>
        <v>300.5</v>
      </c>
      <c r="N283" s="8" t="n">
        <v>-1.4</v>
      </c>
      <c r="O283" s="8" t="n">
        <f aca="false">O282+N283</f>
        <v>150.9</v>
      </c>
      <c r="P283" s="8" t="n">
        <v>243</v>
      </c>
      <c r="Q283" s="8" t="n">
        <v>1.15</v>
      </c>
      <c r="R283" s="12" t="n">
        <f aca="false">Q283*L283</f>
        <v>1.61</v>
      </c>
      <c r="S283" s="12" t="n">
        <f aca="false">J283-R283</f>
        <v>-1.61</v>
      </c>
      <c r="T283" s="12" t="n">
        <f aca="false">MIN(197.4,T282+S283)</f>
        <v>141.21</v>
      </c>
      <c r="V283" s="8" t="n">
        <v>877</v>
      </c>
      <c r="X283" s="8" t="n">
        <f aca="false">X282+V283</f>
        <v>160947.5</v>
      </c>
      <c r="Y283" s="82" t="n">
        <f aca="false">Y282+V283</f>
        <v>25445.4</v>
      </c>
      <c r="AA283" s="8" t="n">
        <v>14.6765279230442</v>
      </c>
    </row>
    <row r="284" s="8" customFormat="true" ht="15" hidden="false" customHeight="false" outlineLevel="0" collapsed="false">
      <c r="A284" s="58"/>
      <c r="B284" s="15"/>
      <c r="C284" s="59" t="n">
        <v>41400</v>
      </c>
      <c r="D284" s="8" t="n">
        <v>15</v>
      </c>
      <c r="E284" s="8" t="n">
        <v>8.5</v>
      </c>
      <c r="F284" s="8" t="n">
        <v>21.9</v>
      </c>
      <c r="G284" s="8" t="n">
        <f aca="false">G283+D284</f>
        <v>2069.7</v>
      </c>
      <c r="H284" s="82" t="n">
        <f aca="false">H283+D284</f>
        <v>181.6</v>
      </c>
      <c r="J284" s="8" t="n">
        <v>0</v>
      </c>
      <c r="K284" s="8" t="n">
        <f aca="false">J284+K283</f>
        <v>651.6</v>
      </c>
      <c r="L284" s="8" t="n">
        <v>3.5</v>
      </c>
      <c r="M284" s="8" t="n">
        <f aca="false">M283+L284</f>
        <v>304</v>
      </c>
      <c r="N284" s="8" t="n">
        <v>-3.5</v>
      </c>
      <c r="O284" s="8" t="n">
        <f aca="false">O283+N284</f>
        <v>147.4</v>
      </c>
      <c r="P284" s="8" t="n">
        <v>244</v>
      </c>
      <c r="Q284" s="8" t="n">
        <v>1.15</v>
      </c>
      <c r="R284" s="12" t="n">
        <f aca="false">Q284*L284</f>
        <v>4.025</v>
      </c>
      <c r="S284" s="12" t="n">
        <f aca="false">J284-R284</f>
        <v>-4.025</v>
      </c>
      <c r="T284" s="12" t="n">
        <f aca="false">MIN(197.4,T283+S284)</f>
        <v>137.185</v>
      </c>
      <c r="V284" s="8" t="n">
        <v>2021.1</v>
      </c>
      <c r="X284" s="8" t="n">
        <f aca="false">X283+V284</f>
        <v>162968.6</v>
      </c>
      <c r="Y284" s="82" t="n">
        <f aca="false">Y283+V284</f>
        <v>27466.5</v>
      </c>
      <c r="AA284" s="8" t="n">
        <v>14.7260928113191</v>
      </c>
    </row>
    <row r="285" s="8" customFormat="true" ht="15" hidden="false" customHeight="false" outlineLevel="0" collapsed="false">
      <c r="A285" s="58"/>
      <c r="B285" s="15"/>
      <c r="C285" s="59" t="n">
        <v>41401</v>
      </c>
      <c r="D285" s="8" t="n">
        <v>16.3</v>
      </c>
      <c r="E285" s="8" t="n">
        <v>11.5</v>
      </c>
      <c r="F285" s="8" t="n">
        <v>22.6</v>
      </c>
      <c r="G285" s="8" t="n">
        <f aca="false">G284+D285</f>
        <v>2086</v>
      </c>
      <c r="H285" s="82" t="n">
        <f aca="false">H284+D285</f>
        <v>197.9</v>
      </c>
      <c r="J285" s="8" t="n">
        <v>4.1</v>
      </c>
      <c r="K285" s="8" t="n">
        <f aca="false">J285+K284</f>
        <v>655.7</v>
      </c>
      <c r="L285" s="8" t="n">
        <v>3</v>
      </c>
      <c r="M285" s="8" t="n">
        <f aca="false">M284+L285</f>
        <v>307</v>
      </c>
      <c r="N285" s="8" t="n">
        <v>1.1</v>
      </c>
      <c r="O285" s="8" t="n">
        <f aca="false">O284+N285</f>
        <v>148.5</v>
      </c>
      <c r="P285" s="8" t="n">
        <v>245</v>
      </c>
      <c r="Q285" s="8" t="n">
        <v>1.15</v>
      </c>
      <c r="R285" s="12" t="n">
        <f aca="false">Q285*L285</f>
        <v>3.45</v>
      </c>
      <c r="S285" s="12" t="n">
        <f aca="false">J285-R285</f>
        <v>0.65</v>
      </c>
      <c r="T285" s="12" t="n">
        <f aca="false">MIN(197.4,T284+S285)</f>
        <v>137.835</v>
      </c>
      <c r="V285" s="8" t="n">
        <v>1449.7</v>
      </c>
      <c r="X285" s="8" t="n">
        <f aca="false">X284+V285</f>
        <v>164418.3</v>
      </c>
      <c r="Y285" s="82" t="n">
        <f aca="false">Y284+V285</f>
        <v>28916.2</v>
      </c>
      <c r="AA285" s="8" t="n">
        <v>14.7751416071881</v>
      </c>
    </row>
    <row r="286" s="8" customFormat="true" ht="15" hidden="false" customHeight="false" outlineLevel="0" collapsed="false">
      <c r="A286" s="58"/>
      <c r="B286" s="15"/>
      <c r="C286" s="59" t="n">
        <v>41402</v>
      </c>
      <c r="D286" s="8" t="n">
        <v>13.8</v>
      </c>
      <c r="E286" s="8" t="n">
        <v>13.6</v>
      </c>
      <c r="F286" s="8" t="n">
        <v>16.5</v>
      </c>
      <c r="G286" s="8" t="n">
        <f aca="false">G285+D286</f>
        <v>2099.8</v>
      </c>
      <c r="H286" s="82" t="n">
        <f aca="false">H285+D286</f>
        <v>211.7</v>
      </c>
      <c r="J286" s="8" t="n">
        <v>0.1</v>
      </c>
      <c r="K286" s="8" t="n">
        <f aca="false">J286+K285</f>
        <v>655.8</v>
      </c>
      <c r="L286" s="8" t="n">
        <v>1.6</v>
      </c>
      <c r="M286" s="8" t="n">
        <f aca="false">M285+L286</f>
        <v>308.6</v>
      </c>
      <c r="N286" s="8" t="n">
        <v>-1.5</v>
      </c>
      <c r="O286" s="8" t="n">
        <f aca="false">O285+N286</f>
        <v>147</v>
      </c>
      <c r="P286" s="8" t="n">
        <v>246</v>
      </c>
      <c r="Q286" s="8" t="n">
        <v>1.15</v>
      </c>
      <c r="R286" s="12" t="n">
        <f aca="false">Q286*L286</f>
        <v>1.84</v>
      </c>
      <c r="S286" s="12" t="n">
        <f aca="false">J286-R286</f>
        <v>-1.74</v>
      </c>
      <c r="T286" s="12" t="n">
        <f aca="false">MIN(197.4,T285+S286)</f>
        <v>136.095</v>
      </c>
      <c r="V286" s="8" t="n">
        <v>596.5</v>
      </c>
      <c r="X286" s="8" t="n">
        <f aca="false">X285+V286</f>
        <v>165014.8</v>
      </c>
      <c r="Y286" s="82" t="n">
        <f aca="false">Y285+V286</f>
        <v>29512.7</v>
      </c>
      <c r="AA286" s="8" t="n">
        <v>14.8236536236216</v>
      </c>
    </row>
    <row r="287" s="8" customFormat="true" ht="15" hidden="false" customHeight="false" outlineLevel="0" collapsed="false">
      <c r="A287" s="58"/>
      <c r="B287" s="15"/>
      <c r="C287" s="59" t="n">
        <v>41403</v>
      </c>
      <c r="D287" s="8" t="n">
        <v>11.3</v>
      </c>
      <c r="E287" s="8" t="n">
        <v>7.6</v>
      </c>
      <c r="F287" s="8" t="n">
        <v>15.3</v>
      </c>
      <c r="G287" s="8" t="n">
        <f aca="false">G286+D287</f>
        <v>2111.1</v>
      </c>
      <c r="H287" s="82" t="n">
        <f aca="false">H286+D287</f>
        <v>223</v>
      </c>
      <c r="J287" s="8" t="n">
        <v>0</v>
      </c>
      <c r="K287" s="8" t="n">
        <f aca="false">J287+K286</f>
        <v>655.8</v>
      </c>
      <c r="L287" s="8" t="n">
        <v>3.3</v>
      </c>
      <c r="M287" s="8" t="n">
        <f aca="false">M286+L287</f>
        <v>311.9</v>
      </c>
      <c r="N287" s="8" t="n">
        <v>-3.3</v>
      </c>
      <c r="O287" s="8" t="n">
        <f aca="false">O286+N287</f>
        <v>143.7</v>
      </c>
      <c r="P287" s="8" t="n">
        <v>247</v>
      </c>
      <c r="Q287" s="8" t="n">
        <v>1.15</v>
      </c>
      <c r="R287" s="12" t="n">
        <f aca="false">Q287*L287</f>
        <v>3.795</v>
      </c>
      <c r="S287" s="12" t="n">
        <f aca="false">J287-R287</f>
        <v>-3.795</v>
      </c>
      <c r="T287" s="12" t="n">
        <f aca="false">MIN(197.4,T286+S287)</f>
        <v>132.3</v>
      </c>
      <c r="V287" s="8" t="n">
        <v>1801.7</v>
      </c>
      <c r="X287" s="8" t="n">
        <f aca="false">X286+V287</f>
        <v>166816.5</v>
      </c>
      <c r="Y287" s="82" t="n">
        <f aca="false">Y286+V287</f>
        <v>31314.4</v>
      </c>
      <c r="AA287" s="8" t="n">
        <v>14.8716076817126</v>
      </c>
    </row>
    <row r="288" s="8" customFormat="true" ht="15" hidden="false" customHeight="false" outlineLevel="0" collapsed="false">
      <c r="A288" s="58"/>
      <c r="B288" s="15"/>
      <c r="C288" s="59" t="n">
        <v>41404</v>
      </c>
      <c r="D288" s="8" t="n">
        <v>12.2</v>
      </c>
      <c r="E288" s="8" t="n">
        <v>9.9</v>
      </c>
      <c r="F288" s="8" t="n">
        <v>14.4</v>
      </c>
      <c r="G288" s="8" t="n">
        <f aca="false">G287+D288</f>
        <v>2123.3</v>
      </c>
      <c r="H288" s="82" t="n">
        <f aca="false">H287+D288</f>
        <v>235.2</v>
      </c>
      <c r="J288" s="8" t="n">
        <v>1</v>
      </c>
      <c r="K288" s="8" t="n">
        <f aca="false">J288+K287</f>
        <v>656.8</v>
      </c>
      <c r="L288" s="8" t="n">
        <v>1.5</v>
      </c>
      <c r="M288" s="8" t="n">
        <f aca="false">M287+L288</f>
        <v>313.4</v>
      </c>
      <c r="N288" s="8" t="n">
        <v>-0.5</v>
      </c>
      <c r="O288" s="8" t="n">
        <f aca="false">O287+N288</f>
        <v>143.2</v>
      </c>
      <c r="P288" s="8" t="n">
        <v>248</v>
      </c>
      <c r="Q288" s="8" t="n">
        <v>1.15</v>
      </c>
      <c r="R288" s="12" t="n">
        <f aca="false">Q288*L288</f>
        <v>1.725</v>
      </c>
      <c r="S288" s="12" t="n">
        <f aca="false">J288-R288</f>
        <v>-0.725</v>
      </c>
      <c r="T288" s="12" t="n">
        <f aca="false">MIN(197.4,T287+S288)</f>
        <v>131.575</v>
      </c>
      <c r="V288" s="8" t="n">
        <v>745.6</v>
      </c>
      <c r="X288" s="8" t="n">
        <f aca="false">X287+V288</f>
        <v>167562.1</v>
      </c>
      <c r="Y288" s="82" t="n">
        <f aca="false">Y287+V288</f>
        <v>32060</v>
      </c>
      <c r="AA288" s="8" t="n">
        <v>14.9189821219744</v>
      </c>
    </row>
    <row r="289" s="8" customFormat="true" ht="15" hidden="false" customHeight="false" outlineLevel="0" collapsed="false">
      <c r="A289" s="58"/>
      <c r="B289" s="15"/>
      <c r="C289" s="59" t="n">
        <v>41405</v>
      </c>
      <c r="D289" s="8" t="n">
        <v>11.6</v>
      </c>
      <c r="E289" s="8" t="n">
        <v>9.9</v>
      </c>
      <c r="F289" s="8" t="n">
        <v>14.8</v>
      </c>
      <c r="G289" s="8" t="n">
        <f aca="false">G288+D289</f>
        <v>2134.9</v>
      </c>
      <c r="H289" s="82" t="n">
        <f aca="false">H288+D289</f>
        <v>246.8</v>
      </c>
      <c r="J289" s="8" t="n">
        <v>0.6</v>
      </c>
      <c r="K289" s="8" t="n">
        <f aca="false">J289+K288</f>
        <v>657.4</v>
      </c>
      <c r="L289" s="8" t="n">
        <v>3.3</v>
      </c>
      <c r="M289" s="8" t="n">
        <f aca="false">M288+L289</f>
        <v>316.7</v>
      </c>
      <c r="N289" s="8" t="n">
        <v>-2.7</v>
      </c>
      <c r="O289" s="8" t="n">
        <f aca="false">O288+N289</f>
        <v>140.5</v>
      </c>
      <c r="P289" s="8" t="n">
        <v>249</v>
      </c>
      <c r="Q289" s="8" t="n">
        <v>1.15</v>
      </c>
      <c r="R289" s="12" t="n">
        <f aca="false">Q289*L289</f>
        <v>3.795</v>
      </c>
      <c r="S289" s="12" t="n">
        <f aca="false">J289-R289</f>
        <v>-3.195</v>
      </c>
      <c r="T289" s="12" t="n">
        <f aca="false">MIN(197.4,T288+S289)</f>
        <v>128.38</v>
      </c>
      <c r="V289" s="8" t="n">
        <v>2014.8</v>
      </c>
      <c r="X289" s="8" t="n">
        <f aca="false">X288+V289</f>
        <v>169576.9</v>
      </c>
      <c r="Y289" s="82" t="n">
        <f aca="false">Y288+V289</f>
        <v>34074.8</v>
      </c>
      <c r="AA289" s="8" t="n">
        <v>14.9657548178534</v>
      </c>
    </row>
    <row r="290" s="8" customFormat="true" ht="15" hidden="false" customHeight="false" outlineLevel="0" collapsed="false">
      <c r="A290" s="58"/>
      <c r="B290" s="15"/>
      <c r="C290" s="59" t="n">
        <v>41406</v>
      </c>
      <c r="D290" s="8" t="n">
        <v>11.5</v>
      </c>
      <c r="E290" s="8" t="n">
        <v>8.2</v>
      </c>
      <c r="F290" s="8" t="n">
        <v>13.7</v>
      </c>
      <c r="G290" s="8" t="n">
        <f aca="false">G289+D290</f>
        <v>2146.4</v>
      </c>
      <c r="H290" s="82" t="n">
        <f aca="false">H289+D290</f>
        <v>258.3</v>
      </c>
      <c r="J290" s="8" t="n">
        <v>0</v>
      </c>
      <c r="K290" s="8" t="n">
        <f aca="false">J290+K289</f>
        <v>657.4</v>
      </c>
      <c r="L290" s="8" t="n">
        <v>1.7</v>
      </c>
      <c r="M290" s="8" t="n">
        <f aca="false">M289+L290</f>
        <v>318.4</v>
      </c>
      <c r="N290" s="8" t="n">
        <v>-1.7</v>
      </c>
      <c r="O290" s="8" t="n">
        <f aca="false">O289+N290</f>
        <v>138.8</v>
      </c>
      <c r="P290" s="8" t="n">
        <v>250</v>
      </c>
      <c r="Q290" s="8" t="n">
        <v>1.15</v>
      </c>
      <c r="R290" s="12" t="n">
        <f aca="false">Q290*L290</f>
        <v>1.955</v>
      </c>
      <c r="S290" s="12" t="n">
        <f aca="false">J290-R290</f>
        <v>-1.955</v>
      </c>
      <c r="T290" s="12" t="n">
        <f aca="false">MIN(197.4,T289+S290)</f>
        <v>126.425</v>
      </c>
      <c r="V290" s="8" t="n">
        <v>935</v>
      </c>
      <c r="X290" s="8" t="n">
        <f aca="false">X289+V290</f>
        <v>170511.9</v>
      </c>
      <c r="Y290" s="82" t="n">
        <f aca="false">Y289+V290</f>
        <v>35009.8</v>
      </c>
      <c r="AA290" s="8" t="n">
        <v>15.0119031915551</v>
      </c>
    </row>
    <row r="291" s="8" customFormat="true" ht="15" hidden="false" customHeight="false" outlineLevel="0" collapsed="false">
      <c r="A291" s="58"/>
      <c r="B291" s="15"/>
      <c r="C291" s="59" t="n">
        <v>41407</v>
      </c>
      <c r="D291" s="8" t="n">
        <v>13.1</v>
      </c>
      <c r="E291" s="8" t="n">
        <v>11.5</v>
      </c>
      <c r="F291" s="8" t="n">
        <v>16.3</v>
      </c>
      <c r="G291" s="8" t="n">
        <f aca="false">G290+D291</f>
        <v>2159.5</v>
      </c>
      <c r="H291" s="82" t="n">
        <f aca="false">H290+D291</f>
        <v>271.4</v>
      </c>
      <c r="J291" s="8" t="n">
        <v>0</v>
      </c>
      <c r="K291" s="8" t="n">
        <f aca="false">J291+K290</f>
        <v>657.4</v>
      </c>
      <c r="L291" s="8" t="n">
        <v>1.9</v>
      </c>
      <c r="M291" s="8" t="n">
        <f aca="false">M290+L291</f>
        <v>320.3</v>
      </c>
      <c r="N291" s="8" t="n">
        <v>-1.9</v>
      </c>
      <c r="O291" s="8" t="n">
        <f aca="false">O290+N291</f>
        <v>136.9</v>
      </c>
      <c r="P291" s="8" t="n">
        <v>251</v>
      </c>
      <c r="Q291" s="8" t="n">
        <v>1.15</v>
      </c>
      <c r="R291" s="12" t="n">
        <f aca="false">Q291*L291</f>
        <v>2.185</v>
      </c>
      <c r="S291" s="12" t="n">
        <f aca="false">J291-R291</f>
        <v>-2.185</v>
      </c>
      <c r="T291" s="12" t="n">
        <f aca="false">MIN(197.4,T290+S291)</f>
        <v>124.24</v>
      </c>
      <c r="V291" s="8" t="n">
        <v>641.7</v>
      </c>
      <c r="X291" s="8" t="n">
        <f aca="false">X290+V291</f>
        <v>171153.6</v>
      </c>
      <c r="Y291" s="82" t="n">
        <f aca="false">Y290+V291</f>
        <v>35651.5</v>
      </c>
      <c r="AA291" s="8" t="n">
        <v>15.0574042322748</v>
      </c>
    </row>
    <row r="292" s="8" customFormat="true" ht="15" hidden="false" customHeight="false" outlineLevel="0" collapsed="false">
      <c r="A292" s="58"/>
      <c r="B292" s="15"/>
      <c r="C292" s="59" t="n">
        <v>41408</v>
      </c>
      <c r="D292" s="8" t="n">
        <v>9.9</v>
      </c>
      <c r="E292" s="8" t="n">
        <v>8.3</v>
      </c>
      <c r="F292" s="8" t="n">
        <v>11.6</v>
      </c>
      <c r="G292" s="8" t="n">
        <f aca="false">G291+D292</f>
        <v>2169.4</v>
      </c>
      <c r="H292" s="82" t="n">
        <f aca="false">H291+D292</f>
        <v>281.3</v>
      </c>
      <c r="J292" s="8" t="n">
        <v>4</v>
      </c>
      <c r="K292" s="8" t="n">
        <f aca="false">J292+K291</f>
        <v>661.4</v>
      </c>
      <c r="L292" s="8" t="n">
        <v>1.4</v>
      </c>
      <c r="M292" s="8" t="n">
        <f aca="false">M291+L292</f>
        <v>321.7</v>
      </c>
      <c r="N292" s="8" t="n">
        <v>2.6</v>
      </c>
      <c r="O292" s="8" t="n">
        <f aca="false">O291+N292</f>
        <v>139.5</v>
      </c>
      <c r="P292" s="8" t="n">
        <v>252</v>
      </c>
      <c r="Q292" s="8" t="n">
        <v>1.15</v>
      </c>
      <c r="R292" s="12" t="n">
        <f aca="false">Q292*L292</f>
        <v>1.61</v>
      </c>
      <c r="S292" s="12" t="n">
        <f aca="false">J292-R292</f>
        <v>2.39</v>
      </c>
      <c r="T292" s="12" t="n">
        <f aca="false">MIN(197.4,T291+S292)</f>
        <v>126.63</v>
      </c>
      <c r="V292" s="8" t="n">
        <v>747.6</v>
      </c>
      <c r="W292" s="43"/>
      <c r="X292" s="8" t="n">
        <f aca="false">X291+V292</f>
        <v>171901.2</v>
      </c>
      <c r="Y292" s="82" t="n">
        <f aca="false">Y291+V292</f>
        <v>36399.1</v>
      </c>
      <c r="AA292" s="8" t="n">
        <v>15.1022345169196</v>
      </c>
    </row>
    <row r="293" s="8" customFormat="true" ht="15" hidden="false" customHeight="true" outlineLevel="0" collapsed="false">
      <c r="A293" s="58"/>
      <c r="B293" s="15"/>
      <c r="C293" s="59" t="n">
        <v>41409</v>
      </c>
      <c r="D293" s="8" t="n">
        <v>8.6</v>
      </c>
      <c r="E293" s="8" t="n">
        <v>6.4</v>
      </c>
      <c r="F293" s="8" t="n">
        <v>10.6</v>
      </c>
      <c r="G293" s="8" t="n">
        <f aca="false">G292+D293</f>
        <v>2178</v>
      </c>
      <c r="H293" s="82" t="n">
        <f aca="false">H292+D293</f>
        <v>289.9</v>
      </c>
      <c r="J293" s="8" t="n">
        <v>1.2</v>
      </c>
      <c r="K293" s="8" t="n">
        <f aca="false">J293+K292</f>
        <v>662.6</v>
      </c>
      <c r="L293" s="8" t="n">
        <v>1.9</v>
      </c>
      <c r="M293" s="8" t="n">
        <f aca="false">M292+L293</f>
        <v>323.6</v>
      </c>
      <c r="N293" s="8" t="n">
        <v>-0.7</v>
      </c>
      <c r="O293" s="8" t="n">
        <f aca="false">O292+N293</f>
        <v>138.8</v>
      </c>
      <c r="P293" s="8" t="n">
        <v>253</v>
      </c>
      <c r="Q293" s="8" t="n">
        <v>1.15</v>
      </c>
      <c r="R293" s="12" t="n">
        <f aca="false">Q293*L293</f>
        <v>2.185</v>
      </c>
      <c r="S293" s="12" t="n">
        <f aca="false">J293-R293</f>
        <v>-0.985</v>
      </c>
      <c r="T293" s="12" t="n">
        <f aca="false">MIN(197.4,T292+S293)</f>
        <v>125.645</v>
      </c>
      <c r="U293" s="46"/>
      <c r="V293" s="8" t="n">
        <v>1496.3</v>
      </c>
      <c r="X293" s="8" t="n">
        <f aca="false">X292+V293</f>
        <v>173397.5</v>
      </c>
      <c r="Y293" s="82" t="n">
        <f aca="false">Y292+V293</f>
        <v>37895.4</v>
      </c>
      <c r="AA293" s="8" t="n">
        <v>15.1463702334015</v>
      </c>
    </row>
    <row r="294" s="8" customFormat="true" ht="15" hidden="false" customHeight="false" outlineLevel="0" collapsed="false">
      <c r="A294" s="58"/>
      <c r="B294" s="15"/>
      <c r="C294" s="59" t="n">
        <v>41410</v>
      </c>
      <c r="D294" s="8" t="n">
        <v>9.6</v>
      </c>
      <c r="E294" s="8" t="n">
        <v>5.6</v>
      </c>
      <c r="F294" s="8" t="n">
        <v>13.5</v>
      </c>
      <c r="G294" s="8" t="n">
        <f aca="false">G293+D294</f>
        <v>2187.6</v>
      </c>
      <c r="H294" s="82" t="n">
        <f aca="false">H293+D294</f>
        <v>299.5</v>
      </c>
      <c r="J294" s="8" t="n">
        <v>0.7</v>
      </c>
      <c r="K294" s="8" t="n">
        <f aca="false">J294+K293</f>
        <v>663.3</v>
      </c>
      <c r="L294" s="8" t="n">
        <v>1.5</v>
      </c>
      <c r="M294" s="8" t="n">
        <f aca="false">M293+L294</f>
        <v>325.1</v>
      </c>
      <c r="N294" s="8" t="n">
        <v>-0.8</v>
      </c>
      <c r="O294" s="8" t="n">
        <f aca="false">O293+N294</f>
        <v>138</v>
      </c>
      <c r="P294" s="8" t="n">
        <v>254</v>
      </c>
      <c r="Q294" s="8" t="n">
        <v>1.15</v>
      </c>
      <c r="R294" s="12" t="n">
        <f aca="false">Q294*L294</f>
        <v>1.725</v>
      </c>
      <c r="S294" s="12" t="n">
        <f aca="false">J294-R294</f>
        <v>-1.025</v>
      </c>
      <c r="T294" s="12" t="n">
        <f aca="false">MIN(197.4,T293+S294)</f>
        <v>124.62</v>
      </c>
      <c r="V294" s="8" t="n">
        <v>997.6</v>
      </c>
      <c r="X294" s="8" t="n">
        <f aca="false">X293+V294</f>
        <v>174395.1</v>
      </c>
      <c r="Y294" s="82" t="n">
        <f aca="false">Y293+V294</f>
        <v>38893</v>
      </c>
      <c r="AA294" s="8" t="n">
        <v>15.1897872065722</v>
      </c>
    </row>
    <row r="295" s="23" customFormat="true" ht="15" hidden="false" customHeight="false" outlineLevel="0" collapsed="false">
      <c r="A295" s="61"/>
      <c r="B295" s="21" t="n">
        <v>300</v>
      </c>
      <c r="C295" s="62" t="n">
        <v>41411</v>
      </c>
      <c r="D295" s="23" t="n">
        <v>11.1</v>
      </c>
      <c r="E295" s="23" t="n">
        <v>5.7</v>
      </c>
      <c r="F295" s="23" t="n">
        <v>16.2</v>
      </c>
      <c r="G295" s="23" t="n">
        <f aca="false">G294+D295</f>
        <v>2198.7</v>
      </c>
      <c r="H295" s="23" t="n">
        <f aca="false">H294+D295</f>
        <v>310.6</v>
      </c>
      <c r="J295" s="23" t="n">
        <v>0</v>
      </c>
      <c r="K295" s="23" t="n">
        <f aca="false">J295+K294</f>
        <v>663.3</v>
      </c>
      <c r="L295" s="23" t="n">
        <v>3.9</v>
      </c>
      <c r="M295" s="23" t="n">
        <f aca="false">M294+L295</f>
        <v>329</v>
      </c>
      <c r="N295" s="23" t="n">
        <v>-3.9</v>
      </c>
      <c r="O295" s="23" t="n">
        <f aca="false">O294+N295</f>
        <v>134.1</v>
      </c>
      <c r="P295" s="23" t="n">
        <v>255</v>
      </c>
      <c r="Q295" s="49" t="n">
        <v>1.15</v>
      </c>
      <c r="R295" s="24" t="n">
        <f aca="false">Q295*L295</f>
        <v>4.485</v>
      </c>
      <c r="S295" s="24" t="n">
        <f aca="false">J295-R295</f>
        <v>-4.485</v>
      </c>
      <c r="T295" s="24" t="n">
        <f aca="false">MIN(197.4,T294+S295)</f>
        <v>120.135</v>
      </c>
      <c r="V295" s="23" t="n">
        <v>2679.2</v>
      </c>
      <c r="X295" s="23" t="n">
        <f aca="false">X294+V295</f>
        <v>177074.3</v>
      </c>
      <c r="Y295" s="23" t="n">
        <f aca="false">Y294+V295</f>
        <v>41572.2</v>
      </c>
      <c r="AA295" s="23" t="n">
        <v>15.2324609268607</v>
      </c>
    </row>
    <row r="296" s="8" customFormat="true" ht="15" hidden="false" customHeight="false" outlineLevel="0" collapsed="false">
      <c r="A296" s="63"/>
      <c r="B296" s="15"/>
      <c r="C296" s="64" t="n">
        <v>41412</v>
      </c>
      <c r="D296" s="8" t="n">
        <v>11.3</v>
      </c>
      <c r="E296" s="8" t="n">
        <v>7.7</v>
      </c>
      <c r="F296" s="8" t="n">
        <v>15.6</v>
      </c>
      <c r="G296" s="8" t="n">
        <f aca="false">G295+D296</f>
        <v>2210</v>
      </c>
      <c r="H296" s="82" t="n">
        <f aca="false">D296</f>
        <v>11.3</v>
      </c>
      <c r="I296" s="65" t="s">
        <v>28</v>
      </c>
      <c r="J296" s="8" t="n">
        <v>7.3</v>
      </c>
      <c r="K296" s="8" t="n">
        <f aca="false">J296+K295</f>
        <v>670.6</v>
      </c>
      <c r="L296" s="8" t="n">
        <v>2.3</v>
      </c>
      <c r="M296" s="8" t="n">
        <f aca="false">M295+L296</f>
        <v>331.3</v>
      </c>
      <c r="N296" s="8" t="n">
        <v>5</v>
      </c>
      <c r="O296" s="8" t="n">
        <f aca="false">O295+N296</f>
        <v>139.1</v>
      </c>
      <c r="P296" s="8" t="n">
        <v>256</v>
      </c>
      <c r="Q296" s="18" t="n">
        <f aca="false">1.15+((P296-255)/59)*(0.35-1.15)</f>
        <v>1.1364406779661</v>
      </c>
      <c r="R296" s="12" t="n">
        <f aca="false">Q296*L296</f>
        <v>2.61381355932203</v>
      </c>
      <c r="S296" s="12" t="n">
        <f aca="false">J296-R296</f>
        <v>4.68618644067797</v>
      </c>
      <c r="T296" s="12" t="n">
        <f aca="false">MIN(197.4,T295+S296)</f>
        <v>124.821186440678</v>
      </c>
      <c r="U296" s="65" t="s">
        <v>29</v>
      </c>
      <c r="V296" s="8" t="n">
        <v>1126.7</v>
      </c>
      <c r="X296" s="8" t="n">
        <f aca="false">X295+V296</f>
        <v>178201</v>
      </c>
      <c r="Y296" s="82" t="n">
        <f aca="false">V296</f>
        <v>1126.7</v>
      </c>
      <c r="Z296" s="65" t="s">
        <v>30</v>
      </c>
      <c r="AA296" s="8" t="n">
        <v>15.274366581664</v>
      </c>
    </row>
    <row r="297" s="8" customFormat="true" ht="15" hidden="false" customHeight="false" outlineLevel="0" collapsed="false">
      <c r="A297" s="63"/>
      <c r="B297" s="15"/>
      <c r="C297" s="64" t="n">
        <v>41413</v>
      </c>
      <c r="D297" s="8" t="n">
        <v>10.5</v>
      </c>
      <c r="E297" s="8" t="n">
        <v>9.6</v>
      </c>
      <c r="F297" s="8" t="n">
        <v>11.4</v>
      </c>
      <c r="G297" s="8" t="n">
        <f aca="false">G296+D297</f>
        <v>2220.5</v>
      </c>
      <c r="H297" s="82" t="n">
        <f aca="false">H296+D297</f>
        <v>21.8</v>
      </c>
      <c r="I297" s="8" t="n">
        <f aca="false">MIN(E296:E319)</f>
        <v>4.4</v>
      </c>
      <c r="J297" s="8" t="n">
        <v>5.8</v>
      </c>
      <c r="K297" s="8" t="n">
        <f aca="false">J297+K296</f>
        <v>676.4</v>
      </c>
      <c r="L297" s="8" t="n">
        <v>0.6</v>
      </c>
      <c r="M297" s="8" t="n">
        <f aca="false">M296+L297</f>
        <v>331.9</v>
      </c>
      <c r="N297" s="8" t="n">
        <v>5.2</v>
      </c>
      <c r="O297" s="8" t="n">
        <f aca="false">O296+N297</f>
        <v>144.3</v>
      </c>
      <c r="P297" s="8" t="n">
        <v>257</v>
      </c>
      <c r="Q297" s="18" t="n">
        <f aca="false">1.15+((P297-255)/59)*(0.35-1.15)</f>
        <v>1.1228813559322</v>
      </c>
      <c r="R297" s="12" t="n">
        <f aca="false">Q297*L297</f>
        <v>0.673728813559322</v>
      </c>
      <c r="S297" s="12" t="n">
        <f aca="false">J297-R297</f>
        <v>5.12627118644068</v>
      </c>
      <c r="T297" s="12" t="n">
        <f aca="false">MIN(197.4,T296+S297)</f>
        <v>129.947457627119</v>
      </c>
      <c r="U297" s="8" t="n">
        <v>15</v>
      </c>
      <c r="V297" s="8" t="n">
        <v>413</v>
      </c>
      <c r="X297" s="8" t="n">
        <f aca="false">X296+V297</f>
        <v>178614</v>
      </c>
      <c r="Y297" s="82" t="n">
        <f aca="false">Y296+V297</f>
        <v>1539.7</v>
      </c>
      <c r="Z297" s="8" t="n">
        <v>36257.5</v>
      </c>
      <c r="AA297" s="8" t="n">
        <v>15.3154790895267</v>
      </c>
    </row>
    <row r="298" s="8" customFormat="true" ht="15" hidden="false" customHeight="false" outlineLevel="0" collapsed="false">
      <c r="A298" s="63"/>
      <c r="B298" s="15"/>
      <c r="C298" s="64" t="n">
        <v>41414</v>
      </c>
      <c r="D298" s="8" t="n">
        <v>11.4</v>
      </c>
      <c r="E298" s="8" t="n">
        <v>10.1</v>
      </c>
      <c r="F298" s="8" t="n">
        <v>12.5</v>
      </c>
      <c r="G298" s="8" t="n">
        <f aca="false">G297+D298</f>
        <v>2231.9</v>
      </c>
      <c r="H298" s="82" t="n">
        <f aca="false">H297+D298</f>
        <v>33.2</v>
      </c>
      <c r="I298" s="65" t="s">
        <v>31</v>
      </c>
      <c r="J298" s="8" t="n">
        <v>1.3</v>
      </c>
      <c r="K298" s="8" t="n">
        <f aca="false">J298+K297</f>
        <v>677.7</v>
      </c>
      <c r="L298" s="8" t="n">
        <v>1</v>
      </c>
      <c r="M298" s="8" t="n">
        <f aca="false">M297+L298</f>
        <v>332.9</v>
      </c>
      <c r="N298" s="8" t="n">
        <v>0.3</v>
      </c>
      <c r="O298" s="8" t="n">
        <f aca="false">O297+N298</f>
        <v>144.6</v>
      </c>
      <c r="P298" s="8" t="n">
        <v>258</v>
      </c>
      <c r="Q298" s="18" t="n">
        <f aca="false">1.15+((P298-255)/59)*(0.35-1.15)</f>
        <v>1.10932203389831</v>
      </c>
      <c r="R298" s="12" t="n">
        <f aca="false">Q298*L298</f>
        <v>1.10932203389831</v>
      </c>
      <c r="S298" s="12" t="n">
        <f aca="false">J298-R298</f>
        <v>0.190677966101695</v>
      </c>
      <c r="T298" s="12" t="n">
        <f aca="false">MIN(197.4,T297+S298)</f>
        <v>130.13813559322</v>
      </c>
      <c r="U298" s="65" t="s">
        <v>32</v>
      </c>
      <c r="V298" s="8" t="n">
        <v>638.6</v>
      </c>
      <c r="X298" s="8" t="n">
        <f aca="false">X297+V298</f>
        <v>179252.6</v>
      </c>
      <c r="Y298" s="82" t="n">
        <f aca="false">Y297+V298</f>
        <v>2178.3</v>
      </c>
      <c r="Z298" s="65" t="s">
        <v>33</v>
      </c>
      <c r="AA298" s="8" t="n">
        <v>15.3557731371327</v>
      </c>
    </row>
    <row r="299" s="8" customFormat="true" ht="15" hidden="false" customHeight="false" outlineLevel="0" collapsed="false">
      <c r="A299" s="63"/>
      <c r="B299" s="15"/>
      <c r="C299" s="64" t="n">
        <v>41415</v>
      </c>
      <c r="D299" s="8" t="n">
        <v>13.6</v>
      </c>
      <c r="E299" s="8" t="n">
        <v>11.8</v>
      </c>
      <c r="F299" s="8" t="n">
        <v>17.2</v>
      </c>
      <c r="G299" s="8" t="n">
        <f aca="false">G298+D299</f>
        <v>2245.5</v>
      </c>
      <c r="H299" s="82" t="n">
        <f aca="false">H298+D299</f>
        <v>46.8</v>
      </c>
      <c r="I299" s="8" t="n">
        <f aca="false">MAX(F296:F319)</f>
        <v>27.8</v>
      </c>
      <c r="J299" s="8" t="n">
        <v>0.1</v>
      </c>
      <c r="K299" s="8" t="n">
        <f aca="false">J299+K298</f>
        <v>677.8</v>
      </c>
      <c r="L299" s="8" t="n">
        <v>1.6</v>
      </c>
      <c r="M299" s="8" t="n">
        <f aca="false">M298+L299</f>
        <v>334.5</v>
      </c>
      <c r="N299" s="8" t="n">
        <v>-1.5</v>
      </c>
      <c r="O299" s="8" t="n">
        <f aca="false">O298+N299</f>
        <v>143.1</v>
      </c>
      <c r="P299" s="8" t="n">
        <v>259</v>
      </c>
      <c r="Q299" s="18" t="n">
        <f aca="false">1.15+((P299-255)/59)*(0.35-1.15)</f>
        <v>1.09576271186441</v>
      </c>
      <c r="R299" s="12" t="n">
        <f aca="false">Q299*L299</f>
        <v>1.75322033898305</v>
      </c>
      <c r="S299" s="12" t="n">
        <f aca="false">J299-R299</f>
        <v>-1.65322033898305</v>
      </c>
      <c r="T299" s="12" t="n">
        <f aca="false">MIN(197.4,T298+S299)</f>
        <v>128.484915254237</v>
      </c>
      <c r="U299" s="8" t="n">
        <v>0</v>
      </c>
      <c r="V299" s="8" t="n">
        <v>637.4</v>
      </c>
      <c r="X299" s="8" t="n">
        <f aca="false">X298+V299</f>
        <v>179890</v>
      </c>
      <c r="Y299" s="82" t="n">
        <f aca="false">Y298+V299</f>
        <v>2815.7</v>
      </c>
      <c r="Z299" s="8" t="n">
        <f aca="false">(Z297/100)/I309</f>
        <v>1.15139726897428</v>
      </c>
      <c r="AA299" s="8" t="n">
        <v>15.3952232191133</v>
      </c>
    </row>
    <row r="300" s="8" customFormat="true" ht="15" hidden="false" customHeight="false" outlineLevel="0" collapsed="false">
      <c r="A300" s="63"/>
      <c r="B300" s="15"/>
      <c r="C300" s="64" t="n">
        <v>41416</v>
      </c>
      <c r="D300" s="8" t="n">
        <v>12.5</v>
      </c>
      <c r="E300" s="8" t="n">
        <v>10.8</v>
      </c>
      <c r="F300" s="8" t="n">
        <v>15.1</v>
      </c>
      <c r="G300" s="8" t="n">
        <f aca="false">G299+D300</f>
        <v>2258</v>
      </c>
      <c r="H300" s="82" t="n">
        <f aca="false">H299+D300</f>
        <v>59.3</v>
      </c>
      <c r="I300" s="65" t="s">
        <v>34</v>
      </c>
      <c r="J300" s="8" t="n">
        <v>0</v>
      </c>
      <c r="K300" s="8" t="n">
        <f aca="false">J300+K299</f>
        <v>677.8</v>
      </c>
      <c r="L300" s="8" t="n">
        <v>1.8</v>
      </c>
      <c r="M300" s="8" t="n">
        <f aca="false">M299+L300</f>
        <v>336.3</v>
      </c>
      <c r="N300" s="8" t="n">
        <v>-1.8</v>
      </c>
      <c r="O300" s="8" t="n">
        <f aca="false">O299+N300</f>
        <v>141.3</v>
      </c>
      <c r="P300" s="8" t="n">
        <v>260</v>
      </c>
      <c r="Q300" s="18" t="n">
        <f aca="false">1.15+((P300-255)/59)*(0.35-1.15)</f>
        <v>1.08220338983051</v>
      </c>
      <c r="R300" s="12" t="n">
        <f aca="false">Q300*L300</f>
        <v>1.94796610169492</v>
      </c>
      <c r="S300" s="12" t="n">
        <f aca="false">J300-R300</f>
        <v>-1.94796610169492</v>
      </c>
      <c r="T300" s="12" t="n">
        <f aca="false">MIN(197.4,T299+S300)</f>
        <v>126.536949152542</v>
      </c>
      <c r="U300" s="65" t="s">
        <v>35</v>
      </c>
      <c r="V300" s="8" t="n">
        <v>1060.1</v>
      </c>
      <c r="X300" s="8" t="n">
        <f aca="false">X299+V300</f>
        <v>180950.1</v>
      </c>
      <c r="Y300" s="82" t="n">
        <f aca="false">Y299+V300</f>
        <v>3875.8</v>
      </c>
      <c r="Z300" s="65" t="s">
        <v>36</v>
      </c>
      <c r="AA300" s="8" t="n">
        <v>15.4338036806613</v>
      </c>
    </row>
    <row r="301" s="8" customFormat="true" ht="15" hidden="false" customHeight="false" outlineLevel="0" collapsed="false">
      <c r="A301" s="63"/>
      <c r="B301" s="15"/>
      <c r="C301" s="64" t="n">
        <v>41417</v>
      </c>
      <c r="D301" s="8" t="n">
        <v>9.8</v>
      </c>
      <c r="E301" s="8" t="n">
        <v>8.1</v>
      </c>
      <c r="F301" s="8" t="n">
        <v>12.8</v>
      </c>
      <c r="G301" s="8" t="n">
        <f aca="false">G300+D301</f>
        <v>2267.8</v>
      </c>
      <c r="H301" s="82" t="n">
        <f aca="false">H300+D301</f>
        <v>69.1</v>
      </c>
      <c r="I301" s="8" t="n">
        <f aca="false">AVERAGE(D296:D319)</f>
        <v>13.1208333333333</v>
      </c>
      <c r="J301" s="8" t="n">
        <v>2.4</v>
      </c>
      <c r="K301" s="8" t="n">
        <f aca="false">J301+K300</f>
        <v>680.2</v>
      </c>
      <c r="L301" s="8" t="n">
        <v>3.8</v>
      </c>
      <c r="M301" s="8" t="n">
        <f aca="false">M300+L301</f>
        <v>340.1</v>
      </c>
      <c r="N301" s="8" t="n">
        <v>-1.4</v>
      </c>
      <c r="O301" s="8" t="n">
        <f aca="false">O300+N301</f>
        <v>139.9</v>
      </c>
      <c r="P301" s="8" t="n">
        <v>261</v>
      </c>
      <c r="Q301" s="18" t="n">
        <f aca="false">1.15+((P301-255)/59)*(0.35-1.15)</f>
        <v>1.06864406779661</v>
      </c>
      <c r="R301" s="12" t="n">
        <f aca="false">Q301*L301</f>
        <v>4.06084745762712</v>
      </c>
      <c r="S301" s="12" t="n">
        <f aca="false">J301-R301</f>
        <v>-1.66084745762712</v>
      </c>
      <c r="T301" s="12" t="n">
        <f aca="false">MIN(197.4,T300+S301)</f>
        <v>124.876101694915</v>
      </c>
      <c r="U301" s="8" t="n">
        <v>0</v>
      </c>
      <c r="V301" s="8" t="n">
        <v>2409.3</v>
      </c>
      <c r="X301" s="8" t="n">
        <f aca="false">X300+V301</f>
        <v>183359.4</v>
      </c>
      <c r="Y301" s="82" t="n">
        <f aca="false">Y300+V301</f>
        <v>6285.1</v>
      </c>
      <c r="Z301" s="8" t="n">
        <v>5</v>
      </c>
      <c r="AA301" s="8" t="n">
        <v>15.4714887629188</v>
      </c>
    </row>
    <row r="302" s="8" customFormat="true" ht="15" hidden="false" customHeight="false" outlineLevel="0" collapsed="false">
      <c r="A302" s="63"/>
      <c r="B302" s="15"/>
      <c r="C302" s="64" t="n">
        <v>41418</v>
      </c>
      <c r="D302" s="8" t="n">
        <v>8.5</v>
      </c>
      <c r="E302" s="8" t="n">
        <v>5.2</v>
      </c>
      <c r="F302" s="8" t="n">
        <v>10.2</v>
      </c>
      <c r="G302" s="8" t="n">
        <f aca="false">G301+D302</f>
        <v>2276.3</v>
      </c>
      <c r="H302" s="82" t="n">
        <f aca="false">H301+D302</f>
        <v>77.6</v>
      </c>
      <c r="I302" s="65" t="s">
        <v>37</v>
      </c>
      <c r="J302" s="8" t="n">
        <v>2.7</v>
      </c>
      <c r="K302" s="8" t="n">
        <f aca="false">J302+K301</f>
        <v>682.9</v>
      </c>
      <c r="L302" s="8" t="n">
        <v>1.8</v>
      </c>
      <c r="M302" s="8" t="n">
        <f aca="false">M301+L302</f>
        <v>341.9</v>
      </c>
      <c r="N302" s="8" t="n">
        <v>0.9</v>
      </c>
      <c r="O302" s="8" t="n">
        <f aca="false">O301+N302</f>
        <v>140.8</v>
      </c>
      <c r="P302" s="8" t="n">
        <v>262</v>
      </c>
      <c r="Q302" s="18" t="n">
        <f aca="false">1.15+((P302-255)/59)*(0.35-1.15)</f>
        <v>1.05508474576271</v>
      </c>
      <c r="R302" s="12" t="n">
        <f aca="false">Q302*L302</f>
        <v>1.89915254237288</v>
      </c>
      <c r="S302" s="12" t="n">
        <f aca="false">J302-R302</f>
        <v>0.800847457627119</v>
      </c>
      <c r="T302" s="12" t="n">
        <f aca="false">MIN(197.4,T301+S302)</f>
        <v>125.676949152542</v>
      </c>
      <c r="U302" s="65" t="s">
        <v>38</v>
      </c>
      <c r="V302" s="8" t="n">
        <v>1471.4</v>
      </c>
      <c r="X302" s="8" t="n">
        <f aca="false">X301+V302</f>
        <v>184830.8</v>
      </c>
      <c r="Y302" s="82" t="n">
        <f aca="false">Y301+V302</f>
        <v>7756.5</v>
      </c>
      <c r="AA302" s="8" t="n">
        <v>15.5082526510869</v>
      </c>
    </row>
    <row r="303" s="8" customFormat="true" ht="15" hidden="false" customHeight="false" outlineLevel="0" collapsed="false">
      <c r="A303" s="63"/>
      <c r="B303" s="15"/>
      <c r="C303" s="64" t="n">
        <v>41419</v>
      </c>
      <c r="D303" s="8" t="n">
        <v>10.2</v>
      </c>
      <c r="E303" s="8" t="n">
        <v>7.9</v>
      </c>
      <c r="F303" s="8" t="n">
        <v>13.7</v>
      </c>
      <c r="G303" s="8" t="n">
        <f aca="false">G302+D303</f>
        <v>2286.5</v>
      </c>
      <c r="H303" s="82" t="n">
        <f aca="false">H302+D303</f>
        <v>87.8</v>
      </c>
      <c r="I303" s="8" t="n">
        <v>0</v>
      </c>
      <c r="J303" s="8" t="n">
        <v>0</v>
      </c>
      <c r="K303" s="8" t="n">
        <f aca="false">J303+K302</f>
        <v>682.9</v>
      </c>
      <c r="L303" s="8" t="n">
        <v>3.4</v>
      </c>
      <c r="M303" s="8" t="n">
        <f aca="false">M302+L303</f>
        <v>345.3</v>
      </c>
      <c r="N303" s="8" t="n">
        <v>-3.4</v>
      </c>
      <c r="O303" s="8" t="n">
        <f aca="false">O302+N303</f>
        <v>137.4</v>
      </c>
      <c r="P303" s="8" t="n">
        <v>263</v>
      </c>
      <c r="Q303" s="18" t="n">
        <f aca="false">1.15+((P303-255)/59)*(0.35-1.15)</f>
        <v>1.04152542372881</v>
      </c>
      <c r="R303" s="12" t="n">
        <f aca="false">Q303*L303</f>
        <v>3.54118644067797</v>
      </c>
      <c r="S303" s="12" t="n">
        <f aca="false">J303-R303</f>
        <v>-3.54118644067797</v>
      </c>
      <c r="T303" s="12" t="n">
        <f aca="false">MIN(197.4,T302+S303)</f>
        <v>122.135762711864</v>
      </c>
      <c r="U303" s="12" t="n">
        <f aca="false">MIN(T296:T319)</f>
        <v>120.285423728814</v>
      </c>
      <c r="V303" s="8" t="n">
        <v>2253.1</v>
      </c>
      <c r="X303" s="8" t="n">
        <f aca="false">X302+V303</f>
        <v>187083.9</v>
      </c>
      <c r="Y303" s="82" t="n">
        <f aca="false">Y302+V303</f>
        <v>10009.6</v>
      </c>
      <c r="AA303" s="8" t="n">
        <v>15.5440695251827</v>
      </c>
    </row>
    <row r="304" s="8" customFormat="true" ht="15" hidden="false" customHeight="false" outlineLevel="0" collapsed="false">
      <c r="A304" s="63"/>
      <c r="B304" s="15"/>
      <c r="C304" s="64" t="n">
        <v>41420</v>
      </c>
      <c r="D304" s="8" t="n">
        <v>10.8</v>
      </c>
      <c r="E304" s="8" t="n">
        <v>4.4</v>
      </c>
      <c r="F304" s="8" t="n">
        <v>17.3</v>
      </c>
      <c r="G304" s="8" t="n">
        <f aca="false">G303+D304</f>
        <v>2297.3</v>
      </c>
      <c r="H304" s="82" t="n">
        <f aca="false">H303+D304</f>
        <v>98.6</v>
      </c>
      <c r="I304" s="65" t="s">
        <v>39</v>
      </c>
      <c r="J304" s="8" t="n">
        <v>0</v>
      </c>
      <c r="K304" s="8" t="n">
        <f aca="false">J304+K303</f>
        <v>682.9</v>
      </c>
      <c r="L304" s="8" t="n">
        <v>1.8</v>
      </c>
      <c r="M304" s="8" t="n">
        <f aca="false">M303+L304</f>
        <v>347.1</v>
      </c>
      <c r="N304" s="8" t="n">
        <v>-1.8</v>
      </c>
      <c r="O304" s="8" t="n">
        <f aca="false">O303+N304</f>
        <v>135.6</v>
      </c>
      <c r="P304" s="8" t="n">
        <v>264</v>
      </c>
      <c r="Q304" s="18" t="n">
        <f aca="false">1.15+((P304-255)/59)*(0.35-1.15)</f>
        <v>1.02796610169492</v>
      </c>
      <c r="R304" s="12" t="n">
        <f aca="false">Q304*L304</f>
        <v>1.85033898305085</v>
      </c>
      <c r="S304" s="12" t="n">
        <f aca="false">J304-R304</f>
        <v>-1.85033898305085</v>
      </c>
      <c r="T304" s="12" t="n">
        <f aca="false">MIN(197.4,T303+S304)</f>
        <v>120.285423728814</v>
      </c>
      <c r="U304" s="65" t="s">
        <v>40</v>
      </c>
      <c r="V304" s="8" t="n">
        <v>1162.7</v>
      </c>
      <c r="X304" s="8" t="n">
        <f aca="false">X303+V304</f>
        <v>188246.6</v>
      </c>
      <c r="Y304" s="82" t="n">
        <f aca="false">Y303+V304</f>
        <v>11172.3</v>
      </c>
      <c r="AA304" s="8" t="n">
        <v>15.5789136133458</v>
      </c>
    </row>
    <row r="305" s="8" customFormat="true" ht="15" hidden="false" customHeight="false" outlineLevel="0" collapsed="false">
      <c r="A305" s="63"/>
      <c r="B305" s="15"/>
      <c r="C305" s="64" t="n">
        <v>41421</v>
      </c>
      <c r="D305" s="8" t="n">
        <v>12.8</v>
      </c>
      <c r="E305" s="8" t="n">
        <v>6.6</v>
      </c>
      <c r="F305" s="8" t="n">
        <v>18.6</v>
      </c>
      <c r="G305" s="8" t="n">
        <f aca="false">G304+D305</f>
        <v>2310.1</v>
      </c>
      <c r="H305" s="82" t="n">
        <f aca="false">H304+D305</f>
        <v>111.4</v>
      </c>
      <c r="I305" s="8" t="n">
        <v>2</v>
      </c>
      <c r="J305" s="8" t="n">
        <v>15.1</v>
      </c>
      <c r="K305" s="8" t="n">
        <f aca="false">J305+K304</f>
        <v>698</v>
      </c>
      <c r="L305" s="8" t="n">
        <v>3</v>
      </c>
      <c r="M305" s="8" t="n">
        <f aca="false">M304+L305</f>
        <v>350.1</v>
      </c>
      <c r="N305" s="8" t="n">
        <v>12.1</v>
      </c>
      <c r="O305" s="8" t="n">
        <f aca="false">O304+N305</f>
        <v>147.7</v>
      </c>
      <c r="P305" s="8" t="n">
        <v>265</v>
      </c>
      <c r="Q305" s="18" t="n">
        <f aca="false">1.15+((P305-255)/59)*(0.35-1.15)</f>
        <v>1.01440677966102</v>
      </c>
      <c r="R305" s="12" t="n">
        <f aca="false">Q305*L305</f>
        <v>3.04322033898305</v>
      </c>
      <c r="S305" s="12" t="n">
        <f aca="false">J305-R305</f>
        <v>12.056779661017</v>
      </c>
      <c r="T305" s="12" t="n">
        <f aca="false">MIN(197.4,T304+S305)</f>
        <v>132.342203389831</v>
      </c>
      <c r="U305" s="12" t="n">
        <f aca="false">MAX(T296:T319)</f>
        <v>144.581016949153</v>
      </c>
      <c r="V305" s="8" t="n">
        <v>1520.9</v>
      </c>
      <c r="X305" s="8" t="n">
        <f aca="false">X304+V305</f>
        <v>189767.5</v>
      </c>
      <c r="Y305" s="82" t="n">
        <f aca="false">Y304+V305</f>
        <v>12693.2</v>
      </c>
      <c r="AA305" s="8" t="n">
        <v>15.6127592475723</v>
      </c>
    </row>
    <row r="306" s="8" customFormat="true" ht="15" hidden="false" customHeight="false" outlineLevel="0" collapsed="false">
      <c r="A306" s="63"/>
      <c r="B306" s="15"/>
      <c r="C306" s="64" t="n">
        <v>41422</v>
      </c>
      <c r="D306" s="8" t="n">
        <v>9.3</v>
      </c>
      <c r="E306" s="8" t="n">
        <v>7.7</v>
      </c>
      <c r="F306" s="8" t="n">
        <v>10.5</v>
      </c>
      <c r="G306" s="8" t="n">
        <f aca="false">G305+D306</f>
        <v>2319.4</v>
      </c>
      <c r="H306" s="82" t="n">
        <f aca="false">H305+D306</f>
        <v>120.7</v>
      </c>
      <c r="I306" s="65" t="s">
        <v>41</v>
      </c>
      <c r="J306" s="8" t="n">
        <v>9</v>
      </c>
      <c r="K306" s="8" t="n">
        <f aca="false">J306+K305</f>
        <v>707</v>
      </c>
      <c r="L306" s="8" t="n">
        <v>1.6</v>
      </c>
      <c r="M306" s="8" t="n">
        <f aca="false">M305+L306</f>
        <v>351.7</v>
      </c>
      <c r="N306" s="8" t="n">
        <v>7.4</v>
      </c>
      <c r="O306" s="8" t="n">
        <f aca="false">O305+N306</f>
        <v>155.1</v>
      </c>
      <c r="P306" s="8" t="n">
        <v>266</v>
      </c>
      <c r="Q306" s="18" t="n">
        <f aca="false">1.15+((P306-255)/59)*(0.35-1.15)</f>
        <v>1.00084745762712</v>
      </c>
      <c r="R306" s="12" t="n">
        <f aca="false">Q306*L306</f>
        <v>1.60135593220339</v>
      </c>
      <c r="S306" s="12" t="n">
        <f aca="false">J306-R306</f>
        <v>7.39864406779661</v>
      </c>
      <c r="T306" s="12" t="n">
        <f aca="false">MIN(197.4,T305+S306)</f>
        <v>139.740847457627</v>
      </c>
      <c r="U306" s="65" t="s">
        <v>42</v>
      </c>
      <c r="V306" s="8" t="n">
        <v>1079.2</v>
      </c>
      <c r="X306" s="8" t="n">
        <f aca="false">X305+V306</f>
        <v>190846.7</v>
      </c>
      <c r="Y306" s="82" t="n">
        <f aca="false">Y305+V306</f>
        <v>13772.4</v>
      </c>
      <c r="AA306" s="8" t="n">
        <v>15.6455809217266</v>
      </c>
    </row>
    <row r="307" s="8" customFormat="true" ht="15" hidden="false" customHeight="false" outlineLevel="0" collapsed="false">
      <c r="A307" s="63"/>
      <c r="B307" s="15"/>
      <c r="C307" s="64" t="n">
        <v>41423</v>
      </c>
      <c r="D307" s="8" t="n">
        <v>10.7</v>
      </c>
      <c r="E307" s="8" t="n">
        <v>6.6</v>
      </c>
      <c r="F307" s="8" t="n">
        <v>13.5</v>
      </c>
      <c r="G307" s="8" t="n">
        <f aca="false">G306+D307</f>
        <v>2330.1</v>
      </c>
      <c r="H307" s="82" t="n">
        <f aca="false">H306+D307</f>
        <v>131.4</v>
      </c>
      <c r="I307" s="8" t="n">
        <v>1</v>
      </c>
      <c r="J307" s="8" t="n">
        <v>0.6</v>
      </c>
      <c r="K307" s="8" t="n">
        <f aca="false">J307+K306</f>
        <v>707.6</v>
      </c>
      <c r="L307" s="8" t="n">
        <v>1.3</v>
      </c>
      <c r="M307" s="8" t="n">
        <f aca="false">M306+L307</f>
        <v>353</v>
      </c>
      <c r="N307" s="8" t="n">
        <v>-0.7</v>
      </c>
      <c r="O307" s="8" t="n">
        <f aca="false">O306+N307</f>
        <v>154.4</v>
      </c>
      <c r="P307" s="8" t="n">
        <v>267</v>
      </c>
      <c r="Q307" s="18" t="n">
        <f aca="false">1.15+((P307-255)/59)*(0.35-1.15)</f>
        <v>0.98728813559322</v>
      </c>
      <c r="R307" s="12" t="n">
        <f aca="false">Q307*L307</f>
        <v>1.28347457627119</v>
      </c>
      <c r="S307" s="12" t="n">
        <f aca="false">J307-R307</f>
        <v>-0.683474576271186</v>
      </c>
      <c r="T307" s="12" t="n">
        <f aca="false">MIN(197.4,T306+S307)</f>
        <v>139.057372881356</v>
      </c>
      <c r="U307" s="18" t="n">
        <f aca="false">AVERAGE(T296:T319)</f>
        <v>131.502697740113</v>
      </c>
      <c r="V307" s="8" t="n">
        <v>941.7</v>
      </c>
      <c r="X307" s="8" t="n">
        <f aca="false">X306+V307</f>
        <v>191788.4</v>
      </c>
      <c r="Y307" s="82" t="n">
        <f aca="false">Y306+V307</f>
        <v>14714.1</v>
      </c>
      <c r="AA307" s="8" t="n">
        <v>15.6773533516589</v>
      </c>
    </row>
    <row r="308" s="8" customFormat="true" ht="15" hidden="false" customHeight="false" outlineLevel="0" collapsed="false">
      <c r="A308" s="63"/>
      <c r="B308" s="15"/>
      <c r="C308" s="64" t="n">
        <v>41424</v>
      </c>
      <c r="D308" s="8" t="n">
        <v>12.5</v>
      </c>
      <c r="E308" s="8" t="n">
        <v>10.3</v>
      </c>
      <c r="F308" s="8" t="n">
        <v>14</v>
      </c>
      <c r="G308" s="8" t="n">
        <f aca="false">G307+D308</f>
        <v>2342.6</v>
      </c>
      <c r="H308" s="82" t="n">
        <f aca="false">H307+D308</f>
        <v>143.9</v>
      </c>
      <c r="I308" s="65" t="s">
        <v>43</v>
      </c>
      <c r="J308" s="8" t="n">
        <v>6.4</v>
      </c>
      <c r="K308" s="8" t="n">
        <f aca="false">J308+K307</f>
        <v>714</v>
      </c>
      <c r="L308" s="8" t="n">
        <v>0.9</v>
      </c>
      <c r="M308" s="8" t="n">
        <f aca="false">M307+L308</f>
        <v>353.9</v>
      </c>
      <c r="N308" s="8" t="n">
        <v>5.5</v>
      </c>
      <c r="O308" s="8" t="n">
        <f aca="false">O307+N308</f>
        <v>159.9</v>
      </c>
      <c r="P308" s="8" t="n">
        <v>268</v>
      </c>
      <c r="Q308" s="18" t="n">
        <f aca="false">1.15+((P308-255)/59)*(0.35-1.15)</f>
        <v>0.973728813559322</v>
      </c>
      <c r="R308" s="12" t="n">
        <f aca="false">Q308*L308</f>
        <v>0.87635593220339</v>
      </c>
      <c r="S308" s="12" t="n">
        <f aca="false">J308-R308</f>
        <v>5.52364406779661</v>
      </c>
      <c r="T308" s="12" t="n">
        <f aca="false">MIN(197.4,T307+S308)</f>
        <v>144.581016949153</v>
      </c>
      <c r="V308" s="8" t="n">
        <v>649.8</v>
      </c>
      <c r="X308" s="8" t="n">
        <f aca="false">X307+V308</f>
        <v>192438.2</v>
      </c>
      <c r="Y308" s="82" t="n">
        <f aca="false">Y307+V308</f>
        <v>15363.9</v>
      </c>
      <c r="AA308" s="8" t="n">
        <v>15.7080515372264</v>
      </c>
    </row>
    <row r="309" s="8" customFormat="true" ht="15" hidden="false" customHeight="false" outlineLevel="0" collapsed="false">
      <c r="A309" s="63"/>
      <c r="B309" s="15"/>
      <c r="C309" s="64" t="n">
        <v>41425</v>
      </c>
      <c r="D309" s="8" t="n">
        <v>14.1</v>
      </c>
      <c r="E309" s="8" t="n">
        <v>11.4</v>
      </c>
      <c r="F309" s="8" t="n">
        <v>17.2</v>
      </c>
      <c r="G309" s="8" t="n">
        <f aca="false">G308+D309</f>
        <v>2356.7</v>
      </c>
      <c r="H309" s="82" t="n">
        <f aca="false">H308+D309</f>
        <v>158</v>
      </c>
      <c r="I309" s="8" t="n">
        <v>314.9</v>
      </c>
      <c r="J309" s="8" t="n">
        <v>0</v>
      </c>
      <c r="K309" s="8" t="n">
        <f aca="false">J309+K308</f>
        <v>714</v>
      </c>
      <c r="L309" s="8" t="n">
        <v>2.2</v>
      </c>
      <c r="M309" s="8" t="n">
        <f aca="false">M308+L309</f>
        <v>356.1</v>
      </c>
      <c r="N309" s="8" t="n">
        <v>-2.2</v>
      </c>
      <c r="O309" s="8" t="n">
        <f aca="false">O308+N309</f>
        <v>157.7</v>
      </c>
      <c r="P309" s="8" t="n">
        <v>269</v>
      </c>
      <c r="Q309" s="18" t="n">
        <f aca="false">1.15+((P309-255)/59)*(0.35-1.15)</f>
        <v>0.960169491525424</v>
      </c>
      <c r="R309" s="12" t="n">
        <f aca="false">Q309*L309</f>
        <v>2.11237288135593</v>
      </c>
      <c r="S309" s="12" t="n">
        <f aca="false">J309-R309</f>
        <v>-2.11237288135593</v>
      </c>
      <c r="T309" s="12" t="n">
        <f aca="false">MIN(197.4,T308+S309)</f>
        <v>142.468644067797</v>
      </c>
      <c r="U309" s="12" t="n">
        <f aca="false">(U307*100)/197.4</f>
        <v>66.6173747416986</v>
      </c>
      <c r="V309" s="8" t="n">
        <v>1169.9</v>
      </c>
      <c r="X309" s="8" t="n">
        <f aca="false">X308+V309</f>
        <v>193608.1</v>
      </c>
      <c r="Y309" s="82" t="n">
        <f aca="false">Y308+V309</f>
        <v>16533.8</v>
      </c>
      <c r="AA309" s="8" t="n">
        <v>15.7376508259911</v>
      </c>
    </row>
    <row r="310" s="8" customFormat="true" ht="15" hidden="false" customHeight="false" outlineLevel="0" collapsed="false">
      <c r="A310" s="63"/>
      <c r="B310" s="15"/>
      <c r="C310" s="64" t="n">
        <v>41426</v>
      </c>
      <c r="D310" s="8" t="n">
        <v>13.4</v>
      </c>
      <c r="E310" s="8" t="n">
        <v>10.4</v>
      </c>
      <c r="F310" s="8" t="n">
        <v>17.8</v>
      </c>
      <c r="G310" s="8" t="n">
        <f aca="false">G309+D310</f>
        <v>2370.1</v>
      </c>
      <c r="H310" s="82" t="n">
        <f aca="false">H309+D310</f>
        <v>171.4</v>
      </c>
      <c r="J310" s="8" t="n">
        <v>0</v>
      </c>
      <c r="K310" s="8" t="n">
        <f aca="false">J310+K309</f>
        <v>714</v>
      </c>
      <c r="L310" s="8" t="n">
        <v>2.7</v>
      </c>
      <c r="M310" s="8" t="n">
        <f aca="false">M309+L310</f>
        <v>358.8</v>
      </c>
      <c r="N310" s="8" t="n">
        <v>-2.7</v>
      </c>
      <c r="O310" s="8" t="n">
        <f aca="false">O309+N310</f>
        <v>155</v>
      </c>
      <c r="P310" s="8" t="n">
        <v>270</v>
      </c>
      <c r="Q310" s="18" t="n">
        <f aca="false">1.15+((P310-255)/59)*(0.35-1.15)</f>
        <v>0.946610169491525</v>
      </c>
      <c r="R310" s="12" t="n">
        <f aca="false">Q310*L310</f>
        <v>2.55584745762712</v>
      </c>
      <c r="S310" s="12" t="n">
        <f aca="false">J310-R310</f>
        <v>-2.55584745762712</v>
      </c>
      <c r="T310" s="12" t="n">
        <f aca="false">MIN(197.4,T309+S310)</f>
        <v>139.91279661017</v>
      </c>
      <c r="V310" s="8" t="n">
        <v>1503.3</v>
      </c>
      <c r="X310" s="8" t="n">
        <f aca="false">X309+V310</f>
        <v>195111.4</v>
      </c>
      <c r="Y310" s="82" t="n">
        <f aca="false">Y309+V310</f>
        <v>18037.1</v>
      </c>
      <c r="AA310" s="8" t="n">
        <v>15.7661269783405</v>
      </c>
    </row>
    <row r="311" s="8" customFormat="true" ht="15" hidden="false" customHeight="false" outlineLevel="0" collapsed="false">
      <c r="A311" s="63"/>
      <c r="B311" s="15"/>
      <c r="C311" s="64" t="n">
        <v>41427</v>
      </c>
      <c r="D311" s="8" t="n">
        <v>13.3</v>
      </c>
      <c r="E311" s="8" t="n">
        <v>8.3</v>
      </c>
      <c r="F311" s="8" t="n">
        <v>17.5</v>
      </c>
      <c r="G311" s="8" t="n">
        <f aca="false">G310+D311</f>
        <v>2383.4</v>
      </c>
      <c r="H311" s="82" t="n">
        <f aca="false">H310+D311</f>
        <v>184.7</v>
      </c>
      <c r="J311" s="8" t="n">
        <v>0</v>
      </c>
      <c r="K311" s="8" t="n">
        <f aca="false">J311+K310</f>
        <v>714</v>
      </c>
      <c r="L311" s="8" t="n">
        <v>3</v>
      </c>
      <c r="M311" s="8" t="n">
        <f aca="false">M310+L311</f>
        <v>361.8</v>
      </c>
      <c r="N311" s="8" t="n">
        <v>-3</v>
      </c>
      <c r="O311" s="8" t="n">
        <f aca="false">O310+N311</f>
        <v>152</v>
      </c>
      <c r="P311" s="8" t="n">
        <v>271</v>
      </c>
      <c r="Q311" s="18" t="n">
        <f aca="false">1.15+((P311-255)/59)*(0.35-1.15)</f>
        <v>0.933050847457627</v>
      </c>
      <c r="R311" s="12" t="n">
        <f aca="false">Q311*L311</f>
        <v>2.79915254237288</v>
      </c>
      <c r="S311" s="12" t="n">
        <f aca="false">J311-R311</f>
        <v>-2.79915254237288</v>
      </c>
      <c r="T311" s="12" t="n">
        <f aca="false">MIN(197.4,T310+S311)</f>
        <v>137.113644067797</v>
      </c>
      <c r="V311" s="8" t="n">
        <v>1993.2</v>
      </c>
      <c r="X311" s="8" t="n">
        <f aca="false">X310+V311</f>
        <v>197104.6</v>
      </c>
      <c r="Y311" s="82" t="n">
        <f aca="false">Y310+V311</f>
        <v>20030.3</v>
      </c>
      <c r="AA311" s="8" t="n">
        <v>15.7934562337511</v>
      </c>
    </row>
    <row r="312" s="8" customFormat="true" ht="15" hidden="false" customHeight="false" outlineLevel="0" collapsed="false">
      <c r="A312" s="63"/>
      <c r="B312" s="15"/>
      <c r="C312" s="64" t="n">
        <v>41428</v>
      </c>
      <c r="D312" s="8" t="n">
        <v>14.1</v>
      </c>
      <c r="E312" s="8" t="n">
        <v>9.6</v>
      </c>
      <c r="F312" s="8" t="n">
        <v>18.1</v>
      </c>
      <c r="G312" s="8" t="n">
        <f aca="false">G311+D312</f>
        <v>2397.5</v>
      </c>
      <c r="H312" s="82" t="n">
        <f aca="false">H311+D312</f>
        <v>198.8</v>
      </c>
      <c r="J312" s="8" t="n">
        <v>0</v>
      </c>
      <c r="K312" s="8" t="n">
        <f aca="false">J312+K311</f>
        <v>714</v>
      </c>
      <c r="L312" s="8" t="n">
        <v>5.1</v>
      </c>
      <c r="M312" s="8" t="n">
        <f aca="false">M311+L312</f>
        <v>366.9</v>
      </c>
      <c r="N312" s="8" t="n">
        <v>-5.1</v>
      </c>
      <c r="O312" s="8" t="n">
        <f aca="false">O311+N312</f>
        <v>146.9</v>
      </c>
      <c r="P312" s="8" t="n">
        <v>272</v>
      </c>
      <c r="Q312" s="18" t="n">
        <f aca="false">1.15+((P312-255)/59)*(0.35-1.15)</f>
        <v>0.919491525423729</v>
      </c>
      <c r="R312" s="12" t="n">
        <f aca="false">Q312*L312</f>
        <v>4.68940677966102</v>
      </c>
      <c r="S312" s="12" t="n">
        <f aca="false">J312-R312</f>
        <v>-4.68940677966102</v>
      </c>
      <c r="T312" s="12" t="n">
        <f aca="false">MIN(197.4,T311+S312)</f>
        <v>132.424237288136</v>
      </c>
      <c r="V312" s="8" t="n">
        <v>3209.4</v>
      </c>
      <c r="X312" s="8" t="n">
        <f aca="false">X311+V312</f>
        <v>200314</v>
      </c>
      <c r="Y312" s="82" t="n">
        <f aca="false">Y311+V312</f>
        <v>23239.7</v>
      </c>
      <c r="AA312" s="8" t="n">
        <v>15.8196153778914</v>
      </c>
    </row>
    <row r="313" s="8" customFormat="true" ht="15" hidden="false" customHeight="false" outlineLevel="0" collapsed="false">
      <c r="A313" s="63"/>
      <c r="B313" s="15"/>
      <c r="C313" s="64" t="n">
        <v>41429</v>
      </c>
      <c r="D313" s="8" t="n">
        <v>14</v>
      </c>
      <c r="E313" s="8" t="n">
        <v>9.1</v>
      </c>
      <c r="F313" s="8" t="n">
        <v>18.4</v>
      </c>
      <c r="G313" s="8" t="n">
        <f aca="false">G312+D313</f>
        <v>2411.5</v>
      </c>
      <c r="H313" s="82" t="n">
        <f aca="false">H312+D313</f>
        <v>212.8</v>
      </c>
      <c r="J313" s="8" t="n">
        <v>0</v>
      </c>
      <c r="K313" s="8" t="n">
        <f aca="false">J313+K312</f>
        <v>714</v>
      </c>
      <c r="L313" s="8" t="n">
        <v>3.9</v>
      </c>
      <c r="M313" s="8" t="n">
        <f aca="false">M312+L313</f>
        <v>370.8</v>
      </c>
      <c r="N313" s="8" t="n">
        <v>-3.9</v>
      </c>
      <c r="O313" s="8" t="n">
        <f aca="false">O312+N313</f>
        <v>143</v>
      </c>
      <c r="P313" s="8" t="n">
        <v>273</v>
      </c>
      <c r="Q313" s="18" t="n">
        <f aca="false">1.15+((P313-255)/59)*(0.35-1.15)</f>
        <v>0.905932203389831</v>
      </c>
      <c r="R313" s="12" t="n">
        <f aca="false">Q313*L313</f>
        <v>3.53313559322034</v>
      </c>
      <c r="S313" s="12" t="n">
        <f aca="false">J313-R313</f>
        <v>-3.53313559322034</v>
      </c>
      <c r="T313" s="12" t="n">
        <f aca="false">MIN(197.4,T312+S313)</f>
        <v>128.891101694915</v>
      </c>
      <c r="V313" s="8" t="n">
        <v>2458</v>
      </c>
      <c r="X313" s="8" t="n">
        <f aca="false">X312+V313</f>
        <v>202772</v>
      </c>
      <c r="Y313" s="82" t="n">
        <f aca="false">Y312+V313</f>
        <v>25697.7</v>
      </c>
      <c r="AA313" s="8" t="n">
        <v>15.8445818102358</v>
      </c>
    </row>
    <row r="314" s="8" customFormat="true" ht="15" hidden="false" customHeight="false" outlineLevel="0" collapsed="false">
      <c r="A314" s="63"/>
      <c r="B314" s="15"/>
      <c r="C314" s="64" t="n">
        <v>41430</v>
      </c>
      <c r="D314" s="8" t="n">
        <v>16.6</v>
      </c>
      <c r="E314" s="8" t="n">
        <v>10.6</v>
      </c>
      <c r="F314" s="8" t="n">
        <v>22.7</v>
      </c>
      <c r="G314" s="8" t="n">
        <f aca="false">G313+D314</f>
        <v>2428.1</v>
      </c>
      <c r="H314" s="82" t="n">
        <f aca="false">H313+D314</f>
        <v>229.4</v>
      </c>
      <c r="J314" s="8" t="n">
        <v>0</v>
      </c>
      <c r="K314" s="8" t="n">
        <f aca="false">J314+K313</f>
        <v>714</v>
      </c>
      <c r="L314" s="8" t="n">
        <v>4.7</v>
      </c>
      <c r="M314" s="8" t="n">
        <f aca="false">M313+L314</f>
        <v>375.5</v>
      </c>
      <c r="N314" s="8" t="n">
        <v>-4.7</v>
      </c>
      <c r="O314" s="8" t="n">
        <f aca="false">O313+N314</f>
        <v>138.3</v>
      </c>
      <c r="P314" s="8" t="n">
        <v>274</v>
      </c>
      <c r="Q314" s="18" t="n">
        <f aca="false">1.15+((P314-255)/59)*(0.35-1.15)</f>
        <v>0.892372881355932</v>
      </c>
      <c r="R314" s="12" t="n">
        <f aca="false">Q314*L314</f>
        <v>4.19415254237288</v>
      </c>
      <c r="S314" s="12" t="n">
        <f aca="false">J314-R314</f>
        <v>-4.19415254237288</v>
      </c>
      <c r="T314" s="12" t="n">
        <f aca="false">MIN(197.4,T313+S314)</f>
        <v>124.696949152542</v>
      </c>
      <c r="V314" s="8" t="n">
        <v>2660.7</v>
      </c>
      <c r="X314" s="8" t="n">
        <f aca="false">X313+V314</f>
        <v>205432.7</v>
      </c>
      <c r="Y314" s="82" t="n">
        <f aca="false">Y313+V314</f>
        <v>28358.4</v>
      </c>
      <c r="AA314" s="8" t="n">
        <v>15.86833361184</v>
      </c>
    </row>
    <row r="315" s="8" customFormat="true" ht="15" hidden="false" customHeight="false" outlineLevel="0" collapsed="false">
      <c r="A315" s="63"/>
      <c r="B315" s="15"/>
      <c r="C315" s="64" t="n">
        <v>41431</v>
      </c>
      <c r="D315" s="8" t="n">
        <v>20.3</v>
      </c>
      <c r="E315" s="8" t="n">
        <v>12.8</v>
      </c>
      <c r="F315" s="8" t="n">
        <v>25.6</v>
      </c>
      <c r="G315" s="8" t="n">
        <f aca="false">G314+D315</f>
        <v>2448.4</v>
      </c>
      <c r="H315" s="82" t="n">
        <f aca="false">H314+D315</f>
        <v>249.7</v>
      </c>
      <c r="J315" s="8" t="n">
        <v>0</v>
      </c>
      <c r="K315" s="8" t="n">
        <f aca="false">J315+K314</f>
        <v>714</v>
      </c>
      <c r="L315" s="8" t="n">
        <v>4</v>
      </c>
      <c r="M315" s="8" t="n">
        <f aca="false">M314+L315</f>
        <v>379.5</v>
      </c>
      <c r="N315" s="8" t="n">
        <v>-4</v>
      </c>
      <c r="O315" s="8" t="n">
        <f aca="false">O314+N315</f>
        <v>134.3</v>
      </c>
      <c r="P315" s="8" t="n">
        <v>275</v>
      </c>
      <c r="Q315" s="18" t="n">
        <f aca="false">1.15+((P315-255)/59)*(0.35-1.15)</f>
        <v>0.878813559322034</v>
      </c>
      <c r="R315" s="12" t="n">
        <f aca="false">Q315*L315</f>
        <v>3.51525423728814</v>
      </c>
      <c r="S315" s="12" t="n">
        <f aca="false">J315-R315</f>
        <v>-3.51525423728814</v>
      </c>
      <c r="T315" s="12" t="n">
        <f aca="false">MIN(197.4,T314+S315)</f>
        <v>121.181694915254</v>
      </c>
      <c r="V315" s="8" t="n">
        <v>2188.8</v>
      </c>
      <c r="X315" s="8" t="n">
        <f aca="false">X314+V315</f>
        <v>207621.5</v>
      </c>
      <c r="Y315" s="82" t="n">
        <f aca="false">Y314+V315</f>
        <v>30547.2</v>
      </c>
      <c r="AA315" s="8" t="n">
        <v>15.8908496129102</v>
      </c>
    </row>
    <row r="316" s="8" customFormat="true" ht="15" hidden="false" customHeight="false" outlineLevel="0" collapsed="false">
      <c r="A316" s="63"/>
      <c r="B316" s="15"/>
      <c r="C316" s="64" t="n">
        <v>41432</v>
      </c>
      <c r="D316" s="8" t="n">
        <v>19.3</v>
      </c>
      <c r="E316" s="8" t="n">
        <v>15.9</v>
      </c>
      <c r="F316" s="8" t="n">
        <v>27.8</v>
      </c>
      <c r="G316" s="8" t="n">
        <f aca="false">G315+D316</f>
        <v>2467.7</v>
      </c>
      <c r="H316" s="82" t="n">
        <f aca="false">H315+D316</f>
        <v>269</v>
      </c>
      <c r="J316" s="8" t="n">
        <v>21.2</v>
      </c>
      <c r="K316" s="8" t="n">
        <f aca="false">J316+K315</f>
        <v>735.2</v>
      </c>
      <c r="L316" s="8" t="n">
        <v>5.3</v>
      </c>
      <c r="M316" s="8" t="n">
        <f aca="false">M315+L316</f>
        <v>384.8</v>
      </c>
      <c r="N316" s="8" t="n">
        <v>15.9</v>
      </c>
      <c r="O316" s="8" t="n">
        <f aca="false">O315+N316</f>
        <v>150.2</v>
      </c>
      <c r="P316" s="8" t="n">
        <v>276</v>
      </c>
      <c r="Q316" s="18" t="n">
        <f aca="false">1.15+((P316-255)/59)*(0.35-1.15)</f>
        <v>0.865254237288136</v>
      </c>
      <c r="R316" s="12" t="n">
        <f aca="false">Q316*L316</f>
        <v>4.58584745762712</v>
      </c>
      <c r="S316" s="12" t="n">
        <f aca="false">J316-R316</f>
        <v>16.6141525423729</v>
      </c>
      <c r="T316" s="12" t="n">
        <f aca="false">MIN(197.4,T315+S316)</f>
        <v>137.795847457627</v>
      </c>
      <c r="V316" s="8" t="n">
        <v>2337.5</v>
      </c>
      <c r="X316" s="8" t="n">
        <f aca="false">X315+V316</f>
        <v>209959</v>
      </c>
      <c r="Y316" s="82" t="n">
        <f aca="false">Y315+V316</f>
        <v>32884.7</v>
      </c>
      <c r="AA316" s="8" t="n">
        <v>15.9121094597803</v>
      </c>
    </row>
    <row r="317" s="8" customFormat="true" ht="15" hidden="false" customHeight="false" outlineLevel="0" collapsed="false">
      <c r="A317" s="63"/>
      <c r="B317" s="15"/>
      <c r="C317" s="64" t="n">
        <v>41433</v>
      </c>
      <c r="D317" s="8" t="n">
        <v>17.4</v>
      </c>
      <c r="E317" s="8" t="n">
        <v>14.6</v>
      </c>
      <c r="F317" s="8" t="n">
        <v>24.1</v>
      </c>
      <c r="G317" s="8" t="n">
        <f aca="false">G316+D317</f>
        <v>2485.1</v>
      </c>
      <c r="H317" s="82" t="n">
        <f aca="false">H316+D317</f>
        <v>286.4</v>
      </c>
      <c r="J317" s="8" t="n">
        <v>0.3</v>
      </c>
      <c r="K317" s="8" t="n">
        <f aca="false">J317+K316</f>
        <v>735.5</v>
      </c>
      <c r="L317" s="8" t="n">
        <v>3.7</v>
      </c>
      <c r="M317" s="8" t="n">
        <f aca="false">M316+L317</f>
        <v>388.5</v>
      </c>
      <c r="N317" s="8" t="n">
        <v>-3.4</v>
      </c>
      <c r="O317" s="8" t="n">
        <f aca="false">O316+N317</f>
        <v>146.8</v>
      </c>
      <c r="P317" s="8" t="n">
        <v>277</v>
      </c>
      <c r="Q317" s="18" t="n">
        <f aca="false">1.15+((P317-255)/59)*(0.35-1.15)</f>
        <v>0.851694915254237</v>
      </c>
      <c r="R317" s="12" t="n">
        <f aca="false">Q317*L317</f>
        <v>3.15127118644068</v>
      </c>
      <c r="S317" s="12" t="n">
        <f aca="false">J317-R317</f>
        <v>-2.85127118644068</v>
      </c>
      <c r="T317" s="12" t="n">
        <f aca="false">MIN(197.4,T316+S317)</f>
        <v>134.944576271186</v>
      </c>
      <c r="V317" s="8" t="n">
        <v>1771.2</v>
      </c>
      <c r="W317" s="43"/>
      <c r="X317" s="8" t="n">
        <f aca="false">X316+V317</f>
        <v>211730.2</v>
      </c>
      <c r="Y317" s="82" t="n">
        <f aca="false">Y316+V317</f>
        <v>34655.9</v>
      </c>
      <c r="AA317" s="8" t="n">
        <v>15.9320936808984</v>
      </c>
    </row>
    <row r="318" s="8" customFormat="true" ht="15" hidden="false" customHeight="true" outlineLevel="0" collapsed="false">
      <c r="A318" s="63"/>
      <c r="B318" s="15"/>
      <c r="C318" s="64" t="n">
        <v>41434</v>
      </c>
      <c r="D318" s="8" t="n">
        <v>13.4</v>
      </c>
      <c r="E318" s="8" t="n">
        <v>12.3</v>
      </c>
      <c r="F318" s="8" t="n">
        <v>14.7</v>
      </c>
      <c r="G318" s="8" t="n">
        <f aca="false">G317+D318</f>
        <v>2498.5</v>
      </c>
      <c r="H318" s="82" t="n">
        <f aca="false">H317+D318</f>
        <v>299.8</v>
      </c>
      <c r="J318" s="8" t="n">
        <v>0</v>
      </c>
      <c r="K318" s="8" t="n">
        <f aca="false">J318+K317</f>
        <v>735.5</v>
      </c>
      <c r="L318" s="8" t="n">
        <v>1.2</v>
      </c>
      <c r="M318" s="8" t="n">
        <f aca="false">M317+L318</f>
        <v>389.7</v>
      </c>
      <c r="N318" s="8" t="n">
        <v>-1.2</v>
      </c>
      <c r="O318" s="8" t="n">
        <f aca="false">O317+N318</f>
        <v>145.6</v>
      </c>
      <c r="P318" s="8" t="n">
        <v>278</v>
      </c>
      <c r="Q318" s="18" t="n">
        <f aca="false">1.15+((P318-255)/59)*(0.35-1.15)</f>
        <v>0.838135593220339</v>
      </c>
      <c r="R318" s="12" t="n">
        <f aca="false">Q318*L318</f>
        <v>1.00576271186441</v>
      </c>
      <c r="S318" s="12" t="n">
        <f aca="false">J318-R318</f>
        <v>-1.00576271186441</v>
      </c>
      <c r="T318" s="12" t="n">
        <f aca="false">MIN(197.4,T317+S318)</f>
        <v>133.938813559322</v>
      </c>
      <c r="U318" s="46"/>
      <c r="V318" s="8" t="n">
        <v>686.6</v>
      </c>
      <c r="X318" s="8" t="n">
        <f aca="false">X317+V318</f>
        <v>212416.8</v>
      </c>
      <c r="Y318" s="82" t="n">
        <f aca="false">Y317+V318</f>
        <v>35342.5</v>
      </c>
      <c r="AA318" s="8" t="n">
        <v>15.950783751414</v>
      </c>
    </row>
    <row r="319" s="23" customFormat="true" ht="15" hidden="false" customHeight="false" outlineLevel="0" collapsed="false">
      <c r="A319" s="66"/>
      <c r="B319" s="21" t="n">
        <v>600</v>
      </c>
      <c r="C319" s="67" t="n">
        <v>41435</v>
      </c>
      <c r="D319" s="23" t="n">
        <v>15.1</v>
      </c>
      <c r="E319" s="23" t="n">
        <v>12.5</v>
      </c>
      <c r="F319" s="23" t="n">
        <v>18.2</v>
      </c>
      <c r="G319" s="23" t="n">
        <f aca="false">G318+D319</f>
        <v>2513.6</v>
      </c>
      <c r="H319" s="23" t="n">
        <f aca="false">H318+D319</f>
        <v>314.9</v>
      </c>
      <c r="J319" s="23" t="n">
        <v>1.7</v>
      </c>
      <c r="K319" s="23" t="n">
        <f aca="false">J319+K318</f>
        <v>737.2</v>
      </c>
      <c r="L319" s="23" t="n">
        <v>1.9</v>
      </c>
      <c r="M319" s="23" t="n">
        <f aca="false">M318+L319</f>
        <v>391.6</v>
      </c>
      <c r="N319" s="23" t="n">
        <v>-0.2</v>
      </c>
      <c r="O319" s="23" t="n">
        <f aca="false">O318+N319</f>
        <v>145.4</v>
      </c>
      <c r="P319" s="23" t="n">
        <v>279</v>
      </c>
      <c r="Q319" s="49" t="n">
        <f aca="false">1.15+((P319-255)/59)*(0.35-1.15)</f>
        <v>0.824576271186441</v>
      </c>
      <c r="R319" s="24" t="n">
        <f aca="false">Q319*L319</f>
        <v>1.56669491525424</v>
      </c>
      <c r="S319" s="24" t="n">
        <f aca="false">J319-R319</f>
        <v>0.133305084745763</v>
      </c>
      <c r="T319" s="24" t="n">
        <f aca="false">MIN(197.4,T318+S319)</f>
        <v>134.072118644068</v>
      </c>
      <c r="V319" s="23" t="n">
        <v>915</v>
      </c>
      <c r="X319" s="23" t="n">
        <f aca="false">X318+V319</f>
        <v>213331.8</v>
      </c>
      <c r="Y319" s="23" t="n">
        <f aca="false">Y318+V319</f>
        <v>36257.5</v>
      </c>
      <c r="AA319" s="23" t="n">
        <v>15.9681621559513</v>
      </c>
    </row>
    <row r="320" s="8" customFormat="true" ht="15" hidden="false" customHeight="false" outlineLevel="0" collapsed="false">
      <c r="A320" s="68"/>
      <c r="B320" s="15"/>
      <c r="C320" s="69" t="n">
        <v>41436</v>
      </c>
      <c r="D320" s="8" t="n">
        <v>15.7</v>
      </c>
      <c r="E320" s="8" t="n">
        <v>14.2</v>
      </c>
      <c r="F320" s="8" t="n">
        <v>17.1</v>
      </c>
      <c r="G320" s="8" t="n">
        <f aca="false">G319+D320</f>
        <v>2529.3</v>
      </c>
      <c r="H320" s="82" t="n">
        <f aca="false">D320</f>
        <v>15.7</v>
      </c>
      <c r="I320" s="70" t="s">
        <v>28</v>
      </c>
      <c r="J320" s="8" t="n">
        <v>0.7</v>
      </c>
      <c r="K320" s="8" t="n">
        <f aca="false">J320+K319</f>
        <v>737.9</v>
      </c>
      <c r="L320" s="8" t="n">
        <v>0.9</v>
      </c>
      <c r="M320" s="8" t="n">
        <f aca="false">M319+L320</f>
        <v>392.5</v>
      </c>
      <c r="N320" s="8" t="n">
        <v>-0.2</v>
      </c>
      <c r="O320" s="8" t="n">
        <f aca="false">O319+N320</f>
        <v>145.2</v>
      </c>
      <c r="P320" s="8" t="n">
        <v>280</v>
      </c>
      <c r="Q320" s="18" t="n">
        <f aca="false">1.15+((P320-255)/59)*(0.35-1.15)</f>
        <v>0.811016949152542</v>
      </c>
      <c r="R320" s="12" t="n">
        <f aca="false">Q320*L320</f>
        <v>0.729915254237288</v>
      </c>
      <c r="S320" s="18" t="n">
        <f aca="false">J320-R320</f>
        <v>-0.0299152542372881</v>
      </c>
      <c r="T320" s="12" t="n">
        <f aca="false">MIN(197.4,T319+S320)</f>
        <v>134.042203389831</v>
      </c>
      <c r="U320" s="70" t="s">
        <v>29</v>
      </c>
      <c r="V320" s="8" t="n">
        <v>455.8</v>
      </c>
      <c r="X320" s="8" t="n">
        <f aca="false">X319+V320</f>
        <v>213787.6</v>
      </c>
      <c r="Y320" s="82" t="n">
        <f aca="false">V320</f>
        <v>455.8</v>
      </c>
      <c r="Z320" s="70" t="s">
        <v>30</v>
      </c>
      <c r="AA320" s="8" t="n">
        <v>15.9842124491506</v>
      </c>
    </row>
    <row r="321" s="8" customFormat="true" ht="15" hidden="false" customHeight="false" outlineLevel="0" collapsed="false">
      <c r="A321" s="68"/>
      <c r="B321" s="15"/>
      <c r="C321" s="69" t="n">
        <v>41437</v>
      </c>
      <c r="D321" s="8" t="n">
        <v>16.8</v>
      </c>
      <c r="E321" s="8" t="n">
        <v>15.5</v>
      </c>
      <c r="F321" s="8" t="n">
        <v>18.6</v>
      </c>
      <c r="G321" s="8" t="n">
        <f aca="false">G320+D321</f>
        <v>2546.1</v>
      </c>
      <c r="H321" s="82" t="n">
        <f aca="false">H320+D321</f>
        <v>32.5</v>
      </c>
      <c r="I321" s="8" t="n">
        <f aca="false">MIN(E320:E345)</f>
        <v>7.9</v>
      </c>
      <c r="J321" s="8" t="n">
        <v>1.8</v>
      </c>
      <c r="K321" s="8" t="n">
        <f aca="false">J321+K320</f>
        <v>739.7</v>
      </c>
      <c r="L321" s="8" t="n">
        <v>1.2</v>
      </c>
      <c r="M321" s="8" t="n">
        <f aca="false">M320+L321</f>
        <v>393.7</v>
      </c>
      <c r="N321" s="8" t="n">
        <v>0.6</v>
      </c>
      <c r="O321" s="8" t="n">
        <f aca="false">O320+N321</f>
        <v>145.8</v>
      </c>
      <c r="P321" s="8" t="n">
        <v>281</v>
      </c>
      <c r="Q321" s="18" t="n">
        <f aca="false">1.15+((P321-255)/59)*(0.35-1.15)</f>
        <v>0.797457627118644</v>
      </c>
      <c r="R321" s="12" t="n">
        <f aca="false">Q321*L321</f>
        <v>0.956949152542373</v>
      </c>
      <c r="S321" s="12" t="n">
        <f aca="false">J321-R321</f>
        <v>0.843050847457627</v>
      </c>
      <c r="T321" s="12" t="n">
        <f aca="false">MIN(197.4,T320+S321)</f>
        <v>134.885254237288</v>
      </c>
      <c r="V321" s="8" t="n">
        <v>524.2</v>
      </c>
      <c r="X321" s="8" t="n">
        <f aca="false">X320+V321</f>
        <v>214311.8</v>
      </c>
      <c r="Y321" s="82" t="n">
        <f aca="false">Y320+V321</f>
        <v>980</v>
      </c>
      <c r="Z321" s="8" t="n">
        <v>31916.8</v>
      </c>
      <c r="AA321" s="8" t="n">
        <v>15.9989193135647</v>
      </c>
    </row>
    <row r="322" s="8" customFormat="true" ht="15" hidden="false" customHeight="false" outlineLevel="0" collapsed="false">
      <c r="A322" s="68"/>
      <c r="B322" s="15"/>
      <c r="C322" s="69" t="n">
        <v>41438</v>
      </c>
      <c r="D322" s="8" t="n">
        <v>14.9</v>
      </c>
      <c r="E322" s="8" t="n">
        <v>13.9</v>
      </c>
      <c r="F322" s="8" t="n">
        <v>18.4</v>
      </c>
      <c r="G322" s="8" t="n">
        <f aca="false">G321+D322</f>
        <v>2561</v>
      </c>
      <c r="H322" s="82" t="n">
        <f aca="false">H321+D322</f>
        <v>47.4</v>
      </c>
      <c r="I322" s="70" t="s">
        <v>31</v>
      </c>
      <c r="J322" s="8" t="n">
        <v>0.8</v>
      </c>
      <c r="K322" s="8" t="n">
        <f aca="false">J322+K321</f>
        <v>740.5</v>
      </c>
      <c r="L322" s="8" t="n">
        <v>2.4</v>
      </c>
      <c r="M322" s="8" t="n">
        <f aca="false">M321+L322</f>
        <v>396.1</v>
      </c>
      <c r="N322" s="8" t="n">
        <v>-1.6</v>
      </c>
      <c r="O322" s="8" t="n">
        <f aca="false">O321+N322</f>
        <v>144.2</v>
      </c>
      <c r="P322" s="8" t="n">
        <v>282</v>
      </c>
      <c r="Q322" s="18" t="n">
        <f aca="false">1.15+((P322-255)/59)*(0.35-1.15)</f>
        <v>0.783898305084746</v>
      </c>
      <c r="R322" s="12" t="n">
        <f aca="false">Q322*L322</f>
        <v>1.88135593220339</v>
      </c>
      <c r="S322" s="12" t="n">
        <f aca="false">J322-R322</f>
        <v>-1.08135593220339</v>
      </c>
      <c r="T322" s="12" t="n">
        <f aca="false">MIN(197.4,T321+S322)</f>
        <v>133.803898305085</v>
      </c>
      <c r="U322" s="70" t="s">
        <v>32</v>
      </c>
      <c r="V322" s="8" t="n">
        <v>1177.1</v>
      </c>
      <c r="X322" s="8" t="n">
        <f aca="false">X321+V322</f>
        <v>215488.9</v>
      </c>
      <c r="Y322" s="82" t="n">
        <f aca="false">Y321+V322</f>
        <v>2157.1</v>
      </c>
      <c r="Z322" s="70" t="s">
        <v>33</v>
      </c>
      <c r="AA322" s="8" t="n">
        <v>16.0122686145</v>
      </c>
    </row>
    <row r="323" s="8" customFormat="true" ht="15" hidden="false" customHeight="false" outlineLevel="0" collapsed="false">
      <c r="A323" s="68"/>
      <c r="B323" s="15"/>
      <c r="C323" s="69" t="n">
        <v>41439</v>
      </c>
      <c r="D323" s="8" t="n">
        <v>15</v>
      </c>
      <c r="E323" s="8" t="n">
        <v>9.9</v>
      </c>
      <c r="F323" s="8" t="n">
        <v>20.2</v>
      </c>
      <c r="G323" s="8" t="n">
        <f aca="false">G322+D323</f>
        <v>2576</v>
      </c>
      <c r="H323" s="82" t="n">
        <f aca="false">H322+D323</f>
        <v>62.4</v>
      </c>
      <c r="I323" s="8" t="n">
        <f aca="false">MAX(F320:F345)</f>
        <v>24.9</v>
      </c>
      <c r="J323" s="8" t="n">
        <v>0.3</v>
      </c>
      <c r="K323" s="8" t="n">
        <f aca="false">J323+K322</f>
        <v>740.8</v>
      </c>
      <c r="L323" s="8" t="n">
        <v>2.9</v>
      </c>
      <c r="M323" s="8" t="n">
        <f aca="false">M322+L323</f>
        <v>399</v>
      </c>
      <c r="N323" s="8" t="n">
        <v>-2.6</v>
      </c>
      <c r="O323" s="8" t="n">
        <f aca="false">O322+N323</f>
        <v>141.6</v>
      </c>
      <c r="P323" s="8" t="n">
        <v>283</v>
      </c>
      <c r="Q323" s="18" t="n">
        <f aca="false">1.15+((P323-255)/59)*(0.35-1.15)</f>
        <v>0.770338983050847</v>
      </c>
      <c r="R323" s="12" t="n">
        <f aca="false">Q323*L323</f>
        <v>2.23398305084746</v>
      </c>
      <c r="S323" s="12" t="n">
        <f aca="false">J323-R323</f>
        <v>-1.93398305084746</v>
      </c>
      <c r="T323" s="12" t="n">
        <f aca="false">MIN(197.4,T322+S323)</f>
        <v>131.869915254237</v>
      </c>
      <c r="U323" s="8" t="n">
        <v>0</v>
      </c>
      <c r="V323" s="8" t="n">
        <v>1511.9</v>
      </c>
      <c r="X323" s="8" t="n">
        <f aca="false">X322+V323</f>
        <v>217000.8</v>
      </c>
      <c r="Y323" s="82" t="n">
        <f aca="false">Y322+V323</f>
        <v>3669</v>
      </c>
      <c r="Z323" s="8" t="n">
        <f aca="false">(Z321/100)/I333</f>
        <v>0.765574478292156</v>
      </c>
      <c r="AA323" s="8" t="n">
        <v>16.0242474514084</v>
      </c>
    </row>
    <row r="324" s="8" customFormat="true" ht="15" hidden="false" customHeight="false" outlineLevel="0" collapsed="false">
      <c r="A324" s="68"/>
      <c r="B324" s="15"/>
      <c r="C324" s="69" t="n">
        <v>41440</v>
      </c>
      <c r="D324" s="8" t="n">
        <v>14.7</v>
      </c>
      <c r="E324" s="8" t="n">
        <v>11.9</v>
      </c>
      <c r="F324" s="8" t="n">
        <v>17.3</v>
      </c>
      <c r="G324" s="8" t="n">
        <f aca="false">G323+D324</f>
        <v>2590.7</v>
      </c>
      <c r="H324" s="82" t="n">
        <f aca="false">H323+D324</f>
        <v>77.1</v>
      </c>
      <c r="I324" s="70" t="s">
        <v>34</v>
      </c>
      <c r="J324" s="8" t="n">
        <v>0</v>
      </c>
      <c r="K324" s="8" t="n">
        <f aca="false">J324+K323</f>
        <v>740.8</v>
      </c>
      <c r="L324" s="8" t="n">
        <v>3.2</v>
      </c>
      <c r="M324" s="8" t="n">
        <f aca="false">M323+L324</f>
        <v>402.2</v>
      </c>
      <c r="N324" s="8" t="n">
        <v>-3.2</v>
      </c>
      <c r="O324" s="8" t="n">
        <f aca="false">O323+N324</f>
        <v>138.4</v>
      </c>
      <c r="P324" s="8" t="n">
        <v>284</v>
      </c>
      <c r="Q324" s="18" t="n">
        <f aca="false">1.15+((P324-255)/59)*(0.35-1.15)</f>
        <v>0.756779661016949</v>
      </c>
      <c r="R324" s="12" t="n">
        <f aca="false">Q324*L324</f>
        <v>2.42169491525424</v>
      </c>
      <c r="S324" s="12" t="n">
        <f aca="false">J324-R324</f>
        <v>-2.42169491525424</v>
      </c>
      <c r="T324" s="12" t="n">
        <f aca="false">MIN(197.4,T323+S324)</f>
        <v>129.448220338983</v>
      </c>
      <c r="U324" s="70" t="s">
        <v>35</v>
      </c>
      <c r="V324" s="8" t="n">
        <v>1936.7</v>
      </c>
      <c r="X324" s="8" t="n">
        <f aca="false">X323+V324</f>
        <v>218937.5</v>
      </c>
      <c r="Y324" s="82" t="n">
        <f aca="false">Y323+V324</f>
        <v>5605.7</v>
      </c>
      <c r="Z324" s="70" t="s">
        <v>36</v>
      </c>
      <c r="AA324" s="8" t="n">
        <v>16.0348442054484</v>
      </c>
    </row>
    <row r="325" s="8" customFormat="true" ht="15" hidden="false" customHeight="false" outlineLevel="0" collapsed="false">
      <c r="A325" s="68"/>
      <c r="B325" s="15"/>
      <c r="C325" s="69" t="n">
        <v>41441</v>
      </c>
      <c r="D325" s="8" t="n">
        <v>16.2</v>
      </c>
      <c r="E325" s="8" t="n">
        <v>11.8</v>
      </c>
      <c r="F325" s="8" t="n">
        <v>19.9</v>
      </c>
      <c r="G325" s="8" t="n">
        <f aca="false">G324+D325</f>
        <v>2606.9</v>
      </c>
      <c r="H325" s="82" t="n">
        <f aca="false">H324+D325</f>
        <v>93.3</v>
      </c>
      <c r="I325" s="12" t="n">
        <f aca="false">AVERAGE(D320:D345)</f>
        <v>16.0346153846154</v>
      </c>
      <c r="J325" s="8" t="n">
        <v>6.7</v>
      </c>
      <c r="K325" s="8" t="n">
        <f aca="false">J325+K324</f>
        <v>747.5</v>
      </c>
      <c r="L325" s="8" t="n">
        <v>1.5</v>
      </c>
      <c r="M325" s="8" t="n">
        <f aca="false">M324+L325</f>
        <v>403.7</v>
      </c>
      <c r="N325" s="8" t="n">
        <v>5.2</v>
      </c>
      <c r="O325" s="8" t="n">
        <f aca="false">O324+N325</f>
        <v>143.6</v>
      </c>
      <c r="P325" s="8" t="n">
        <v>285</v>
      </c>
      <c r="Q325" s="18" t="n">
        <f aca="false">1.15+((P325-255)/59)*(0.35-1.15)</f>
        <v>0.743220338983051</v>
      </c>
      <c r="R325" s="12" t="n">
        <f aca="false">Q325*L325</f>
        <v>1.11483050847458</v>
      </c>
      <c r="S325" s="12" t="n">
        <f aca="false">J325-R325</f>
        <v>5.58516949152542</v>
      </c>
      <c r="T325" s="12" t="n">
        <f aca="false">MIN(197.4,T324+S325)</f>
        <v>135.033389830508</v>
      </c>
      <c r="U325" s="8" t="n">
        <v>0</v>
      </c>
      <c r="V325" s="8" t="n">
        <v>1026.2</v>
      </c>
      <c r="X325" s="8" t="n">
        <f aca="false">X324+V325</f>
        <v>219963.7</v>
      </c>
      <c r="Y325" s="82" t="n">
        <f aca="false">Y324+V325</f>
        <v>6631.9</v>
      </c>
      <c r="Z325" s="8" t="n">
        <v>9</v>
      </c>
      <c r="AA325" s="8" t="n">
        <v>16.0440485828574</v>
      </c>
    </row>
    <row r="326" s="8" customFormat="true" ht="15" hidden="false" customHeight="false" outlineLevel="0" collapsed="false">
      <c r="A326" s="68"/>
      <c r="B326" s="15"/>
      <c r="C326" s="69" t="n">
        <v>41442</v>
      </c>
      <c r="D326" s="8" t="n">
        <v>18.9</v>
      </c>
      <c r="E326" s="8" t="n">
        <v>15</v>
      </c>
      <c r="F326" s="8" t="n">
        <v>24.5</v>
      </c>
      <c r="G326" s="8" t="n">
        <f aca="false">G325+D326</f>
        <v>2625.8</v>
      </c>
      <c r="H326" s="82" t="n">
        <f aca="false">H325+D326</f>
        <v>112.2</v>
      </c>
      <c r="I326" s="70" t="s">
        <v>37</v>
      </c>
      <c r="J326" s="8" t="n">
        <v>0.6</v>
      </c>
      <c r="K326" s="8" t="n">
        <f aca="false">J326+K325</f>
        <v>748.1</v>
      </c>
      <c r="L326" s="8" t="n">
        <v>1.5</v>
      </c>
      <c r="M326" s="8" t="n">
        <f aca="false">M325+L326</f>
        <v>405.2</v>
      </c>
      <c r="N326" s="8" t="n">
        <v>-0.9</v>
      </c>
      <c r="O326" s="8" t="n">
        <f aca="false">O325+N326</f>
        <v>142.7</v>
      </c>
      <c r="P326" s="8" t="n">
        <v>286</v>
      </c>
      <c r="Q326" s="18" t="n">
        <f aca="false">1.15+((P326-255)/59)*(0.35-1.15)</f>
        <v>0.729661016949152</v>
      </c>
      <c r="R326" s="12" t="n">
        <f aca="false">Q326*L326</f>
        <v>1.09449152542373</v>
      </c>
      <c r="S326" s="12" t="n">
        <f aca="false">J326-R326</f>
        <v>-0.494491525423729</v>
      </c>
      <c r="T326" s="12" t="n">
        <f aca="false">MIN(197.4,T325+S326)</f>
        <v>134.538898305085</v>
      </c>
      <c r="U326" s="70" t="s">
        <v>38</v>
      </c>
      <c r="V326" s="8" t="n">
        <v>772.9</v>
      </c>
      <c r="X326" s="8" t="n">
        <f aca="false">X325+V326</f>
        <v>220736.6</v>
      </c>
      <c r="Y326" s="82" t="n">
        <f aca="false">Y325+V326</f>
        <v>7404.8</v>
      </c>
      <c r="AA326" s="8" t="n">
        <v>16.0518516538001</v>
      </c>
    </row>
    <row r="327" s="8" customFormat="true" ht="15" hidden="false" customHeight="false" outlineLevel="0" collapsed="false">
      <c r="A327" s="68"/>
      <c r="B327" s="15"/>
      <c r="C327" s="69" t="n">
        <v>41443</v>
      </c>
      <c r="D327" s="8" t="n">
        <v>16.2</v>
      </c>
      <c r="E327" s="8" t="n">
        <v>12.7</v>
      </c>
      <c r="F327" s="8" t="n">
        <v>19.8</v>
      </c>
      <c r="G327" s="8" t="n">
        <f aca="false">G326+D327</f>
        <v>2642</v>
      </c>
      <c r="H327" s="82" t="n">
        <f aca="false">H326+D327</f>
        <v>128.4</v>
      </c>
      <c r="I327" s="8" t="n">
        <v>0</v>
      </c>
      <c r="J327" s="8" t="n">
        <v>0.6</v>
      </c>
      <c r="K327" s="8" t="n">
        <f aca="false">J327+K326</f>
        <v>748.7</v>
      </c>
      <c r="L327" s="8" t="n">
        <v>1.5</v>
      </c>
      <c r="M327" s="8" t="n">
        <f aca="false">M326+L327</f>
        <v>406.7</v>
      </c>
      <c r="N327" s="8" t="n">
        <v>-0.9</v>
      </c>
      <c r="O327" s="8" t="n">
        <f aca="false">O326+N327</f>
        <v>141.8</v>
      </c>
      <c r="P327" s="8" t="n">
        <v>287</v>
      </c>
      <c r="Q327" s="18" t="n">
        <f aca="false">1.15+((P327-255)/59)*(0.35-1.15)</f>
        <v>0.716101694915254</v>
      </c>
      <c r="R327" s="12" t="n">
        <f aca="false">Q327*L327</f>
        <v>1.07415254237288</v>
      </c>
      <c r="S327" s="12" t="n">
        <f aca="false">J327-R327</f>
        <v>-0.474152542372881</v>
      </c>
      <c r="T327" s="12" t="n">
        <f aca="false">MIN(197.4,T326+S327)</f>
        <v>134.064745762712</v>
      </c>
      <c r="U327" s="12" t="n">
        <f aca="false">MAX(T320:T345)</f>
        <v>135.033389830508</v>
      </c>
      <c r="V327" s="8" t="n">
        <v>977.3</v>
      </c>
      <c r="X327" s="8" t="n">
        <f aca="false">X326+V327</f>
        <v>221713.9</v>
      </c>
      <c r="Y327" s="82" t="n">
        <f aca="false">Y326+V327</f>
        <v>8382.1</v>
      </c>
      <c r="AA327" s="8" t="n">
        <v>16.0582458863922</v>
      </c>
    </row>
    <row r="328" s="8" customFormat="true" ht="15" hidden="false" customHeight="false" outlineLevel="0" collapsed="false">
      <c r="A328" s="68"/>
      <c r="B328" s="15"/>
      <c r="C328" s="69" t="n">
        <v>41444</v>
      </c>
      <c r="D328" s="8" t="n">
        <v>16.3</v>
      </c>
      <c r="E328" s="8" t="n">
        <v>14.5</v>
      </c>
      <c r="F328" s="8" t="n">
        <v>19.6</v>
      </c>
      <c r="G328" s="8" t="n">
        <f aca="false">G327+D328</f>
        <v>2658.3</v>
      </c>
      <c r="H328" s="82" t="n">
        <f aca="false">H327+D328</f>
        <v>144.7</v>
      </c>
      <c r="I328" s="70" t="s">
        <v>39</v>
      </c>
      <c r="J328" s="8" t="n">
        <v>0.9</v>
      </c>
      <c r="K328" s="8" t="n">
        <f aca="false">J328+K327</f>
        <v>749.6</v>
      </c>
      <c r="L328" s="8" t="n">
        <v>2.2</v>
      </c>
      <c r="M328" s="8" t="n">
        <f aca="false">M327+L328</f>
        <v>408.9</v>
      </c>
      <c r="N328" s="8" t="n">
        <v>-1.3</v>
      </c>
      <c r="O328" s="8" t="n">
        <f aca="false">O327+N328</f>
        <v>140.5</v>
      </c>
      <c r="P328" s="8" t="n">
        <v>288</v>
      </c>
      <c r="Q328" s="18" t="n">
        <f aca="false">1.15+((P328-255)/59)*(0.35-1.15)</f>
        <v>0.702542372881356</v>
      </c>
      <c r="R328" s="12" t="n">
        <f aca="false">Q328*L328</f>
        <v>1.54559322033898</v>
      </c>
      <c r="S328" s="12" t="n">
        <f aca="false">J328-R328</f>
        <v>-0.645593220338983</v>
      </c>
      <c r="T328" s="12" t="n">
        <f aca="false">MIN(197.4,T327+S328)</f>
        <v>133.419152542373</v>
      </c>
      <c r="U328" s="70" t="s">
        <v>40</v>
      </c>
      <c r="V328" s="8" t="n">
        <v>1055.8</v>
      </c>
      <c r="X328" s="8" t="n">
        <f aca="false">X327+V328</f>
        <v>222769.7</v>
      </c>
      <c r="Y328" s="82" t="n">
        <f aca="false">Y327+V328</f>
        <v>9437.9</v>
      </c>
      <c r="AA328" s="8" t="n">
        <v>16.0632251756265</v>
      </c>
    </row>
    <row r="329" s="8" customFormat="true" ht="15" hidden="false" customHeight="false" outlineLevel="0" collapsed="false">
      <c r="A329" s="68"/>
      <c r="B329" s="15"/>
      <c r="C329" s="69" t="n">
        <v>41445</v>
      </c>
      <c r="D329" s="8" t="n">
        <v>15.8</v>
      </c>
      <c r="E329" s="8" t="n">
        <v>10.7</v>
      </c>
      <c r="F329" s="8" t="n">
        <v>19.8</v>
      </c>
      <c r="G329" s="8" t="n">
        <f aca="false">G328+D329</f>
        <v>2674.1</v>
      </c>
      <c r="H329" s="82" t="n">
        <f aca="false">H328+D329</f>
        <v>160.5</v>
      </c>
      <c r="I329" s="8" t="n">
        <v>0</v>
      </c>
      <c r="J329" s="8" t="n">
        <v>0.2</v>
      </c>
      <c r="K329" s="8" t="n">
        <f aca="false">J329+K328</f>
        <v>749.8</v>
      </c>
      <c r="L329" s="8" t="n">
        <v>1.8</v>
      </c>
      <c r="M329" s="8" t="n">
        <f aca="false">M328+L329</f>
        <v>410.7</v>
      </c>
      <c r="N329" s="8" t="n">
        <v>-1.6</v>
      </c>
      <c r="O329" s="8" t="n">
        <f aca="false">O328+N329</f>
        <v>138.9</v>
      </c>
      <c r="P329" s="8" t="n">
        <v>289</v>
      </c>
      <c r="Q329" s="18" t="n">
        <f aca="false">1.15+((P329-255)/59)*(0.35-1.15)</f>
        <v>0.688983050847458</v>
      </c>
      <c r="R329" s="12" t="n">
        <f aca="false">Q329*L329</f>
        <v>1.24016949152542</v>
      </c>
      <c r="S329" s="12" t="n">
        <f aca="false">J329-R329</f>
        <v>-1.04016949152542</v>
      </c>
      <c r="T329" s="12" t="n">
        <f aca="false">MIN(197.4,T328+S329)</f>
        <v>132.378983050847</v>
      </c>
      <c r="U329" s="12" t="n">
        <f aca="false">MIN(T320:T345)</f>
        <v>120.038644067797</v>
      </c>
      <c r="V329" s="8" t="n">
        <v>940.2</v>
      </c>
      <c r="X329" s="8" t="n">
        <f aca="false">X328+V329</f>
        <v>223709.9</v>
      </c>
      <c r="Y329" s="82" t="n">
        <f aca="false">Y328+V329</f>
        <v>10378.1</v>
      </c>
      <c r="AA329" s="8" t="n">
        <v>16.0667848669732</v>
      </c>
    </row>
    <row r="330" s="8" customFormat="true" ht="15" hidden="false" customHeight="false" outlineLevel="0" collapsed="false">
      <c r="A330" s="68"/>
      <c r="B330" s="15"/>
      <c r="C330" s="69" t="n">
        <v>41446</v>
      </c>
      <c r="D330" s="8" t="n">
        <v>15.5</v>
      </c>
      <c r="E330" s="8" t="n">
        <v>13.5</v>
      </c>
      <c r="F330" s="8" t="n">
        <v>18</v>
      </c>
      <c r="G330" s="8" t="n">
        <f aca="false">G329+D330</f>
        <v>2689.6</v>
      </c>
      <c r="H330" s="82" t="n">
        <f aca="false">H329+D330</f>
        <v>176</v>
      </c>
      <c r="I330" s="70" t="s">
        <v>41</v>
      </c>
      <c r="J330" s="8" t="n">
        <v>1.8</v>
      </c>
      <c r="K330" s="8" t="n">
        <f aca="false">J330+K329</f>
        <v>751.6</v>
      </c>
      <c r="L330" s="8" t="n">
        <v>1.6</v>
      </c>
      <c r="M330" s="8" t="n">
        <f aca="false">M329+L330</f>
        <v>412.3</v>
      </c>
      <c r="N330" s="8" t="n">
        <v>0.2</v>
      </c>
      <c r="O330" s="8" t="n">
        <f aca="false">O329+N330</f>
        <v>139.1</v>
      </c>
      <c r="P330" s="8" t="n">
        <v>290</v>
      </c>
      <c r="Q330" s="18" t="n">
        <f aca="false">1.15+((P330-255)/59)*(0.35-1.15)</f>
        <v>0.675423728813559</v>
      </c>
      <c r="R330" s="12" t="n">
        <f aca="false">Q330*L330</f>
        <v>1.0806779661017</v>
      </c>
      <c r="S330" s="12" t="n">
        <f aca="false">J330-R330</f>
        <v>0.719322033898305</v>
      </c>
      <c r="T330" s="12" t="n">
        <f aca="false">MIN(197.4,T329+S330)</f>
        <v>133.098305084746</v>
      </c>
      <c r="U330" s="70" t="s">
        <v>42</v>
      </c>
      <c r="V330" s="8" t="n">
        <v>773.1</v>
      </c>
      <c r="X330" s="8" t="n">
        <f aca="false">X329+V330</f>
        <v>224483</v>
      </c>
      <c r="Y330" s="82" t="n">
        <f aca="false">Y329+V330</f>
        <v>11151.2</v>
      </c>
      <c r="AA330" s="8" t="n">
        <v>16.0689217744591</v>
      </c>
    </row>
    <row r="331" s="8" customFormat="true" ht="15" hidden="false" customHeight="false" outlineLevel="0" collapsed="false">
      <c r="A331" s="68"/>
      <c r="B331" s="15"/>
      <c r="C331" s="69" t="n">
        <v>41447</v>
      </c>
      <c r="D331" s="8" t="n">
        <v>15.2</v>
      </c>
      <c r="E331" s="8" t="n">
        <v>12.9</v>
      </c>
      <c r="F331" s="8" t="n">
        <v>18.1</v>
      </c>
      <c r="G331" s="8" t="n">
        <f aca="false">G330+D331</f>
        <v>2704.8</v>
      </c>
      <c r="H331" s="82" t="n">
        <f aca="false">H330+D331</f>
        <v>191.2</v>
      </c>
      <c r="I331" s="8" t="n">
        <v>0</v>
      </c>
      <c r="J331" s="8" t="n">
        <v>0.6</v>
      </c>
      <c r="K331" s="8" t="n">
        <f aca="false">J331+K330</f>
        <v>752.2</v>
      </c>
      <c r="L331" s="8" t="n">
        <v>1.4</v>
      </c>
      <c r="M331" s="8" t="n">
        <f aca="false">M330+L331</f>
        <v>413.7</v>
      </c>
      <c r="N331" s="8" t="n">
        <v>-0.8</v>
      </c>
      <c r="O331" s="8" t="n">
        <f aca="false">O330+N331</f>
        <v>138.3</v>
      </c>
      <c r="P331" s="8" t="n">
        <v>291</v>
      </c>
      <c r="Q331" s="18" t="n">
        <f aca="false">1.15+((P331-255)/59)*(0.35-1.15)</f>
        <v>0.661864406779661</v>
      </c>
      <c r="R331" s="12" t="n">
        <f aca="false">Q331*L331</f>
        <v>0.926610169491525</v>
      </c>
      <c r="S331" s="12" t="n">
        <f aca="false">J331-R331</f>
        <v>-0.326610169491525</v>
      </c>
      <c r="T331" s="12" t="n">
        <f aca="false">MIN(197.4,T330+S331)</f>
        <v>132.771694915254</v>
      </c>
      <c r="U331" s="18" t="n">
        <f aca="false">AVERAGE(T320:T345)</f>
        <v>128.647731421121</v>
      </c>
      <c r="V331" s="8" t="n">
        <v>608.5</v>
      </c>
      <c r="X331" s="8" t="n">
        <f aca="false">X330+V331</f>
        <v>225091.5</v>
      </c>
      <c r="Y331" s="82" t="n">
        <f aca="false">Y330+V331</f>
        <v>11759.7</v>
      </c>
      <c r="AA331" s="8" t="n">
        <v>16.0696341930829</v>
      </c>
    </row>
    <row r="332" s="8" customFormat="true" ht="15" hidden="false" customHeight="false" outlineLevel="0" collapsed="false">
      <c r="A332" s="68"/>
      <c r="B332" s="15"/>
      <c r="C332" s="69" t="n">
        <v>41448</v>
      </c>
      <c r="D332" s="8" t="n">
        <v>14</v>
      </c>
      <c r="E332" s="8" t="n">
        <v>12.6</v>
      </c>
      <c r="F332" s="8" t="n">
        <v>15.7</v>
      </c>
      <c r="G332" s="8" t="n">
        <f aca="false">G331+D332</f>
        <v>2718.8</v>
      </c>
      <c r="H332" s="82" t="n">
        <f aca="false">H331+D332</f>
        <v>205.2</v>
      </c>
      <c r="I332" s="70" t="s">
        <v>43</v>
      </c>
      <c r="J332" s="8" t="n">
        <v>2.2</v>
      </c>
      <c r="K332" s="8" t="n">
        <f aca="false">J332+K331</f>
        <v>754.4</v>
      </c>
      <c r="L332" s="8" t="n">
        <v>2.4</v>
      </c>
      <c r="M332" s="8" t="n">
        <f aca="false">M331+L332</f>
        <v>416.1</v>
      </c>
      <c r="N332" s="8" t="n">
        <v>-0.2</v>
      </c>
      <c r="O332" s="8" t="n">
        <f aca="false">O331+N332</f>
        <v>138.1</v>
      </c>
      <c r="P332" s="8" t="n">
        <v>292</v>
      </c>
      <c r="Q332" s="18" t="n">
        <f aca="false">1.15+((P332-255)/59)*(0.35-1.15)</f>
        <v>0.648305084745763</v>
      </c>
      <c r="R332" s="12" t="n">
        <f aca="false">Q332*L332</f>
        <v>1.55593220338983</v>
      </c>
      <c r="S332" s="12" t="n">
        <f aca="false">J332-R332</f>
        <v>0.64406779661017</v>
      </c>
      <c r="T332" s="12" t="n">
        <f aca="false">MIN(197.4,T331+S332)</f>
        <v>133.415762711864</v>
      </c>
      <c r="V332" s="8" t="n">
        <v>1268.6</v>
      </c>
      <c r="X332" s="8" t="n">
        <f aca="false">X331+V332</f>
        <v>226360.1</v>
      </c>
      <c r="Y332" s="82" t="n">
        <f aca="false">Y331+V332</f>
        <v>13028.3</v>
      </c>
      <c r="AA332" s="8" t="n">
        <v>16.0689219054602</v>
      </c>
    </row>
    <row r="333" s="8" customFormat="true" ht="15" hidden="false" customHeight="false" outlineLevel="0" collapsed="false">
      <c r="A333" s="68"/>
      <c r="B333" s="15"/>
      <c r="C333" s="69" t="n">
        <v>41449</v>
      </c>
      <c r="D333" s="8" t="n">
        <v>13.5</v>
      </c>
      <c r="E333" s="8" t="n">
        <v>11.2</v>
      </c>
      <c r="F333" s="8" t="n">
        <v>17.8</v>
      </c>
      <c r="G333" s="8" t="n">
        <f aca="false">G332+D333</f>
        <v>2732.3</v>
      </c>
      <c r="H333" s="82" t="n">
        <f aca="false">H332+D333</f>
        <v>218.7</v>
      </c>
      <c r="I333" s="8" t="n">
        <v>416.9</v>
      </c>
      <c r="J333" s="8" t="n">
        <v>0</v>
      </c>
      <c r="K333" s="8" t="n">
        <f aca="false">J333+K332</f>
        <v>754.4</v>
      </c>
      <c r="L333" s="8" t="n">
        <v>4.4</v>
      </c>
      <c r="M333" s="8" t="n">
        <f aca="false">M332+L333</f>
        <v>420.5</v>
      </c>
      <c r="N333" s="8" t="n">
        <v>-4.4</v>
      </c>
      <c r="O333" s="8" t="n">
        <f aca="false">O332+N333</f>
        <v>133.7</v>
      </c>
      <c r="P333" s="8" t="n">
        <v>293</v>
      </c>
      <c r="Q333" s="18" t="n">
        <f aca="false">1.15+((P333-255)/59)*(0.35-1.15)</f>
        <v>0.634745762711864</v>
      </c>
      <c r="R333" s="12" t="n">
        <f aca="false">Q333*L333</f>
        <v>2.7928813559322</v>
      </c>
      <c r="S333" s="12" t="n">
        <f aca="false">J333-R333</f>
        <v>-2.7928813559322</v>
      </c>
      <c r="T333" s="12" t="n">
        <f aca="false">MIN(197.4,T332+S333)</f>
        <v>130.622881355932</v>
      </c>
      <c r="U333" s="12" t="n">
        <f aca="false">(U331*100)/197.4</f>
        <v>65.1710898789875</v>
      </c>
      <c r="V333" s="8" t="n">
        <v>2578.8</v>
      </c>
      <c r="X333" s="8" t="n">
        <f aca="false">X332+V333</f>
        <v>228938.9</v>
      </c>
      <c r="Y333" s="82" t="n">
        <f aca="false">Y332+V333</f>
        <v>15607.1</v>
      </c>
      <c r="AA333" s="8" t="n">
        <v>16.0667861826471</v>
      </c>
    </row>
    <row r="334" s="8" customFormat="true" ht="15" hidden="false" customHeight="false" outlineLevel="0" collapsed="false">
      <c r="A334" s="68"/>
      <c r="B334" s="15"/>
      <c r="C334" s="69" t="n">
        <v>41450</v>
      </c>
      <c r="D334" s="8" t="n">
        <v>13.5</v>
      </c>
      <c r="E334" s="8" t="n">
        <v>7.9</v>
      </c>
      <c r="F334" s="8" t="n">
        <v>18.3</v>
      </c>
      <c r="G334" s="8" t="n">
        <f aca="false">G333+D334</f>
        <v>2745.8</v>
      </c>
      <c r="H334" s="82" t="n">
        <f aca="false">H333+D334</f>
        <v>232.2</v>
      </c>
      <c r="J334" s="8" t="n">
        <v>0</v>
      </c>
      <c r="K334" s="8" t="n">
        <f aca="false">J334+K333</f>
        <v>754.4</v>
      </c>
      <c r="L334" s="8" t="n">
        <v>3.2</v>
      </c>
      <c r="M334" s="8" t="n">
        <f aca="false">M333+L334</f>
        <v>423.7</v>
      </c>
      <c r="N334" s="8" t="n">
        <v>-3.2</v>
      </c>
      <c r="O334" s="8" t="n">
        <f aca="false">O333+N334</f>
        <v>130.5</v>
      </c>
      <c r="P334" s="8" t="n">
        <v>294</v>
      </c>
      <c r="Q334" s="18" t="n">
        <f aca="false">1.15+((P334-255)/59)*(0.35-1.15)</f>
        <v>0.621186440677966</v>
      </c>
      <c r="R334" s="12" t="n">
        <f aca="false">Q334*L334</f>
        <v>1.98779661016949</v>
      </c>
      <c r="S334" s="12" t="n">
        <f aca="false">J334-R334</f>
        <v>-1.98779661016949</v>
      </c>
      <c r="T334" s="12" t="n">
        <f aca="false">MIN(197.4,T333+S334)</f>
        <v>128.635084745763</v>
      </c>
      <c r="V334" s="8" t="n">
        <v>1972.4</v>
      </c>
      <c r="X334" s="8" t="n">
        <f aca="false">X333+V334</f>
        <v>230911.3</v>
      </c>
      <c r="Y334" s="82" t="n">
        <f aca="false">Y333+V334</f>
        <v>17579.5</v>
      </c>
      <c r="AA334" s="8" t="n">
        <v>16.0632297791328</v>
      </c>
    </row>
    <row r="335" s="8" customFormat="true" ht="15" hidden="false" customHeight="false" outlineLevel="0" collapsed="false">
      <c r="A335" s="68"/>
      <c r="B335" s="15"/>
      <c r="C335" s="69" t="n">
        <v>41451</v>
      </c>
      <c r="D335" s="8" t="n">
        <v>14.5</v>
      </c>
      <c r="E335" s="8" t="n">
        <v>9</v>
      </c>
      <c r="F335" s="8" t="n">
        <v>19.7</v>
      </c>
      <c r="G335" s="8" t="n">
        <f aca="false">G334+D335</f>
        <v>2760.3</v>
      </c>
      <c r="H335" s="82" t="n">
        <f aca="false">H334+D335</f>
        <v>246.7</v>
      </c>
      <c r="J335" s="8" t="n">
        <v>0</v>
      </c>
      <c r="K335" s="8" t="n">
        <f aca="false">J335+K334</f>
        <v>754.4</v>
      </c>
      <c r="L335" s="8" t="n">
        <v>3.3</v>
      </c>
      <c r="M335" s="8" t="n">
        <f aca="false">M334+L335</f>
        <v>427</v>
      </c>
      <c r="N335" s="8" t="n">
        <v>-3.3</v>
      </c>
      <c r="O335" s="8" t="n">
        <f aca="false">O334+N335</f>
        <v>127.2</v>
      </c>
      <c r="P335" s="8" t="n">
        <v>295</v>
      </c>
      <c r="Q335" s="18" t="n">
        <f aca="false">1.15+((P335-255)/59)*(0.35-1.15)</f>
        <v>0.607627118644068</v>
      </c>
      <c r="R335" s="12" t="n">
        <f aca="false">Q335*L335</f>
        <v>2.00516949152542</v>
      </c>
      <c r="S335" s="12" t="n">
        <f aca="false">J335-R335</f>
        <v>-2.00516949152542</v>
      </c>
      <c r="T335" s="12" t="n">
        <f aca="false">MIN(197.4,T334+S335)</f>
        <v>126.629915254237</v>
      </c>
      <c r="V335" s="8" t="n">
        <v>1984.9</v>
      </c>
      <c r="X335" s="8" t="n">
        <f aca="false">X334+V335</f>
        <v>232896.2</v>
      </c>
      <c r="Y335" s="82" t="n">
        <f aca="false">Y334+V335</f>
        <v>19564.4</v>
      </c>
      <c r="AA335" s="8" t="n">
        <v>16.058256922044</v>
      </c>
    </row>
    <row r="336" s="8" customFormat="true" ht="15" hidden="false" customHeight="false" outlineLevel="0" collapsed="false">
      <c r="A336" s="68"/>
      <c r="B336" s="15"/>
      <c r="C336" s="69" t="n">
        <v>41452</v>
      </c>
      <c r="D336" s="8" t="n">
        <v>15.4</v>
      </c>
      <c r="E336" s="8" t="n">
        <v>9.9</v>
      </c>
      <c r="F336" s="8" t="n">
        <v>20</v>
      </c>
      <c r="G336" s="8" t="n">
        <f aca="false">G335+D336</f>
        <v>2775.7</v>
      </c>
      <c r="H336" s="82" t="n">
        <f aca="false">H335+D336</f>
        <v>262.1</v>
      </c>
      <c r="J336" s="8" t="n">
        <v>0.2</v>
      </c>
      <c r="K336" s="8" t="n">
        <f aca="false">J336+K335</f>
        <v>754.6</v>
      </c>
      <c r="L336" s="8" t="n">
        <v>3.5</v>
      </c>
      <c r="M336" s="8" t="n">
        <f aca="false">M335+L336</f>
        <v>430.5</v>
      </c>
      <c r="N336" s="8" t="n">
        <v>-3.3</v>
      </c>
      <c r="O336" s="8" t="n">
        <f aca="false">O335+N336</f>
        <v>123.9</v>
      </c>
      <c r="P336" s="8" t="n">
        <v>296</v>
      </c>
      <c r="Q336" s="18" t="n">
        <f aca="false">1.15+((P336-255)/59)*(0.35-1.15)</f>
        <v>0.594067796610169</v>
      </c>
      <c r="R336" s="12" t="n">
        <f aca="false">Q336*L336</f>
        <v>2.07923728813559</v>
      </c>
      <c r="S336" s="12" t="n">
        <f aca="false">J336-R336</f>
        <v>-1.87923728813559</v>
      </c>
      <c r="T336" s="12" t="n">
        <f aca="false">MIN(197.4,T335+S336)</f>
        <v>124.750677966102</v>
      </c>
      <c r="V336" s="8" t="n">
        <v>1978.5</v>
      </c>
      <c r="X336" s="8" t="n">
        <f aca="false">X335+V336</f>
        <v>234874.7</v>
      </c>
      <c r="Y336" s="82" t="n">
        <f aca="false">Y335+V336</f>
        <v>21542.9</v>
      </c>
      <c r="AA336" s="8" t="n">
        <v>16.0518732946483</v>
      </c>
    </row>
    <row r="337" s="8" customFormat="true" ht="15" hidden="false" customHeight="false" outlineLevel="0" collapsed="false">
      <c r="A337" s="68"/>
      <c r="B337" s="15"/>
      <c r="C337" s="69" t="n">
        <v>41453</v>
      </c>
      <c r="D337" s="8" t="n">
        <v>17.4</v>
      </c>
      <c r="E337" s="8" t="n">
        <v>14.5</v>
      </c>
      <c r="F337" s="8" t="n">
        <v>22.5</v>
      </c>
      <c r="G337" s="8" t="n">
        <f aca="false">G336+D337</f>
        <v>2793.1</v>
      </c>
      <c r="H337" s="82" t="n">
        <f aca="false">H336+D337</f>
        <v>279.5</v>
      </c>
      <c r="J337" s="8" t="n">
        <v>0.1</v>
      </c>
      <c r="K337" s="8" t="n">
        <f aca="false">J337+K336</f>
        <v>754.7</v>
      </c>
      <c r="L337" s="8" t="n">
        <v>2</v>
      </c>
      <c r="M337" s="8" t="n">
        <f aca="false">M336+L337</f>
        <v>432.5</v>
      </c>
      <c r="N337" s="8" t="n">
        <v>-1.9</v>
      </c>
      <c r="O337" s="8" t="n">
        <f aca="false">O336+N337</f>
        <v>122</v>
      </c>
      <c r="P337" s="8" t="n">
        <v>297</v>
      </c>
      <c r="Q337" s="18" t="n">
        <f aca="false">1.15+((P337-255)/59)*(0.35-1.15)</f>
        <v>0.580508474576271</v>
      </c>
      <c r="R337" s="12" t="n">
        <f aca="false">Q337*L337</f>
        <v>1.16101694915254</v>
      </c>
      <c r="S337" s="12" t="n">
        <f aca="false">J337-R337</f>
        <v>-1.06101694915254</v>
      </c>
      <c r="T337" s="12" t="n">
        <f aca="false">MIN(197.4,T336+S337)</f>
        <v>123.689661016949</v>
      </c>
      <c r="V337" s="8" t="n">
        <v>832.9</v>
      </c>
      <c r="X337" s="8" t="n">
        <f aca="false">X336+V337</f>
        <v>235707.6</v>
      </c>
      <c r="Y337" s="82" t="n">
        <f aca="false">Y336+V337</f>
        <v>22375.8</v>
      </c>
      <c r="AA337" s="8" t="n">
        <v>16.0440860142921</v>
      </c>
    </row>
    <row r="338" s="8" customFormat="true" ht="15" hidden="false" customHeight="false" outlineLevel="0" collapsed="false">
      <c r="A338" s="68"/>
      <c r="B338" s="15"/>
      <c r="C338" s="69" t="n">
        <v>41454</v>
      </c>
      <c r="D338" s="8" t="n">
        <v>16.2</v>
      </c>
      <c r="E338" s="8" t="n">
        <v>12.7</v>
      </c>
      <c r="F338" s="8" t="n">
        <v>19.6</v>
      </c>
      <c r="G338" s="8" t="n">
        <f aca="false">G337+D338</f>
        <v>2809.3</v>
      </c>
      <c r="H338" s="82" t="n">
        <f aca="false">H337+D338</f>
        <v>295.7</v>
      </c>
      <c r="J338" s="8" t="n">
        <v>0</v>
      </c>
      <c r="K338" s="8" t="n">
        <f aca="false">J338+K337</f>
        <v>754.7</v>
      </c>
      <c r="L338" s="8" t="n">
        <v>1.8</v>
      </c>
      <c r="M338" s="8" t="n">
        <f aca="false">M337+L338</f>
        <v>434.3</v>
      </c>
      <c r="N338" s="8" t="n">
        <v>-1.8</v>
      </c>
      <c r="O338" s="8" t="n">
        <f aca="false">O337+N338</f>
        <v>120.2</v>
      </c>
      <c r="P338" s="8" t="n">
        <v>298</v>
      </c>
      <c r="Q338" s="18" t="n">
        <f aca="false">1.15+((P338-255)/59)*(0.35-1.15)</f>
        <v>0.566949152542373</v>
      </c>
      <c r="R338" s="12" t="n">
        <f aca="false">Q338*L338</f>
        <v>1.02050847457627</v>
      </c>
      <c r="S338" s="12" t="n">
        <f aca="false">J338-R338</f>
        <v>-1.02050847457627</v>
      </c>
      <c r="T338" s="12" t="n">
        <f aca="false">MIN(197.4,T337+S338)</f>
        <v>122.669152542373</v>
      </c>
      <c r="V338" s="8" t="n">
        <v>774.2</v>
      </c>
      <c r="X338" s="8" t="n">
        <f aca="false">X337+V338</f>
        <v>236481.8</v>
      </c>
      <c r="Y338" s="82" t="n">
        <f aca="false">Y337+V338</f>
        <v>23150</v>
      </c>
      <c r="AA338" s="8" t="n">
        <v>16.034903604951</v>
      </c>
    </row>
    <row r="339" s="8" customFormat="true" ht="15" hidden="false" customHeight="false" outlineLevel="0" collapsed="false">
      <c r="A339" s="68"/>
      <c r="B339" s="15"/>
      <c r="C339" s="69" t="n">
        <v>41455</v>
      </c>
      <c r="D339" s="8" t="n">
        <v>17.8</v>
      </c>
      <c r="E339" s="8" t="n">
        <v>13.7</v>
      </c>
      <c r="F339" s="8" t="n">
        <v>24.3</v>
      </c>
      <c r="G339" s="8" t="n">
        <f aca="false">G338+D339</f>
        <v>2827.1</v>
      </c>
      <c r="H339" s="82" t="n">
        <f aca="false">H338+D339</f>
        <v>313.5</v>
      </c>
      <c r="J339" s="8" t="n">
        <v>0</v>
      </c>
      <c r="K339" s="8" t="n">
        <f aca="false">J339+K338</f>
        <v>754.7</v>
      </c>
      <c r="L339" s="8" t="n">
        <v>2.9</v>
      </c>
      <c r="M339" s="8" t="n">
        <f aca="false">M338+L339</f>
        <v>437.2</v>
      </c>
      <c r="N339" s="8" t="n">
        <v>-2.9</v>
      </c>
      <c r="O339" s="8" t="n">
        <f aca="false">O338+N339</f>
        <v>117.3</v>
      </c>
      <c r="P339" s="8" t="n">
        <v>299</v>
      </c>
      <c r="Q339" s="18" t="n">
        <f aca="false">1.15+((P339-255)/59)*(0.35-1.15)</f>
        <v>0.553389830508475</v>
      </c>
      <c r="R339" s="12" t="n">
        <f aca="false">Q339*L339</f>
        <v>1.60483050847458</v>
      </c>
      <c r="S339" s="12" t="n">
        <f aca="false">J339-R339</f>
        <v>-1.60483050847458</v>
      </c>
      <c r="T339" s="12" t="n">
        <f aca="false">MIN(197.4,T338+S339)</f>
        <v>121.064322033898</v>
      </c>
      <c r="V339" s="8" t="n">
        <v>1460.6</v>
      </c>
      <c r="X339" s="8" t="n">
        <f aca="false">X338+V339</f>
        <v>237942.4</v>
      </c>
      <c r="Y339" s="82" t="n">
        <f aca="false">Y338+V339</f>
        <v>24610.6</v>
      </c>
      <c r="AA339" s="8" t="n">
        <v>16.0243359646141</v>
      </c>
    </row>
    <row r="340" s="8" customFormat="true" ht="15" hidden="false" customHeight="false" outlineLevel="0" collapsed="false">
      <c r="A340" s="68"/>
      <c r="B340" s="15"/>
      <c r="C340" s="69" t="n">
        <v>41456</v>
      </c>
      <c r="D340" s="8" t="n">
        <v>15.8</v>
      </c>
      <c r="E340" s="8" t="n">
        <v>12.8</v>
      </c>
      <c r="F340" s="8" t="n">
        <v>20.5</v>
      </c>
      <c r="G340" s="8" t="n">
        <f aca="false">G339+D340</f>
        <v>2842.9</v>
      </c>
      <c r="H340" s="82" t="n">
        <f aca="false">H339+D340</f>
        <v>329.3</v>
      </c>
      <c r="J340" s="8" t="n">
        <v>0</v>
      </c>
      <c r="K340" s="8" t="n">
        <f aca="false">J340+K339</f>
        <v>754.7</v>
      </c>
      <c r="L340" s="8" t="n">
        <v>1.9</v>
      </c>
      <c r="M340" s="8" t="n">
        <f aca="false">M339+L340</f>
        <v>439.1</v>
      </c>
      <c r="N340" s="8" t="n">
        <v>-1.9</v>
      </c>
      <c r="O340" s="8" t="n">
        <f aca="false">O339+N340</f>
        <v>115.4</v>
      </c>
      <c r="P340" s="8" t="n">
        <v>300</v>
      </c>
      <c r="Q340" s="18" t="n">
        <f aca="false">1.15+((P340-255)/59)*(0.35-1.15)</f>
        <v>0.539830508474576</v>
      </c>
      <c r="R340" s="12" t="n">
        <f aca="false">Q340*L340</f>
        <v>1.02567796610169</v>
      </c>
      <c r="S340" s="12" t="n">
        <f aca="false">J340-R340</f>
        <v>-1.02567796610169</v>
      </c>
      <c r="T340" s="12" t="n">
        <f aca="false">MIN(197.4,T339+S340)</f>
        <v>120.038644067797</v>
      </c>
      <c r="V340" s="8" t="n">
        <v>1072.2</v>
      </c>
      <c r="X340" s="8" t="n">
        <f aca="false">X339+V340</f>
        <v>239014.6</v>
      </c>
      <c r="Y340" s="82" t="n">
        <f aca="false">Y339+V340</f>
        <v>25682.8</v>
      </c>
      <c r="AA340" s="8" t="n">
        <v>16.01239432776</v>
      </c>
    </row>
    <row r="341" s="8" customFormat="true" ht="15" hidden="false" customHeight="false" outlineLevel="0" collapsed="false">
      <c r="A341" s="68"/>
      <c r="B341" s="15"/>
      <c r="C341" s="69" t="n">
        <v>41457</v>
      </c>
      <c r="D341" s="8" t="n">
        <v>15.4</v>
      </c>
      <c r="E341" s="8" t="n">
        <v>11.4</v>
      </c>
      <c r="F341" s="8" t="n">
        <v>21.4</v>
      </c>
      <c r="G341" s="8" t="n">
        <f aca="false">G340+D341</f>
        <v>2858.3</v>
      </c>
      <c r="H341" s="82" t="n">
        <f aca="false">H340+D341</f>
        <v>344.7</v>
      </c>
      <c r="J341" s="8" t="n">
        <v>6.1</v>
      </c>
      <c r="K341" s="8" t="n">
        <f aca="false">J341+K340</f>
        <v>760.8</v>
      </c>
      <c r="L341" s="8" t="n">
        <v>3.6</v>
      </c>
      <c r="M341" s="8" t="n">
        <f aca="false">M340+L341</f>
        <v>442.7</v>
      </c>
      <c r="N341" s="8" t="n">
        <v>2.5</v>
      </c>
      <c r="O341" s="8" t="n">
        <f aca="false">O340+N341</f>
        <v>117.9</v>
      </c>
      <c r="P341" s="8" t="n">
        <v>301</v>
      </c>
      <c r="Q341" s="18" t="n">
        <f aca="false">1.15+((P341-255)/59)*(0.35-1.15)</f>
        <v>0.526271186440678</v>
      </c>
      <c r="R341" s="12" t="n">
        <f aca="false">Q341*L341</f>
        <v>1.89457627118644</v>
      </c>
      <c r="S341" s="12" t="n">
        <f aca="false">J341-R341</f>
        <v>4.20542372881356</v>
      </c>
      <c r="T341" s="12" t="n">
        <f aca="false">MIN(197.4,T340+S341)</f>
        <v>124.24406779661</v>
      </c>
      <c r="V341" s="8" t="n">
        <v>1912.3</v>
      </c>
      <c r="X341" s="8" t="n">
        <f aca="false">X340+V341</f>
        <v>240926.9</v>
      </c>
      <c r="Y341" s="82" t="n">
        <f aca="false">Y340+V341</f>
        <v>27595.1</v>
      </c>
      <c r="AA341" s="8" t="n">
        <v>15.9990912232204</v>
      </c>
    </row>
    <row r="342" s="8" customFormat="true" ht="15" hidden="false" customHeight="false" outlineLevel="0" collapsed="false">
      <c r="A342" s="68"/>
      <c r="B342" s="15"/>
      <c r="C342" s="69" t="n">
        <v>41458</v>
      </c>
      <c r="D342" s="8" t="n">
        <v>16.7</v>
      </c>
      <c r="E342" s="8" t="n">
        <v>15.1</v>
      </c>
      <c r="F342" s="8" t="n">
        <v>19.3</v>
      </c>
      <c r="G342" s="8" t="n">
        <f aca="false">G341+D342</f>
        <v>2875</v>
      </c>
      <c r="H342" s="82" t="n">
        <f aca="false">H341+D342</f>
        <v>361.4</v>
      </c>
      <c r="J342" s="8" t="n">
        <v>0.5</v>
      </c>
      <c r="K342" s="8" t="n">
        <f aca="false">J342+K341</f>
        <v>761.3</v>
      </c>
      <c r="L342" s="8" t="n">
        <v>1.6</v>
      </c>
      <c r="M342" s="8" t="n">
        <f aca="false">M341+L342</f>
        <v>444.3</v>
      </c>
      <c r="N342" s="8" t="n">
        <v>-1.1</v>
      </c>
      <c r="O342" s="8" t="n">
        <f aca="false">O341+N342</f>
        <v>116.8</v>
      </c>
      <c r="P342" s="8" t="n">
        <v>302</v>
      </c>
      <c r="Q342" s="18" t="n">
        <f aca="false">1.15+((P342-255)/59)*(0.35-1.15)</f>
        <v>0.51271186440678</v>
      </c>
      <c r="R342" s="12" t="n">
        <f aca="false">Q342*L342</f>
        <v>0.820338983050847</v>
      </c>
      <c r="S342" s="12" t="n">
        <f aca="false">J342-R342</f>
        <v>-0.320338983050847</v>
      </c>
      <c r="T342" s="12" t="n">
        <f aca="false">MIN(197.4,T341+S342)</f>
        <v>123.923728813559</v>
      </c>
      <c r="V342" s="8" t="n">
        <v>773.5</v>
      </c>
      <c r="X342" s="8" t="n">
        <f aca="false">X341+V342</f>
        <v>241700.4</v>
      </c>
      <c r="Y342" s="82" t="n">
        <f aca="false">Y341+V342</f>
        <v>28368.6</v>
      </c>
      <c r="AA342" s="8" t="n">
        <v>15.9844404277556</v>
      </c>
    </row>
    <row r="343" s="8" customFormat="true" ht="15" hidden="false" customHeight="false" outlineLevel="0" collapsed="false">
      <c r="A343" s="68"/>
      <c r="B343" s="15"/>
      <c r="C343" s="69" t="n">
        <v>41459</v>
      </c>
      <c r="D343" s="8" t="n">
        <v>18.1</v>
      </c>
      <c r="E343" s="8" t="n">
        <v>12</v>
      </c>
      <c r="F343" s="8" t="n">
        <v>22.7</v>
      </c>
      <c r="G343" s="8" t="n">
        <f aca="false">G342+D343</f>
        <v>2893.1</v>
      </c>
      <c r="H343" s="82" t="n">
        <f aca="false">H342+D343</f>
        <v>379.5</v>
      </c>
      <c r="J343" s="8" t="n">
        <v>0</v>
      </c>
      <c r="K343" s="8" t="n">
        <f aca="false">J343+K342</f>
        <v>761.3</v>
      </c>
      <c r="L343" s="8" t="n">
        <v>1.1</v>
      </c>
      <c r="M343" s="8" t="n">
        <f aca="false">M342+L343</f>
        <v>445.4</v>
      </c>
      <c r="N343" s="8" t="n">
        <v>-1.1</v>
      </c>
      <c r="O343" s="8" t="n">
        <f aca="false">O342+N343</f>
        <v>115.7</v>
      </c>
      <c r="P343" s="8" t="n">
        <v>303</v>
      </c>
      <c r="Q343" s="18" t="n">
        <f aca="false">1.15+((P343-255)/59)*(0.35-1.15)</f>
        <v>0.499152542372881</v>
      </c>
      <c r="R343" s="12" t="n">
        <f aca="false">Q343*L343</f>
        <v>0.54906779661017</v>
      </c>
      <c r="S343" s="12" t="n">
        <f aca="false">J343-R343</f>
        <v>-0.54906779661017</v>
      </c>
      <c r="T343" s="12" t="n">
        <f aca="false">MIN(197.4,T342+S343)</f>
        <v>123.374661016949</v>
      </c>
      <c r="V343" s="8" t="n">
        <v>611.9</v>
      </c>
      <c r="W343" s="43"/>
      <c r="X343" s="8" t="n">
        <f aca="false">X342+V343</f>
        <v>242312.3</v>
      </c>
      <c r="Y343" s="82" t="n">
        <f aca="false">Y342+V343</f>
        <v>28980.5</v>
      </c>
      <c r="AA343" s="8" t="n">
        <v>15.9684569156943</v>
      </c>
    </row>
    <row r="344" s="8" customFormat="true" ht="15" hidden="false" customHeight="true" outlineLevel="0" collapsed="false">
      <c r="A344" s="68"/>
      <c r="B344" s="71"/>
      <c r="C344" s="69" t="n">
        <v>41460</v>
      </c>
      <c r="D344" s="8" t="n">
        <v>18.1</v>
      </c>
      <c r="E344" s="8" t="n">
        <v>15.4</v>
      </c>
      <c r="F344" s="8" t="n">
        <v>22.3</v>
      </c>
      <c r="G344" s="8" t="n">
        <f aca="false">G343+D344</f>
        <v>2911.2</v>
      </c>
      <c r="H344" s="82" t="n">
        <f aca="false">H343+D344</f>
        <v>397.6</v>
      </c>
      <c r="J344" s="8" t="n">
        <v>0</v>
      </c>
      <c r="K344" s="8" t="n">
        <f aca="false">J344+K343</f>
        <v>761.3</v>
      </c>
      <c r="L344" s="8" t="n">
        <v>2.7</v>
      </c>
      <c r="M344" s="8" t="n">
        <f aca="false">M343+L344</f>
        <v>448.1</v>
      </c>
      <c r="N344" s="8" t="n">
        <v>-2.7</v>
      </c>
      <c r="O344" s="8" t="n">
        <f aca="false">O343+N344</f>
        <v>113</v>
      </c>
      <c r="P344" s="8" t="n">
        <v>304</v>
      </c>
      <c r="Q344" s="18" t="n">
        <f aca="false">1.15+((P344-255)/59)*(0.35-1.15)</f>
        <v>0.485593220338983</v>
      </c>
      <c r="R344" s="12" t="n">
        <f aca="false">Q344*L344</f>
        <v>1.31110169491525</v>
      </c>
      <c r="S344" s="12" t="n">
        <f aca="false">J344-R344</f>
        <v>-1.31110169491525</v>
      </c>
      <c r="T344" s="12" t="n">
        <f aca="false">MIN(197.4,T343+S344)</f>
        <v>122.063559322034</v>
      </c>
      <c r="V344" s="8" t="n">
        <v>1140</v>
      </c>
      <c r="X344" s="8" t="n">
        <f aca="false">X343+V344</f>
        <v>243452.3</v>
      </c>
      <c r="Y344" s="82" t="n">
        <f aca="false">Y343+V344</f>
        <v>30120.5</v>
      </c>
      <c r="AA344" s="8" t="n">
        <v>15.9511568050136</v>
      </c>
    </row>
    <row r="345" s="23" customFormat="true" ht="15" hidden="false" customHeight="false" outlineLevel="0" collapsed="false">
      <c r="A345" s="72"/>
      <c r="B345" s="73" t="n">
        <v>1000</v>
      </c>
      <c r="C345" s="74" t="n">
        <v>41461</v>
      </c>
      <c r="D345" s="23" t="n">
        <v>19.3</v>
      </c>
      <c r="E345" s="23" t="n">
        <v>12.9</v>
      </c>
      <c r="F345" s="23" t="n">
        <v>24.9</v>
      </c>
      <c r="G345" s="23" t="n">
        <f aca="false">G344+D345</f>
        <v>2930.5</v>
      </c>
      <c r="H345" s="23" t="n">
        <f aca="false">H344+D345</f>
        <v>416.9</v>
      </c>
      <c r="J345" s="23" t="n">
        <v>0</v>
      </c>
      <c r="K345" s="23" t="n">
        <f aca="false">J345+K344</f>
        <v>761.3</v>
      </c>
      <c r="L345" s="23" t="n">
        <v>3.6</v>
      </c>
      <c r="M345" s="23" t="n">
        <f aca="false">M344+L345</f>
        <v>451.7</v>
      </c>
      <c r="N345" s="23" t="n">
        <v>-3.6</v>
      </c>
      <c r="O345" s="23" t="n">
        <f aca="false">O344+N345</f>
        <v>109.4</v>
      </c>
      <c r="P345" s="23" t="n">
        <v>305</v>
      </c>
      <c r="Q345" s="49" t="n">
        <f aca="false">1.15+((P345-255)/59)*(0.35-1.15)</f>
        <v>0.472033898305085</v>
      </c>
      <c r="R345" s="24" t="n">
        <f aca="false">Q345*L345</f>
        <v>1.69932203389831</v>
      </c>
      <c r="S345" s="24" t="n">
        <f aca="false">J345-R345</f>
        <v>-1.69932203389831</v>
      </c>
      <c r="T345" s="24" t="n">
        <f aca="false">MIN(197.4,T344+S345)</f>
        <v>120.364237288136</v>
      </c>
      <c r="V345" s="23" t="n">
        <v>1796.3</v>
      </c>
      <c r="X345" s="23" t="n">
        <f aca="false">X344+V345</f>
        <v>245248.6</v>
      </c>
      <c r="Y345" s="23" t="n">
        <f aca="false">Y344+V345</f>
        <v>31916.8</v>
      </c>
      <c r="AA345" s="23" t="n">
        <v>15.9325573002492</v>
      </c>
    </row>
    <row r="346" s="8" customFormat="true" ht="15" hidden="false" customHeight="false" outlineLevel="0" collapsed="false">
      <c r="A346" s="75"/>
      <c r="B346" s="71"/>
      <c r="C346" s="10" t="n">
        <v>41462</v>
      </c>
      <c r="D346" s="8" t="n">
        <v>21.7</v>
      </c>
      <c r="E346" s="8" t="n">
        <v>14.4</v>
      </c>
      <c r="F346" s="8" t="n">
        <v>29</v>
      </c>
      <c r="G346" s="8" t="n">
        <f aca="false">G345+D346</f>
        <v>2952.2</v>
      </c>
      <c r="H346" s="82" t="n">
        <f aca="false">H345+D346</f>
        <v>438.6</v>
      </c>
      <c r="J346" s="8" t="n">
        <v>0</v>
      </c>
      <c r="K346" s="8" t="n">
        <f aca="false">J346+K345</f>
        <v>761.3</v>
      </c>
      <c r="L346" s="8" t="n">
        <v>4.5</v>
      </c>
      <c r="M346" s="8" t="n">
        <f aca="false">M345+L346</f>
        <v>456.2</v>
      </c>
      <c r="N346" s="8" t="n">
        <v>-4.5</v>
      </c>
      <c r="O346" s="8" t="n">
        <f aca="false">O345+N346</f>
        <v>104.9</v>
      </c>
      <c r="P346" s="8" t="n">
        <v>306</v>
      </c>
      <c r="Q346" s="18" t="n">
        <f aca="false">1.15+((P346-255)/59)*(0.35-1.15)</f>
        <v>0.458474576271186</v>
      </c>
      <c r="R346" s="12" t="n">
        <f aca="false">Q346*L346</f>
        <v>2.06313559322034</v>
      </c>
      <c r="S346" s="12" t="n">
        <f aca="false">J346-R346</f>
        <v>-2.06313559322034</v>
      </c>
      <c r="T346" s="12" t="n">
        <f aca="false">MIN(197.4,T345+S346)</f>
        <v>118.301101694915</v>
      </c>
      <c r="V346" s="8" t="n">
        <v>2107.6</v>
      </c>
      <c r="X346" s="8" t="n">
        <f aca="false">X345+V346</f>
        <v>247356.2</v>
      </c>
      <c r="Y346" s="82" t="n">
        <f aca="false">Y345+V346</f>
        <v>34024.4</v>
      </c>
      <c r="AA346" s="8" t="n">
        <v>15.9126766326445</v>
      </c>
    </row>
    <row r="347" s="8" customFormat="true" ht="15" hidden="false" customHeight="false" outlineLevel="0" collapsed="false">
      <c r="A347" s="75"/>
      <c r="B347" s="71"/>
      <c r="C347" s="10" t="n">
        <v>41463</v>
      </c>
      <c r="D347" s="8" t="n">
        <v>23.2</v>
      </c>
      <c r="E347" s="8" t="n">
        <v>17</v>
      </c>
      <c r="F347" s="8" t="n">
        <v>30</v>
      </c>
      <c r="G347" s="8" t="n">
        <f aca="false">G346+D347</f>
        <v>2975.4</v>
      </c>
      <c r="H347" s="82" t="n">
        <f aca="false">H346+D347</f>
        <v>461.8</v>
      </c>
      <c r="J347" s="8" t="n">
        <v>0</v>
      </c>
      <c r="K347" s="8" t="n">
        <f aca="false">J347+K346</f>
        <v>761.3</v>
      </c>
      <c r="L347" s="8" t="n">
        <v>7.1</v>
      </c>
      <c r="M347" s="8" t="n">
        <f aca="false">M346+L347</f>
        <v>463.3</v>
      </c>
      <c r="N347" s="8" t="n">
        <v>-7.1</v>
      </c>
      <c r="O347" s="8" t="n">
        <f aca="false">O346+N347</f>
        <v>97.8</v>
      </c>
      <c r="P347" s="8" t="n">
        <v>307</v>
      </c>
      <c r="Q347" s="18" t="n">
        <f aca="false">1.15+((P347-255)/59)*(0.35-1.15)</f>
        <v>0.444915254237288</v>
      </c>
      <c r="R347" s="12" t="n">
        <f aca="false">Q347*L347</f>
        <v>3.15889830508475</v>
      </c>
      <c r="S347" s="12" t="n">
        <f aca="false">J347-R347</f>
        <v>-3.15889830508475</v>
      </c>
      <c r="T347" s="12" t="n">
        <f aca="false">MIN(197.4,T346+S347)</f>
        <v>115.14220338983</v>
      </c>
      <c r="V347" s="8" t="n">
        <v>3191.7</v>
      </c>
      <c r="X347" s="8" t="n">
        <f aca="false">X346+V347</f>
        <v>250547.9</v>
      </c>
      <c r="Y347" s="82" t="n">
        <f aca="false">Y346+V347</f>
        <v>37216.1</v>
      </c>
      <c r="AA347" s="8" t="n">
        <v>15.8915339979484</v>
      </c>
    </row>
    <row r="348" s="8" customFormat="true" ht="15" hidden="false" customHeight="false" outlineLevel="0" collapsed="false">
      <c r="A348" s="75"/>
      <c r="B348" s="71"/>
      <c r="C348" s="10" t="n">
        <v>41464</v>
      </c>
      <c r="D348" s="8" t="n">
        <v>22.7</v>
      </c>
      <c r="E348" s="8" t="n">
        <v>15.8</v>
      </c>
      <c r="F348" s="8" t="n">
        <v>29.8</v>
      </c>
      <c r="G348" s="8" t="n">
        <f aca="false">G347+D348</f>
        <v>2998.1</v>
      </c>
      <c r="H348" s="82" t="n">
        <f aca="false">H347+D348</f>
        <v>484.5</v>
      </c>
      <c r="J348" s="8" t="n">
        <v>0</v>
      </c>
      <c r="K348" s="8" t="n">
        <f aca="false">J348+K347</f>
        <v>761.3</v>
      </c>
      <c r="L348" s="8" t="n">
        <v>6.3</v>
      </c>
      <c r="M348" s="8" t="n">
        <f aca="false">M347+L348</f>
        <v>469.6</v>
      </c>
      <c r="N348" s="8" t="n">
        <v>-6.3</v>
      </c>
      <c r="O348" s="8" t="n">
        <f aca="false">O347+N348</f>
        <v>91.5</v>
      </c>
      <c r="P348" s="8" t="n">
        <v>308</v>
      </c>
      <c r="Q348" s="18" t="n">
        <f aca="false">1.15+((P348-255)/59)*(0.35-1.15)</f>
        <v>0.43135593220339</v>
      </c>
      <c r="R348" s="12" t="n">
        <f aca="false">Q348*L348</f>
        <v>2.71754237288136</v>
      </c>
      <c r="S348" s="12" t="n">
        <f aca="false">J348-R348</f>
        <v>-2.71754237288136</v>
      </c>
      <c r="T348" s="12" t="n">
        <f aca="false">MIN(197.4,T347+S348)</f>
        <v>112.424661016949</v>
      </c>
      <c r="V348" s="8" t="n">
        <v>2859.9</v>
      </c>
      <c r="X348" s="8" t="n">
        <f aca="false">X347+V348</f>
        <v>253407.8</v>
      </c>
      <c r="Y348" s="82" t="n">
        <f aca="false">Y347+V348</f>
        <v>40076</v>
      </c>
      <c r="AA348" s="8" t="n">
        <v>15.8691494922822</v>
      </c>
    </row>
    <row r="349" s="8" customFormat="true" ht="15" hidden="false" customHeight="false" outlineLevel="0" collapsed="false">
      <c r="A349" s="75"/>
      <c r="B349" s="71"/>
      <c r="C349" s="10" t="n">
        <v>41465</v>
      </c>
      <c r="D349" s="8" t="n">
        <v>21.3</v>
      </c>
      <c r="E349" s="8" t="n">
        <v>15.6</v>
      </c>
      <c r="F349" s="8" t="n">
        <v>28.6</v>
      </c>
      <c r="G349" s="8" t="n">
        <f aca="false">G348+D349</f>
        <v>3019.4</v>
      </c>
      <c r="H349" s="82" t="n">
        <f aca="false">H348+D349</f>
        <v>505.8</v>
      </c>
      <c r="J349" s="8" t="n">
        <v>0</v>
      </c>
      <c r="K349" s="8" t="n">
        <f aca="false">J349+K348</f>
        <v>761.3</v>
      </c>
      <c r="L349" s="8" t="n">
        <v>6.6</v>
      </c>
      <c r="M349" s="8" t="n">
        <f aca="false">M348+L349</f>
        <v>476.2</v>
      </c>
      <c r="N349" s="8" t="n">
        <v>-6.6</v>
      </c>
      <c r="O349" s="8" t="n">
        <f aca="false">O348+N349</f>
        <v>84.9</v>
      </c>
      <c r="P349" s="8" t="n">
        <v>309</v>
      </c>
      <c r="Q349" s="18" t="n">
        <f aca="false">1.15+((P349-255)/59)*(0.35-1.15)</f>
        <v>0.417796610169492</v>
      </c>
      <c r="R349" s="12" t="n">
        <f aca="false">Q349*L349</f>
        <v>2.75745762711864</v>
      </c>
      <c r="S349" s="12" t="n">
        <f aca="false">J349-R349</f>
        <v>-2.75745762711864</v>
      </c>
      <c r="T349" s="12" t="n">
        <f aca="false">MIN(197.4,T348+S349)</f>
        <v>109.66720338983</v>
      </c>
      <c r="V349" s="8" t="n">
        <v>3141</v>
      </c>
      <c r="X349" s="8" t="n">
        <f aca="false">X348+V349</f>
        <v>256548.8</v>
      </c>
      <c r="Y349" s="82" t="n">
        <f aca="false">Y348+V349</f>
        <v>43217</v>
      </c>
      <c r="AA349" s="8" t="n">
        <v>15.8455440464898</v>
      </c>
    </row>
    <row r="350" s="8" customFormat="true" ht="15" hidden="false" customHeight="false" outlineLevel="0" collapsed="false">
      <c r="A350" s="75"/>
      <c r="B350" s="71"/>
      <c r="C350" s="10" t="n">
        <v>41466</v>
      </c>
      <c r="D350" s="8" t="n">
        <v>18.7</v>
      </c>
      <c r="E350" s="8" t="n">
        <v>14.7</v>
      </c>
      <c r="F350" s="8" t="n">
        <v>23.7</v>
      </c>
      <c r="G350" s="8" t="n">
        <f aca="false">G349+D350</f>
        <v>3038.1</v>
      </c>
      <c r="H350" s="82" t="n">
        <f aca="false">H349+D350</f>
        <v>524.5</v>
      </c>
      <c r="J350" s="8" t="n">
        <v>0</v>
      </c>
      <c r="K350" s="8" t="n">
        <f aca="false">J350+K349</f>
        <v>761.3</v>
      </c>
      <c r="L350" s="8" t="n">
        <v>4.9</v>
      </c>
      <c r="M350" s="8" t="n">
        <f aca="false">M349+L350</f>
        <v>481.1</v>
      </c>
      <c r="N350" s="8" t="n">
        <v>-4.9</v>
      </c>
      <c r="O350" s="8" t="n">
        <f aca="false">O349+N350</f>
        <v>80</v>
      </c>
      <c r="P350" s="8" t="n">
        <v>310</v>
      </c>
      <c r="Q350" s="18" t="n">
        <f aca="false">1.15+((P350-255)/59)*(0.35-1.15)</f>
        <v>0.404237288135593</v>
      </c>
      <c r="R350" s="12" t="n">
        <f aca="false">Q350*L350</f>
        <v>1.98076271186441</v>
      </c>
      <c r="S350" s="12" t="n">
        <f aca="false">J350-R350</f>
        <v>-1.98076271186441</v>
      </c>
      <c r="T350" s="12" t="n">
        <f aca="false">MIN(197.4,T349+S350)</f>
        <v>107.686440677966</v>
      </c>
      <c r="V350" s="8" t="n">
        <v>2362.8</v>
      </c>
      <c r="X350" s="8" t="n">
        <f aca="false">X349+V350</f>
        <v>258911.6</v>
      </c>
      <c r="Y350" s="82" t="n">
        <f aca="false">Y349+V350</f>
        <v>45579.8</v>
      </c>
      <c r="AA350" s="8" t="n">
        <v>15.8207393593835</v>
      </c>
    </row>
    <row r="351" s="8" customFormat="true" ht="15" hidden="false" customHeight="false" outlineLevel="0" collapsed="false">
      <c r="A351" s="75"/>
      <c r="B351" s="71"/>
      <c r="C351" s="10" t="n">
        <v>41467</v>
      </c>
      <c r="D351" s="8" t="n">
        <v>19.9</v>
      </c>
      <c r="E351" s="8" t="n">
        <v>13.8</v>
      </c>
      <c r="F351" s="8" t="n">
        <v>25.9</v>
      </c>
      <c r="G351" s="8" t="n">
        <f aca="false">G350+D351</f>
        <v>3058</v>
      </c>
      <c r="H351" s="82" t="n">
        <f aca="false">H350+D351</f>
        <v>544.4</v>
      </c>
      <c r="J351" s="8" t="n">
        <v>0</v>
      </c>
      <c r="K351" s="8" t="n">
        <f aca="false">J351+K350</f>
        <v>761.3</v>
      </c>
      <c r="L351" s="8" t="n">
        <v>6.1</v>
      </c>
      <c r="M351" s="8" t="n">
        <f aca="false">M350+L351</f>
        <v>487.2</v>
      </c>
      <c r="N351" s="8" t="n">
        <v>-6.1</v>
      </c>
      <c r="O351" s="8" t="n">
        <f aca="false">O350+N351</f>
        <v>73.9</v>
      </c>
      <c r="P351" s="8" t="n">
        <v>311</v>
      </c>
      <c r="Q351" s="18" t="n">
        <f aca="false">1.15+((P351-255)/59)*(0.35-1.15)</f>
        <v>0.390677966101695</v>
      </c>
      <c r="R351" s="12" t="n">
        <f aca="false">Q351*L351</f>
        <v>2.38313559322034</v>
      </c>
      <c r="S351" s="12" t="n">
        <f aca="false">J351-R351</f>
        <v>-2.38313559322034</v>
      </c>
      <c r="T351" s="12" t="n">
        <f aca="false">MIN(197.4,T350+S351)</f>
        <v>105.303305084746</v>
      </c>
      <c r="V351" s="8" t="n">
        <v>3063.3</v>
      </c>
      <c r="X351" s="8" t="n">
        <f aca="false">X350+V351</f>
        <v>261974.9</v>
      </c>
      <c r="Y351" s="82" t="n">
        <f aca="false">Y350+V351</f>
        <v>48643.1</v>
      </c>
      <c r="AA351" s="8" t="n">
        <v>15.7947578302865</v>
      </c>
    </row>
    <row r="352" s="8" customFormat="true" ht="15" hidden="false" customHeight="false" outlineLevel="0" collapsed="false">
      <c r="A352" s="75"/>
      <c r="B352" s="71"/>
      <c r="C352" s="10" t="n">
        <v>41468</v>
      </c>
      <c r="D352" s="8" t="n">
        <v>21</v>
      </c>
      <c r="E352" s="8" t="n">
        <v>14.6</v>
      </c>
      <c r="F352" s="8" t="n">
        <v>26.7</v>
      </c>
      <c r="G352" s="8" t="n">
        <f aca="false">G351+D352</f>
        <v>3079</v>
      </c>
      <c r="H352" s="82" t="n">
        <f aca="false">H351+D352</f>
        <v>565.4</v>
      </c>
      <c r="J352" s="8" t="n">
        <v>0</v>
      </c>
      <c r="K352" s="8" t="n">
        <f aca="false">J352+K351</f>
        <v>761.3</v>
      </c>
      <c r="L352" s="8" t="n">
        <v>6.2</v>
      </c>
      <c r="M352" s="8" t="n">
        <f aca="false">M351+L352</f>
        <v>493.4</v>
      </c>
      <c r="N352" s="8" t="n">
        <v>-6.2</v>
      </c>
      <c r="O352" s="8" t="n">
        <f aca="false">O351+N352</f>
        <v>67.7</v>
      </c>
      <c r="P352" s="8" t="n">
        <v>312</v>
      </c>
      <c r="Q352" s="18" t="n">
        <f aca="false">1.15+((P352-255)/59)*(0.35-1.15)</f>
        <v>0.377118644067797</v>
      </c>
      <c r="R352" s="12" t="n">
        <f aca="false">Q352*L352</f>
        <v>2.33813559322034</v>
      </c>
      <c r="S352" s="12" t="n">
        <f aca="false">J352-R352</f>
        <v>-2.33813559322034</v>
      </c>
      <c r="T352" s="12" t="n">
        <f aca="false">MIN(197.4,T351+S352)</f>
        <v>102.965169491525</v>
      </c>
      <c r="V352" s="8" t="n">
        <v>3026.1</v>
      </c>
      <c r="X352" s="8" t="n">
        <f aca="false">X351+V352</f>
        <v>265001</v>
      </c>
      <c r="Y352" s="82" t="n">
        <f aca="false">Y351+V352</f>
        <v>51669.2</v>
      </c>
      <c r="AA352" s="8" t="n">
        <v>15.7676224912632</v>
      </c>
    </row>
    <row r="353" s="8" customFormat="true" ht="15" hidden="false" customHeight="false" outlineLevel="0" collapsed="false">
      <c r="A353" s="75"/>
      <c r="B353" s="71"/>
      <c r="C353" s="10" t="n">
        <v>41469</v>
      </c>
      <c r="D353" s="8" t="n">
        <v>22.3</v>
      </c>
      <c r="E353" s="8" t="n">
        <v>16.6</v>
      </c>
      <c r="F353" s="8" t="n">
        <v>29.8</v>
      </c>
      <c r="G353" s="8" t="n">
        <f aca="false">G352+D353</f>
        <v>3101.3</v>
      </c>
      <c r="H353" s="82" t="n">
        <f aca="false">H352+D353</f>
        <v>587.7</v>
      </c>
      <c r="J353" s="8" t="n">
        <v>0</v>
      </c>
      <c r="K353" s="8" t="n">
        <f aca="false">J353+K352</f>
        <v>761.3</v>
      </c>
      <c r="L353" s="8" t="n">
        <v>7</v>
      </c>
      <c r="M353" s="8" t="n">
        <f aca="false">M352+L353</f>
        <v>500.4</v>
      </c>
      <c r="N353" s="8" t="n">
        <v>-7</v>
      </c>
      <c r="O353" s="8" t="n">
        <f aca="false">O352+N353</f>
        <v>60.7</v>
      </c>
      <c r="P353" s="8" t="n">
        <v>313</v>
      </c>
      <c r="Q353" s="18" t="n">
        <f aca="false">1.15+((P353-255)/59)*(0.35-1.15)</f>
        <v>0.363559322033898</v>
      </c>
      <c r="R353" s="12" t="n">
        <f aca="false">Q353*L353</f>
        <v>2.54491525423729</v>
      </c>
      <c r="S353" s="12" t="n">
        <f aca="false">J353-R353</f>
        <v>-2.54491525423729</v>
      </c>
      <c r="T353" s="12" t="n">
        <f aca="false">MIN(197.4,T352+S353)</f>
        <v>100.420254237288</v>
      </c>
      <c r="V353" s="8" t="n">
        <v>3107.5</v>
      </c>
      <c r="X353" s="8" t="n">
        <f aca="false">X352+V353</f>
        <v>268108.5</v>
      </c>
      <c r="Y353" s="82" t="n">
        <f aca="false">Y352+V353</f>
        <v>54776.7</v>
      </c>
      <c r="AA353" s="8" t="n">
        <v>15.7393569394096</v>
      </c>
    </row>
    <row r="354" s="8" customFormat="true" ht="15" hidden="false" customHeight="false" outlineLevel="0" collapsed="false">
      <c r="A354" s="75"/>
      <c r="B354" s="71"/>
      <c r="C354" s="76" t="n">
        <v>41470</v>
      </c>
      <c r="D354" s="8" t="n">
        <v>21.6</v>
      </c>
      <c r="E354" s="8" t="n">
        <v>14.2</v>
      </c>
      <c r="F354" s="8" t="n">
        <v>30.3</v>
      </c>
      <c r="G354" s="8" t="n">
        <f aca="false">G353+D354</f>
        <v>3122.9</v>
      </c>
      <c r="H354" s="82" t="n">
        <f aca="false">H353+D354</f>
        <v>609.3</v>
      </c>
      <c r="J354" s="8" t="n">
        <v>0</v>
      </c>
      <c r="K354" s="8" t="n">
        <f aca="false">J354+K353</f>
        <v>761.3</v>
      </c>
      <c r="L354" s="8" t="n">
        <v>6.7</v>
      </c>
      <c r="M354" s="8" t="n">
        <f aca="false">M353+L354</f>
        <v>507.1</v>
      </c>
      <c r="N354" s="8" t="n">
        <v>-6.7</v>
      </c>
      <c r="O354" s="8" t="n">
        <f aca="false">O353+N354</f>
        <v>54</v>
      </c>
      <c r="P354" s="8" t="n">
        <v>314</v>
      </c>
      <c r="Q354" s="18" t="n">
        <f aca="false">1.15+((P354-255)/59)*(0.35-1.15)</f>
        <v>0.35</v>
      </c>
      <c r="R354" s="12" t="n">
        <f aca="false">Q354*L354</f>
        <v>2.345</v>
      </c>
      <c r="S354" s="12" t="n">
        <f aca="false">J354-R354</f>
        <v>-2.345</v>
      </c>
      <c r="T354" s="12" t="n">
        <f aca="false">MIN(197.4,T353+S354)</f>
        <v>98.0752542372881</v>
      </c>
      <c r="V354" s="8" t="n">
        <v>2976.5</v>
      </c>
      <c r="X354" s="8" t="n">
        <f aca="false">X353+V354</f>
        <v>271085</v>
      </c>
      <c r="Y354" s="82" t="n">
        <f aca="false">Y353+V354</f>
        <v>57753.2</v>
      </c>
      <c r="AA354" s="8" t="n">
        <v>15.7099852695598</v>
      </c>
    </row>
    <row r="355" s="8" customFormat="true" ht="15" hidden="false" customHeight="false" outlineLevel="0" collapsed="false">
      <c r="A355" s="77" t="s">
        <v>63</v>
      </c>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sheetData>
  <mergeCells count="11">
    <mergeCell ref="D1:I2"/>
    <mergeCell ref="J1:U2"/>
    <mergeCell ref="V1:Z2"/>
    <mergeCell ref="P3:T3"/>
    <mergeCell ref="G4:H4"/>
    <mergeCell ref="X4:Y4"/>
    <mergeCell ref="A40:Z40"/>
    <mergeCell ref="A41:A170"/>
    <mergeCell ref="A171:A220"/>
    <mergeCell ref="A221:A246"/>
    <mergeCell ref="A355:Z355"/>
  </mergeCells>
  <conditionalFormatting sqref="T1:T4">
    <cfRule type="cellIs" priority="2" operator="equal" aboveAverage="0" equalAverage="0" bottom="0" percent="0" rank="0" text="" dxfId="11">
      <formula>0</formula>
    </cfRule>
    <cfRule type="cellIs" priority="3" operator="lessThanOrEqual" aboveAverage="0" equalAverage="0" bottom="0" percent="0" rank="0" text="" dxfId="12">
      <formula>65.8</formula>
    </cfRule>
  </conditionalFormatting>
  <conditionalFormatting sqref="V1:V4">
    <cfRule type="cellIs" priority="4" operator="between" aboveAverage="0" equalAverage="0" bottom="0" percent="0" rank="0" text="" dxfId="13">
      <formula>899.999</formula>
      <formula>0</formula>
    </cfRule>
  </conditionalFormatting>
  <conditionalFormatting sqref="T5:T355">
    <cfRule type="cellIs" priority="5" operator="equal" aboveAverage="0" equalAverage="0" bottom="0" percent="0" rank="0" text="" dxfId="14">
      <formula>0</formula>
    </cfRule>
    <cfRule type="cellIs" priority="6" operator="lessThanOrEqual" aboveAverage="0" equalAverage="0" bottom="0" percent="0" rank="0" text="" dxfId="15">
      <formula>65.8</formula>
    </cfRule>
  </conditionalFormatting>
  <conditionalFormatting sqref="S41:S354">
    <cfRule type="cellIs" priority="7" operator="lessThanOrEqual" aboveAverage="0" equalAverage="0" bottom="0" percent="0" rank="0" text="" dxfId="16">
      <formula>0</formula>
    </cfRule>
  </conditionalFormatting>
  <conditionalFormatting sqref="V5:V355">
    <cfRule type="cellIs" priority="8" operator="between" aboveAverage="0" equalAverage="0" bottom="0" percent="0" rank="0" text="" dxfId="17">
      <formula>899.999</formula>
      <formula>0</formula>
    </cfRule>
  </conditionalFormatting>
  <conditionalFormatting sqref="N41:N354 N5:N39">
    <cfRule type="cellIs" priority="9" operator="between" aboveAverage="0" equalAverage="0" bottom="0" percent="0" rank="0" text="" dxfId="18">
      <formula>0</formula>
      <formula>-40</formula>
    </cfRule>
  </conditionalFormatting>
  <conditionalFormatting sqref="D41:F354 I54 I50 I52 I48 I178 I180 I182 I184 I228 I230 I232 I234 I254 I258 I256 I260 I281 I279 I277 I275 I297 I299 I303 I305 I307 I309 I333 I331 I329 I327 D5:F39">
    <cfRule type="cellIs" priority="10" operator="between" aboveAverage="0" equalAverage="0" bottom="0" percent="0" rank="0" text="" dxfId="19">
      <formula>25</formula>
      <formula>40</formula>
    </cfRule>
    <cfRule type="cellIs" priority="11" operator="between" aboveAverage="0" equalAverage="0" bottom="0" percent="0" rank="0" text="" dxfId="20">
      <formula>0</formula>
      <formula>5</formula>
    </cfRule>
    <cfRule type="cellIs" priority="12" operator="between" aboveAverage="0" equalAverage="0" bottom="0" percent="0" rank="0" text="" dxfId="21">
      <formula>0</formula>
      <formula>-50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Company>INRA - RENNES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2019-11-18T14:15:01Z</dcterms:created>
  <dc:creator>adminigepp</dc:creator>
  <dc:description/>
  <dc:language>fr-FR</dc:language>
  <cp:lastModifiedBy/>
  <dcterms:modified xsi:type="dcterms:W3CDTF">2025-12-09T13:42:56Z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