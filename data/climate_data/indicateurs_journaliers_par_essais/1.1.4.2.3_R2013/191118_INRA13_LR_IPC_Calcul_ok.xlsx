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C:\Users\ecorlouer\Documents\AA_FICHIERS_ELABORATION_IPC\Actualisation_2019_N\R2013\"/>
    </mc:Choice>
  </mc:AlternateContent>
  <bookViews>
    <workbookView xWindow="0" yWindow="0" windowWidth="28800" windowHeight="11700"/>
  </bookViews>
  <sheets>
    <sheet name="N+" sheetId="1" r:id="rId1"/>
    <sheet name="N-" sheetId="2" r:id="rId2"/>
  </sheet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AB244" i="1" l="1"/>
  <c r="AB236" i="1"/>
  <c r="AB213" i="1"/>
  <c r="AB205" i="1"/>
  <c r="AC230" i="1"/>
  <c r="AC226" i="1"/>
  <c r="AC228" i="1"/>
  <c r="AC232" i="1" l="1"/>
  <c r="AC224" i="1"/>
  <c r="U331" i="2"/>
  <c r="U307" i="2"/>
  <c r="U186" i="1"/>
  <c r="U230" i="2"/>
  <c r="U186" i="2" l="1"/>
  <c r="U327" i="2"/>
  <c r="U329" i="2"/>
  <c r="U333" i="1"/>
  <c r="U309" i="1"/>
  <c r="U282" i="1"/>
  <c r="U261" i="1"/>
  <c r="U234" i="1"/>
  <c r="U54" i="1"/>
  <c r="U333" i="2"/>
  <c r="U309" i="2"/>
  <c r="U279" i="2"/>
  <c r="U258" i="2"/>
  <c r="U232" i="2"/>
  <c r="U54" i="2"/>
  <c r="I299" i="2"/>
  <c r="I301" i="2"/>
  <c r="I297" i="2"/>
  <c r="U277" i="2"/>
  <c r="U275" i="2"/>
  <c r="U273" i="2"/>
  <c r="I273" i="2"/>
  <c r="I271" i="2"/>
  <c r="I269" i="2"/>
  <c r="I252" i="2"/>
  <c r="I250" i="2"/>
  <c r="I248" i="2"/>
  <c r="U228" i="2"/>
  <c r="U226" i="2"/>
  <c r="I226" i="2"/>
  <c r="I224" i="2"/>
  <c r="I222" i="2"/>
  <c r="Y320" i="2"/>
  <c r="H320" i="2"/>
  <c r="H296" i="2"/>
  <c r="Y296" i="2"/>
  <c r="Y268" i="2"/>
  <c r="H268" i="2"/>
  <c r="Y247" i="2"/>
  <c r="H247" i="2"/>
  <c r="Q222" i="2"/>
  <c r="R222" i="2" s="1"/>
  <c r="S222" i="2" s="1"/>
  <c r="Q223" i="2"/>
  <c r="Q224" i="2"/>
  <c r="Q225" i="2"/>
  <c r="R225" i="2" s="1"/>
  <c r="S225" i="2" s="1"/>
  <c r="Q226" i="2"/>
  <c r="Q227" i="2"/>
  <c r="Q228" i="2"/>
  <c r="Q229" i="2"/>
  <c r="R229" i="2" s="1"/>
  <c r="S229" i="2" s="1"/>
  <c r="Q230" i="2"/>
  <c r="R230" i="2" s="1"/>
  <c r="S230" i="2" s="1"/>
  <c r="Q231" i="2"/>
  <c r="Q232" i="2"/>
  <c r="Q233" i="2"/>
  <c r="Q234" i="2"/>
  <c r="Q235" i="2"/>
  <c r="Q236" i="2"/>
  <c r="Q237" i="2"/>
  <c r="R237" i="2" s="1"/>
  <c r="S237" i="2" s="1"/>
  <c r="Q238" i="2"/>
  <c r="Q239" i="2"/>
  <c r="Q240" i="2"/>
  <c r="Q241" i="2"/>
  <c r="Q242" i="2"/>
  <c r="Q243" i="2"/>
  <c r="Q244" i="2"/>
  <c r="Q245" i="2"/>
  <c r="R245" i="2" s="1"/>
  <c r="S245" i="2" s="1"/>
  <c r="Q246" i="2"/>
  <c r="R246" i="2" s="1"/>
  <c r="S246" i="2" s="1"/>
  <c r="Q221" i="2"/>
  <c r="R221" i="2" s="1"/>
  <c r="S221" i="2" s="1"/>
  <c r="Y248" i="2"/>
  <c r="Y249" i="2" s="1"/>
  <c r="Y250" i="2" s="1"/>
  <c r="Y251" i="2" s="1"/>
  <c r="Y252" i="2" s="1"/>
  <c r="Y253" i="2" s="1"/>
  <c r="Y254" i="2" s="1"/>
  <c r="Y255" i="2" s="1"/>
  <c r="Y256" i="2" s="1"/>
  <c r="Y257" i="2" s="1"/>
  <c r="Y258" i="2" s="1"/>
  <c r="Y259" i="2" s="1"/>
  <c r="Y260" i="2" s="1"/>
  <c r="Y261" i="2" s="1"/>
  <c r="Y262" i="2" s="1"/>
  <c r="Y263" i="2" s="1"/>
  <c r="Y264" i="2" s="1"/>
  <c r="Y265" i="2" s="1"/>
  <c r="Y266" i="2" s="1"/>
  <c r="Y267" i="2" s="1"/>
  <c r="Y269" i="2" s="1"/>
  <c r="Y270" i="2" s="1"/>
  <c r="Y271" i="2" s="1"/>
  <c r="Y272" i="2" s="1"/>
  <c r="Y273" i="2" s="1"/>
  <c r="Y274" i="2" s="1"/>
  <c r="Y275" i="2" s="1"/>
  <c r="Y276" i="2" s="1"/>
  <c r="Y277" i="2" s="1"/>
  <c r="Y278" i="2" s="1"/>
  <c r="Y279" i="2" s="1"/>
  <c r="Y280" i="2" s="1"/>
  <c r="Y281" i="2" s="1"/>
  <c r="Y282" i="2" s="1"/>
  <c r="Y283" i="2" s="1"/>
  <c r="Y284" i="2" s="1"/>
  <c r="Y285" i="2" s="1"/>
  <c r="Y286" i="2" s="1"/>
  <c r="Y287" i="2" s="1"/>
  <c r="Y288" i="2" s="1"/>
  <c r="Y289" i="2" s="1"/>
  <c r="Y290" i="2" s="1"/>
  <c r="Y291" i="2" s="1"/>
  <c r="Y292" i="2" s="1"/>
  <c r="Y293" i="2" s="1"/>
  <c r="Y294" i="2" s="1"/>
  <c r="Y295" i="2" s="1"/>
  <c r="Y297" i="2" s="1"/>
  <c r="Y298" i="2" s="1"/>
  <c r="Y299" i="2" s="1"/>
  <c r="Y300" i="2" s="1"/>
  <c r="Y301" i="2" s="1"/>
  <c r="Y302" i="2" s="1"/>
  <c r="Y303" i="2" s="1"/>
  <c r="Y304" i="2" s="1"/>
  <c r="Y305" i="2" s="1"/>
  <c r="Y306" i="2" s="1"/>
  <c r="Y307" i="2" s="1"/>
  <c r="Y308" i="2" s="1"/>
  <c r="Y309" i="2" s="1"/>
  <c r="Y310" i="2" s="1"/>
  <c r="Y311" i="2" s="1"/>
  <c r="Y312" i="2" s="1"/>
  <c r="Y313" i="2" s="1"/>
  <c r="Y314" i="2" s="1"/>
  <c r="Y315" i="2" s="1"/>
  <c r="Y316" i="2" s="1"/>
  <c r="Y317" i="2" s="1"/>
  <c r="Y318" i="2" s="1"/>
  <c r="Y319" i="2" s="1"/>
  <c r="Y321" i="2" s="1"/>
  <c r="Y322" i="2" s="1"/>
  <c r="Y323" i="2" s="1"/>
  <c r="Y324" i="2" s="1"/>
  <c r="Y325" i="2" s="1"/>
  <c r="Y326" i="2" s="1"/>
  <c r="Y327" i="2" s="1"/>
  <c r="Y328" i="2" s="1"/>
  <c r="Y329" i="2" s="1"/>
  <c r="Y330" i="2" s="1"/>
  <c r="Y331" i="2" s="1"/>
  <c r="Y332" i="2" s="1"/>
  <c r="Y333" i="2" s="1"/>
  <c r="Y334" i="2" s="1"/>
  <c r="Y335" i="2" s="1"/>
  <c r="Y336" i="2" s="1"/>
  <c r="Y337" i="2" s="1"/>
  <c r="Y338" i="2" s="1"/>
  <c r="Y339" i="2" s="1"/>
  <c r="Y340" i="2" s="1"/>
  <c r="Y341" i="2" s="1"/>
  <c r="Y342" i="2" s="1"/>
  <c r="Y343" i="2" s="1"/>
  <c r="Y344" i="2" s="1"/>
  <c r="Y345" i="2" s="1"/>
  <c r="Y346" i="2" s="1"/>
  <c r="Y347" i="2" s="1"/>
  <c r="Y348" i="2" s="1"/>
  <c r="Y349" i="2" s="1"/>
  <c r="Y350" i="2" s="1"/>
  <c r="Y351" i="2" s="1"/>
  <c r="Y352" i="2" s="1"/>
  <c r="Y353" i="2" s="1"/>
  <c r="Y354" i="2" s="1"/>
  <c r="H248" i="2"/>
  <c r="H249" i="2" s="1"/>
  <c r="H250" i="2" s="1"/>
  <c r="H251" i="2" s="1"/>
  <c r="H252" i="2" s="1"/>
  <c r="H253" i="2" s="1"/>
  <c r="H254" i="2" s="1"/>
  <c r="H255" i="2" s="1"/>
  <c r="H256" i="2" s="1"/>
  <c r="H257" i="2" s="1"/>
  <c r="H258" i="2" s="1"/>
  <c r="H259" i="2" s="1"/>
  <c r="H260" i="2" s="1"/>
  <c r="H261" i="2" s="1"/>
  <c r="H262" i="2" s="1"/>
  <c r="H263" i="2" s="1"/>
  <c r="H264" i="2" s="1"/>
  <c r="H265" i="2" s="1"/>
  <c r="H266" i="2" s="1"/>
  <c r="H267" i="2" s="1"/>
  <c r="H269" i="2" s="1"/>
  <c r="H270" i="2" s="1"/>
  <c r="H271" i="2" s="1"/>
  <c r="H272" i="2" s="1"/>
  <c r="H273" i="2" s="1"/>
  <c r="H274" i="2" s="1"/>
  <c r="H275" i="2" s="1"/>
  <c r="H276" i="2" s="1"/>
  <c r="H277" i="2" s="1"/>
  <c r="H278" i="2" s="1"/>
  <c r="H279" i="2" s="1"/>
  <c r="H280" i="2" s="1"/>
  <c r="H281" i="2" s="1"/>
  <c r="H282" i="2" s="1"/>
  <c r="H283" i="2" s="1"/>
  <c r="H284" i="2" s="1"/>
  <c r="H285" i="2" s="1"/>
  <c r="H286" i="2" s="1"/>
  <c r="H287" i="2" s="1"/>
  <c r="H288" i="2" s="1"/>
  <c r="H289" i="2" s="1"/>
  <c r="H290" i="2" s="1"/>
  <c r="H291" i="2" s="1"/>
  <c r="H292" i="2" s="1"/>
  <c r="H293" i="2" s="1"/>
  <c r="H294" i="2" s="1"/>
  <c r="H295" i="2" s="1"/>
  <c r="R354" i="2"/>
  <c r="S354" i="2" s="1"/>
  <c r="Q354" i="2"/>
  <c r="R353" i="2"/>
  <c r="S353" i="2" s="1"/>
  <c r="Q353" i="2"/>
  <c r="R352" i="2"/>
  <c r="S352" i="2" s="1"/>
  <c r="Q352" i="2"/>
  <c r="S351" i="2"/>
  <c r="R351" i="2"/>
  <c r="Q351" i="2"/>
  <c r="R350" i="2"/>
  <c r="S350" i="2" s="1"/>
  <c r="Q350" i="2"/>
  <c r="Q349" i="2"/>
  <c r="R349" i="2" s="1"/>
  <c r="S349" i="2" s="1"/>
  <c r="Q348" i="2"/>
  <c r="R348" i="2" s="1"/>
  <c r="S348" i="2" s="1"/>
  <c r="Q347" i="2"/>
  <c r="R347" i="2" s="1"/>
  <c r="S347" i="2" s="1"/>
  <c r="S346" i="2"/>
  <c r="Q346" i="2"/>
  <c r="R346" i="2" s="1"/>
  <c r="S345" i="2"/>
  <c r="R345" i="2"/>
  <c r="Q345" i="2"/>
  <c r="R344" i="2"/>
  <c r="S344" i="2" s="1"/>
  <c r="Q344" i="2"/>
  <c r="Q343" i="2"/>
  <c r="R343" i="2" s="1"/>
  <c r="S343" i="2" s="1"/>
  <c r="Q342" i="2"/>
  <c r="R342" i="2" s="1"/>
  <c r="S342" i="2" s="1"/>
  <c r="S341" i="2"/>
  <c r="R341" i="2"/>
  <c r="Q341" i="2"/>
  <c r="R340" i="2"/>
  <c r="S340" i="2" s="1"/>
  <c r="Q340" i="2"/>
  <c r="Q339" i="2"/>
  <c r="R339" i="2" s="1"/>
  <c r="S339" i="2" s="1"/>
  <c r="R338" i="2"/>
  <c r="S338" i="2" s="1"/>
  <c r="Q338" i="2"/>
  <c r="S337" i="2"/>
  <c r="R337" i="2"/>
  <c r="Q337" i="2"/>
  <c r="Q336" i="2"/>
  <c r="R336" i="2" s="1"/>
  <c r="S336" i="2" s="1"/>
  <c r="Q335" i="2"/>
  <c r="R335" i="2" s="1"/>
  <c r="S335" i="2" s="1"/>
  <c r="Q334" i="2"/>
  <c r="R334" i="2" s="1"/>
  <c r="S334" i="2" s="1"/>
  <c r="R333" i="2"/>
  <c r="S333" i="2" s="1"/>
  <c r="Q333" i="2"/>
  <c r="R332" i="2"/>
  <c r="S332" i="2" s="1"/>
  <c r="Q332" i="2"/>
  <c r="Q331" i="2"/>
  <c r="R331" i="2" s="1"/>
  <c r="S331" i="2" s="1"/>
  <c r="Q330" i="2"/>
  <c r="R330" i="2" s="1"/>
  <c r="S330" i="2" s="1"/>
  <c r="Q329" i="2"/>
  <c r="R329" i="2" s="1"/>
  <c r="S329" i="2" s="1"/>
  <c r="R328" i="2"/>
  <c r="S328" i="2" s="1"/>
  <c r="Q328" i="2"/>
  <c r="R327" i="2"/>
  <c r="S327" i="2" s="1"/>
  <c r="Q327" i="2"/>
  <c r="Q326" i="2"/>
  <c r="R326" i="2" s="1"/>
  <c r="S326" i="2" s="1"/>
  <c r="S325" i="2"/>
  <c r="R325" i="2"/>
  <c r="Q325" i="2"/>
  <c r="I325" i="2"/>
  <c r="Q324" i="2"/>
  <c r="R324" i="2" s="1"/>
  <c r="S324" i="2" s="1"/>
  <c r="Z323" i="2"/>
  <c r="R323" i="2"/>
  <c r="S323" i="2" s="1"/>
  <c r="Q323" i="2"/>
  <c r="I323" i="2"/>
  <c r="Q322" i="2"/>
  <c r="R322" i="2" s="1"/>
  <c r="S322" i="2" s="1"/>
  <c r="R321" i="2"/>
  <c r="S321" i="2" s="1"/>
  <c r="Q321" i="2"/>
  <c r="I321" i="2"/>
  <c r="R320" i="2"/>
  <c r="S320" i="2" s="1"/>
  <c r="Q320" i="2"/>
  <c r="Q319" i="2"/>
  <c r="R319" i="2" s="1"/>
  <c r="S319" i="2" s="1"/>
  <c r="S318" i="2"/>
  <c r="R318" i="2"/>
  <c r="Q318" i="2"/>
  <c r="R317" i="2"/>
  <c r="S317" i="2" s="1"/>
  <c r="Q317" i="2"/>
  <c r="Q316" i="2"/>
  <c r="R316" i="2" s="1"/>
  <c r="S316" i="2" s="1"/>
  <c r="R315" i="2"/>
  <c r="S315" i="2" s="1"/>
  <c r="Q315" i="2"/>
  <c r="S314" i="2"/>
  <c r="R314" i="2"/>
  <c r="Q314" i="2"/>
  <c r="Q313" i="2"/>
  <c r="R313" i="2" s="1"/>
  <c r="S313" i="2" s="1"/>
  <c r="Q312" i="2"/>
  <c r="R312" i="2" s="1"/>
  <c r="S312" i="2" s="1"/>
  <c r="Q311" i="2"/>
  <c r="R311" i="2" s="1"/>
  <c r="S311" i="2" s="1"/>
  <c r="S310" i="2"/>
  <c r="R310" i="2"/>
  <c r="Q310" i="2"/>
  <c r="R309" i="2"/>
  <c r="S309" i="2" s="1"/>
  <c r="Q309" i="2"/>
  <c r="Q308" i="2"/>
  <c r="R308" i="2" s="1"/>
  <c r="S308" i="2" s="1"/>
  <c r="Q307" i="2"/>
  <c r="R307" i="2" s="1"/>
  <c r="S307" i="2" s="1"/>
  <c r="Q306" i="2"/>
  <c r="R306" i="2" s="1"/>
  <c r="S306" i="2" s="1"/>
  <c r="S305" i="2"/>
  <c r="R305" i="2"/>
  <c r="Q305" i="2"/>
  <c r="S304" i="2"/>
  <c r="R304" i="2"/>
  <c r="Q304" i="2"/>
  <c r="Q303" i="2"/>
  <c r="R303" i="2" s="1"/>
  <c r="S303" i="2" s="1"/>
  <c r="R302" i="2"/>
  <c r="S302" i="2" s="1"/>
  <c r="Q302" i="2"/>
  <c r="R301" i="2"/>
  <c r="S301" i="2" s="1"/>
  <c r="Q301" i="2"/>
  <c r="Q300" i="2"/>
  <c r="R300" i="2" s="1"/>
  <c r="S300" i="2" s="1"/>
  <c r="Z299" i="2"/>
  <c r="R299" i="2"/>
  <c r="S299" i="2" s="1"/>
  <c r="Q299" i="2"/>
  <c r="S298" i="2"/>
  <c r="Q298" i="2"/>
  <c r="R298" i="2" s="1"/>
  <c r="S297" i="2"/>
  <c r="Q297" i="2"/>
  <c r="R297" i="2" s="1"/>
  <c r="Q296" i="2"/>
  <c r="R296" i="2" s="1"/>
  <c r="S296" i="2" s="1"/>
  <c r="S295" i="2"/>
  <c r="R295" i="2"/>
  <c r="S294" i="2"/>
  <c r="R294" i="2"/>
  <c r="R293" i="2"/>
  <c r="S293" i="2" s="1"/>
  <c r="S292" i="2"/>
  <c r="R292" i="2"/>
  <c r="S291" i="2"/>
  <c r="R291" i="2"/>
  <c r="S290" i="2"/>
  <c r="R290" i="2"/>
  <c r="R289" i="2"/>
  <c r="S289" i="2" s="1"/>
  <c r="S288" i="2"/>
  <c r="R288" i="2"/>
  <c r="R287" i="2"/>
  <c r="S287" i="2" s="1"/>
  <c r="S286" i="2"/>
  <c r="R286" i="2"/>
  <c r="R285" i="2"/>
  <c r="S285" i="2" s="1"/>
  <c r="S284" i="2"/>
  <c r="R284" i="2"/>
  <c r="R283" i="2"/>
  <c r="S283" i="2" s="1"/>
  <c r="S282" i="2"/>
  <c r="R282" i="2"/>
  <c r="R281" i="2"/>
  <c r="S281" i="2" s="1"/>
  <c r="S280" i="2"/>
  <c r="R280" i="2"/>
  <c r="R279" i="2"/>
  <c r="S279" i="2" s="1"/>
  <c r="R278" i="2"/>
  <c r="S278" i="2" s="1"/>
  <c r="S277" i="2"/>
  <c r="R277" i="2"/>
  <c r="S276" i="2"/>
  <c r="R276" i="2"/>
  <c r="S275" i="2"/>
  <c r="R275" i="2"/>
  <c r="S274" i="2"/>
  <c r="R274" i="2"/>
  <c r="R273" i="2"/>
  <c r="S273" i="2" s="1"/>
  <c r="Z271" i="2"/>
  <c r="S272" i="2"/>
  <c r="R272" i="2"/>
  <c r="S271" i="2"/>
  <c r="R271" i="2"/>
  <c r="R270" i="2"/>
  <c r="S270" i="2" s="1"/>
  <c r="S269" i="2"/>
  <c r="R269" i="2"/>
  <c r="S268" i="2"/>
  <c r="R268" i="2"/>
  <c r="S267" i="2"/>
  <c r="R267" i="2"/>
  <c r="S266" i="2"/>
  <c r="R266" i="2"/>
  <c r="S265" i="2"/>
  <c r="R265" i="2"/>
  <c r="S264" i="2"/>
  <c r="R264" i="2"/>
  <c r="S263" i="2"/>
  <c r="R263" i="2"/>
  <c r="S262" i="2"/>
  <c r="R262" i="2"/>
  <c r="O262" i="2"/>
  <c r="O263" i="2" s="1"/>
  <c r="O264" i="2" s="1"/>
  <c r="O265" i="2" s="1"/>
  <c r="O266" i="2" s="1"/>
  <c r="O267" i="2" s="1"/>
  <c r="O268" i="2" s="1"/>
  <c r="O269" i="2" s="1"/>
  <c r="O270" i="2" s="1"/>
  <c r="O271" i="2" s="1"/>
  <c r="O272" i="2" s="1"/>
  <c r="O273" i="2" s="1"/>
  <c r="O274" i="2" s="1"/>
  <c r="O275" i="2" s="1"/>
  <c r="O276" i="2" s="1"/>
  <c r="O277" i="2" s="1"/>
  <c r="O278" i="2" s="1"/>
  <c r="O279" i="2" s="1"/>
  <c r="O280" i="2" s="1"/>
  <c r="O281" i="2" s="1"/>
  <c r="O282" i="2" s="1"/>
  <c r="O283" i="2" s="1"/>
  <c r="O284" i="2" s="1"/>
  <c r="O285" i="2" s="1"/>
  <c r="O286" i="2" s="1"/>
  <c r="O287" i="2" s="1"/>
  <c r="O288" i="2" s="1"/>
  <c r="O289" i="2" s="1"/>
  <c r="O290" i="2" s="1"/>
  <c r="O291" i="2" s="1"/>
  <c r="O292" i="2" s="1"/>
  <c r="O293" i="2" s="1"/>
  <c r="O294" i="2" s="1"/>
  <c r="O295" i="2" s="1"/>
  <c r="O296" i="2" s="1"/>
  <c r="O297" i="2" s="1"/>
  <c r="O298" i="2" s="1"/>
  <c r="O299" i="2" s="1"/>
  <c r="O300" i="2" s="1"/>
  <c r="O301" i="2" s="1"/>
  <c r="O302" i="2" s="1"/>
  <c r="O303" i="2" s="1"/>
  <c r="O304" i="2" s="1"/>
  <c r="O305" i="2" s="1"/>
  <c r="O306" i="2" s="1"/>
  <c r="O307" i="2" s="1"/>
  <c r="O308" i="2" s="1"/>
  <c r="O309" i="2" s="1"/>
  <c r="O310" i="2" s="1"/>
  <c r="O311" i="2" s="1"/>
  <c r="O312" i="2" s="1"/>
  <c r="O313" i="2" s="1"/>
  <c r="O314" i="2" s="1"/>
  <c r="O315" i="2" s="1"/>
  <c r="O316" i="2" s="1"/>
  <c r="O317" i="2" s="1"/>
  <c r="O318" i="2" s="1"/>
  <c r="O319" i="2" s="1"/>
  <c r="O320" i="2" s="1"/>
  <c r="O321" i="2" s="1"/>
  <c r="O322" i="2" s="1"/>
  <c r="O323" i="2" s="1"/>
  <c r="O324" i="2" s="1"/>
  <c r="O325" i="2" s="1"/>
  <c r="O326" i="2" s="1"/>
  <c r="O327" i="2" s="1"/>
  <c r="O328" i="2" s="1"/>
  <c r="O329" i="2" s="1"/>
  <c r="O330" i="2" s="1"/>
  <c r="O331" i="2" s="1"/>
  <c r="O332" i="2" s="1"/>
  <c r="O333" i="2" s="1"/>
  <c r="O334" i="2" s="1"/>
  <c r="O335" i="2" s="1"/>
  <c r="O336" i="2" s="1"/>
  <c r="O337" i="2" s="1"/>
  <c r="O338" i="2" s="1"/>
  <c r="O339" i="2" s="1"/>
  <c r="O340" i="2" s="1"/>
  <c r="O341" i="2" s="1"/>
  <c r="O342" i="2" s="1"/>
  <c r="O343" i="2" s="1"/>
  <c r="O344" i="2" s="1"/>
  <c r="O345" i="2" s="1"/>
  <c r="O346" i="2" s="1"/>
  <c r="O347" i="2" s="1"/>
  <c r="O348" i="2" s="1"/>
  <c r="O349" i="2" s="1"/>
  <c r="O350" i="2" s="1"/>
  <c r="O351" i="2" s="1"/>
  <c r="O352" i="2" s="1"/>
  <c r="O353" i="2" s="1"/>
  <c r="O354" i="2" s="1"/>
  <c r="R261" i="2"/>
  <c r="S261" i="2" s="1"/>
  <c r="O261" i="2"/>
  <c r="S260" i="2"/>
  <c r="R260" i="2"/>
  <c r="O260" i="2"/>
  <c r="R259" i="2"/>
  <c r="S259" i="2" s="1"/>
  <c r="R258" i="2"/>
  <c r="S258" i="2" s="1"/>
  <c r="R257" i="2"/>
  <c r="S257" i="2" s="1"/>
  <c r="S256" i="2"/>
  <c r="R256" i="2"/>
  <c r="R255" i="2"/>
  <c r="S255" i="2" s="1"/>
  <c r="S254" i="2"/>
  <c r="R254" i="2"/>
  <c r="S253" i="2"/>
  <c r="R253" i="2"/>
  <c r="S252" i="2"/>
  <c r="R252" i="2"/>
  <c r="Z250" i="2"/>
  <c r="R251" i="2"/>
  <c r="S251" i="2" s="1"/>
  <c r="S250" i="2"/>
  <c r="R250" i="2"/>
  <c r="S249" i="2"/>
  <c r="R249" i="2"/>
  <c r="R248" i="2"/>
  <c r="S248" i="2" s="1"/>
  <c r="R247" i="2"/>
  <c r="S247" i="2" s="1"/>
  <c r="R244" i="2"/>
  <c r="S244" i="2" s="1"/>
  <c r="S243" i="2"/>
  <c r="R243" i="2"/>
  <c r="R242" i="2"/>
  <c r="S242" i="2" s="1"/>
  <c r="R241" i="2"/>
  <c r="S241" i="2" s="1"/>
  <c r="R240" i="2"/>
  <c r="S240" i="2" s="1"/>
  <c r="R239" i="2"/>
  <c r="S239" i="2" s="1"/>
  <c r="O239" i="2"/>
  <c r="O240" i="2" s="1"/>
  <c r="O241" i="2" s="1"/>
  <c r="O242" i="2" s="1"/>
  <c r="O243" i="2" s="1"/>
  <c r="O244" i="2" s="1"/>
  <c r="O245" i="2" s="1"/>
  <c r="O246" i="2" s="1"/>
  <c r="O247" i="2" s="1"/>
  <c r="O248" i="2" s="1"/>
  <c r="O249" i="2" s="1"/>
  <c r="O250" i="2" s="1"/>
  <c r="O251" i="2" s="1"/>
  <c r="O252" i="2" s="1"/>
  <c r="O253" i="2" s="1"/>
  <c r="O254" i="2" s="1"/>
  <c r="O255" i="2" s="1"/>
  <c r="O256" i="2" s="1"/>
  <c r="R238" i="2"/>
  <c r="S238" i="2" s="1"/>
  <c r="O237" i="2"/>
  <c r="R236" i="2"/>
  <c r="S236" i="2" s="1"/>
  <c r="R235" i="2"/>
  <c r="S235" i="2" s="1"/>
  <c r="O235" i="2"/>
  <c r="R234" i="2"/>
  <c r="S234" i="2" s="1"/>
  <c r="R233" i="2"/>
  <c r="S233" i="2" s="1"/>
  <c r="R232" i="2"/>
  <c r="S232" i="2" s="1"/>
  <c r="S231" i="2"/>
  <c r="R231" i="2"/>
  <c r="O230" i="2"/>
  <c r="O231" i="2" s="1"/>
  <c r="O232" i="2" s="1"/>
  <c r="R228" i="2"/>
  <c r="S228" i="2" s="1"/>
  <c r="R227" i="2"/>
  <c r="S227" i="2" s="1"/>
  <c r="R226" i="2"/>
  <c r="S226" i="2" s="1"/>
  <c r="Z224" i="2"/>
  <c r="R224" i="2"/>
  <c r="S224" i="2" s="1"/>
  <c r="Y223" i="2"/>
  <c r="Y224" i="2" s="1"/>
  <c r="Y225" i="2" s="1"/>
  <c r="Y226" i="2" s="1"/>
  <c r="Y227" i="2" s="1"/>
  <c r="Y228" i="2" s="1"/>
  <c r="Y229" i="2" s="1"/>
  <c r="Y230" i="2" s="1"/>
  <c r="Y231" i="2" s="1"/>
  <c r="Y232" i="2" s="1"/>
  <c r="Y233" i="2" s="1"/>
  <c r="Y234" i="2" s="1"/>
  <c r="Y235" i="2" s="1"/>
  <c r="Y236" i="2" s="1"/>
  <c r="Y237" i="2" s="1"/>
  <c r="Y238" i="2" s="1"/>
  <c r="Y239" i="2" s="1"/>
  <c r="Y240" i="2" s="1"/>
  <c r="Y241" i="2" s="1"/>
  <c r="Y242" i="2" s="1"/>
  <c r="Y243" i="2" s="1"/>
  <c r="Y244" i="2" s="1"/>
  <c r="Y245" i="2" s="1"/>
  <c r="Y246" i="2" s="1"/>
  <c r="R223" i="2"/>
  <c r="S223" i="2" s="1"/>
  <c r="Y222" i="2"/>
  <c r="H222" i="2"/>
  <c r="H223" i="2" s="1"/>
  <c r="H224" i="2" s="1"/>
  <c r="H225" i="2" s="1"/>
  <c r="H226" i="2" s="1"/>
  <c r="H227" i="2" s="1"/>
  <c r="H228" i="2" s="1"/>
  <c r="H229" i="2" s="1"/>
  <c r="H230" i="2" s="1"/>
  <c r="H231" i="2" s="1"/>
  <c r="H232" i="2" s="1"/>
  <c r="H233" i="2" s="1"/>
  <c r="H234" i="2" s="1"/>
  <c r="H235" i="2" s="1"/>
  <c r="H236" i="2" s="1"/>
  <c r="H237" i="2" s="1"/>
  <c r="H238" i="2" s="1"/>
  <c r="H239" i="2" s="1"/>
  <c r="H240" i="2" s="1"/>
  <c r="H241" i="2" s="1"/>
  <c r="H242" i="2" s="1"/>
  <c r="H243" i="2" s="1"/>
  <c r="H244" i="2" s="1"/>
  <c r="H245" i="2" s="1"/>
  <c r="H246" i="2" s="1"/>
  <c r="S220" i="2"/>
  <c r="R220" i="2"/>
  <c r="S219" i="2"/>
  <c r="R219" i="2"/>
  <c r="S218" i="2"/>
  <c r="R218" i="2"/>
  <c r="R217" i="2"/>
  <c r="S217" i="2" s="1"/>
  <c r="R216" i="2"/>
  <c r="S216" i="2" s="1"/>
  <c r="R215" i="2"/>
  <c r="S215" i="2" s="1"/>
  <c r="G215" i="2"/>
  <c r="G216" i="2" s="1"/>
  <c r="G217" i="2" s="1"/>
  <c r="G218" i="2" s="1"/>
  <c r="G219" i="2" s="1"/>
  <c r="G220" i="2" s="1"/>
  <c r="G221" i="2" s="1"/>
  <c r="G222" i="2" s="1"/>
  <c r="G223" i="2" s="1"/>
  <c r="G224" i="2" s="1"/>
  <c r="G225" i="2" s="1"/>
  <c r="G226" i="2" s="1"/>
  <c r="G227" i="2" s="1"/>
  <c r="G228" i="2" s="1"/>
  <c r="G229" i="2" s="1"/>
  <c r="G230" i="2" s="1"/>
  <c r="G231" i="2" s="1"/>
  <c r="G232" i="2" s="1"/>
  <c r="G233" i="2" s="1"/>
  <c r="G234" i="2" s="1"/>
  <c r="G235" i="2" s="1"/>
  <c r="G236" i="2" s="1"/>
  <c r="G237" i="2" s="1"/>
  <c r="G238" i="2" s="1"/>
  <c r="G239" i="2" s="1"/>
  <c r="G240" i="2" s="1"/>
  <c r="G241" i="2" s="1"/>
  <c r="G242" i="2" s="1"/>
  <c r="G243" i="2" s="1"/>
  <c r="G244" i="2" s="1"/>
  <c r="G245" i="2" s="1"/>
  <c r="G246" i="2" s="1"/>
  <c r="G247" i="2" s="1"/>
  <c r="G248" i="2" s="1"/>
  <c r="G249" i="2" s="1"/>
  <c r="G250" i="2" s="1"/>
  <c r="G251" i="2" s="1"/>
  <c r="G252" i="2" s="1"/>
  <c r="G253" i="2" s="1"/>
  <c r="G254" i="2" s="1"/>
  <c r="G255" i="2" s="1"/>
  <c r="G256" i="2" s="1"/>
  <c r="G257" i="2" s="1"/>
  <c r="G258" i="2" s="1"/>
  <c r="G259" i="2" s="1"/>
  <c r="G260" i="2" s="1"/>
  <c r="G261" i="2" s="1"/>
  <c r="G262" i="2" s="1"/>
  <c r="G263" i="2" s="1"/>
  <c r="G264" i="2" s="1"/>
  <c r="G265" i="2" s="1"/>
  <c r="G266" i="2" s="1"/>
  <c r="G267" i="2" s="1"/>
  <c r="G268" i="2" s="1"/>
  <c r="G269" i="2" s="1"/>
  <c r="G270" i="2" s="1"/>
  <c r="G271" i="2" s="1"/>
  <c r="G272" i="2" s="1"/>
  <c r="G273" i="2" s="1"/>
  <c r="G274" i="2" s="1"/>
  <c r="G275" i="2" s="1"/>
  <c r="G276" i="2" s="1"/>
  <c r="G277" i="2" s="1"/>
  <c r="G278" i="2" s="1"/>
  <c r="G279" i="2" s="1"/>
  <c r="G280" i="2" s="1"/>
  <c r="G281" i="2" s="1"/>
  <c r="G282" i="2" s="1"/>
  <c r="G283" i="2" s="1"/>
  <c r="G284" i="2" s="1"/>
  <c r="G285" i="2" s="1"/>
  <c r="G286" i="2" s="1"/>
  <c r="G287" i="2" s="1"/>
  <c r="G288" i="2" s="1"/>
  <c r="G289" i="2" s="1"/>
  <c r="G290" i="2" s="1"/>
  <c r="G291" i="2" s="1"/>
  <c r="G292" i="2" s="1"/>
  <c r="G293" i="2" s="1"/>
  <c r="G294" i="2" s="1"/>
  <c r="G295" i="2" s="1"/>
  <c r="G296" i="2" s="1"/>
  <c r="G297" i="2" s="1"/>
  <c r="G298" i="2" s="1"/>
  <c r="G299" i="2" s="1"/>
  <c r="G300" i="2" s="1"/>
  <c r="G301" i="2" s="1"/>
  <c r="G302" i="2" s="1"/>
  <c r="G303" i="2" s="1"/>
  <c r="G304" i="2" s="1"/>
  <c r="G305" i="2" s="1"/>
  <c r="G306" i="2" s="1"/>
  <c r="G307" i="2" s="1"/>
  <c r="G308" i="2" s="1"/>
  <c r="G309" i="2" s="1"/>
  <c r="G310" i="2" s="1"/>
  <c r="G311" i="2" s="1"/>
  <c r="G312" i="2" s="1"/>
  <c r="G313" i="2" s="1"/>
  <c r="G314" i="2" s="1"/>
  <c r="G315" i="2" s="1"/>
  <c r="G316" i="2" s="1"/>
  <c r="G317" i="2" s="1"/>
  <c r="G318" i="2" s="1"/>
  <c r="G319" i="2" s="1"/>
  <c r="G320" i="2" s="1"/>
  <c r="G321" i="2" s="1"/>
  <c r="G322" i="2" s="1"/>
  <c r="G323" i="2" s="1"/>
  <c r="G324" i="2" s="1"/>
  <c r="G325" i="2" s="1"/>
  <c r="G326" i="2" s="1"/>
  <c r="G327" i="2" s="1"/>
  <c r="G328" i="2" s="1"/>
  <c r="G329" i="2" s="1"/>
  <c r="G330" i="2" s="1"/>
  <c r="G331" i="2" s="1"/>
  <c r="G332" i="2" s="1"/>
  <c r="G333" i="2" s="1"/>
  <c r="G334" i="2" s="1"/>
  <c r="G335" i="2" s="1"/>
  <c r="G336" i="2" s="1"/>
  <c r="G337" i="2" s="1"/>
  <c r="G338" i="2" s="1"/>
  <c r="G339" i="2" s="1"/>
  <c r="G340" i="2" s="1"/>
  <c r="G341" i="2" s="1"/>
  <c r="G342" i="2" s="1"/>
  <c r="G343" i="2" s="1"/>
  <c r="G344" i="2" s="1"/>
  <c r="G345" i="2" s="1"/>
  <c r="G346" i="2" s="1"/>
  <c r="G347" i="2" s="1"/>
  <c r="G348" i="2" s="1"/>
  <c r="G349" i="2" s="1"/>
  <c r="G350" i="2" s="1"/>
  <c r="G351" i="2" s="1"/>
  <c r="G352" i="2" s="1"/>
  <c r="G353" i="2" s="1"/>
  <c r="G354" i="2" s="1"/>
  <c r="R214" i="2"/>
  <c r="S214" i="2" s="1"/>
  <c r="G214" i="2"/>
  <c r="R213" i="2"/>
  <c r="S213" i="2" s="1"/>
  <c r="H213" i="2"/>
  <c r="H214" i="2" s="1"/>
  <c r="H215" i="2" s="1"/>
  <c r="H216" i="2" s="1"/>
  <c r="H217" i="2" s="1"/>
  <c r="H218" i="2" s="1"/>
  <c r="H219" i="2" s="1"/>
  <c r="H220" i="2" s="1"/>
  <c r="G213" i="2"/>
  <c r="S212" i="2"/>
  <c r="R212" i="2"/>
  <c r="S211" i="2"/>
  <c r="R211" i="2"/>
  <c r="S210" i="2"/>
  <c r="R210" i="2"/>
  <c r="S209" i="2"/>
  <c r="R209" i="2"/>
  <c r="S208" i="2"/>
  <c r="R208" i="2"/>
  <c r="R207" i="2"/>
  <c r="S207" i="2" s="1"/>
  <c r="R206" i="2"/>
  <c r="S206" i="2" s="1"/>
  <c r="R205" i="2"/>
  <c r="S205" i="2" s="1"/>
  <c r="R204" i="2"/>
  <c r="S204" i="2" s="1"/>
  <c r="R203" i="2"/>
  <c r="S203" i="2" s="1"/>
  <c r="O203" i="2"/>
  <c r="O204" i="2" s="1"/>
  <c r="O205" i="2" s="1"/>
  <c r="O206" i="2" s="1"/>
  <c r="O207" i="2" s="1"/>
  <c r="O208" i="2" s="1"/>
  <c r="O209" i="2" s="1"/>
  <c r="O210" i="2" s="1"/>
  <c r="O211" i="2" s="1"/>
  <c r="O212" i="2" s="1"/>
  <c r="O213" i="2" s="1"/>
  <c r="O214" i="2" s="1"/>
  <c r="O215" i="2" s="1"/>
  <c r="O216" i="2" s="1"/>
  <c r="O217" i="2" s="1"/>
  <c r="O218" i="2" s="1"/>
  <c r="O219" i="2" s="1"/>
  <c r="O220" i="2" s="1"/>
  <c r="O221" i="2" s="1"/>
  <c r="O222" i="2" s="1"/>
  <c r="O223" i="2" s="1"/>
  <c r="O224" i="2" s="1"/>
  <c r="O225" i="2" s="1"/>
  <c r="O226" i="2" s="1"/>
  <c r="S202" i="2"/>
  <c r="R202" i="2"/>
  <c r="S201" i="2"/>
  <c r="R201" i="2"/>
  <c r="S200" i="2"/>
  <c r="R200" i="2"/>
  <c r="O200" i="2"/>
  <c r="O201" i="2" s="1"/>
  <c r="S199" i="2"/>
  <c r="R199" i="2"/>
  <c r="R198" i="2"/>
  <c r="S198" i="2" s="1"/>
  <c r="S197" i="2"/>
  <c r="R197" i="2"/>
  <c r="R196" i="2"/>
  <c r="S196" i="2" s="1"/>
  <c r="S195" i="2"/>
  <c r="R195" i="2"/>
  <c r="R194" i="2"/>
  <c r="S194" i="2" s="1"/>
  <c r="S193" i="2"/>
  <c r="R193" i="2"/>
  <c r="S192" i="2"/>
  <c r="R192" i="2"/>
  <c r="S191" i="2"/>
  <c r="R191" i="2"/>
  <c r="O191" i="2"/>
  <c r="O192" i="2" s="1"/>
  <c r="O193" i="2" s="1"/>
  <c r="S190" i="2"/>
  <c r="R190" i="2"/>
  <c r="R189" i="2"/>
  <c r="S189" i="2" s="1"/>
  <c r="S188" i="2"/>
  <c r="R188" i="2"/>
  <c r="R187" i="2"/>
  <c r="S187" i="2" s="1"/>
  <c r="S186" i="2"/>
  <c r="R186" i="2"/>
  <c r="R185" i="2"/>
  <c r="S185" i="2" s="1"/>
  <c r="S184" i="2"/>
  <c r="R184" i="2"/>
  <c r="R183" i="2"/>
  <c r="S183" i="2" s="1"/>
  <c r="R182" i="2"/>
  <c r="S182" i="2" s="1"/>
  <c r="O182" i="2"/>
  <c r="S181" i="2"/>
  <c r="R181" i="2"/>
  <c r="O181" i="2"/>
  <c r="R180" i="2"/>
  <c r="S180" i="2" s="1"/>
  <c r="S179" i="2"/>
  <c r="R179" i="2"/>
  <c r="R178" i="2"/>
  <c r="S178" i="2" s="1"/>
  <c r="S177" i="2"/>
  <c r="R177" i="2"/>
  <c r="H177" i="2"/>
  <c r="H178" i="2" s="1"/>
  <c r="H179" i="2" s="1"/>
  <c r="H180" i="2" s="1"/>
  <c r="H181" i="2" s="1"/>
  <c r="H182" i="2" s="1"/>
  <c r="H183" i="2" s="1"/>
  <c r="H184" i="2" s="1"/>
  <c r="H185" i="2" s="1"/>
  <c r="H186" i="2" s="1"/>
  <c r="H187" i="2" s="1"/>
  <c r="H188" i="2" s="1"/>
  <c r="H189" i="2" s="1"/>
  <c r="H190" i="2" s="1"/>
  <c r="H191" i="2" s="1"/>
  <c r="H192" i="2" s="1"/>
  <c r="H193" i="2" s="1"/>
  <c r="H194" i="2" s="1"/>
  <c r="H195" i="2" s="1"/>
  <c r="H196" i="2" s="1"/>
  <c r="H197" i="2" s="1"/>
  <c r="H198" i="2" s="1"/>
  <c r="H199" i="2" s="1"/>
  <c r="H200" i="2" s="1"/>
  <c r="H201" i="2" s="1"/>
  <c r="H202" i="2" s="1"/>
  <c r="H203" i="2" s="1"/>
  <c r="H204" i="2" s="1"/>
  <c r="H205" i="2" s="1"/>
  <c r="H206" i="2" s="1"/>
  <c r="H207" i="2" s="1"/>
  <c r="H208" i="2" s="1"/>
  <c r="H209" i="2" s="1"/>
  <c r="H210" i="2" s="1"/>
  <c r="G177" i="2"/>
  <c r="G178" i="2" s="1"/>
  <c r="G179" i="2" s="1"/>
  <c r="G180" i="2" s="1"/>
  <c r="G181" i="2" s="1"/>
  <c r="G182" i="2" s="1"/>
  <c r="G183" i="2" s="1"/>
  <c r="G184" i="2" s="1"/>
  <c r="G185" i="2" s="1"/>
  <c r="G186" i="2" s="1"/>
  <c r="G187" i="2" s="1"/>
  <c r="G188" i="2" s="1"/>
  <c r="G189" i="2" s="1"/>
  <c r="G190" i="2" s="1"/>
  <c r="G191" i="2" s="1"/>
  <c r="G192" i="2" s="1"/>
  <c r="G193" i="2" s="1"/>
  <c r="G194" i="2" s="1"/>
  <c r="G195" i="2" s="1"/>
  <c r="G196" i="2" s="1"/>
  <c r="G197" i="2" s="1"/>
  <c r="G198" i="2" s="1"/>
  <c r="G199" i="2" s="1"/>
  <c r="G200" i="2" s="1"/>
  <c r="G201" i="2" s="1"/>
  <c r="G202" i="2" s="1"/>
  <c r="G203" i="2" s="1"/>
  <c r="G204" i="2" s="1"/>
  <c r="G205" i="2" s="1"/>
  <c r="G206" i="2" s="1"/>
  <c r="G207" i="2" s="1"/>
  <c r="G208" i="2" s="1"/>
  <c r="G209" i="2" s="1"/>
  <c r="G210" i="2" s="1"/>
  <c r="S176" i="2"/>
  <c r="R176" i="2"/>
  <c r="I176" i="2"/>
  <c r="R175" i="2"/>
  <c r="S175" i="2" s="1"/>
  <c r="Z174" i="2"/>
  <c r="S174" i="2"/>
  <c r="R174" i="2"/>
  <c r="O174" i="2"/>
  <c r="O175" i="2" s="1"/>
  <c r="O176" i="2" s="1"/>
  <c r="O177" i="2" s="1"/>
  <c r="I174" i="2"/>
  <c r="S173" i="2"/>
  <c r="R173" i="2"/>
  <c r="S172" i="2"/>
  <c r="R172" i="2"/>
  <c r="I172" i="2"/>
  <c r="Y171" i="2"/>
  <c r="Y172" i="2" s="1"/>
  <c r="Y173" i="2" s="1"/>
  <c r="Y174" i="2" s="1"/>
  <c r="Y175" i="2" s="1"/>
  <c r="Y176" i="2" s="1"/>
  <c r="Y177" i="2" s="1"/>
  <c r="Y178" i="2" s="1"/>
  <c r="Y179" i="2" s="1"/>
  <c r="Y180" i="2" s="1"/>
  <c r="Y181" i="2" s="1"/>
  <c r="Y182" i="2" s="1"/>
  <c r="Y183" i="2" s="1"/>
  <c r="Y184" i="2" s="1"/>
  <c r="Y185" i="2" s="1"/>
  <c r="Y186" i="2" s="1"/>
  <c r="Y187" i="2" s="1"/>
  <c r="Y188" i="2" s="1"/>
  <c r="Y189" i="2" s="1"/>
  <c r="Y190" i="2" s="1"/>
  <c r="Y191" i="2" s="1"/>
  <c r="Y192" i="2" s="1"/>
  <c r="Y193" i="2" s="1"/>
  <c r="Y194" i="2" s="1"/>
  <c r="Y195" i="2" s="1"/>
  <c r="Y196" i="2" s="1"/>
  <c r="Y197" i="2" s="1"/>
  <c r="Y198" i="2" s="1"/>
  <c r="Y199" i="2" s="1"/>
  <c r="Y200" i="2" s="1"/>
  <c r="Y201" i="2" s="1"/>
  <c r="Y202" i="2" s="1"/>
  <c r="Y203" i="2" s="1"/>
  <c r="Y204" i="2" s="1"/>
  <c r="Y205" i="2" s="1"/>
  <c r="Y206" i="2" s="1"/>
  <c r="Y207" i="2" s="1"/>
  <c r="Y208" i="2" s="1"/>
  <c r="Y209" i="2" s="1"/>
  <c r="Y210" i="2" s="1"/>
  <c r="Y211" i="2" s="1"/>
  <c r="Y212" i="2" s="1"/>
  <c r="Y213" i="2" s="1"/>
  <c r="Y214" i="2" s="1"/>
  <c r="Y215" i="2" s="1"/>
  <c r="Y216" i="2" s="1"/>
  <c r="Y217" i="2" s="1"/>
  <c r="Y218" i="2" s="1"/>
  <c r="Y219" i="2" s="1"/>
  <c r="Y220" i="2" s="1"/>
  <c r="W220" i="2" s="1"/>
  <c r="R171" i="2"/>
  <c r="S171" i="2" s="1"/>
  <c r="O171" i="2"/>
  <c r="H171" i="2"/>
  <c r="H172" i="2" s="1"/>
  <c r="H173" i="2" s="1"/>
  <c r="H174" i="2" s="1"/>
  <c r="S170" i="2"/>
  <c r="R170" i="2"/>
  <c r="Q170" i="2"/>
  <c r="O170" i="2"/>
  <c r="Q169" i="2"/>
  <c r="R169" i="2" s="1"/>
  <c r="S169" i="2" s="1"/>
  <c r="Q168" i="2"/>
  <c r="R168" i="2" s="1"/>
  <c r="S168" i="2" s="1"/>
  <c r="Q167" i="2"/>
  <c r="R167" i="2" s="1"/>
  <c r="S167" i="2" s="1"/>
  <c r="Q166" i="2"/>
  <c r="R166" i="2" s="1"/>
  <c r="S166" i="2" s="1"/>
  <c r="R165" i="2"/>
  <c r="S165" i="2" s="1"/>
  <c r="Q165" i="2"/>
  <c r="S164" i="2"/>
  <c r="Q164" i="2"/>
  <c r="R164" i="2" s="1"/>
  <c r="R163" i="2"/>
  <c r="S163" i="2" s="1"/>
  <c r="Q163" i="2"/>
  <c r="Q162" i="2"/>
  <c r="R162" i="2" s="1"/>
  <c r="S162" i="2" s="1"/>
  <c r="O162" i="2"/>
  <c r="O163" i="2" s="1"/>
  <c r="O164" i="2" s="1"/>
  <c r="O165" i="2" s="1"/>
  <c r="O166" i="2" s="1"/>
  <c r="Q161" i="2"/>
  <c r="R161" i="2" s="1"/>
  <c r="S161" i="2" s="1"/>
  <c r="O161" i="2"/>
  <c r="R160" i="2"/>
  <c r="S160" i="2" s="1"/>
  <c r="Q160" i="2"/>
  <c r="O160" i="2"/>
  <c r="S159" i="2"/>
  <c r="R159" i="2"/>
  <c r="Q159" i="2"/>
  <c r="S158" i="2"/>
  <c r="R158" i="2"/>
  <c r="Q158" i="2"/>
  <c r="S157" i="2"/>
  <c r="R157" i="2"/>
  <c r="Q157" i="2"/>
  <c r="O157" i="2"/>
  <c r="S156" i="2"/>
  <c r="Q156" i="2"/>
  <c r="R156" i="2" s="1"/>
  <c r="Q155" i="2"/>
  <c r="R155" i="2" s="1"/>
  <c r="S155" i="2" s="1"/>
  <c r="O155" i="2"/>
  <c r="R154" i="2"/>
  <c r="S154" i="2" s="1"/>
  <c r="Q154" i="2"/>
  <c r="O154" i="2"/>
  <c r="Q153" i="2"/>
  <c r="R153" i="2" s="1"/>
  <c r="S153" i="2" s="1"/>
  <c r="Q152" i="2"/>
  <c r="R152" i="2" s="1"/>
  <c r="S152" i="2" s="1"/>
  <c r="R151" i="2"/>
  <c r="S151" i="2" s="1"/>
  <c r="Q151" i="2"/>
  <c r="Q150" i="2"/>
  <c r="R150" i="2" s="1"/>
  <c r="S150" i="2" s="1"/>
  <c r="O150" i="2"/>
  <c r="S149" i="2"/>
  <c r="R149" i="2"/>
  <c r="Q149" i="2"/>
  <c r="R148" i="2"/>
  <c r="S148" i="2" s="1"/>
  <c r="Q148" i="2"/>
  <c r="S147" i="2"/>
  <c r="R147" i="2"/>
  <c r="Q147" i="2"/>
  <c r="R146" i="2"/>
  <c r="S146" i="2" s="1"/>
  <c r="Q146" i="2"/>
  <c r="S145" i="2"/>
  <c r="R145" i="2"/>
  <c r="Q145" i="2"/>
  <c r="S144" i="2"/>
  <c r="R144" i="2"/>
  <c r="Q144" i="2"/>
  <c r="O144" i="2"/>
  <c r="S143" i="2"/>
  <c r="Q143" i="2"/>
  <c r="R143" i="2" s="1"/>
  <c r="Q142" i="2"/>
  <c r="R142" i="2" s="1"/>
  <c r="S142" i="2" s="1"/>
  <c r="Q141" i="2"/>
  <c r="R141" i="2" s="1"/>
  <c r="S141" i="2" s="1"/>
  <c r="Q140" i="2"/>
  <c r="R140" i="2" s="1"/>
  <c r="S140" i="2" s="1"/>
  <c r="G140" i="2"/>
  <c r="G141" i="2" s="1"/>
  <c r="G142" i="2" s="1"/>
  <c r="G143" i="2" s="1"/>
  <c r="G144" i="2" s="1"/>
  <c r="G145" i="2" s="1"/>
  <c r="G146" i="2" s="1"/>
  <c r="G147" i="2" s="1"/>
  <c r="G148" i="2" s="1"/>
  <c r="G149" i="2" s="1"/>
  <c r="G150" i="2" s="1"/>
  <c r="G151" i="2" s="1"/>
  <c r="G152" i="2" s="1"/>
  <c r="G153" i="2" s="1"/>
  <c r="G154" i="2" s="1"/>
  <c r="G155" i="2" s="1"/>
  <c r="G156" i="2" s="1"/>
  <c r="G157" i="2" s="1"/>
  <c r="G158" i="2" s="1"/>
  <c r="G159" i="2" s="1"/>
  <c r="G160" i="2" s="1"/>
  <c r="G161" i="2" s="1"/>
  <c r="G162" i="2" s="1"/>
  <c r="G163" i="2" s="1"/>
  <c r="G164" i="2" s="1"/>
  <c r="G165" i="2" s="1"/>
  <c r="G166" i="2" s="1"/>
  <c r="G167" i="2" s="1"/>
  <c r="G168" i="2" s="1"/>
  <c r="G169" i="2" s="1"/>
  <c r="G170" i="2" s="1"/>
  <c r="G171" i="2" s="1"/>
  <c r="G172" i="2" s="1"/>
  <c r="G173" i="2" s="1"/>
  <c r="G174" i="2" s="1"/>
  <c r="S139" i="2"/>
  <c r="Q139" i="2"/>
  <c r="R139" i="2" s="1"/>
  <c r="Q138" i="2"/>
  <c r="R138" i="2" s="1"/>
  <c r="S138" i="2" s="1"/>
  <c r="Q137" i="2"/>
  <c r="R137" i="2" s="1"/>
  <c r="S137" i="2" s="1"/>
  <c r="R136" i="2"/>
  <c r="S136" i="2" s="1"/>
  <c r="Q136" i="2"/>
  <c r="S135" i="2"/>
  <c r="R135" i="2"/>
  <c r="Q135" i="2"/>
  <c r="S134" i="2"/>
  <c r="Q134" i="2"/>
  <c r="R134" i="2" s="1"/>
  <c r="Q133" i="2"/>
  <c r="R133" i="2" s="1"/>
  <c r="S133" i="2" s="1"/>
  <c r="S132" i="2"/>
  <c r="R132" i="2"/>
  <c r="Q132" i="2"/>
  <c r="R131" i="2"/>
  <c r="S131" i="2" s="1"/>
  <c r="Q131" i="2"/>
  <c r="Q130" i="2"/>
  <c r="R130" i="2" s="1"/>
  <c r="S130" i="2" s="1"/>
  <c r="Q129" i="2"/>
  <c r="R129" i="2" s="1"/>
  <c r="S129" i="2" s="1"/>
  <c r="S128" i="2"/>
  <c r="R128" i="2"/>
  <c r="Q128" i="2"/>
  <c r="S127" i="2"/>
  <c r="R127" i="2"/>
  <c r="Q127" i="2"/>
  <c r="S126" i="2"/>
  <c r="Q126" i="2"/>
  <c r="R126" i="2" s="1"/>
  <c r="Q125" i="2"/>
  <c r="R125" i="2" s="1"/>
  <c r="S125" i="2" s="1"/>
  <c r="S124" i="2"/>
  <c r="R124" i="2"/>
  <c r="Q124" i="2"/>
  <c r="R123" i="2"/>
  <c r="S123" i="2" s="1"/>
  <c r="Q123" i="2"/>
  <c r="Q122" i="2"/>
  <c r="R122" i="2" s="1"/>
  <c r="S122" i="2" s="1"/>
  <c r="Q121" i="2"/>
  <c r="R121" i="2" s="1"/>
  <c r="S121" i="2" s="1"/>
  <c r="S120" i="2"/>
  <c r="R120" i="2"/>
  <c r="Q120" i="2"/>
  <c r="S119" i="2"/>
  <c r="R119" i="2"/>
  <c r="Q119" i="2"/>
  <c r="S118" i="2"/>
  <c r="Q118" i="2"/>
  <c r="R118" i="2" s="1"/>
  <c r="Q117" i="2"/>
  <c r="R117" i="2" s="1"/>
  <c r="S117" i="2" s="1"/>
  <c r="S116" i="2"/>
  <c r="R116" i="2"/>
  <c r="Q116" i="2"/>
  <c r="R115" i="2"/>
  <c r="S115" i="2" s="1"/>
  <c r="Q115" i="2"/>
  <c r="Q114" i="2"/>
  <c r="R114" i="2" s="1"/>
  <c r="S114" i="2" s="1"/>
  <c r="Q113" i="2"/>
  <c r="R113" i="2" s="1"/>
  <c r="S113" i="2" s="1"/>
  <c r="S112" i="2"/>
  <c r="R112" i="2"/>
  <c r="Q112" i="2"/>
  <c r="S111" i="2"/>
  <c r="R111" i="2"/>
  <c r="Q111" i="2"/>
  <c r="S110" i="2"/>
  <c r="Q110" i="2"/>
  <c r="R110" i="2" s="1"/>
  <c r="Q109" i="2"/>
  <c r="R109" i="2" s="1"/>
  <c r="S109" i="2" s="1"/>
  <c r="S108" i="2"/>
  <c r="R108" i="2"/>
  <c r="Q108" i="2"/>
  <c r="R107" i="2"/>
  <c r="S107" i="2" s="1"/>
  <c r="Q107" i="2"/>
  <c r="Q106" i="2"/>
  <c r="R106" i="2" s="1"/>
  <c r="S106" i="2" s="1"/>
  <c r="Q105" i="2"/>
  <c r="R105" i="2" s="1"/>
  <c r="S105" i="2" s="1"/>
  <c r="S104" i="2"/>
  <c r="R104" i="2"/>
  <c r="Q104" i="2"/>
  <c r="S103" i="2"/>
  <c r="R103" i="2"/>
  <c r="Q103" i="2"/>
  <c r="S102" i="2"/>
  <c r="Q102" i="2"/>
  <c r="R102" i="2" s="1"/>
  <c r="Q101" i="2"/>
  <c r="R101" i="2" s="1"/>
  <c r="S101" i="2" s="1"/>
  <c r="S100" i="2"/>
  <c r="R100" i="2"/>
  <c r="Q100" i="2"/>
  <c r="R99" i="2"/>
  <c r="S99" i="2" s="1"/>
  <c r="Q99" i="2"/>
  <c r="Q98" i="2"/>
  <c r="R98" i="2" s="1"/>
  <c r="S98" i="2" s="1"/>
  <c r="Q97" i="2"/>
  <c r="R97" i="2" s="1"/>
  <c r="S97" i="2" s="1"/>
  <c r="S96" i="2"/>
  <c r="R96" i="2"/>
  <c r="Q96" i="2"/>
  <c r="S95" i="2"/>
  <c r="R95" i="2"/>
  <c r="Q95" i="2"/>
  <c r="S94" i="2"/>
  <c r="Q94" i="2"/>
  <c r="R94" i="2" s="1"/>
  <c r="Q93" i="2"/>
  <c r="R93" i="2" s="1"/>
  <c r="S93" i="2" s="1"/>
  <c r="S92" i="2"/>
  <c r="R92" i="2"/>
  <c r="Q92" i="2"/>
  <c r="R91" i="2"/>
  <c r="S91" i="2" s="1"/>
  <c r="Q91" i="2"/>
  <c r="Q90" i="2"/>
  <c r="R90" i="2" s="1"/>
  <c r="S90" i="2" s="1"/>
  <c r="Q89" i="2"/>
  <c r="R89" i="2" s="1"/>
  <c r="S89" i="2" s="1"/>
  <c r="S88" i="2"/>
  <c r="R88" i="2"/>
  <c r="Q88" i="2"/>
  <c r="S87" i="2"/>
  <c r="R87" i="2"/>
  <c r="Q87" i="2"/>
  <c r="S86" i="2"/>
  <c r="Q86" i="2"/>
  <c r="R86" i="2" s="1"/>
  <c r="Q85" i="2"/>
  <c r="R85" i="2" s="1"/>
  <c r="S85" i="2" s="1"/>
  <c r="S84" i="2"/>
  <c r="R84" i="2"/>
  <c r="Q84" i="2"/>
  <c r="R83" i="2"/>
  <c r="S83" i="2" s="1"/>
  <c r="Q83" i="2"/>
  <c r="Q82" i="2"/>
  <c r="R82" i="2" s="1"/>
  <c r="S82" i="2" s="1"/>
  <c r="Q81" i="2"/>
  <c r="R81" i="2" s="1"/>
  <c r="S81" i="2" s="1"/>
  <c r="S80" i="2"/>
  <c r="R80" i="2"/>
  <c r="Q80" i="2"/>
  <c r="S79" i="2"/>
  <c r="R79" i="2"/>
  <c r="Q79" i="2"/>
  <c r="S78" i="2"/>
  <c r="Q78" i="2"/>
  <c r="R78" i="2" s="1"/>
  <c r="Q77" i="2"/>
  <c r="R77" i="2" s="1"/>
  <c r="S77" i="2" s="1"/>
  <c r="R76" i="2"/>
  <c r="S76" i="2" s="1"/>
  <c r="Q76" i="2"/>
  <c r="S75" i="2"/>
  <c r="R75" i="2"/>
  <c r="Q75" i="2"/>
  <c r="S74" i="2"/>
  <c r="R74" i="2"/>
  <c r="Q74" i="2"/>
  <c r="Q73" i="2"/>
  <c r="R73" i="2" s="1"/>
  <c r="S73" i="2" s="1"/>
  <c r="Q72" i="2"/>
  <c r="R72" i="2" s="1"/>
  <c r="S72" i="2" s="1"/>
  <c r="R71" i="2"/>
  <c r="S71" i="2" s="1"/>
  <c r="Q71" i="2"/>
  <c r="S70" i="2"/>
  <c r="R70" i="2"/>
  <c r="Q70" i="2"/>
  <c r="Q69" i="2"/>
  <c r="R69" i="2" s="1"/>
  <c r="S69" i="2" s="1"/>
  <c r="R68" i="2"/>
  <c r="S68" i="2" s="1"/>
  <c r="Q68" i="2"/>
  <c r="S67" i="2"/>
  <c r="R67" i="2"/>
  <c r="Q67" i="2"/>
  <c r="S66" i="2"/>
  <c r="R66" i="2"/>
  <c r="Q66" i="2"/>
  <c r="Q65" i="2"/>
  <c r="R65" i="2" s="1"/>
  <c r="S65" i="2" s="1"/>
  <c r="Q64" i="2"/>
  <c r="R64" i="2" s="1"/>
  <c r="S64" i="2" s="1"/>
  <c r="R63" i="2"/>
  <c r="S63" i="2" s="1"/>
  <c r="Q63" i="2"/>
  <c r="S62" i="2"/>
  <c r="R62" i="2"/>
  <c r="Q62" i="2"/>
  <c r="O62" i="2"/>
  <c r="O63" i="2" s="1"/>
  <c r="O64" i="2" s="1"/>
  <c r="O65" i="2" s="1"/>
  <c r="O66" i="2" s="1"/>
  <c r="O67" i="2" s="1"/>
  <c r="O68" i="2" s="1"/>
  <c r="O69" i="2" s="1"/>
  <c r="O70" i="2" s="1"/>
  <c r="O71" i="2" s="1"/>
  <c r="O72" i="2" s="1"/>
  <c r="O73" i="2" s="1"/>
  <c r="O74" i="2" s="1"/>
  <c r="O75" i="2" s="1"/>
  <c r="O76" i="2" s="1"/>
  <c r="O77" i="2" s="1"/>
  <c r="O78" i="2" s="1"/>
  <c r="O79" i="2" s="1"/>
  <c r="O80" i="2" s="1"/>
  <c r="O81" i="2" s="1"/>
  <c r="O82" i="2" s="1"/>
  <c r="O83" i="2" s="1"/>
  <c r="O84" i="2" s="1"/>
  <c r="O85" i="2" s="1"/>
  <c r="O86" i="2" s="1"/>
  <c r="O87" i="2" s="1"/>
  <c r="O88" i="2" s="1"/>
  <c r="O89" i="2" s="1"/>
  <c r="O90" i="2" s="1"/>
  <c r="O91" i="2" s="1"/>
  <c r="O92" i="2" s="1"/>
  <c r="O93" i="2" s="1"/>
  <c r="O94" i="2" s="1"/>
  <c r="O95" i="2" s="1"/>
  <c r="O96" i="2" s="1"/>
  <c r="O97" i="2" s="1"/>
  <c r="O98" i="2" s="1"/>
  <c r="O99" i="2" s="1"/>
  <c r="O100" i="2" s="1"/>
  <c r="O101" i="2" s="1"/>
  <c r="O102" i="2" s="1"/>
  <c r="O103" i="2" s="1"/>
  <c r="O104" i="2" s="1"/>
  <c r="O105" i="2" s="1"/>
  <c r="O106" i="2" s="1"/>
  <c r="O107" i="2" s="1"/>
  <c r="O108" i="2" s="1"/>
  <c r="O109" i="2" s="1"/>
  <c r="O110" i="2" s="1"/>
  <c r="O111" i="2" s="1"/>
  <c r="O112" i="2" s="1"/>
  <c r="O113" i="2" s="1"/>
  <c r="O114" i="2" s="1"/>
  <c r="O115" i="2" s="1"/>
  <c r="O116" i="2" s="1"/>
  <c r="O117" i="2" s="1"/>
  <c r="O118" i="2" s="1"/>
  <c r="O119" i="2" s="1"/>
  <c r="O120" i="2" s="1"/>
  <c r="O121" i="2" s="1"/>
  <c r="O122" i="2" s="1"/>
  <c r="O123" i="2" s="1"/>
  <c r="O124" i="2" s="1"/>
  <c r="O125" i="2" s="1"/>
  <c r="O126" i="2" s="1"/>
  <c r="O127" i="2" s="1"/>
  <c r="O128" i="2" s="1"/>
  <c r="O129" i="2" s="1"/>
  <c r="O130" i="2" s="1"/>
  <c r="O131" i="2" s="1"/>
  <c r="O132" i="2" s="1"/>
  <c r="O133" i="2" s="1"/>
  <c r="O134" i="2" s="1"/>
  <c r="O135" i="2" s="1"/>
  <c r="O136" i="2" s="1"/>
  <c r="O137" i="2" s="1"/>
  <c r="O138" i="2" s="1"/>
  <c r="O139" i="2" s="1"/>
  <c r="Q61" i="2"/>
  <c r="R61" i="2" s="1"/>
  <c r="S61" i="2" s="1"/>
  <c r="R60" i="2"/>
  <c r="S60" i="2" s="1"/>
  <c r="Q60" i="2"/>
  <c r="S59" i="2"/>
  <c r="R59" i="2"/>
  <c r="Q59" i="2"/>
  <c r="S58" i="2"/>
  <c r="R58" i="2"/>
  <c r="Q58" i="2"/>
  <c r="Q57" i="2"/>
  <c r="R57" i="2" s="1"/>
  <c r="S57" i="2" s="1"/>
  <c r="O57" i="2"/>
  <c r="O58" i="2" s="1"/>
  <c r="O59" i="2" s="1"/>
  <c r="O60" i="2" s="1"/>
  <c r="O61" i="2" s="1"/>
  <c r="Q56" i="2"/>
  <c r="R56" i="2" s="1"/>
  <c r="S56" i="2" s="1"/>
  <c r="Q55" i="2"/>
  <c r="R55" i="2" s="1"/>
  <c r="S55" i="2" s="1"/>
  <c r="Q54" i="2"/>
  <c r="R54" i="2" s="1"/>
  <c r="S54" i="2" s="1"/>
  <c r="Q53" i="2"/>
  <c r="R53" i="2" s="1"/>
  <c r="S53" i="2" s="1"/>
  <c r="R52" i="2"/>
  <c r="S52" i="2" s="1"/>
  <c r="Q52" i="2"/>
  <c r="R51" i="2"/>
  <c r="S51" i="2" s="1"/>
  <c r="Q51" i="2"/>
  <c r="Q50" i="2"/>
  <c r="R50" i="2" s="1"/>
  <c r="S50" i="2" s="1"/>
  <c r="R49" i="2"/>
  <c r="S49" i="2" s="1"/>
  <c r="R48" i="2"/>
  <c r="S48" i="2" s="1"/>
  <c r="R47" i="2"/>
  <c r="S47" i="2" s="1"/>
  <c r="R46" i="2"/>
  <c r="S46" i="2" s="1"/>
  <c r="T46" i="2" s="1"/>
  <c r="O46" i="2"/>
  <c r="O47" i="2" s="1"/>
  <c r="O48" i="2" s="1"/>
  <c r="O49" i="2" s="1"/>
  <c r="O50" i="2" s="1"/>
  <c r="O51" i="2" s="1"/>
  <c r="I46" i="2"/>
  <c r="G46" i="2"/>
  <c r="G47" i="2" s="1"/>
  <c r="G48" i="2" s="1"/>
  <c r="G49" i="2" s="1"/>
  <c r="G50" i="2" s="1"/>
  <c r="G51" i="2" s="1"/>
  <c r="G52" i="2" s="1"/>
  <c r="G53" i="2" s="1"/>
  <c r="G54" i="2" s="1"/>
  <c r="G55" i="2" s="1"/>
  <c r="G56" i="2" s="1"/>
  <c r="G57" i="2" s="1"/>
  <c r="G58" i="2" s="1"/>
  <c r="G59" i="2" s="1"/>
  <c r="G60" i="2" s="1"/>
  <c r="G61" i="2" s="1"/>
  <c r="G62" i="2" s="1"/>
  <c r="G63" i="2" s="1"/>
  <c r="G64" i="2" s="1"/>
  <c r="G65" i="2" s="1"/>
  <c r="G66" i="2" s="1"/>
  <c r="G67" i="2" s="1"/>
  <c r="G68" i="2" s="1"/>
  <c r="G69" i="2" s="1"/>
  <c r="G70" i="2" s="1"/>
  <c r="G71" i="2" s="1"/>
  <c r="G72" i="2" s="1"/>
  <c r="G73" i="2" s="1"/>
  <c r="G74" i="2" s="1"/>
  <c r="G75" i="2" s="1"/>
  <c r="G76" i="2" s="1"/>
  <c r="G77" i="2" s="1"/>
  <c r="G78" i="2" s="1"/>
  <c r="G79" i="2" s="1"/>
  <c r="G80" i="2" s="1"/>
  <c r="G81" i="2" s="1"/>
  <c r="G82" i="2" s="1"/>
  <c r="G83" i="2" s="1"/>
  <c r="G84" i="2" s="1"/>
  <c r="G85" i="2" s="1"/>
  <c r="G86" i="2" s="1"/>
  <c r="G87" i="2" s="1"/>
  <c r="G88" i="2" s="1"/>
  <c r="G89" i="2" s="1"/>
  <c r="G90" i="2" s="1"/>
  <c r="G91" i="2" s="1"/>
  <c r="G92" i="2" s="1"/>
  <c r="G93" i="2" s="1"/>
  <c r="G94" i="2" s="1"/>
  <c r="G95" i="2" s="1"/>
  <c r="G96" i="2" s="1"/>
  <c r="G97" i="2" s="1"/>
  <c r="G98" i="2" s="1"/>
  <c r="G99" i="2" s="1"/>
  <c r="G100" i="2" s="1"/>
  <c r="G101" i="2" s="1"/>
  <c r="G102" i="2" s="1"/>
  <c r="G103" i="2" s="1"/>
  <c r="G104" i="2" s="1"/>
  <c r="G105" i="2" s="1"/>
  <c r="G106" i="2" s="1"/>
  <c r="G107" i="2" s="1"/>
  <c r="G108" i="2" s="1"/>
  <c r="G109" i="2" s="1"/>
  <c r="G110" i="2" s="1"/>
  <c r="G111" i="2" s="1"/>
  <c r="G112" i="2" s="1"/>
  <c r="G113" i="2" s="1"/>
  <c r="G114" i="2" s="1"/>
  <c r="G115" i="2" s="1"/>
  <c r="G116" i="2" s="1"/>
  <c r="G117" i="2" s="1"/>
  <c r="G118" i="2" s="1"/>
  <c r="G119" i="2" s="1"/>
  <c r="G120" i="2" s="1"/>
  <c r="G121" i="2" s="1"/>
  <c r="G122" i="2" s="1"/>
  <c r="G123" i="2" s="1"/>
  <c r="G124" i="2" s="1"/>
  <c r="G125" i="2" s="1"/>
  <c r="G126" i="2" s="1"/>
  <c r="G127" i="2" s="1"/>
  <c r="G128" i="2" s="1"/>
  <c r="G129" i="2" s="1"/>
  <c r="G130" i="2" s="1"/>
  <c r="G131" i="2" s="1"/>
  <c r="G132" i="2" s="1"/>
  <c r="G133" i="2" s="1"/>
  <c r="G134" i="2" s="1"/>
  <c r="G135" i="2" s="1"/>
  <c r="G136" i="2" s="1"/>
  <c r="G137" i="2" s="1"/>
  <c r="G138" i="2" s="1"/>
  <c r="R45" i="2"/>
  <c r="S45" i="2" s="1"/>
  <c r="Z44" i="2"/>
  <c r="S44" i="2"/>
  <c r="R44" i="2"/>
  <c r="I44" i="2"/>
  <c r="S43" i="2"/>
  <c r="R43" i="2"/>
  <c r="R42" i="2"/>
  <c r="S42" i="2" s="1"/>
  <c r="M42" i="2"/>
  <c r="M43" i="2" s="1"/>
  <c r="M44" i="2" s="1"/>
  <c r="M45" i="2" s="1"/>
  <c r="M46" i="2" s="1"/>
  <c r="M47" i="2" s="1"/>
  <c r="M48" i="2" s="1"/>
  <c r="M49" i="2" s="1"/>
  <c r="M50" i="2" s="1"/>
  <c r="M51" i="2" s="1"/>
  <c r="M52" i="2" s="1"/>
  <c r="M53" i="2" s="1"/>
  <c r="M54" i="2" s="1"/>
  <c r="M55" i="2" s="1"/>
  <c r="M56" i="2" s="1"/>
  <c r="M57" i="2" s="1"/>
  <c r="M58" i="2" s="1"/>
  <c r="M59" i="2" s="1"/>
  <c r="M60" i="2" s="1"/>
  <c r="M61" i="2" s="1"/>
  <c r="M62" i="2" s="1"/>
  <c r="M63" i="2" s="1"/>
  <c r="M64" i="2" s="1"/>
  <c r="M65" i="2" s="1"/>
  <c r="M66" i="2" s="1"/>
  <c r="M67" i="2" s="1"/>
  <c r="M68" i="2" s="1"/>
  <c r="M69" i="2" s="1"/>
  <c r="M70" i="2" s="1"/>
  <c r="M71" i="2" s="1"/>
  <c r="M72" i="2" s="1"/>
  <c r="M73" i="2" s="1"/>
  <c r="M74" i="2" s="1"/>
  <c r="M75" i="2" s="1"/>
  <c r="M76" i="2" s="1"/>
  <c r="M77" i="2" s="1"/>
  <c r="M78" i="2" s="1"/>
  <c r="M79" i="2" s="1"/>
  <c r="M80" i="2" s="1"/>
  <c r="M81" i="2" s="1"/>
  <c r="M82" i="2" s="1"/>
  <c r="M83" i="2" s="1"/>
  <c r="M84" i="2" s="1"/>
  <c r="M85" i="2" s="1"/>
  <c r="M86" i="2" s="1"/>
  <c r="M87" i="2" s="1"/>
  <c r="M88" i="2" s="1"/>
  <c r="M89" i="2" s="1"/>
  <c r="M90" i="2" s="1"/>
  <c r="M91" i="2" s="1"/>
  <c r="M92" i="2" s="1"/>
  <c r="M93" i="2" s="1"/>
  <c r="M94" i="2" s="1"/>
  <c r="M95" i="2" s="1"/>
  <c r="M96" i="2" s="1"/>
  <c r="M97" i="2" s="1"/>
  <c r="M98" i="2" s="1"/>
  <c r="M99" i="2" s="1"/>
  <c r="M100" i="2" s="1"/>
  <c r="M101" i="2" s="1"/>
  <c r="M102" i="2" s="1"/>
  <c r="M103" i="2" s="1"/>
  <c r="M104" i="2" s="1"/>
  <c r="M105" i="2" s="1"/>
  <c r="M106" i="2" s="1"/>
  <c r="M107" i="2" s="1"/>
  <c r="M108" i="2" s="1"/>
  <c r="M109" i="2" s="1"/>
  <c r="M110" i="2" s="1"/>
  <c r="M111" i="2" s="1"/>
  <c r="M112" i="2" s="1"/>
  <c r="M113" i="2" s="1"/>
  <c r="M114" i="2" s="1"/>
  <c r="M115" i="2" s="1"/>
  <c r="M116" i="2" s="1"/>
  <c r="M117" i="2" s="1"/>
  <c r="M118" i="2" s="1"/>
  <c r="M119" i="2" s="1"/>
  <c r="M120" i="2" s="1"/>
  <c r="M121" i="2" s="1"/>
  <c r="M122" i="2" s="1"/>
  <c r="M123" i="2" s="1"/>
  <c r="M124" i="2" s="1"/>
  <c r="M125" i="2" s="1"/>
  <c r="M126" i="2" s="1"/>
  <c r="M127" i="2" s="1"/>
  <c r="M128" i="2" s="1"/>
  <c r="M129" i="2" s="1"/>
  <c r="M130" i="2" s="1"/>
  <c r="M131" i="2" s="1"/>
  <c r="M132" i="2" s="1"/>
  <c r="M133" i="2" s="1"/>
  <c r="M134" i="2" s="1"/>
  <c r="M135" i="2" s="1"/>
  <c r="M136" i="2" s="1"/>
  <c r="M137" i="2" s="1"/>
  <c r="M138" i="2" s="1"/>
  <c r="M139" i="2" s="1"/>
  <c r="M140" i="2" s="1"/>
  <c r="M141" i="2" s="1"/>
  <c r="M142" i="2" s="1"/>
  <c r="M143" i="2" s="1"/>
  <c r="M144" i="2" s="1"/>
  <c r="M145" i="2" s="1"/>
  <c r="M146" i="2" s="1"/>
  <c r="M147" i="2" s="1"/>
  <c r="M148" i="2" s="1"/>
  <c r="M149" i="2" s="1"/>
  <c r="M150" i="2" s="1"/>
  <c r="M151" i="2" s="1"/>
  <c r="M152" i="2" s="1"/>
  <c r="M153" i="2" s="1"/>
  <c r="M154" i="2" s="1"/>
  <c r="M155" i="2" s="1"/>
  <c r="M156" i="2" s="1"/>
  <c r="M157" i="2" s="1"/>
  <c r="M158" i="2" s="1"/>
  <c r="M159" i="2" s="1"/>
  <c r="M160" i="2" s="1"/>
  <c r="M161" i="2" s="1"/>
  <c r="M162" i="2" s="1"/>
  <c r="M163" i="2" s="1"/>
  <c r="M164" i="2" s="1"/>
  <c r="M165" i="2" s="1"/>
  <c r="M166" i="2" s="1"/>
  <c r="M167" i="2" s="1"/>
  <c r="M168" i="2" s="1"/>
  <c r="M169" i="2" s="1"/>
  <c r="M170" i="2" s="1"/>
  <c r="M171" i="2" s="1"/>
  <c r="M172" i="2" s="1"/>
  <c r="M173" i="2" s="1"/>
  <c r="M174" i="2" s="1"/>
  <c r="M175" i="2" s="1"/>
  <c r="M176" i="2" s="1"/>
  <c r="M177" i="2" s="1"/>
  <c r="M178" i="2" s="1"/>
  <c r="M179" i="2" s="1"/>
  <c r="M180" i="2" s="1"/>
  <c r="M181" i="2" s="1"/>
  <c r="M182" i="2" s="1"/>
  <c r="M183" i="2" s="1"/>
  <c r="M184" i="2" s="1"/>
  <c r="M185" i="2" s="1"/>
  <c r="M186" i="2" s="1"/>
  <c r="M187" i="2" s="1"/>
  <c r="M188" i="2" s="1"/>
  <c r="M189" i="2" s="1"/>
  <c r="M190" i="2" s="1"/>
  <c r="M191" i="2" s="1"/>
  <c r="M192" i="2" s="1"/>
  <c r="M193" i="2" s="1"/>
  <c r="M194" i="2" s="1"/>
  <c r="M195" i="2" s="1"/>
  <c r="M196" i="2" s="1"/>
  <c r="M197" i="2" s="1"/>
  <c r="M198" i="2" s="1"/>
  <c r="M199" i="2" s="1"/>
  <c r="M200" i="2" s="1"/>
  <c r="M201" i="2" s="1"/>
  <c r="M202" i="2" s="1"/>
  <c r="M203" i="2" s="1"/>
  <c r="M204" i="2" s="1"/>
  <c r="M205" i="2" s="1"/>
  <c r="M206" i="2" s="1"/>
  <c r="M207" i="2" s="1"/>
  <c r="M208" i="2" s="1"/>
  <c r="M209" i="2" s="1"/>
  <c r="M210" i="2" s="1"/>
  <c r="M211" i="2" s="1"/>
  <c r="M212" i="2" s="1"/>
  <c r="M213" i="2" s="1"/>
  <c r="M214" i="2" s="1"/>
  <c r="M215" i="2" s="1"/>
  <c r="M216" i="2" s="1"/>
  <c r="M217" i="2" s="1"/>
  <c r="M218" i="2" s="1"/>
  <c r="M219" i="2" s="1"/>
  <c r="M220" i="2" s="1"/>
  <c r="M221" i="2" s="1"/>
  <c r="M222" i="2" s="1"/>
  <c r="M223" i="2" s="1"/>
  <c r="M224" i="2" s="1"/>
  <c r="M225" i="2" s="1"/>
  <c r="M226" i="2" s="1"/>
  <c r="M227" i="2" s="1"/>
  <c r="M228" i="2" s="1"/>
  <c r="M229" i="2" s="1"/>
  <c r="M230" i="2" s="1"/>
  <c r="M231" i="2" s="1"/>
  <c r="M232" i="2" s="1"/>
  <c r="M233" i="2" s="1"/>
  <c r="M234" i="2" s="1"/>
  <c r="M235" i="2" s="1"/>
  <c r="M236" i="2" s="1"/>
  <c r="M237" i="2" s="1"/>
  <c r="M238" i="2" s="1"/>
  <c r="M239" i="2" s="1"/>
  <c r="M240" i="2" s="1"/>
  <c r="M241" i="2" s="1"/>
  <c r="M242" i="2" s="1"/>
  <c r="M243" i="2" s="1"/>
  <c r="M244" i="2" s="1"/>
  <c r="M245" i="2" s="1"/>
  <c r="M246" i="2" s="1"/>
  <c r="M247" i="2" s="1"/>
  <c r="M248" i="2" s="1"/>
  <c r="M249" i="2" s="1"/>
  <c r="M250" i="2" s="1"/>
  <c r="M251" i="2" s="1"/>
  <c r="M252" i="2" s="1"/>
  <c r="M253" i="2" s="1"/>
  <c r="M254" i="2" s="1"/>
  <c r="M255" i="2" s="1"/>
  <c r="M256" i="2" s="1"/>
  <c r="M257" i="2" s="1"/>
  <c r="M258" i="2" s="1"/>
  <c r="M259" i="2" s="1"/>
  <c r="M260" i="2" s="1"/>
  <c r="M261" i="2" s="1"/>
  <c r="M262" i="2" s="1"/>
  <c r="M263" i="2" s="1"/>
  <c r="M264" i="2" s="1"/>
  <c r="M265" i="2" s="1"/>
  <c r="M266" i="2" s="1"/>
  <c r="M267" i="2" s="1"/>
  <c r="M268" i="2" s="1"/>
  <c r="M269" i="2" s="1"/>
  <c r="M270" i="2" s="1"/>
  <c r="M271" i="2" s="1"/>
  <c r="M272" i="2" s="1"/>
  <c r="M273" i="2" s="1"/>
  <c r="M274" i="2" s="1"/>
  <c r="M275" i="2" s="1"/>
  <c r="M276" i="2" s="1"/>
  <c r="M277" i="2" s="1"/>
  <c r="M278" i="2" s="1"/>
  <c r="M279" i="2" s="1"/>
  <c r="M280" i="2" s="1"/>
  <c r="M281" i="2" s="1"/>
  <c r="M282" i="2" s="1"/>
  <c r="M283" i="2" s="1"/>
  <c r="M284" i="2" s="1"/>
  <c r="M285" i="2" s="1"/>
  <c r="M286" i="2" s="1"/>
  <c r="M287" i="2" s="1"/>
  <c r="M288" i="2" s="1"/>
  <c r="M289" i="2" s="1"/>
  <c r="M290" i="2" s="1"/>
  <c r="M291" i="2" s="1"/>
  <c r="M292" i="2" s="1"/>
  <c r="M293" i="2" s="1"/>
  <c r="M294" i="2" s="1"/>
  <c r="M295" i="2" s="1"/>
  <c r="M296" i="2" s="1"/>
  <c r="M297" i="2" s="1"/>
  <c r="M298" i="2" s="1"/>
  <c r="M299" i="2" s="1"/>
  <c r="M300" i="2" s="1"/>
  <c r="M301" i="2" s="1"/>
  <c r="M302" i="2" s="1"/>
  <c r="M303" i="2" s="1"/>
  <c r="M304" i="2" s="1"/>
  <c r="M305" i="2" s="1"/>
  <c r="M306" i="2" s="1"/>
  <c r="M307" i="2" s="1"/>
  <c r="M308" i="2" s="1"/>
  <c r="M309" i="2" s="1"/>
  <c r="M310" i="2" s="1"/>
  <c r="M311" i="2" s="1"/>
  <c r="M312" i="2" s="1"/>
  <c r="M313" i="2" s="1"/>
  <c r="M314" i="2" s="1"/>
  <c r="M315" i="2" s="1"/>
  <c r="M316" i="2" s="1"/>
  <c r="M317" i="2" s="1"/>
  <c r="M318" i="2" s="1"/>
  <c r="M319" i="2" s="1"/>
  <c r="M320" i="2" s="1"/>
  <c r="M321" i="2" s="1"/>
  <c r="M322" i="2" s="1"/>
  <c r="M323" i="2" s="1"/>
  <c r="M324" i="2" s="1"/>
  <c r="M325" i="2" s="1"/>
  <c r="M326" i="2" s="1"/>
  <c r="M327" i="2" s="1"/>
  <c r="M328" i="2" s="1"/>
  <c r="M329" i="2" s="1"/>
  <c r="M330" i="2" s="1"/>
  <c r="M331" i="2" s="1"/>
  <c r="M332" i="2" s="1"/>
  <c r="M333" i="2" s="1"/>
  <c r="M334" i="2" s="1"/>
  <c r="M335" i="2" s="1"/>
  <c r="M336" i="2" s="1"/>
  <c r="M337" i="2" s="1"/>
  <c r="M338" i="2" s="1"/>
  <c r="M339" i="2" s="1"/>
  <c r="M340" i="2" s="1"/>
  <c r="M341" i="2" s="1"/>
  <c r="M342" i="2" s="1"/>
  <c r="M343" i="2" s="1"/>
  <c r="M344" i="2" s="1"/>
  <c r="M345" i="2" s="1"/>
  <c r="M346" i="2" s="1"/>
  <c r="M347" i="2" s="1"/>
  <c r="M348" i="2" s="1"/>
  <c r="M349" i="2" s="1"/>
  <c r="M350" i="2" s="1"/>
  <c r="M351" i="2" s="1"/>
  <c r="M352" i="2" s="1"/>
  <c r="M353" i="2" s="1"/>
  <c r="M354" i="2" s="1"/>
  <c r="I42" i="2"/>
  <c r="G42" i="2"/>
  <c r="G43" i="2" s="1"/>
  <c r="G44" i="2" s="1"/>
  <c r="G45" i="2" s="1"/>
  <c r="X41" i="2"/>
  <c r="X42" i="2" s="1"/>
  <c r="X43" i="2" s="1"/>
  <c r="X44" i="2" s="1"/>
  <c r="X45" i="2" s="1"/>
  <c r="X46" i="2" s="1"/>
  <c r="X47" i="2" s="1"/>
  <c r="X48" i="2" s="1"/>
  <c r="X49" i="2" s="1"/>
  <c r="X50" i="2" s="1"/>
  <c r="X51" i="2" s="1"/>
  <c r="X52" i="2" s="1"/>
  <c r="X53" i="2" s="1"/>
  <c r="X54" i="2" s="1"/>
  <c r="X55" i="2" s="1"/>
  <c r="X56" i="2" s="1"/>
  <c r="X57" i="2" s="1"/>
  <c r="X58" i="2" s="1"/>
  <c r="X59" i="2" s="1"/>
  <c r="X60" i="2" s="1"/>
  <c r="X61" i="2" s="1"/>
  <c r="X62" i="2" s="1"/>
  <c r="X63" i="2" s="1"/>
  <c r="X64" i="2" s="1"/>
  <c r="X65" i="2" s="1"/>
  <c r="X66" i="2" s="1"/>
  <c r="X67" i="2" s="1"/>
  <c r="X68" i="2" s="1"/>
  <c r="X69" i="2" s="1"/>
  <c r="X70" i="2" s="1"/>
  <c r="X71" i="2" s="1"/>
  <c r="X72" i="2" s="1"/>
  <c r="X73" i="2" s="1"/>
  <c r="X74" i="2" s="1"/>
  <c r="X75" i="2" s="1"/>
  <c r="X76" i="2" s="1"/>
  <c r="X77" i="2" s="1"/>
  <c r="X78" i="2" s="1"/>
  <c r="X79" i="2" s="1"/>
  <c r="X80" i="2" s="1"/>
  <c r="X81" i="2" s="1"/>
  <c r="X82" i="2" s="1"/>
  <c r="X83" i="2" s="1"/>
  <c r="X84" i="2" s="1"/>
  <c r="X85" i="2" s="1"/>
  <c r="X86" i="2" s="1"/>
  <c r="X87" i="2" s="1"/>
  <c r="X88" i="2" s="1"/>
  <c r="X89" i="2" s="1"/>
  <c r="X90" i="2" s="1"/>
  <c r="X91" i="2" s="1"/>
  <c r="X92" i="2" s="1"/>
  <c r="X93" i="2" s="1"/>
  <c r="X94" i="2" s="1"/>
  <c r="X95" i="2" s="1"/>
  <c r="X96" i="2" s="1"/>
  <c r="X97" i="2" s="1"/>
  <c r="X98" i="2" s="1"/>
  <c r="X99" i="2" s="1"/>
  <c r="X100" i="2" s="1"/>
  <c r="X101" i="2" s="1"/>
  <c r="X102" i="2" s="1"/>
  <c r="X103" i="2" s="1"/>
  <c r="X104" i="2" s="1"/>
  <c r="X105" i="2" s="1"/>
  <c r="X106" i="2" s="1"/>
  <c r="X107" i="2" s="1"/>
  <c r="X108" i="2" s="1"/>
  <c r="X109" i="2" s="1"/>
  <c r="X110" i="2" s="1"/>
  <c r="X111" i="2" s="1"/>
  <c r="X112" i="2" s="1"/>
  <c r="X113" i="2" s="1"/>
  <c r="X114" i="2" s="1"/>
  <c r="X115" i="2" s="1"/>
  <c r="X116" i="2" s="1"/>
  <c r="X117" i="2" s="1"/>
  <c r="X118" i="2" s="1"/>
  <c r="X119" i="2" s="1"/>
  <c r="X120" i="2" s="1"/>
  <c r="X121" i="2" s="1"/>
  <c r="X122" i="2" s="1"/>
  <c r="X123" i="2" s="1"/>
  <c r="X124" i="2" s="1"/>
  <c r="X125" i="2" s="1"/>
  <c r="X126" i="2" s="1"/>
  <c r="X127" i="2" s="1"/>
  <c r="X128" i="2" s="1"/>
  <c r="X129" i="2" s="1"/>
  <c r="X130" i="2" s="1"/>
  <c r="X131" i="2" s="1"/>
  <c r="X132" i="2" s="1"/>
  <c r="X133" i="2" s="1"/>
  <c r="X134" i="2" s="1"/>
  <c r="X135" i="2" s="1"/>
  <c r="X136" i="2" s="1"/>
  <c r="X137" i="2" s="1"/>
  <c r="X138" i="2" s="1"/>
  <c r="X139" i="2" s="1"/>
  <c r="X140" i="2" s="1"/>
  <c r="X141" i="2" s="1"/>
  <c r="X142" i="2" s="1"/>
  <c r="X143" i="2" s="1"/>
  <c r="X144" i="2" s="1"/>
  <c r="X145" i="2" s="1"/>
  <c r="X146" i="2" s="1"/>
  <c r="X147" i="2" s="1"/>
  <c r="X148" i="2" s="1"/>
  <c r="X149" i="2" s="1"/>
  <c r="X150" i="2" s="1"/>
  <c r="X151" i="2" s="1"/>
  <c r="X152" i="2" s="1"/>
  <c r="X153" i="2" s="1"/>
  <c r="X154" i="2" s="1"/>
  <c r="X155" i="2" s="1"/>
  <c r="X156" i="2" s="1"/>
  <c r="X157" i="2" s="1"/>
  <c r="X158" i="2" s="1"/>
  <c r="X159" i="2" s="1"/>
  <c r="X160" i="2" s="1"/>
  <c r="X161" i="2" s="1"/>
  <c r="X162" i="2" s="1"/>
  <c r="X163" i="2" s="1"/>
  <c r="X164" i="2" s="1"/>
  <c r="X165" i="2" s="1"/>
  <c r="X166" i="2" s="1"/>
  <c r="X167" i="2" s="1"/>
  <c r="X168" i="2" s="1"/>
  <c r="X169" i="2" s="1"/>
  <c r="X170" i="2" s="1"/>
  <c r="S41" i="2"/>
  <c r="R41" i="2"/>
  <c r="M41" i="2"/>
  <c r="K41" i="2"/>
  <c r="K42" i="2" s="1"/>
  <c r="K43" i="2" s="1"/>
  <c r="K44" i="2" s="1"/>
  <c r="K45" i="2" s="1"/>
  <c r="K46" i="2" s="1"/>
  <c r="K47" i="2" s="1"/>
  <c r="K48" i="2" s="1"/>
  <c r="K49" i="2" s="1"/>
  <c r="K50" i="2" s="1"/>
  <c r="K51" i="2" s="1"/>
  <c r="K52" i="2" s="1"/>
  <c r="K53" i="2" s="1"/>
  <c r="K54" i="2" s="1"/>
  <c r="K55" i="2" s="1"/>
  <c r="K56" i="2" s="1"/>
  <c r="K57" i="2" s="1"/>
  <c r="K58" i="2" s="1"/>
  <c r="K59" i="2" s="1"/>
  <c r="K60" i="2" s="1"/>
  <c r="K61" i="2" s="1"/>
  <c r="K62" i="2" s="1"/>
  <c r="K63" i="2" s="1"/>
  <c r="K64" i="2" s="1"/>
  <c r="K65" i="2" s="1"/>
  <c r="K66" i="2" s="1"/>
  <c r="K67" i="2" s="1"/>
  <c r="K68" i="2" s="1"/>
  <c r="K69" i="2" s="1"/>
  <c r="K70" i="2" s="1"/>
  <c r="K71" i="2" s="1"/>
  <c r="K72" i="2" s="1"/>
  <c r="K73" i="2" s="1"/>
  <c r="K74" i="2" s="1"/>
  <c r="K75" i="2" s="1"/>
  <c r="K76" i="2" s="1"/>
  <c r="K77" i="2" s="1"/>
  <c r="K78" i="2" s="1"/>
  <c r="K79" i="2" s="1"/>
  <c r="K80" i="2" s="1"/>
  <c r="K81" i="2" s="1"/>
  <c r="K82" i="2" s="1"/>
  <c r="K83" i="2" s="1"/>
  <c r="K84" i="2" s="1"/>
  <c r="K85" i="2" s="1"/>
  <c r="K86" i="2" s="1"/>
  <c r="K87" i="2" s="1"/>
  <c r="K88" i="2" s="1"/>
  <c r="K89" i="2" s="1"/>
  <c r="K90" i="2" s="1"/>
  <c r="K91" i="2" s="1"/>
  <c r="K92" i="2" s="1"/>
  <c r="K93" i="2" s="1"/>
  <c r="K94" i="2" s="1"/>
  <c r="K95" i="2" s="1"/>
  <c r="K96" i="2" s="1"/>
  <c r="K97" i="2" s="1"/>
  <c r="K98" i="2" s="1"/>
  <c r="K99" i="2" s="1"/>
  <c r="K100" i="2" s="1"/>
  <c r="K101" i="2" s="1"/>
  <c r="K102" i="2" s="1"/>
  <c r="K103" i="2" s="1"/>
  <c r="K104" i="2" s="1"/>
  <c r="K105" i="2" s="1"/>
  <c r="K106" i="2" s="1"/>
  <c r="K107" i="2" s="1"/>
  <c r="K108" i="2" s="1"/>
  <c r="K109" i="2" s="1"/>
  <c r="K110" i="2" s="1"/>
  <c r="K111" i="2" s="1"/>
  <c r="K112" i="2" s="1"/>
  <c r="K113" i="2" s="1"/>
  <c r="K114" i="2" s="1"/>
  <c r="K115" i="2" s="1"/>
  <c r="K116" i="2" s="1"/>
  <c r="K117" i="2" s="1"/>
  <c r="K118" i="2" s="1"/>
  <c r="K119" i="2" s="1"/>
  <c r="K120" i="2" s="1"/>
  <c r="K121" i="2" s="1"/>
  <c r="K122" i="2" s="1"/>
  <c r="K123" i="2" s="1"/>
  <c r="K124" i="2" s="1"/>
  <c r="K125" i="2" s="1"/>
  <c r="K126" i="2" s="1"/>
  <c r="K127" i="2" s="1"/>
  <c r="K128" i="2" s="1"/>
  <c r="K129" i="2" s="1"/>
  <c r="K130" i="2" s="1"/>
  <c r="K131" i="2" s="1"/>
  <c r="K132" i="2" s="1"/>
  <c r="K133" i="2" s="1"/>
  <c r="K134" i="2" s="1"/>
  <c r="K135" i="2" s="1"/>
  <c r="K136" i="2" s="1"/>
  <c r="K137" i="2" s="1"/>
  <c r="K138" i="2" s="1"/>
  <c r="K139" i="2" s="1"/>
  <c r="K140" i="2" s="1"/>
  <c r="K141" i="2" s="1"/>
  <c r="K142" i="2" s="1"/>
  <c r="K143" i="2" s="1"/>
  <c r="K144" i="2" s="1"/>
  <c r="K145" i="2" s="1"/>
  <c r="K146" i="2" s="1"/>
  <c r="K147" i="2" s="1"/>
  <c r="K148" i="2" s="1"/>
  <c r="K149" i="2" s="1"/>
  <c r="K150" i="2" s="1"/>
  <c r="K151" i="2" s="1"/>
  <c r="K152" i="2" s="1"/>
  <c r="K153" i="2" s="1"/>
  <c r="K154" i="2" s="1"/>
  <c r="K155" i="2" s="1"/>
  <c r="K156" i="2" s="1"/>
  <c r="K157" i="2" s="1"/>
  <c r="K158" i="2" s="1"/>
  <c r="K159" i="2" s="1"/>
  <c r="K160" i="2" s="1"/>
  <c r="K161" i="2" s="1"/>
  <c r="K162" i="2" s="1"/>
  <c r="K163" i="2" s="1"/>
  <c r="K164" i="2" s="1"/>
  <c r="K165" i="2" s="1"/>
  <c r="K166" i="2" s="1"/>
  <c r="K167" i="2" s="1"/>
  <c r="K168" i="2" s="1"/>
  <c r="K169" i="2" s="1"/>
  <c r="K170" i="2" s="1"/>
  <c r="K171" i="2" s="1"/>
  <c r="K172" i="2" s="1"/>
  <c r="K173" i="2" s="1"/>
  <c r="K174" i="2" s="1"/>
  <c r="K175" i="2" s="1"/>
  <c r="K176" i="2" s="1"/>
  <c r="K177" i="2" s="1"/>
  <c r="K178" i="2" s="1"/>
  <c r="K179" i="2" s="1"/>
  <c r="K180" i="2" s="1"/>
  <c r="K181" i="2" s="1"/>
  <c r="K182" i="2" s="1"/>
  <c r="K183" i="2" s="1"/>
  <c r="K184" i="2" s="1"/>
  <c r="K185" i="2" s="1"/>
  <c r="K186" i="2" s="1"/>
  <c r="K187" i="2" s="1"/>
  <c r="K188" i="2" s="1"/>
  <c r="K189" i="2" s="1"/>
  <c r="K190" i="2" s="1"/>
  <c r="K191" i="2" s="1"/>
  <c r="K192" i="2" s="1"/>
  <c r="K193" i="2" s="1"/>
  <c r="K194" i="2" s="1"/>
  <c r="K195" i="2" s="1"/>
  <c r="K196" i="2" s="1"/>
  <c r="K197" i="2" s="1"/>
  <c r="K198" i="2" s="1"/>
  <c r="K199" i="2" s="1"/>
  <c r="K200" i="2" s="1"/>
  <c r="K201" i="2" s="1"/>
  <c r="K202" i="2" s="1"/>
  <c r="K203" i="2" s="1"/>
  <c r="K204" i="2" s="1"/>
  <c r="K205" i="2" s="1"/>
  <c r="K206" i="2" s="1"/>
  <c r="K207" i="2" s="1"/>
  <c r="K208" i="2" s="1"/>
  <c r="K209" i="2" s="1"/>
  <c r="K210" i="2" s="1"/>
  <c r="K211" i="2" s="1"/>
  <c r="K212" i="2" s="1"/>
  <c r="K213" i="2" s="1"/>
  <c r="K214" i="2" s="1"/>
  <c r="K215" i="2" s="1"/>
  <c r="K216" i="2" s="1"/>
  <c r="K217" i="2" s="1"/>
  <c r="K218" i="2" s="1"/>
  <c r="K219" i="2" s="1"/>
  <c r="K220" i="2" s="1"/>
  <c r="K221" i="2" s="1"/>
  <c r="K222" i="2" s="1"/>
  <c r="K223" i="2" s="1"/>
  <c r="K224" i="2" s="1"/>
  <c r="K225" i="2" s="1"/>
  <c r="K226" i="2" s="1"/>
  <c r="K227" i="2" s="1"/>
  <c r="K228" i="2" s="1"/>
  <c r="K229" i="2" s="1"/>
  <c r="K230" i="2" s="1"/>
  <c r="K231" i="2" s="1"/>
  <c r="K232" i="2" s="1"/>
  <c r="K233" i="2" s="1"/>
  <c r="K234" i="2" s="1"/>
  <c r="K235" i="2" s="1"/>
  <c r="K236" i="2" s="1"/>
  <c r="K237" i="2" s="1"/>
  <c r="K238" i="2" s="1"/>
  <c r="K239" i="2" s="1"/>
  <c r="K240" i="2" s="1"/>
  <c r="K241" i="2" s="1"/>
  <c r="K242" i="2" s="1"/>
  <c r="K243" i="2" s="1"/>
  <c r="K244" i="2" s="1"/>
  <c r="K245" i="2" s="1"/>
  <c r="K246" i="2" s="1"/>
  <c r="K247" i="2" s="1"/>
  <c r="K248" i="2" s="1"/>
  <c r="K249" i="2" s="1"/>
  <c r="K250" i="2" s="1"/>
  <c r="K251" i="2" s="1"/>
  <c r="K252" i="2" s="1"/>
  <c r="K253" i="2" s="1"/>
  <c r="K254" i="2" s="1"/>
  <c r="K255" i="2" s="1"/>
  <c r="K256" i="2" s="1"/>
  <c r="K257" i="2" s="1"/>
  <c r="K258" i="2" s="1"/>
  <c r="K259" i="2" s="1"/>
  <c r="K260" i="2" s="1"/>
  <c r="K261" i="2" s="1"/>
  <c r="K262" i="2" s="1"/>
  <c r="K263" i="2" s="1"/>
  <c r="K264" i="2" s="1"/>
  <c r="K265" i="2" s="1"/>
  <c r="K266" i="2" s="1"/>
  <c r="K267" i="2" s="1"/>
  <c r="K268" i="2" s="1"/>
  <c r="K269" i="2" s="1"/>
  <c r="K270" i="2" s="1"/>
  <c r="K271" i="2" s="1"/>
  <c r="K272" i="2" s="1"/>
  <c r="K273" i="2" s="1"/>
  <c r="K274" i="2" s="1"/>
  <c r="K275" i="2" s="1"/>
  <c r="K276" i="2" s="1"/>
  <c r="K277" i="2" s="1"/>
  <c r="K278" i="2" s="1"/>
  <c r="K279" i="2" s="1"/>
  <c r="K280" i="2" s="1"/>
  <c r="K281" i="2" s="1"/>
  <c r="K282" i="2" s="1"/>
  <c r="K283" i="2" s="1"/>
  <c r="K284" i="2" s="1"/>
  <c r="K285" i="2" s="1"/>
  <c r="K286" i="2" s="1"/>
  <c r="K287" i="2" s="1"/>
  <c r="K288" i="2" s="1"/>
  <c r="K289" i="2" s="1"/>
  <c r="K290" i="2" s="1"/>
  <c r="K291" i="2" s="1"/>
  <c r="K292" i="2" s="1"/>
  <c r="K293" i="2" s="1"/>
  <c r="K294" i="2" s="1"/>
  <c r="K295" i="2" s="1"/>
  <c r="K296" i="2" s="1"/>
  <c r="K297" i="2" s="1"/>
  <c r="K298" i="2" s="1"/>
  <c r="K299" i="2" s="1"/>
  <c r="K300" i="2" s="1"/>
  <c r="K301" i="2" s="1"/>
  <c r="K302" i="2" s="1"/>
  <c r="K303" i="2" s="1"/>
  <c r="K304" i="2" s="1"/>
  <c r="K305" i="2" s="1"/>
  <c r="K306" i="2" s="1"/>
  <c r="K307" i="2" s="1"/>
  <c r="K308" i="2" s="1"/>
  <c r="K309" i="2" s="1"/>
  <c r="K310" i="2" s="1"/>
  <c r="K311" i="2" s="1"/>
  <c r="K312" i="2" s="1"/>
  <c r="K313" i="2" s="1"/>
  <c r="K314" i="2" s="1"/>
  <c r="K315" i="2" s="1"/>
  <c r="K316" i="2" s="1"/>
  <c r="K317" i="2" s="1"/>
  <c r="K318" i="2" s="1"/>
  <c r="K319" i="2" s="1"/>
  <c r="K320" i="2" s="1"/>
  <c r="K321" i="2" s="1"/>
  <c r="K322" i="2" s="1"/>
  <c r="K323" i="2" s="1"/>
  <c r="K324" i="2" s="1"/>
  <c r="K325" i="2" s="1"/>
  <c r="K326" i="2" s="1"/>
  <c r="K327" i="2" s="1"/>
  <c r="K328" i="2" s="1"/>
  <c r="K329" i="2" s="1"/>
  <c r="K330" i="2" s="1"/>
  <c r="K331" i="2" s="1"/>
  <c r="K332" i="2" s="1"/>
  <c r="K333" i="2" s="1"/>
  <c r="K334" i="2" s="1"/>
  <c r="K335" i="2" s="1"/>
  <c r="K336" i="2" s="1"/>
  <c r="K337" i="2" s="1"/>
  <c r="K338" i="2" s="1"/>
  <c r="K339" i="2" s="1"/>
  <c r="K340" i="2" s="1"/>
  <c r="K341" i="2" s="1"/>
  <c r="K342" i="2" s="1"/>
  <c r="K343" i="2" s="1"/>
  <c r="K344" i="2" s="1"/>
  <c r="K345" i="2" s="1"/>
  <c r="K346" i="2" s="1"/>
  <c r="K347" i="2" s="1"/>
  <c r="K348" i="2" s="1"/>
  <c r="K349" i="2" s="1"/>
  <c r="K350" i="2" s="1"/>
  <c r="K351" i="2" s="1"/>
  <c r="K352" i="2" s="1"/>
  <c r="K353" i="2" s="1"/>
  <c r="K354" i="2" s="1"/>
  <c r="G41" i="2"/>
  <c r="O28" i="2"/>
  <c r="O20" i="2"/>
  <c r="O19" i="2"/>
  <c r="O18" i="2"/>
  <c r="O17" i="2"/>
  <c r="O8" i="2"/>
  <c r="O9" i="2" s="1"/>
  <c r="O7" i="2"/>
  <c r="Q354" i="1"/>
  <c r="R354" i="1" s="1"/>
  <c r="S354" i="1" s="1"/>
  <c r="R353" i="1"/>
  <c r="S353" i="1" s="1"/>
  <c r="Q353" i="1"/>
  <c r="Q352" i="1"/>
  <c r="R352" i="1" s="1"/>
  <c r="S352" i="1" s="1"/>
  <c r="Q351" i="1"/>
  <c r="R351" i="1" s="1"/>
  <c r="S351" i="1" s="1"/>
  <c r="Q350" i="1"/>
  <c r="R350" i="1" s="1"/>
  <c r="S350" i="1" s="1"/>
  <c r="R349" i="1"/>
  <c r="S349" i="1" s="1"/>
  <c r="Q349" i="1"/>
  <c r="Q348" i="1"/>
  <c r="R348" i="1" s="1"/>
  <c r="S348" i="1" s="1"/>
  <c r="Y347" i="1"/>
  <c r="Y348" i="1" s="1"/>
  <c r="Y349" i="1" s="1"/>
  <c r="Y350" i="1" s="1"/>
  <c r="Y351" i="1" s="1"/>
  <c r="Y352" i="1" s="1"/>
  <c r="Y353" i="1" s="1"/>
  <c r="Y354" i="1" s="1"/>
  <c r="Q347" i="1"/>
  <c r="R347" i="1" s="1"/>
  <c r="S347" i="1" s="1"/>
  <c r="H347" i="1"/>
  <c r="H348" i="1" s="1"/>
  <c r="H349" i="1" s="1"/>
  <c r="H350" i="1" s="1"/>
  <c r="H351" i="1" s="1"/>
  <c r="H352" i="1" s="1"/>
  <c r="H353" i="1" s="1"/>
  <c r="H354" i="1" s="1"/>
  <c r="Q346" i="1"/>
  <c r="R346" i="1" s="1"/>
  <c r="S346" i="1" s="1"/>
  <c r="Q345" i="1"/>
  <c r="R345" i="1" s="1"/>
  <c r="S345" i="1" s="1"/>
  <c r="Q344" i="1"/>
  <c r="R344" i="1" s="1"/>
  <c r="S344" i="1" s="1"/>
  <c r="Q343" i="1"/>
  <c r="R343" i="1" s="1"/>
  <c r="S343" i="1" s="1"/>
  <c r="Q342" i="1"/>
  <c r="R342" i="1" s="1"/>
  <c r="S342" i="1" s="1"/>
  <c r="R341" i="1"/>
  <c r="S341" i="1" s="1"/>
  <c r="Q341" i="1"/>
  <c r="R340" i="1"/>
  <c r="S340" i="1" s="1"/>
  <c r="Q340" i="1"/>
  <c r="Q339" i="1"/>
  <c r="R339" i="1" s="1"/>
  <c r="S339" i="1" s="1"/>
  <c r="Q338" i="1"/>
  <c r="R338" i="1" s="1"/>
  <c r="S338" i="1" s="1"/>
  <c r="Q337" i="1"/>
  <c r="R337" i="1" s="1"/>
  <c r="S337" i="1" s="1"/>
  <c r="Q336" i="1"/>
  <c r="R336" i="1" s="1"/>
  <c r="S336" i="1" s="1"/>
  <c r="Q335" i="1"/>
  <c r="R335" i="1" s="1"/>
  <c r="S335" i="1" s="1"/>
  <c r="R334" i="1"/>
  <c r="S334" i="1" s="1"/>
  <c r="Q334" i="1"/>
  <c r="Q333" i="1"/>
  <c r="R333" i="1" s="1"/>
  <c r="S333" i="1" s="1"/>
  <c r="R332" i="1"/>
  <c r="S332" i="1" s="1"/>
  <c r="Q332" i="1"/>
  <c r="S331" i="1"/>
  <c r="Q331" i="1"/>
  <c r="R331" i="1" s="1"/>
  <c r="Q330" i="1"/>
  <c r="R330" i="1" s="1"/>
  <c r="S330" i="1" s="1"/>
  <c r="R329" i="1"/>
  <c r="S329" i="1" s="1"/>
  <c r="Q329" i="1"/>
  <c r="Q328" i="1"/>
  <c r="R328" i="1" s="1"/>
  <c r="S328" i="1" s="1"/>
  <c r="Q327" i="1"/>
  <c r="R327" i="1" s="1"/>
  <c r="S327" i="1" s="1"/>
  <c r="R326" i="1"/>
  <c r="S326" i="1" s="1"/>
  <c r="Q326" i="1"/>
  <c r="Q325" i="1"/>
  <c r="R325" i="1" s="1"/>
  <c r="S325" i="1" s="1"/>
  <c r="I325" i="1"/>
  <c r="Q324" i="1"/>
  <c r="R324" i="1" s="1"/>
  <c r="S324" i="1" s="1"/>
  <c r="Z323" i="1"/>
  <c r="Y323" i="1"/>
  <c r="Y324" i="1" s="1"/>
  <c r="Y325" i="1" s="1"/>
  <c r="Y326" i="1" s="1"/>
  <c r="Y327" i="1" s="1"/>
  <c r="Y328" i="1" s="1"/>
  <c r="Y329" i="1" s="1"/>
  <c r="Y330" i="1" s="1"/>
  <c r="Y331" i="1" s="1"/>
  <c r="Y332" i="1" s="1"/>
  <c r="Y333" i="1" s="1"/>
  <c r="Y334" i="1" s="1"/>
  <c r="Y335" i="1" s="1"/>
  <c r="Y336" i="1" s="1"/>
  <c r="Y337" i="1" s="1"/>
  <c r="Y338" i="1" s="1"/>
  <c r="Y339" i="1" s="1"/>
  <c r="Y340" i="1" s="1"/>
  <c r="Y341" i="1" s="1"/>
  <c r="Y342" i="1" s="1"/>
  <c r="Y343" i="1" s="1"/>
  <c r="Y344" i="1" s="1"/>
  <c r="Y345" i="1" s="1"/>
  <c r="Q323" i="1"/>
  <c r="R323" i="1" s="1"/>
  <c r="S323" i="1" s="1"/>
  <c r="I323" i="1"/>
  <c r="Q322" i="1"/>
  <c r="R322" i="1" s="1"/>
  <c r="S322" i="1" s="1"/>
  <c r="Y321" i="1"/>
  <c r="Y322" i="1" s="1"/>
  <c r="R321" i="1"/>
  <c r="S321" i="1" s="1"/>
  <c r="Q321" i="1"/>
  <c r="I321" i="1"/>
  <c r="H321" i="1"/>
  <c r="H322" i="1" s="1"/>
  <c r="H323" i="1" s="1"/>
  <c r="H324" i="1" s="1"/>
  <c r="H325" i="1" s="1"/>
  <c r="H326" i="1" s="1"/>
  <c r="H327" i="1" s="1"/>
  <c r="H328" i="1" s="1"/>
  <c r="H329" i="1" s="1"/>
  <c r="H330" i="1" s="1"/>
  <c r="H331" i="1" s="1"/>
  <c r="H332" i="1" s="1"/>
  <c r="H333" i="1" s="1"/>
  <c r="H334" i="1" s="1"/>
  <c r="H335" i="1" s="1"/>
  <c r="H336" i="1" s="1"/>
  <c r="H337" i="1" s="1"/>
  <c r="H338" i="1" s="1"/>
  <c r="H339" i="1" s="1"/>
  <c r="H340" i="1" s="1"/>
  <c r="H341" i="1" s="1"/>
  <c r="H342" i="1" s="1"/>
  <c r="H343" i="1" s="1"/>
  <c r="H344" i="1" s="1"/>
  <c r="H345" i="1" s="1"/>
  <c r="Q320" i="1"/>
  <c r="R320" i="1" s="1"/>
  <c r="S320" i="1" s="1"/>
  <c r="Q319" i="1"/>
  <c r="R319" i="1" s="1"/>
  <c r="S319" i="1" s="1"/>
  <c r="R318" i="1"/>
  <c r="S318" i="1" s="1"/>
  <c r="Q318" i="1"/>
  <c r="Q317" i="1"/>
  <c r="R317" i="1" s="1"/>
  <c r="S317" i="1" s="1"/>
  <c r="R316" i="1"/>
  <c r="S316" i="1" s="1"/>
  <c r="Q316" i="1"/>
  <c r="Q315" i="1"/>
  <c r="R315" i="1" s="1"/>
  <c r="S315" i="1" s="1"/>
  <c r="Q314" i="1"/>
  <c r="R314" i="1" s="1"/>
  <c r="S314" i="1" s="1"/>
  <c r="Q313" i="1"/>
  <c r="R313" i="1" s="1"/>
  <c r="S313" i="1" s="1"/>
  <c r="Q312" i="1"/>
  <c r="R312" i="1" s="1"/>
  <c r="S312" i="1" s="1"/>
  <c r="Q311" i="1"/>
  <c r="R311" i="1" s="1"/>
  <c r="S311" i="1" s="1"/>
  <c r="R310" i="1"/>
  <c r="S310" i="1" s="1"/>
  <c r="Q310" i="1"/>
  <c r="Q309" i="1"/>
  <c r="R309" i="1" s="1"/>
  <c r="S309" i="1" s="1"/>
  <c r="R308" i="1"/>
  <c r="S308" i="1" s="1"/>
  <c r="Q308" i="1"/>
  <c r="Q307" i="1"/>
  <c r="R307" i="1" s="1"/>
  <c r="S307" i="1" s="1"/>
  <c r="Q306" i="1"/>
  <c r="R306" i="1" s="1"/>
  <c r="S306" i="1" s="1"/>
  <c r="Q305" i="1"/>
  <c r="R305" i="1" s="1"/>
  <c r="S305" i="1" s="1"/>
  <c r="Q304" i="1"/>
  <c r="R304" i="1" s="1"/>
  <c r="S304" i="1" s="1"/>
  <c r="S303" i="1"/>
  <c r="R303" i="1"/>
  <c r="Q303" i="1"/>
  <c r="Q302" i="1"/>
  <c r="R302" i="1" s="1"/>
  <c r="S302" i="1" s="1"/>
  <c r="Q301" i="1"/>
  <c r="R301" i="1" s="1"/>
  <c r="S301" i="1" s="1"/>
  <c r="I301" i="1"/>
  <c r="Q300" i="1"/>
  <c r="R300" i="1" s="1"/>
  <c r="S300" i="1" s="1"/>
  <c r="Z299" i="1"/>
  <c r="S299" i="1"/>
  <c r="R299" i="1"/>
  <c r="Q299" i="1"/>
  <c r="I299" i="1"/>
  <c r="Q298" i="1"/>
  <c r="R298" i="1" s="1"/>
  <c r="S298" i="1" s="1"/>
  <c r="Y297" i="1"/>
  <c r="Y298" i="1" s="1"/>
  <c r="Y299" i="1" s="1"/>
  <c r="Y300" i="1" s="1"/>
  <c r="Y301" i="1" s="1"/>
  <c r="Y302" i="1" s="1"/>
  <c r="Y303" i="1" s="1"/>
  <c r="Y304" i="1" s="1"/>
  <c r="Y305" i="1" s="1"/>
  <c r="Y306" i="1" s="1"/>
  <c r="Y307" i="1" s="1"/>
  <c r="Y308" i="1" s="1"/>
  <c r="Y309" i="1" s="1"/>
  <c r="Y310" i="1" s="1"/>
  <c r="Y311" i="1" s="1"/>
  <c r="Y312" i="1" s="1"/>
  <c r="Y313" i="1" s="1"/>
  <c r="Y314" i="1" s="1"/>
  <c r="Y315" i="1" s="1"/>
  <c r="Y316" i="1" s="1"/>
  <c r="Y317" i="1" s="1"/>
  <c r="Y318" i="1" s="1"/>
  <c r="Y319" i="1" s="1"/>
  <c r="Q297" i="1"/>
  <c r="R297" i="1" s="1"/>
  <c r="S297" i="1" s="1"/>
  <c r="I297" i="1"/>
  <c r="H297" i="1"/>
  <c r="H298" i="1" s="1"/>
  <c r="H299" i="1" s="1"/>
  <c r="H300" i="1" s="1"/>
  <c r="H301" i="1" s="1"/>
  <c r="H302" i="1" s="1"/>
  <c r="H303" i="1" s="1"/>
  <c r="H304" i="1" s="1"/>
  <c r="H305" i="1" s="1"/>
  <c r="H306" i="1" s="1"/>
  <c r="H307" i="1" s="1"/>
  <c r="H308" i="1" s="1"/>
  <c r="H309" i="1" s="1"/>
  <c r="H310" i="1" s="1"/>
  <c r="H311" i="1" s="1"/>
  <c r="H312" i="1" s="1"/>
  <c r="H313" i="1" s="1"/>
  <c r="H314" i="1" s="1"/>
  <c r="H315" i="1" s="1"/>
  <c r="H316" i="1" s="1"/>
  <c r="H317" i="1" s="1"/>
  <c r="H318" i="1" s="1"/>
  <c r="H319" i="1" s="1"/>
  <c r="R296" i="1"/>
  <c r="S296" i="1" s="1"/>
  <c r="Q296" i="1"/>
  <c r="R295" i="1"/>
  <c r="S295" i="1" s="1"/>
  <c r="S294" i="1"/>
  <c r="R294" i="1"/>
  <c r="R293" i="1"/>
  <c r="S293" i="1" s="1"/>
  <c r="R292" i="1"/>
  <c r="S292" i="1" s="1"/>
  <c r="R291" i="1"/>
  <c r="S291" i="1" s="1"/>
  <c r="R290" i="1"/>
  <c r="S290" i="1" s="1"/>
  <c r="R289" i="1"/>
  <c r="S289" i="1" s="1"/>
  <c r="R288" i="1"/>
  <c r="S288" i="1" s="1"/>
  <c r="R287" i="1"/>
  <c r="S287" i="1" s="1"/>
  <c r="R286" i="1"/>
  <c r="S286" i="1" s="1"/>
  <c r="S285" i="1"/>
  <c r="R285" i="1"/>
  <c r="R284" i="1"/>
  <c r="S284" i="1" s="1"/>
  <c r="S283" i="1"/>
  <c r="R283" i="1"/>
  <c r="R282" i="1"/>
  <c r="S282" i="1" s="1"/>
  <c r="S281" i="1"/>
  <c r="R281" i="1"/>
  <c r="R280" i="1"/>
  <c r="S280" i="1" s="1"/>
  <c r="R279" i="1"/>
  <c r="S279" i="1" s="1"/>
  <c r="R278" i="1"/>
  <c r="S278" i="1" s="1"/>
  <c r="R277" i="1"/>
  <c r="S277" i="1" s="1"/>
  <c r="S276" i="1"/>
  <c r="R276" i="1"/>
  <c r="R275" i="1"/>
  <c r="S275" i="1" s="1"/>
  <c r="S274" i="1"/>
  <c r="R274" i="1"/>
  <c r="I274" i="1"/>
  <c r="S273" i="1"/>
  <c r="R273" i="1"/>
  <c r="Z272" i="1"/>
  <c r="R272" i="1"/>
  <c r="S272" i="1" s="1"/>
  <c r="I272" i="1"/>
  <c r="R271" i="1"/>
  <c r="S271" i="1" s="1"/>
  <c r="Y270" i="1"/>
  <c r="Y271" i="1" s="1"/>
  <c r="Y272" i="1" s="1"/>
  <c r="Y273" i="1" s="1"/>
  <c r="Y274" i="1" s="1"/>
  <c r="Y275" i="1" s="1"/>
  <c r="Y276" i="1" s="1"/>
  <c r="Y277" i="1" s="1"/>
  <c r="Y278" i="1" s="1"/>
  <c r="Y279" i="1" s="1"/>
  <c r="Y280" i="1" s="1"/>
  <c r="Y281" i="1" s="1"/>
  <c r="Y282" i="1" s="1"/>
  <c r="Y283" i="1" s="1"/>
  <c r="Y284" i="1" s="1"/>
  <c r="Y285" i="1" s="1"/>
  <c r="Y286" i="1" s="1"/>
  <c r="Y287" i="1" s="1"/>
  <c r="Y288" i="1" s="1"/>
  <c r="Y289" i="1" s="1"/>
  <c r="Y290" i="1" s="1"/>
  <c r="Y291" i="1" s="1"/>
  <c r="Y292" i="1" s="1"/>
  <c r="Y293" i="1" s="1"/>
  <c r="Y294" i="1" s="1"/>
  <c r="Y295" i="1" s="1"/>
  <c r="R270" i="1"/>
  <c r="S270" i="1" s="1"/>
  <c r="I270" i="1"/>
  <c r="H270" i="1"/>
  <c r="H271" i="1" s="1"/>
  <c r="H272" i="1" s="1"/>
  <c r="H273" i="1" s="1"/>
  <c r="H274" i="1" s="1"/>
  <c r="H275" i="1" s="1"/>
  <c r="H276" i="1" s="1"/>
  <c r="H277" i="1" s="1"/>
  <c r="H278" i="1" s="1"/>
  <c r="H279" i="1" s="1"/>
  <c r="H280" i="1" s="1"/>
  <c r="H281" i="1" s="1"/>
  <c r="H282" i="1" s="1"/>
  <c r="H283" i="1" s="1"/>
  <c r="H284" i="1" s="1"/>
  <c r="H285" i="1" s="1"/>
  <c r="H286" i="1" s="1"/>
  <c r="H287" i="1" s="1"/>
  <c r="H288" i="1" s="1"/>
  <c r="H289" i="1" s="1"/>
  <c r="H290" i="1" s="1"/>
  <c r="H291" i="1" s="1"/>
  <c r="H292" i="1" s="1"/>
  <c r="H293" i="1" s="1"/>
  <c r="H294" i="1" s="1"/>
  <c r="H295" i="1" s="1"/>
  <c r="R269" i="1"/>
  <c r="S269" i="1" s="1"/>
  <c r="R268" i="1"/>
  <c r="S268" i="1" s="1"/>
  <c r="R267" i="1"/>
  <c r="S267" i="1" s="1"/>
  <c r="R266" i="1"/>
  <c r="S266" i="1" s="1"/>
  <c r="R265" i="1"/>
  <c r="S265" i="1" s="1"/>
  <c r="R264" i="1"/>
  <c r="S264" i="1" s="1"/>
  <c r="R263" i="1"/>
  <c r="S263" i="1" s="1"/>
  <c r="R262" i="1"/>
  <c r="S262" i="1" s="1"/>
  <c r="R261" i="1"/>
  <c r="S261" i="1" s="1"/>
  <c r="R260" i="1"/>
  <c r="S260" i="1" s="1"/>
  <c r="O260" i="1"/>
  <c r="O261" i="1" s="1"/>
  <c r="O262" i="1" s="1"/>
  <c r="O263" i="1" s="1"/>
  <c r="O264" i="1" s="1"/>
  <c r="O265" i="1" s="1"/>
  <c r="O266" i="1" s="1"/>
  <c r="O267" i="1" s="1"/>
  <c r="O268" i="1" s="1"/>
  <c r="O269" i="1" s="1"/>
  <c r="O270" i="1" s="1"/>
  <c r="O271" i="1" s="1"/>
  <c r="O272" i="1" s="1"/>
  <c r="O273" i="1" s="1"/>
  <c r="O274" i="1" s="1"/>
  <c r="O275" i="1" s="1"/>
  <c r="O276" i="1" s="1"/>
  <c r="O277" i="1" s="1"/>
  <c r="O278" i="1" s="1"/>
  <c r="O279" i="1" s="1"/>
  <c r="O280" i="1" s="1"/>
  <c r="O281" i="1" s="1"/>
  <c r="O282" i="1" s="1"/>
  <c r="O283" i="1" s="1"/>
  <c r="O284" i="1" s="1"/>
  <c r="O285" i="1" s="1"/>
  <c r="O286" i="1" s="1"/>
  <c r="O287" i="1" s="1"/>
  <c r="O288" i="1" s="1"/>
  <c r="O289" i="1" s="1"/>
  <c r="O290" i="1" s="1"/>
  <c r="O291" i="1" s="1"/>
  <c r="O292" i="1" s="1"/>
  <c r="O293" i="1" s="1"/>
  <c r="O294" i="1" s="1"/>
  <c r="O295" i="1" s="1"/>
  <c r="O296" i="1" s="1"/>
  <c r="O297" i="1" s="1"/>
  <c r="O298" i="1" s="1"/>
  <c r="O299" i="1" s="1"/>
  <c r="O300" i="1" s="1"/>
  <c r="O301" i="1" s="1"/>
  <c r="O302" i="1" s="1"/>
  <c r="O303" i="1" s="1"/>
  <c r="O304" i="1" s="1"/>
  <c r="O305" i="1" s="1"/>
  <c r="O306" i="1" s="1"/>
  <c r="O307" i="1" s="1"/>
  <c r="O308" i="1" s="1"/>
  <c r="O309" i="1" s="1"/>
  <c r="O310" i="1" s="1"/>
  <c r="O311" i="1" s="1"/>
  <c r="O312" i="1" s="1"/>
  <c r="O313" i="1" s="1"/>
  <c r="O314" i="1" s="1"/>
  <c r="O315" i="1" s="1"/>
  <c r="O316" i="1" s="1"/>
  <c r="O317" i="1" s="1"/>
  <c r="O318" i="1" s="1"/>
  <c r="O319" i="1" s="1"/>
  <c r="O320" i="1" s="1"/>
  <c r="O321" i="1" s="1"/>
  <c r="O322" i="1" s="1"/>
  <c r="O323" i="1" s="1"/>
  <c r="O324" i="1" s="1"/>
  <c r="O325" i="1" s="1"/>
  <c r="O326" i="1" s="1"/>
  <c r="O327" i="1" s="1"/>
  <c r="O328" i="1" s="1"/>
  <c r="O329" i="1" s="1"/>
  <c r="O330" i="1" s="1"/>
  <c r="O331" i="1" s="1"/>
  <c r="O332" i="1" s="1"/>
  <c r="O333" i="1" s="1"/>
  <c r="O334" i="1" s="1"/>
  <c r="O335" i="1" s="1"/>
  <c r="O336" i="1" s="1"/>
  <c r="O337" i="1" s="1"/>
  <c r="O338" i="1" s="1"/>
  <c r="O339" i="1" s="1"/>
  <c r="O340" i="1" s="1"/>
  <c r="O341" i="1" s="1"/>
  <c r="O342" i="1" s="1"/>
  <c r="O343" i="1" s="1"/>
  <c r="O344" i="1" s="1"/>
  <c r="O345" i="1" s="1"/>
  <c r="O346" i="1" s="1"/>
  <c r="O347" i="1" s="1"/>
  <c r="O348" i="1" s="1"/>
  <c r="O349" i="1" s="1"/>
  <c r="O350" i="1" s="1"/>
  <c r="O351" i="1" s="1"/>
  <c r="O352" i="1" s="1"/>
  <c r="O353" i="1" s="1"/>
  <c r="O354" i="1" s="1"/>
  <c r="R259" i="1"/>
  <c r="S259" i="1" s="1"/>
  <c r="S258" i="1"/>
  <c r="R258" i="1"/>
  <c r="S257" i="1"/>
  <c r="R257" i="1"/>
  <c r="S256" i="1"/>
  <c r="R256" i="1"/>
  <c r="R255" i="1"/>
  <c r="S255" i="1" s="1"/>
  <c r="R254" i="1"/>
  <c r="S254" i="1" s="1"/>
  <c r="S253" i="1"/>
  <c r="R253" i="1"/>
  <c r="I253" i="1"/>
  <c r="R252" i="1"/>
  <c r="S252" i="1" s="1"/>
  <c r="Z251" i="1"/>
  <c r="R251" i="1"/>
  <c r="S251" i="1" s="1"/>
  <c r="I251" i="1"/>
  <c r="R250" i="1"/>
  <c r="S250" i="1" s="1"/>
  <c r="Y249" i="1"/>
  <c r="Y250" i="1" s="1"/>
  <c r="Y251" i="1" s="1"/>
  <c r="Y252" i="1" s="1"/>
  <c r="Y253" i="1" s="1"/>
  <c r="Y254" i="1" s="1"/>
  <c r="Y255" i="1" s="1"/>
  <c r="Y256" i="1" s="1"/>
  <c r="Y257" i="1" s="1"/>
  <c r="Y258" i="1" s="1"/>
  <c r="Y259" i="1" s="1"/>
  <c r="Y260" i="1" s="1"/>
  <c r="Y261" i="1" s="1"/>
  <c r="Y262" i="1" s="1"/>
  <c r="Y263" i="1" s="1"/>
  <c r="Y264" i="1" s="1"/>
  <c r="Y265" i="1" s="1"/>
  <c r="Y266" i="1" s="1"/>
  <c r="Y267" i="1" s="1"/>
  <c r="Y268" i="1" s="1"/>
  <c r="S249" i="1"/>
  <c r="R249" i="1"/>
  <c r="I249" i="1"/>
  <c r="H249" i="1"/>
  <c r="H250" i="1" s="1"/>
  <c r="H251" i="1" s="1"/>
  <c r="H252" i="1" s="1"/>
  <c r="H253" i="1" s="1"/>
  <c r="H254" i="1" s="1"/>
  <c r="H255" i="1" s="1"/>
  <c r="H256" i="1" s="1"/>
  <c r="H257" i="1" s="1"/>
  <c r="H258" i="1" s="1"/>
  <c r="H259" i="1" s="1"/>
  <c r="H260" i="1" s="1"/>
  <c r="H261" i="1" s="1"/>
  <c r="H262" i="1" s="1"/>
  <c r="H263" i="1" s="1"/>
  <c r="H264" i="1" s="1"/>
  <c r="H265" i="1" s="1"/>
  <c r="H266" i="1" s="1"/>
  <c r="H267" i="1" s="1"/>
  <c r="H268" i="1" s="1"/>
  <c r="R248" i="1"/>
  <c r="S248" i="1" s="1"/>
  <c r="Q247" i="1"/>
  <c r="R247" i="1" s="1"/>
  <c r="S247" i="1" s="1"/>
  <c r="Q246" i="1"/>
  <c r="R246" i="1" s="1"/>
  <c r="S246" i="1" s="1"/>
  <c r="Q245" i="1"/>
  <c r="R245" i="1" s="1"/>
  <c r="S245" i="1" s="1"/>
  <c r="R244" i="1"/>
  <c r="S244" i="1" s="1"/>
  <c r="Q244" i="1"/>
  <c r="R243" i="1"/>
  <c r="S243" i="1" s="1"/>
  <c r="Q243" i="1"/>
  <c r="Q242" i="1"/>
  <c r="R242" i="1" s="1"/>
  <c r="S242" i="1" s="1"/>
  <c r="Q241" i="1"/>
  <c r="R241" i="1" s="1"/>
  <c r="S241" i="1" s="1"/>
  <c r="Q240" i="1"/>
  <c r="R240" i="1" s="1"/>
  <c r="S240" i="1" s="1"/>
  <c r="O240" i="1"/>
  <c r="O241" i="1" s="1"/>
  <c r="O242" i="1" s="1"/>
  <c r="O243" i="1" s="1"/>
  <c r="O244" i="1" s="1"/>
  <c r="O245" i="1" s="1"/>
  <c r="O246" i="1" s="1"/>
  <c r="O247" i="1" s="1"/>
  <c r="O248" i="1" s="1"/>
  <c r="O249" i="1" s="1"/>
  <c r="O250" i="1" s="1"/>
  <c r="O251" i="1" s="1"/>
  <c r="O252" i="1" s="1"/>
  <c r="O253" i="1" s="1"/>
  <c r="O254" i="1" s="1"/>
  <c r="O255" i="1" s="1"/>
  <c r="O256" i="1" s="1"/>
  <c r="Q239" i="1"/>
  <c r="R239" i="1" s="1"/>
  <c r="S239" i="1" s="1"/>
  <c r="O239" i="1"/>
  <c r="Q238" i="1"/>
  <c r="R238" i="1" s="1"/>
  <c r="S238" i="1" s="1"/>
  <c r="Q237" i="1"/>
  <c r="R237" i="1" s="1"/>
  <c r="S237" i="1" s="1"/>
  <c r="O237" i="1"/>
  <c r="Q236" i="1"/>
  <c r="R236" i="1" s="1"/>
  <c r="S236" i="1" s="1"/>
  <c r="R235" i="1"/>
  <c r="S235" i="1" s="1"/>
  <c r="Q235" i="1"/>
  <c r="O235" i="1"/>
  <c r="Q234" i="1"/>
  <c r="R234" i="1" s="1"/>
  <c r="S234" i="1" s="1"/>
  <c r="Q233" i="1"/>
  <c r="R233" i="1" s="1"/>
  <c r="S233" i="1" s="1"/>
  <c r="R232" i="1"/>
  <c r="S232" i="1" s="1"/>
  <c r="Q232" i="1"/>
  <c r="Q231" i="1"/>
  <c r="R231" i="1" s="1"/>
  <c r="S231" i="1" s="1"/>
  <c r="R230" i="1"/>
  <c r="S230" i="1" s="1"/>
  <c r="Q230" i="1"/>
  <c r="O230" i="1"/>
  <c r="O231" i="1" s="1"/>
  <c r="O232" i="1" s="1"/>
  <c r="Q229" i="1"/>
  <c r="R229" i="1" s="1"/>
  <c r="S229" i="1" s="1"/>
  <c r="Q228" i="1"/>
  <c r="R228" i="1" s="1"/>
  <c r="S228" i="1" s="1"/>
  <c r="Q227" i="1"/>
  <c r="R227" i="1" s="1"/>
  <c r="S227" i="1" s="1"/>
  <c r="R226" i="1"/>
  <c r="S226" i="1" s="1"/>
  <c r="Q226" i="1"/>
  <c r="I226" i="1"/>
  <c r="Q225" i="1"/>
  <c r="R225" i="1" s="1"/>
  <c r="S225" i="1" s="1"/>
  <c r="Z224" i="1"/>
  <c r="S224" i="1"/>
  <c r="R224" i="1"/>
  <c r="Q224" i="1"/>
  <c r="I224" i="1"/>
  <c r="Q223" i="1"/>
  <c r="R223" i="1" s="1"/>
  <c r="S223" i="1" s="1"/>
  <c r="Y222" i="1"/>
  <c r="Y223" i="1" s="1"/>
  <c r="Y224" i="1" s="1"/>
  <c r="Y225" i="1" s="1"/>
  <c r="Y226" i="1" s="1"/>
  <c r="Y227" i="1" s="1"/>
  <c r="Y228" i="1" s="1"/>
  <c r="Y229" i="1" s="1"/>
  <c r="Y230" i="1" s="1"/>
  <c r="Y231" i="1" s="1"/>
  <c r="Y232" i="1" s="1"/>
  <c r="Y233" i="1" s="1"/>
  <c r="Y234" i="1" s="1"/>
  <c r="Y235" i="1" s="1"/>
  <c r="Y236" i="1" s="1"/>
  <c r="Y237" i="1" s="1"/>
  <c r="Y238" i="1" s="1"/>
  <c r="Y239" i="1" s="1"/>
  <c r="Y240" i="1" s="1"/>
  <c r="Y241" i="1" s="1"/>
  <c r="Y242" i="1" s="1"/>
  <c r="Y243" i="1" s="1"/>
  <c r="Y244" i="1" s="1"/>
  <c r="Y245" i="1" s="1"/>
  <c r="Y246" i="1" s="1"/>
  <c r="Y247" i="1" s="1"/>
  <c r="Q222" i="1"/>
  <c r="R222" i="1" s="1"/>
  <c r="S222" i="1" s="1"/>
  <c r="I222" i="1"/>
  <c r="H222" i="1"/>
  <c r="H223" i="1" s="1"/>
  <c r="H224" i="1" s="1"/>
  <c r="H225" i="1" s="1"/>
  <c r="H226" i="1" s="1"/>
  <c r="H227" i="1" s="1"/>
  <c r="H228" i="1" s="1"/>
  <c r="H229" i="1" s="1"/>
  <c r="H230" i="1" s="1"/>
  <c r="H231" i="1" s="1"/>
  <c r="H232" i="1" s="1"/>
  <c r="H233" i="1" s="1"/>
  <c r="H234" i="1" s="1"/>
  <c r="H235" i="1" s="1"/>
  <c r="H236" i="1" s="1"/>
  <c r="H237" i="1" s="1"/>
  <c r="H238" i="1" s="1"/>
  <c r="H239" i="1" s="1"/>
  <c r="H240" i="1" s="1"/>
  <c r="H241" i="1" s="1"/>
  <c r="H242" i="1" s="1"/>
  <c r="H243" i="1" s="1"/>
  <c r="H244" i="1" s="1"/>
  <c r="H245" i="1" s="1"/>
  <c r="H246" i="1" s="1"/>
  <c r="H247" i="1" s="1"/>
  <c r="Q221" i="1"/>
  <c r="R221" i="1" s="1"/>
  <c r="S221" i="1" s="1"/>
  <c r="R220" i="1"/>
  <c r="S220" i="1" s="1"/>
  <c r="S219" i="1"/>
  <c r="R219" i="1"/>
  <c r="R218" i="1"/>
  <c r="S218" i="1" s="1"/>
  <c r="R217" i="1"/>
  <c r="S217" i="1" s="1"/>
  <c r="R216" i="1"/>
  <c r="S216" i="1" s="1"/>
  <c r="R215" i="1"/>
  <c r="S215" i="1" s="1"/>
  <c r="S214" i="1"/>
  <c r="R214" i="1"/>
  <c r="R213" i="1"/>
  <c r="S213" i="1" s="1"/>
  <c r="H213" i="1"/>
  <c r="H214" i="1" s="1"/>
  <c r="H215" i="1" s="1"/>
  <c r="H216" i="1" s="1"/>
  <c r="H217" i="1" s="1"/>
  <c r="H218" i="1" s="1"/>
  <c r="H219" i="1" s="1"/>
  <c r="H220" i="1" s="1"/>
  <c r="G213" i="1"/>
  <c r="G214" i="1" s="1"/>
  <c r="G215" i="1" s="1"/>
  <c r="G216" i="1" s="1"/>
  <c r="G217" i="1" s="1"/>
  <c r="G218" i="1" s="1"/>
  <c r="G219" i="1" s="1"/>
  <c r="G220" i="1" s="1"/>
  <c r="G221" i="1" s="1"/>
  <c r="G222" i="1" s="1"/>
  <c r="G223" i="1" s="1"/>
  <c r="G224" i="1" s="1"/>
  <c r="G225" i="1" s="1"/>
  <c r="G226" i="1" s="1"/>
  <c r="G227" i="1" s="1"/>
  <c r="G228" i="1" s="1"/>
  <c r="G229" i="1" s="1"/>
  <c r="G230" i="1" s="1"/>
  <c r="G231" i="1" s="1"/>
  <c r="G232" i="1" s="1"/>
  <c r="G233" i="1" s="1"/>
  <c r="G234" i="1" s="1"/>
  <c r="G235" i="1" s="1"/>
  <c r="G236" i="1" s="1"/>
  <c r="G237" i="1" s="1"/>
  <c r="G238" i="1" s="1"/>
  <c r="G239" i="1" s="1"/>
  <c r="G240" i="1" s="1"/>
  <c r="G241" i="1" s="1"/>
  <c r="G242" i="1" s="1"/>
  <c r="G243" i="1" s="1"/>
  <c r="G244" i="1" s="1"/>
  <c r="G245" i="1" s="1"/>
  <c r="G246" i="1" s="1"/>
  <c r="G247" i="1" s="1"/>
  <c r="G248" i="1" s="1"/>
  <c r="G249" i="1" s="1"/>
  <c r="G250" i="1" s="1"/>
  <c r="G251" i="1" s="1"/>
  <c r="G252" i="1" s="1"/>
  <c r="G253" i="1" s="1"/>
  <c r="G254" i="1" s="1"/>
  <c r="G255" i="1" s="1"/>
  <c r="G256" i="1" s="1"/>
  <c r="G257" i="1" s="1"/>
  <c r="G258" i="1" s="1"/>
  <c r="G259" i="1" s="1"/>
  <c r="G260" i="1" s="1"/>
  <c r="G261" i="1" s="1"/>
  <c r="G262" i="1" s="1"/>
  <c r="G263" i="1" s="1"/>
  <c r="G264" i="1" s="1"/>
  <c r="G265" i="1" s="1"/>
  <c r="G266" i="1" s="1"/>
  <c r="G267" i="1" s="1"/>
  <c r="G268" i="1" s="1"/>
  <c r="G269" i="1" s="1"/>
  <c r="G270" i="1" s="1"/>
  <c r="G271" i="1" s="1"/>
  <c r="G272" i="1" s="1"/>
  <c r="G273" i="1" s="1"/>
  <c r="G274" i="1" s="1"/>
  <c r="G275" i="1" s="1"/>
  <c r="G276" i="1" s="1"/>
  <c r="G277" i="1" s="1"/>
  <c r="G278" i="1" s="1"/>
  <c r="G279" i="1" s="1"/>
  <c r="G280" i="1" s="1"/>
  <c r="G281" i="1" s="1"/>
  <c r="G282" i="1" s="1"/>
  <c r="G283" i="1" s="1"/>
  <c r="G284" i="1" s="1"/>
  <c r="G285" i="1" s="1"/>
  <c r="G286" i="1" s="1"/>
  <c r="G287" i="1" s="1"/>
  <c r="G288" i="1" s="1"/>
  <c r="G289" i="1" s="1"/>
  <c r="G290" i="1" s="1"/>
  <c r="G291" i="1" s="1"/>
  <c r="G292" i="1" s="1"/>
  <c r="G293" i="1" s="1"/>
  <c r="G294" i="1" s="1"/>
  <c r="G295" i="1" s="1"/>
  <c r="G296" i="1" s="1"/>
  <c r="G297" i="1" s="1"/>
  <c r="G298" i="1" s="1"/>
  <c r="G299" i="1" s="1"/>
  <c r="G300" i="1" s="1"/>
  <c r="G301" i="1" s="1"/>
  <c r="G302" i="1" s="1"/>
  <c r="G303" i="1" s="1"/>
  <c r="G304" i="1" s="1"/>
  <c r="G305" i="1" s="1"/>
  <c r="G306" i="1" s="1"/>
  <c r="G307" i="1" s="1"/>
  <c r="G308" i="1" s="1"/>
  <c r="G309" i="1" s="1"/>
  <c r="G310" i="1" s="1"/>
  <c r="G311" i="1" s="1"/>
  <c r="G312" i="1" s="1"/>
  <c r="G313" i="1" s="1"/>
  <c r="G314" i="1" s="1"/>
  <c r="G315" i="1" s="1"/>
  <c r="G316" i="1" s="1"/>
  <c r="G317" i="1" s="1"/>
  <c r="G318" i="1" s="1"/>
  <c r="G319" i="1" s="1"/>
  <c r="G320" i="1" s="1"/>
  <c r="G321" i="1" s="1"/>
  <c r="G322" i="1" s="1"/>
  <c r="G323" i="1" s="1"/>
  <c r="G324" i="1" s="1"/>
  <c r="G325" i="1" s="1"/>
  <c r="G326" i="1" s="1"/>
  <c r="G327" i="1" s="1"/>
  <c r="G328" i="1" s="1"/>
  <c r="G329" i="1" s="1"/>
  <c r="G330" i="1" s="1"/>
  <c r="G331" i="1" s="1"/>
  <c r="G332" i="1" s="1"/>
  <c r="G333" i="1" s="1"/>
  <c r="G334" i="1" s="1"/>
  <c r="G335" i="1" s="1"/>
  <c r="G336" i="1" s="1"/>
  <c r="G337" i="1" s="1"/>
  <c r="G338" i="1" s="1"/>
  <c r="G339" i="1" s="1"/>
  <c r="G340" i="1" s="1"/>
  <c r="G341" i="1" s="1"/>
  <c r="G342" i="1" s="1"/>
  <c r="G343" i="1" s="1"/>
  <c r="G344" i="1" s="1"/>
  <c r="G345" i="1" s="1"/>
  <c r="G346" i="1" s="1"/>
  <c r="G347" i="1" s="1"/>
  <c r="G348" i="1" s="1"/>
  <c r="G349" i="1" s="1"/>
  <c r="G350" i="1" s="1"/>
  <c r="G351" i="1" s="1"/>
  <c r="G352" i="1" s="1"/>
  <c r="G353" i="1" s="1"/>
  <c r="G354" i="1" s="1"/>
  <c r="R212" i="1"/>
  <c r="S212" i="1" s="1"/>
  <c r="R211" i="1"/>
  <c r="S211" i="1" s="1"/>
  <c r="R210" i="1"/>
  <c r="S210" i="1" s="1"/>
  <c r="S209" i="1"/>
  <c r="R209" i="1"/>
  <c r="S208" i="1"/>
  <c r="R208" i="1"/>
  <c r="R207" i="1"/>
  <c r="S207" i="1" s="1"/>
  <c r="R206" i="1"/>
  <c r="S206" i="1" s="1"/>
  <c r="R205" i="1"/>
  <c r="S205" i="1" s="1"/>
  <c r="S204" i="1"/>
  <c r="R204" i="1"/>
  <c r="R203" i="1"/>
  <c r="S203" i="1" s="1"/>
  <c r="O203" i="1"/>
  <c r="O204" i="1" s="1"/>
  <c r="O205" i="1" s="1"/>
  <c r="O206" i="1" s="1"/>
  <c r="O207" i="1" s="1"/>
  <c r="O208" i="1" s="1"/>
  <c r="O209" i="1" s="1"/>
  <c r="O210" i="1" s="1"/>
  <c r="O211" i="1" s="1"/>
  <c r="O212" i="1" s="1"/>
  <c r="O213" i="1" s="1"/>
  <c r="O214" i="1" s="1"/>
  <c r="O215" i="1" s="1"/>
  <c r="O216" i="1" s="1"/>
  <c r="O217" i="1" s="1"/>
  <c r="O218" i="1" s="1"/>
  <c r="O219" i="1" s="1"/>
  <c r="O220" i="1" s="1"/>
  <c r="O221" i="1" s="1"/>
  <c r="O222" i="1" s="1"/>
  <c r="O223" i="1" s="1"/>
  <c r="O224" i="1" s="1"/>
  <c r="O225" i="1" s="1"/>
  <c r="O226" i="1" s="1"/>
  <c r="R202" i="1"/>
  <c r="S202" i="1" s="1"/>
  <c r="R201" i="1"/>
  <c r="S201" i="1" s="1"/>
  <c r="O201" i="1"/>
  <c r="S200" i="1"/>
  <c r="R200" i="1"/>
  <c r="O200" i="1"/>
  <c r="R199" i="1"/>
  <c r="S199" i="1" s="1"/>
  <c r="S198" i="1"/>
  <c r="R198" i="1"/>
  <c r="R197" i="1"/>
  <c r="S197" i="1" s="1"/>
  <c r="R196" i="1"/>
  <c r="S196" i="1" s="1"/>
  <c r="R195" i="1"/>
  <c r="S195" i="1" s="1"/>
  <c r="S194" i="1"/>
  <c r="R194" i="1"/>
  <c r="R193" i="1"/>
  <c r="S193" i="1" s="1"/>
  <c r="R192" i="1"/>
  <c r="S192" i="1" s="1"/>
  <c r="R191" i="1"/>
  <c r="S191" i="1" s="1"/>
  <c r="O191" i="1"/>
  <c r="O192" i="1" s="1"/>
  <c r="O193" i="1" s="1"/>
  <c r="S190" i="1"/>
  <c r="R190" i="1"/>
  <c r="R189" i="1"/>
  <c r="S189" i="1" s="1"/>
  <c r="R188" i="1"/>
  <c r="S188" i="1" s="1"/>
  <c r="R187" i="1"/>
  <c r="S187" i="1" s="1"/>
  <c r="R186" i="1"/>
  <c r="S186" i="1" s="1"/>
  <c r="S185" i="1"/>
  <c r="R185" i="1"/>
  <c r="R184" i="1"/>
  <c r="S184" i="1" s="1"/>
  <c r="R183" i="1"/>
  <c r="S183" i="1" s="1"/>
  <c r="S182" i="1"/>
  <c r="R182" i="1"/>
  <c r="R181" i="1"/>
  <c r="S181" i="1" s="1"/>
  <c r="O181" i="1"/>
  <c r="O182" i="1" s="1"/>
  <c r="R180" i="1"/>
  <c r="S180" i="1" s="1"/>
  <c r="R179" i="1"/>
  <c r="S179" i="1" s="1"/>
  <c r="G179" i="1"/>
  <c r="G180" i="1" s="1"/>
  <c r="G181" i="1" s="1"/>
  <c r="G182" i="1" s="1"/>
  <c r="G183" i="1" s="1"/>
  <c r="G184" i="1" s="1"/>
  <c r="G185" i="1" s="1"/>
  <c r="G186" i="1" s="1"/>
  <c r="G187" i="1" s="1"/>
  <c r="G188" i="1" s="1"/>
  <c r="G189" i="1" s="1"/>
  <c r="G190" i="1" s="1"/>
  <c r="G191" i="1" s="1"/>
  <c r="G192" i="1" s="1"/>
  <c r="G193" i="1" s="1"/>
  <c r="G194" i="1" s="1"/>
  <c r="G195" i="1" s="1"/>
  <c r="G196" i="1" s="1"/>
  <c r="G197" i="1" s="1"/>
  <c r="G198" i="1" s="1"/>
  <c r="G199" i="1" s="1"/>
  <c r="G200" i="1" s="1"/>
  <c r="G201" i="1" s="1"/>
  <c r="G202" i="1" s="1"/>
  <c r="G203" i="1" s="1"/>
  <c r="G204" i="1" s="1"/>
  <c r="G205" i="1" s="1"/>
  <c r="G206" i="1" s="1"/>
  <c r="G207" i="1" s="1"/>
  <c r="G208" i="1" s="1"/>
  <c r="G209" i="1" s="1"/>
  <c r="G210" i="1" s="1"/>
  <c r="S178" i="1"/>
  <c r="R178" i="1"/>
  <c r="H178" i="1"/>
  <c r="H179" i="1" s="1"/>
  <c r="H180" i="1" s="1"/>
  <c r="H181" i="1" s="1"/>
  <c r="H182" i="1" s="1"/>
  <c r="H183" i="1" s="1"/>
  <c r="H184" i="1" s="1"/>
  <c r="H185" i="1" s="1"/>
  <c r="H186" i="1" s="1"/>
  <c r="H187" i="1" s="1"/>
  <c r="H188" i="1" s="1"/>
  <c r="H189" i="1" s="1"/>
  <c r="H190" i="1" s="1"/>
  <c r="H191" i="1" s="1"/>
  <c r="H192" i="1" s="1"/>
  <c r="H193" i="1" s="1"/>
  <c r="H194" i="1" s="1"/>
  <c r="H195" i="1" s="1"/>
  <c r="H196" i="1" s="1"/>
  <c r="H197" i="1" s="1"/>
  <c r="H198" i="1" s="1"/>
  <c r="H199" i="1" s="1"/>
  <c r="H200" i="1" s="1"/>
  <c r="H201" i="1" s="1"/>
  <c r="H202" i="1" s="1"/>
  <c r="H203" i="1" s="1"/>
  <c r="H204" i="1" s="1"/>
  <c r="H205" i="1" s="1"/>
  <c r="H206" i="1" s="1"/>
  <c r="H207" i="1" s="1"/>
  <c r="H208" i="1" s="1"/>
  <c r="H209" i="1" s="1"/>
  <c r="H210" i="1" s="1"/>
  <c r="R177" i="1"/>
  <c r="S177" i="1" s="1"/>
  <c r="O177" i="1"/>
  <c r="H177" i="1"/>
  <c r="G177" i="1"/>
  <c r="G178" i="1" s="1"/>
  <c r="R176" i="1"/>
  <c r="S176" i="1" s="1"/>
  <c r="I176" i="1"/>
  <c r="R175" i="1"/>
  <c r="S175" i="1" s="1"/>
  <c r="Z174" i="1"/>
  <c r="Y174" i="1"/>
  <c r="Y175" i="1" s="1"/>
  <c r="Y176" i="1" s="1"/>
  <c r="Y177" i="1" s="1"/>
  <c r="Y178" i="1" s="1"/>
  <c r="Y179" i="1" s="1"/>
  <c r="Y180" i="1" s="1"/>
  <c r="Y181" i="1" s="1"/>
  <c r="Y182" i="1" s="1"/>
  <c r="Y183" i="1" s="1"/>
  <c r="Y184" i="1" s="1"/>
  <c r="Y185" i="1" s="1"/>
  <c r="Y186" i="1" s="1"/>
  <c r="Y187" i="1" s="1"/>
  <c r="Y188" i="1" s="1"/>
  <c r="Y189" i="1" s="1"/>
  <c r="Y190" i="1" s="1"/>
  <c r="Y191" i="1" s="1"/>
  <c r="Y192" i="1" s="1"/>
  <c r="Y193" i="1" s="1"/>
  <c r="Y194" i="1" s="1"/>
  <c r="Y195" i="1" s="1"/>
  <c r="Y196" i="1" s="1"/>
  <c r="Y197" i="1" s="1"/>
  <c r="Y198" i="1" s="1"/>
  <c r="Y199" i="1" s="1"/>
  <c r="Y200" i="1" s="1"/>
  <c r="Y201" i="1" s="1"/>
  <c r="Y202" i="1" s="1"/>
  <c r="Y203" i="1" s="1"/>
  <c r="Y204" i="1" s="1"/>
  <c r="Y205" i="1" s="1"/>
  <c r="Y206" i="1" s="1"/>
  <c r="Y207" i="1" s="1"/>
  <c r="Y208" i="1" s="1"/>
  <c r="Y209" i="1" s="1"/>
  <c r="Y210" i="1" s="1"/>
  <c r="Y211" i="1" s="1"/>
  <c r="Y212" i="1" s="1"/>
  <c r="Y213" i="1" s="1"/>
  <c r="Y214" i="1" s="1"/>
  <c r="Y215" i="1" s="1"/>
  <c r="Y216" i="1" s="1"/>
  <c r="Y217" i="1" s="1"/>
  <c r="Y218" i="1" s="1"/>
  <c r="Y219" i="1" s="1"/>
  <c r="Y220" i="1" s="1"/>
  <c r="W220" i="1" s="1"/>
  <c r="R174" i="1"/>
  <c r="S174" i="1" s="1"/>
  <c r="O174" i="1"/>
  <c r="O175" i="1" s="1"/>
  <c r="O176" i="1" s="1"/>
  <c r="I174" i="1"/>
  <c r="R173" i="1"/>
  <c r="S173" i="1" s="1"/>
  <c r="R172" i="1"/>
  <c r="S172" i="1" s="1"/>
  <c r="I172" i="1"/>
  <c r="Y171" i="1"/>
  <c r="Y172" i="1" s="1"/>
  <c r="Y173" i="1" s="1"/>
  <c r="R171" i="1"/>
  <c r="S171" i="1" s="1"/>
  <c r="H171" i="1"/>
  <c r="H172" i="1" s="1"/>
  <c r="H173" i="1" s="1"/>
  <c r="H174" i="1" s="1"/>
  <c r="Q170" i="1"/>
  <c r="R170" i="1" s="1"/>
  <c r="S170" i="1" s="1"/>
  <c r="O170" i="1"/>
  <c r="O171" i="1" s="1"/>
  <c r="Q169" i="1"/>
  <c r="R169" i="1" s="1"/>
  <c r="S169" i="1" s="1"/>
  <c r="Q168" i="1"/>
  <c r="R168" i="1" s="1"/>
  <c r="S168" i="1" s="1"/>
  <c r="Q167" i="1"/>
  <c r="R167" i="1" s="1"/>
  <c r="S167" i="1" s="1"/>
  <c r="R166" i="1"/>
  <c r="S166" i="1" s="1"/>
  <c r="Q166" i="1"/>
  <c r="R165" i="1"/>
  <c r="S165" i="1" s="1"/>
  <c r="Q165" i="1"/>
  <c r="S164" i="1"/>
  <c r="Q164" i="1"/>
  <c r="R164" i="1" s="1"/>
  <c r="Q163" i="1"/>
  <c r="R163" i="1" s="1"/>
  <c r="S163" i="1" s="1"/>
  <c r="O163" i="1"/>
  <c r="O164" i="1" s="1"/>
  <c r="O165" i="1" s="1"/>
  <c r="O166" i="1" s="1"/>
  <c r="Q162" i="1"/>
  <c r="R162" i="1" s="1"/>
  <c r="S162" i="1" s="1"/>
  <c r="R161" i="1"/>
  <c r="S161" i="1" s="1"/>
  <c r="Q161" i="1"/>
  <c r="Q160" i="1"/>
  <c r="R160" i="1" s="1"/>
  <c r="S160" i="1" s="1"/>
  <c r="O160" i="1"/>
  <c r="O161" i="1" s="1"/>
  <c r="O162" i="1" s="1"/>
  <c r="Q159" i="1"/>
  <c r="R159" i="1" s="1"/>
  <c r="S159" i="1" s="1"/>
  <c r="Q158" i="1"/>
  <c r="R158" i="1" s="1"/>
  <c r="S158" i="1" s="1"/>
  <c r="Q157" i="1"/>
  <c r="R157" i="1" s="1"/>
  <c r="S157" i="1" s="1"/>
  <c r="O157" i="1"/>
  <c r="Q156" i="1"/>
  <c r="R156" i="1" s="1"/>
  <c r="S156" i="1" s="1"/>
  <c r="Q155" i="1"/>
  <c r="R155" i="1" s="1"/>
  <c r="S155" i="1" s="1"/>
  <c r="R154" i="1"/>
  <c r="S154" i="1" s="1"/>
  <c r="Q154" i="1"/>
  <c r="O154" i="1"/>
  <c r="O155" i="1" s="1"/>
  <c r="Q153" i="1"/>
  <c r="R153" i="1" s="1"/>
  <c r="S153" i="1" s="1"/>
  <c r="Q152" i="1"/>
  <c r="R152" i="1" s="1"/>
  <c r="S152" i="1" s="1"/>
  <c r="S151" i="1"/>
  <c r="Q151" i="1"/>
  <c r="R151" i="1" s="1"/>
  <c r="Q150" i="1"/>
  <c r="R150" i="1" s="1"/>
  <c r="S150" i="1" s="1"/>
  <c r="O150" i="1"/>
  <c r="Q149" i="1"/>
  <c r="R149" i="1" s="1"/>
  <c r="S149" i="1" s="1"/>
  <c r="R148" i="1"/>
  <c r="S148" i="1" s="1"/>
  <c r="Q148" i="1"/>
  <c r="Q147" i="1"/>
  <c r="R147" i="1" s="1"/>
  <c r="S147" i="1" s="1"/>
  <c r="Q146" i="1"/>
  <c r="R146" i="1" s="1"/>
  <c r="S146" i="1" s="1"/>
  <c r="R145" i="1"/>
  <c r="S145" i="1" s="1"/>
  <c r="Q145" i="1"/>
  <c r="Q144" i="1"/>
  <c r="R144" i="1" s="1"/>
  <c r="S144" i="1" s="1"/>
  <c r="O144" i="1"/>
  <c r="Q143" i="1"/>
  <c r="R143" i="1" s="1"/>
  <c r="S143" i="1" s="1"/>
  <c r="Q142" i="1"/>
  <c r="R142" i="1" s="1"/>
  <c r="S142" i="1" s="1"/>
  <c r="R141" i="1"/>
  <c r="S141" i="1" s="1"/>
  <c r="Q141" i="1"/>
  <c r="S140" i="1"/>
  <c r="Q140" i="1"/>
  <c r="R140" i="1" s="1"/>
  <c r="G140" i="1"/>
  <c r="G141" i="1" s="1"/>
  <c r="G142" i="1" s="1"/>
  <c r="G143" i="1" s="1"/>
  <c r="G144" i="1" s="1"/>
  <c r="G145" i="1" s="1"/>
  <c r="G146" i="1" s="1"/>
  <c r="G147" i="1" s="1"/>
  <c r="G148" i="1" s="1"/>
  <c r="G149" i="1" s="1"/>
  <c r="G150" i="1" s="1"/>
  <c r="G151" i="1" s="1"/>
  <c r="G152" i="1" s="1"/>
  <c r="G153" i="1" s="1"/>
  <c r="G154" i="1" s="1"/>
  <c r="G155" i="1" s="1"/>
  <c r="G156" i="1" s="1"/>
  <c r="G157" i="1" s="1"/>
  <c r="G158" i="1" s="1"/>
  <c r="G159" i="1" s="1"/>
  <c r="G160" i="1" s="1"/>
  <c r="G161" i="1" s="1"/>
  <c r="G162" i="1" s="1"/>
  <c r="G163" i="1" s="1"/>
  <c r="G164" i="1" s="1"/>
  <c r="G165" i="1" s="1"/>
  <c r="G166" i="1" s="1"/>
  <c r="G167" i="1" s="1"/>
  <c r="G168" i="1" s="1"/>
  <c r="G169" i="1" s="1"/>
  <c r="G170" i="1" s="1"/>
  <c r="G171" i="1" s="1"/>
  <c r="G172" i="1" s="1"/>
  <c r="G173" i="1" s="1"/>
  <c r="G174" i="1" s="1"/>
  <c r="Q139" i="1"/>
  <c r="R139" i="1" s="1"/>
  <c r="S139" i="1" s="1"/>
  <c r="Q138" i="1"/>
  <c r="R138" i="1" s="1"/>
  <c r="S138" i="1" s="1"/>
  <c r="R137" i="1"/>
  <c r="S137" i="1" s="1"/>
  <c r="Q137" i="1"/>
  <c r="Q136" i="1"/>
  <c r="R136" i="1" s="1"/>
  <c r="S136" i="1" s="1"/>
  <c r="Q135" i="1"/>
  <c r="R135" i="1" s="1"/>
  <c r="S135" i="1" s="1"/>
  <c r="Q134" i="1"/>
  <c r="R134" i="1" s="1"/>
  <c r="S134" i="1" s="1"/>
  <c r="R133" i="1"/>
  <c r="S133" i="1" s="1"/>
  <c r="Q133" i="1"/>
  <c r="R132" i="1"/>
  <c r="S132" i="1" s="1"/>
  <c r="Q132" i="1"/>
  <c r="Q131" i="1"/>
  <c r="R131" i="1" s="1"/>
  <c r="S131" i="1" s="1"/>
  <c r="Q130" i="1"/>
  <c r="R130" i="1" s="1"/>
  <c r="S130" i="1" s="1"/>
  <c r="R129" i="1"/>
  <c r="S129" i="1" s="1"/>
  <c r="Q129" i="1"/>
  <c r="Q128" i="1"/>
  <c r="R128" i="1" s="1"/>
  <c r="S128" i="1" s="1"/>
  <c r="S127" i="1"/>
  <c r="Q127" i="1"/>
  <c r="R127" i="1" s="1"/>
  <c r="Q126" i="1"/>
  <c r="R126" i="1" s="1"/>
  <c r="S126" i="1" s="1"/>
  <c r="Q125" i="1"/>
  <c r="R125" i="1" s="1"/>
  <c r="S125" i="1" s="1"/>
  <c r="R124" i="1"/>
  <c r="S124" i="1" s="1"/>
  <c r="Q124" i="1"/>
  <c r="S123" i="1"/>
  <c r="Q123" i="1"/>
  <c r="R123" i="1" s="1"/>
  <c r="Q122" i="1"/>
  <c r="R122" i="1" s="1"/>
  <c r="S122" i="1" s="1"/>
  <c r="R121" i="1"/>
  <c r="S121" i="1" s="1"/>
  <c r="Q121" i="1"/>
  <c r="R120" i="1"/>
  <c r="S120" i="1" s="1"/>
  <c r="Q120" i="1"/>
  <c r="Q119" i="1"/>
  <c r="R119" i="1" s="1"/>
  <c r="S119" i="1" s="1"/>
  <c r="Q118" i="1"/>
  <c r="R118" i="1" s="1"/>
  <c r="S118" i="1" s="1"/>
  <c r="Q117" i="1"/>
  <c r="R117" i="1" s="1"/>
  <c r="S117" i="1" s="1"/>
  <c r="Q116" i="1"/>
  <c r="R116" i="1" s="1"/>
  <c r="S116" i="1" s="1"/>
  <c r="S115" i="1"/>
  <c r="Q115" i="1"/>
  <c r="R115" i="1" s="1"/>
  <c r="Q114" i="1"/>
  <c r="R114" i="1" s="1"/>
  <c r="S114" i="1" s="1"/>
  <c r="R113" i="1"/>
  <c r="S113" i="1" s="1"/>
  <c r="Q113" i="1"/>
  <c r="R112" i="1"/>
  <c r="S112" i="1" s="1"/>
  <c r="Q112" i="1"/>
  <c r="S111" i="1"/>
  <c r="Q111" i="1"/>
  <c r="R111" i="1" s="1"/>
  <c r="Q110" i="1"/>
  <c r="R110" i="1" s="1"/>
  <c r="S110" i="1" s="1"/>
  <c r="Q109" i="1"/>
  <c r="R109" i="1" s="1"/>
  <c r="S109" i="1" s="1"/>
  <c r="Q108" i="1"/>
  <c r="R108" i="1" s="1"/>
  <c r="S108" i="1" s="1"/>
  <c r="Q107" i="1"/>
  <c r="R107" i="1" s="1"/>
  <c r="S107" i="1" s="1"/>
  <c r="Q106" i="1"/>
  <c r="R106" i="1" s="1"/>
  <c r="S106" i="1" s="1"/>
  <c r="Q105" i="1"/>
  <c r="R105" i="1" s="1"/>
  <c r="S105" i="1" s="1"/>
  <c r="R104" i="1"/>
  <c r="S104" i="1" s="1"/>
  <c r="Q104" i="1"/>
  <c r="S103" i="1"/>
  <c r="Q103" i="1"/>
  <c r="R103" i="1" s="1"/>
  <c r="Q102" i="1"/>
  <c r="R102" i="1" s="1"/>
  <c r="S102" i="1" s="1"/>
  <c r="R101" i="1"/>
  <c r="S101" i="1" s="1"/>
  <c r="Q101" i="1"/>
  <c r="Q100" i="1"/>
  <c r="R100" i="1" s="1"/>
  <c r="S100" i="1" s="1"/>
  <c r="Q99" i="1"/>
  <c r="R99" i="1" s="1"/>
  <c r="S99" i="1" s="1"/>
  <c r="Q98" i="1"/>
  <c r="R98" i="1" s="1"/>
  <c r="S98" i="1" s="1"/>
  <c r="R97" i="1"/>
  <c r="S97" i="1" s="1"/>
  <c r="Q97" i="1"/>
  <c r="Q96" i="1"/>
  <c r="R96" i="1" s="1"/>
  <c r="S96" i="1" s="1"/>
  <c r="S95" i="1"/>
  <c r="Q95" i="1"/>
  <c r="R95" i="1" s="1"/>
  <c r="Q94" i="1"/>
  <c r="R94" i="1" s="1"/>
  <c r="S94" i="1" s="1"/>
  <c r="Q93" i="1"/>
  <c r="R93" i="1" s="1"/>
  <c r="S93" i="1" s="1"/>
  <c r="R92" i="1"/>
  <c r="S92" i="1" s="1"/>
  <c r="Q92" i="1"/>
  <c r="Q91" i="1"/>
  <c r="R91" i="1" s="1"/>
  <c r="S91" i="1" s="1"/>
  <c r="Q90" i="1"/>
  <c r="R90" i="1" s="1"/>
  <c r="S90" i="1" s="1"/>
  <c r="R89" i="1"/>
  <c r="S89" i="1" s="1"/>
  <c r="Q89" i="1"/>
  <c r="R88" i="1"/>
  <c r="S88" i="1" s="1"/>
  <c r="Q88" i="1"/>
  <c r="Q87" i="1"/>
  <c r="R87" i="1" s="1"/>
  <c r="S87" i="1" s="1"/>
  <c r="Q86" i="1"/>
  <c r="R86" i="1" s="1"/>
  <c r="S86" i="1" s="1"/>
  <c r="Q85" i="1"/>
  <c r="R85" i="1" s="1"/>
  <c r="S85" i="1" s="1"/>
  <c r="Q84" i="1"/>
  <c r="R84" i="1" s="1"/>
  <c r="S84" i="1" s="1"/>
  <c r="S83" i="1"/>
  <c r="Q83" i="1"/>
  <c r="R83" i="1" s="1"/>
  <c r="Q82" i="1"/>
  <c r="R82" i="1" s="1"/>
  <c r="S82" i="1" s="1"/>
  <c r="R81" i="1"/>
  <c r="S81" i="1" s="1"/>
  <c r="Q81" i="1"/>
  <c r="R80" i="1"/>
  <c r="S80" i="1" s="1"/>
  <c r="Q80" i="1"/>
  <c r="S79" i="1"/>
  <c r="Q79" i="1"/>
  <c r="R79" i="1" s="1"/>
  <c r="Q78" i="1"/>
  <c r="R78" i="1" s="1"/>
  <c r="S78" i="1" s="1"/>
  <c r="R77" i="1"/>
  <c r="S77" i="1" s="1"/>
  <c r="Q77" i="1"/>
  <c r="R76" i="1"/>
  <c r="S76" i="1" s="1"/>
  <c r="Q76" i="1"/>
  <c r="S75" i="1"/>
  <c r="Q75" i="1"/>
  <c r="R75" i="1" s="1"/>
  <c r="Q74" i="1"/>
  <c r="R74" i="1" s="1"/>
  <c r="S74" i="1" s="1"/>
  <c r="Q73" i="1"/>
  <c r="R73" i="1" s="1"/>
  <c r="S73" i="1" s="1"/>
  <c r="Q72" i="1"/>
  <c r="R72" i="1" s="1"/>
  <c r="S72" i="1" s="1"/>
  <c r="Q71" i="1"/>
  <c r="R71" i="1" s="1"/>
  <c r="S71" i="1" s="1"/>
  <c r="Q70" i="1"/>
  <c r="R70" i="1" s="1"/>
  <c r="S70" i="1" s="1"/>
  <c r="Q69" i="1"/>
  <c r="R69" i="1" s="1"/>
  <c r="S69" i="1" s="1"/>
  <c r="R68" i="1"/>
  <c r="S68" i="1" s="1"/>
  <c r="Q68" i="1"/>
  <c r="S67" i="1"/>
  <c r="Q67" i="1"/>
  <c r="R67" i="1" s="1"/>
  <c r="Q66" i="1"/>
  <c r="R66" i="1" s="1"/>
  <c r="S66" i="1" s="1"/>
  <c r="R65" i="1"/>
  <c r="S65" i="1" s="1"/>
  <c r="Q65" i="1"/>
  <c r="R64" i="1"/>
  <c r="S64" i="1" s="1"/>
  <c r="Q64" i="1"/>
  <c r="S63" i="1"/>
  <c r="Q63" i="1"/>
  <c r="R63" i="1" s="1"/>
  <c r="Q62" i="1"/>
  <c r="R62" i="1" s="1"/>
  <c r="S62" i="1" s="1"/>
  <c r="Q61" i="1"/>
  <c r="R61" i="1" s="1"/>
  <c r="S61" i="1" s="1"/>
  <c r="Q60" i="1"/>
  <c r="R60" i="1" s="1"/>
  <c r="S60" i="1" s="1"/>
  <c r="Q59" i="1"/>
  <c r="R59" i="1" s="1"/>
  <c r="S59" i="1" s="1"/>
  <c r="Q58" i="1"/>
  <c r="R58" i="1" s="1"/>
  <c r="S58" i="1" s="1"/>
  <c r="O58" i="1"/>
  <c r="O59" i="1" s="1"/>
  <c r="O60" i="1" s="1"/>
  <c r="O61" i="1" s="1"/>
  <c r="O62" i="1" s="1"/>
  <c r="O63" i="1" s="1"/>
  <c r="O64" i="1" s="1"/>
  <c r="O65" i="1" s="1"/>
  <c r="O66" i="1" s="1"/>
  <c r="O67" i="1" s="1"/>
  <c r="O68" i="1" s="1"/>
  <c r="O69" i="1" s="1"/>
  <c r="O70" i="1" s="1"/>
  <c r="O71" i="1" s="1"/>
  <c r="O72" i="1" s="1"/>
  <c r="O73" i="1" s="1"/>
  <c r="O74" i="1" s="1"/>
  <c r="O75" i="1" s="1"/>
  <c r="O76" i="1" s="1"/>
  <c r="O77" i="1" s="1"/>
  <c r="O78" i="1" s="1"/>
  <c r="O79" i="1" s="1"/>
  <c r="O80" i="1" s="1"/>
  <c r="O81" i="1" s="1"/>
  <c r="O82" i="1" s="1"/>
  <c r="O83" i="1" s="1"/>
  <c r="O84" i="1" s="1"/>
  <c r="O85" i="1" s="1"/>
  <c r="O86" i="1" s="1"/>
  <c r="O87" i="1" s="1"/>
  <c r="O88" i="1" s="1"/>
  <c r="O89" i="1" s="1"/>
  <c r="O90" i="1" s="1"/>
  <c r="O91" i="1" s="1"/>
  <c r="O92" i="1" s="1"/>
  <c r="O93" i="1" s="1"/>
  <c r="O94" i="1" s="1"/>
  <c r="O95" i="1" s="1"/>
  <c r="O96" i="1" s="1"/>
  <c r="O97" i="1" s="1"/>
  <c r="O98" i="1" s="1"/>
  <c r="O99" i="1" s="1"/>
  <c r="O100" i="1" s="1"/>
  <c r="O101" i="1" s="1"/>
  <c r="O102" i="1" s="1"/>
  <c r="O103" i="1" s="1"/>
  <c r="O104" i="1" s="1"/>
  <c r="O105" i="1" s="1"/>
  <c r="O106" i="1" s="1"/>
  <c r="O107" i="1" s="1"/>
  <c r="O108" i="1" s="1"/>
  <c r="O109" i="1" s="1"/>
  <c r="O110" i="1" s="1"/>
  <c r="O111" i="1" s="1"/>
  <c r="O112" i="1" s="1"/>
  <c r="O113" i="1" s="1"/>
  <c r="O114" i="1" s="1"/>
  <c r="O115" i="1" s="1"/>
  <c r="O116" i="1" s="1"/>
  <c r="O117" i="1" s="1"/>
  <c r="O118" i="1" s="1"/>
  <c r="O119" i="1" s="1"/>
  <c r="O120" i="1" s="1"/>
  <c r="O121" i="1" s="1"/>
  <c r="O122" i="1" s="1"/>
  <c r="O123" i="1" s="1"/>
  <c r="O124" i="1" s="1"/>
  <c r="O125" i="1" s="1"/>
  <c r="O126" i="1" s="1"/>
  <c r="O127" i="1" s="1"/>
  <c r="O128" i="1" s="1"/>
  <c r="O129" i="1" s="1"/>
  <c r="O130" i="1" s="1"/>
  <c r="O131" i="1" s="1"/>
  <c r="O132" i="1" s="1"/>
  <c r="O133" i="1" s="1"/>
  <c r="O134" i="1" s="1"/>
  <c r="O135" i="1" s="1"/>
  <c r="O136" i="1" s="1"/>
  <c r="O137" i="1" s="1"/>
  <c r="O138" i="1" s="1"/>
  <c r="O139" i="1" s="1"/>
  <c r="R57" i="1"/>
  <c r="S57" i="1" s="1"/>
  <c r="Q57" i="1"/>
  <c r="O57" i="1"/>
  <c r="R56" i="1"/>
  <c r="S56" i="1" s="1"/>
  <c r="Q56" i="1"/>
  <c r="Q55" i="1"/>
  <c r="R55" i="1" s="1"/>
  <c r="S55" i="1" s="1"/>
  <c r="R54" i="1"/>
  <c r="S54" i="1" s="1"/>
  <c r="Q54" i="1"/>
  <c r="Q53" i="1"/>
  <c r="R53" i="1" s="1"/>
  <c r="S53" i="1" s="1"/>
  <c r="Q52" i="1"/>
  <c r="R52" i="1" s="1"/>
  <c r="S52" i="1" s="1"/>
  <c r="S51" i="1"/>
  <c r="Q51" i="1"/>
  <c r="R51" i="1" s="1"/>
  <c r="R50" i="1"/>
  <c r="S50" i="1" s="1"/>
  <c r="Q50" i="1"/>
  <c r="R49" i="1"/>
  <c r="S49" i="1" s="1"/>
  <c r="S48" i="1"/>
  <c r="R48" i="1"/>
  <c r="R47" i="1"/>
  <c r="S47" i="1" s="1"/>
  <c r="R46" i="1"/>
  <c r="S46" i="1" s="1"/>
  <c r="T46" i="1" s="1"/>
  <c r="O46" i="1"/>
  <c r="O47" i="1" s="1"/>
  <c r="O48" i="1" s="1"/>
  <c r="O49" i="1" s="1"/>
  <c r="O50" i="1" s="1"/>
  <c r="O51" i="1" s="1"/>
  <c r="I46" i="1"/>
  <c r="R45" i="1"/>
  <c r="S45" i="1" s="1"/>
  <c r="Z44" i="1"/>
  <c r="S44" i="1"/>
  <c r="R44" i="1"/>
  <c r="I44" i="1"/>
  <c r="R43" i="1"/>
  <c r="S43" i="1" s="1"/>
  <c r="X42" i="1"/>
  <c r="X43" i="1" s="1"/>
  <c r="X44" i="1" s="1"/>
  <c r="X45" i="1" s="1"/>
  <c r="X46" i="1" s="1"/>
  <c r="X47" i="1" s="1"/>
  <c r="X48" i="1" s="1"/>
  <c r="X49" i="1" s="1"/>
  <c r="X50" i="1" s="1"/>
  <c r="X51" i="1" s="1"/>
  <c r="X52" i="1" s="1"/>
  <c r="X53" i="1" s="1"/>
  <c r="X54" i="1" s="1"/>
  <c r="X55" i="1" s="1"/>
  <c r="X56" i="1" s="1"/>
  <c r="X57" i="1" s="1"/>
  <c r="X58" i="1" s="1"/>
  <c r="X59" i="1" s="1"/>
  <c r="X60" i="1" s="1"/>
  <c r="X61" i="1" s="1"/>
  <c r="X62" i="1" s="1"/>
  <c r="X63" i="1" s="1"/>
  <c r="X64" i="1" s="1"/>
  <c r="X65" i="1" s="1"/>
  <c r="X66" i="1" s="1"/>
  <c r="X67" i="1" s="1"/>
  <c r="X68" i="1" s="1"/>
  <c r="X69" i="1" s="1"/>
  <c r="X70" i="1" s="1"/>
  <c r="X71" i="1" s="1"/>
  <c r="X72" i="1" s="1"/>
  <c r="X73" i="1" s="1"/>
  <c r="X74" i="1" s="1"/>
  <c r="X75" i="1" s="1"/>
  <c r="X76" i="1" s="1"/>
  <c r="X77" i="1" s="1"/>
  <c r="X78" i="1" s="1"/>
  <c r="X79" i="1" s="1"/>
  <c r="X80" i="1" s="1"/>
  <c r="X81" i="1" s="1"/>
  <c r="X82" i="1" s="1"/>
  <c r="X83" i="1" s="1"/>
  <c r="X84" i="1" s="1"/>
  <c r="X85" i="1" s="1"/>
  <c r="X86" i="1" s="1"/>
  <c r="X87" i="1" s="1"/>
  <c r="X88" i="1" s="1"/>
  <c r="X89" i="1" s="1"/>
  <c r="X90" i="1" s="1"/>
  <c r="X91" i="1" s="1"/>
  <c r="X92" i="1" s="1"/>
  <c r="X93" i="1" s="1"/>
  <c r="X94" i="1" s="1"/>
  <c r="X95" i="1" s="1"/>
  <c r="X96" i="1" s="1"/>
  <c r="X97" i="1" s="1"/>
  <c r="X98" i="1" s="1"/>
  <c r="X99" i="1" s="1"/>
  <c r="X100" i="1" s="1"/>
  <c r="X101" i="1" s="1"/>
  <c r="X102" i="1" s="1"/>
  <c r="X103" i="1" s="1"/>
  <c r="X104" i="1" s="1"/>
  <c r="X105" i="1" s="1"/>
  <c r="X106" i="1" s="1"/>
  <c r="X107" i="1" s="1"/>
  <c r="X108" i="1" s="1"/>
  <c r="X109" i="1" s="1"/>
  <c r="X110" i="1" s="1"/>
  <c r="X111" i="1" s="1"/>
  <c r="X112" i="1" s="1"/>
  <c r="X113" i="1" s="1"/>
  <c r="X114" i="1" s="1"/>
  <c r="X115" i="1" s="1"/>
  <c r="X116" i="1" s="1"/>
  <c r="X117" i="1" s="1"/>
  <c r="X118" i="1" s="1"/>
  <c r="X119" i="1" s="1"/>
  <c r="X120" i="1" s="1"/>
  <c r="X121" i="1" s="1"/>
  <c r="X122" i="1" s="1"/>
  <c r="X123" i="1" s="1"/>
  <c r="X124" i="1" s="1"/>
  <c r="X125" i="1" s="1"/>
  <c r="X126" i="1" s="1"/>
  <c r="X127" i="1" s="1"/>
  <c r="X128" i="1" s="1"/>
  <c r="X129" i="1" s="1"/>
  <c r="X130" i="1" s="1"/>
  <c r="X131" i="1" s="1"/>
  <c r="X132" i="1" s="1"/>
  <c r="X133" i="1" s="1"/>
  <c r="X134" i="1" s="1"/>
  <c r="X135" i="1" s="1"/>
  <c r="X136" i="1" s="1"/>
  <c r="X137" i="1" s="1"/>
  <c r="X138" i="1" s="1"/>
  <c r="X139" i="1" s="1"/>
  <c r="X140" i="1" s="1"/>
  <c r="X141" i="1" s="1"/>
  <c r="X142" i="1" s="1"/>
  <c r="X143" i="1" s="1"/>
  <c r="X144" i="1" s="1"/>
  <c r="X145" i="1" s="1"/>
  <c r="X146" i="1" s="1"/>
  <c r="X147" i="1" s="1"/>
  <c r="X148" i="1" s="1"/>
  <c r="X149" i="1" s="1"/>
  <c r="X150" i="1" s="1"/>
  <c r="X151" i="1" s="1"/>
  <c r="X152" i="1" s="1"/>
  <c r="X153" i="1" s="1"/>
  <c r="X154" i="1" s="1"/>
  <c r="X155" i="1" s="1"/>
  <c r="X156" i="1" s="1"/>
  <c r="X157" i="1" s="1"/>
  <c r="X158" i="1" s="1"/>
  <c r="X159" i="1" s="1"/>
  <c r="X160" i="1" s="1"/>
  <c r="X161" i="1" s="1"/>
  <c r="X162" i="1" s="1"/>
  <c r="X163" i="1" s="1"/>
  <c r="X164" i="1" s="1"/>
  <c r="X165" i="1" s="1"/>
  <c r="X166" i="1" s="1"/>
  <c r="X167" i="1" s="1"/>
  <c r="X168" i="1" s="1"/>
  <c r="X169" i="1" s="1"/>
  <c r="X170" i="1" s="1"/>
  <c r="R42" i="1"/>
  <c r="S42" i="1" s="1"/>
  <c r="K42" i="1"/>
  <c r="K43" i="1" s="1"/>
  <c r="K44" i="1" s="1"/>
  <c r="K45" i="1" s="1"/>
  <c r="K46" i="1" s="1"/>
  <c r="K47" i="1" s="1"/>
  <c r="K48" i="1" s="1"/>
  <c r="K49" i="1" s="1"/>
  <c r="K50" i="1" s="1"/>
  <c r="K51" i="1" s="1"/>
  <c r="K52" i="1" s="1"/>
  <c r="K53" i="1" s="1"/>
  <c r="K54" i="1" s="1"/>
  <c r="K55" i="1" s="1"/>
  <c r="K56" i="1" s="1"/>
  <c r="K57" i="1" s="1"/>
  <c r="K58" i="1" s="1"/>
  <c r="K59" i="1" s="1"/>
  <c r="K60" i="1" s="1"/>
  <c r="K61" i="1" s="1"/>
  <c r="K62" i="1" s="1"/>
  <c r="K63" i="1" s="1"/>
  <c r="K64" i="1" s="1"/>
  <c r="K65" i="1" s="1"/>
  <c r="K66" i="1" s="1"/>
  <c r="K67" i="1" s="1"/>
  <c r="K68" i="1" s="1"/>
  <c r="K69" i="1" s="1"/>
  <c r="K70" i="1" s="1"/>
  <c r="K71" i="1" s="1"/>
  <c r="K72" i="1" s="1"/>
  <c r="K73" i="1" s="1"/>
  <c r="K74" i="1" s="1"/>
  <c r="K75" i="1" s="1"/>
  <c r="K76" i="1" s="1"/>
  <c r="K77" i="1" s="1"/>
  <c r="K78" i="1" s="1"/>
  <c r="K79" i="1" s="1"/>
  <c r="K80" i="1" s="1"/>
  <c r="K81" i="1" s="1"/>
  <c r="K82" i="1" s="1"/>
  <c r="K83" i="1" s="1"/>
  <c r="K84" i="1" s="1"/>
  <c r="K85" i="1" s="1"/>
  <c r="K86" i="1" s="1"/>
  <c r="K87" i="1" s="1"/>
  <c r="K88" i="1" s="1"/>
  <c r="K89" i="1" s="1"/>
  <c r="K90" i="1" s="1"/>
  <c r="K91" i="1" s="1"/>
  <c r="K92" i="1" s="1"/>
  <c r="K93" i="1" s="1"/>
  <c r="K94" i="1" s="1"/>
  <c r="K95" i="1" s="1"/>
  <c r="K96" i="1" s="1"/>
  <c r="K97" i="1" s="1"/>
  <c r="K98" i="1" s="1"/>
  <c r="K99" i="1" s="1"/>
  <c r="K100" i="1" s="1"/>
  <c r="K101" i="1" s="1"/>
  <c r="K102" i="1" s="1"/>
  <c r="K103" i="1" s="1"/>
  <c r="K104" i="1" s="1"/>
  <c r="K105" i="1" s="1"/>
  <c r="K106" i="1" s="1"/>
  <c r="K107" i="1" s="1"/>
  <c r="K108" i="1" s="1"/>
  <c r="K109" i="1" s="1"/>
  <c r="K110" i="1" s="1"/>
  <c r="K111" i="1" s="1"/>
  <c r="K112" i="1" s="1"/>
  <c r="K113" i="1" s="1"/>
  <c r="K114" i="1" s="1"/>
  <c r="K115" i="1" s="1"/>
  <c r="K116" i="1" s="1"/>
  <c r="K117" i="1" s="1"/>
  <c r="K118" i="1" s="1"/>
  <c r="K119" i="1" s="1"/>
  <c r="K120" i="1" s="1"/>
  <c r="K121" i="1" s="1"/>
  <c r="K122" i="1" s="1"/>
  <c r="K123" i="1" s="1"/>
  <c r="K124" i="1" s="1"/>
  <c r="K125" i="1" s="1"/>
  <c r="K126" i="1" s="1"/>
  <c r="K127" i="1" s="1"/>
  <c r="K128" i="1" s="1"/>
  <c r="K129" i="1" s="1"/>
  <c r="K130" i="1" s="1"/>
  <c r="K131" i="1" s="1"/>
  <c r="K132" i="1" s="1"/>
  <c r="K133" i="1" s="1"/>
  <c r="K134" i="1" s="1"/>
  <c r="K135" i="1" s="1"/>
  <c r="K136" i="1" s="1"/>
  <c r="K137" i="1" s="1"/>
  <c r="K138" i="1" s="1"/>
  <c r="K139" i="1" s="1"/>
  <c r="K140" i="1" s="1"/>
  <c r="K141" i="1" s="1"/>
  <c r="K142" i="1" s="1"/>
  <c r="K143" i="1" s="1"/>
  <c r="K144" i="1" s="1"/>
  <c r="K145" i="1" s="1"/>
  <c r="K146" i="1" s="1"/>
  <c r="K147" i="1" s="1"/>
  <c r="K148" i="1" s="1"/>
  <c r="K149" i="1" s="1"/>
  <c r="K150" i="1" s="1"/>
  <c r="K151" i="1" s="1"/>
  <c r="K152" i="1" s="1"/>
  <c r="K153" i="1" s="1"/>
  <c r="K154" i="1" s="1"/>
  <c r="K155" i="1" s="1"/>
  <c r="K156" i="1" s="1"/>
  <c r="K157" i="1" s="1"/>
  <c r="K158" i="1" s="1"/>
  <c r="K159" i="1" s="1"/>
  <c r="K160" i="1" s="1"/>
  <c r="K161" i="1" s="1"/>
  <c r="K162" i="1" s="1"/>
  <c r="K163" i="1" s="1"/>
  <c r="K164" i="1" s="1"/>
  <c r="K165" i="1" s="1"/>
  <c r="K166" i="1" s="1"/>
  <c r="K167" i="1" s="1"/>
  <c r="K168" i="1" s="1"/>
  <c r="K169" i="1" s="1"/>
  <c r="K170" i="1" s="1"/>
  <c r="K171" i="1" s="1"/>
  <c r="K172" i="1" s="1"/>
  <c r="K173" i="1" s="1"/>
  <c r="K174" i="1" s="1"/>
  <c r="K175" i="1" s="1"/>
  <c r="K176" i="1" s="1"/>
  <c r="K177" i="1" s="1"/>
  <c r="K178" i="1" s="1"/>
  <c r="K179" i="1" s="1"/>
  <c r="K180" i="1" s="1"/>
  <c r="K181" i="1" s="1"/>
  <c r="K182" i="1" s="1"/>
  <c r="K183" i="1" s="1"/>
  <c r="K184" i="1" s="1"/>
  <c r="K185" i="1" s="1"/>
  <c r="K186" i="1" s="1"/>
  <c r="K187" i="1" s="1"/>
  <c r="K188" i="1" s="1"/>
  <c r="K189" i="1" s="1"/>
  <c r="K190" i="1" s="1"/>
  <c r="K191" i="1" s="1"/>
  <c r="K192" i="1" s="1"/>
  <c r="K193" i="1" s="1"/>
  <c r="K194" i="1" s="1"/>
  <c r="K195" i="1" s="1"/>
  <c r="K196" i="1" s="1"/>
  <c r="K197" i="1" s="1"/>
  <c r="K198" i="1" s="1"/>
  <c r="K199" i="1" s="1"/>
  <c r="K200" i="1" s="1"/>
  <c r="K201" i="1" s="1"/>
  <c r="K202" i="1" s="1"/>
  <c r="K203" i="1" s="1"/>
  <c r="K204" i="1" s="1"/>
  <c r="K205" i="1" s="1"/>
  <c r="K206" i="1" s="1"/>
  <c r="K207" i="1" s="1"/>
  <c r="K208" i="1" s="1"/>
  <c r="K209" i="1" s="1"/>
  <c r="K210" i="1" s="1"/>
  <c r="K211" i="1" s="1"/>
  <c r="K212" i="1" s="1"/>
  <c r="K213" i="1" s="1"/>
  <c r="K214" i="1" s="1"/>
  <c r="K215" i="1" s="1"/>
  <c r="K216" i="1" s="1"/>
  <c r="K217" i="1" s="1"/>
  <c r="K218" i="1" s="1"/>
  <c r="K219" i="1" s="1"/>
  <c r="K220" i="1" s="1"/>
  <c r="K221" i="1" s="1"/>
  <c r="K222" i="1" s="1"/>
  <c r="K223" i="1" s="1"/>
  <c r="K224" i="1" s="1"/>
  <c r="K225" i="1" s="1"/>
  <c r="K226" i="1" s="1"/>
  <c r="K227" i="1" s="1"/>
  <c r="K228" i="1" s="1"/>
  <c r="K229" i="1" s="1"/>
  <c r="K230" i="1" s="1"/>
  <c r="K231" i="1" s="1"/>
  <c r="K232" i="1" s="1"/>
  <c r="K233" i="1" s="1"/>
  <c r="K234" i="1" s="1"/>
  <c r="K235" i="1" s="1"/>
  <c r="K236" i="1" s="1"/>
  <c r="K237" i="1" s="1"/>
  <c r="K238" i="1" s="1"/>
  <c r="K239" i="1" s="1"/>
  <c r="K240" i="1" s="1"/>
  <c r="K241" i="1" s="1"/>
  <c r="K242" i="1" s="1"/>
  <c r="K243" i="1" s="1"/>
  <c r="K244" i="1" s="1"/>
  <c r="K245" i="1" s="1"/>
  <c r="K246" i="1" s="1"/>
  <c r="K247" i="1" s="1"/>
  <c r="K248" i="1" s="1"/>
  <c r="K249" i="1" s="1"/>
  <c r="K250" i="1" s="1"/>
  <c r="K251" i="1" s="1"/>
  <c r="K252" i="1" s="1"/>
  <c r="K253" i="1" s="1"/>
  <c r="K254" i="1" s="1"/>
  <c r="K255" i="1" s="1"/>
  <c r="K256" i="1" s="1"/>
  <c r="K257" i="1" s="1"/>
  <c r="K258" i="1" s="1"/>
  <c r="K259" i="1" s="1"/>
  <c r="K260" i="1" s="1"/>
  <c r="K261" i="1" s="1"/>
  <c r="K262" i="1" s="1"/>
  <c r="K263" i="1" s="1"/>
  <c r="K264" i="1" s="1"/>
  <c r="K265" i="1" s="1"/>
  <c r="K266" i="1" s="1"/>
  <c r="K267" i="1" s="1"/>
  <c r="K268" i="1" s="1"/>
  <c r="K269" i="1" s="1"/>
  <c r="K270" i="1" s="1"/>
  <c r="K271" i="1" s="1"/>
  <c r="K272" i="1" s="1"/>
  <c r="K273" i="1" s="1"/>
  <c r="K274" i="1" s="1"/>
  <c r="K275" i="1" s="1"/>
  <c r="K276" i="1" s="1"/>
  <c r="K277" i="1" s="1"/>
  <c r="K278" i="1" s="1"/>
  <c r="K279" i="1" s="1"/>
  <c r="K280" i="1" s="1"/>
  <c r="K281" i="1" s="1"/>
  <c r="K282" i="1" s="1"/>
  <c r="K283" i="1" s="1"/>
  <c r="K284" i="1" s="1"/>
  <c r="K285" i="1" s="1"/>
  <c r="K286" i="1" s="1"/>
  <c r="K287" i="1" s="1"/>
  <c r="K288" i="1" s="1"/>
  <c r="K289" i="1" s="1"/>
  <c r="K290" i="1" s="1"/>
  <c r="K291" i="1" s="1"/>
  <c r="K292" i="1" s="1"/>
  <c r="K293" i="1" s="1"/>
  <c r="K294" i="1" s="1"/>
  <c r="K295" i="1" s="1"/>
  <c r="K296" i="1" s="1"/>
  <c r="K297" i="1" s="1"/>
  <c r="K298" i="1" s="1"/>
  <c r="K299" i="1" s="1"/>
  <c r="K300" i="1" s="1"/>
  <c r="K301" i="1" s="1"/>
  <c r="K302" i="1" s="1"/>
  <c r="K303" i="1" s="1"/>
  <c r="K304" i="1" s="1"/>
  <c r="K305" i="1" s="1"/>
  <c r="K306" i="1" s="1"/>
  <c r="K307" i="1" s="1"/>
  <c r="K308" i="1" s="1"/>
  <c r="K309" i="1" s="1"/>
  <c r="K310" i="1" s="1"/>
  <c r="K311" i="1" s="1"/>
  <c r="K312" i="1" s="1"/>
  <c r="K313" i="1" s="1"/>
  <c r="K314" i="1" s="1"/>
  <c r="K315" i="1" s="1"/>
  <c r="K316" i="1" s="1"/>
  <c r="K317" i="1" s="1"/>
  <c r="K318" i="1" s="1"/>
  <c r="K319" i="1" s="1"/>
  <c r="K320" i="1" s="1"/>
  <c r="K321" i="1" s="1"/>
  <c r="K322" i="1" s="1"/>
  <c r="K323" i="1" s="1"/>
  <c r="K324" i="1" s="1"/>
  <c r="K325" i="1" s="1"/>
  <c r="K326" i="1" s="1"/>
  <c r="K327" i="1" s="1"/>
  <c r="K328" i="1" s="1"/>
  <c r="K329" i="1" s="1"/>
  <c r="K330" i="1" s="1"/>
  <c r="K331" i="1" s="1"/>
  <c r="K332" i="1" s="1"/>
  <c r="K333" i="1" s="1"/>
  <c r="K334" i="1" s="1"/>
  <c r="K335" i="1" s="1"/>
  <c r="K336" i="1" s="1"/>
  <c r="K337" i="1" s="1"/>
  <c r="K338" i="1" s="1"/>
  <c r="K339" i="1" s="1"/>
  <c r="K340" i="1" s="1"/>
  <c r="K341" i="1" s="1"/>
  <c r="K342" i="1" s="1"/>
  <c r="K343" i="1" s="1"/>
  <c r="K344" i="1" s="1"/>
  <c r="K345" i="1" s="1"/>
  <c r="K346" i="1" s="1"/>
  <c r="K347" i="1" s="1"/>
  <c r="K348" i="1" s="1"/>
  <c r="K349" i="1" s="1"/>
  <c r="K350" i="1" s="1"/>
  <c r="K351" i="1" s="1"/>
  <c r="K352" i="1" s="1"/>
  <c r="K353" i="1" s="1"/>
  <c r="K354" i="1" s="1"/>
  <c r="I42" i="1"/>
  <c r="X41" i="1"/>
  <c r="R41" i="1"/>
  <c r="S41" i="1" s="1"/>
  <c r="M41" i="1"/>
  <c r="M42" i="1" s="1"/>
  <c r="M43" i="1" s="1"/>
  <c r="M44" i="1" s="1"/>
  <c r="M45" i="1" s="1"/>
  <c r="M46" i="1" s="1"/>
  <c r="M47" i="1" s="1"/>
  <c r="M48" i="1" s="1"/>
  <c r="M49" i="1" s="1"/>
  <c r="M50" i="1" s="1"/>
  <c r="M51" i="1" s="1"/>
  <c r="M52" i="1" s="1"/>
  <c r="M53" i="1" s="1"/>
  <c r="M54" i="1" s="1"/>
  <c r="M55" i="1" s="1"/>
  <c r="M56" i="1" s="1"/>
  <c r="M57" i="1" s="1"/>
  <c r="M58" i="1" s="1"/>
  <c r="M59" i="1" s="1"/>
  <c r="M60" i="1" s="1"/>
  <c r="M61" i="1" s="1"/>
  <c r="M62" i="1" s="1"/>
  <c r="M63" i="1" s="1"/>
  <c r="M64" i="1" s="1"/>
  <c r="M65" i="1" s="1"/>
  <c r="M66" i="1" s="1"/>
  <c r="M67" i="1" s="1"/>
  <c r="M68" i="1" s="1"/>
  <c r="M69" i="1" s="1"/>
  <c r="M70" i="1" s="1"/>
  <c r="M71" i="1" s="1"/>
  <c r="M72" i="1" s="1"/>
  <c r="M73" i="1" s="1"/>
  <c r="M74" i="1" s="1"/>
  <c r="M75" i="1" s="1"/>
  <c r="M76" i="1" s="1"/>
  <c r="M77" i="1" s="1"/>
  <c r="M78" i="1" s="1"/>
  <c r="M79" i="1" s="1"/>
  <c r="M80" i="1" s="1"/>
  <c r="M81" i="1" s="1"/>
  <c r="M82" i="1" s="1"/>
  <c r="M83" i="1" s="1"/>
  <c r="M84" i="1" s="1"/>
  <c r="M85" i="1" s="1"/>
  <c r="M86" i="1" s="1"/>
  <c r="M87" i="1" s="1"/>
  <c r="M88" i="1" s="1"/>
  <c r="M89" i="1" s="1"/>
  <c r="M90" i="1" s="1"/>
  <c r="M91" i="1" s="1"/>
  <c r="M92" i="1" s="1"/>
  <c r="M93" i="1" s="1"/>
  <c r="M94" i="1" s="1"/>
  <c r="M95" i="1" s="1"/>
  <c r="M96" i="1" s="1"/>
  <c r="M97" i="1" s="1"/>
  <c r="M98" i="1" s="1"/>
  <c r="M99" i="1" s="1"/>
  <c r="M100" i="1" s="1"/>
  <c r="M101" i="1" s="1"/>
  <c r="M102" i="1" s="1"/>
  <c r="M103" i="1" s="1"/>
  <c r="M104" i="1" s="1"/>
  <c r="M105" i="1" s="1"/>
  <c r="M106" i="1" s="1"/>
  <c r="M107" i="1" s="1"/>
  <c r="M108" i="1" s="1"/>
  <c r="M109" i="1" s="1"/>
  <c r="M110" i="1" s="1"/>
  <c r="M111" i="1" s="1"/>
  <c r="M112" i="1" s="1"/>
  <c r="M113" i="1" s="1"/>
  <c r="M114" i="1" s="1"/>
  <c r="M115" i="1" s="1"/>
  <c r="M116" i="1" s="1"/>
  <c r="M117" i="1" s="1"/>
  <c r="M118" i="1" s="1"/>
  <c r="M119" i="1" s="1"/>
  <c r="M120" i="1" s="1"/>
  <c r="M121" i="1" s="1"/>
  <c r="M122" i="1" s="1"/>
  <c r="M123" i="1" s="1"/>
  <c r="M124" i="1" s="1"/>
  <c r="M125" i="1" s="1"/>
  <c r="M126" i="1" s="1"/>
  <c r="M127" i="1" s="1"/>
  <c r="M128" i="1" s="1"/>
  <c r="M129" i="1" s="1"/>
  <c r="M130" i="1" s="1"/>
  <c r="M131" i="1" s="1"/>
  <c r="M132" i="1" s="1"/>
  <c r="M133" i="1" s="1"/>
  <c r="M134" i="1" s="1"/>
  <c r="M135" i="1" s="1"/>
  <c r="M136" i="1" s="1"/>
  <c r="M137" i="1" s="1"/>
  <c r="M138" i="1" s="1"/>
  <c r="M139" i="1" s="1"/>
  <c r="M140" i="1" s="1"/>
  <c r="M141" i="1" s="1"/>
  <c r="M142" i="1" s="1"/>
  <c r="M143" i="1" s="1"/>
  <c r="M144" i="1" s="1"/>
  <c r="M145" i="1" s="1"/>
  <c r="M146" i="1" s="1"/>
  <c r="M147" i="1" s="1"/>
  <c r="M148" i="1" s="1"/>
  <c r="M149" i="1" s="1"/>
  <c r="M150" i="1" s="1"/>
  <c r="M151" i="1" s="1"/>
  <c r="M152" i="1" s="1"/>
  <c r="M153" i="1" s="1"/>
  <c r="M154" i="1" s="1"/>
  <c r="M155" i="1" s="1"/>
  <c r="M156" i="1" s="1"/>
  <c r="M157" i="1" s="1"/>
  <c r="M158" i="1" s="1"/>
  <c r="M159" i="1" s="1"/>
  <c r="M160" i="1" s="1"/>
  <c r="M161" i="1" s="1"/>
  <c r="M162" i="1" s="1"/>
  <c r="M163" i="1" s="1"/>
  <c r="M164" i="1" s="1"/>
  <c r="M165" i="1" s="1"/>
  <c r="M166" i="1" s="1"/>
  <c r="M167" i="1" s="1"/>
  <c r="M168" i="1" s="1"/>
  <c r="M169" i="1" s="1"/>
  <c r="M170" i="1" s="1"/>
  <c r="M171" i="1" s="1"/>
  <c r="M172" i="1" s="1"/>
  <c r="M173" i="1" s="1"/>
  <c r="M174" i="1" s="1"/>
  <c r="M175" i="1" s="1"/>
  <c r="M176" i="1" s="1"/>
  <c r="M177" i="1" s="1"/>
  <c r="M178" i="1" s="1"/>
  <c r="M179" i="1" s="1"/>
  <c r="M180" i="1" s="1"/>
  <c r="M181" i="1" s="1"/>
  <c r="M182" i="1" s="1"/>
  <c r="M183" i="1" s="1"/>
  <c r="M184" i="1" s="1"/>
  <c r="M185" i="1" s="1"/>
  <c r="M186" i="1" s="1"/>
  <c r="M187" i="1" s="1"/>
  <c r="M188" i="1" s="1"/>
  <c r="M189" i="1" s="1"/>
  <c r="M190" i="1" s="1"/>
  <c r="M191" i="1" s="1"/>
  <c r="M192" i="1" s="1"/>
  <c r="M193" i="1" s="1"/>
  <c r="M194" i="1" s="1"/>
  <c r="M195" i="1" s="1"/>
  <c r="M196" i="1" s="1"/>
  <c r="M197" i="1" s="1"/>
  <c r="M198" i="1" s="1"/>
  <c r="M199" i="1" s="1"/>
  <c r="M200" i="1" s="1"/>
  <c r="M201" i="1" s="1"/>
  <c r="M202" i="1" s="1"/>
  <c r="M203" i="1" s="1"/>
  <c r="M204" i="1" s="1"/>
  <c r="M205" i="1" s="1"/>
  <c r="M206" i="1" s="1"/>
  <c r="M207" i="1" s="1"/>
  <c r="M208" i="1" s="1"/>
  <c r="M209" i="1" s="1"/>
  <c r="M210" i="1" s="1"/>
  <c r="M211" i="1" s="1"/>
  <c r="M212" i="1" s="1"/>
  <c r="M213" i="1" s="1"/>
  <c r="M214" i="1" s="1"/>
  <c r="M215" i="1" s="1"/>
  <c r="M216" i="1" s="1"/>
  <c r="M217" i="1" s="1"/>
  <c r="M218" i="1" s="1"/>
  <c r="M219" i="1" s="1"/>
  <c r="M220" i="1" s="1"/>
  <c r="M221" i="1" s="1"/>
  <c r="M222" i="1" s="1"/>
  <c r="M223" i="1" s="1"/>
  <c r="M224" i="1" s="1"/>
  <c r="M225" i="1" s="1"/>
  <c r="M226" i="1" s="1"/>
  <c r="M227" i="1" s="1"/>
  <c r="M228" i="1" s="1"/>
  <c r="M229" i="1" s="1"/>
  <c r="M230" i="1" s="1"/>
  <c r="M231" i="1" s="1"/>
  <c r="M232" i="1" s="1"/>
  <c r="M233" i="1" s="1"/>
  <c r="M234" i="1" s="1"/>
  <c r="M235" i="1" s="1"/>
  <c r="M236" i="1" s="1"/>
  <c r="M237" i="1" s="1"/>
  <c r="M238" i="1" s="1"/>
  <c r="M239" i="1" s="1"/>
  <c r="M240" i="1" s="1"/>
  <c r="M241" i="1" s="1"/>
  <c r="M242" i="1" s="1"/>
  <c r="M243" i="1" s="1"/>
  <c r="M244" i="1" s="1"/>
  <c r="M245" i="1" s="1"/>
  <c r="M246" i="1" s="1"/>
  <c r="M247" i="1" s="1"/>
  <c r="M248" i="1" s="1"/>
  <c r="M249" i="1" s="1"/>
  <c r="M250" i="1" s="1"/>
  <c r="M251" i="1" s="1"/>
  <c r="M252" i="1" s="1"/>
  <c r="M253" i="1" s="1"/>
  <c r="M254" i="1" s="1"/>
  <c r="M255" i="1" s="1"/>
  <c r="M256" i="1" s="1"/>
  <c r="M257" i="1" s="1"/>
  <c r="M258" i="1" s="1"/>
  <c r="M259" i="1" s="1"/>
  <c r="M260" i="1" s="1"/>
  <c r="M261" i="1" s="1"/>
  <c r="M262" i="1" s="1"/>
  <c r="M263" i="1" s="1"/>
  <c r="M264" i="1" s="1"/>
  <c r="M265" i="1" s="1"/>
  <c r="M266" i="1" s="1"/>
  <c r="M267" i="1" s="1"/>
  <c r="M268" i="1" s="1"/>
  <c r="M269" i="1" s="1"/>
  <c r="M270" i="1" s="1"/>
  <c r="M271" i="1" s="1"/>
  <c r="M272" i="1" s="1"/>
  <c r="M273" i="1" s="1"/>
  <c r="M274" i="1" s="1"/>
  <c r="M275" i="1" s="1"/>
  <c r="M276" i="1" s="1"/>
  <c r="M277" i="1" s="1"/>
  <c r="M278" i="1" s="1"/>
  <c r="M279" i="1" s="1"/>
  <c r="M280" i="1" s="1"/>
  <c r="M281" i="1" s="1"/>
  <c r="M282" i="1" s="1"/>
  <c r="M283" i="1" s="1"/>
  <c r="M284" i="1" s="1"/>
  <c r="M285" i="1" s="1"/>
  <c r="M286" i="1" s="1"/>
  <c r="M287" i="1" s="1"/>
  <c r="M288" i="1" s="1"/>
  <c r="M289" i="1" s="1"/>
  <c r="M290" i="1" s="1"/>
  <c r="M291" i="1" s="1"/>
  <c r="M292" i="1" s="1"/>
  <c r="M293" i="1" s="1"/>
  <c r="M294" i="1" s="1"/>
  <c r="M295" i="1" s="1"/>
  <c r="M296" i="1" s="1"/>
  <c r="M297" i="1" s="1"/>
  <c r="M298" i="1" s="1"/>
  <c r="M299" i="1" s="1"/>
  <c r="M300" i="1" s="1"/>
  <c r="M301" i="1" s="1"/>
  <c r="M302" i="1" s="1"/>
  <c r="M303" i="1" s="1"/>
  <c r="M304" i="1" s="1"/>
  <c r="M305" i="1" s="1"/>
  <c r="M306" i="1" s="1"/>
  <c r="M307" i="1" s="1"/>
  <c r="M308" i="1" s="1"/>
  <c r="M309" i="1" s="1"/>
  <c r="M310" i="1" s="1"/>
  <c r="M311" i="1" s="1"/>
  <c r="M312" i="1" s="1"/>
  <c r="M313" i="1" s="1"/>
  <c r="M314" i="1" s="1"/>
  <c r="M315" i="1" s="1"/>
  <c r="M316" i="1" s="1"/>
  <c r="M317" i="1" s="1"/>
  <c r="M318" i="1" s="1"/>
  <c r="M319" i="1" s="1"/>
  <c r="M320" i="1" s="1"/>
  <c r="M321" i="1" s="1"/>
  <c r="M322" i="1" s="1"/>
  <c r="M323" i="1" s="1"/>
  <c r="M324" i="1" s="1"/>
  <c r="M325" i="1" s="1"/>
  <c r="M326" i="1" s="1"/>
  <c r="M327" i="1" s="1"/>
  <c r="M328" i="1" s="1"/>
  <c r="M329" i="1" s="1"/>
  <c r="M330" i="1" s="1"/>
  <c r="M331" i="1" s="1"/>
  <c r="M332" i="1" s="1"/>
  <c r="M333" i="1" s="1"/>
  <c r="M334" i="1" s="1"/>
  <c r="M335" i="1" s="1"/>
  <c r="M336" i="1" s="1"/>
  <c r="M337" i="1" s="1"/>
  <c r="M338" i="1" s="1"/>
  <c r="M339" i="1" s="1"/>
  <c r="M340" i="1" s="1"/>
  <c r="M341" i="1" s="1"/>
  <c r="M342" i="1" s="1"/>
  <c r="M343" i="1" s="1"/>
  <c r="M344" i="1" s="1"/>
  <c r="M345" i="1" s="1"/>
  <c r="M346" i="1" s="1"/>
  <c r="M347" i="1" s="1"/>
  <c r="M348" i="1" s="1"/>
  <c r="M349" i="1" s="1"/>
  <c r="M350" i="1" s="1"/>
  <c r="M351" i="1" s="1"/>
  <c r="M352" i="1" s="1"/>
  <c r="M353" i="1" s="1"/>
  <c r="M354" i="1" s="1"/>
  <c r="K41" i="1"/>
  <c r="G41" i="1"/>
  <c r="G42" i="1" s="1"/>
  <c r="G43" i="1" s="1"/>
  <c r="G44" i="1" s="1"/>
  <c r="G45" i="1" s="1"/>
  <c r="G46" i="1" s="1"/>
  <c r="G47" i="1" s="1"/>
  <c r="G48" i="1" s="1"/>
  <c r="G49" i="1" s="1"/>
  <c r="G50" i="1" s="1"/>
  <c r="G51" i="1" s="1"/>
  <c r="G52" i="1" s="1"/>
  <c r="G53" i="1" s="1"/>
  <c r="G54" i="1" s="1"/>
  <c r="G55" i="1" s="1"/>
  <c r="G56" i="1" s="1"/>
  <c r="G57" i="1" s="1"/>
  <c r="G58" i="1" s="1"/>
  <c r="G59" i="1" s="1"/>
  <c r="G60" i="1" s="1"/>
  <c r="G61" i="1" s="1"/>
  <c r="G62" i="1" s="1"/>
  <c r="G63" i="1" s="1"/>
  <c r="G64" i="1" s="1"/>
  <c r="G65" i="1" s="1"/>
  <c r="G66" i="1" s="1"/>
  <c r="G67" i="1" s="1"/>
  <c r="G68" i="1" s="1"/>
  <c r="G69" i="1" s="1"/>
  <c r="G70" i="1" s="1"/>
  <c r="G71" i="1" s="1"/>
  <c r="G72" i="1" s="1"/>
  <c r="G73" i="1" s="1"/>
  <c r="G74" i="1" s="1"/>
  <c r="G75" i="1" s="1"/>
  <c r="G76" i="1" s="1"/>
  <c r="G77" i="1" s="1"/>
  <c r="G78" i="1" s="1"/>
  <c r="G79" i="1" s="1"/>
  <c r="G80" i="1" s="1"/>
  <c r="G81" i="1" s="1"/>
  <c r="G82" i="1" s="1"/>
  <c r="G83" i="1" s="1"/>
  <c r="G84" i="1" s="1"/>
  <c r="G85" i="1" s="1"/>
  <c r="G86" i="1" s="1"/>
  <c r="G87" i="1" s="1"/>
  <c r="G88" i="1" s="1"/>
  <c r="G89" i="1" s="1"/>
  <c r="G90" i="1" s="1"/>
  <c r="G91" i="1" s="1"/>
  <c r="G92" i="1" s="1"/>
  <c r="G93" i="1" s="1"/>
  <c r="G94" i="1" s="1"/>
  <c r="G95" i="1" s="1"/>
  <c r="G96" i="1" s="1"/>
  <c r="G97" i="1" s="1"/>
  <c r="G98" i="1" s="1"/>
  <c r="G99" i="1" s="1"/>
  <c r="G100" i="1" s="1"/>
  <c r="G101" i="1" s="1"/>
  <c r="G102" i="1" s="1"/>
  <c r="G103" i="1" s="1"/>
  <c r="G104" i="1" s="1"/>
  <c r="G105" i="1" s="1"/>
  <c r="G106" i="1" s="1"/>
  <c r="G107" i="1" s="1"/>
  <c r="G108" i="1" s="1"/>
  <c r="G109" i="1" s="1"/>
  <c r="G110" i="1" s="1"/>
  <c r="G111" i="1" s="1"/>
  <c r="G112" i="1" s="1"/>
  <c r="G113" i="1" s="1"/>
  <c r="G114" i="1" s="1"/>
  <c r="G115" i="1" s="1"/>
  <c r="G116" i="1" s="1"/>
  <c r="G117" i="1" s="1"/>
  <c r="G118" i="1" s="1"/>
  <c r="G119" i="1" s="1"/>
  <c r="G120" i="1" s="1"/>
  <c r="G121" i="1" s="1"/>
  <c r="G122" i="1" s="1"/>
  <c r="G123" i="1" s="1"/>
  <c r="G124" i="1" s="1"/>
  <c r="G125" i="1" s="1"/>
  <c r="G126" i="1" s="1"/>
  <c r="G127" i="1" s="1"/>
  <c r="G128" i="1" s="1"/>
  <c r="G129" i="1" s="1"/>
  <c r="G130" i="1" s="1"/>
  <c r="G131" i="1" s="1"/>
  <c r="G132" i="1" s="1"/>
  <c r="G133" i="1" s="1"/>
  <c r="G134" i="1" s="1"/>
  <c r="G135" i="1" s="1"/>
  <c r="G136" i="1" s="1"/>
  <c r="G137" i="1" s="1"/>
  <c r="G138" i="1" s="1"/>
  <c r="O28" i="1"/>
  <c r="O20" i="1"/>
  <c r="O18" i="1"/>
  <c r="O19" i="1" s="1"/>
  <c r="O17" i="1"/>
  <c r="O7" i="1"/>
  <c r="O8" i="1" s="1"/>
  <c r="O9" i="1" s="1"/>
  <c r="H297" i="2" l="1"/>
  <c r="H298" i="2" s="1"/>
  <c r="H299" i="2" s="1"/>
  <c r="H300" i="2" s="1"/>
  <c r="H301" i="2" s="1"/>
  <c r="H302" i="2" s="1"/>
  <c r="H303" i="2" s="1"/>
  <c r="H304" i="2" s="1"/>
  <c r="H305" i="2" s="1"/>
  <c r="H306" i="2" s="1"/>
  <c r="H307" i="2" s="1"/>
  <c r="H308" i="2" s="1"/>
  <c r="H309" i="2" s="1"/>
  <c r="H310" i="2" s="1"/>
  <c r="H311" i="2" s="1"/>
  <c r="H312" i="2" s="1"/>
  <c r="H313" i="2" s="1"/>
  <c r="H314" i="2" s="1"/>
  <c r="H315" i="2" s="1"/>
  <c r="H316" i="2" s="1"/>
  <c r="H317" i="2" s="1"/>
  <c r="H318" i="2" s="1"/>
  <c r="H319" i="2" s="1"/>
  <c r="H321" i="2" s="1"/>
  <c r="H322" i="2" s="1"/>
  <c r="H323" i="2" s="1"/>
  <c r="H324" i="2" s="1"/>
  <c r="H325" i="2" s="1"/>
  <c r="H326" i="2" s="1"/>
  <c r="H327" i="2" s="1"/>
  <c r="H328" i="2" s="1"/>
  <c r="H329" i="2" s="1"/>
  <c r="H330" i="2" s="1"/>
  <c r="H331" i="2" s="1"/>
  <c r="H332" i="2" s="1"/>
  <c r="H333" i="2" s="1"/>
  <c r="H334" i="2" s="1"/>
  <c r="H335" i="2" s="1"/>
  <c r="H336" i="2" s="1"/>
  <c r="H337" i="2" s="1"/>
  <c r="H338" i="2" s="1"/>
  <c r="H339" i="2" s="1"/>
  <c r="H340" i="2" s="1"/>
  <c r="H341" i="2" s="1"/>
  <c r="H342" i="2" s="1"/>
  <c r="H343" i="2" s="1"/>
  <c r="H344" i="2" s="1"/>
  <c r="H345" i="2" s="1"/>
  <c r="H346" i="2" s="1"/>
  <c r="H347" i="2" s="1"/>
  <c r="H348" i="2" s="1"/>
  <c r="H349" i="2" s="1"/>
  <c r="H350" i="2" s="1"/>
  <c r="H351" i="2" s="1"/>
  <c r="H352" i="2" s="1"/>
  <c r="H353" i="2" s="1"/>
  <c r="H354" i="2" s="1"/>
  <c r="X171" i="2"/>
  <c r="X172" i="2" s="1"/>
  <c r="X173" i="2" s="1"/>
  <c r="X174" i="2" s="1"/>
  <c r="X175" i="2" s="1"/>
  <c r="X176" i="2" s="1"/>
  <c r="X177" i="2" s="1"/>
  <c r="X178" i="2" s="1"/>
  <c r="X179" i="2" s="1"/>
  <c r="X180" i="2" s="1"/>
  <c r="X181" i="2" s="1"/>
  <c r="X182" i="2" s="1"/>
  <c r="X183" i="2" s="1"/>
  <c r="X184" i="2" s="1"/>
  <c r="X185" i="2" s="1"/>
  <c r="X186" i="2" s="1"/>
  <c r="X187" i="2" s="1"/>
  <c r="X188" i="2" s="1"/>
  <c r="X189" i="2" s="1"/>
  <c r="X190" i="2" s="1"/>
  <c r="X191" i="2" s="1"/>
  <c r="X192" i="2" s="1"/>
  <c r="X193" i="2" s="1"/>
  <c r="X194" i="2" s="1"/>
  <c r="X195" i="2" s="1"/>
  <c r="X196" i="2" s="1"/>
  <c r="X197" i="2" s="1"/>
  <c r="X198" i="2" s="1"/>
  <c r="X199" i="2" s="1"/>
  <c r="X200" i="2" s="1"/>
  <c r="X201" i="2" s="1"/>
  <c r="X202" i="2" s="1"/>
  <c r="X203" i="2" s="1"/>
  <c r="X204" i="2" s="1"/>
  <c r="X205" i="2" s="1"/>
  <c r="X206" i="2" s="1"/>
  <c r="X207" i="2" s="1"/>
  <c r="X208" i="2" s="1"/>
  <c r="X209" i="2" s="1"/>
  <c r="X210" i="2" s="1"/>
  <c r="X211" i="2" s="1"/>
  <c r="X212" i="2" s="1"/>
  <c r="X213" i="2" s="1"/>
  <c r="X214" i="2" s="1"/>
  <c r="X215" i="2" s="1"/>
  <c r="X216" i="2" s="1"/>
  <c r="X217" i="2" s="1"/>
  <c r="X218" i="2" s="1"/>
  <c r="X219" i="2" s="1"/>
  <c r="X220" i="2" s="1"/>
  <c r="X221" i="2" s="1"/>
  <c r="X222" i="2" s="1"/>
  <c r="X223" i="2" s="1"/>
  <c r="X224" i="2" s="1"/>
  <c r="X225" i="2" s="1"/>
  <c r="X226" i="2" s="1"/>
  <c r="X227" i="2" s="1"/>
  <c r="X228" i="2" s="1"/>
  <c r="X229" i="2" s="1"/>
  <c r="X230" i="2" s="1"/>
  <c r="X231" i="2" s="1"/>
  <c r="X232" i="2" s="1"/>
  <c r="X233" i="2" s="1"/>
  <c r="X234" i="2" s="1"/>
  <c r="X235" i="2" s="1"/>
  <c r="X236" i="2" s="1"/>
  <c r="X237" i="2" s="1"/>
  <c r="X238" i="2" s="1"/>
  <c r="X239" i="2" s="1"/>
  <c r="X240" i="2" s="1"/>
  <c r="X241" i="2" s="1"/>
  <c r="X242" i="2" s="1"/>
  <c r="X243" i="2" s="1"/>
  <c r="X244" i="2" s="1"/>
  <c r="X245" i="2" s="1"/>
  <c r="X246" i="2" s="1"/>
  <c r="X247" i="2" s="1"/>
  <c r="X248" i="2" s="1"/>
  <c r="X249" i="2" s="1"/>
  <c r="X250" i="2" s="1"/>
  <c r="X251" i="2" s="1"/>
  <c r="X252" i="2" s="1"/>
  <c r="X253" i="2" s="1"/>
  <c r="X254" i="2" s="1"/>
  <c r="X255" i="2" s="1"/>
  <c r="X256" i="2" s="1"/>
  <c r="X257" i="2" s="1"/>
  <c r="X258" i="2" s="1"/>
  <c r="X259" i="2" s="1"/>
  <c r="X260" i="2" s="1"/>
  <c r="X261" i="2" s="1"/>
  <c r="X262" i="2" s="1"/>
  <c r="X263" i="2" s="1"/>
  <c r="X264" i="2" s="1"/>
  <c r="X265" i="2" s="1"/>
  <c r="X266" i="2" s="1"/>
  <c r="X267" i="2" s="1"/>
  <c r="X268" i="2" s="1"/>
  <c r="X269" i="2" s="1"/>
  <c r="X270" i="2" s="1"/>
  <c r="X271" i="2" s="1"/>
  <c r="X272" i="2" s="1"/>
  <c r="X273" i="2" s="1"/>
  <c r="X274" i="2" s="1"/>
  <c r="X275" i="2" s="1"/>
  <c r="X276" i="2" s="1"/>
  <c r="X277" i="2" s="1"/>
  <c r="X278" i="2" s="1"/>
  <c r="X279" i="2" s="1"/>
  <c r="X280" i="2" s="1"/>
  <c r="X281" i="2" s="1"/>
  <c r="X282" i="2" s="1"/>
  <c r="X283" i="2" s="1"/>
  <c r="X284" i="2" s="1"/>
  <c r="X285" i="2" s="1"/>
  <c r="X286" i="2" s="1"/>
  <c r="X287" i="2" s="1"/>
  <c r="X288" i="2" s="1"/>
  <c r="X289" i="2" s="1"/>
  <c r="X290" i="2" s="1"/>
  <c r="X291" i="2" s="1"/>
  <c r="X292" i="2" s="1"/>
  <c r="X293" i="2" s="1"/>
  <c r="X294" i="2" s="1"/>
  <c r="X295" i="2" s="1"/>
  <c r="X296" i="2" s="1"/>
  <c r="X297" i="2" s="1"/>
  <c r="X298" i="2" s="1"/>
  <c r="X299" i="2" s="1"/>
  <c r="X300" i="2" s="1"/>
  <c r="X301" i="2" s="1"/>
  <c r="X302" i="2" s="1"/>
  <c r="X303" i="2" s="1"/>
  <c r="X304" i="2" s="1"/>
  <c r="X305" i="2" s="1"/>
  <c r="X306" i="2" s="1"/>
  <c r="X307" i="2" s="1"/>
  <c r="X308" i="2" s="1"/>
  <c r="X309" i="2" s="1"/>
  <c r="X310" i="2" s="1"/>
  <c r="X311" i="2" s="1"/>
  <c r="X312" i="2" s="1"/>
  <c r="X313" i="2" s="1"/>
  <c r="X314" i="2" s="1"/>
  <c r="X315" i="2" s="1"/>
  <c r="X316" i="2" s="1"/>
  <c r="X317" i="2" s="1"/>
  <c r="X318" i="2" s="1"/>
  <c r="X319" i="2" s="1"/>
  <c r="X320" i="2" s="1"/>
  <c r="X321" i="2" s="1"/>
  <c r="X322" i="2" s="1"/>
  <c r="X323" i="2" s="1"/>
  <c r="X324" i="2" s="1"/>
  <c r="X325" i="2" s="1"/>
  <c r="X326" i="2" s="1"/>
  <c r="X327" i="2" s="1"/>
  <c r="X328" i="2" s="1"/>
  <c r="X329" i="2" s="1"/>
  <c r="X330" i="2" s="1"/>
  <c r="X331" i="2" s="1"/>
  <c r="X332" i="2" s="1"/>
  <c r="X333" i="2" s="1"/>
  <c r="X334" i="2" s="1"/>
  <c r="X335" i="2" s="1"/>
  <c r="X336" i="2" s="1"/>
  <c r="X337" i="2" s="1"/>
  <c r="X338" i="2" s="1"/>
  <c r="X339" i="2" s="1"/>
  <c r="X340" i="2" s="1"/>
  <c r="X341" i="2" s="1"/>
  <c r="X342" i="2" s="1"/>
  <c r="X343" i="2" s="1"/>
  <c r="X344" i="2" s="1"/>
  <c r="X345" i="2" s="1"/>
  <c r="X346" i="2" s="1"/>
  <c r="X347" i="2" s="1"/>
  <c r="X348" i="2" s="1"/>
  <c r="X349" i="2" s="1"/>
  <c r="X350" i="2" s="1"/>
  <c r="X351" i="2" s="1"/>
  <c r="X352" i="2" s="1"/>
  <c r="X353" i="2" s="1"/>
  <c r="X354" i="2" s="1"/>
  <c r="W170" i="2"/>
  <c r="T47" i="2"/>
  <c r="T48" i="2" s="1"/>
  <c r="T49" i="2" s="1"/>
  <c r="T50" i="2" s="1"/>
  <c r="T51" i="2" s="1"/>
  <c r="T52" i="2" s="1"/>
  <c r="T53" i="2" s="1"/>
  <c r="T54" i="2" s="1"/>
  <c r="T55" i="2" s="1"/>
  <c r="T56" i="2" s="1"/>
  <c r="T57" i="2" s="1"/>
  <c r="T58" i="2" s="1"/>
  <c r="T59" i="2" s="1"/>
  <c r="T60" i="2" s="1"/>
  <c r="T61" i="2" s="1"/>
  <c r="T62" i="2" s="1"/>
  <c r="T63" i="2" s="1"/>
  <c r="T64" i="2" s="1"/>
  <c r="T65" i="2" s="1"/>
  <c r="T66" i="2" s="1"/>
  <c r="T67" i="2" s="1"/>
  <c r="T68" i="2" s="1"/>
  <c r="T69" i="2" s="1"/>
  <c r="T70" i="2" s="1"/>
  <c r="T71" i="2" s="1"/>
  <c r="T72" i="2" s="1"/>
  <c r="T73" i="2" s="1"/>
  <c r="T74" i="2" s="1"/>
  <c r="T75" i="2" s="1"/>
  <c r="T76" i="2" s="1"/>
  <c r="T77" i="2" s="1"/>
  <c r="T78" i="2" s="1"/>
  <c r="T79" i="2" s="1"/>
  <c r="T80" i="2" s="1"/>
  <c r="T81" i="2" s="1"/>
  <c r="T82" i="2" s="1"/>
  <c r="T83" i="2" s="1"/>
  <c r="T84" i="2" s="1"/>
  <c r="T85" i="2" s="1"/>
  <c r="T86" i="2" s="1"/>
  <c r="T87" i="2" s="1"/>
  <c r="T88" i="2" s="1"/>
  <c r="T89" i="2" s="1"/>
  <c r="T90" i="2" s="1"/>
  <c r="T91" i="2" s="1"/>
  <c r="T92" i="2" s="1"/>
  <c r="T93" i="2" s="1"/>
  <c r="T94" i="2" s="1"/>
  <c r="T95" i="2" s="1"/>
  <c r="T96" i="2" s="1"/>
  <c r="T97" i="2" s="1"/>
  <c r="T98" i="2" s="1"/>
  <c r="T99" i="2" s="1"/>
  <c r="T100" i="2" s="1"/>
  <c r="T101" i="2" s="1"/>
  <c r="T102" i="2" s="1"/>
  <c r="T103" i="2" s="1"/>
  <c r="T104" i="2" s="1"/>
  <c r="T105" i="2" s="1"/>
  <c r="T106" i="2" s="1"/>
  <c r="T107" i="2" s="1"/>
  <c r="T108" i="2" s="1"/>
  <c r="T109" i="2" s="1"/>
  <c r="T110" i="2" s="1"/>
  <c r="T111" i="2" s="1"/>
  <c r="T112" i="2" s="1"/>
  <c r="T113" i="2" s="1"/>
  <c r="T114" i="2" s="1"/>
  <c r="T115" i="2" s="1"/>
  <c r="T116" i="2" s="1"/>
  <c r="T117" i="2" s="1"/>
  <c r="T118" i="2" s="1"/>
  <c r="T119" i="2" s="1"/>
  <c r="T120" i="2" s="1"/>
  <c r="T121" i="2" s="1"/>
  <c r="T122" i="2" s="1"/>
  <c r="T123" i="2" s="1"/>
  <c r="T124" i="2" s="1"/>
  <c r="T125" i="2" s="1"/>
  <c r="T126" i="2" s="1"/>
  <c r="T127" i="2" s="1"/>
  <c r="T128" i="2" s="1"/>
  <c r="T129" i="2" s="1"/>
  <c r="T130" i="2" s="1"/>
  <c r="T131" i="2" s="1"/>
  <c r="T132" i="2" s="1"/>
  <c r="T133" i="2" s="1"/>
  <c r="T134" i="2" s="1"/>
  <c r="T135" i="2" s="1"/>
  <c r="T136" i="2" s="1"/>
  <c r="T137" i="2" s="1"/>
  <c r="T138" i="2" s="1"/>
  <c r="T139" i="2" s="1"/>
  <c r="T140" i="2" s="1"/>
  <c r="T141" i="2" s="1"/>
  <c r="T142" i="2" s="1"/>
  <c r="T143" i="2" s="1"/>
  <c r="T144" i="2" s="1"/>
  <c r="T145" i="2" s="1"/>
  <c r="T146" i="2" s="1"/>
  <c r="T147" i="2" s="1"/>
  <c r="T148" i="2" s="1"/>
  <c r="T149" i="2" s="1"/>
  <c r="T150" i="2" s="1"/>
  <c r="T151" i="2" s="1"/>
  <c r="T152" i="2" s="1"/>
  <c r="T153" i="2" s="1"/>
  <c r="T154" i="2" s="1"/>
  <c r="T155" i="2" s="1"/>
  <c r="T156" i="2" s="1"/>
  <c r="T157" i="2" s="1"/>
  <c r="T158" i="2" s="1"/>
  <c r="T159" i="2" s="1"/>
  <c r="T160" i="2" s="1"/>
  <c r="T161" i="2" s="1"/>
  <c r="T162" i="2" s="1"/>
  <c r="T163" i="2" s="1"/>
  <c r="T164" i="2" s="1"/>
  <c r="T165" i="2" s="1"/>
  <c r="T166" i="2" s="1"/>
  <c r="T167" i="2" s="1"/>
  <c r="T168" i="2" s="1"/>
  <c r="T169" i="2" s="1"/>
  <c r="T170" i="2" s="1"/>
  <c r="T171" i="2" s="1"/>
  <c r="X171" i="1"/>
  <c r="X172" i="1" s="1"/>
  <c r="X173" i="1" s="1"/>
  <c r="X174" i="1" s="1"/>
  <c r="X175" i="1" s="1"/>
  <c r="X176" i="1" s="1"/>
  <c r="X177" i="1" s="1"/>
  <c r="X178" i="1" s="1"/>
  <c r="X179" i="1" s="1"/>
  <c r="X180" i="1" s="1"/>
  <c r="X181" i="1" s="1"/>
  <c r="X182" i="1" s="1"/>
  <c r="X183" i="1" s="1"/>
  <c r="X184" i="1" s="1"/>
  <c r="X185" i="1" s="1"/>
  <c r="X186" i="1" s="1"/>
  <c r="X187" i="1" s="1"/>
  <c r="X188" i="1" s="1"/>
  <c r="X189" i="1" s="1"/>
  <c r="X190" i="1" s="1"/>
  <c r="X191" i="1" s="1"/>
  <c r="X192" i="1" s="1"/>
  <c r="X193" i="1" s="1"/>
  <c r="X194" i="1" s="1"/>
  <c r="X195" i="1" s="1"/>
  <c r="X196" i="1" s="1"/>
  <c r="X197" i="1" s="1"/>
  <c r="X198" i="1" s="1"/>
  <c r="X199" i="1" s="1"/>
  <c r="X200" i="1" s="1"/>
  <c r="X201" i="1" s="1"/>
  <c r="X202" i="1" s="1"/>
  <c r="X203" i="1" s="1"/>
  <c r="X204" i="1" s="1"/>
  <c r="X205" i="1" s="1"/>
  <c r="X206" i="1" s="1"/>
  <c r="X207" i="1" s="1"/>
  <c r="X208" i="1" s="1"/>
  <c r="X209" i="1" s="1"/>
  <c r="X210" i="1" s="1"/>
  <c r="X211" i="1" s="1"/>
  <c r="X212" i="1" s="1"/>
  <c r="X213" i="1" s="1"/>
  <c r="X214" i="1" s="1"/>
  <c r="X215" i="1" s="1"/>
  <c r="X216" i="1" s="1"/>
  <c r="X217" i="1" s="1"/>
  <c r="X218" i="1" s="1"/>
  <c r="X219" i="1" s="1"/>
  <c r="X220" i="1" s="1"/>
  <c r="X221" i="1" s="1"/>
  <c r="X222" i="1" s="1"/>
  <c r="X223" i="1" s="1"/>
  <c r="X224" i="1" s="1"/>
  <c r="X225" i="1" s="1"/>
  <c r="X226" i="1" s="1"/>
  <c r="X227" i="1" s="1"/>
  <c r="X228" i="1" s="1"/>
  <c r="X229" i="1" s="1"/>
  <c r="X230" i="1" s="1"/>
  <c r="X231" i="1" s="1"/>
  <c r="X232" i="1" s="1"/>
  <c r="X233" i="1" s="1"/>
  <c r="X234" i="1" s="1"/>
  <c r="X235" i="1" s="1"/>
  <c r="X236" i="1" s="1"/>
  <c r="X237" i="1" s="1"/>
  <c r="X238" i="1" s="1"/>
  <c r="X239" i="1" s="1"/>
  <c r="X240" i="1" s="1"/>
  <c r="X241" i="1" s="1"/>
  <c r="X242" i="1" s="1"/>
  <c r="X243" i="1" s="1"/>
  <c r="X244" i="1" s="1"/>
  <c r="X245" i="1" s="1"/>
  <c r="X246" i="1" s="1"/>
  <c r="X247" i="1" s="1"/>
  <c r="X248" i="1" s="1"/>
  <c r="X249" i="1" s="1"/>
  <c r="X250" i="1" s="1"/>
  <c r="X251" i="1" s="1"/>
  <c r="X252" i="1" s="1"/>
  <c r="X253" i="1" s="1"/>
  <c r="X254" i="1" s="1"/>
  <c r="X255" i="1" s="1"/>
  <c r="X256" i="1" s="1"/>
  <c r="X257" i="1" s="1"/>
  <c r="X258" i="1" s="1"/>
  <c r="X259" i="1" s="1"/>
  <c r="X260" i="1" s="1"/>
  <c r="X261" i="1" s="1"/>
  <c r="X262" i="1" s="1"/>
  <c r="X263" i="1" s="1"/>
  <c r="X264" i="1" s="1"/>
  <c r="X265" i="1" s="1"/>
  <c r="X266" i="1" s="1"/>
  <c r="X267" i="1" s="1"/>
  <c r="X268" i="1" s="1"/>
  <c r="X269" i="1" s="1"/>
  <c r="X270" i="1" s="1"/>
  <c r="X271" i="1" s="1"/>
  <c r="X272" i="1" s="1"/>
  <c r="X273" i="1" s="1"/>
  <c r="X274" i="1" s="1"/>
  <c r="X275" i="1" s="1"/>
  <c r="X276" i="1" s="1"/>
  <c r="X277" i="1" s="1"/>
  <c r="X278" i="1" s="1"/>
  <c r="X279" i="1" s="1"/>
  <c r="X280" i="1" s="1"/>
  <c r="X281" i="1" s="1"/>
  <c r="X282" i="1" s="1"/>
  <c r="X283" i="1" s="1"/>
  <c r="X284" i="1" s="1"/>
  <c r="X285" i="1" s="1"/>
  <c r="X286" i="1" s="1"/>
  <c r="X287" i="1" s="1"/>
  <c r="X288" i="1" s="1"/>
  <c r="X289" i="1" s="1"/>
  <c r="X290" i="1" s="1"/>
  <c r="X291" i="1" s="1"/>
  <c r="X292" i="1" s="1"/>
  <c r="X293" i="1" s="1"/>
  <c r="X294" i="1" s="1"/>
  <c r="X295" i="1" s="1"/>
  <c r="X296" i="1" s="1"/>
  <c r="X297" i="1" s="1"/>
  <c r="X298" i="1" s="1"/>
  <c r="X299" i="1" s="1"/>
  <c r="X300" i="1" s="1"/>
  <c r="X301" i="1" s="1"/>
  <c r="X302" i="1" s="1"/>
  <c r="X303" i="1" s="1"/>
  <c r="X304" i="1" s="1"/>
  <c r="X305" i="1" s="1"/>
  <c r="X306" i="1" s="1"/>
  <c r="X307" i="1" s="1"/>
  <c r="X308" i="1" s="1"/>
  <c r="X309" i="1" s="1"/>
  <c r="X310" i="1" s="1"/>
  <c r="X311" i="1" s="1"/>
  <c r="X312" i="1" s="1"/>
  <c r="X313" i="1" s="1"/>
  <c r="X314" i="1" s="1"/>
  <c r="X315" i="1" s="1"/>
  <c r="X316" i="1" s="1"/>
  <c r="X317" i="1" s="1"/>
  <c r="X318" i="1" s="1"/>
  <c r="X319" i="1" s="1"/>
  <c r="X320" i="1" s="1"/>
  <c r="X321" i="1" s="1"/>
  <c r="X322" i="1" s="1"/>
  <c r="X323" i="1" s="1"/>
  <c r="X324" i="1" s="1"/>
  <c r="X325" i="1" s="1"/>
  <c r="X326" i="1" s="1"/>
  <c r="X327" i="1" s="1"/>
  <c r="X328" i="1" s="1"/>
  <c r="X329" i="1" s="1"/>
  <c r="X330" i="1" s="1"/>
  <c r="X331" i="1" s="1"/>
  <c r="X332" i="1" s="1"/>
  <c r="X333" i="1" s="1"/>
  <c r="X334" i="1" s="1"/>
  <c r="X335" i="1" s="1"/>
  <c r="X336" i="1" s="1"/>
  <c r="X337" i="1" s="1"/>
  <c r="X338" i="1" s="1"/>
  <c r="X339" i="1" s="1"/>
  <c r="X340" i="1" s="1"/>
  <c r="X341" i="1" s="1"/>
  <c r="X342" i="1" s="1"/>
  <c r="X343" i="1" s="1"/>
  <c r="X344" i="1" s="1"/>
  <c r="X345" i="1" s="1"/>
  <c r="X346" i="1" s="1"/>
  <c r="X347" i="1" s="1"/>
  <c r="X348" i="1" s="1"/>
  <c r="X349" i="1" s="1"/>
  <c r="X350" i="1" s="1"/>
  <c r="X351" i="1" s="1"/>
  <c r="X352" i="1" s="1"/>
  <c r="X353" i="1" s="1"/>
  <c r="X354" i="1" s="1"/>
  <c r="W170" i="1"/>
  <c r="T47" i="1"/>
  <c r="T48" i="1" s="1"/>
  <c r="T49" i="1" s="1"/>
  <c r="T50" i="1" s="1"/>
  <c r="T51" i="1" s="1"/>
  <c r="T52" i="1" s="1"/>
  <c r="T53" i="1" s="1"/>
  <c r="T54" i="1" s="1"/>
  <c r="T55" i="1" s="1"/>
  <c r="T56" i="1" s="1"/>
  <c r="T57" i="1" s="1"/>
  <c r="T58" i="1" s="1"/>
  <c r="T59" i="1" s="1"/>
  <c r="T60" i="1" s="1"/>
  <c r="T61" i="1" s="1"/>
  <c r="T62" i="1" s="1"/>
  <c r="T63" i="1" s="1"/>
  <c r="T64" i="1" s="1"/>
  <c r="T65" i="1" s="1"/>
  <c r="T66" i="1" s="1"/>
  <c r="T67" i="1" s="1"/>
  <c r="T68" i="1" s="1"/>
  <c r="T69" i="1" s="1"/>
  <c r="T70" i="1" s="1"/>
  <c r="T71" i="1" s="1"/>
  <c r="T72" i="1" s="1"/>
  <c r="T73" i="1" s="1"/>
  <c r="T74" i="1" s="1"/>
  <c r="T75" i="1" s="1"/>
  <c r="T76" i="1" s="1"/>
  <c r="T77" i="1" s="1"/>
  <c r="T78" i="1" s="1"/>
  <c r="T79" i="1" s="1"/>
  <c r="T80" i="1" s="1"/>
  <c r="T81" i="1" s="1"/>
  <c r="T82" i="1" s="1"/>
  <c r="T83" i="1" s="1"/>
  <c r="T84" i="1" s="1"/>
  <c r="T85" i="1" s="1"/>
  <c r="T86" i="1" s="1"/>
  <c r="T87" i="1" s="1"/>
  <c r="T88" i="1" s="1"/>
  <c r="T89" i="1" s="1"/>
  <c r="T90" i="1" s="1"/>
  <c r="T91" i="1" s="1"/>
  <c r="T92" i="1" s="1"/>
  <c r="T93" i="1" s="1"/>
  <c r="T94" i="1" s="1"/>
  <c r="T95" i="1" s="1"/>
  <c r="T96" i="1" s="1"/>
  <c r="T97" i="1" s="1"/>
  <c r="T98" i="1" s="1"/>
  <c r="T99" i="1" s="1"/>
  <c r="T100" i="1" s="1"/>
  <c r="T101" i="1" s="1"/>
  <c r="T102" i="1" s="1"/>
  <c r="T103" i="1" s="1"/>
  <c r="T104" i="1" s="1"/>
  <c r="T105" i="1" s="1"/>
  <c r="T106" i="1" s="1"/>
  <c r="T107" i="1" s="1"/>
  <c r="T108" i="1" s="1"/>
  <c r="T109" i="1" s="1"/>
  <c r="T110" i="1" s="1"/>
  <c r="T111" i="1" s="1"/>
  <c r="T112" i="1" s="1"/>
  <c r="T113" i="1" s="1"/>
  <c r="T114" i="1" s="1"/>
  <c r="T115" i="1" s="1"/>
  <c r="T116" i="1" s="1"/>
  <c r="T117" i="1" s="1"/>
  <c r="T118" i="1" s="1"/>
  <c r="T119" i="1" s="1"/>
  <c r="T120" i="1" s="1"/>
  <c r="T121" i="1" s="1"/>
  <c r="T122" i="1" s="1"/>
  <c r="T123" i="1" s="1"/>
  <c r="T124" i="1" s="1"/>
  <c r="T125" i="1" s="1"/>
  <c r="T126" i="1" s="1"/>
  <c r="T127" i="1" s="1"/>
  <c r="T128" i="1" s="1"/>
  <c r="T129" i="1" s="1"/>
  <c r="T130" i="1" s="1"/>
  <c r="T131" i="1" s="1"/>
  <c r="T132" i="1" s="1"/>
  <c r="T133" i="1" s="1"/>
  <c r="T134" i="1" s="1"/>
  <c r="T135" i="1" s="1"/>
  <c r="T136" i="1" s="1"/>
  <c r="T137" i="1" s="1"/>
  <c r="T138" i="1" s="1"/>
  <c r="T139" i="1" s="1"/>
  <c r="T140" i="1" s="1"/>
  <c r="T141" i="1" s="1"/>
  <c r="T142" i="1" s="1"/>
  <c r="T143" i="1" s="1"/>
  <c r="T144" i="1" s="1"/>
  <c r="T145" i="1" s="1"/>
  <c r="T146" i="1" s="1"/>
  <c r="T147" i="1" s="1"/>
  <c r="T148" i="1" s="1"/>
  <c r="T149" i="1" s="1"/>
  <c r="T150" i="1" s="1"/>
  <c r="T151" i="1" s="1"/>
  <c r="T152" i="1" s="1"/>
  <c r="T153" i="1" s="1"/>
  <c r="T154" i="1" s="1"/>
  <c r="T155" i="1" s="1"/>
  <c r="T156" i="1" s="1"/>
  <c r="T157" i="1" s="1"/>
  <c r="T158" i="1" s="1"/>
  <c r="T159" i="1" s="1"/>
  <c r="T160" i="1" s="1"/>
  <c r="T161" i="1" s="1"/>
  <c r="T162" i="1" s="1"/>
  <c r="T163" i="1" s="1"/>
  <c r="T164" i="1" s="1"/>
  <c r="T165" i="1" s="1"/>
  <c r="T166" i="1" s="1"/>
  <c r="T167" i="1" s="1"/>
  <c r="T168" i="1" s="1"/>
  <c r="T169" i="1" s="1"/>
  <c r="T170" i="1" s="1"/>
  <c r="T171" i="1" s="1"/>
  <c r="U50" i="2" l="1"/>
  <c r="U52" i="2"/>
  <c r="U182" i="2"/>
  <c r="T172" i="2"/>
  <c r="T173" i="2" s="1"/>
  <c r="T174" i="2" s="1"/>
  <c r="T175" i="2" s="1"/>
  <c r="T176" i="2" s="1"/>
  <c r="T177" i="2" s="1"/>
  <c r="T178" i="2" s="1"/>
  <c r="T179" i="2" s="1"/>
  <c r="T180" i="2" s="1"/>
  <c r="T181" i="2" s="1"/>
  <c r="T182" i="2" s="1"/>
  <c r="T183" i="2" s="1"/>
  <c r="T184" i="2" s="1"/>
  <c r="T185" i="2" s="1"/>
  <c r="T186" i="2" s="1"/>
  <c r="T187" i="2" s="1"/>
  <c r="T188" i="2" s="1"/>
  <c r="T189" i="2" s="1"/>
  <c r="T190" i="2" s="1"/>
  <c r="T191" i="2" s="1"/>
  <c r="T192" i="2" s="1"/>
  <c r="T193" i="2" s="1"/>
  <c r="T194" i="2" s="1"/>
  <c r="T195" i="2" s="1"/>
  <c r="T196" i="2" s="1"/>
  <c r="T197" i="2" s="1"/>
  <c r="T198" i="2" s="1"/>
  <c r="T199" i="2" s="1"/>
  <c r="T200" i="2" s="1"/>
  <c r="T201" i="2" s="1"/>
  <c r="T202" i="2" s="1"/>
  <c r="T203" i="2" s="1"/>
  <c r="T204" i="2" s="1"/>
  <c r="T205" i="2" s="1"/>
  <c r="T206" i="2" s="1"/>
  <c r="T207" i="2" s="1"/>
  <c r="T208" i="2" s="1"/>
  <c r="T209" i="2" s="1"/>
  <c r="T210" i="2" s="1"/>
  <c r="T211" i="2" s="1"/>
  <c r="T212" i="2" s="1"/>
  <c r="T213" i="2" s="1"/>
  <c r="T214" i="2" s="1"/>
  <c r="T215" i="2" s="1"/>
  <c r="T216" i="2" s="1"/>
  <c r="T217" i="2" s="1"/>
  <c r="T218" i="2" s="1"/>
  <c r="T219" i="2" s="1"/>
  <c r="T220" i="2" s="1"/>
  <c r="T221" i="2" s="1"/>
  <c r="U180" i="2"/>
  <c r="U178" i="2"/>
  <c r="U52" i="1"/>
  <c r="U50" i="1"/>
  <c r="T172" i="1"/>
  <c r="T173" i="1" s="1"/>
  <c r="T174" i="1" s="1"/>
  <c r="T175" i="1" s="1"/>
  <c r="T176" i="1" s="1"/>
  <c r="T177" i="1" s="1"/>
  <c r="T178" i="1" s="1"/>
  <c r="T179" i="1" s="1"/>
  <c r="T180" i="1" s="1"/>
  <c r="T181" i="1" s="1"/>
  <c r="T182" i="1" s="1"/>
  <c r="T183" i="1" s="1"/>
  <c r="T184" i="1" s="1"/>
  <c r="T185" i="1" s="1"/>
  <c r="T186" i="1" s="1"/>
  <c r="T187" i="1" s="1"/>
  <c r="T188" i="1" s="1"/>
  <c r="T189" i="1" s="1"/>
  <c r="T190" i="1" s="1"/>
  <c r="T191" i="1" s="1"/>
  <c r="T192" i="1" s="1"/>
  <c r="T193" i="1" s="1"/>
  <c r="T194" i="1" s="1"/>
  <c r="T195" i="1" s="1"/>
  <c r="T196" i="1" s="1"/>
  <c r="T197" i="1" s="1"/>
  <c r="T198" i="1" s="1"/>
  <c r="T199" i="1" s="1"/>
  <c r="T200" i="1" s="1"/>
  <c r="T201" i="1" s="1"/>
  <c r="T202" i="1" s="1"/>
  <c r="T203" i="1" s="1"/>
  <c r="T204" i="1" s="1"/>
  <c r="T205" i="1" s="1"/>
  <c r="T206" i="1" s="1"/>
  <c r="T207" i="1" s="1"/>
  <c r="T208" i="1" s="1"/>
  <c r="T209" i="1" s="1"/>
  <c r="T210" i="1" s="1"/>
  <c r="T211" i="1" s="1"/>
  <c r="T212" i="1" s="1"/>
  <c r="T213" i="1" s="1"/>
  <c r="T214" i="1" s="1"/>
  <c r="T215" i="1" s="1"/>
  <c r="T216" i="1" s="1"/>
  <c r="T217" i="1" s="1"/>
  <c r="T218" i="1" s="1"/>
  <c r="T219" i="1" s="1"/>
  <c r="T220" i="1" s="1"/>
  <c r="T221" i="1" s="1"/>
  <c r="T222" i="2" l="1"/>
  <c r="T223" i="2" s="1"/>
  <c r="T224" i="2" s="1"/>
  <c r="T225" i="2" s="1"/>
  <c r="T226" i="2" s="1"/>
  <c r="T227" i="2" s="1"/>
  <c r="T228" i="2" s="1"/>
  <c r="T229" i="2" s="1"/>
  <c r="T230" i="2" s="1"/>
  <c r="T231" i="2" s="1"/>
  <c r="T232" i="2" s="1"/>
  <c r="T233" i="2" s="1"/>
  <c r="T234" i="2" s="1"/>
  <c r="T235" i="2" s="1"/>
  <c r="T236" i="2" s="1"/>
  <c r="T237" i="2" s="1"/>
  <c r="T238" i="2" s="1"/>
  <c r="T239" i="2" s="1"/>
  <c r="T240" i="2" s="1"/>
  <c r="T241" i="2" s="1"/>
  <c r="T242" i="2" s="1"/>
  <c r="T243" i="2" s="1"/>
  <c r="T244" i="2" s="1"/>
  <c r="T245" i="2" s="1"/>
  <c r="T246" i="2" s="1"/>
  <c r="T247" i="2" s="1"/>
  <c r="T222" i="1"/>
  <c r="T223" i="1" s="1"/>
  <c r="T224" i="1" s="1"/>
  <c r="T225" i="1" s="1"/>
  <c r="T226" i="1" s="1"/>
  <c r="T227" i="1" s="1"/>
  <c r="T228" i="1" s="1"/>
  <c r="T229" i="1" s="1"/>
  <c r="T230" i="1" s="1"/>
  <c r="T231" i="1" s="1"/>
  <c r="T232" i="1" s="1"/>
  <c r="T233" i="1" s="1"/>
  <c r="T234" i="1" s="1"/>
  <c r="T235" i="1" s="1"/>
  <c r="T236" i="1" s="1"/>
  <c r="T237" i="1" s="1"/>
  <c r="T238" i="1" s="1"/>
  <c r="T239" i="1" s="1"/>
  <c r="T240" i="1" s="1"/>
  <c r="T241" i="1" s="1"/>
  <c r="T242" i="1" s="1"/>
  <c r="T243" i="1" s="1"/>
  <c r="T244" i="1" s="1"/>
  <c r="T245" i="1" s="1"/>
  <c r="T246" i="1" s="1"/>
  <c r="T247" i="1" s="1"/>
  <c r="T248" i="1" s="1"/>
  <c r="U180" i="1"/>
  <c r="U178" i="1"/>
  <c r="U182" i="1"/>
  <c r="T248" i="2" l="1"/>
  <c r="T249" i="2"/>
  <c r="T250" i="2" s="1"/>
  <c r="T251" i="2" s="1"/>
  <c r="T252" i="2" s="1"/>
  <c r="T253" i="2" s="1"/>
  <c r="T254" i="2" s="1"/>
  <c r="T255" i="2" s="1"/>
  <c r="T256" i="2" s="1"/>
  <c r="T257" i="2" s="1"/>
  <c r="T258" i="2" s="1"/>
  <c r="T259" i="2" s="1"/>
  <c r="T260" i="2" s="1"/>
  <c r="T261" i="2" s="1"/>
  <c r="T262" i="2" s="1"/>
  <c r="T263" i="2" s="1"/>
  <c r="T264" i="2" s="1"/>
  <c r="T265" i="2" s="1"/>
  <c r="T266" i="2" s="1"/>
  <c r="T267" i="2" s="1"/>
  <c r="T268" i="2" s="1"/>
  <c r="T269" i="2" s="1"/>
  <c r="T249" i="1"/>
  <c r="T250" i="1" s="1"/>
  <c r="T251" i="1" s="1"/>
  <c r="T252" i="1" s="1"/>
  <c r="T253" i="1" s="1"/>
  <c r="T254" i="1" s="1"/>
  <c r="T255" i="1" s="1"/>
  <c r="T256" i="1" s="1"/>
  <c r="T257" i="1" s="1"/>
  <c r="T258" i="1" s="1"/>
  <c r="T259" i="1" s="1"/>
  <c r="T260" i="1" s="1"/>
  <c r="T261" i="1" s="1"/>
  <c r="T262" i="1" s="1"/>
  <c r="T263" i="1" s="1"/>
  <c r="T264" i="1" s="1"/>
  <c r="T265" i="1" s="1"/>
  <c r="T266" i="1" s="1"/>
  <c r="T267" i="1" s="1"/>
  <c r="T268" i="1" s="1"/>
  <c r="T269" i="1" s="1"/>
  <c r="U232" i="1"/>
  <c r="U230" i="1"/>
  <c r="U228" i="1"/>
  <c r="U252" i="2" l="1"/>
  <c r="U254" i="2"/>
  <c r="U256" i="2"/>
  <c r="T270" i="2"/>
  <c r="T271" i="2" s="1"/>
  <c r="T272" i="2" s="1"/>
  <c r="T273" i="2" s="1"/>
  <c r="T274" i="2" s="1"/>
  <c r="T275" i="2" s="1"/>
  <c r="T276" i="2" s="1"/>
  <c r="T277" i="2" s="1"/>
  <c r="T278" i="2" s="1"/>
  <c r="T279" i="2" s="1"/>
  <c r="T280" i="2" s="1"/>
  <c r="T281" i="2" s="1"/>
  <c r="T282" i="2" s="1"/>
  <c r="T283" i="2" s="1"/>
  <c r="T284" i="2" s="1"/>
  <c r="T285" i="2" s="1"/>
  <c r="T286" i="2" s="1"/>
  <c r="T287" i="2" s="1"/>
  <c r="T288" i="2" s="1"/>
  <c r="T289" i="2" s="1"/>
  <c r="T290" i="2" s="1"/>
  <c r="T291" i="2" s="1"/>
  <c r="T292" i="2" s="1"/>
  <c r="T293" i="2" s="1"/>
  <c r="T294" i="2" s="1"/>
  <c r="T295" i="2" s="1"/>
  <c r="T296" i="2" s="1"/>
  <c r="U257" i="1"/>
  <c r="U259" i="1"/>
  <c r="T270" i="1"/>
  <c r="T271" i="1" s="1"/>
  <c r="T272" i="1" s="1"/>
  <c r="T273" i="1" s="1"/>
  <c r="T274" i="1" s="1"/>
  <c r="T275" i="1" s="1"/>
  <c r="T276" i="1" s="1"/>
  <c r="T277" i="1" s="1"/>
  <c r="T278" i="1" s="1"/>
  <c r="T279" i="1" s="1"/>
  <c r="T280" i="1" s="1"/>
  <c r="T281" i="1" s="1"/>
  <c r="T282" i="1" s="1"/>
  <c r="T283" i="1" s="1"/>
  <c r="T284" i="1" s="1"/>
  <c r="T285" i="1" s="1"/>
  <c r="T286" i="1" s="1"/>
  <c r="T287" i="1" s="1"/>
  <c r="T288" i="1" s="1"/>
  <c r="T289" i="1" s="1"/>
  <c r="T290" i="1" s="1"/>
  <c r="T291" i="1" s="1"/>
  <c r="T292" i="1" s="1"/>
  <c r="T293" i="1" s="1"/>
  <c r="T294" i="1" s="1"/>
  <c r="T295" i="1" s="1"/>
  <c r="T296" i="1" s="1"/>
  <c r="U255" i="1"/>
  <c r="T297" i="2" l="1"/>
  <c r="T298" i="2" s="1"/>
  <c r="T299" i="2" s="1"/>
  <c r="T300" i="2" s="1"/>
  <c r="T301" i="2" s="1"/>
  <c r="T302" i="2" s="1"/>
  <c r="T303" i="2" s="1"/>
  <c r="T304" i="2" s="1"/>
  <c r="T305" i="2" s="1"/>
  <c r="T306" i="2" s="1"/>
  <c r="T307" i="2" s="1"/>
  <c r="T308" i="2" s="1"/>
  <c r="T309" i="2" s="1"/>
  <c r="T310" i="2" s="1"/>
  <c r="T311" i="2" s="1"/>
  <c r="T312" i="2" s="1"/>
  <c r="T313" i="2" s="1"/>
  <c r="T314" i="2" s="1"/>
  <c r="T315" i="2" s="1"/>
  <c r="T316" i="2" s="1"/>
  <c r="T317" i="2" s="1"/>
  <c r="T318" i="2" s="1"/>
  <c r="T319" i="2" s="1"/>
  <c r="T320" i="2" s="1"/>
  <c r="T297" i="1"/>
  <c r="T298" i="1" s="1"/>
  <c r="T299" i="1" s="1"/>
  <c r="T300" i="1" s="1"/>
  <c r="T301" i="1" s="1"/>
  <c r="T302" i="1" s="1"/>
  <c r="T303" i="1" s="1"/>
  <c r="T304" i="1" s="1"/>
  <c r="T305" i="1" s="1"/>
  <c r="T306" i="1" s="1"/>
  <c r="T307" i="1" s="1"/>
  <c r="T308" i="1" s="1"/>
  <c r="T309" i="1" s="1"/>
  <c r="T310" i="1" s="1"/>
  <c r="T311" i="1" s="1"/>
  <c r="T312" i="1" s="1"/>
  <c r="T313" i="1" s="1"/>
  <c r="T314" i="1" s="1"/>
  <c r="T315" i="1" s="1"/>
  <c r="T316" i="1" s="1"/>
  <c r="T317" i="1" s="1"/>
  <c r="T318" i="1" s="1"/>
  <c r="T319" i="1" s="1"/>
  <c r="T320" i="1" s="1"/>
  <c r="U278" i="1"/>
  <c r="U276" i="1"/>
  <c r="U280" i="1"/>
  <c r="T321" i="2" l="1"/>
  <c r="T322" i="2" s="1"/>
  <c r="T323" i="2" s="1"/>
  <c r="T324" i="2" s="1"/>
  <c r="T325" i="2" s="1"/>
  <c r="T326" i="2" s="1"/>
  <c r="T327" i="2" s="1"/>
  <c r="T328" i="2" s="1"/>
  <c r="T329" i="2" s="1"/>
  <c r="T330" i="2" s="1"/>
  <c r="T331" i="2" s="1"/>
  <c r="T332" i="2" s="1"/>
  <c r="T333" i="2" s="1"/>
  <c r="T334" i="2" s="1"/>
  <c r="T335" i="2" s="1"/>
  <c r="T336" i="2" s="1"/>
  <c r="T337" i="2" s="1"/>
  <c r="T338" i="2" s="1"/>
  <c r="T339" i="2" s="1"/>
  <c r="T340" i="2" s="1"/>
  <c r="T341" i="2" s="1"/>
  <c r="T342" i="2" s="1"/>
  <c r="T343" i="2" s="1"/>
  <c r="T344" i="2" s="1"/>
  <c r="T345" i="2" s="1"/>
  <c r="T346" i="2" s="1"/>
  <c r="T347" i="2" s="1"/>
  <c r="T348" i="2" s="1"/>
  <c r="T349" i="2" s="1"/>
  <c r="T350" i="2" s="1"/>
  <c r="T351" i="2" s="1"/>
  <c r="T352" i="2" s="1"/>
  <c r="T353" i="2" s="1"/>
  <c r="T354" i="2" s="1"/>
  <c r="U305" i="2"/>
  <c r="U303" i="2"/>
  <c r="U307" i="1"/>
  <c r="U303" i="1"/>
  <c r="U305" i="1"/>
  <c r="T321" i="1"/>
  <c r="T322" i="1" s="1"/>
  <c r="T323" i="1" s="1"/>
  <c r="T324" i="1" s="1"/>
  <c r="T325" i="1" s="1"/>
  <c r="T326" i="1" s="1"/>
  <c r="T327" i="1" s="1"/>
  <c r="T328" i="1" s="1"/>
  <c r="T329" i="1" s="1"/>
  <c r="T330" i="1" s="1"/>
  <c r="T331" i="1" s="1"/>
  <c r="T332" i="1" s="1"/>
  <c r="T333" i="1" s="1"/>
  <c r="T334" i="1" s="1"/>
  <c r="T335" i="1" s="1"/>
  <c r="T336" i="1" s="1"/>
  <c r="T337" i="1" s="1"/>
  <c r="T338" i="1" s="1"/>
  <c r="T339" i="1" s="1"/>
  <c r="T340" i="1" s="1"/>
  <c r="T341" i="1" s="1"/>
  <c r="T342" i="1" s="1"/>
  <c r="T343" i="1" s="1"/>
  <c r="T344" i="1" s="1"/>
  <c r="T345" i="1" s="1"/>
  <c r="T346" i="1" s="1"/>
  <c r="T347" i="1" s="1"/>
  <c r="T348" i="1" s="1"/>
  <c r="T349" i="1" s="1"/>
  <c r="T350" i="1" s="1"/>
  <c r="T351" i="1" s="1"/>
  <c r="T352" i="1" s="1"/>
  <c r="T353" i="1" s="1"/>
  <c r="T354" i="1" s="1"/>
  <c r="U331" i="1" l="1"/>
</calcChain>
</file>

<file path=xl/sharedStrings.xml><?xml version="1.0" encoding="utf-8"?>
<sst xmlns="http://schemas.openxmlformats.org/spreadsheetml/2006/main" count="325" uniqueCount="64">
  <si>
    <t>SEMIS INRA13</t>
  </si>
  <si>
    <t>AUTOMNE</t>
  </si>
  <si>
    <t>Tmin</t>
  </si>
  <si>
    <t>nbj_sec</t>
  </si>
  <si>
    <t>crg</t>
  </si>
  <si>
    <t>Tmax</t>
  </si>
  <si>
    <t>nbj_water_deficit</t>
  </si>
  <si>
    <t>qpt_p</t>
  </si>
  <si>
    <t>Tmoy</t>
  </si>
  <si>
    <t>nbj_stress_hydro</t>
  </si>
  <si>
    <t>nbj_radinf_900</t>
  </si>
  <si>
    <t>nbj_tgel</t>
  </si>
  <si>
    <t>water_soil_content_min</t>
  </si>
  <si>
    <t>nbj_tsup25</t>
  </si>
  <si>
    <t>water_soil_content_max</t>
  </si>
  <si>
    <t>nbj_tinf5</t>
  </si>
  <si>
    <t>water_soil_content_moy</t>
  </si>
  <si>
    <t>gdd_p</t>
  </si>
  <si>
    <t>HIVER</t>
  </si>
  <si>
    <t>nbj_vern_opti</t>
  </si>
  <si>
    <t>4'</t>
  </si>
  <si>
    <t>5'</t>
  </si>
  <si>
    <t>6'</t>
  </si>
  <si>
    <t>MONTAISON</t>
  </si>
  <si>
    <t>7'</t>
  </si>
  <si>
    <t>8'</t>
  </si>
  <si>
    <t>9'</t>
  </si>
  <si>
    <t>10'</t>
  </si>
  <si>
    <t>Montego</t>
  </si>
  <si>
    <t>Aviso</t>
  </si>
  <si>
    <t>fin flo</t>
  </si>
  <si>
    <t>RECOLTE INRA13</t>
  </si>
  <si>
    <t>TEMPERATURE</t>
  </si>
  <si>
    <t>ETAT HYDRIQUE</t>
  </si>
  <si>
    <t>RAYONNEMENT</t>
  </si>
  <si>
    <t>BILAN HYDRIQUE</t>
  </si>
  <si>
    <t>Période</t>
  </si>
  <si>
    <t>DATE</t>
  </si>
  <si>
    <t>T_Q</t>
  </si>
  <si>
    <t>TINF_H_Q</t>
  </si>
  <si>
    <t>TSUP_H_Q</t>
  </si>
  <si>
    <t>GDD base 0°</t>
  </si>
  <si>
    <t>VAR</t>
  </si>
  <si>
    <t>PRELIQ_Q</t>
  </si>
  <si>
    <t>Cumul_P</t>
  </si>
  <si>
    <t>ETP_Q</t>
  </si>
  <si>
    <t>Cumul_ETP</t>
  </si>
  <si>
    <t>P-ETP</t>
  </si>
  <si>
    <t>ETAT RU_1</t>
  </si>
  <si>
    <t>i</t>
  </si>
  <si>
    <t>kc</t>
  </si>
  <si>
    <t>ETM</t>
  </si>
  <si>
    <t>P-ETM</t>
  </si>
  <si>
    <t>WSC</t>
  </si>
  <si>
    <t>SSI_Q</t>
  </si>
  <si>
    <t>QPT_Q</t>
  </si>
  <si>
    <t>Cumul RG</t>
  </si>
  <si>
    <t>Photoperiode</t>
  </si>
  <si>
    <t>N40</t>
  </si>
  <si>
    <t>WSC_I</t>
  </si>
  <si>
    <t>BI</t>
  </si>
  <si>
    <t>DRF</t>
  </si>
  <si>
    <t>TS</t>
  </si>
  <si>
    <t>IRF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</si>
</sst>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
  </numFmts>
  <fonts count="11" x14ac:knownFonts="1">
    <font>
      <sz val="11"/>
      <color theme="1"/>
      <name val="Calibri"/>
      <family val="2"/>
      <scheme val="minor"/>
    </font>
    <font>
      <b/>
      <sz val="11"/>
      <color theme="1"/>
      <name val="Calibri"/>
      <family val="2"/>
      <scheme val="minor"/>
    </font>
    <font>
      <sz val="11"/>
      <color theme="1"/>
      <name val="Calibri"/>
      <family val="2"/>
    </font>
    <font>
      <b/>
      <i/>
      <u/>
      <sz val="11"/>
      <color rgb="FF000000"/>
      <name val="Calibri"/>
      <family val="2"/>
    </font>
    <font>
      <b/>
      <sz val="11"/>
      <color rgb="FF000000"/>
      <name val="Calibri"/>
      <family val="2"/>
    </font>
    <font>
      <b/>
      <sz val="11"/>
      <color rgb="FFFF0000"/>
      <name val="Calibri"/>
      <family val="2"/>
    </font>
    <font>
      <b/>
      <sz val="11"/>
      <name val="Calibri"/>
      <family val="2"/>
    </font>
    <font>
      <sz val="11"/>
      <color rgb="FFFF0000"/>
      <name val="Calibri"/>
      <family val="2"/>
    </font>
    <font>
      <b/>
      <i/>
      <u/>
      <sz val="11"/>
      <color rgb="FFFFC000"/>
      <name val="Calibri"/>
      <family val="2"/>
    </font>
    <font>
      <sz val="11"/>
      <name val="Calibri"/>
      <family val="2"/>
    </font>
    <font>
      <b/>
      <sz val="11"/>
      <color theme="1"/>
      <name val="Calibri"/>
      <family val="2"/>
    </font>
  </fonts>
  <fills count="17">
    <fill>
      <patternFill patternType="none"/>
    </fill>
    <fill>
      <patternFill patternType="gray125"/>
    </fill>
    <fill>
      <patternFill patternType="lightUp">
        <fgColor rgb="FF000000"/>
        <bgColor rgb="FFFFFFFF"/>
      </patternFill>
    </fill>
    <fill>
      <patternFill patternType="solid">
        <fgColor rgb="FF00B050"/>
        <bgColor rgb="FF000000"/>
      </patternFill>
    </fill>
    <fill>
      <patternFill patternType="solid">
        <fgColor rgb="FFFDE9D9"/>
        <bgColor rgb="FF000000"/>
      </patternFill>
    </fill>
    <fill>
      <patternFill patternType="solid">
        <fgColor rgb="FFDDD9C4"/>
        <bgColor rgb="FF000000"/>
      </patternFill>
    </fill>
    <fill>
      <patternFill patternType="lightGray">
        <fgColor rgb="FF000000"/>
        <bgColor rgb="FFFFFFFF"/>
      </patternFill>
    </fill>
    <fill>
      <patternFill patternType="solid">
        <fgColor rgb="FF0070C0"/>
        <bgColor rgb="FF000000"/>
      </patternFill>
    </fill>
    <fill>
      <patternFill patternType="solid">
        <fgColor rgb="FF92D050"/>
        <bgColor rgb="FF000000"/>
      </patternFill>
    </fill>
    <fill>
      <patternFill patternType="solid">
        <fgColor rgb="FFFFFF00"/>
        <bgColor rgb="FF000000"/>
      </patternFill>
    </fill>
    <fill>
      <patternFill patternType="solid">
        <fgColor rgb="FFFFC000"/>
        <bgColor rgb="FF000000"/>
      </patternFill>
    </fill>
    <fill>
      <patternFill patternType="solid">
        <fgColor rgb="FFE26B0A"/>
        <bgColor rgb="FF000000"/>
      </patternFill>
    </fill>
    <fill>
      <patternFill patternType="solid">
        <fgColor rgb="FFFF0000"/>
        <bgColor rgb="FF000000"/>
      </patternFill>
    </fill>
    <fill>
      <patternFill patternType="solid">
        <fgColor rgb="FFC00000"/>
        <bgColor rgb="FF000000"/>
      </patternFill>
    </fill>
    <fill>
      <patternFill patternType="solid">
        <fgColor theme="3"/>
        <bgColor indexed="64"/>
      </patternFill>
    </fill>
    <fill>
      <patternFill patternType="solid">
        <fgColor theme="3"/>
        <bgColor rgb="FF000000"/>
      </patternFill>
    </fill>
    <fill>
      <patternFill patternType="solid">
        <fgColor theme="2" tint="-9.9978637043366805E-2"/>
        <bgColor indexed="64"/>
      </patternFill>
    </fill>
  </fills>
  <borders count="2">
    <border>
      <left/>
      <right/>
      <top/>
      <bottom/>
      <diagonal/>
    </border>
    <border>
      <left/>
      <right/>
      <top/>
      <bottom style="medium">
        <color indexed="64"/>
      </bottom>
      <diagonal/>
    </border>
  </borders>
  <cellStyleXfs count="1">
    <xf numFmtId="0" fontId="0" fillId="0" borderId="0"/>
  </cellStyleXfs>
  <cellXfs count="89">
    <xf numFmtId="0" fontId="0" fillId="0" borderId="0" xfId="0"/>
    <xf numFmtId="0" fontId="0" fillId="0" borderId="0" xfId="0" applyFill="1" applyAlignment="1"/>
    <xf numFmtId="0" fontId="0" fillId="0" borderId="0" xfId="0" applyFill="1"/>
    <xf numFmtId="0" fontId="2" fillId="0" borderId="0" xfId="0" applyFont="1" applyFill="1" applyBorder="1"/>
    <xf numFmtId="0" fontId="2" fillId="0" borderId="0" xfId="0" applyFont="1" applyFill="1" applyBorder="1" applyAlignment="1"/>
    <xf numFmtId="14" fontId="2" fillId="0" borderId="0" xfId="0" applyNumberFormat="1" applyFont="1" applyFill="1" applyBorder="1"/>
    <xf numFmtId="0" fontId="2" fillId="2" borderId="0" xfId="0" applyFont="1" applyFill="1" applyBorder="1"/>
    <xf numFmtId="164" fontId="2" fillId="0" borderId="0" xfId="0" applyNumberFormat="1" applyFont="1" applyFill="1" applyBorder="1"/>
    <xf numFmtId="0" fontId="4" fillId="0" borderId="0" xfId="0" applyFont="1" applyFill="1" applyBorder="1" applyAlignment="1">
      <alignment horizontal="center" vertical="center"/>
    </xf>
    <xf numFmtId="14" fontId="2" fillId="4" borderId="0" xfId="0" applyNumberFormat="1" applyFont="1" applyFill="1" applyBorder="1"/>
    <xf numFmtId="0" fontId="4" fillId="4" borderId="0" xfId="0" applyFont="1" applyFill="1" applyBorder="1"/>
    <xf numFmtId="0" fontId="2" fillId="5" borderId="0" xfId="0" applyFont="1" applyFill="1" applyBorder="1"/>
    <xf numFmtId="0" fontId="4" fillId="6" borderId="0" xfId="0" applyFont="1" applyFill="1" applyBorder="1" applyAlignment="1">
      <alignment horizontal="center" vertical="center"/>
    </xf>
    <xf numFmtId="0" fontId="5" fillId="0" borderId="0" xfId="0" applyFont="1" applyFill="1" applyBorder="1"/>
    <xf numFmtId="14" fontId="2" fillId="7" borderId="0" xfId="0" applyNumberFormat="1" applyFont="1" applyFill="1" applyBorder="1"/>
    <xf numFmtId="0" fontId="4" fillId="7" borderId="0" xfId="0" applyFont="1" applyFill="1" applyBorder="1"/>
    <xf numFmtId="0" fontId="5" fillId="0" borderId="0" xfId="0" applyFont="1" applyFill="1" applyBorder="1" applyAlignment="1">
      <alignment horizontal="center" vertical="center"/>
    </xf>
    <xf numFmtId="0" fontId="4" fillId="8" borderId="0" xfId="0" applyFont="1" applyFill="1" applyBorder="1" applyAlignment="1">
      <alignment vertical="center" textRotation="255"/>
    </xf>
    <xf numFmtId="14" fontId="2" fillId="8" borderId="0" xfId="0" applyNumberFormat="1" applyFont="1" applyFill="1" applyBorder="1"/>
    <xf numFmtId="0" fontId="4" fillId="8" borderId="0" xfId="0" applyFont="1" applyFill="1" applyBorder="1"/>
    <xf numFmtId="2" fontId="2" fillId="0" borderId="0" xfId="0" applyNumberFormat="1" applyFont="1" applyFill="1" applyBorder="1"/>
    <xf numFmtId="0" fontId="2" fillId="9" borderId="0" xfId="0" applyFont="1" applyFill="1" applyBorder="1"/>
    <xf numFmtId="0" fontId="4" fillId="0" borderId="0" xfId="0" applyFont="1" applyFill="1" applyBorder="1"/>
    <xf numFmtId="0" fontId="4" fillId="9" borderId="0" xfId="0" applyFont="1" applyFill="1" applyBorder="1" applyAlignment="1">
      <alignment vertical="center"/>
    </xf>
    <xf numFmtId="14" fontId="2" fillId="9" borderId="0" xfId="0" applyNumberFormat="1" applyFont="1" applyFill="1" applyBorder="1"/>
    <xf numFmtId="0" fontId="4" fillId="9" borderId="0" xfId="0" applyFont="1" applyFill="1" applyBorder="1"/>
    <xf numFmtId="0" fontId="4" fillId="9" borderId="0" xfId="0" applyFont="1" applyFill="1" applyBorder="1" applyAlignment="1">
      <alignment horizontal="center" vertical="center"/>
    </xf>
    <xf numFmtId="0" fontId="4" fillId="10" borderId="0" xfId="0" applyFont="1" applyFill="1" applyBorder="1" applyAlignment="1">
      <alignment vertical="center" textRotation="255"/>
    </xf>
    <xf numFmtId="14" fontId="2" fillId="10" borderId="0" xfId="0" applyNumberFormat="1" applyFont="1" applyFill="1" applyBorder="1"/>
    <xf numFmtId="0" fontId="4" fillId="10" borderId="0" xfId="0" applyFont="1" applyFill="1" applyBorder="1"/>
    <xf numFmtId="0" fontId="4" fillId="11" borderId="0" xfId="0" applyFont="1" applyFill="1" applyBorder="1" applyAlignment="1">
      <alignment vertical="center" textRotation="255"/>
    </xf>
    <xf numFmtId="14" fontId="2" fillId="11" borderId="0" xfId="0" applyNumberFormat="1" applyFont="1" applyFill="1" applyBorder="1"/>
    <xf numFmtId="0" fontId="4" fillId="11" borderId="0" xfId="0" applyFont="1" applyFill="1" applyBorder="1"/>
    <xf numFmtId="0" fontId="4" fillId="12" borderId="0" xfId="0" applyFont="1" applyFill="1" applyBorder="1" applyAlignment="1">
      <alignment vertical="center" textRotation="255"/>
    </xf>
    <xf numFmtId="14" fontId="2" fillId="12" borderId="0" xfId="0" applyNumberFormat="1" applyFont="1" applyFill="1" applyBorder="1"/>
    <xf numFmtId="0" fontId="4" fillId="12" borderId="0" xfId="0" applyFont="1" applyFill="1" applyBorder="1"/>
    <xf numFmtId="0" fontId="2" fillId="0" borderId="0" xfId="0" applyFont="1" applyFill="1" applyBorder="1" applyAlignment="1">
      <alignment horizontal="center" vertical="center" wrapText="1"/>
    </xf>
    <xf numFmtId="0" fontId="2" fillId="0" borderId="0" xfId="0" applyFont="1" applyFill="1" applyBorder="1" applyAlignment="1">
      <alignment vertical="center" wrapText="1"/>
    </xf>
    <xf numFmtId="14" fontId="7" fillId="0" borderId="0" xfId="0" applyNumberFormat="1" applyFont="1" applyFill="1" applyBorder="1"/>
    <xf numFmtId="0" fontId="1" fillId="0" borderId="0" xfId="0" applyFont="1" applyAlignment="1">
      <alignment horizontal="center" vertical="center"/>
    </xf>
    <xf numFmtId="0" fontId="0" fillId="0" borderId="0" xfId="0" applyAlignment="1">
      <alignment horizontal="center" vertical="center"/>
    </xf>
    <xf numFmtId="0" fontId="6" fillId="8" borderId="1" xfId="0" applyFont="1" applyFill="1" applyBorder="1" applyAlignment="1">
      <alignment vertical="center" textRotation="255"/>
    </xf>
    <xf numFmtId="0" fontId="6" fillId="0" borderId="1" xfId="0" applyFont="1" applyFill="1" applyBorder="1" applyAlignment="1">
      <alignment horizontal="center" vertical="center"/>
    </xf>
    <xf numFmtId="14" fontId="6" fillId="8" borderId="1" xfId="0" applyNumberFormat="1" applyFont="1" applyFill="1" applyBorder="1"/>
    <xf numFmtId="0" fontId="6" fillId="0" borderId="1" xfId="0" applyFont="1" applyFill="1" applyBorder="1"/>
    <xf numFmtId="2" fontId="6" fillId="0" borderId="1" xfId="0" applyNumberFormat="1" applyFont="1" applyFill="1" applyBorder="1"/>
    <xf numFmtId="164" fontId="6" fillId="0" borderId="1" xfId="0" applyNumberFormat="1" applyFont="1" applyFill="1" applyBorder="1"/>
    <xf numFmtId="0" fontId="9" fillId="9" borderId="0" xfId="0" applyFont="1" applyFill="1" applyBorder="1" applyAlignment="1">
      <alignment vertical="center"/>
    </xf>
    <xf numFmtId="0" fontId="9" fillId="0" borderId="0" xfId="0" applyFont="1" applyFill="1" applyBorder="1" applyAlignment="1">
      <alignment horizontal="center" vertical="center"/>
    </xf>
    <xf numFmtId="14" fontId="9" fillId="8" borderId="0" xfId="0" applyNumberFormat="1" applyFont="1" applyFill="1" applyBorder="1"/>
    <xf numFmtId="0" fontId="9" fillId="0" borderId="0" xfId="0" applyFont="1" applyFill="1" applyBorder="1"/>
    <xf numFmtId="2" fontId="9" fillId="0" borderId="0" xfId="0" applyNumberFormat="1" applyFont="1" applyFill="1" applyBorder="1"/>
    <xf numFmtId="164" fontId="9" fillId="0" borderId="0" xfId="0" applyNumberFormat="1" applyFont="1" applyFill="1" applyBorder="1"/>
    <xf numFmtId="0" fontId="6" fillId="9" borderId="1" xfId="0" applyFont="1" applyFill="1" applyBorder="1" applyAlignment="1">
      <alignment horizontal="center" vertical="center"/>
    </xf>
    <xf numFmtId="0" fontId="6" fillId="0" borderId="1" xfId="0" applyFont="1" applyFill="1" applyBorder="1" applyAlignment="1"/>
    <xf numFmtId="14" fontId="6" fillId="9" borderId="1" xfId="0" applyNumberFormat="1" applyFont="1" applyFill="1" applyBorder="1"/>
    <xf numFmtId="0" fontId="9" fillId="0" borderId="0" xfId="0" applyFont="1" applyFill="1" applyBorder="1" applyAlignment="1"/>
    <xf numFmtId="14" fontId="9" fillId="9" borderId="0" xfId="0" applyNumberFormat="1" applyFont="1" applyFill="1" applyBorder="1"/>
    <xf numFmtId="0" fontId="6" fillId="10" borderId="1" xfId="0" applyFont="1" applyFill="1" applyBorder="1" applyAlignment="1">
      <alignment vertical="center" textRotation="255"/>
    </xf>
    <xf numFmtId="14" fontId="6" fillId="10" borderId="1" xfId="0" applyNumberFormat="1" applyFont="1" applyFill="1" applyBorder="1"/>
    <xf numFmtId="14" fontId="6" fillId="12" borderId="1" xfId="0" applyNumberFormat="1" applyFont="1" applyFill="1" applyBorder="1"/>
    <xf numFmtId="0" fontId="6" fillId="12" borderId="1" xfId="0" applyFont="1" applyFill="1" applyBorder="1" applyAlignment="1">
      <alignment vertical="center" textRotation="255"/>
    </xf>
    <xf numFmtId="0" fontId="6" fillId="0" borderId="1" xfId="0" applyFont="1" applyFill="1" applyBorder="1" applyAlignment="1">
      <alignment horizontal="center" vertical="center" wrapText="1"/>
    </xf>
    <xf numFmtId="0" fontId="6" fillId="11" borderId="1" xfId="0" applyFont="1" applyFill="1" applyBorder="1" applyAlignment="1">
      <alignment vertical="center" textRotation="255"/>
    </xf>
    <xf numFmtId="14" fontId="6" fillId="11" borderId="1" xfId="0" applyNumberFormat="1" applyFont="1" applyFill="1" applyBorder="1"/>
    <xf numFmtId="14" fontId="6" fillId="4" borderId="1" xfId="0" applyNumberFormat="1" applyFont="1" applyFill="1" applyBorder="1"/>
    <xf numFmtId="0" fontId="6" fillId="5" borderId="1" xfId="0" applyFont="1" applyFill="1" applyBorder="1"/>
    <xf numFmtId="14" fontId="6" fillId="7" borderId="1" xfId="0" applyNumberFormat="1" applyFont="1" applyFill="1" applyBorder="1"/>
    <xf numFmtId="0" fontId="1" fillId="0" borderId="0" xfId="0" applyFont="1" applyAlignment="1">
      <alignment horizontal="center" vertical="center"/>
    </xf>
    <xf numFmtId="0" fontId="0" fillId="0" borderId="0" xfId="0" applyAlignment="1">
      <alignment horizontal="center" vertical="center"/>
    </xf>
    <xf numFmtId="0" fontId="0" fillId="0" borderId="0" xfId="0" applyAlignment="1">
      <alignment horizontal="center"/>
    </xf>
    <xf numFmtId="0" fontId="3" fillId="3" borderId="0" xfId="0" applyFont="1" applyFill="1" applyBorder="1" applyAlignment="1">
      <alignment horizontal="center" vertical="center"/>
    </xf>
    <xf numFmtId="0" fontId="4" fillId="4" borderId="0" xfId="0" applyFont="1" applyFill="1" applyBorder="1" applyAlignment="1">
      <alignment horizontal="center" vertical="center" textRotation="255"/>
    </xf>
    <xf numFmtId="0" fontId="4" fillId="7" borderId="0" xfId="0" applyFont="1" applyFill="1" applyBorder="1" applyAlignment="1">
      <alignment horizontal="center" vertical="center" textRotation="255"/>
    </xf>
    <xf numFmtId="0" fontId="8" fillId="13" borderId="0" xfId="0" applyFont="1" applyFill="1" applyBorder="1" applyAlignment="1">
      <alignment horizontal="center" vertical="center"/>
    </xf>
    <xf numFmtId="0" fontId="4" fillId="8" borderId="0" xfId="0" applyFont="1" applyFill="1" applyBorder="1" applyAlignment="1">
      <alignment horizontal="center" vertical="center" textRotation="255"/>
    </xf>
    <xf numFmtId="0" fontId="4" fillId="8" borderId="1" xfId="0" applyFont="1" applyFill="1" applyBorder="1" applyAlignment="1">
      <alignment horizontal="center" vertical="center" textRotation="255"/>
    </xf>
    <xf numFmtId="0" fontId="4" fillId="14" borderId="0" xfId="0" applyFont="1" applyFill="1" applyBorder="1" applyAlignment="1">
      <alignment horizontal="center" vertical="center"/>
    </xf>
    <xf numFmtId="14" fontId="2" fillId="15" borderId="0" xfId="0" applyNumberFormat="1" applyFont="1" applyFill="1" applyBorder="1"/>
    <xf numFmtId="0" fontId="2" fillId="14" borderId="0" xfId="0" applyFont="1" applyFill="1" applyBorder="1"/>
    <xf numFmtId="164" fontId="2" fillId="14" borderId="0" xfId="0" applyNumberFormat="1" applyFont="1" applyFill="1" applyBorder="1"/>
    <xf numFmtId="0" fontId="4" fillId="15" borderId="0" xfId="0" applyFont="1" applyFill="1" applyBorder="1" applyAlignment="1">
      <alignment vertical="center" textRotation="255"/>
    </xf>
    <xf numFmtId="0" fontId="2" fillId="15" borderId="0" xfId="0" applyFont="1" applyFill="1" applyBorder="1"/>
    <xf numFmtId="2" fontId="2" fillId="14" borderId="0" xfId="0" applyNumberFormat="1" applyFont="1" applyFill="1" applyBorder="1"/>
    <xf numFmtId="0" fontId="2" fillId="16" borderId="0" xfId="0" applyFont="1" applyFill="1" applyBorder="1"/>
    <xf numFmtId="0" fontId="6" fillId="16" borderId="1" xfId="0" applyFont="1" applyFill="1" applyBorder="1"/>
    <xf numFmtId="164" fontId="2" fillId="16" borderId="0" xfId="0" applyNumberFormat="1" applyFont="1" applyFill="1" applyBorder="1"/>
    <xf numFmtId="164" fontId="6" fillId="16" borderId="1" xfId="0" applyNumberFormat="1" applyFont="1" applyFill="1" applyBorder="1"/>
    <xf numFmtId="0" fontId="10" fillId="0" borderId="0" xfId="0" applyFont="1" applyFill="1" applyBorder="1"/>
  </cellXfs>
  <cellStyles count="1">
    <cellStyle name="Normal" xfId="0" builtinId="0"/>
  </cellStyles>
  <dxfs count="22">
    <dxf>
      <fill>
        <patternFill>
          <bgColor theme="7" tint="0.59996337778862885"/>
        </patternFill>
      </fill>
    </dxf>
    <dxf>
      <fill>
        <patternFill>
          <bgColor rgb="FFFABF8F"/>
        </patternFill>
      </fill>
    </dxf>
    <dxf>
      <fill>
        <patternFill>
          <bgColor rgb="FFDA9694"/>
        </patternFill>
      </fill>
    </dxf>
    <dxf>
      <fill>
        <patternFill>
          <bgColor rgb="FFF2DCDB"/>
        </patternFill>
      </fill>
    </dxf>
    <dxf>
      <fill>
        <patternFill>
          <bgColor rgb="FFCCC0DA"/>
        </patternFill>
      </fill>
    </dxf>
    <dxf>
      <fill>
        <patternFill>
          <bgColor rgb="FFF2DCDB"/>
        </patternFill>
      </fill>
    </dxf>
    <dxf>
      <fill>
        <patternFill>
          <bgColor rgb="FF00B0F0"/>
        </patternFill>
      </fill>
    </dxf>
    <dxf>
      <fill>
        <patternFill>
          <bgColor rgb="FFDAEEF3"/>
        </patternFill>
      </fill>
    </dxf>
    <dxf>
      <fill>
        <patternFill>
          <bgColor rgb="FFFFC000"/>
        </patternFill>
      </fill>
    </dxf>
    <dxf>
      <fill>
        <patternFill>
          <bgColor theme="9" tint="0.39994506668294322"/>
        </patternFill>
      </fill>
    </dxf>
    <dxf>
      <fill>
        <patternFill>
          <bgColor theme="5" tint="0.39994506668294322"/>
        </patternFill>
      </fill>
    </dxf>
    <dxf>
      <fill>
        <patternFill>
          <bgColor theme="7" tint="0.59996337778862885"/>
        </patternFill>
      </fill>
    </dxf>
    <dxf>
      <fill>
        <patternFill>
          <bgColor rgb="FFFABF8F"/>
        </patternFill>
      </fill>
    </dxf>
    <dxf>
      <fill>
        <patternFill>
          <bgColor rgb="FFDA9694"/>
        </patternFill>
      </fill>
    </dxf>
    <dxf>
      <fill>
        <patternFill>
          <bgColor rgb="FFF2DCDB"/>
        </patternFill>
      </fill>
    </dxf>
    <dxf>
      <fill>
        <patternFill>
          <bgColor rgb="FFCCC0DA"/>
        </patternFill>
      </fill>
    </dxf>
    <dxf>
      <fill>
        <patternFill>
          <bgColor rgb="FFF2DCDB"/>
        </patternFill>
      </fill>
    </dxf>
    <dxf>
      <fill>
        <patternFill>
          <bgColor rgb="FF00B0F0"/>
        </patternFill>
      </fill>
    </dxf>
    <dxf>
      <fill>
        <patternFill>
          <bgColor rgb="FFDAEEF3"/>
        </patternFill>
      </fill>
    </dxf>
    <dxf>
      <fill>
        <patternFill>
          <bgColor rgb="FFFFC000"/>
        </patternFill>
      </fill>
    </dxf>
    <dxf>
      <fill>
        <patternFill>
          <bgColor theme="9" tint="0.39994506668294322"/>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C355"/>
  <sheetViews>
    <sheetView tabSelected="1" zoomScale="70" zoomScaleNormal="70" workbookViewId="0">
      <pane xSplit="3" ySplit="4" topLeftCell="D206" activePane="bottomRight" state="frozen"/>
      <selection pane="topRight" activeCell="D1" sqref="D1"/>
      <selection pane="bottomLeft" activeCell="A5" sqref="A5"/>
      <selection pane="bottomRight" activeCell="AD234" sqref="AD234"/>
    </sheetView>
  </sheetViews>
  <sheetFormatPr baseColWidth="10" defaultRowHeight="15" x14ac:dyDescent="0.25"/>
  <sheetData>
    <row r="1" spans="1:27" s="2" customFormat="1" x14ac:dyDescent="0.25">
      <c r="A1"/>
      <c r="B1" s="1"/>
      <c r="C1"/>
      <c r="D1" s="68" t="s">
        <v>32</v>
      </c>
      <c r="E1" s="68"/>
      <c r="F1" s="68"/>
      <c r="G1" s="68"/>
      <c r="H1" s="68"/>
      <c r="I1" s="68"/>
      <c r="J1" s="68" t="s">
        <v>33</v>
      </c>
      <c r="K1" s="68"/>
      <c r="L1" s="68"/>
      <c r="M1" s="68"/>
      <c r="N1" s="68"/>
      <c r="O1" s="68"/>
      <c r="P1" s="68"/>
      <c r="Q1" s="68"/>
      <c r="R1" s="68"/>
      <c r="S1" s="68"/>
      <c r="T1" s="68"/>
      <c r="U1" s="68"/>
      <c r="V1" s="68" t="s">
        <v>34</v>
      </c>
      <c r="W1" s="69"/>
      <c r="X1" s="69"/>
      <c r="Y1" s="69"/>
      <c r="Z1" s="69"/>
    </row>
    <row r="2" spans="1:27" s="2" customFormat="1" x14ac:dyDescent="0.25">
      <c r="A2"/>
      <c r="B2" s="1"/>
      <c r="C2"/>
      <c r="D2" s="68"/>
      <c r="E2" s="68"/>
      <c r="F2" s="68"/>
      <c r="G2" s="68"/>
      <c r="H2" s="68"/>
      <c r="I2" s="68"/>
      <c r="J2" s="68"/>
      <c r="K2" s="68"/>
      <c r="L2" s="68"/>
      <c r="M2" s="68"/>
      <c r="N2" s="68"/>
      <c r="O2" s="68"/>
      <c r="P2" s="68"/>
      <c r="Q2" s="68"/>
      <c r="R2" s="68"/>
      <c r="S2" s="68"/>
      <c r="T2" s="68"/>
      <c r="U2" s="68"/>
      <c r="V2" s="69"/>
      <c r="W2" s="69"/>
      <c r="X2" s="69"/>
      <c r="Y2" s="69"/>
      <c r="Z2" s="69"/>
    </row>
    <row r="3" spans="1:27" s="2" customFormat="1" x14ac:dyDescent="0.25">
      <c r="A3"/>
      <c r="B3" s="1"/>
      <c r="C3"/>
      <c r="D3" s="39"/>
      <c r="E3" s="39"/>
      <c r="F3" s="39"/>
      <c r="G3" s="39"/>
      <c r="H3" s="39"/>
      <c r="I3" s="39"/>
      <c r="J3" s="39"/>
      <c r="K3" s="39"/>
      <c r="L3" s="39"/>
      <c r="M3" s="39"/>
      <c r="N3" s="39"/>
      <c r="O3" s="39"/>
      <c r="P3" s="68" t="s">
        <v>35</v>
      </c>
      <c r="Q3" s="68"/>
      <c r="R3" s="68"/>
      <c r="S3" s="68"/>
      <c r="T3" s="68"/>
      <c r="U3" s="39"/>
      <c r="V3" s="40"/>
      <c r="W3" s="40"/>
      <c r="X3" s="40"/>
      <c r="Y3" s="40"/>
      <c r="Z3" s="40"/>
    </row>
    <row r="4" spans="1:27" s="2" customFormat="1" x14ac:dyDescent="0.25">
      <c r="A4" t="s">
        <v>36</v>
      </c>
      <c r="B4" s="1">
        <v>5</v>
      </c>
      <c r="C4" t="s">
        <v>37</v>
      </c>
      <c r="D4" t="s">
        <v>38</v>
      </c>
      <c r="E4" t="s">
        <v>39</v>
      </c>
      <c r="F4" t="s">
        <v>40</v>
      </c>
      <c r="G4" s="70" t="s">
        <v>41</v>
      </c>
      <c r="H4" s="70"/>
      <c r="I4" t="s">
        <v>42</v>
      </c>
      <c r="J4" t="s">
        <v>43</v>
      </c>
      <c r="K4" t="s">
        <v>44</v>
      </c>
      <c r="L4" t="s">
        <v>45</v>
      </c>
      <c r="M4" t="s">
        <v>46</v>
      </c>
      <c r="N4" t="s">
        <v>47</v>
      </c>
      <c r="O4" t="s">
        <v>48</v>
      </c>
      <c r="P4" t="s">
        <v>49</v>
      </c>
      <c r="Q4" t="s">
        <v>50</v>
      </c>
      <c r="R4" t="s">
        <v>51</v>
      </c>
      <c r="S4" t="s">
        <v>52</v>
      </c>
      <c r="T4" t="s">
        <v>53</v>
      </c>
      <c r="U4" t="s">
        <v>42</v>
      </c>
      <c r="V4" t="s">
        <v>54</v>
      </c>
      <c r="W4" t="s">
        <v>55</v>
      </c>
      <c r="X4" s="70" t="s">
        <v>56</v>
      </c>
      <c r="Y4" s="70"/>
      <c r="Z4" t="s">
        <v>42</v>
      </c>
      <c r="AA4" s="2" t="s">
        <v>57</v>
      </c>
    </row>
    <row r="5" spans="1:27" s="3" customFormat="1" x14ac:dyDescent="0.25">
      <c r="B5" s="4"/>
      <c r="C5" s="5">
        <v>41122</v>
      </c>
      <c r="D5" s="3">
        <v>17.8</v>
      </c>
      <c r="E5" s="3">
        <v>14</v>
      </c>
      <c r="F5" s="3">
        <v>22.8</v>
      </c>
      <c r="G5" s="6"/>
      <c r="H5" s="6"/>
      <c r="I5" s="6"/>
      <c r="J5" s="3">
        <v>0.8</v>
      </c>
      <c r="K5" s="6"/>
      <c r="L5" s="3">
        <v>2.6</v>
      </c>
      <c r="M5" s="6"/>
      <c r="N5" s="3">
        <v>-1.8</v>
      </c>
      <c r="O5" s="6">
        <v>0</v>
      </c>
      <c r="T5" s="7"/>
      <c r="V5" s="3">
        <v>1134.2</v>
      </c>
    </row>
    <row r="6" spans="1:27" s="3" customFormat="1" x14ac:dyDescent="0.25">
      <c r="B6" s="4"/>
      <c r="C6" s="5">
        <v>41123</v>
      </c>
      <c r="D6" s="3">
        <v>17.5</v>
      </c>
      <c r="E6" s="3">
        <v>13.9</v>
      </c>
      <c r="F6" s="3">
        <v>21</v>
      </c>
      <c r="G6" s="6"/>
      <c r="H6" s="6"/>
      <c r="I6" s="6"/>
      <c r="J6" s="3">
        <v>0.9</v>
      </c>
      <c r="K6" s="6"/>
      <c r="L6" s="3">
        <v>2.6</v>
      </c>
      <c r="M6" s="6"/>
      <c r="N6" s="3">
        <v>-1.7000000000000002</v>
      </c>
      <c r="O6" s="6">
        <v>0</v>
      </c>
      <c r="T6" s="7"/>
      <c r="V6" s="3">
        <v>1279</v>
      </c>
    </row>
    <row r="7" spans="1:27" s="3" customFormat="1" x14ac:dyDescent="0.25">
      <c r="B7" s="4"/>
      <c r="C7" s="5">
        <v>41124</v>
      </c>
      <c r="D7" s="3">
        <v>18</v>
      </c>
      <c r="E7" s="3">
        <v>13.9</v>
      </c>
      <c r="F7" s="3">
        <v>23</v>
      </c>
      <c r="G7" s="6"/>
      <c r="H7" s="6"/>
      <c r="I7" s="6"/>
      <c r="J7" s="3">
        <v>3.9</v>
      </c>
      <c r="K7" s="6"/>
      <c r="L7" s="3">
        <v>3.4</v>
      </c>
      <c r="M7" s="6"/>
      <c r="N7" s="3">
        <v>0.5</v>
      </c>
      <c r="O7" s="3">
        <f>O6+N7</f>
        <v>0.5</v>
      </c>
      <c r="T7" s="7"/>
      <c r="V7" s="3">
        <v>1806.2</v>
      </c>
    </row>
    <row r="8" spans="1:27" s="3" customFormat="1" x14ac:dyDescent="0.25">
      <c r="B8" s="4"/>
      <c r="C8" s="5">
        <v>41125</v>
      </c>
      <c r="D8" s="3">
        <v>17.100000000000001</v>
      </c>
      <c r="E8" s="3">
        <v>15.1</v>
      </c>
      <c r="F8" s="3">
        <v>19.399999999999999</v>
      </c>
      <c r="G8" s="6"/>
      <c r="H8" s="6"/>
      <c r="I8" s="6"/>
      <c r="J8" s="3">
        <v>4.5999999999999996</v>
      </c>
      <c r="K8" s="6"/>
      <c r="L8" s="3">
        <v>1.9</v>
      </c>
      <c r="M8" s="6"/>
      <c r="N8" s="3">
        <v>2.6999999999999997</v>
      </c>
      <c r="O8" s="3">
        <f t="shared" ref="O8:O28" si="0">O7+N8</f>
        <v>3.1999999999999997</v>
      </c>
      <c r="T8" s="7"/>
      <c r="V8" s="3">
        <v>859</v>
      </c>
    </row>
    <row r="9" spans="1:27" s="3" customFormat="1" x14ac:dyDescent="0.25">
      <c r="B9" s="4"/>
      <c r="C9" s="5">
        <v>41126</v>
      </c>
      <c r="D9" s="3">
        <v>16.7</v>
      </c>
      <c r="E9" s="3">
        <v>13.9</v>
      </c>
      <c r="F9" s="3">
        <v>21</v>
      </c>
      <c r="G9" s="6"/>
      <c r="H9" s="6"/>
      <c r="I9" s="6"/>
      <c r="J9" s="3">
        <v>0.5</v>
      </c>
      <c r="K9" s="6"/>
      <c r="L9" s="3">
        <v>3</v>
      </c>
      <c r="M9" s="6"/>
      <c r="N9" s="3">
        <v>-2.5</v>
      </c>
      <c r="O9" s="3">
        <f t="shared" si="0"/>
        <v>0.69999999999999973</v>
      </c>
      <c r="T9" s="7"/>
      <c r="V9" s="3">
        <v>1473.6</v>
      </c>
    </row>
    <row r="10" spans="1:27" s="3" customFormat="1" x14ac:dyDescent="0.25">
      <c r="B10" s="4"/>
      <c r="C10" s="5">
        <v>41127</v>
      </c>
      <c r="D10" s="3">
        <v>16.5</v>
      </c>
      <c r="E10" s="3">
        <v>13.4</v>
      </c>
      <c r="F10" s="3">
        <v>20.8</v>
      </c>
      <c r="G10" s="6"/>
      <c r="H10" s="6"/>
      <c r="I10" s="6"/>
      <c r="J10" s="3">
        <v>0</v>
      </c>
      <c r="K10" s="6"/>
      <c r="L10" s="3">
        <v>3</v>
      </c>
      <c r="M10" s="6"/>
      <c r="N10" s="3">
        <v>-3</v>
      </c>
      <c r="O10" s="3">
        <v>0</v>
      </c>
      <c r="T10" s="7"/>
      <c r="V10" s="3">
        <v>1430.3</v>
      </c>
    </row>
    <row r="11" spans="1:27" s="3" customFormat="1" x14ac:dyDescent="0.25">
      <c r="B11" s="4"/>
      <c r="C11" s="5">
        <v>41128</v>
      </c>
      <c r="D11" s="3">
        <v>16.899999999999999</v>
      </c>
      <c r="E11" s="3">
        <v>11.9</v>
      </c>
      <c r="F11" s="3">
        <v>21.3</v>
      </c>
      <c r="G11" s="6"/>
      <c r="H11" s="6"/>
      <c r="I11" s="6"/>
      <c r="J11" s="3">
        <v>0</v>
      </c>
      <c r="K11" s="6"/>
      <c r="L11" s="3">
        <v>2.9</v>
      </c>
      <c r="M11" s="6"/>
      <c r="N11" s="3">
        <v>-2.9</v>
      </c>
      <c r="O11" s="3">
        <v>0</v>
      </c>
      <c r="T11" s="7"/>
      <c r="V11" s="3">
        <v>1546.4</v>
      </c>
    </row>
    <row r="12" spans="1:27" s="3" customFormat="1" x14ac:dyDescent="0.25">
      <c r="B12" s="4"/>
      <c r="C12" s="5">
        <v>41129</v>
      </c>
      <c r="D12" s="3">
        <v>19.399999999999999</v>
      </c>
      <c r="E12" s="3">
        <v>12.4</v>
      </c>
      <c r="F12" s="3">
        <v>26.9</v>
      </c>
      <c r="G12" s="6"/>
      <c r="H12" s="6"/>
      <c r="I12" s="6"/>
      <c r="J12" s="3">
        <v>0</v>
      </c>
      <c r="K12" s="6"/>
      <c r="L12" s="3">
        <v>5.2</v>
      </c>
      <c r="M12" s="6"/>
      <c r="N12" s="3">
        <v>-5.2</v>
      </c>
      <c r="O12" s="3">
        <v>0</v>
      </c>
      <c r="T12" s="7"/>
      <c r="V12" s="3">
        <v>2511.8000000000002</v>
      </c>
    </row>
    <row r="13" spans="1:27" s="3" customFormat="1" x14ac:dyDescent="0.25">
      <c r="B13" s="4"/>
      <c r="C13" s="5">
        <v>41130</v>
      </c>
      <c r="D13" s="3">
        <v>21.8</v>
      </c>
      <c r="E13" s="3">
        <v>13.7</v>
      </c>
      <c r="F13" s="3">
        <v>29.8</v>
      </c>
      <c r="G13" s="6"/>
      <c r="H13" s="6"/>
      <c r="I13" s="6"/>
      <c r="J13" s="3">
        <v>0</v>
      </c>
      <c r="K13" s="6"/>
      <c r="L13" s="3">
        <v>5.9</v>
      </c>
      <c r="M13" s="6"/>
      <c r="N13" s="3">
        <v>-5.9</v>
      </c>
      <c r="O13" s="3">
        <v>0</v>
      </c>
      <c r="T13" s="7"/>
      <c r="V13" s="3">
        <v>2708.1</v>
      </c>
    </row>
    <row r="14" spans="1:27" s="3" customFormat="1" x14ac:dyDescent="0.25">
      <c r="B14" s="4"/>
      <c r="C14" s="5">
        <v>41131</v>
      </c>
      <c r="D14" s="3">
        <v>22.4</v>
      </c>
      <c r="E14" s="3">
        <v>17.100000000000001</v>
      </c>
      <c r="F14" s="3">
        <v>29.1</v>
      </c>
      <c r="G14" s="6"/>
      <c r="H14" s="6"/>
      <c r="I14" s="6"/>
      <c r="J14" s="3">
        <v>0</v>
      </c>
      <c r="K14" s="6"/>
      <c r="L14" s="3">
        <v>6.6</v>
      </c>
      <c r="M14" s="6"/>
      <c r="N14" s="3">
        <v>-6.6</v>
      </c>
      <c r="O14" s="3">
        <v>0</v>
      </c>
      <c r="T14" s="7"/>
      <c r="V14" s="3">
        <v>2769.7</v>
      </c>
    </row>
    <row r="15" spans="1:27" s="3" customFormat="1" x14ac:dyDescent="0.25">
      <c r="B15" s="4"/>
      <c r="C15" s="5">
        <v>41132</v>
      </c>
      <c r="D15" s="3">
        <v>22.6</v>
      </c>
      <c r="E15" s="3">
        <v>15.7</v>
      </c>
      <c r="F15" s="3">
        <v>29.3</v>
      </c>
      <c r="G15" s="6"/>
      <c r="H15" s="6"/>
      <c r="I15" s="6"/>
      <c r="J15" s="3">
        <v>0</v>
      </c>
      <c r="K15" s="6"/>
      <c r="L15" s="3">
        <v>5.4</v>
      </c>
      <c r="M15" s="6"/>
      <c r="N15" s="3">
        <v>-5.4</v>
      </c>
      <c r="O15" s="3">
        <v>0</v>
      </c>
      <c r="T15" s="7"/>
      <c r="V15" s="3">
        <v>2401.3000000000002</v>
      </c>
    </row>
    <row r="16" spans="1:27" s="3" customFormat="1" x14ac:dyDescent="0.25">
      <c r="B16" s="4"/>
      <c r="C16" s="5">
        <v>41133</v>
      </c>
      <c r="D16" s="3">
        <v>20</v>
      </c>
      <c r="E16" s="3">
        <v>16.399999999999999</v>
      </c>
      <c r="F16" s="3">
        <v>23.3</v>
      </c>
      <c r="G16" s="6"/>
      <c r="H16" s="6"/>
      <c r="I16" s="6"/>
      <c r="J16" s="3">
        <v>0.1</v>
      </c>
      <c r="K16" s="6"/>
      <c r="L16" s="3">
        <v>3.5</v>
      </c>
      <c r="M16" s="6"/>
      <c r="N16" s="3">
        <v>-3.4</v>
      </c>
      <c r="O16" s="3">
        <v>0</v>
      </c>
      <c r="T16" s="7"/>
      <c r="V16" s="3">
        <v>1621.6</v>
      </c>
    </row>
    <row r="17" spans="2:22" s="3" customFormat="1" x14ac:dyDescent="0.25">
      <c r="B17" s="4"/>
      <c r="C17" s="5">
        <v>41134</v>
      </c>
      <c r="D17" s="3">
        <v>19</v>
      </c>
      <c r="E17" s="3">
        <v>16.5</v>
      </c>
      <c r="F17" s="3">
        <v>22.4</v>
      </c>
      <c r="G17" s="6"/>
      <c r="H17" s="6"/>
      <c r="I17" s="6"/>
      <c r="J17" s="3">
        <v>5.0999999999999996</v>
      </c>
      <c r="K17" s="6"/>
      <c r="L17" s="3">
        <v>1.4</v>
      </c>
      <c r="M17" s="6"/>
      <c r="N17" s="3">
        <v>3.6999999999999997</v>
      </c>
      <c r="O17" s="3">
        <f t="shared" si="0"/>
        <v>3.6999999999999997</v>
      </c>
      <c r="T17" s="7"/>
      <c r="V17" s="3">
        <v>575.5</v>
      </c>
    </row>
    <row r="18" spans="2:22" s="3" customFormat="1" x14ac:dyDescent="0.25">
      <c r="B18" s="4"/>
      <c r="C18" s="5">
        <v>41135</v>
      </c>
      <c r="D18" s="3">
        <v>20.399999999999999</v>
      </c>
      <c r="E18" s="3">
        <v>17.2</v>
      </c>
      <c r="F18" s="3">
        <v>23.4</v>
      </c>
      <c r="G18" s="6"/>
      <c r="H18" s="6"/>
      <c r="I18" s="6"/>
      <c r="J18" s="3">
        <v>2.9</v>
      </c>
      <c r="K18" s="6"/>
      <c r="L18" s="3">
        <v>1.2</v>
      </c>
      <c r="M18" s="6"/>
      <c r="N18" s="3">
        <v>1.7</v>
      </c>
      <c r="O18" s="3">
        <f t="shared" si="0"/>
        <v>5.3999999999999995</v>
      </c>
      <c r="T18" s="7"/>
      <c r="V18" s="3">
        <v>502</v>
      </c>
    </row>
    <row r="19" spans="2:22" s="3" customFormat="1" x14ac:dyDescent="0.25">
      <c r="B19" s="4"/>
      <c r="C19" s="5">
        <v>41136</v>
      </c>
      <c r="D19" s="3">
        <v>19.2</v>
      </c>
      <c r="E19" s="3">
        <v>18.5</v>
      </c>
      <c r="F19" s="3">
        <v>21.5</v>
      </c>
      <c r="G19" s="6"/>
      <c r="H19" s="6"/>
      <c r="I19" s="6"/>
      <c r="J19" s="3">
        <v>0</v>
      </c>
      <c r="K19" s="6"/>
      <c r="L19" s="3">
        <v>2.2999999999999998</v>
      </c>
      <c r="M19" s="6"/>
      <c r="N19" s="3">
        <v>-2.2999999999999998</v>
      </c>
      <c r="O19" s="3">
        <f t="shared" si="0"/>
        <v>3.0999999999999996</v>
      </c>
      <c r="T19" s="7"/>
      <c r="V19" s="3">
        <v>682.1</v>
      </c>
    </row>
    <row r="20" spans="2:22" s="3" customFormat="1" x14ac:dyDescent="0.25">
      <c r="B20" s="4"/>
      <c r="C20" s="5">
        <v>41137</v>
      </c>
      <c r="D20" s="3">
        <v>19.899999999999999</v>
      </c>
      <c r="E20" s="3">
        <v>15.3</v>
      </c>
      <c r="F20" s="3">
        <v>23.8</v>
      </c>
      <c r="G20" s="6"/>
      <c r="H20" s="6"/>
      <c r="I20" s="6"/>
      <c r="J20" s="3">
        <v>0</v>
      </c>
      <c r="K20" s="6"/>
      <c r="L20" s="3">
        <v>1.8</v>
      </c>
      <c r="M20" s="6"/>
      <c r="N20" s="3">
        <v>-1.8</v>
      </c>
      <c r="O20" s="3">
        <f t="shared" si="0"/>
        <v>1.2999999999999996</v>
      </c>
      <c r="T20" s="7"/>
      <c r="V20" s="3">
        <v>725.2</v>
      </c>
    </row>
    <row r="21" spans="2:22" s="3" customFormat="1" x14ac:dyDescent="0.25">
      <c r="B21" s="4"/>
      <c r="C21" s="5">
        <v>41138</v>
      </c>
      <c r="D21" s="3">
        <v>23.6</v>
      </c>
      <c r="E21" s="3">
        <v>16.7</v>
      </c>
      <c r="F21" s="3">
        <v>31.8</v>
      </c>
      <c r="G21" s="6"/>
      <c r="H21" s="6"/>
      <c r="I21" s="6"/>
      <c r="J21" s="3">
        <v>0</v>
      </c>
      <c r="K21" s="6"/>
      <c r="L21" s="3">
        <v>6</v>
      </c>
      <c r="M21" s="6"/>
      <c r="N21" s="3">
        <v>-6</v>
      </c>
      <c r="O21" s="3">
        <v>0</v>
      </c>
      <c r="T21" s="7"/>
      <c r="V21" s="3">
        <v>2230.6</v>
      </c>
    </row>
    <row r="22" spans="2:22" s="3" customFormat="1" x14ac:dyDescent="0.25">
      <c r="B22" s="4"/>
      <c r="C22" s="5">
        <v>41139</v>
      </c>
      <c r="D22" s="3">
        <v>22.4</v>
      </c>
      <c r="E22" s="3">
        <v>15.4</v>
      </c>
      <c r="F22" s="3">
        <v>31</v>
      </c>
      <c r="G22" s="6"/>
      <c r="H22" s="6"/>
      <c r="I22" s="6"/>
      <c r="J22" s="3">
        <v>0</v>
      </c>
      <c r="K22" s="6"/>
      <c r="L22" s="3">
        <v>6.1</v>
      </c>
      <c r="M22" s="6"/>
      <c r="N22" s="3">
        <v>-6.1</v>
      </c>
      <c r="O22" s="3">
        <v>0</v>
      </c>
      <c r="T22" s="7"/>
      <c r="V22" s="3">
        <v>2503</v>
      </c>
    </row>
    <row r="23" spans="2:22" s="3" customFormat="1" x14ac:dyDescent="0.25">
      <c r="B23" s="4"/>
      <c r="C23" s="5">
        <v>41140</v>
      </c>
      <c r="D23" s="3">
        <v>21.3</v>
      </c>
      <c r="E23" s="3">
        <v>16.7</v>
      </c>
      <c r="F23" s="3">
        <v>27.4</v>
      </c>
      <c r="G23" s="6"/>
      <c r="H23" s="6"/>
      <c r="I23" s="6"/>
      <c r="J23" s="3">
        <v>0</v>
      </c>
      <c r="K23" s="6"/>
      <c r="L23" s="3">
        <v>3.6</v>
      </c>
      <c r="M23" s="6"/>
      <c r="N23" s="3">
        <v>-3.6</v>
      </c>
      <c r="O23" s="3">
        <v>0</v>
      </c>
      <c r="T23" s="7"/>
      <c r="V23" s="3">
        <v>1808.1</v>
      </c>
    </row>
    <row r="24" spans="2:22" s="3" customFormat="1" x14ac:dyDescent="0.25">
      <c r="B24" s="4"/>
      <c r="C24" s="5">
        <v>41141</v>
      </c>
      <c r="D24" s="3">
        <v>20.6</v>
      </c>
      <c r="E24" s="3">
        <v>16.600000000000001</v>
      </c>
      <c r="F24" s="3">
        <v>25.6</v>
      </c>
      <c r="G24" s="6"/>
      <c r="H24" s="6"/>
      <c r="I24" s="6"/>
      <c r="J24" s="3">
        <v>0</v>
      </c>
      <c r="K24" s="6"/>
      <c r="L24" s="3">
        <v>2.2000000000000002</v>
      </c>
      <c r="M24" s="6"/>
      <c r="N24" s="3">
        <v>-2.2000000000000002</v>
      </c>
      <c r="O24" s="3">
        <v>0</v>
      </c>
      <c r="T24" s="7"/>
      <c r="V24" s="3">
        <v>1163.9000000000001</v>
      </c>
    </row>
    <row r="25" spans="2:22" s="3" customFormat="1" x14ac:dyDescent="0.25">
      <c r="B25" s="4"/>
      <c r="C25" s="5">
        <v>41142</v>
      </c>
      <c r="D25" s="3">
        <v>18.8</v>
      </c>
      <c r="E25" s="3">
        <v>16.3</v>
      </c>
      <c r="F25" s="3">
        <v>24.5</v>
      </c>
      <c r="G25" s="6"/>
      <c r="H25" s="6"/>
      <c r="I25" s="6"/>
      <c r="J25" s="3">
        <v>0</v>
      </c>
      <c r="K25" s="6"/>
      <c r="L25" s="3">
        <v>3.4</v>
      </c>
      <c r="M25" s="6"/>
      <c r="N25" s="3">
        <v>-3.4</v>
      </c>
      <c r="O25" s="3">
        <v>0</v>
      </c>
      <c r="T25" s="7"/>
      <c r="V25" s="3">
        <v>1589.1</v>
      </c>
    </row>
    <row r="26" spans="2:22" s="3" customFormat="1" x14ac:dyDescent="0.25">
      <c r="B26" s="4"/>
      <c r="C26" s="5">
        <v>41143</v>
      </c>
      <c r="D26" s="3">
        <v>16.600000000000001</v>
      </c>
      <c r="E26" s="3">
        <v>11.4</v>
      </c>
      <c r="F26" s="3">
        <v>23.2</v>
      </c>
      <c r="G26" s="6"/>
      <c r="H26" s="6"/>
      <c r="I26" s="6"/>
      <c r="J26" s="3">
        <v>0</v>
      </c>
      <c r="K26" s="6"/>
      <c r="L26" s="3">
        <v>3.8</v>
      </c>
      <c r="M26" s="6"/>
      <c r="N26" s="3">
        <v>-3.8</v>
      </c>
      <c r="O26" s="3">
        <v>0</v>
      </c>
      <c r="T26" s="7"/>
      <c r="V26" s="3">
        <v>1816.4</v>
      </c>
    </row>
    <row r="27" spans="2:22" s="3" customFormat="1" x14ac:dyDescent="0.25">
      <c r="B27" s="4"/>
      <c r="C27" s="5">
        <v>41144</v>
      </c>
      <c r="D27" s="3">
        <v>17</v>
      </c>
      <c r="E27" s="3">
        <v>10.5</v>
      </c>
      <c r="F27" s="3">
        <v>23.6</v>
      </c>
      <c r="G27" s="6"/>
      <c r="H27" s="6"/>
      <c r="I27" s="6"/>
      <c r="J27" s="3">
        <v>0</v>
      </c>
      <c r="K27" s="6"/>
      <c r="L27" s="3">
        <v>3.6</v>
      </c>
      <c r="M27" s="6"/>
      <c r="N27" s="3">
        <v>-3.6</v>
      </c>
      <c r="O27" s="3">
        <v>0</v>
      </c>
      <c r="T27" s="7"/>
      <c r="V27" s="3">
        <v>1841.9</v>
      </c>
    </row>
    <row r="28" spans="2:22" s="3" customFormat="1" x14ac:dyDescent="0.25">
      <c r="B28" s="4"/>
      <c r="C28" s="5">
        <v>41145</v>
      </c>
      <c r="D28" s="3">
        <v>16.8</v>
      </c>
      <c r="E28" s="3">
        <v>13.7</v>
      </c>
      <c r="F28" s="3">
        <v>20.3</v>
      </c>
      <c r="G28" s="6"/>
      <c r="H28" s="6"/>
      <c r="I28" s="6"/>
      <c r="J28" s="3">
        <v>2.2999999999999998</v>
      </c>
      <c r="K28" s="6"/>
      <c r="L28" s="3">
        <v>1.7</v>
      </c>
      <c r="M28" s="6"/>
      <c r="N28" s="3">
        <v>0.59999999999999987</v>
      </c>
      <c r="O28" s="3">
        <f t="shared" si="0"/>
        <v>0.59999999999999987</v>
      </c>
      <c r="T28" s="7"/>
      <c r="V28" s="3">
        <v>817.7</v>
      </c>
    </row>
    <row r="29" spans="2:22" s="3" customFormat="1" x14ac:dyDescent="0.25">
      <c r="B29" s="4"/>
      <c r="C29" s="5">
        <v>41146</v>
      </c>
      <c r="D29" s="3">
        <v>17</v>
      </c>
      <c r="E29" s="3">
        <v>15.4</v>
      </c>
      <c r="F29" s="3">
        <v>20.5</v>
      </c>
      <c r="G29" s="6"/>
      <c r="H29" s="6"/>
      <c r="I29" s="6"/>
      <c r="J29" s="3">
        <v>0.7</v>
      </c>
      <c r="K29" s="6"/>
      <c r="L29" s="3">
        <v>3</v>
      </c>
      <c r="M29" s="6"/>
      <c r="N29" s="3">
        <v>-2.2999999999999998</v>
      </c>
      <c r="O29" s="3">
        <v>0</v>
      </c>
      <c r="T29" s="7"/>
      <c r="V29" s="3">
        <v>1460.2</v>
      </c>
    </row>
    <row r="30" spans="2:22" s="3" customFormat="1" x14ac:dyDescent="0.25">
      <c r="B30" s="4"/>
      <c r="C30" s="5">
        <v>41147</v>
      </c>
      <c r="D30" s="3">
        <v>17.399999999999999</v>
      </c>
      <c r="E30" s="3">
        <v>12.3</v>
      </c>
      <c r="F30" s="3">
        <v>22.4</v>
      </c>
      <c r="G30" s="6"/>
      <c r="H30" s="6"/>
      <c r="I30" s="6"/>
      <c r="J30" s="3">
        <v>0</v>
      </c>
      <c r="K30" s="6"/>
      <c r="L30" s="3">
        <v>2.9</v>
      </c>
      <c r="M30" s="6"/>
      <c r="N30" s="3">
        <v>-2.9</v>
      </c>
      <c r="O30" s="3">
        <v>0</v>
      </c>
      <c r="T30" s="7"/>
      <c r="V30" s="3">
        <v>1338.7</v>
      </c>
    </row>
    <row r="31" spans="2:22" s="3" customFormat="1" x14ac:dyDescent="0.25">
      <c r="B31" s="4"/>
      <c r="C31" s="5">
        <v>41148</v>
      </c>
      <c r="D31" s="3">
        <v>19.8</v>
      </c>
      <c r="E31" s="3">
        <v>13.8</v>
      </c>
      <c r="F31" s="3">
        <v>27.2</v>
      </c>
      <c r="G31" s="6"/>
      <c r="H31" s="6"/>
      <c r="I31" s="6"/>
      <c r="J31" s="3">
        <v>0</v>
      </c>
      <c r="K31" s="6"/>
      <c r="L31" s="3">
        <v>4.3</v>
      </c>
      <c r="M31" s="6"/>
      <c r="N31" s="3">
        <v>-4.3</v>
      </c>
      <c r="O31" s="3">
        <v>0</v>
      </c>
      <c r="T31" s="7"/>
      <c r="V31" s="3">
        <v>1501.9</v>
      </c>
    </row>
    <row r="32" spans="2:22" s="3" customFormat="1" x14ac:dyDescent="0.25">
      <c r="B32" s="4"/>
      <c r="C32" s="5">
        <v>41149</v>
      </c>
      <c r="D32" s="3">
        <v>18.2</v>
      </c>
      <c r="E32" s="3">
        <v>13.8</v>
      </c>
      <c r="F32" s="3">
        <v>22.7</v>
      </c>
      <c r="G32" s="6"/>
      <c r="H32" s="6"/>
      <c r="I32" s="6"/>
      <c r="J32" s="3">
        <v>0.1</v>
      </c>
      <c r="K32" s="6"/>
      <c r="L32" s="3">
        <v>3.7</v>
      </c>
      <c r="M32" s="6"/>
      <c r="N32" s="3">
        <v>-3.6</v>
      </c>
      <c r="O32" s="3">
        <v>0</v>
      </c>
      <c r="T32" s="7"/>
      <c r="V32" s="3">
        <v>1844.6</v>
      </c>
    </row>
    <row r="33" spans="1:27" s="3" customFormat="1" x14ac:dyDescent="0.25">
      <c r="B33" s="4"/>
      <c r="C33" s="5">
        <v>41150</v>
      </c>
      <c r="D33" s="3">
        <v>16.7</v>
      </c>
      <c r="E33" s="3">
        <v>14.1</v>
      </c>
      <c r="F33" s="3">
        <v>22.2</v>
      </c>
      <c r="G33" s="6"/>
      <c r="H33" s="6"/>
      <c r="I33" s="6"/>
      <c r="J33" s="3">
        <v>0.2</v>
      </c>
      <c r="K33" s="6"/>
      <c r="L33" s="3">
        <v>3.3</v>
      </c>
      <c r="M33" s="6"/>
      <c r="N33" s="3">
        <v>-3.0999999999999996</v>
      </c>
      <c r="O33" s="3">
        <v>0</v>
      </c>
      <c r="T33" s="7"/>
      <c r="V33" s="3">
        <v>1340.7</v>
      </c>
    </row>
    <row r="34" spans="1:27" s="3" customFormat="1" x14ac:dyDescent="0.25">
      <c r="B34" s="4"/>
      <c r="C34" s="5">
        <v>41151</v>
      </c>
      <c r="D34" s="3">
        <v>15.2</v>
      </c>
      <c r="E34" s="3">
        <v>13.6</v>
      </c>
      <c r="F34" s="3">
        <v>19.899999999999999</v>
      </c>
      <c r="G34" s="6"/>
      <c r="H34" s="6"/>
      <c r="I34" s="6"/>
      <c r="J34" s="3">
        <v>0.6</v>
      </c>
      <c r="K34" s="6"/>
      <c r="L34" s="3">
        <v>3.2</v>
      </c>
      <c r="M34" s="6"/>
      <c r="N34" s="3">
        <v>-2.6</v>
      </c>
      <c r="O34" s="3">
        <v>0</v>
      </c>
      <c r="T34" s="7"/>
      <c r="V34" s="3">
        <v>1460.5</v>
      </c>
    </row>
    <row r="35" spans="1:27" s="3" customFormat="1" x14ac:dyDescent="0.25">
      <c r="B35" s="4"/>
      <c r="C35" s="5">
        <v>41152</v>
      </c>
      <c r="D35" s="3">
        <v>13.7</v>
      </c>
      <c r="E35" s="3">
        <v>9.6999999999999993</v>
      </c>
      <c r="F35" s="3">
        <v>18.2</v>
      </c>
      <c r="G35" s="6"/>
      <c r="H35" s="6"/>
      <c r="I35" s="6"/>
      <c r="J35" s="3">
        <v>0</v>
      </c>
      <c r="K35" s="6"/>
      <c r="L35" s="3">
        <v>2.8</v>
      </c>
      <c r="M35" s="6"/>
      <c r="N35" s="3">
        <v>-2.8</v>
      </c>
      <c r="O35" s="3">
        <v>0</v>
      </c>
      <c r="T35" s="7"/>
      <c r="V35" s="3">
        <v>1343.2</v>
      </c>
    </row>
    <row r="36" spans="1:27" s="3" customFormat="1" x14ac:dyDescent="0.25">
      <c r="B36" s="4"/>
      <c r="C36" s="5">
        <v>41153</v>
      </c>
      <c r="D36" s="3">
        <v>14.7</v>
      </c>
      <c r="E36" s="3">
        <v>11.3</v>
      </c>
      <c r="F36" s="3">
        <v>17.5</v>
      </c>
      <c r="G36" s="6"/>
      <c r="H36" s="6"/>
      <c r="I36" s="6"/>
      <c r="J36" s="3">
        <v>0</v>
      </c>
      <c r="K36" s="6"/>
      <c r="L36" s="3">
        <v>0.9</v>
      </c>
      <c r="M36" s="6"/>
      <c r="N36" s="3">
        <v>-0.9</v>
      </c>
      <c r="O36" s="3">
        <v>0</v>
      </c>
      <c r="T36" s="7"/>
      <c r="V36" s="3">
        <v>639.4</v>
      </c>
    </row>
    <row r="37" spans="1:27" s="3" customFormat="1" x14ac:dyDescent="0.25">
      <c r="B37" s="4"/>
      <c r="C37" s="5">
        <v>41154</v>
      </c>
      <c r="D37" s="3">
        <v>15.5</v>
      </c>
      <c r="E37" s="3">
        <v>10.5</v>
      </c>
      <c r="F37" s="3">
        <v>20.7</v>
      </c>
      <c r="G37" s="6"/>
      <c r="H37" s="6"/>
      <c r="I37" s="6"/>
      <c r="J37" s="3">
        <v>0.2</v>
      </c>
      <c r="K37" s="6"/>
      <c r="L37" s="3">
        <v>3</v>
      </c>
      <c r="M37" s="6"/>
      <c r="N37" s="3">
        <v>-2.8</v>
      </c>
      <c r="O37" s="3">
        <v>0</v>
      </c>
      <c r="T37" s="7"/>
      <c r="V37" s="3">
        <v>1625.9</v>
      </c>
    </row>
    <row r="38" spans="1:27" s="3" customFormat="1" x14ac:dyDescent="0.25">
      <c r="B38" s="4"/>
      <c r="C38" s="5">
        <v>41155</v>
      </c>
      <c r="D38" s="3">
        <v>16.399999999999999</v>
      </c>
      <c r="E38" s="3">
        <v>12.2</v>
      </c>
      <c r="F38" s="3">
        <v>19.3</v>
      </c>
      <c r="G38" s="6"/>
      <c r="H38" s="6"/>
      <c r="I38" s="6"/>
      <c r="J38" s="3">
        <v>0.2</v>
      </c>
      <c r="K38" s="6"/>
      <c r="L38" s="3">
        <v>1</v>
      </c>
      <c r="M38" s="6"/>
      <c r="N38" s="3">
        <v>-0.8</v>
      </c>
      <c r="O38" s="3">
        <v>0</v>
      </c>
      <c r="T38" s="7"/>
      <c r="V38" s="3">
        <v>578.4</v>
      </c>
    </row>
    <row r="39" spans="1:27" s="3" customFormat="1" x14ac:dyDescent="0.25">
      <c r="B39" s="4"/>
      <c r="C39" s="5">
        <v>41156</v>
      </c>
      <c r="D39" s="3">
        <v>17.5</v>
      </c>
      <c r="E39" s="3">
        <v>13.7</v>
      </c>
      <c r="F39" s="3">
        <v>21.3</v>
      </c>
      <c r="G39" s="6"/>
      <c r="H39" s="6"/>
      <c r="I39" s="6"/>
      <c r="J39" s="3">
        <v>0</v>
      </c>
      <c r="K39" s="6"/>
      <c r="L39" s="3">
        <v>1.8</v>
      </c>
      <c r="M39" s="6"/>
      <c r="N39" s="3">
        <v>-1.8</v>
      </c>
      <c r="O39" s="3">
        <v>0</v>
      </c>
      <c r="T39" s="7">
        <v>0</v>
      </c>
      <c r="V39" s="3">
        <v>957.5</v>
      </c>
    </row>
    <row r="40" spans="1:27" s="3" customFormat="1" x14ac:dyDescent="0.25">
      <c r="A40" s="71" t="s">
        <v>0</v>
      </c>
      <c r="B40" s="71"/>
      <c r="C40" s="71"/>
      <c r="D40" s="71"/>
      <c r="E40" s="71"/>
      <c r="F40" s="71"/>
      <c r="G40" s="71"/>
      <c r="H40" s="71"/>
      <c r="I40" s="71"/>
      <c r="J40" s="71"/>
      <c r="K40" s="71"/>
      <c r="L40" s="71"/>
      <c r="M40" s="71"/>
      <c r="N40" s="71"/>
      <c r="O40" s="71"/>
      <c r="P40" s="71"/>
      <c r="Q40" s="71"/>
      <c r="R40" s="71"/>
      <c r="S40" s="71"/>
      <c r="T40" s="71"/>
      <c r="U40" s="71"/>
      <c r="V40" s="71"/>
      <c r="W40" s="71"/>
      <c r="X40" s="71"/>
      <c r="Y40" s="71"/>
      <c r="Z40" s="71"/>
    </row>
    <row r="41" spans="1:27" s="3" customFormat="1" x14ac:dyDescent="0.25">
      <c r="A41" s="72" t="s">
        <v>1</v>
      </c>
      <c r="B41" s="8"/>
      <c r="C41" s="9">
        <v>41157</v>
      </c>
      <c r="D41" s="3">
        <v>17.600000000000001</v>
      </c>
      <c r="E41" s="3">
        <v>15.6</v>
      </c>
      <c r="F41" s="3">
        <v>23</v>
      </c>
      <c r="G41" s="3">
        <f>17.6</f>
        <v>17.600000000000001</v>
      </c>
      <c r="I41" s="10" t="s">
        <v>2</v>
      </c>
      <c r="J41" s="3">
        <v>0</v>
      </c>
      <c r="K41" s="3">
        <f>J41</f>
        <v>0</v>
      </c>
      <c r="L41" s="3">
        <v>2.5</v>
      </c>
      <c r="M41" s="3">
        <f>L41</f>
        <v>2.5</v>
      </c>
      <c r="N41" s="3">
        <v>-2.5</v>
      </c>
      <c r="O41" s="3">
        <v>0</v>
      </c>
      <c r="P41" s="3">
        <v>1</v>
      </c>
      <c r="Q41" s="3">
        <v>0.35</v>
      </c>
      <c r="R41" s="7">
        <f t="shared" ref="R41:R104" si="1">Q41*L41</f>
        <v>0.875</v>
      </c>
      <c r="S41" s="7">
        <f t="shared" ref="S41:S104" si="2">J41-R41</f>
        <v>-0.875</v>
      </c>
      <c r="T41" s="7">
        <v>0</v>
      </c>
      <c r="U41" s="10" t="s">
        <v>3</v>
      </c>
      <c r="V41" s="3">
        <v>1003.5</v>
      </c>
      <c r="X41" s="3">
        <f>V41</f>
        <v>1003.5</v>
      </c>
      <c r="Z41" s="10" t="s">
        <v>4</v>
      </c>
      <c r="AA41" s="3">
        <v>13.239406444861901</v>
      </c>
    </row>
    <row r="42" spans="1:27" s="3" customFormat="1" x14ac:dyDescent="0.25">
      <c r="A42" s="72"/>
      <c r="B42" s="8"/>
      <c r="C42" s="9">
        <v>41158</v>
      </c>
      <c r="D42" s="3">
        <v>15.8</v>
      </c>
      <c r="E42" s="3">
        <v>9.6</v>
      </c>
      <c r="F42" s="3">
        <v>23.6</v>
      </c>
      <c r="G42" s="3">
        <f>G41+D42</f>
        <v>33.400000000000006</v>
      </c>
      <c r="I42" s="3">
        <f>MIN(E41:E170)</f>
        <v>-3.7</v>
      </c>
      <c r="J42" s="3">
        <v>0</v>
      </c>
      <c r="K42" s="3">
        <f>J42+K41</f>
        <v>0</v>
      </c>
      <c r="L42" s="3">
        <v>4.3</v>
      </c>
      <c r="M42" s="3">
        <f>M41+L42</f>
        <v>6.8</v>
      </c>
      <c r="N42" s="3">
        <v>-4.3</v>
      </c>
      <c r="O42" s="3">
        <v>0</v>
      </c>
      <c r="P42" s="3">
        <v>2</v>
      </c>
      <c r="Q42" s="3">
        <v>0.35</v>
      </c>
      <c r="R42" s="7">
        <f t="shared" si="1"/>
        <v>1.5049999999999999</v>
      </c>
      <c r="S42" s="7">
        <f t="shared" si="2"/>
        <v>-1.5049999999999999</v>
      </c>
      <c r="T42" s="7">
        <v>0</v>
      </c>
      <c r="U42" s="3">
        <v>55</v>
      </c>
      <c r="V42" s="3">
        <v>2183.6</v>
      </c>
      <c r="X42" s="3">
        <f>X41+V42</f>
        <v>3187.1</v>
      </c>
      <c r="Z42" s="3">
        <v>68962.099999999991</v>
      </c>
      <c r="AA42" s="3">
        <v>13.182641166102099</v>
      </c>
    </row>
    <row r="43" spans="1:27" s="3" customFormat="1" x14ac:dyDescent="0.25">
      <c r="A43" s="72"/>
      <c r="B43" s="8"/>
      <c r="C43" s="9">
        <v>41159</v>
      </c>
      <c r="D43" s="3">
        <v>16</v>
      </c>
      <c r="E43" s="3">
        <v>7.2</v>
      </c>
      <c r="F43" s="3">
        <v>26</v>
      </c>
      <c r="G43" s="3">
        <f t="shared" ref="G43:G106" si="3">G42+D43</f>
        <v>49.400000000000006</v>
      </c>
      <c r="I43" s="10" t="s">
        <v>5</v>
      </c>
      <c r="J43" s="3">
        <v>0.1</v>
      </c>
      <c r="K43" s="3">
        <f t="shared" ref="K43:K106" si="4">J43+K42</f>
        <v>0.1</v>
      </c>
      <c r="L43" s="3">
        <v>4.3</v>
      </c>
      <c r="M43" s="3">
        <f t="shared" ref="M43:M106" si="5">M42+L43</f>
        <v>11.1</v>
      </c>
      <c r="N43" s="3">
        <v>-4.2</v>
      </c>
      <c r="O43" s="3">
        <v>0</v>
      </c>
      <c r="P43" s="3">
        <v>3</v>
      </c>
      <c r="Q43" s="3">
        <v>0.35</v>
      </c>
      <c r="R43" s="7">
        <f t="shared" si="1"/>
        <v>1.5049999999999999</v>
      </c>
      <c r="S43" s="7">
        <f t="shared" si="2"/>
        <v>-1.4049999999999998</v>
      </c>
      <c r="T43" s="7">
        <v>0</v>
      </c>
      <c r="U43" s="10" t="s">
        <v>6</v>
      </c>
      <c r="V43" s="3">
        <v>2032.4</v>
      </c>
      <c r="X43" s="3">
        <f t="shared" ref="X43:X106" si="6">X42+V43</f>
        <v>5219.5</v>
      </c>
      <c r="Z43" s="10" t="s">
        <v>7</v>
      </c>
      <c r="AA43" s="3">
        <v>13.1257537242615</v>
      </c>
    </row>
    <row r="44" spans="1:27" s="3" customFormat="1" x14ac:dyDescent="0.25">
      <c r="A44" s="72"/>
      <c r="B44" s="8"/>
      <c r="C44" s="9">
        <v>41160</v>
      </c>
      <c r="D44" s="3">
        <v>17.600000000000001</v>
      </c>
      <c r="E44" s="3">
        <v>7.9</v>
      </c>
      <c r="F44" s="3">
        <v>28.4</v>
      </c>
      <c r="G44" s="3">
        <f t="shared" si="3"/>
        <v>67</v>
      </c>
      <c r="I44" s="3">
        <f>MAX(F41:F170)</f>
        <v>28.4</v>
      </c>
      <c r="J44" s="3">
        <v>0</v>
      </c>
      <c r="K44" s="3">
        <f t="shared" si="4"/>
        <v>0.1</v>
      </c>
      <c r="L44" s="3">
        <v>4.9000000000000004</v>
      </c>
      <c r="M44" s="3">
        <f t="shared" si="5"/>
        <v>16</v>
      </c>
      <c r="N44" s="3">
        <v>-4.9000000000000004</v>
      </c>
      <c r="O44" s="3">
        <v>0</v>
      </c>
      <c r="P44" s="3">
        <v>4</v>
      </c>
      <c r="Q44" s="3">
        <v>0.35</v>
      </c>
      <c r="R44" s="7">
        <f t="shared" si="1"/>
        <v>1.7150000000000001</v>
      </c>
      <c r="S44" s="7">
        <f t="shared" si="2"/>
        <v>-1.7150000000000001</v>
      </c>
      <c r="T44" s="7">
        <v>0</v>
      </c>
      <c r="U44" s="3">
        <v>5</v>
      </c>
      <c r="V44" s="3">
        <v>2103</v>
      </c>
      <c r="X44" s="3">
        <f t="shared" si="6"/>
        <v>7322.5</v>
      </c>
      <c r="Z44" s="3">
        <f>(Z42/100)/I54</f>
        <v>0.52070446994865582</v>
      </c>
      <c r="AA44" s="3">
        <v>13.0687515053807</v>
      </c>
    </row>
    <row r="45" spans="1:27" s="3" customFormat="1" x14ac:dyDescent="0.25">
      <c r="A45" s="72"/>
      <c r="B45" s="8"/>
      <c r="C45" s="9">
        <v>41161</v>
      </c>
      <c r="D45" s="3">
        <v>16.600000000000001</v>
      </c>
      <c r="E45" s="3">
        <v>8.5</v>
      </c>
      <c r="F45" s="3">
        <v>25.3</v>
      </c>
      <c r="G45" s="3">
        <f t="shared" si="3"/>
        <v>83.6</v>
      </c>
      <c r="I45" s="10" t="s">
        <v>8</v>
      </c>
      <c r="J45" s="3">
        <v>0</v>
      </c>
      <c r="K45" s="3">
        <f t="shared" si="4"/>
        <v>0.1</v>
      </c>
      <c r="L45" s="3">
        <v>3.5</v>
      </c>
      <c r="M45" s="3">
        <f t="shared" si="5"/>
        <v>19.5</v>
      </c>
      <c r="N45" s="3">
        <v>-3.5</v>
      </c>
      <c r="O45" s="3">
        <v>0</v>
      </c>
      <c r="P45" s="3">
        <v>5</v>
      </c>
      <c r="Q45" s="3">
        <v>0.35</v>
      </c>
      <c r="R45" s="7">
        <f t="shared" si="1"/>
        <v>1.2249999999999999</v>
      </c>
      <c r="S45" s="7">
        <f t="shared" si="2"/>
        <v>-1.2249999999999999</v>
      </c>
      <c r="T45" s="7">
        <v>0</v>
      </c>
      <c r="U45" s="10" t="s">
        <v>9</v>
      </c>
      <c r="V45" s="3">
        <v>1827.4</v>
      </c>
      <c r="X45" s="3">
        <f t="shared" si="6"/>
        <v>9149.9</v>
      </c>
      <c r="Z45" s="10" t="s">
        <v>10</v>
      </c>
      <c r="AA45" s="3">
        <v>13.0116416538983</v>
      </c>
    </row>
    <row r="46" spans="1:27" s="3" customFormat="1" x14ac:dyDescent="0.25">
      <c r="A46" s="72"/>
      <c r="B46" s="8"/>
      <c r="C46" s="9">
        <v>41162</v>
      </c>
      <c r="D46" s="3">
        <v>18.600000000000001</v>
      </c>
      <c r="E46" s="3">
        <v>14.7</v>
      </c>
      <c r="F46" s="3">
        <v>23.6</v>
      </c>
      <c r="G46" s="3">
        <f t="shared" si="3"/>
        <v>102.19999999999999</v>
      </c>
      <c r="I46" s="7">
        <f>AVERAGE(D41:D170)</f>
        <v>10.177692307692299</v>
      </c>
      <c r="J46" s="3">
        <v>3.4</v>
      </c>
      <c r="K46" s="3">
        <f t="shared" si="4"/>
        <v>3.5</v>
      </c>
      <c r="L46" s="3">
        <v>1.8</v>
      </c>
      <c r="M46" s="3">
        <f t="shared" si="5"/>
        <v>21.3</v>
      </c>
      <c r="N46" s="3">
        <v>1.5999999999999999</v>
      </c>
      <c r="O46" s="3">
        <f t="shared" ref="O46:O51" si="7">O45+N46</f>
        <v>1.5999999999999999</v>
      </c>
      <c r="P46" s="3">
        <v>6</v>
      </c>
      <c r="Q46" s="3">
        <v>0.35</v>
      </c>
      <c r="R46" s="7">
        <f t="shared" si="1"/>
        <v>0.63</v>
      </c>
      <c r="S46" s="7">
        <f t="shared" si="2"/>
        <v>2.77</v>
      </c>
      <c r="T46" s="7">
        <f t="shared" ref="T46:T109" si="8">MIN(197.4,T45+S46)</f>
        <v>2.77</v>
      </c>
      <c r="U46" s="3">
        <v>26</v>
      </c>
      <c r="V46" s="3">
        <v>687.3</v>
      </c>
      <c r="X46" s="3">
        <f t="shared" si="6"/>
        <v>9837.1999999999989</v>
      </c>
      <c r="Z46" s="3">
        <v>111</v>
      </c>
      <c r="AA46" s="3">
        <v>12.9544310880942</v>
      </c>
    </row>
    <row r="47" spans="1:27" s="3" customFormat="1" x14ac:dyDescent="0.25">
      <c r="A47" s="72"/>
      <c r="B47" s="8"/>
      <c r="C47" s="9">
        <v>41163</v>
      </c>
      <c r="D47" s="3">
        <v>15.8</v>
      </c>
      <c r="E47" s="3">
        <v>15.1</v>
      </c>
      <c r="F47" s="3">
        <v>18.8</v>
      </c>
      <c r="G47" s="3">
        <f t="shared" si="3"/>
        <v>117.99999999999999</v>
      </c>
      <c r="I47" s="10" t="s">
        <v>11</v>
      </c>
      <c r="J47" s="3">
        <v>8</v>
      </c>
      <c r="K47" s="3">
        <f t="shared" si="4"/>
        <v>11.5</v>
      </c>
      <c r="L47" s="3">
        <v>1.5</v>
      </c>
      <c r="M47" s="3">
        <f t="shared" si="5"/>
        <v>22.8</v>
      </c>
      <c r="N47" s="3">
        <v>6.5</v>
      </c>
      <c r="O47" s="3">
        <f>O46+N47</f>
        <v>8.1</v>
      </c>
      <c r="P47" s="3">
        <v>7</v>
      </c>
      <c r="Q47" s="3">
        <v>0.35</v>
      </c>
      <c r="R47" s="7">
        <f t="shared" si="1"/>
        <v>0.52499999999999991</v>
      </c>
      <c r="S47" s="7">
        <f t="shared" si="2"/>
        <v>7.4749999999999996</v>
      </c>
      <c r="T47" s="7">
        <f t="shared" si="8"/>
        <v>10.244999999999999</v>
      </c>
      <c r="U47" s="10" t="s">
        <v>12</v>
      </c>
      <c r="V47" s="3">
        <v>546.70000000000005</v>
      </c>
      <c r="X47" s="3">
        <f t="shared" si="6"/>
        <v>10383.9</v>
      </c>
      <c r="AA47" s="3">
        <v>12.8971265156125</v>
      </c>
    </row>
    <row r="48" spans="1:27" s="3" customFormat="1" x14ac:dyDescent="0.25">
      <c r="A48" s="72"/>
      <c r="B48" s="8"/>
      <c r="C48" s="9">
        <v>41164</v>
      </c>
      <c r="D48" s="3">
        <v>14.8</v>
      </c>
      <c r="E48" s="3">
        <v>11.8</v>
      </c>
      <c r="F48" s="3">
        <v>19.100000000000001</v>
      </c>
      <c r="G48" s="3">
        <f t="shared" si="3"/>
        <v>132.79999999999998</v>
      </c>
      <c r="I48" s="3">
        <v>6</v>
      </c>
      <c r="J48" s="3">
        <v>1</v>
      </c>
      <c r="K48" s="3">
        <f t="shared" si="4"/>
        <v>12.5</v>
      </c>
      <c r="L48" s="3">
        <v>1.5</v>
      </c>
      <c r="M48" s="3">
        <f t="shared" si="5"/>
        <v>24.3</v>
      </c>
      <c r="N48" s="3">
        <v>-0.5</v>
      </c>
      <c r="O48" s="3">
        <f t="shared" si="7"/>
        <v>7.6</v>
      </c>
      <c r="P48" s="3">
        <v>8</v>
      </c>
      <c r="Q48" s="3">
        <v>0.35</v>
      </c>
      <c r="R48" s="7">
        <f t="shared" si="1"/>
        <v>0.52499999999999991</v>
      </c>
      <c r="S48" s="7">
        <f t="shared" si="2"/>
        <v>0.47500000000000009</v>
      </c>
      <c r="T48" s="7">
        <f t="shared" si="8"/>
        <v>10.719999999999999</v>
      </c>
      <c r="U48" s="7">
        <v>0</v>
      </c>
      <c r="V48" s="3">
        <v>543.79999999999995</v>
      </c>
      <c r="X48" s="3">
        <f t="shared" si="6"/>
        <v>10927.699999999999</v>
      </c>
      <c r="AA48" s="3">
        <v>12.8397344490566</v>
      </c>
    </row>
    <row r="49" spans="1:27" s="3" customFormat="1" x14ac:dyDescent="0.25">
      <c r="A49" s="72"/>
      <c r="B49" s="8"/>
      <c r="C49" s="9">
        <v>41165</v>
      </c>
      <c r="D49" s="3">
        <v>14</v>
      </c>
      <c r="E49" s="3">
        <v>11</v>
      </c>
      <c r="F49" s="3">
        <v>18</v>
      </c>
      <c r="G49" s="3">
        <f t="shared" si="3"/>
        <v>146.79999999999998</v>
      </c>
      <c r="I49" s="10" t="s">
        <v>13</v>
      </c>
      <c r="J49" s="3">
        <v>0</v>
      </c>
      <c r="K49" s="3">
        <f t="shared" si="4"/>
        <v>12.5</v>
      </c>
      <c r="L49" s="3">
        <v>3.4</v>
      </c>
      <c r="M49" s="3">
        <f t="shared" si="5"/>
        <v>27.7</v>
      </c>
      <c r="N49" s="3">
        <v>-3.4</v>
      </c>
      <c r="O49" s="3">
        <f t="shared" si="7"/>
        <v>4.1999999999999993</v>
      </c>
      <c r="P49" s="3">
        <v>9</v>
      </c>
      <c r="Q49" s="3">
        <v>0.35</v>
      </c>
      <c r="R49" s="7">
        <f t="shared" si="1"/>
        <v>1.19</v>
      </c>
      <c r="S49" s="7">
        <f t="shared" si="2"/>
        <v>-1.19</v>
      </c>
      <c r="T49" s="7">
        <f t="shared" si="8"/>
        <v>9.5299999999999994</v>
      </c>
      <c r="U49" s="10" t="s">
        <v>14</v>
      </c>
      <c r="V49" s="3">
        <v>1761.5</v>
      </c>
      <c r="X49" s="3">
        <f t="shared" si="6"/>
        <v>12689.199999999999</v>
      </c>
      <c r="AA49" s="3">
        <v>12.78226122165</v>
      </c>
    </row>
    <row r="50" spans="1:27" s="3" customFormat="1" x14ac:dyDescent="0.25">
      <c r="A50" s="72"/>
      <c r="B50" s="8"/>
      <c r="C50" s="9">
        <v>41166</v>
      </c>
      <c r="D50" s="3">
        <v>14.2</v>
      </c>
      <c r="E50" s="3">
        <v>8.6</v>
      </c>
      <c r="F50" s="3">
        <v>19</v>
      </c>
      <c r="G50" s="3">
        <f t="shared" si="3"/>
        <v>160.99999999999997</v>
      </c>
      <c r="I50" s="3">
        <v>3</v>
      </c>
      <c r="J50" s="3">
        <v>0</v>
      </c>
      <c r="K50" s="3">
        <f t="shared" si="4"/>
        <v>12.5</v>
      </c>
      <c r="L50" s="3">
        <v>0.7</v>
      </c>
      <c r="M50" s="3">
        <f t="shared" si="5"/>
        <v>28.4</v>
      </c>
      <c r="N50" s="3">
        <v>-0.7</v>
      </c>
      <c r="O50" s="3">
        <f t="shared" si="7"/>
        <v>3.4999999999999991</v>
      </c>
      <c r="P50" s="3">
        <v>10</v>
      </c>
      <c r="Q50" s="3">
        <f>0.35+((P50-9)/121)*(1-0.35)</f>
        <v>0.35537190082644626</v>
      </c>
      <c r="R50" s="7">
        <f t="shared" si="1"/>
        <v>0.24876033057851238</v>
      </c>
      <c r="S50" s="7">
        <f t="shared" si="2"/>
        <v>-0.24876033057851238</v>
      </c>
      <c r="T50" s="7">
        <f t="shared" si="8"/>
        <v>9.2812396694214865</v>
      </c>
      <c r="U50" s="7">
        <f>MAX(T41:T170)</f>
        <v>197.4</v>
      </c>
      <c r="V50" s="3">
        <v>369.3</v>
      </c>
      <c r="X50" s="3">
        <f t="shared" si="6"/>
        <v>13058.499999999998</v>
      </c>
      <c r="AA50" s="3">
        <v>12.7247130029575</v>
      </c>
    </row>
    <row r="51" spans="1:27" s="3" customFormat="1" x14ac:dyDescent="0.25">
      <c r="A51" s="72"/>
      <c r="B51" s="8"/>
      <c r="C51" s="9">
        <v>41167</v>
      </c>
      <c r="D51" s="3">
        <v>15.1</v>
      </c>
      <c r="E51" s="3">
        <v>11.8</v>
      </c>
      <c r="F51" s="3">
        <v>21.1</v>
      </c>
      <c r="G51" s="3">
        <f t="shared" si="3"/>
        <v>176.09999999999997</v>
      </c>
      <c r="I51" s="10" t="s">
        <v>15</v>
      </c>
      <c r="J51" s="3">
        <v>0</v>
      </c>
      <c r="K51" s="3">
        <f t="shared" si="4"/>
        <v>12.5</v>
      </c>
      <c r="L51" s="3">
        <v>3.2</v>
      </c>
      <c r="M51" s="3">
        <f t="shared" si="5"/>
        <v>31.599999999999998</v>
      </c>
      <c r="N51" s="3">
        <v>-3.2</v>
      </c>
      <c r="O51" s="3">
        <f t="shared" si="7"/>
        <v>0.29999999999999893</v>
      </c>
      <c r="P51" s="3">
        <v>11</v>
      </c>
      <c r="Q51" s="3">
        <f t="shared" ref="Q51:Q114" si="9">0.35+((P51-9)/121)*(1-0.35)</f>
        <v>0.36074380165289255</v>
      </c>
      <c r="R51" s="7">
        <f t="shared" si="1"/>
        <v>1.1543801652892562</v>
      </c>
      <c r="S51" s="7">
        <f t="shared" si="2"/>
        <v>-1.1543801652892562</v>
      </c>
      <c r="T51" s="7">
        <f t="shared" si="8"/>
        <v>8.1268595041322307</v>
      </c>
      <c r="U51" s="10" t="s">
        <v>16</v>
      </c>
      <c r="V51" s="3">
        <v>1734.2</v>
      </c>
      <c r="X51" s="3">
        <f t="shared" si="6"/>
        <v>14792.699999999999</v>
      </c>
      <c r="AA51" s="3">
        <v>12.667095814664201</v>
      </c>
    </row>
    <row r="52" spans="1:27" s="3" customFormat="1" x14ac:dyDescent="0.25">
      <c r="A52" s="72"/>
      <c r="B52" s="8"/>
      <c r="C52" s="9">
        <v>41168</v>
      </c>
      <c r="D52" s="3">
        <v>14.3</v>
      </c>
      <c r="E52" s="3">
        <v>8.1</v>
      </c>
      <c r="F52" s="3">
        <v>22.7</v>
      </c>
      <c r="G52" s="3">
        <f t="shared" si="3"/>
        <v>190.39999999999998</v>
      </c>
      <c r="I52" s="3">
        <v>27</v>
      </c>
      <c r="J52" s="3">
        <v>0</v>
      </c>
      <c r="K52" s="3">
        <f t="shared" si="4"/>
        <v>12.5</v>
      </c>
      <c r="L52" s="3">
        <v>3.3</v>
      </c>
      <c r="M52" s="3">
        <f t="shared" si="5"/>
        <v>34.9</v>
      </c>
      <c r="N52" s="3">
        <v>-3.3</v>
      </c>
      <c r="O52" s="3">
        <v>0</v>
      </c>
      <c r="P52" s="3">
        <v>12</v>
      </c>
      <c r="Q52" s="3">
        <f t="shared" si="9"/>
        <v>0.36611570247933883</v>
      </c>
      <c r="R52" s="7">
        <f t="shared" si="1"/>
        <v>1.208181818181818</v>
      </c>
      <c r="S52" s="7">
        <f t="shared" si="2"/>
        <v>-1.208181818181818</v>
      </c>
      <c r="T52" s="7">
        <f t="shared" si="8"/>
        <v>6.9186776859504127</v>
      </c>
      <c r="U52" s="20">
        <f>AVERAGE(T41:T170)</f>
        <v>138.26905785123969</v>
      </c>
      <c r="V52" s="3">
        <v>1801.4</v>
      </c>
      <c r="X52" s="3">
        <f t="shared" si="6"/>
        <v>16594.099999999999</v>
      </c>
      <c r="AA52" s="3">
        <v>12.6094155464097</v>
      </c>
    </row>
    <row r="53" spans="1:27" s="3" customFormat="1" x14ac:dyDescent="0.25">
      <c r="A53" s="72"/>
      <c r="B53" s="8"/>
      <c r="C53" s="9">
        <v>41169</v>
      </c>
      <c r="D53" s="3">
        <v>14.4</v>
      </c>
      <c r="E53" s="3">
        <v>9.5</v>
      </c>
      <c r="F53" s="3">
        <v>20.399999999999999</v>
      </c>
      <c r="G53" s="3">
        <f t="shared" si="3"/>
        <v>204.79999999999998</v>
      </c>
      <c r="I53" s="10" t="s">
        <v>17</v>
      </c>
      <c r="J53" s="3">
        <v>0</v>
      </c>
      <c r="K53" s="3">
        <f t="shared" si="4"/>
        <v>12.5</v>
      </c>
      <c r="L53" s="3">
        <v>1.6</v>
      </c>
      <c r="M53" s="3">
        <f t="shared" si="5"/>
        <v>36.5</v>
      </c>
      <c r="N53" s="3">
        <v>-1.6</v>
      </c>
      <c r="O53" s="3">
        <v>0</v>
      </c>
      <c r="P53" s="3">
        <v>13</v>
      </c>
      <c r="Q53" s="3">
        <f t="shared" si="9"/>
        <v>0.37148760330578512</v>
      </c>
      <c r="R53" s="7">
        <f t="shared" si="1"/>
        <v>0.59438016528925619</v>
      </c>
      <c r="S53" s="7">
        <f t="shared" si="2"/>
        <v>-0.59438016528925619</v>
      </c>
      <c r="T53" s="7">
        <f t="shared" si="8"/>
        <v>6.3242975206611565</v>
      </c>
      <c r="V53" s="3">
        <v>744</v>
      </c>
      <c r="X53" s="3">
        <f t="shared" si="6"/>
        <v>17338.099999999999</v>
      </c>
      <c r="AA53" s="3">
        <v>12.5516779716794</v>
      </c>
    </row>
    <row r="54" spans="1:27" s="3" customFormat="1" x14ac:dyDescent="0.25">
      <c r="A54" s="72"/>
      <c r="B54" s="8"/>
      <c r="C54" s="9">
        <v>41170</v>
      </c>
      <c r="D54" s="3">
        <v>13.6</v>
      </c>
      <c r="E54" s="3">
        <v>11.6</v>
      </c>
      <c r="F54" s="3">
        <v>18.7</v>
      </c>
      <c r="G54" s="3">
        <f t="shared" si="3"/>
        <v>218.39999999999998</v>
      </c>
      <c r="I54" s="3">
        <v>1324.4</v>
      </c>
      <c r="J54" s="3">
        <v>0</v>
      </c>
      <c r="K54" s="3">
        <f t="shared" si="4"/>
        <v>12.5</v>
      </c>
      <c r="L54" s="3">
        <v>2.4</v>
      </c>
      <c r="M54" s="3">
        <f t="shared" si="5"/>
        <v>38.9</v>
      </c>
      <c r="N54" s="3">
        <v>-2.4</v>
      </c>
      <c r="O54" s="3">
        <v>0</v>
      </c>
      <c r="P54" s="3">
        <v>14</v>
      </c>
      <c r="Q54" s="3">
        <f t="shared" si="9"/>
        <v>0.3768595041322314</v>
      </c>
      <c r="R54" s="7">
        <f t="shared" si="1"/>
        <v>0.90446280991735528</v>
      </c>
      <c r="S54" s="7">
        <f t="shared" si="2"/>
        <v>-0.90446280991735528</v>
      </c>
      <c r="T54" s="7">
        <f t="shared" si="8"/>
        <v>5.4198347107438014</v>
      </c>
      <c r="U54" s="7">
        <f>(U52*100)/197.4</f>
        <v>70.045115426159924</v>
      </c>
      <c r="V54" s="3">
        <v>1067.7</v>
      </c>
      <c r="X54" s="3">
        <f t="shared" si="6"/>
        <v>18405.8</v>
      </c>
      <c r="AA54" s="3">
        <v>12.4938887637508</v>
      </c>
    </row>
    <row r="55" spans="1:27" s="3" customFormat="1" x14ac:dyDescent="0.25">
      <c r="A55" s="72"/>
      <c r="B55" s="8"/>
      <c r="C55" s="9">
        <v>41171</v>
      </c>
      <c r="D55" s="3">
        <v>10.7</v>
      </c>
      <c r="E55" s="3">
        <v>5</v>
      </c>
      <c r="F55" s="3">
        <v>18.600000000000001</v>
      </c>
      <c r="G55" s="3">
        <f t="shared" si="3"/>
        <v>229.09999999999997</v>
      </c>
      <c r="J55" s="3">
        <v>0</v>
      </c>
      <c r="K55" s="3">
        <f t="shared" si="4"/>
        <v>12.5</v>
      </c>
      <c r="L55" s="3">
        <v>2.8</v>
      </c>
      <c r="M55" s="3">
        <f t="shared" si="5"/>
        <v>41.699999999999996</v>
      </c>
      <c r="N55" s="3">
        <v>-2.8</v>
      </c>
      <c r="O55" s="3">
        <v>0</v>
      </c>
      <c r="P55" s="3">
        <v>15</v>
      </c>
      <c r="Q55" s="3">
        <f t="shared" si="9"/>
        <v>0.38223140495867769</v>
      </c>
      <c r="R55" s="7">
        <f t="shared" si="1"/>
        <v>1.0702479338842974</v>
      </c>
      <c r="S55" s="7">
        <f t="shared" si="2"/>
        <v>-1.0702479338842974</v>
      </c>
      <c r="T55" s="7">
        <f t="shared" si="8"/>
        <v>4.3495867768595042</v>
      </c>
      <c r="V55" s="3">
        <v>1539.5</v>
      </c>
      <c r="X55" s="3">
        <f t="shared" si="6"/>
        <v>19945.3</v>
      </c>
      <c r="AA55" s="3">
        <v>12.436053511699001</v>
      </c>
    </row>
    <row r="56" spans="1:27" s="3" customFormat="1" x14ac:dyDescent="0.25">
      <c r="A56" s="72"/>
      <c r="B56" s="8"/>
      <c r="C56" s="9">
        <v>41172</v>
      </c>
      <c r="D56" s="3">
        <v>10.8</v>
      </c>
      <c r="E56" s="3">
        <v>3.4</v>
      </c>
      <c r="F56" s="3">
        <v>19.8</v>
      </c>
      <c r="G56" s="3">
        <f t="shared" si="3"/>
        <v>239.89999999999998</v>
      </c>
      <c r="J56" s="3">
        <v>0</v>
      </c>
      <c r="K56" s="3">
        <f t="shared" si="4"/>
        <v>12.5</v>
      </c>
      <c r="L56" s="3">
        <v>2.9</v>
      </c>
      <c r="M56" s="3">
        <f t="shared" si="5"/>
        <v>44.599999999999994</v>
      </c>
      <c r="N56" s="3">
        <v>-2.9</v>
      </c>
      <c r="O56" s="3">
        <v>0</v>
      </c>
      <c r="P56" s="3">
        <v>16</v>
      </c>
      <c r="Q56" s="3">
        <f t="shared" si="9"/>
        <v>0.38760330578512392</v>
      </c>
      <c r="R56" s="7">
        <f t="shared" si="1"/>
        <v>1.1240495867768594</v>
      </c>
      <c r="S56" s="7">
        <f t="shared" si="2"/>
        <v>-1.1240495867768594</v>
      </c>
      <c r="T56" s="7">
        <f t="shared" si="8"/>
        <v>3.2255371900826448</v>
      </c>
      <c r="V56" s="3">
        <v>1588.1</v>
      </c>
      <c r="X56" s="3">
        <f t="shared" si="6"/>
        <v>21533.399999999998</v>
      </c>
      <c r="AA56" s="3">
        <v>12.378177736463099</v>
      </c>
    </row>
    <row r="57" spans="1:27" s="3" customFormat="1" x14ac:dyDescent="0.25">
      <c r="A57" s="72"/>
      <c r="B57" s="8"/>
      <c r="C57" s="9">
        <v>41173</v>
      </c>
      <c r="D57" s="3">
        <v>8.3000000000000007</v>
      </c>
      <c r="E57" s="3">
        <v>4.5</v>
      </c>
      <c r="F57" s="3">
        <v>10.199999999999999</v>
      </c>
      <c r="G57" s="3">
        <f t="shared" si="3"/>
        <v>248.2</v>
      </c>
      <c r="J57" s="3">
        <v>14.9</v>
      </c>
      <c r="K57" s="3">
        <f t="shared" si="4"/>
        <v>27.4</v>
      </c>
      <c r="L57" s="3">
        <v>0.7</v>
      </c>
      <c r="M57" s="3">
        <f t="shared" si="5"/>
        <v>45.3</v>
      </c>
      <c r="N57" s="3">
        <v>14.200000000000001</v>
      </c>
      <c r="O57" s="3">
        <f t="shared" ref="O57:O120" si="10">O56+N57</f>
        <v>14.200000000000001</v>
      </c>
      <c r="P57" s="3">
        <v>17</v>
      </c>
      <c r="Q57" s="3">
        <f t="shared" si="9"/>
        <v>0.3929752066115702</v>
      </c>
      <c r="R57" s="7">
        <f t="shared" si="1"/>
        <v>0.27508264462809912</v>
      </c>
      <c r="S57" s="7">
        <f t="shared" si="2"/>
        <v>14.624917355371901</v>
      </c>
      <c r="T57" s="7">
        <f t="shared" si="8"/>
        <v>17.850454545454546</v>
      </c>
      <c r="V57" s="3">
        <v>537.6</v>
      </c>
      <c r="X57" s="3">
        <f t="shared" si="6"/>
        <v>22070.999999999996</v>
      </c>
      <c r="AA57" s="3">
        <v>12.320266906978199</v>
      </c>
    </row>
    <row r="58" spans="1:27" s="3" customFormat="1" x14ac:dyDescent="0.25">
      <c r="A58" s="72"/>
      <c r="B58" s="8"/>
      <c r="C58" s="9">
        <v>41174</v>
      </c>
      <c r="D58" s="3">
        <v>13.2</v>
      </c>
      <c r="E58" s="3">
        <v>8</v>
      </c>
      <c r="F58" s="3">
        <v>18.399999999999999</v>
      </c>
      <c r="G58" s="3">
        <f t="shared" si="3"/>
        <v>261.39999999999998</v>
      </c>
      <c r="J58" s="3">
        <v>0</v>
      </c>
      <c r="K58" s="3">
        <f t="shared" si="4"/>
        <v>27.4</v>
      </c>
      <c r="L58" s="3">
        <v>1.9</v>
      </c>
      <c r="M58" s="3">
        <f t="shared" si="5"/>
        <v>47.199999999999996</v>
      </c>
      <c r="N58" s="3">
        <v>-1.9</v>
      </c>
      <c r="O58" s="3">
        <f t="shared" si="10"/>
        <v>12.3</v>
      </c>
      <c r="P58" s="3">
        <v>18</v>
      </c>
      <c r="Q58" s="3">
        <f t="shared" si="9"/>
        <v>0.39834710743801649</v>
      </c>
      <c r="R58" s="7">
        <f t="shared" si="1"/>
        <v>0.75685950413223124</v>
      </c>
      <c r="S58" s="7">
        <f t="shared" si="2"/>
        <v>-0.75685950413223124</v>
      </c>
      <c r="T58" s="7">
        <f t="shared" si="8"/>
        <v>17.093595041322317</v>
      </c>
      <c r="V58" s="3">
        <v>1115.5999999999999</v>
      </c>
      <c r="X58" s="3">
        <f t="shared" si="6"/>
        <v>23186.599999999995</v>
      </c>
      <c r="AA58" s="3">
        <v>12.2623264563753</v>
      </c>
    </row>
    <row r="59" spans="1:27" s="3" customFormat="1" x14ac:dyDescent="0.25">
      <c r="A59" s="72"/>
      <c r="B59" s="8"/>
      <c r="C59" s="9">
        <v>41175</v>
      </c>
      <c r="D59" s="3">
        <v>16.3</v>
      </c>
      <c r="E59" s="3">
        <v>12.4</v>
      </c>
      <c r="F59" s="3">
        <v>20.7</v>
      </c>
      <c r="G59" s="3">
        <f t="shared" si="3"/>
        <v>277.7</v>
      </c>
      <c r="J59" s="3">
        <v>18.600000000000001</v>
      </c>
      <c r="K59" s="3">
        <f t="shared" si="4"/>
        <v>46</v>
      </c>
      <c r="L59" s="3">
        <v>1.2</v>
      </c>
      <c r="M59" s="3">
        <f t="shared" si="5"/>
        <v>48.4</v>
      </c>
      <c r="N59" s="3">
        <v>17.400000000000002</v>
      </c>
      <c r="O59" s="3">
        <f t="shared" si="10"/>
        <v>29.700000000000003</v>
      </c>
      <c r="P59" s="3">
        <v>19</v>
      </c>
      <c r="Q59" s="3">
        <f t="shared" si="9"/>
        <v>0.40371900826446278</v>
      </c>
      <c r="R59" s="7">
        <f t="shared" si="1"/>
        <v>0.4844628099173553</v>
      </c>
      <c r="S59" s="7">
        <f t="shared" si="2"/>
        <v>18.115537190082645</v>
      </c>
      <c r="T59" s="7">
        <f t="shared" si="8"/>
        <v>35.209132231404965</v>
      </c>
      <c r="V59" s="3">
        <v>383.6</v>
      </c>
      <c r="X59" s="3">
        <f t="shared" si="6"/>
        <v>23570.199999999993</v>
      </c>
      <c r="AA59" s="3">
        <v>12.2043617982565</v>
      </c>
    </row>
    <row r="60" spans="1:27" s="3" customFormat="1" x14ac:dyDescent="0.25">
      <c r="A60" s="72"/>
      <c r="B60" s="8"/>
      <c r="C60" s="9">
        <v>41176</v>
      </c>
      <c r="D60" s="3">
        <v>14.8</v>
      </c>
      <c r="E60" s="3">
        <v>12.9</v>
      </c>
      <c r="F60" s="3">
        <v>19.3</v>
      </c>
      <c r="G60" s="3">
        <f t="shared" si="3"/>
        <v>292.5</v>
      </c>
      <c r="J60" s="3">
        <v>5</v>
      </c>
      <c r="K60" s="3">
        <f t="shared" si="4"/>
        <v>51</v>
      </c>
      <c r="L60" s="3">
        <v>2.2999999999999998</v>
      </c>
      <c r="M60" s="3">
        <f t="shared" si="5"/>
        <v>50.699999999999996</v>
      </c>
      <c r="N60" s="3">
        <v>2.7</v>
      </c>
      <c r="O60" s="3">
        <f t="shared" si="10"/>
        <v>32.400000000000006</v>
      </c>
      <c r="P60" s="3">
        <v>20</v>
      </c>
      <c r="Q60" s="3">
        <f t="shared" si="9"/>
        <v>0.40909090909090906</v>
      </c>
      <c r="R60" s="7">
        <f t="shared" si="1"/>
        <v>0.94090909090909081</v>
      </c>
      <c r="S60" s="7">
        <f t="shared" si="2"/>
        <v>4.0590909090909095</v>
      </c>
      <c r="T60" s="7">
        <f t="shared" si="8"/>
        <v>39.268223140495877</v>
      </c>
      <c r="V60" s="3">
        <v>582.79999999999995</v>
      </c>
      <c r="X60" s="3">
        <f t="shared" si="6"/>
        <v>24152.999999999993</v>
      </c>
      <c r="AA60" s="3">
        <v>12.1463783430485</v>
      </c>
    </row>
    <row r="61" spans="1:27" s="3" customFormat="1" x14ac:dyDescent="0.25">
      <c r="A61" s="72"/>
      <c r="B61" s="8"/>
      <c r="C61" s="9">
        <v>41177</v>
      </c>
      <c r="D61" s="3">
        <v>12.3</v>
      </c>
      <c r="E61" s="3">
        <v>9.1999999999999993</v>
      </c>
      <c r="F61" s="3">
        <v>17.7</v>
      </c>
      <c r="G61" s="3">
        <f t="shared" si="3"/>
        <v>304.8</v>
      </c>
      <c r="J61" s="3">
        <v>6.4</v>
      </c>
      <c r="K61" s="3">
        <f t="shared" si="4"/>
        <v>57.4</v>
      </c>
      <c r="L61" s="3">
        <v>2.2999999999999998</v>
      </c>
      <c r="M61" s="3">
        <f t="shared" si="5"/>
        <v>52.999999999999993</v>
      </c>
      <c r="N61" s="3">
        <v>4.1000000000000005</v>
      </c>
      <c r="O61" s="3">
        <f t="shared" si="10"/>
        <v>36.500000000000007</v>
      </c>
      <c r="P61" s="3">
        <v>21</v>
      </c>
      <c r="Q61" s="3">
        <f t="shared" si="9"/>
        <v>0.41446280991735535</v>
      </c>
      <c r="R61" s="7">
        <f t="shared" si="1"/>
        <v>0.95326446280991717</v>
      </c>
      <c r="S61" s="7">
        <f t="shared" si="2"/>
        <v>5.446735537190083</v>
      </c>
      <c r="T61" s="7">
        <f t="shared" si="8"/>
        <v>44.714958677685956</v>
      </c>
      <c r="V61" s="3">
        <v>1167.9000000000001</v>
      </c>
      <c r="X61" s="3">
        <f t="shared" si="6"/>
        <v>25320.899999999994</v>
      </c>
      <c r="AA61" s="3">
        <v>12.0883815144407</v>
      </c>
    </row>
    <row r="62" spans="1:27" s="3" customFormat="1" x14ac:dyDescent="0.25">
      <c r="A62" s="72"/>
      <c r="B62" s="8"/>
      <c r="C62" s="9">
        <v>41178</v>
      </c>
      <c r="D62" s="3">
        <v>12.7</v>
      </c>
      <c r="E62" s="3">
        <v>9.6999999999999993</v>
      </c>
      <c r="F62" s="3">
        <v>15.7</v>
      </c>
      <c r="G62" s="3">
        <f t="shared" si="3"/>
        <v>317.5</v>
      </c>
      <c r="J62" s="3">
        <v>4.5999999999999996</v>
      </c>
      <c r="K62" s="3">
        <f t="shared" si="4"/>
        <v>62</v>
      </c>
      <c r="L62" s="3">
        <v>1.3</v>
      </c>
      <c r="M62" s="3">
        <f t="shared" si="5"/>
        <v>54.29999999999999</v>
      </c>
      <c r="N62" s="3">
        <v>3.3</v>
      </c>
      <c r="O62" s="3">
        <f t="shared" si="10"/>
        <v>39.800000000000004</v>
      </c>
      <c r="P62" s="3">
        <v>22</v>
      </c>
      <c r="Q62" s="3">
        <f t="shared" si="9"/>
        <v>0.41983471074380163</v>
      </c>
      <c r="R62" s="7">
        <f t="shared" si="1"/>
        <v>0.54578512396694212</v>
      </c>
      <c r="S62" s="7">
        <f t="shared" si="2"/>
        <v>4.0542148760330576</v>
      </c>
      <c r="T62" s="7">
        <f t="shared" si="8"/>
        <v>48.769173553719014</v>
      </c>
      <c r="V62" s="3">
        <v>636.1</v>
      </c>
      <c r="X62" s="3">
        <f t="shared" si="6"/>
        <v>25956.999999999993</v>
      </c>
      <c r="AA62" s="3">
        <v>12.030376765913299</v>
      </c>
    </row>
    <row r="63" spans="1:27" s="3" customFormat="1" x14ac:dyDescent="0.25">
      <c r="A63" s="72"/>
      <c r="B63" s="8"/>
      <c r="C63" s="9">
        <v>41179</v>
      </c>
      <c r="D63" s="3">
        <v>13.4</v>
      </c>
      <c r="E63" s="3">
        <v>11.9</v>
      </c>
      <c r="F63" s="3">
        <v>16.7</v>
      </c>
      <c r="G63" s="3">
        <f t="shared" si="3"/>
        <v>330.9</v>
      </c>
      <c r="J63" s="3">
        <v>1.2</v>
      </c>
      <c r="K63" s="3">
        <f t="shared" si="4"/>
        <v>63.2</v>
      </c>
      <c r="L63" s="3">
        <v>1.5</v>
      </c>
      <c r="M63" s="3">
        <f t="shared" si="5"/>
        <v>55.79999999999999</v>
      </c>
      <c r="N63" s="3">
        <v>-0.30000000000000004</v>
      </c>
      <c r="O63" s="3">
        <f t="shared" si="10"/>
        <v>39.500000000000007</v>
      </c>
      <c r="P63" s="3">
        <v>23</v>
      </c>
      <c r="Q63" s="3">
        <f t="shared" si="9"/>
        <v>0.42520661157024792</v>
      </c>
      <c r="R63" s="7">
        <f t="shared" si="1"/>
        <v>0.63780991735537185</v>
      </c>
      <c r="S63" s="7">
        <f t="shared" si="2"/>
        <v>0.56219008264462811</v>
      </c>
      <c r="T63" s="7">
        <f t="shared" si="8"/>
        <v>49.331363636363641</v>
      </c>
      <c r="V63" s="3">
        <v>481.5</v>
      </c>
      <c r="X63" s="3">
        <f t="shared" si="6"/>
        <v>26438.499999999993</v>
      </c>
      <c r="AA63" s="3">
        <v>11.972369597360601</v>
      </c>
    </row>
    <row r="64" spans="1:27" s="3" customFormat="1" x14ac:dyDescent="0.25">
      <c r="A64" s="72"/>
      <c r="B64" s="8"/>
      <c r="C64" s="9">
        <v>41180</v>
      </c>
      <c r="D64" s="3">
        <v>12.2</v>
      </c>
      <c r="E64" s="3">
        <v>6.6</v>
      </c>
      <c r="F64" s="3">
        <v>18.7</v>
      </c>
      <c r="G64" s="3">
        <f t="shared" si="3"/>
        <v>343.09999999999997</v>
      </c>
      <c r="J64" s="3">
        <v>0</v>
      </c>
      <c r="K64" s="3">
        <f t="shared" si="4"/>
        <v>63.2</v>
      </c>
      <c r="L64" s="3">
        <v>1.7</v>
      </c>
      <c r="M64" s="3">
        <f t="shared" si="5"/>
        <v>57.499999999999993</v>
      </c>
      <c r="N64" s="3">
        <v>-1.7</v>
      </c>
      <c r="O64" s="3">
        <f t="shared" si="10"/>
        <v>37.800000000000004</v>
      </c>
      <c r="P64" s="3">
        <v>24</v>
      </c>
      <c r="Q64" s="3">
        <f t="shared" si="9"/>
        <v>0.4305785123966942</v>
      </c>
      <c r="R64" s="7">
        <f t="shared" si="1"/>
        <v>0.73198347107438011</v>
      </c>
      <c r="S64" s="7">
        <f t="shared" si="2"/>
        <v>-0.73198347107438011</v>
      </c>
      <c r="T64" s="7">
        <f t="shared" si="8"/>
        <v>48.599380165289261</v>
      </c>
      <c r="V64" s="3">
        <v>857</v>
      </c>
      <c r="X64" s="3">
        <f t="shared" si="6"/>
        <v>27295.499999999993</v>
      </c>
      <c r="AA64" s="3">
        <v>11.9143655718154</v>
      </c>
    </row>
    <row r="65" spans="1:27" s="3" customFormat="1" x14ac:dyDescent="0.25">
      <c r="A65" s="72"/>
      <c r="B65" s="8"/>
      <c r="C65" s="9">
        <v>41181</v>
      </c>
      <c r="D65" s="3">
        <v>11.4</v>
      </c>
      <c r="E65" s="3">
        <v>8.4</v>
      </c>
      <c r="F65" s="3">
        <v>16.8</v>
      </c>
      <c r="G65" s="3">
        <f t="shared" si="3"/>
        <v>354.49999999999994</v>
      </c>
      <c r="J65" s="3">
        <v>0</v>
      </c>
      <c r="K65" s="3">
        <f t="shared" si="4"/>
        <v>63.2</v>
      </c>
      <c r="L65" s="3">
        <v>2</v>
      </c>
      <c r="M65" s="3">
        <f t="shared" si="5"/>
        <v>59.499999999999993</v>
      </c>
      <c r="N65" s="3">
        <v>-2</v>
      </c>
      <c r="O65" s="3">
        <f t="shared" si="10"/>
        <v>35.800000000000004</v>
      </c>
      <c r="P65" s="3">
        <v>25</v>
      </c>
      <c r="Q65" s="3">
        <f t="shared" si="9"/>
        <v>0.43595041322314049</v>
      </c>
      <c r="R65" s="7">
        <f t="shared" si="1"/>
        <v>0.87190082644628097</v>
      </c>
      <c r="S65" s="7">
        <f t="shared" si="2"/>
        <v>-0.87190082644628097</v>
      </c>
      <c r="T65" s="7">
        <f t="shared" si="8"/>
        <v>47.727479338842983</v>
      </c>
      <c r="V65" s="3">
        <v>1047.5</v>
      </c>
      <c r="X65" s="3">
        <f t="shared" si="6"/>
        <v>28342.999999999993</v>
      </c>
      <c r="AA65" s="3">
        <v>11.856370332278001</v>
      </c>
    </row>
    <row r="66" spans="1:27" s="3" customFormat="1" x14ac:dyDescent="0.25">
      <c r="A66" s="72"/>
      <c r="B66" s="8"/>
      <c r="C66" s="9">
        <v>41182</v>
      </c>
      <c r="D66" s="3">
        <v>11.5</v>
      </c>
      <c r="E66" s="3">
        <v>6.5</v>
      </c>
      <c r="F66" s="3">
        <v>18.8</v>
      </c>
      <c r="G66" s="3">
        <f t="shared" si="3"/>
        <v>365.99999999999994</v>
      </c>
      <c r="J66" s="3">
        <v>0.1</v>
      </c>
      <c r="K66" s="3">
        <f t="shared" si="4"/>
        <v>63.300000000000004</v>
      </c>
      <c r="L66" s="3">
        <v>2.2000000000000002</v>
      </c>
      <c r="M66" s="3">
        <f t="shared" si="5"/>
        <v>61.699999999999996</v>
      </c>
      <c r="N66" s="3">
        <v>-2.1</v>
      </c>
      <c r="O66" s="3">
        <f t="shared" si="10"/>
        <v>33.700000000000003</v>
      </c>
      <c r="P66" s="3">
        <v>26</v>
      </c>
      <c r="Q66" s="3">
        <f t="shared" si="9"/>
        <v>0.44132231404958677</v>
      </c>
      <c r="R66" s="7">
        <f t="shared" si="1"/>
        <v>0.97090909090909094</v>
      </c>
      <c r="S66" s="7">
        <f t="shared" si="2"/>
        <v>-0.87090909090909097</v>
      </c>
      <c r="T66" s="7">
        <f t="shared" si="8"/>
        <v>46.856570247933895</v>
      </c>
      <c r="V66" s="3">
        <v>1264.5999999999999</v>
      </c>
      <c r="X66" s="3">
        <f t="shared" si="6"/>
        <v>29607.599999999991</v>
      </c>
      <c r="AA66" s="3">
        <v>11.7983896186562</v>
      </c>
    </row>
    <row r="67" spans="1:27" s="3" customFormat="1" x14ac:dyDescent="0.25">
      <c r="A67" s="72"/>
      <c r="B67" s="8"/>
      <c r="C67" s="9">
        <v>41183</v>
      </c>
      <c r="D67" s="3">
        <v>12.7</v>
      </c>
      <c r="E67" s="3">
        <v>7.4</v>
      </c>
      <c r="F67" s="3">
        <v>18.3</v>
      </c>
      <c r="G67" s="3">
        <f t="shared" si="3"/>
        <v>378.69999999999993</v>
      </c>
      <c r="J67" s="3">
        <v>3</v>
      </c>
      <c r="K67" s="3">
        <f t="shared" si="4"/>
        <v>66.300000000000011</v>
      </c>
      <c r="L67" s="3">
        <v>1</v>
      </c>
      <c r="M67" s="3">
        <f t="shared" si="5"/>
        <v>62.699999999999996</v>
      </c>
      <c r="N67" s="3">
        <v>2</v>
      </c>
      <c r="O67" s="3">
        <f t="shared" si="10"/>
        <v>35.700000000000003</v>
      </c>
      <c r="P67" s="3">
        <v>27</v>
      </c>
      <c r="Q67" s="3">
        <f t="shared" si="9"/>
        <v>0.44669421487603306</v>
      </c>
      <c r="R67" s="7">
        <f t="shared" si="1"/>
        <v>0.44669421487603306</v>
      </c>
      <c r="S67" s="7">
        <f t="shared" si="2"/>
        <v>2.5533057851239671</v>
      </c>
      <c r="T67" s="7">
        <f t="shared" si="8"/>
        <v>49.409876033057863</v>
      </c>
      <c r="V67" s="3">
        <v>474.8</v>
      </c>
      <c r="X67" s="3">
        <f t="shared" si="6"/>
        <v>30082.399999999991</v>
      </c>
      <c r="AA67" s="3">
        <v>11.740429284817401</v>
      </c>
    </row>
    <row r="68" spans="1:27" s="3" customFormat="1" x14ac:dyDescent="0.25">
      <c r="A68" s="72"/>
      <c r="B68" s="8"/>
      <c r="C68" s="9">
        <v>41184</v>
      </c>
      <c r="D68" s="3">
        <v>14.2</v>
      </c>
      <c r="E68" s="3">
        <v>10.9</v>
      </c>
      <c r="F68" s="3">
        <v>18.2</v>
      </c>
      <c r="G68" s="3">
        <f t="shared" si="3"/>
        <v>392.89999999999992</v>
      </c>
      <c r="J68" s="3">
        <v>1.4</v>
      </c>
      <c r="K68" s="3">
        <f t="shared" si="4"/>
        <v>67.700000000000017</v>
      </c>
      <c r="L68" s="3">
        <v>1.8</v>
      </c>
      <c r="M68" s="3">
        <f t="shared" si="5"/>
        <v>64.5</v>
      </c>
      <c r="N68" s="3">
        <v>-0.40000000000000013</v>
      </c>
      <c r="O68" s="3">
        <f t="shared" si="10"/>
        <v>35.300000000000004</v>
      </c>
      <c r="P68" s="3">
        <v>28</v>
      </c>
      <c r="Q68" s="3">
        <f t="shared" si="9"/>
        <v>0.45206611570247934</v>
      </c>
      <c r="R68" s="7">
        <f t="shared" si="1"/>
        <v>0.81371900826446286</v>
      </c>
      <c r="S68" s="7">
        <f t="shared" si="2"/>
        <v>0.58628099173553705</v>
      </c>
      <c r="T68" s="7">
        <f t="shared" si="8"/>
        <v>49.996157024793398</v>
      </c>
      <c r="V68" s="3">
        <v>1006.7</v>
      </c>
      <c r="X68" s="3">
        <f t="shared" si="6"/>
        <v>31089.099999999991</v>
      </c>
      <c r="AA68" s="3">
        <v>11.6824953157588</v>
      </c>
    </row>
    <row r="69" spans="1:27" s="3" customFormat="1" x14ac:dyDescent="0.25">
      <c r="A69" s="72"/>
      <c r="B69" s="8"/>
      <c r="C69" s="9">
        <v>41185</v>
      </c>
      <c r="D69" s="3">
        <v>14.9</v>
      </c>
      <c r="E69" s="3">
        <v>13.5</v>
      </c>
      <c r="F69" s="3">
        <v>16.2</v>
      </c>
      <c r="G69" s="3">
        <f t="shared" si="3"/>
        <v>407.7999999999999</v>
      </c>
      <c r="J69" s="3">
        <v>14.3</v>
      </c>
      <c r="K69" s="3">
        <f t="shared" si="4"/>
        <v>82.000000000000014</v>
      </c>
      <c r="L69" s="3">
        <v>1.1000000000000001</v>
      </c>
      <c r="M69" s="3">
        <f t="shared" si="5"/>
        <v>65.599999999999994</v>
      </c>
      <c r="N69" s="3">
        <v>13.200000000000001</v>
      </c>
      <c r="O69" s="3">
        <f t="shared" si="10"/>
        <v>48.500000000000007</v>
      </c>
      <c r="P69" s="3">
        <v>29</v>
      </c>
      <c r="Q69" s="3">
        <f t="shared" si="9"/>
        <v>0.45743801652892557</v>
      </c>
      <c r="R69" s="7">
        <f t="shared" si="1"/>
        <v>0.50318181818181817</v>
      </c>
      <c r="S69" s="7">
        <f t="shared" si="2"/>
        <v>13.796818181818182</v>
      </c>
      <c r="T69" s="7">
        <f t="shared" si="8"/>
        <v>63.79297520661158</v>
      </c>
      <c r="V69" s="3">
        <v>379.2</v>
      </c>
      <c r="X69" s="3">
        <f t="shared" si="6"/>
        <v>31468.299999999992</v>
      </c>
      <c r="AA69" s="3">
        <v>11.624593844895101</v>
      </c>
    </row>
    <row r="70" spans="1:27" s="3" customFormat="1" x14ac:dyDescent="0.25">
      <c r="A70" s="72"/>
      <c r="B70" s="8"/>
      <c r="C70" s="9">
        <v>41186</v>
      </c>
      <c r="D70" s="3">
        <v>15.2</v>
      </c>
      <c r="E70" s="3">
        <v>12.8</v>
      </c>
      <c r="F70" s="3">
        <v>17.2</v>
      </c>
      <c r="G70" s="3">
        <f t="shared" si="3"/>
        <v>422.99999999999989</v>
      </c>
      <c r="J70" s="3">
        <v>0</v>
      </c>
      <c r="K70" s="3">
        <f t="shared" si="4"/>
        <v>82.000000000000014</v>
      </c>
      <c r="L70" s="3">
        <v>1.8</v>
      </c>
      <c r="M70" s="3">
        <f t="shared" si="5"/>
        <v>67.399999999999991</v>
      </c>
      <c r="N70" s="3">
        <v>-1.8</v>
      </c>
      <c r="O70" s="3">
        <f t="shared" si="10"/>
        <v>46.70000000000001</v>
      </c>
      <c r="P70" s="3">
        <v>30</v>
      </c>
      <c r="Q70" s="3">
        <f t="shared" si="9"/>
        <v>0.46280991735537191</v>
      </c>
      <c r="R70" s="7">
        <f t="shared" si="1"/>
        <v>0.83305785123966947</v>
      </c>
      <c r="S70" s="7">
        <f t="shared" si="2"/>
        <v>-0.83305785123966947</v>
      </c>
      <c r="T70" s="7">
        <f t="shared" si="8"/>
        <v>62.959917355371907</v>
      </c>
      <c r="V70" s="3">
        <v>928.6</v>
      </c>
      <c r="X70" s="3">
        <f t="shared" si="6"/>
        <v>32396.899999999991</v>
      </c>
      <c r="AA70" s="3">
        <v>11.566731171465699</v>
      </c>
    </row>
    <row r="71" spans="1:27" s="3" customFormat="1" x14ac:dyDescent="0.25">
      <c r="A71" s="72"/>
      <c r="B71" s="8"/>
      <c r="C71" s="9">
        <v>41187</v>
      </c>
      <c r="D71" s="3">
        <v>16.8</v>
      </c>
      <c r="E71" s="3">
        <v>15.4</v>
      </c>
      <c r="F71" s="3">
        <v>19.5</v>
      </c>
      <c r="G71" s="3">
        <f t="shared" si="3"/>
        <v>439.7999999999999</v>
      </c>
      <c r="J71" s="3">
        <v>0.2</v>
      </c>
      <c r="K71" s="3">
        <f t="shared" si="4"/>
        <v>82.200000000000017</v>
      </c>
      <c r="L71" s="3">
        <v>1.4</v>
      </c>
      <c r="M71" s="3">
        <f t="shared" si="5"/>
        <v>68.8</v>
      </c>
      <c r="N71" s="3">
        <v>-1.2</v>
      </c>
      <c r="O71" s="3">
        <f t="shared" si="10"/>
        <v>45.500000000000007</v>
      </c>
      <c r="P71" s="3">
        <v>31</v>
      </c>
      <c r="Q71" s="3">
        <f t="shared" si="9"/>
        <v>0.46818181818181814</v>
      </c>
      <c r="R71" s="7">
        <f t="shared" si="1"/>
        <v>0.6554545454545454</v>
      </c>
      <c r="S71" s="7">
        <f t="shared" si="2"/>
        <v>-0.45545454545454539</v>
      </c>
      <c r="T71" s="7">
        <f t="shared" si="8"/>
        <v>62.504462809917364</v>
      </c>
      <c r="V71" s="3">
        <v>349.7</v>
      </c>
      <c r="X71" s="3">
        <f t="shared" si="6"/>
        <v>32746.599999999991</v>
      </c>
      <c r="AA71" s="3">
        <v>11.5089137780611</v>
      </c>
    </row>
    <row r="72" spans="1:27" s="3" customFormat="1" x14ac:dyDescent="0.25">
      <c r="A72" s="72"/>
      <c r="B72" s="8"/>
      <c r="C72" s="9">
        <v>41188</v>
      </c>
      <c r="D72" s="3">
        <v>15.7</v>
      </c>
      <c r="E72" s="3">
        <v>13.7</v>
      </c>
      <c r="F72" s="3">
        <v>17.7</v>
      </c>
      <c r="G72" s="3">
        <f t="shared" si="3"/>
        <v>455.49999999999989</v>
      </c>
      <c r="J72" s="3">
        <v>6.8</v>
      </c>
      <c r="K72" s="3">
        <f t="shared" si="4"/>
        <v>89.000000000000014</v>
      </c>
      <c r="L72" s="3">
        <v>0.8</v>
      </c>
      <c r="M72" s="3">
        <f t="shared" si="5"/>
        <v>69.599999999999994</v>
      </c>
      <c r="N72" s="3">
        <v>6</v>
      </c>
      <c r="O72" s="3">
        <f t="shared" si="10"/>
        <v>51.500000000000007</v>
      </c>
      <c r="P72" s="3">
        <v>32</v>
      </c>
      <c r="Q72" s="3">
        <f t="shared" si="9"/>
        <v>0.47355371900826443</v>
      </c>
      <c r="R72" s="7">
        <f t="shared" si="1"/>
        <v>0.37884297520661159</v>
      </c>
      <c r="S72" s="7">
        <f t="shared" si="2"/>
        <v>6.4211570247933878</v>
      </c>
      <c r="T72" s="7">
        <f t="shared" si="8"/>
        <v>68.925619834710744</v>
      </c>
      <c r="V72" s="3">
        <v>330.1</v>
      </c>
      <c r="X72" s="3">
        <f t="shared" si="6"/>
        <v>33076.69999999999</v>
      </c>
      <c r="AA72" s="3">
        <v>11.451148348265299</v>
      </c>
    </row>
    <row r="73" spans="1:27" s="3" customFormat="1" x14ac:dyDescent="0.25">
      <c r="A73" s="72"/>
      <c r="B73" s="8"/>
      <c r="C73" s="9">
        <v>41189</v>
      </c>
      <c r="D73" s="3">
        <v>15</v>
      </c>
      <c r="E73" s="3">
        <v>14.3</v>
      </c>
      <c r="F73" s="3">
        <v>16.7</v>
      </c>
      <c r="G73" s="3">
        <f t="shared" si="3"/>
        <v>470.49999999999989</v>
      </c>
      <c r="J73" s="3">
        <v>7.8</v>
      </c>
      <c r="K73" s="3">
        <f t="shared" si="4"/>
        <v>96.800000000000011</v>
      </c>
      <c r="L73" s="3">
        <v>0.7</v>
      </c>
      <c r="M73" s="3">
        <f t="shared" si="5"/>
        <v>70.3</v>
      </c>
      <c r="N73" s="3">
        <v>7.1</v>
      </c>
      <c r="O73" s="3">
        <f t="shared" si="10"/>
        <v>58.600000000000009</v>
      </c>
      <c r="P73" s="3">
        <v>33</v>
      </c>
      <c r="Q73" s="3">
        <f t="shared" si="9"/>
        <v>0.47892561983471071</v>
      </c>
      <c r="R73" s="7">
        <f t="shared" si="1"/>
        <v>0.33524793388429747</v>
      </c>
      <c r="S73" s="7">
        <f t="shared" si="2"/>
        <v>7.4647520661157021</v>
      </c>
      <c r="T73" s="7">
        <f t="shared" si="8"/>
        <v>76.390371900826452</v>
      </c>
      <c r="V73" s="3">
        <v>332.8</v>
      </c>
      <c r="X73" s="3">
        <f t="shared" si="6"/>
        <v>33409.499999999993</v>
      </c>
      <c r="AA73" s="3">
        <v>11.393441784411801</v>
      </c>
    </row>
    <row r="74" spans="1:27" s="3" customFormat="1" x14ac:dyDescent="0.25">
      <c r="A74" s="72"/>
      <c r="B74" s="8"/>
      <c r="C74" s="9">
        <v>41190</v>
      </c>
      <c r="D74" s="3">
        <v>17.2</v>
      </c>
      <c r="E74" s="3">
        <v>15</v>
      </c>
      <c r="F74" s="3">
        <v>19.100000000000001</v>
      </c>
      <c r="G74" s="3">
        <f t="shared" si="3"/>
        <v>487.69999999999987</v>
      </c>
      <c r="J74" s="3">
        <v>18.2</v>
      </c>
      <c r="K74" s="3">
        <f t="shared" si="4"/>
        <v>115.00000000000001</v>
      </c>
      <c r="L74" s="3">
        <v>0.5</v>
      </c>
      <c r="M74" s="3">
        <f t="shared" si="5"/>
        <v>70.8</v>
      </c>
      <c r="N74" s="3">
        <v>17.7</v>
      </c>
      <c r="O74" s="3">
        <f t="shared" si="10"/>
        <v>76.300000000000011</v>
      </c>
      <c r="P74" s="3">
        <v>34</v>
      </c>
      <c r="Q74" s="3">
        <f t="shared" si="9"/>
        <v>0.484297520661157</v>
      </c>
      <c r="R74" s="7">
        <f t="shared" si="1"/>
        <v>0.2421487603305785</v>
      </c>
      <c r="S74" s="7">
        <f t="shared" si="2"/>
        <v>17.95785123966942</v>
      </c>
      <c r="T74" s="7">
        <f t="shared" si="8"/>
        <v>94.348223140495875</v>
      </c>
      <c r="V74" s="3">
        <v>205.1</v>
      </c>
      <c r="X74" s="3">
        <f t="shared" si="6"/>
        <v>33614.599999999991</v>
      </c>
      <c r="AA74" s="3">
        <v>11.335801225446801</v>
      </c>
    </row>
    <row r="75" spans="1:27" s="3" customFormat="1" x14ac:dyDescent="0.25">
      <c r="A75" s="72"/>
      <c r="B75" s="8"/>
      <c r="C75" s="9">
        <v>41191</v>
      </c>
      <c r="D75" s="3">
        <v>17.3</v>
      </c>
      <c r="E75" s="3">
        <v>16.399999999999999</v>
      </c>
      <c r="F75" s="3">
        <v>18.899999999999999</v>
      </c>
      <c r="G75" s="3">
        <f t="shared" si="3"/>
        <v>504.99999999999989</v>
      </c>
      <c r="J75" s="3">
        <v>3.8</v>
      </c>
      <c r="K75" s="3">
        <f t="shared" si="4"/>
        <v>118.80000000000001</v>
      </c>
      <c r="L75" s="3">
        <v>1</v>
      </c>
      <c r="M75" s="3">
        <f t="shared" si="5"/>
        <v>71.8</v>
      </c>
      <c r="N75" s="3">
        <v>2.8</v>
      </c>
      <c r="O75" s="3">
        <f t="shared" si="10"/>
        <v>79.100000000000009</v>
      </c>
      <c r="P75" s="3">
        <v>35</v>
      </c>
      <c r="Q75" s="3">
        <f t="shared" si="9"/>
        <v>0.48966942148760328</v>
      </c>
      <c r="R75" s="7">
        <f t="shared" si="1"/>
        <v>0.48966942148760328</v>
      </c>
      <c r="S75" s="7">
        <f t="shared" si="2"/>
        <v>3.3103305785123966</v>
      </c>
      <c r="T75" s="7">
        <f t="shared" si="8"/>
        <v>97.658553719008268</v>
      </c>
      <c r="V75" s="3">
        <v>329.9</v>
      </c>
      <c r="X75" s="3">
        <f t="shared" si="6"/>
        <v>33944.499999999993</v>
      </c>
      <c r="AA75" s="3">
        <v>11.278234064892301</v>
      </c>
    </row>
    <row r="76" spans="1:27" s="3" customFormat="1" x14ac:dyDescent="0.25">
      <c r="A76" s="72"/>
      <c r="B76" s="8"/>
      <c r="C76" s="9">
        <v>41192</v>
      </c>
      <c r="D76" s="3">
        <v>16.600000000000001</v>
      </c>
      <c r="E76" s="3">
        <v>15.3</v>
      </c>
      <c r="F76" s="3">
        <v>19</v>
      </c>
      <c r="G76" s="3">
        <f t="shared" si="3"/>
        <v>521.59999999999991</v>
      </c>
      <c r="J76" s="3">
        <v>6.1</v>
      </c>
      <c r="K76" s="3">
        <f t="shared" si="4"/>
        <v>124.9</v>
      </c>
      <c r="L76" s="3">
        <v>0.9</v>
      </c>
      <c r="M76" s="3">
        <f t="shared" si="5"/>
        <v>72.7</v>
      </c>
      <c r="N76" s="3">
        <v>5.1999999999999993</v>
      </c>
      <c r="O76" s="3">
        <f t="shared" si="10"/>
        <v>84.300000000000011</v>
      </c>
      <c r="P76" s="3">
        <v>36</v>
      </c>
      <c r="Q76" s="3">
        <f t="shared" si="9"/>
        <v>0.49504132231404957</v>
      </c>
      <c r="R76" s="7">
        <f t="shared" si="1"/>
        <v>0.44553719008264464</v>
      </c>
      <c r="S76" s="7">
        <f t="shared" si="2"/>
        <v>5.6544628099173551</v>
      </c>
      <c r="T76" s="7">
        <f t="shared" si="8"/>
        <v>103.31301652892563</v>
      </c>
      <c r="V76" s="3">
        <v>353.9</v>
      </c>
      <c r="X76" s="3">
        <f t="shared" si="6"/>
        <v>34298.399999999994</v>
      </c>
      <c r="AA76" s="3">
        <v>11.220747968898101</v>
      </c>
    </row>
    <row r="77" spans="1:27" s="3" customFormat="1" x14ac:dyDescent="0.25">
      <c r="A77" s="72"/>
      <c r="B77" s="8"/>
      <c r="C77" s="9">
        <v>41193</v>
      </c>
      <c r="D77" s="3">
        <v>16.5</v>
      </c>
      <c r="E77" s="3">
        <v>15.6</v>
      </c>
      <c r="F77" s="3">
        <v>20.399999999999999</v>
      </c>
      <c r="G77" s="3">
        <f t="shared" si="3"/>
        <v>538.09999999999991</v>
      </c>
      <c r="J77" s="3">
        <v>6</v>
      </c>
      <c r="K77" s="3">
        <f t="shared" si="4"/>
        <v>130.9</v>
      </c>
      <c r="L77" s="3">
        <v>1.3</v>
      </c>
      <c r="M77" s="3">
        <f t="shared" si="5"/>
        <v>74</v>
      </c>
      <c r="N77" s="3">
        <v>4.7</v>
      </c>
      <c r="O77" s="3">
        <f t="shared" si="10"/>
        <v>89.000000000000014</v>
      </c>
      <c r="P77" s="3">
        <v>37</v>
      </c>
      <c r="Q77" s="3">
        <f t="shared" si="9"/>
        <v>0.50041322314049586</v>
      </c>
      <c r="R77" s="7">
        <f t="shared" si="1"/>
        <v>0.65053719008264466</v>
      </c>
      <c r="S77" s="7">
        <f t="shared" si="2"/>
        <v>5.3494628099173553</v>
      </c>
      <c r="T77" s="7">
        <f t="shared" si="8"/>
        <v>108.66247933884299</v>
      </c>
      <c r="V77" s="3">
        <v>342.8</v>
      </c>
      <c r="X77" s="3">
        <f t="shared" si="6"/>
        <v>34641.199999999997</v>
      </c>
      <c r="AA77" s="3">
        <v>11.163350894371</v>
      </c>
    </row>
    <row r="78" spans="1:27" s="3" customFormat="1" x14ac:dyDescent="0.25">
      <c r="A78" s="72"/>
      <c r="B78" s="8"/>
      <c r="C78" s="9">
        <v>41194</v>
      </c>
      <c r="D78" s="3">
        <v>12.2</v>
      </c>
      <c r="E78" s="3">
        <v>8.1999999999999993</v>
      </c>
      <c r="F78" s="3">
        <v>16.399999999999999</v>
      </c>
      <c r="G78" s="3">
        <f t="shared" si="3"/>
        <v>550.29999999999995</v>
      </c>
      <c r="J78" s="3">
        <v>4.8</v>
      </c>
      <c r="K78" s="3">
        <f t="shared" si="4"/>
        <v>135.70000000000002</v>
      </c>
      <c r="L78" s="3">
        <v>2</v>
      </c>
      <c r="M78" s="3">
        <f t="shared" si="5"/>
        <v>76</v>
      </c>
      <c r="N78" s="3">
        <v>2.8</v>
      </c>
      <c r="O78" s="3">
        <f t="shared" si="10"/>
        <v>91.800000000000011</v>
      </c>
      <c r="P78" s="3">
        <v>38</v>
      </c>
      <c r="Q78" s="3">
        <f t="shared" si="9"/>
        <v>0.5057851239669422</v>
      </c>
      <c r="R78" s="7">
        <f t="shared" si="1"/>
        <v>1.0115702479338844</v>
      </c>
      <c r="S78" s="7">
        <f t="shared" si="2"/>
        <v>3.7884297520661154</v>
      </c>
      <c r="T78" s="7">
        <f t="shared" si="8"/>
        <v>112.45090909090911</v>
      </c>
      <c r="V78" s="3">
        <v>1058.3</v>
      </c>
      <c r="X78" s="3">
        <f t="shared" si="6"/>
        <v>35699.5</v>
      </c>
      <c r="AA78" s="3">
        <v>11.1060511071659</v>
      </c>
    </row>
    <row r="79" spans="1:27" s="3" customFormat="1" x14ac:dyDescent="0.25">
      <c r="A79" s="72"/>
      <c r="B79" s="8"/>
      <c r="C79" s="9">
        <v>41195</v>
      </c>
      <c r="D79" s="3">
        <v>11.1</v>
      </c>
      <c r="E79" s="3">
        <v>11</v>
      </c>
      <c r="F79" s="3">
        <v>12.8</v>
      </c>
      <c r="G79" s="3">
        <f t="shared" si="3"/>
        <v>561.4</v>
      </c>
      <c r="J79" s="3">
        <v>2.2999999999999998</v>
      </c>
      <c r="K79" s="3">
        <f t="shared" si="4"/>
        <v>138.00000000000003</v>
      </c>
      <c r="L79" s="3">
        <v>1.4</v>
      </c>
      <c r="M79" s="3">
        <f t="shared" si="5"/>
        <v>77.400000000000006</v>
      </c>
      <c r="N79" s="3">
        <v>0.89999999999999991</v>
      </c>
      <c r="O79" s="3">
        <f t="shared" si="10"/>
        <v>92.700000000000017</v>
      </c>
      <c r="P79" s="3">
        <v>39</v>
      </c>
      <c r="Q79" s="3">
        <f t="shared" si="9"/>
        <v>0.51115702479338843</v>
      </c>
      <c r="R79" s="7">
        <f t="shared" si="1"/>
        <v>0.71561983471074375</v>
      </c>
      <c r="S79" s="7">
        <f t="shared" si="2"/>
        <v>1.584380165289256</v>
      </c>
      <c r="T79" s="7">
        <f t="shared" si="8"/>
        <v>114.03528925619837</v>
      </c>
      <c r="V79" s="3">
        <v>857.2</v>
      </c>
      <c r="X79" s="3">
        <f t="shared" si="6"/>
        <v>36556.699999999997</v>
      </c>
      <c r="AA79" s="3">
        <v>11.0488572003194</v>
      </c>
    </row>
    <row r="80" spans="1:27" s="3" customFormat="1" x14ac:dyDescent="0.25">
      <c r="A80" s="72"/>
      <c r="B80" s="8"/>
      <c r="C80" s="9">
        <v>41196</v>
      </c>
      <c r="D80" s="3">
        <v>9</v>
      </c>
      <c r="E80" s="3">
        <v>8.1999999999999993</v>
      </c>
      <c r="F80" s="3">
        <v>12.3</v>
      </c>
      <c r="G80" s="3">
        <f t="shared" si="3"/>
        <v>570.4</v>
      </c>
      <c r="J80" s="3">
        <v>0.2</v>
      </c>
      <c r="K80" s="3">
        <f t="shared" si="4"/>
        <v>138.20000000000002</v>
      </c>
      <c r="L80" s="3">
        <v>1.6</v>
      </c>
      <c r="M80" s="3">
        <f t="shared" si="5"/>
        <v>79</v>
      </c>
      <c r="N80" s="3">
        <v>-1.4000000000000001</v>
      </c>
      <c r="O80" s="3">
        <f t="shared" si="10"/>
        <v>91.300000000000011</v>
      </c>
      <c r="P80" s="3">
        <v>40</v>
      </c>
      <c r="Q80" s="3">
        <f t="shared" si="9"/>
        <v>0.51652892561983466</v>
      </c>
      <c r="R80" s="7">
        <f t="shared" si="1"/>
        <v>0.82644628099173545</v>
      </c>
      <c r="S80" s="7">
        <f t="shared" si="2"/>
        <v>-0.62644628099173549</v>
      </c>
      <c r="T80" s="7">
        <f t="shared" si="8"/>
        <v>113.40884297520664</v>
      </c>
      <c r="V80" s="3">
        <v>843.1</v>
      </c>
      <c r="X80" s="3">
        <f t="shared" si="6"/>
        <v>37399.799999999996</v>
      </c>
      <c r="AA80" s="3">
        <v>10.9917781123049</v>
      </c>
    </row>
    <row r="81" spans="1:27" s="3" customFormat="1" x14ac:dyDescent="0.25">
      <c r="A81" s="72"/>
      <c r="B81" s="8"/>
      <c r="C81" s="9">
        <v>41197</v>
      </c>
      <c r="D81" s="3">
        <v>10.5</v>
      </c>
      <c r="E81" s="3">
        <v>5.3</v>
      </c>
      <c r="F81" s="3">
        <v>14.6</v>
      </c>
      <c r="G81" s="3">
        <f t="shared" si="3"/>
        <v>580.9</v>
      </c>
      <c r="J81" s="3">
        <v>3.2</v>
      </c>
      <c r="K81" s="3">
        <f t="shared" si="4"/>
        <v>141.4</v>
      </c>
      <c r="L81" s="3">
        <v>1.6</v>
      </c>
      <c r="M81" s="3">
        <f t="shared" si="5"/>
        <v>80.599999999999994</v>
      </c>
      <c r="N81" s="3">
        <v>1.6</v>
      </c>
      <c r="O81" s="3">
        <f t="shared" si="10"/>
        <v>92.9</v>
      </c>
      <c r="P81" s="3">
        <v>41</v>
      </c>
      <c r="Q81" s="3">
        <f t="shared" si="9"/>
        <v>0.521900826446281</v>
      </c>
      <c r="R81" s="7">
        <f t="shared" si="1"/>
        <v>0.83504132231404959</v>
      </c>
      <c r="S81" s="7">
        <f t="shared" si="2"/>
        <v>2.3649586776859506</v>
      </c>
      <c r="T81" s="7">
        <f t="shared" si="8"/>
        <v>115.77380165289259</v>
      </c>
      <c r="V81" s="3">
        <v>931.1</v>
      </c>
      <c r="X81" s="3">
        <f t="shared" si="6"/>
        <v>38330.899999999994</v>
      </c>
      <c r="AA81" s="3">
        <v>10.9348231452836</v>
      </c>
    </row>
    <row r="82" spans="1:27" s="3" customFormat="1" x14ac:dyDescent="0.25">
      <c r="A82" s="72"/>
      <c r="B82" s="8"/>
      <c r="C82" s="9">
        <v>41198</v>
      </c>
      <c r="D82" s="3">
        <v>12.5</v>
      </c>
      <c r="E82" s="3">
        <v>9.4</v>
      </c>
      <c r="F82" s="3">
        <v>14.9</v>
      </c>
      <c r="G82" s="3">
        <f t="shared" si="3"/>
        <v>593.4</v>
      </c>
      <c r="J82" s="3">
        <v>9.1</v>
      </c>
      <c r="K82" s="3">
        <f t="shared" si="4"/>
        <v>150.5</v>
      </c>
      <c r="L82" s="3">
        <v>1</v>
      </c>
      <c r="M82" s="3">
        <f t="shared" si="5"/>
        <v>81.599999999999994</v>
      </c>
      <c r="N82" s="3">
        <v>8.1</v>
      </c>
      <c r="O82" s="3">
        <f t="shared" si="10"/>
        <v>101</v>
      </c>
      <c r="P82" s="3">
        <v>42</v>
      </c>
      <c r="Q82" s="3">
        <f t="shared" si="9"/>
        <v>0.52727272727272723</v>
      </c>
      <c r="R82" s="7">
        <f t="shared" si="1"/>
        <v>0.52727272727272723</v>
      </c>
      <c r="S82" s="7">
        <f t="shared" si="2"/>
        <v>8.5727272727272723</v>
      </c>
      <c r="T82" s="7">
        <f t="shared" si="8"/>
        <v>124.34652892561986</v>
      </c>
      <c r="V82" s="3">
        <v>474.1</v>
      </c>
      <c r="X82" s="3">
        <f t="shared" si="6"/>
        <v>38804.999999999993</v>
      </c>
      <c r="AA82" s="3">
        <v>10.878001983322999</v>
      </c>
    </row>
    <row r="83" spans="1:27" s="3" customFormat="1" x14ac:dyDescent="0.25">
      <c r="A83" s="72"/>
      <c r="B83" s="8"/>
      <c r="C83" s="9">
        <v>41199</v>
      </c>
      <c r="D83" s="3">
        <v>13.8</v>
      </c>
      <c r="E83" s="3">
        <v>12.5</v>
      </c>
      <c r="F83" s="3">
        <v>15.5</v>
      </c>
      <c r="G83" s="3">
        <f t="shared" si="3"/>
        <v>607.19999999999993</v>
      </c>
      <c r="J83" s="3">
        <v>5.8</v>
      </c>
      <c r="K83" s="3">
        <f t="shared" si="4"/>
        <v>156.30000000000001</v>
      </c>
      <c r="L83" s="3">
        <v>1</v>
      </c>
      <c r="M83" s="3">
        <f t="shared" si="5"/>
        <v>82.6</v>
      </c>
      <c r="N83" s="3">
        <v>4.8</v>
      </c>
      <c r="O83" s="3">
        <f t="shared" si="10"/>
        <v>105.8</v>
      </c>
      <c r="P83" s="3">
        <v>43</v>
      </c>
      <c r="Q83" s="3">
        <f t="shared" si="9"/>
        <v>0.53264462809917357</v>
      </c>
      <c r="R83" s="7">
        <f t="shared" si="1"/>
        <v>0.53264462809917357</v>
      </c>
      <c r="S83" s="7">
        <f t="shared" si="2"/>
        <v>5.2673553719008259</v>
      </c>
      <c r="T83" s="7">
        <f t="shared" si="8"/>
        <v>129.61388429752068</v>
      </c>
      <c r="V83" s="3">
        <v>414</v>
      </c>
      <c r="X83" s="3">
        <f t="shared" si="6"/>
        <v>39218.999999999993</v>
      </c>
      <c r="AA83" s="3">
        <v>10.8213247105489</v>
      </c>
    </row>
    <row r="84" spans="1:27" s="3" customFormat="1" x14ac:dyDescent="0.25">
      <c r="A84" s="72"/>
      <c r="B84" s="8"/>
      <c r="C84" s="9">
        <v>41200</v>
      </c>
      <c r="D84" s="3">
        <v>13</v>
      </c>
      <c r="E84" s="3">
        <v>12.2</v>
      </c>
      <c r="F84" s="3">
        <v>15.1</v>
      </c>
      <c r="G84" s="3">
        <f t="shared" si="3"/>
        <v>620.19999999999993</v>
      </c>
      <c r="J84" s="3">
        <v>15.6</v>
      </c>
      <c r="K84" s="3">
        <f t="shared" si="4"/>
        <v>171.9</v>
      </c>
      <c r="L84" s="3">
        <v>0.7</v>
      </c>
      <c r="M84" s="3">
        <f t="shared" si="5"/>
        <v>83.3</v>
      </c>
      <c r="N84" s="3">
        <v>14.9</v>
      </c>
      <c r="O84" s="3">
        <f t="shared" si="10"/>
        <v>120.7</v>
      </c>
      <c r="P84" s="3">
        <v>44</v>
      </c>
      <c r="Q84" s="3">
        <f t="shared" si="9"/>
        <v>0.5380165289256198</v>
      </c>
      <c r="R84" s="7">
        <f t="shared" si="1"/>
        <v>0.37661157024793385</v>
      </c>
      <c r="S84" s="7">
        <f t="shared" si="2"/>
        <v>15.223388429752065</v>
      </c>
      <c r="T84" s="7">
        <f t="shared" si="8"/>
        <v>144.83727272727276</v>
      </c>
      <c r="V84" s="3">
        <v>352.9</v>
      </c>
      <c r="X84" s="3">
        <f t="shared" si="6"/>
        <v>39571.899999999994</v>
      </c>
      <c r="AA84" s="3">
        <v>10.764801829194701</v>
      </c>
    </row>
    <row r="85" spans="1:27" s="3" customFormat="1" x14ac:dyDescent="0.25">
      <c r="A85" s="72"/>
      <c r="B85" s="8"/>
      <c r="C85" s="9">
        <v>41201</v>
      </c>
      <c r="D85" s="3">
        <v>11.1</v>
      </c>
      <c r="E85" s="3">
        <v>10.6</v>
      </c>
      <c r="F85" s="3">
        <v>12.3</v>
      </c>
      <c r="G85" s="3">
        <f t="shared" si="3"/>
        <v>631.29999999999995</v>
      </c>
      <c r="J85" s="3">
        <v>1.9</v>
      </c>
      <c r="K85" s="3">
        <f t="shared" si="4"/>
        <v>173.8</v>
      </c>
      <c r="L85" s="3">
        <v>0.4</v>
      </c>
      <c r="M85" s="3">
        <f t="shared" si="5"/>
        <v>83.7</v>
      </c>
      <c r="N85" s="3">
        <v>1.5</v>
      </c>
      <c r="O85" s="3">
        <f t="shared" si="10"/>
        <v>122.2</v>
      </c>
      <c r="P85" s="3">
        <v>45</v>
      </c>
      <c r="Q85" s="3">
        <f t="shared" si="9"/>
        <v>0.54338842975206614</v>
      </c>
      <c r="R85" s="7">
        <f t="shared" si="1"/>
        <v>0.21735537190082646</v>
      </c>
      <c r="S85" s="7">
        <f t="shared" si="2"/>
        <v>1.6826446280991734</v>
      </c>
      <c r="T85" s="7">
        <f t="shared" si="8"/>
        <v>146.51991735537194</v>
      </c>
      <c r="V85" s="3">
        <v>197.1</v>
      </c>
      <c r="X85" s="3">
        <f t="shared" si="6"/>
        <v>39768.999999999993</v>
      </c>
      <c r="AA85" s="3">
        <v>10.7084442775047</v>
      </c>
    </row>
    <row r="86" spans="1:27" s="3" customFormat="1" x14ac:dyDescent="0.25">
      <c r="A86" s="72"/>
      <c r="B86" s="8"/>
      <c r="C86" s="9">
        <v>41202</v>
      </c>
      <c r="D86" s="3">
        <v>11.4</v>
      </c>
      <c r="E86" s="3">
        <v>8.9</v>
      </c>
      <c r="F86" s="3">
        <v>12.9</v>
      </c>
      <c r="G86" s="3">
        <f t="shared" si="3"/>
        <v>642.69999999999993</v>
      </c>
      <c r="J86" s="3">
        <v>5</v>
      </c>
      <c r="K86" s="3">
        <f t="shared" si="4"/>
        <v>178.8</v>
      </c>
      <c r="L86" s="3">
        <v>0.4</v>
      </c>
      <c r="M86" s="3">
        <f t="shared" si="5"/>
        <v>84.100000000000009</v>
      </c>
      <c r="N86" s="3">
        <v>4.5999999999999996</v>
      </c>
      <c r="O86" s="3">
        <f t="shared" si="10"/>
        <v>126.8</v>
      </c>
      <c r="P86" s="3">
        <v>46</v>
      </c>
      <c r="Q86" s="3">
        <f t="shared" si="9"/>
        <v>0.54876033057851237</v>
      </c>
      <c r="R86" s="7">
        <f t="shared" si="1"/>
        <v>0.21950413223140497</v>
      </c>
      <c r="S86" s="7">
        <f t="shared" si="2"/>
        <v>4.7804958677685949</v>
      </c>
      <c r="T86" s="7">
        <f t="shared" si="8"/>
        <v>151.30041322314054</v>
      </c>
      <c r="V86" s="3">
        <v>241.1</v>
      </c>
      <c r="X86" s="3">
        <f t="shared" si="6"/>
        <v>40010.099999999991</v>
      </c>
      <c r="AA86" s="3">
        <v>10.652263447446201</v>
      </c>
    </row>
    <row r="87" spans="1:27" s="3" customFormat="1" x14ac:dyDescent="0.25">
      <c r="A87" s="72"/>
      <c r="B87" s="8"/>
      <c r="C87" s="9">
        <v>41203</v>
      </c>
      <c r="D87" s="3">
        <v>13.6</v>
      </c>
      <c r="E87" s="3">
        <v>12.1</v>
      </c>
      <c r="F87" s="3">
        <v>14.5</v>
      </c>
      <c r="G87" s="3">
        <f t="shared" si="3"/>
        <v>656.3</v>
      </c>
      <c r="J87" s="3">
        <v>0.7</v>
      </c>
      <c r="K87" s="3">
        <f t="shared" si="4"/>
        <v>179.5</v>
      </c>
      <c r="L87" s="3">
        <v>0.4</v>
      </c>
      <c r="M87" s="3">
        <f t="shared" si="5"/>
        <v>84.500000000000014</v>
      </c>
      <c r="N87" s="3">
        <v>0.29999999999999993</v>
      </c>
      <c r="O87" s="3">
        <f t="shared" si="10"/>
        <v>127.1</v>
      </c>
      <c r="P87" s="3">
        <v>47</v>
      </c>
      <c r="Q87" s="3">
        <f t="shared" si="9"/>
        <v>0.55413223140495871</v>
      </c>
      <c r="R87" s="7">
        <f t="shared" si="1"/>
        <v>0.22165289256198351</v>
      </c>
      <c r="S87" s="7">
        <f t="shared" si="2"/>
        <v>0.47834710743801645</v>
      </c>
      <c r="T87" s="7">
        <f t="shared" si="8"/>
        <v>151.77876033057856</v>
      </c>
      <c r="V87" s="3">
        <v>189.9</v>
      </c>
      <c r="X87" s="3">
        <f t="shared" si="6"/>
        <v>40199.999999999993</v>
      </c>
      <c r="AA87" s="3">
        <v>10.5962712021773</v>
      </c>
    </row>
    <row r="88" spans="1:27" s="3" customFormat="1" x14ac:dyDescent="0.25">
      <c r="A88" s="72"/>
      <c r="B88" s="8"/>
      <c r="C88" s="9">
        <v>41204</v>
      </c>
      <c r="D88" s="3">
        <v>15.3</v>
      </c>
      <c r="E88" s="3">
        <v>13.6</v>
      </c>
      <c r="F88" s="3">
        <v>16.899999999999999</v>
      </c>
      <c r="G88" s="3">
        <f t="shared" si="3"/>
        <v>671.59999999999991</v>
      </c>
      <c r="J88" s="3">
        <v>0.4</v>
      </c>
      <c r="K88" s="3">
        <f t="shared" si="4"/>
        <v>179.9</v>
      </c>
      <c r="L88" s="3">
        <v>0.6</v>
      </c>
      <c r="M88" s="3">
        <f t="shared" si="5"/>
        <v>85.100000000000009</v>
      </c>
      <c r="N88" s="3">
        <v>-0.19999999999999996</v>
      </c>
      <c r="O88" s="3">
        <f t="shared" si="10"/>
        <v>126.89999999999999</v>
      </c>
      <c r="P88" s="3">
        <v>48</v>
      </c>
      <c r="Q88" s="3">
        <f t="shared" si="9"/>
        <v>0.55950413223140494</v>
      </c>
      <c r="R88" s="7">
        <f t="shared" si="1"/>
        <v>0.33570247933884295</v>
      </c>
      <c r="S88" s="7">
        <f t="shared" si="2"/>
        <v>6.429752066115707E-2</v>
      </c>
      <c r="T88" s="7">
        <f t="shared" si="8"/>
        <v>151.84305785123973</v>
      </c>
      <c r="V88" s="3">
        <v>275</v>
      </c>
      <c r="X88" s="3">
        <f t="shared" si="6"/>
        <v>40474.999999999993</v>
      </c>
      <c r="AA88" s="3">
        <v>10.540479893213901</v>
      </c>
    </row>
    <row r="89" spans="1:27" s="3" customFormat="1" x14ac:dyDescent="0.25">
      <c r="A89" s="72"/>
      <c r="B89" s="8"/>
      <c r="C89" s="9">
        <v>41205</v>
      </c>
      <c r="D89" s="3">
        <v>15.7</v>
      </c>
      <c r="E89" s="3">
        <v>14.4</v>
      </c>
      <c r="F89" s="3">
        <v>18.2</v>
      </c>
      <c r="G89" s="3">
        <f t="shared" si="3"/>
        <v>687.3</v>
      </c>
      <c r="J89" s="3">
        <v>0</v>
      </c>
      <c r="K89" s="3">
        <f t="shared" si="4"/>
        <v>179.9</v>
      </c>
      <c r="L89" s="3">
        <v>0.9</v>
      </c>
      <c r="M89" s="3">
        <f t="shared" si="5"/>
        <v>86.000000000000014</v>
      </c>
      <c r="N89" s="3">
        <v>-0.9</v>
      </c>
      <c r="O89" s="3">
        <f t="shared" si="10"/>
        <v>125.99999999999999</v>
      </c>
      <c r="P89" s="3">
        <v>49</v>
      </c>
      <c r="Q89" s="3">
        <f t="shared" si="9"/>
        <v>0.56487603305785128</v>
      </c>
      <c r="R89" s="7">
        <f t="shared" si="1"/>
        <v>0.50838842975206622</v>
      </c>
      <c r="S89" s="7">
        <f t="shared" si="2"/>
        <v>-0.50838842975206622</v>
      </c>
      <c r="T89" s="7">
        <f t="shared" si="8"/>
        <v>151.33466942148766</v>
      </c>
      <c r="V89" s="3">
        <v>454.7</v>
      </c>
      <c r="X89" s="3">
        <f t="shared" si="6"/>
        <v>40929.69999999999</v>
      </c>
      <c r="AA89" s="3">
        <v>10.4849023772331</v>
      </c>
    </row>
    <row r="90" spans="1:27" s="3" customFormat="1" x14ac:dyDescent="0.25">
      <c r="A90" s="72"/>
      <c r="B90" s="8"/>
      <c r="C90" s="9">
        <v>41206</v>
      </c>
      <c r="D90" s="3">
        <v>13</v>
      </c>
      <c r="E90" s="3">
        <v>11.3</v>
      </c>
      <c r="F90" s="3">
        <v>14.6</v>
      </c>
      <c r="G90" s="3">
        <f t="shared" si="3"/>
        <v>700.3</v>
      </c>
      <c r="J90" s="3">
        <v>0</v>
      </c>
      <c r="K90" s="3">
        <f t="shared" si="4"/>
        <v>179.9</v>
      </c>
      <c r="L90" s="3">
        <v>0.8</v>
      </c>
      <c r="M90" s="3">
        <f t="shared" si="5"/>
        <v>86.800000000000011</v>
      </c>
      <c r="N90" s="3">
        <v>-0.8</v>
      </c>
      <c r="O90" s="3">
        <f t="shared" si="10"/>
        <v>125.19999999999999</v>
      </c>
      <c r="P90" s="3">
        <v>50</v>
      </c>
      <c r="Q90" s="3">
        <f t="shared" si="9"/>
        <v>0.57024793388429751</v>
      </c>
      <c r="R90" s="7">
        <f t="shared" si="1"/>
        <v>0.45619834710743801</v>
      </c>
      <c r="S90" s="7">
        <f t="shared" si="2"/>
        <v>-0.45619834710743801</v>
      </c>
      <c r="T90" s="7">
        <f t="shared" si="8"/>
        <v>150.87847107438023</v>
      </c>
      <c r="V90" s="3">
        <v>287.89999999999998</v>
      </c>
      <c r="X90" s="3">
        <f t="shared" si="6"/>
        <v>41217.599999999991</v>
      </c>
      <c r="AA90" s="3">
        <v>10.429552032444199</v>
      </c>
    </row>
    <row r="91" spans="1:27" s="3" customFormat="1" x14ac:dyDescent="0.25">
      <c r="A91" s="72"/>
      <c r="B91" s="8"/>
      <c r="C91" s="9">
        <v>41207</v>
      </c>
      <c r="D91" s="3">
        <v>11.3</v>
      </c>
      <c r="E91" s="3">
        <v>11</v>
      </c>
      <c r="F91" s="3">
        <v>11.6</v>
      </c>
      <c r="G91" s="3">
        <f t="shared" si="3"/>
        <v>711.59999999999991</v>
      </c>
      <c r="J91" s="3">
        <v>0</v>
      </c>
      <c r="K91" s="3">
        <f t="shared" si="4"/>
        <v>179.9</v>
      </c>
      <c r="L91" s="3">
        <v>0.7</v>
      </c>
      <c r="M91" s="3">
        <f t="shared" si="5"/>
        <v>87.500000000000014</v>
      </c>
      <c r="N91" s="3">
        <v>-0.7</v>
      </c>
      <c r="O91" s="3">
        <f t="shared" si="10"/>
        <v>124.49999999999999</v>
      </c>
      <c r="P91" s="3">
        <v>51</v>
      </c>
      <c r="Q91" s="3">
        <f t="shared" si="9"/>
        <v>0.57561983471074374</v>
      </c>
      <c r="R91" s="7">
        <f t="shared" si="1"/>
        <v>0.40293388429752058</v>
      </c>
      <c r="S91" s="7">
        <f t="shared" si="2"/>
        <v>-0.40293388429752058</v>
      </c>
      <c r="T91" s="7">
        <f t="shared" si="8"/>
        <v>150.47553719008272</v>
      </c>
      <c r="V91" s="3">
        <v>377.8</v>
      </c>
      <c r="X91" s="3">
        <f t="shared" si="6"/>
        <v>41595.399999999994</v>
      </c>
      <c r="AA91" s="3">
        <v>10.374442774453</v>
      </c>
    </row>
    <row r="92" spans="1:27" s="3" customFormat="1" x14ac:dyDescent="0.25">
      <c r="A92" s="72"/>
      <c r="B92" s="8"/>
      <c r="C92" s="9">
        <v>41208</v>
      </c>
      <c r="D92" s="3">
        <v>11</v>
      </c>
      <c r="E92" s="3">
        <v>10</v>
      </c>
      <c r="F92" s="3">
        <v>13.4</v>
      </c>
      <c r="G92" s="3">
        <f t="shared" si="3"/>
        <v>722.59999999999991</v>
      </c>
      <c r="J92" s="3">
        <v>0</v>
      </c>
      <c r="K92" s="3">
        <f t="shared" si="4"/>
        <v>179.9</v>
      </c>
      <c r="L92" s="3">
        <v>1</v>
      </c>
      <c r="M92" s="3">
        <f t="shared" si="5"/>
        <v>88.500000000000014</v>
      </c>
      <c r="N92" s="3">
        <v>-1</v>
      </c>
      <c r="O92" s="3">
        <f t="shared" si="10"/>
        <v>123.49999999999999</v>
      </c>
      <c r="P92" s="3">
        <v>52</v>
      </c>
      <c r="Q92" s="3">
        <f t="shared" si="9"/>
        <v>0.58099173553719008</v>
      </c>
      <c r="R92" s="7">
        <f t="shared" si="1"/>
        <v>0.58099173553719008</v>
      </c>
      <c r="S92" s="7">
        <f t="shared" si="2"/>
        <v>-0.58099173553719008</v>
      </c>
      <c r="T92" s="7">
        <f t="shared" si="8"/>
        <v>149.89454545454552</v>
      </c>
      <c r="V92" s="3">
        <v>200.7</v>
      </c>
      <c r="X92" s="3">
        <f t="shared" si="6"/>
        <v>41796.099999999991</v>
      </c>
      <c r="AA92" s="3">
        <v>10.3195890715385</v>
      </c>
    </row>
    <row r="93" spans="1:27" s="3" customFormat="1" x14ac:dyDescent="0.25">
      <c r="A93" s="72"/>
      <c r="B93" s="8"/>
      <c r="C93" s="9">
        <v>41209</v>
      </c>
      <c r="D93" s="3">
        <v>6.9</v>
      </c>
      <c r="E93" s="3">
        <v>5.4</v>
      </c>
      <c r="F93" s="3">
        <v>9.1</v>
      </c>
      <c r="G93" s="3">
        <f t="shared" si="3"/>
        <v>729.49999999999989</v>
      </c>
      <c r="J93" s="3">
        <v>0</v>
      </c>
      <c r="K93" s="3">
        <f t="shared" si="4"/>
        <v>179.9</v>
      </c>
      <c r="L93" s="3">
        <v>1.8</v>
      </c>
      <c r="M93" s="3">
        <f t="shared" si="5"/>
        <v>90.300000000000011</v>
      </c>
      <c r="N93" s="3">
        <v>-1.8</v>
      </c>
      <c r="O93" s="3">
        <f t="shared" si="10"/>
        <v>121.69999999999999</v>
      </c>
      <c r="P93" s="3">
        <v>53</v>
      </c>
      <c r="Q93" s="3">
        <f t="shared" si="9"/>
        <v>0.58636363636363642</v>
      </c>
      <c r="R93" s="7">
        <f t="shared" si="1"/>
        <v>1.0554545454545456</v>
      </c>
      <c r="S93" s="7">
        <f t="shared" si="2"/>
        <v>-1.0554545454545456</v>
      </c>
      <c r="T93" s="7">
        <f t="shared" si="8"/>
        <v>148.83909090909097</v>
      </c>
      <c r="V93" s="3">
        <v>702.5</v>
      </c>
      <c r="X93" s="3">
        <f t="shared" si="6"/>
        <v>42498.599999999991</v>
      </c>
      <c r="AA93" s="3">
        <v>10.265005959254699</v>
      </c>
    </row>
    <row r="94" spans="1:27" s="3" customFormat="1" x14ac:dyDescent="0.25">
      <c r="A94" s="72"/>
      <c r="B94" s="8"/>
      <c r="C94" s="9">
        <v>41210</v>
      </c>
      <c r="D94" s="3">
        <v>6.7</v>
      </c>
      <c r="E94" s="3">
        <v>2.2000000000000002</v>
      </c>
      <c r="F94" s="3">
        <v>10.6</v>
      </c>
      <c r="G94" s="3">
        <f t="shared" si="3"/>
        <v>736.19999999999993</v>
      </c>
      <c r="J94" s="3">
        <v>0</v>
      </c>
      <c r="K94" s="3">
        <f t="shared" si="4"/>
        <v>179.9</v>
      </c>
      <c r="L94" s="3">
        <v>1.1000000000000001</v>
      </c>
      <c r="M94" s="3">
        <f t="shared" si="5"/>
        <v>91.4</v>
      </c>
      <c r="N94" s="3">
        <v>-1.1000000000000001</v>
      </c>
      <c r="O94" s="3">
        <f t="shared" si="10"/>
        <v>120.6</v>
      </c>
      <c r="P94" s="3">
        <v>54</v>
      </c>
      <c r="Q94" s="3">
        <f t="shared" si="9"/>
        <v>0.59173553719008265</v>
      </c>
      <c r="R94" s="7">
        <f t="shared" si="1"/>
        <v>0.65090909090909099</v>
      </c>
      <c r="S94" s="7">
        <f t="shared" si="2"/>
        <v>-0.65090909090909099</v>
      </c>
      <c r="T94" s="7">
        <f t="shared" si="8"/>
        <v>148.18818181818187</v>
      </c>
      <c r="V94" s="3">
        <v>762.9</v>
      </c>
      <c r="X94" s="3">
        <f t="shared" si="6"/>
        <v>43261.499999999993</v>
      </c>
      <c r="AA94" s="3">
        <v>10.210709054264401</v>
      </c>
    </row>
    <row r="95" spans="1:27" s="3" customFormat="1" x14ac:dyDescent="0.25">
      <c r="A95" s="72"/>
      <c r="B95" s="8"/>
      <c r="C95" s="9">
        <v>41211</v>
      </c>
      <c r="D95" s="3">
        <v>7.6</v>
      </c>
      <c r="E95" s="3">
        <v>5</v>
      </c>
      <c r="F95" s="3">
        <v>12.4</v>
      </c>
      <c r="G95" s="3">
        <f t="shared" si="3"/>
        <v>743.8</v>
      </c>
      <c r="J95" s="3">
        <v>0.1</v>
      </c>
      <c r="K95" s="3">
        <f t="shared" si="4"/>
        <v>180</v>
      </c>
      <c r="L95" s="3">
        <v>1.1000000000000001</v>
      </c>
      <c r="M95" s="3">
        <f t="shared" si="5"/>
        <v>92.5</v>
      </c>
      <c r="N95" s="3">
        <v>-1</v>
      </c>
      <c r="O95" s="3">
        <f t="shared" si="10"/>
        <v>119.6</v>
      </c>
      <c r="P95" s="3">
        <v>55</v>
      </c>
      <c r="Q95" s="3">
        <f t="shared" si="9"/>
        <v>0.59710743801652888</v>
      </c>
      <c r="R95" s="7">
        <f t="shared" si="1"/>
        <v>0.65681818181818186</v>
      </c>
      <c r="S95" s="7">
        <f t="shared" si="2"/>
        <v>-0.55681818181818188</v>
      </c>
      <c r="T95" s="7">
        <f t="shared" si="8"/>
        <v>147.63136363636369</v>
      </c>
      <c r="V95" s="3">
        <v>723.9</v>
      </c>
      <c r="X95" s="3">
        <f t="shared" si="6"/>
        <v>43985.399999999994</v>
      </c>
      <c r="AA95" s="3">
        <v>10.1567145673041</v>
      </c>
    </row>
    <row r="96" spans="1:27" s="3" customFormat="1" x14ac:dyDescent="0.25">
      <c r="A96" s="72"/>
      <c r="B96" s="8"/>
      <c r="C96" s="9">
        <v>41212</v>
      </c>
      <c r="D96" s="3">
        <v>7.7</v>
      </c>
      <c r="E96" s="3">
        <v>3.4</v>
      </c>
      <c r="F96" s="3">
        <v>13.8</v>
      </c>
      <c r="G96" s="3">
        <f t="shared" si="3"/>
        <v>751.5</v>
      </c>
      <c r="J96" s="3">
        <v>0</v>
      </c>
      <c r="K96" s="3">
        <f t="shared" si="4"/>
        <v>180</v>
      </c>
      <c r="L96" s="3">
        <v>0.7</v>
      </c>
      <c r="M96" s="3">
        <f t="shared" si="5"/>
        <v>93.2</v>
      </c>
      <c r="N96" s="3">
        <v>-0.7</v>
      </c>
      <c r="O96" s="3">
        <f t="shared" si="10"/>
        <v>118.89999999999999</v>
      </c>
      <c r="P96" s="3">
        <v>56</v>
      </c>
      <c r="Q96" s="3">
        <f t="shared" si="9"/>
        <v>0.60247933884297522</v>
      </c>
      <c r="R96" s="7">
        <f t="shared" si="1"/>
        <v>0.42173553719008261</v>
      </c>
      <c r="S96" s="7">
        <f t="shared" si="2"/>
        <v>-0.42173553719008261</v>
      </c>
      <c r="T96" s="7">
        <f t="shared" si="8"/>
        <v>147.20962809917361</v>
      </c>
      <c r="V96" s="3">
        <v>523.1</v>
      </c>
      <c r="X96" s="3">
        <f t="shared" si="6"/>
        <v>44508.499999999993</v>
      </c>
      <c r="AA96" s="3">
        <v>10.1030393151739</v>
      </c>
    </row>
    <row r="97" spans="1:27" s="3" customFormat="1" x14ac:dyDescent="0.25">
      <c r="A97" s="72"/>
      <c r="B97" s="8"/>
      <c r="C97" s="9">
        <v>41213</v>
      </c>
      <c r="D97" s="3">
        <v>8.5</v>
      </c>
      <c r="E97" s="3">
        <v>2</v>
      </c>
      <c r="F97" s="3">
        <v>14.3</v>
      </c>
      <c r="G97" s="3">
        <f t="shared" si="3"/>
        <v>760</v>
      </c>
      <c r="J97" s="3">
        <v>6.3</v>
      </c>
      <c r="K97" s="3">
        <f t="shared" si="4"/>
        <v>186.3</v>
      </c>
      <c r="L97" s="3">
        <v>1.4</v>
      </c>
      <c r="M97" s="3">
        <f t="shared" si="5"/>
        <v>94.600000000000009</v>
      </c>
      <c r="N97" s="3">
        <v>4.9000000000000004</v>
      </c>
      <c r="O97" s="3">
        <f t="shared" si="10"/>
        <v>123.8</v>
      </c>
      <c r="P97" s="3">
        <v>57</v>
      </c>
      <c r="Q97" s="3">
        <f t="shared" si="9"/>
        <v>0.60785123966942156</v>
      </c>
      <c r="R97" s="7">
        <f t="shared" si="1"/>
        <v>0.8509917355371901</v>
      </c>
      <c r="S97" s="7">
        <f t="shared" si="2"/>
        <v>5.4490082644628099</v>
      </c>
      <c r="T97" s="7">
        <f t="shared" si="8"/>
        <v>152.65863636363642</v>
      </c>
      <c r="V97" s="3">
        <v>773.5</v>
      </c>
      <c r="X97" s="3">
        <f t="shared" si="6"/>
        <v>45281.999999999993</v>
      </c>
      <c r="AA97" s="3">
        <v>10.0497007316379</v>
      </c>
    </row>
    <row r="98" spans="1:27" s="3" customFormat="1" x14ac:dyDescent="0.25">
      <c r="A98" s="72"/>
      <c r="B98" s="8"/>
      <c r="C98" s="9">
        <v>41214</v>
      </c>
      <c r="D98" s="3">
        <v>8.3000000000000007</v>
      </c>
      <c r="E98" s="3">
        <v>6.7</v>
      </c>
      <c r="F98" s="3">
        <v>11.5</v>
      </c>
      <c r="G98" s="3">
        <f t="shared" si="3"/>
        <v>768.3</v>
      </c>
      <c r="J98" s="3">
        <v>1.1000000000000001</v>
      </c>
      <c r="K98" s="3">
        <f t="shared" si="4"/>
        <v>187.4</v>
      </c>
      <c r="L98" s="3">
        <v>1.2</v>
      </c>
      <c r="M98" s="3">
        <f t="shared" si="5"/>
        <v>95.800000000000011</v>
      </c>
      <c r="N98" s="3">
        <v>-9.9999999999999867E-2</v>
      </c>
      <c r="O98" s="3">
        <f t="shared" si="10"/>
        <v>123.7</v>
      </c>
      <c r="P98" s="3">
        <v>58</v>
      </c>
      <c r="Q98" s="3">
        <f t="shared" si="9"/>
        <v>0.61322314049586768</v>
      </c>
      <c r="R98" s="7">
        <f t="shared" si="1"/>
        <v>0.73586776859504122</v>
      </c>
      <c r="S98" s="7">
        <f t="shared" si="2"/>
        <v>0.36413223140495887</v>
      </c>
      <c r="T98" s="7">
        <f t="shared" si="8"/>
        <v>153.02276859504138</v>
      </c>
      <c r="V98" s="3">
        <v>578.6</v>
      </c>
      <c r="X98" s="3">
        <f t="shared" si="6"/>
        <v>45860.599999999991</v>
      </c>
      <c r="AA98" s="3">
        <v>9.9967168771169792</v>
      </c>
    </row>
    <row r="99" spans="1:27" s="3" customFormat="1" x14ac:dyDescent="0.25">
      <c r="A99" s="72"/>
      <c r="B99" s="8"/>
      <c r="C99" s="9">
        <v>41215</v>
      </c>
      <c r="D99" s="3">
        <v>8.3000000000000007</v>
      </c>
      <c r="E99" s="3">
        <v>4.5999999999999996</v>
      </c>
      <c r="F99" s="3">
        <v>10.9</v>
      </c>
      <c r="G99" s="3">
        <f t="shared" si="3"/>
        <v>776.59999999999991</v>
      </c>
      <c r="J99" s="3">
        <v>7.6</v>
      </c>
      <c r="K99" s="3">
        <f t="shared" si="4"/>
        <v>195</v>
      </c>
      <c r="L99" s="3">
        <v>0.6</v>
      </c>
      <c r="M99" s="3">
        <f t="shared" si="5"/>
        <v>96.4</v>
      </c>
      <c r="N99" s="3">
        <v>7</v>
      </c>
      <c r="O99" s="3">
        <f t="shared" si="10"/>
        <v>130.69999999999999</v>
      </c>
      <c r="P99" s="3">
        <v>59</v>
      </c>
      <c r="Q99" s="3">
        <f t="shared" si="9"/>
        <v>0.61859504132231402</v>
      </c>
      <c r="R99" s="7">
        <f t="shared" si="1"/>
        <v>0.37115702479338841</v>
      </c>
      <c r="S99" s="7">
        <f t="shared" si="2"/>
        <v>7.2288429752066108</v>
      </c>
      <c r="T99" s="7">
        <f t="shared" si="8"/>
        <v>160.251611570248</v>
      </c>
      <c r="V99" s="3">
        <v>501.9</v>
      </c>
      <c r="X99" s="3">
        <f t="shared" si="6"/>
        <v>46362.499999999993</v>
      </c>
      <c r="AA99" s="3">
        <v>9.9441064470457103</v>
      </c>
    </row>
    <row r="100" spans="1:27" s="3" customFormat="1" x14ac:dyDescent="0.25">
      <c r="A100" s="72"/>
      <c r="B100" s="8"/>
      <c r="C100" s="9">
        <v>41216</v>
      </c>
      <c r="D100" s="3">
        <v>9</v>
      </c>
      <c r="E100" s="3">
        <v>7.7</v>
      </c>
      <c r="F100" s="3">
        <v>12.7</v>
      </c>
      <c r="G100" s="3">
        <f t="shared" si="3"/>
        <v>785.59999999999991</v>
      </c>
      <c r="J100" s="3">
        <v>6.2</v>
      </c>
      <c r="K100" s="3">
        <f t="shared" si="4"/>
        <v>201.2</v>
      </c>
      <c r="L100" s="3">
        <v>1.6</v>
      </c>
      <c r="M100" s="3">
        <f t="shared" si="5"/>
        <v>98</v>
      </c>
      <c r="N100" s="3">
        <v>4.5999999999999996</v>
      </c>
      <c r="O100" s="3">
        <f t="shared" si="10"/>
        <v>135.29999999999998</v>
      </c>
      <c r="P100" s="3">
        <v>60</v>
      </c>
      <c r="Q100" s="3">
        <f t="shared" si="9"/>
        <v>0.62396694214876036</v>
      </c>
      <c r="R100" s="7">
        <f t="shared" si="1"/>
        <v>0.99834710743801658</v>
      </c>
      <c r="S100" s="7">
        <f t="shared" si="2"/>
        <v>5.2016528925619836</v>
      </c>
      <c r="T100" s="7">
        <f t="shared" si="8"/>
        <v>165.45326446280998</v>
      </c>
      <c r="V100" s="3">
        <v>805.5</v>
      </c>
      <c r="X100" s="3">
        <f t="shared" si="6"/>
        <v>47167.999999999993</v>
      </c>
      <c r="AA100" s="3">
        <v>9.8918887787624996</v>
      </c>
    </row>
    <row r="101" spans="1:27" s="3" customFormat="1" x14ac:dyDescent="0.25">
      <c r="A101" s="72"/>
      <c r="B101" s="8"/>
      <c r="C101" s="9">
        <v>41217</v>
      </c>
      <c r="D101" s="3">
        <v>9</v>
      </c>
      <c r="E101" s="3">
        <v>5.4</v>
      </c>
      <c r="F101" s="3">
        <v>13.1</v>
      </c>
      <c r="G101" s="3">
        <f t="shared" si="3"/>
        <v>794.59999999999991</v>
      </c>
      <c r="J101" s="3">
        <v>2</v>
      </c>
      <c r="K101" s="3">
        <f t="shared" si="4"/>
        <v>203.2</v>
      </c>
      <c r="L101" s="3">
        <v>1.5</v>
      </c>
      <c r="M101" s="3">
        <f t="shared" si="5"/>
        <v>99.5</v>
      </c>
      <c r="N101" s="3">
        <v>0.5</v>
      </c>
      <c r="O101" s="3">
        <f t="shared" si="10"/>
        <v>135.79999999999998</v>
      </c>
      <c r="P101" s="3">
        <v>61</v>
      </c>
      <c r="Q101" s="3">
        <f t="shared" si="9"/>
        <v>0.62933884297520659</v>
      </c>
      <c r="R101" s="7">
        <f t="shared" si="1"/>
        <v>0.94400826446280983</v>
      </c>
      <c r="S101" s="7">
        <f t="shared" si="2"/>
        <v>1.0559917355371902</v>
      </c>
      <c r="T101" s="7">
        <f t="shared" si="8"/>
        <v>166.50925619834717</v>
      </c>
      <c r="V101" s="3">
        <v>868.9</v>
      </c>
      <c r="X101" s="3">
        <f t="shared" si="6"/>
        <v>48036.899999999994</v>
      </c>
      <c r="AA101" s="3">
        <v>9.8400838567940205</v>
      </c>
    </row>
    <row r="102" spans="1:27" s="3" customFormat="1" x14ac:dyDescent="0.25">
      <c r="A102" s="72"/>
      <c r="B102" s="8"/>
      <c r="C102" s="9">
        <v>41218</v>
      </c>
      <c r="D102" s="3">
        <v>8</v>
      </c>
      <c r="E102" s="3">
        <v>5.6</v>
      </c>
      <c r="F102" s="3">
        <v>12.9</v>
      </c>
      <c r="G102" s="3">
        <f t="shared" si="3"/>
        <v>802.59999999999991</v>
      </c>
      <c r="J102" s="3">
        <v>4.5999999999999996</v>
      </c>
      <c r="K102" s="3">
        <f t="shared" si="4"/>
        <v>207.79999999999998</v>
      </c>
      <c r="L102" s="3">
        <v>1.1000000000000001</v>
      </c>
      <c r="M102" s="3">
        <f t="shared" si="5"/>
        <v>100.6</v>
      </c>
      <c r="N102" s="3">
        <v>3.4999999999999996</v>
      </c>
      <c r="O102" s="3">
        <f t="shared" si="10"/>
        <v>139.29999999999998</v>
      </c>
      <c r="P102" s="3">
        <v>62</v>
      </c>
      <c r="Q102" s="3">
        <f t="shared" si="9"/>
        <v>0.63471074380165282</v>
      </c>
      <c r="R102" s="7">
        <f t="shared" si="1"/>
        <v>0.69818181818181813</v>
      </c>
      <c r="S102" s="7">
        <f t="shared" si="2"/>
        <v>3.9018181818181814</v>
      </c>
      <c r="T102" s="7">
        <f t="shared" si="8"/>
        <v>170.41107438016536</v>
      </c>
      <c r="V102" s="3">
        <v>475.5</v>
      </c>
      <c r="X102" s="3">
        <f t="shared" si="6"/>
        <v>48512.399999999994</v>
      </c>
      <c r="AA102" s="3">
        <v>9.7887123163906296</v>
      </c>
    </row>
    <row r="103" spans="1:27" s="3" customFormat="1" x14ac:dyDescent="0.25">
      <c r="A103" s="72"/>
      <c r="B103" s="8"/>
      <c r="C103" s="9">
        <v>41219</v>
      </c>
      <c r="D103" s="3">
        <v>6.8</v>
      </c>
      <c r="E103" s="3">
        <v>3.3</v>
      </c>
      <c r="F103" s="3">
        <v>11.3</v>
      </c>
      <c r="G103" s="3">
        <f t="shared" si="3"/>
        <v>809.39999999999986</v>
      </c>
      <c r="J103" s="3">
        <v>0</v>
      </c>
      <c r="K103" s="3">
        <f t="shared" si="4"/>
        <v>207.79999999999998</v>
      </c>
      <c r="L103" s="3">
        <v>1.2</v>
      </c>
      <c r="M103" s="3">
        <f t="shared" si="5"/>
        <v>101.8</v>
      </c>
      <c r="N103" s="3">
        <v>-1.2</v>
      </c>
      <c r="O103" s="3">
        <f t="shared" si="10"/>
        <v>138.1</v>
      </c>
      <c r="P103" s="3">
        <v>63</v>
      </c>
      <c r="Q103" s="3">
        <f t="shared" si="9"/>
        <v>0.64008264462809916</v>
      </c>
      <c r="R103" s="7">
        <f t="shared" si="1"/>
        <v>0.76809917355371893</v>
      </c>
      <c r="S103" s="7">
        <f t="shared" si="2"/>
        <v>-0.76809917355371893</v>
      </c>
      <c r="T103" s="7">
        <f t="shared" si="8"/>
        <v>169.64297520661165</v>
      </c>
      <c r="V103" s="3">
        <v>855.2</v>
      </c>
      <c r="X103" s="3">
        <f t="shared" si="6"/>
        <v>49367.599999999991</v>
      </c>
      <c r="AA103" s="3">
        <v>9.7377954451645401</v>
      </c>
    </row>
    <row r="104" spans="1:27" s="3" customFormat="1" x14ac:dyDescent="0.25">
      <c r="A104" s="72"/>
      <c r="B104" s="8"/>
      <c r="C104" s="9">
        <v>41220</v>
      </c>
      <c r="D104" s="3">
        <v>8.9</v>
      </c>
      <c r="E104" s="3">
        <v>5.8</v>
      </c>
      <c r="F104" s="3">
        <v>12</v>
      </c>
      <c r="G104" s="3">
        <f t="shared" si="3"/>
        <v>818.29999999999984</v>
      </c>
      <c r="J104" s="3">
        <v>0</v>
      </c>
      <c r="K104" s="3">
        <f t="shared" si="4"/>
        <v>207.79999999999998</v>
      </c>
      <c r="L104" s="3">
        <v>0.7</v>
      </c>
      <c r="M104" s="3">
        <f t="shared" si="5"/>
        <v>102.5</v>
      </c>
      <c r="N104" s="3">
        <v>-0.7</v>
      </c>
      <c r="O104" s="3">
        <f t="shared" si="10"/>
        <v>137.4</v>
      </c>
      <c r="P104" s="3">
        <v>64</v>
      </c>
      <c r="Q104" s="3">
        <f t="shared" si="9"/>
        <v>0.6454545454545455</v>
      </c>
      <c r="R104" s="7">
        <f t="shared" si="1"/>
        <v>0.45181818181818184</v>
      </c>
      <c r="S104" s="7">
        <f t="shared" si="2"/>
        <v>-0.45181818181818184</v>
      </c>
      <c r="T104" s="7">
        <f t="shared" si="8"/>
        <v>169.19115702479348</v>
      </c>
      <c r="V104" s="3">
        <v>262.39999999999998</v>
      </c>
      <c r="X104" s="3">
        <f t="shared" si="6"/>
        <v>49629.999999999993</v>
      </c>
      <c r="AA104" s="3">
        <v>9.6873551826779796</v>
      </c>
    </row>
    <row r="105" spans="1:27" s="3" customFormat="1" x14ac:dyDescent="0.25">
      <c r="A105" s="72"/>
      <c r="B105" s="8"/>
      <c r="C105" s="9">
        <v>41221</v>
      </c>
      <c r="D105" s="3">
        <v>6.4</v>
      </c>
      <c r="E105" s="3">
        <v>5.3</v>
      </c>
      <c r="F105" s="3">
        <v>11</v>
      </c>
      <c r="G105" s="3">
        <f t="shared" si="3"/>
        <v>824.69999999999982</v>
      </c>
      <c r="J105" s="3">
        <v>0</v>
      </c>
      <c r="K105" s="3">
        <f t="shared" si="4"/>
        <v>207.79999999999998</v>
      </c>
      <c r="L105" s="3">
        <v>1.2</v>
      </c>
      <c r="M105" s="3">
        <f t="shared" si="5"/>
        <v>103.7</v>
      </c>
      <c r="N105" s="3">
        <v>-1.2</v>
      </c>
      <c r="O105" s="3">
        <f t="shared" si="10"/>
        <v>136.20000000000002</v>
      </c>
      <c r="P105" s="3">
        <v>65</v>
      </c>
      <c r="Q105" s="3">
        <f t="shared" si="9"/>
        <v>0.65082644628099173</v>
      </c>
      <c r="R105" s="7">
        <f t="shared" ref="R105:R168" si="11">Q105*L105</f>
        <v>0.78099173553719003</v>
      </c>
      <c r="S105" s="7">
        <f t="shared" ref="S105:S168" si="12">J105-R105</f>
        <v>-0.78099173553719003</v>
      </c>
      <c r="T105" s="7">
        <f t="shared" si="8"/>
        <v>168.4101652892563</v>
      </c>
      <c r="V105" s="3">
        <v>769.2</v>
      </c>
      <c r="X105" s="3">
        <f t="shared" si="6"/>
        <v>50399.19999999999</v>
      </c>
      <c r="AA105" s="3">
        <v>9.6374141178255108</v>
      </c>
    </row>
    <row r="106" spans="1:27" s="3" customFormat="1" x14ac:dyDescent="0.25">
      <c r="A106" s="72"/>
      <c r="B106" s="8"/>
      <c r="C106" s="9">
        <v>41222</v>
      </c>
      <c r="D106" s="3">
        <v>5</v>
      </c>
      <c r="E106" s="3">
        <v>0</v>
      </c>
      <c r="F106" s="3">
        <v>9.1</v>
      </c>
      <c r="G106" s="3">
        <f t="shared" si="3"/>
        <v>829.69999999999982</v>
      </c>
      <c r="J106" s="3">
        <v>4.3</v>
      </c>
      <c r="K106" s="3">
        <f t="shared" si="4"/>
        <v>212.1</v>
      </c>
      <c r="L106" s="3">
        <v>0.3</v>
      </c>
      <c r="M106" s="3">
        <f t="shared" si="5"/>
        <v>104</v>
      </c>
      <c r="N106" s="3">
        <v>4</v>
      </c>
      <c r="O106" s="3">
        <f t="shared" si="10"/>
        <v>140.20000000000002</v>
      </c>
      <c r="P106" s="3">
        <v>66</v>
      </c>
      <c r="Q106" s="3">
        <f t="shared" si="9"/>
        <v>0.65619834710743796</v>
      </c>
      <c r="R106" s="7">
        <f t="shared" si="11"/>
        <v>0.19685950413223138</v>
      </c>
      <c r="S106" s="7">
        <f t="shared" si="12"/>
        <v>4.1031404958677689</v>
      </c>
      <c r="T106" s="7">
        <f t="shared" si="8"/>
        <v>172.51330578512406</v>
      </c>
      <c r="V106" s="3">
        <v>133.9</v>
      </c>
      <c r="X106" s="3">
        <f t="shared" si="6"/>
        <v>50533.099999999991</v>
      </c>
      <c r="AA106" s="3">
        <v>9.5879954838522501</v>
      </c>
    </row>
    <row r="107" spans="1:27" s="3" customFormat="1" x14ac:dyDescent="0.25">
      <c r="A107" s="72"/>
      <c r="B107" s="8"/>
      <c r="C107" s="9">
        <v>41223</v>
      </c>
      <c r="D107" s="3">
        <v>7.6</v>
      </c>
      <c r="E107" s="3">
        <v>6.4</v>
      </c>
      <c r="F107" s="3">
        <v>10</v>
      </c>
      <c r="G107" s="3">
        <f t="shared" ref="G107:G170" si="13">G106+D107</f>
        <v>837.29999999999984</v>
      </c>
      <c r="J107" s="3">
        <v>3</v>
      </c>
      <c r="K107" s="3">
        <f t="shared" ref="K107:K170" si="14">J107+K106</f>
        <v>215.1</v>
      </c>
      <c r="L107" s="3">
        <v>0.6</v>
      </c>
      <c r="M107" s="3">
        <f t="shared" ref="M107:M170" si="15">M106+L107</f>
        <v>104.6</v>
      </c>
      <c r="N107" s="3">
        <v>2.4</v>
      </c>
      <c r="O107" s="3">
        <f t="shared" si="10"/>
        <v>142.60000000000002</v>
      </c>
      <c r="P107" s="3">
        <v>67</v>
      </c>
      <c r="Q107" s="3">
        <f t="shared" si="9"/>
        <v>0.6615702479338843</v>
      </c>
      <c r="R107" s="7">
        <f t="shared" si="11"/>
        <v>0.39694214876033057</v>
      </c>
      <c r="S107" s="7">
        <f t="shared" si="12"/>
        <v>2.6030578512396696</v>
      </c>
      <c r="T107" s="7">
        <f t="shared" si="8"/>
        <v>175.11636363636373</v>
      </c>
      <c r="V107" s="3">
        <v>420.7</v>
      </c>
      <c r="X107" s="3">
        <f t="shared" ref="X107:X170" si="16">X106+V107</f>
        <v>50953.799999999988</v>
      </c>
      <c r="AA107" s="3">
        <v>9.5391231508480097</v>
      </c>
    </row>
    <row r="108" spans="1:27" s="3" customFormat="1" x14ac:dyDescent="0.25">
      <c r="A108" s="72"/>
      <c r="B108" s="8"/>
      <c r="C108" s="9">
        <v>41224</v>
      </c>
      <c r="D108" s="3">
        <v>5.8</v>
      </c>
      <c r="E108" s="3">
        <v>0.9</v>
      </c>
      <c r="F108" s="3">
        <v>10.7</v>
      </c>
      <c r="G108" s="3">
        <f t="shared" si="13"/>
        <v>843.0999999999998</v>
      </c>
      <c r="J108" s="3">
        <v>0.2</v>
      </c>
      <c r="K108" s="3">
        <f t="shared" si="14"/>
        <v>215.29999999999998</v>
      </c>
      <c r="L108" s="3">
        <v>1</v>
      </c>
      <c r="M108" s="3">
        <f t="shared" si="15"/>
        <v>105.6</v>
      </c>
      <c r="N108" s="3">
        <v>-0.8</v>
      </c>
      <c r="O108" s="3">
        <f t="shared" si="10"/>
        <v>141.80000000000001</v>
      </c>
      <c r="P108" s="3">
        <v>68</v>
      </c>
      <c r="Q108" s="3">
        <f t="shared" si="9"/>
        <v>0.66694214876033053</v>
      </c>
      <c r="R108" s="7">
        <f t="shared" si="11"/>
        <v>0.66694214876033053</v>
      </c>
      <c r="S108" s="7">
        <f t="shared" si="12"/>
        <v>-0.46694214876033052</v>
      </c>
      <c r="T108" s="7">
        <f t="shared" si="8"/>
        <v>174.64942148760341</v>
      </c>
      <c r="V108" s="3">
        <v>798.5</v>
      </c>
      <c r="X108" s="3">
        <f t="shared" si="16"/>
        <v>51752.299999999988</v>
      </c>
      <c r="AA108" s="3">
        <v>9.4908216155575502</v>
      </c>
    </row>
    <row r="109" spans="1:27" s="3" customFormat="1" x14ac:dyDescent="0.25">
      <c r="A109" s="72"/>
      <c r="B109" s="8"/>
      <c r="C109" s="9">
        <v>41225</v>
      </c>
      <c r="D109" s="3">
        <v>8</v>
      </c>
      <c r="E109" s="3">
        <v>4.3</v>
      </c>
      <c r="F109" s="3">
        <v>10.5</v>
      </c>
      <c r="G109" s="3">
        <f t="shared" si="13"/>
        <v>851.0999999999998</v>
      </c>
      <c r="J109" s="3">
        <v>0.2</v>
      </c>
      <c r="K109" s="3">
        <f t="shared" si="14"/>
        <v>215.49999999999997</v>
      </c>
      <c r="L109" s="3">
        <v>0.2</v>
      </c>
      <c r="M109" s="3">
        <f t="shared" si="15"/>
        <v>105.8</v>
      </c>
      <c r="N109" s="3">
        <v>0</v>
      </c>
      <c r="O109" s="3">
        <f t="shared" si="10"/>
        <v>141.80000000000001</v>
      </c>
      <c r="P109" s="3">
        <v>69</v>
      </c>
      <c r="Q109" s="3">
        <f t="shared" si="9"/>
        <v>0.67231404958677687</v>
      </c>
      <c r="R109" s="7">
        <f t="shared" si="11"/>
        <v>0.13446280991735537</v>
      </c>
      <c r="S109" s="7">
        <f t="shared" si="12"/>
        <v>6.5537190082644636E-2</v>
      </c>
      <c r="T109" s="7">
        <f t="shared" si="8"/>
        <v>174.71495867768604</v>
      </c>
      <c r="V109" s="3">
        <v>116.1</v>
      </c>
      <c r="X109" s="3">
        <f t="shared" si="16"/>
        <v>51868.399999999987</v>
      </c>
      <c r="AA109" s="3">
        <v>9.4431159883480404</v>
      </c>
    </row>
    <row r="110" spans="1:27" s="3" customFormat="1" x14ac:dyDescent="0.25">
      <c r="A110" s="72"/>
      <c r="B110" s="8"/>
      <c r="C110" s="9">
        <v>41226</v>
      </c>
      <c r="D110" s="3">
        <v>10</v>
      </c>
      <c r="E110" s="3">
        <v>9</v>
      </c>
      <c r="F110" s="3">
        <v>14.3</v>
      </c>
      <c r="G110" s="3">
        <f t="shared" si="13"/>
        <v>861.0999999999998</v>
      </c>
      <c r="J110" s="3">
        <v>0.1</v>
      </c>
      <c r="K110" s="3">
        <f t="shared" si="14"/>
        <v>215.59999999999997</v>
      </c>
      <c r="L110" s="3">
        <v>1.4</v>
      </c>
      <c r="M110" s="3">
        <f t="shared" si="15"/>
        <v>107.2</v>
      </c>
      <c r="N110" s="3">
        <v>-1.2999999999999998</v>
      </c>
      <c r="O110" s="3">
        <f t="shared" si="10"/>
        <v>140.5</v>
      </c>
      <c r="P110" s="3">
        <v>70</v>
      </c>
      <c r="Q110" s="3">
        <f t="shared" si="9"/>
        <v>0.6776859504132231</v>
      </c>
      <c r="R110" s="7">
        <f t="shared" si="11"/>
        <v>0.94876033057851228</v>
      </c>
      <c r="S110" s="7">
        <f t="shared" si="12"/>
        <v>-0.8487603305785123</v>
      </c>
      <c r="T110" s="7">
        <f t="shared" ref="T110:T173" si="17">MIN(197.4,T109+S110)</f>
        <v>173.86619834710754</v>
      </c>
      <c r="V110" s="3">
        <v>663.8</v>
      </c>
      <c r="X110" s="3">
        <f t="shared" si="16"/>
        <v>52532.19999999999</v>
      </c>
      <c r="AA110" s="3">
        <v>9.3960319771778806</v>
      </c>
    </row>
    <row r="111" spans="1:27" s="3" customFormat="1" x14ac:dyDescent="0.25">
      <c r="A111" s="72"/>
      <c r="B111" s="8"/>
      <c r="C111" s="9">
        <v>41227</v>
      </c>
      <c r="D111" s="3">
        <v>5.9</v>
      </c>
      <c r="E111" s="3">
        <v>4.8</v>
      </c>
      <c r="F111" s="3">
        <v>7.5</v>
      </c>
      <c r="G111" s="3">
        <f t="shared" si="13"/>
        <v>866.99999999999977</v>
      </c>
      <c r="J111" s="3">
        <v>0</v>
      </c>
      <c r="K111" s="3">
        <f t="shared" si="14"/>
        <v>215.59999999999997</v>
      </c>
      <c r="L111" s="3">
        <v>0.4</v>
      </c>
      <c r="M111" s="3">
        <f t="shared" si="15"/>
        <v>107.60000000000001</v>
      </c>
      <c r="N111" s="3">
        <v>-0.4</v>
      </c>
      <c r="O111" s="3">
        <f t="shared" si="10"/>
        <v>140.1</v>
      </c>
      <c r="P111" s="3">
        <v>71</v>
      </c>
      <c r="Q111" s="3">
        <f t="shared" si="9"/>
        <v>0.68305785123966944</v>
      </c>
      <c r="R111" s="7">
        <f t="shared" si="11"/>
        <v>0.27322314049586777</v>
      </c>
      <c r="S111" s="7">
        <f t="shared" si="12"/>
        <v>-0.27322314049586777</v>
      </c>
      <c r="T111" s="7">
        <f t="shared" si="17"/>
        <v>173.59297520661167</v>
      </c>
      <c r="V111" s="3">
        <v>239</v>
      </c>
      <c r="X111" s="3">
        <f t="shared" si="16"/>
        <v>52771.19999999999</v>
      </c>
      <c r="AA111" s="3">
        <v>9.3495958684151308</v>
      </c>
    </row>
    <row r="112" spans="1:27" s="3" customFormat="1" x14ac:dyDescent="0.25">
      <c r="A112" s="72"/>
      <c r="B112" s="8"/>
      <c r="C112" s="9">
        <v>41228</v>
      </c>
      <c r="D112" s="3">
        <v>5.5</v>
      </c>
      <c r="E112" s="3">
        <v>4.3</v>
      </c>
      <c r="F112" s="3">
        <v>6.8</v>
      </c>
      <c r="G112" s="3">
        <f t="shared" si="13"/>
        <v>872.49999999999977</v>
      </c>
      <c r="J112" s="3">
        <v>0</v>
      </c>
      <c r="K112" s="3">
        <f t="shared" si="14"/>
        <v>215.59999999999997</v>
      </c>
      <c r="L112" s="3">
        <v>0.3</v>
      </c>
      <c r="M112" s="3">
        <f t="shared" si="15"/>
        <v>107.9</v>
      </c>
      <c r="N112" s="3">
        <v>-0.3</v>
      </c>
      <c r="O112" s="3">
        <f t="shared" si="10"/>
        <v>139.79999999999998</v>
      </c>
      <c r="P112" s="3">
        <v>72</v>
      </c>
      <c r="Q112" s="3">
        <f t="shared" si="9"/>
        <v>0.68842975206611579</v>
      </c>
      <c r="R112" s="7">
        <f t="shared" si="11"/>
        <v>0.20652892561983474</v>
      </c>
      <c r="S112" s="7">
        <f t="shared" si="12"/>
        <v>-0.20652892561983474</v>
      </c>
      <c r="T112" s="7">
        <f t="shared" si="17"/>
        <v>173.38644628099183</v>
      </c>
      <c r="V112" s="3">
        <v>248.9</v>
      </c>
      <c r="X112" s="3">
        <f t="shared" si="16"/>
        <v>53020.099999999991</v>
      </c>
      <c r="AA112" s="3">
        <v>9.3038345043603208</v>
      </c>
    </row>
    <row r="113" spans="1:27" s="3" customFormat="1" x14ac:dyDescent="0.25">
      <c r="A113" s="72"/>
      <c r="B113" s="8"/>
      <c r="C113" s="9">
        <v>41229</v>
      </c>
      <c r="D113" s="3">
        <v>7.1</v>
      </c>
      <c r="E113" s="3">
        <v>5.6</v>
      </c>
      <c r="F113" s="3">
        <v>8.4</v>
      </c>
      <c r="G113" s="3">
        <f t="shared" si="13"/>
        <v>879.5999999999998</v>
      </c>
      <c r="J113" s="3">
        <v>0.1</v>
      </c>
      <c r="K113" s="3">
        <f t="shared" si="14"/>
        <v>215.69999999999996</v>
      </c>
      <c r="L113" s="3">
        <v>0.3</v>
      </c>
      <c r="M113" s="3">
        <f t="shared" si="15"/>
        <v>108.2</v>
      </c>
      <c r="N113" s="3">
        <v>-0.19999999999999998</v>
      </c>
      <c r="O113" s="3">
        <f t="shared" si="10"/>
        <v>139.6</v>
      </c>
      <c r="P113" s="3">
        <v>73</v>
      </c>
      <c r="Q113" s="3">
        <f t="shared" si="9"/>
        <v>0.6938016528925619</v>
      </c>
      <c r="R113" s="7">
        <f t="shared" si="11"/>
        <v>0.20814049586776856</v>
      </c>
      <c r="S113" s="7">
        <f t="shared" si="12"/>
        <v>-0.10814049586776855</v>
      </c>
      <c r="T113" s="7">
        <f t="shared" si="17"/>
        <v>173.27830578512408</v>
      </c>
      <c r="V113" s="3">
        <v>221.5</v>
      </c>
      <c r="X113" s="3">
        <f t="shared" si="16"/>
        <v>53241.599999999991</v>
      </c>
      <c r="AA113" s="3">
        <v>9.2587752573368096</v>
      </c>
    </row>
    <row r="114" spans="1:27" s="3" customFormat="1" x14ac:dyDescent="0.25">
      <c r="A114" s="72"/>
      <c r="B114" s="8"/>
      <c r="C114" s="9">
        <v>41230</v>
      </c>
      <c r="D114" s="3">
        <v>9.6</v>
      </c>
      <c r="E114" s="3">
        <v>7.8</v>
      </c>
      <c r="F114" s="3">
        <v>10.7</v>
      </c>
      <c r="G114" s="3">
        <f t="shared" si="13"/>
        <v>889.19999999999982</v>
      </c>
      <c r="J114" s="3">
        <v>8.6999999999999993</v>
      </c>
      <c r="K114" s="3">
        <f t="shared" si="14"/>
        <v>224.39999999999995</v>
      </c>
      <c r="L114" s="3">
        <v>0.3</v>
      </c>
      <c r="M114" s="3">
        <f t="shared" si="15"/>
        <v>108.5</v>
      </c>
      <c r="N114" s="3">
        <v>8.3999999999999986</v>
      </c>
      <c r="O114" s="3">
        <f t="shared" si="10"/>
        <v>148</v>
      </c>
      <c r="P114" s="3">
        <v>74</v>
      </c>
      <c r="Q114" s="3">
        <f t="shared" si="9"/>
        <v>0.69917355371900825</v>
      </c>
      <c r="R114" s="7">
        <f t="shared" si="11"/>
        <v>0.20975206611570246</v>
      </c>
      <c r="S114" s="7">
        <f t="shared" si="12"/>
        <v>8.4902479338842962</v>
      </c>
      <c r="T114" s="7">
        <f t="shared" si="17"/>
        <v>181.76855371900837</v>
      </c>
      <c r="V114" s="3">
        <v>109.2</v>
      </c>
      <c r="X114" s="3">
        <f t="shared" si="16"/>
        <v>53350.799999999988</v>
      </c>
      <c r="AA114" s="3">
        <v>9.2144460002220008</v>
      </c>
    </row>
    <row r="115" spans="1:27" s="3" customFormat="1" x14ac:dyDescent="0.25">
      <c r="A115" s="72"/>
      <c r="B115" s="8"/>
      <c r="C115" s="9">
        <v>41231</v>
      </c>
      <c r="D115" s="3">
        <v>8.3000000000000007</v>
      </c>
      <c r="E115" s="3">
        <v>6.7</v>
      </c>
      <c r="F115" s="3">
        <v>11.1</v>
      </c>
      <c r="G115" s="3">
        <f t="shared" si="13"/>
        <v>897.49999999999977</v>
      </c>
      <c r="J115" s="3">
        <v>0</v>
      </c>
      <c r="K115" s="3">
        <f t="shared" si="14"/>
        <v>224.39999999999995</v>
      </c>
      <c r="L115" s="3">
        <v>0.8</v>
      </c>
      <c r="M115" s="3">
        <f t="shared" si="15"/>
        <v>109.3</v>
      </c>
      <c r="N115" s="3">
        <v>-0.8</v>
      </c>
      <c r="O115" s="3">
        <f t="shared" si="10"/>
        <v>147.19999999999999</v>
      </c>
      <c r="P115" s="3">
        <v>75</v>
      </c>
      <c r="Q115" s="3">
        <f t="shared" ref="Q115:Q170" si="18">0.35+((P115-9)/121)*(1-0.35)</f>
        <v>0.70454545454545459</v>
      </c>
      <c r="R115" s="7">
        <f t="shared" si="11"/>
        <v>0.56363636363636371</v>
      </c>
      <c r="S115" s="7">
        <f t="shared" si="12"/>
        <v>-0.56363636363636371</v>
      </c>
      <c r="T115" s="7">
        <f t="shared" si="17"/>
        <v>181.204917355372</v>
      </c>
      <c r="V115" s="3">
        <v>334.5</v>
      </c>
      <c r="X115" s="3">
        <f t="shared" si="16"/>
        <v>53685.299999999988</v>
      </c>
      <c r="AA115" s="3">
        <v>9.1708750733060302</v>
      </c>
    </row>
    <row r="116" spans="1:27" s="3" customFormat="1" x14ac:dyDescent="0.25">
      <c r="A116" s="72"/>
      <c r="B116" s="8"/>
      <c r="C116" s="9">
        <v>41232</v>
      </c>
      <c r="D116" s="3">
        <v>8.3000000000000007</v>
      </c>
      <c r="E116" s="3">
        <v>3.3</v>
      </c>
      <c r="F116" s="3">
        <v>11.1</v>
      </c>
      <c r="G116" s="3">
        <f t="shared" si="13"/>
        <v>905.79999999999973</v>
      </c>
      <c r="J116" s="3">
        <v>0</v>
      </c>
      <c r="K116" s="3">
        <f t="shared" si="14"/>
        <v>224.39999999999995</v>
      </c>
      <c r="L116" s="3">
        <v>0.3</v>
      </c>
      <c r="M116" s="3">
        <f t="shared" si="15"/>
        <v>109.6</v>
      </c>
      <c r="N116" s="3">
        <v>-0.3</v>
      </c>
      <c r="O116" s="3">
        <f t="shared" si="10"/>
        <v>146.89999999999998</v>
      </c>
      <c r="P116" s="3">
        <v>76</v>
      </c>
      <c r="Q116" s="3">
        <f t="shared" si="18"/>
        <v>0.70991735537190093</v>
      </c>
      <c r="R116" s="7">
        <f t="shared" si="11"/>
        <v>0.21297520661157027</v>
      </c>
      <c r="S116" s="7">
        <f t="shared" si="12"/>
        <v>-0.21297520661157027</v>
      </c>
      <c r="T116" s="7">
        <f t="shared" si="17"/>
        <v>180.99194214876044</v>
      </c>
      <c r="V116" s="3">
        <v>280.2</v>
      </c>
      <c r="X116" s="3">
        <f t="shared" si="16"/>
        <v>53965.499999999985</v>
      </c>
      <c r="AA116" s="3">
        <v>9.1280912473793894</v>
      </c>
    </row>
    <row r="117" spans="1:27" s="3" customFormat="1" x14ac:dyDescent="0.25">
      <c r="A117" s="72"/>
      <c r="B117" s="8"/>
      <c r="C117" s="9">
        <v>41233</v>
      </c>
      <c r="D117" s="3">
        <v>11.5</v>
      </c>
      <c r="E117" s="3">
        <v>10.3</v>
      </c>
      <c r="F117" s="3">
        <v>12.8</v>
      </c>
      <c r="G117" s="3">
        <f t="shared" si="13"/>
        <v>917.29999999999973</v>
      </c>
      <c r="J117" s="3">
        <v>1.1000000000000001</v>
      </c>
      <c r="K117" s="3">
        <f t="shared" si="14"/>
        <v>225.49999999999994</v>
      </c>
      <c r="L117" s="3">
        <v>1</v>
      </c>
      <c r="M117" s="3">
        <f t="shared" si="15"/>
        <v>110.6</v>
      </c>
      <c r="N117" s="3">
        <v>0.10000000000000009</v>
      </c>
      <c r="O117" s="3">
        <f t="shared" si="10"/>
        <v>146.99999999999997</v>
      </c>
      <c r="P117" s="3">
        <v>77</v>
      </c>
      <c r="Q117" s="3">
        <f t="shared" si="18"/>
        <v>0.71528925619834705</v>
      </c>
      <c r="R117" s="7">
        <f t="shared" si="11"/>
        <v>0.71528925619834705</v>
      </c>
      <c r="S117" s="7">
        <f t="shared" si="12"/>
        <v>0.38471074380165304</v>
      </c>
      <c r="T117" s="7">
        <f t="shared" si="17"/>
        <v>181.37665289256211</v>
      </c>
      <c r="V117" s="3">
        <v>126.4</v>
      </c>
      <c r="X117" s="3">
        <f t="shared" si="16"/>
        <v>54091.899999999987</v>
      </c>
      <c r="AA117" s="3">
        <v>9.0861236829689993</v>
      </c>
    </row>
    <row r="118" spans="1:27" s="3" customFormat="1" x14ac:dyDescent="0.25">
      <c r="A118" s="72"/>
      <c r="B118" s="8"/>
      <c r="C118" s="9">
        <v>41234</v>
      </c>
      <c r="D118" s="3">
        <v>9.6</v>
      </c>
      <c r="E118" s="3">
        <v>9</v>
      </c>
      <c r="F118" s="3">
        <v>11.6</v>
      </c>
      <c r="G118" s="3">
        <f t="shared" si="13"/>
        <v>926.89999999999975</v>
      </c>
      <c r="J118" s="3">
        <v>0.2</v>
      </c>
      <c r="K118" s="3">
        <f t="shared" si="14"/>
        <v>225.69999999999993</v>
      </c>
      <c r="L118" s="3">
        <v>1</v>
      </c>
      <c r="M118" s="3">
        <f t="shared" si="15"/>
        <v>111.6</v>
      </c>
      <c r="N118" s="3">
        <v>-0.8</v>
      </c>
      <c r="O118" s="3">
        <f t="shared" si="10"/>
        <v>146.19999999999996</v>
      </c>
      <c r="P118" s="3">
        <v>78</v>
      </c>
      <c r="Q118" s="3">
        <f t="shared" si="18"/>
        <v>0.72066115702479339</v>
      </c>
      <c r="R118" s="7">
        <f t="shared" si="11"/>
        <v>0.72066115702479339</v>
      </c>
      <c r="S118" s="7">
        <f t="shared" si="12"/>
        <v>-0.52066115702479343</v>
      </c>
      <c r="T118" s="7">
        <f t="shared" si="17"/>
        <v>180.85599173553732</v>
      </c>
      <c r="V118" s="3">
        <v>190.6</v>
      </c>
      <c r="X118" s="3">
        <f t="shared" si="16"/>
        <v>54282.499999999985</v>
      </c>
      <c r="AA118" s="3">
        <v>9.0450018856624599</v>
      </c>
    </row>
    <row r="119" spans="1:27" s="3" customFormat="1" x14ac:dyDescent="0.25">
      <c r="A119" s="72"/>
      <c r="B119" s="8"/>
      <c r="C119" s="9">
        <v>41235</v>
      </c>
      <c r="D119" s="3">
        <v>9.9</v>
      </c>
      <c r="E119" s="3">
        <v>5.8</v>
      </c>
      <c r="F119" s="3">
        <v>14.8</v>
      </c>
      <c r="G119" s="3">
        <f t="shared" si="13"/>
        <v>936.79999999999973</v>
      </c>
      <c r="J119" s="3">
        <v>11.1</v>
      </c>
      <c r="K119" s="3">
        <f t="shared" si="14"/>
        <v>236.79999999999993</v>
      </c>
      <c r="L119" s="3">
        <v>1.3</v>
      </c>
      <c r="M119" s="3">
        <f t="shared" si="15"/>
        <v>112.89999999999999</v>
      </c>
      <c r="N119" s="3">
        <v>9.7999999999999989</v>
      </c>
      <c r="O119" s="3">
        <f t="shared" si="10"/>
        <v>155.99999999999997</v>
      </c>
      <c r="P119" s="3">
        <v>79</v>
      </c>
      <c r="Q119" s="3">
        <f t="shared" si="18"/>
        <v>0.72603305785123962</v>
      </c>
      <c r="R119" s="7">
        <f t="shared" si="11"/>
        <v>0.94384297520661153</v>
      </c>
      <c r="S119" s="7">
        <f t="shared" si="12"/>
        <v>10.156157024793387</v>
      </c>
      <c r="T119" s="7">
        <f t="shared" si="17"/>
        <v>191.01214876033072</v>
      </c>
      <c r="V119" s="3">
        <v>287.5</v>
      </c>
      <c r="X119" s="3">
        <f t="shared" si="16"/>
        <v>54569.999999999985</v>
      </c>
      <c r="AA119" s="3">
        <v>9.0047556574835408</v>
      </c>
    </row>
    <row r="120" spans="1:27" s="3" customFormat="1" x14ac:dyDescent="0.25">
      <c r="A120" s="72"/>
      <c r="B120" s="8"/>
      <c r="C120" s="9">
        <v>41236</v>
      </c>
      <c r="D120" s="3">
        <v>9.5</v>
      </c>
      <c r="E120" s="3">
        <v>9</v>
      </c>
      <c r="F120" s="3">
        <v>9.6999999999999993</v>
      </c>
      <c r="G120" s="3">
        <f t="shared" si="13"/>
        <v>946.29999999999973</v>
      </c>
      <c r="J120" s="3">
        <v>12.6</v>
      </c>
      <c r="K120" s="3">
        <f t="shared" si="14"/>
        <v>249.39999999999992</v>
      </c>
      <c r="L120" s="3">
        <v>0.3</v>
      </c>
      <c r="M120" s="3">
        <f t="shared" si="15"/>
        <v>113.19999999999999</v>
      </c>
      <c r="N120" s="3">
        <v>12.299999999999999</v>
      </c>
      <c r="O120" s="3">
        <f t="shared" si="10"/>
        <v>168.29999999999998</v>
      </c>
      <c r="P120" s="3">
        <v>80</v>
      </c>
      <c r="Q120" s="3">
        <f t="shared" si="18"/>
        <v>0.73140495867768596</v>
      </c>
      <c r="R120" s="7">
        <f t="shared" si="11"/>
        <v>0.21942148760330579</v>
      </c>
      <c r="S120" s="7">
        <f t="shared" si="12"/>
        <v>12.380578512396694</v>
      </c>
      <c r="T120" s="7">
        <f t="shared" si="17"/>
        <v>197.4</v>
      </c>
      <c r="V120" s="3">
        <v>82.2</v>
      </c>
      <c r="X120" s="3">
        <f t="shared" si="16"/>
        <v>54652.199999999983</v>
      </c>
      <c r="AA120" s="11">
        <v>8.9654150443073704</v>
      </c>
    </row>
    <row r="121" spans="1:27" s="3" customFormat="1" x14ac:dyDescent="0.25">
      <c r="A121" s="72"/>
      <c r="B121" s="8"/>
      <c r="C121" s="9">
        <v>41237</v>
      </c>
      <c r="D121" s="3">
        <v>11</v>
      </c>
      <c r="E121" s="3">
        <v>9</v>
      </c>
      <c r="F121" s="3">
        <v>14.1</v>
      </c>
      <c r="G121" s="3">
        <f t="shared" si="13"/>
        <v>957.29999999999973</v>
      </c>
      <c r="J121" s="3">
        <v>1.5</v>
      </c>
      <c r="K121" s="3">
        <f t="shared" si="14"/>
        <v>250.89999999999992</v>
      </c>
      <c r="L121" s="3">
        <v>0.8</v>
      </c>
      <c r="M121" s="3">
        <f t="shared" si="15"/>
        <v>113.99999999999999</v>
      </c>
      <c r="N121" s="3">
        <v>0.7</v>
      </c>
      <c r="O121" s="3">
        <f t="shared" ref="O121:O139" si="19">O120+N121</f>
        <v>168.99999999999997</v>
      </c>
      <c r="P121" s="3">
        <v>81</v>
      </c>
      <c r="Q121" s="3">
        <f t="shared" si="18"/>
        <v>0.73677685950413219</v>
      </c>
      <c r="R121" s="7">
        <f t="shared" si="11"/>
        <v>0.58942148760330582</v>
      </c>
      <c r="S121" s="7">
        <f t="shared" si="12"/>
        <v>0.91057851239669418</v>
      </c>
      <c r="T121" s="7">
        <f t="shared" si="17"/>
        <v>197.4</v>
      </c>
      <c r="V121" s="3">
        <v>102.7</v>
      </c>
      <c r="X121" s="3">
        <f t="shared" si="16"/>
        <v>54754.89999999998</v>
      </c>
      <c r="AA121" s="11">
        <v>8.9270102793325297</v>
      </c>
    </row>
    <row r="122" spans="1:27" s="3" customFormat="1" x14ac:dyDescent="0.25">
      <c r="A122" s="72"/>
      <c r="B122" s="8"/>
      <c r="C122" s="9">
        <v>41238</v>
      </c>
      <c r="D122" s="3">
        <v>10.4</v>
      </c>
      <c r="E122" s="3">
        <v>8.1</v>
      </c>
      <c r="F122" s="3">
        <v>13.1</v>
      </c>
      <c r="G122" s="3">
        <f t="shared" si="13"/>
        <v>967.6999999999997</v>
      </c>
      <c r="J122" s="3">
        <v>2.2999999999999998</v>
      </c>
      <c r="K122" s="3">
        <f t="shared" si="14"/>
        <v>253.19999999999993</v>
      </c>
      <c r="L122" s="3">
        <v>1.5</v>
      </c>
      <c r="M122" s="3">
        <f t="shared" si="15"/>
        <v>115.49999999999999</v>
      </c>
      <c r="N122" s="3">
        <v>0.79999999999999982</v>
      </c>
      <c r="O122" s="3">
        <f t="shared" si="19"/>
        <v>169.79999999999998</v>
      </c>
      <c r="P122" s="3">
        <v>82</v>
      </c>
      <c r="Q122" s="3">
        <f t="shared" si="18"/>
        <v>0.74214876033057853</v>
      </c>
      <c r="R122" s="7">
        <f t="shared" si="11"/>
        <v>1.1132231404958679</v>
      </c>
      <c r="S122" s="7">
        <f t="shared" si="12"/>
        <v>1.1867768595041319</v>
      </c>
      <c r="T122" s="7">
        <f t="shared" si="17"/>
        <v>197.4</v>
      </c>
      <c r="V122" s="3">
        <v>537.4</v>
      </c>
      <c r="X122" s="3">
        <f t="shared" si="16"/>
        <v>55292.299999999981</v>
      </c>
      <c r="AA122" s="11">
        <v>8.8895717226579496</v>
      </c>
    </row>
    <row r="123" spans="1:27" s="3" customFormat="1" x14ac:dyDescent="0.25">
      <c r="A123" s="72"/>
      <c r="B123" s="8"/>
      <c r="C123" s="9">
        <v>41239</v>
      </c>
      <c r="D123" s="3">
        <v>8.8000000000000007</v>
      </c>
      <c r="E123" s="3">
        <v>7.4</v>
      </c>
      <c r="F123" s="3">
        <v>10.8</v>
      </c>
      <c r="G123" s="3">
        <f t="shared" si="13"/>
        <v>976.49999999999966</v>
      </c>
      <c r="J123" s="3">
        <v>0.4</v>
      </c>
      <c r="K123" s="3">
        <f t="shared" si="14"/>
        <v>253.59999999999994</v>
      </c>
      <c r="L123" s="3">
        <v>1.2</v>
      </c>
      <c r="M123" s="3">
        <f t="shared" si="15"/>
        <v>116.69999999999999</v>
      </c>
      <c r="N123" s="3">
        <v>-0.79999999999999993</v>
      </c>
      <c r="O123" s="3">
        <f t="shared" si="19"/>
        <v>168.99999999999997</v>
      </c>
      <c r="P123" s="3">
        <v>83</v>
      </c>
      <c r="Q123" s="3">
        <f t="shared" si="18"/>
        <v>0.74752066115702476</v>
      </c>
      <c r="R123" s="7">
        <f t="shared" si="11"/>
        <v>0.89702479338842966</v>
      </c>
      <c r="S123" s="7">
        <f t="shared" si="12"/>
        <v>-0.49702479338842964</v>
      </c>
      <c r="T123" s="7">
        <f t="shared" si="17"/>
        <v>196.90297520661159</v>
      </c>
      <c r="V123" s="3">
        <v>492.9</v>
      </c>
      <c r="X123" s="3">
        <f t="shared" si="16"/>
        <v>55785.199999999983</v>
      </c>
      <c r="AA123" s="11">
        <v>8.8531297970460692</v>
      </c>
    </row>
    <row r="124" spans="1:27" s="3" customFormat="1" x14ac:dyDescent="0.25">
      <c r="A124" s="72"/>
      <c r="B124" s="8"/>
      <c r="C124" s="9">
        <v>41240</v>
      </c>
      <c r="D124" s="3">
        <v>6.9</v>
      </c>
      <c r="E124" s="3">
        <v>5.7</v>
      </c>
      <c r="F124" s="3">
        <v>8.6</v>
      </c>
      <c r="G124" s="3">
        <f t="shared" si="13"/>
        <v>983.39999999999964</v>
      </c>
      <c r="J124" s="3">
        <v>1.3</v>
      </c>
      <c r="K124" s="3">
        <f t="shared" si="14"/>
        <v>254.89999999999995</v>
      </c>
      <c r="L124" s="3">
        <v>0.4</v>
      </c>
      <c r="M124" s="3">
        <f t="shared" si="15"/>
        <v>117.1</v>
      </c>
      <c r="N124" s="3">
        <v>0.9</v>
      </c>
      <c r="O124" s="3">
        <f t="shared" si="19"/>
        <v>169.89999999999998</v>
      </c>
      <c r="P124" s="3">
        <v>84</v>
      </c>
      <c r="Q124" s="3">
        <f t="shared" si="18"/>
        <v>0.7528925619834711</v>
      </c>
      <c r="R124" s="7">
        <f t="shared" si="11"/>
        <v>0.30115702479338846</v>
      </c>
      <c r="S124" s="7">
        <f t="shared" si="12"/>
        <v>0.99884297520661158</v>
      </c>
      <c r="T124" s="7">
        <f t="shared" si="17"/>
        <v>197.4</v>
      </c>
      <c r="V124" s="3">
        <v>196.7</v>
      </c>
      <c r="X124" s="3">
        <f t="shared" si="16"/>
        <v>55981.89999999998</v>
      </c>
      <c r="AA124" s="11">
        <v>8.8177149199891005</v>
      </c>
    </row>
    <row r="125" spans="1:27" s="3" customFormat="1" x14ac:dyDescent="0.25">
      <c r="A125" s="72"/>
      <c r="B125" s="8"/>
      <c r="C125" s="9">
        <v>41241</v>
      </c>
      <c r="D125" s="3">
        <v>7.5</v>
      </c>
      <c r="E125" s="3">
        <v>6</v>
      </c>
      <c r="F125" s="3">
        <v>8.9</v>
      </c>
      <c r="G125" s="3">
        <f t="shared" si="13"/>
        <v>990.89999999999964</v>
      </c>
      <c r="J125" s="3">
        <v>0.1</v>
      </c>
      <c r="K125" s="3">
        <f t="shared" si="14"/>
        <v>254.99999999999994</v>
      </c>
      <c r="L125" s="3">
        <v>1.1000000000000001</v>
      </c>
      <c r="M125" s="3">
        <f t="shared" si="15"/>
        <v>118.19999999999999</v>
      </c>
      <c r="N125" s="3">
        <v>-1</v>
      </c>
      <c r="O125" s="3">
        <f t="shared" si="19"/>
        <v>168.89999999999998</v>
      </c>
      <c r="P125" s="3">
        <v>85</v>
      </c>
      <c r="Q125" s="3">
        <f t="shared" si="18"/>
        <v>0.75826446280991733</v>
      </c>
      <c r="R125" s="7">
        <f t="shared" si="11"/>
        <v>0.83409090909090911</v>
      </c>
      <c r="S125" s="7">
        <f t="shared" si="12"/>
        <v>-0.73409090909090913</v>
      </c>
      <c r="T125" s="7">
        <f t="shared" si="17"/>
        <v>196.66590909090911</v>
      </c>
      <c r="V125" s="3">
        <v>296.5</v>
      </c>
      <c r="X125" s="3">
        <f t="shared" si="16"/>
        <v>56278.39999999998</v>
      </c>
      <c r="AA125" s="11">
        <v>8.7833574322332097</v>
      </c>
    </row>
    <row r="126" spans="1:27" s="3" customFormat="1" x14ac:dyDescent="0.25">
      <c r="A126" s="72"/>
      <c r="B126" s="12">
        <v>1</v>
      </c>
      <c r="C126" s="9">
        <v>41242</v>
      </c>
      <c r="D126" s="3">
        <v>4.5999999999999996</v>
      </c>
      <c r="E126" s="3">
        <v>3.5</v>
      </c>
      <c r="F126" s="3">
        <v>7.4</v>
      </c>
      <c r="G126" s="3">
        <f t="shared" si="13"/>
        <v>995.49999999999966</v>
      </c>
      <c r="J126" s="3">
        <v>0</v>
      </c>
      <c r="K126" s="3">
        <f t="shared" si="14"/>
        <v>254.99999999999994</v>
      </c>
      <c r="L126" s="3">
        <v>1</v>
      </c>
      <c r="M126" s="3">
        <f t="shared" si="15"/>
        <v>119.19999999999999</v>
      </c>
      <c r="N126" s="3">
        <v>-1</v>
      </c>
      <c r="O126" s="3">
        <f t="shared" si="19"/>
        <v>167.89999999999998</v>
      </c>
      <c r="P126" s="3">
        <v>86</v>
      </c>
      <c r="Q126" s="3">
        <f t="shared" si="18"/>
        <v>0.76363636363636367</v>
      </c>
      <c r="R126" s="7">
        <f t="shared" si="11"/>
        <v>0.76363636363636367</v>
      </c>
      <c r="S126" s="7">
        <f t="shared" si="12"/>
        <v>-0.76363636363636367</v>
      </c>
      <c r="T126" s="7">
        <f t="shared" si="17"/>
        <v>195.90227272727276</v>
      </c>
      <c r="V126" s="3">
        <v>603.9</v>
      </c>
      <c r="X126" s="3">
        <f t="shared" si="16"/>
        <v>56882.299999999981</v>
      </c>
      <c r="AA126" s="11">
        <v>8.7500875229543809</v>
      </c>
    </row>
    <row r="127" spans="1:27" s="3" customFormat="1" x14ac:dyDescent="0.25">
      <c r="A127" s="72"/>
      <c r="B127" s="12">
        <v>2</v>
      </c>
      <c r="C127" s="9">
        <v>41243</v>
      </c>
      <c r="D127" s="3">
        <v>1.8</v>
      </c>
      <c r="E127" s="3">
        <v>-2.5</v>
      </c>
      <c r="F127" s="3">
        <v>6.9</v>
      </c>
      <c r="G127" s="3">
        <f t="shared" si="13"/>
        <v>997.29999999999961</v>
      </c>
      <c r="J127" s="3">
        <v>0.2</v>
      </c>
      <c r="K127" s="3">
        <f t="shared" si="14"/>
        <v>255.19999999999993</v>
      </c>
      <c r="L127" s="3">
        <v>0.3</v>
      </c>
      <c r="M127" s="3">
        <f t="shared" si="15"/>
        <v>119.49999999999999</v>
      </c>
      <c r="N127" s="3">
        <v>-9.9999999999999978E-2</v>
      </c>
      <c r="O127" s="3">
        <f t="shared" si="19"/>
        <v>167.79999999999998</v>
      </c>
      <c r="P127" s="3">
        <v>87</v>
      </c>
      <c r="Q127" s="3">
        <f t="shared" si="18"/>
        <v>0.7690082644628099</v>
      </c>
      <c r="R127" s="7">
        <f t="shared" si="11"/>
        <v>0.23070247933884297</v>
      </c>
      <c r="S127" s="7">
        <f t="shared" si="12"/>
        <v>-3.0702479338842958E-2</v>
      </c>
      <c r="T127" s="7">
        <f t="shared" si="17"/>
        <v>195.8715702479339</v>
      </c>
      <c r="V127" s="3">
        <v>195.9</v>
      </c>
      <c r="X127" s="3">
        <f t="shared" si="16"/>
        <v>57078.199999999983</v>
      </c>
      <c r="AA127" s="11">
        <v>8.7179351518204609</v>
      </c>
    </row>
    <row r="128" spans="1:27" s="3" customFormat="1" x14ac:dyDescent="0.25">
      <c r="A128" s="72"/>
      <c r="B128" s="12">
        <v>3</v>
      </c>
      <c r="C128" s="9">
        <v>41244</v>
      </c>
      <c r="D128" s="3">
        <v>4.3</v>
      </c>
      <c r="E128" s="3">
        <v>-0.3</v>
      </c>
      <c r="F128" s="3">
        <v>7.9</v>
      </c>
      <c r="G128" s="3">
        <f t="shared" si="13"/>
        <v>1001.5999999999996</v>
      </c>
      <c r="J128" s="3">
        <v>0.9</v>
      </c>
      <c r="K128" s="3">
        <f t="shared" si="14"/>
        <v>256.09999999999991</v>
      </c>
      <c r="L128" s="3">
        <v>0.3</v>
      </c>
      <c r="M128" s="3">
        <f t="shared" si="15"/>
        <v>119.79999999999998</v>
      </c>
      <c r="N128" s="3">
        <v>0.60000000000000009</v>
      </c>
      <c r="O128" s="3">
        <f t="shared" si="19"/>
        <v>168.39999999999998</v>
      </c>
      <c r="P128" s="3">
        <v>88</v>
      </c>
      <c r="Q128" s="3">
        <f t="shared" si="18"/>
        <v>0.77438016528925624</v>
      </c>
      <c r="R128" s="7">
        <f t="shared" si="11"/>
        <v>0.23231404958677687</v>
      </c>
      <c r="S128" s="7">
        <f t="shared" si="12"/>
        <v>0.66768595041322309</v>
      </c>
      <c r="T128" s="7">
        <f t="shared" si="17"/>
        <v>196.53925619834712</v>
      </c>
      <c r="V128" s="3">
        <v>445.9</v>
      </c>
      <c r="X128" s="3">
        <f t="shared" si="16"/>
        <v>57524.099999999984</v>
      </c>
      <c r="AA128" s="11">
        <v>8.6869299682154892</v>
      </c>
    </row>
    <row r="129" spans="1:27" s="3" customFormat="1" x14ac:dyDescent="0.25">
      <c r="A129" s="72"/>
      <c r="B129" s="8"/>
      <c r="C129" s="9">
        <v>41245</v>
      </c>
      <c r="D129" s="3">
        <v>6.7</v>
      </c>
      <c r="E129" s="3">
        <v>5</v>
      </c>
      <c r="F129" s="3">
        <v>11</v>
      </c>
      <c r="G129" s="3">
        <f t="shared" si="13"/>
        <v>1008.2999999999996</v>
      </c>
      <c r="J129" s="3">
        <v>6.2</v>
      </c>
      <c r="K129" s="3">
        <f t="shared" si="14"/>
        <v>262.2999999999999</v>
      </c>
      <c r="L129" s="3">
        <v>0.8</v>
      </c>
      <c r="M129" s="3">
        <f t="shared" si="15"/>
        <v>120.59999999999998</v>
      </c>
      <c r="N129" s="3">
        <v>5.4</v>
      </c>
      <c r="O129" s="3">
        <f t="shared" si="19"/>
        <v>173.79999999999998</v>
      </c>
      <c r="P129" s="3">
        <v>89</v>
      </c>
      <c r="Q129" s="3">
        <f t="shared" si="18"/>
        <v>0.77975206611570247</v>
      </c>
      <c r="R129" s="7">
        <f t="shared" si="11"/>
        <v>0.62380165289256206</v>
      </c>
      <c r="S129" s="7">
        <f t="shared" si="12"/>
        <v>5.5761983471074377</v>
      </c>
      <c r="T129" s="7">
        <f t="shared" si="17"/>
        <v>197.4</v>
      </c>
      <c r="V129" s="3">
        <v>405.3</v>
      </c>
      <c r="X129" s="3">
        <f t="shared" si="16"/>
        <v>57929.399999999987</v>
      </c>
      <c r="AA129" s="11">
        <v>8.6571012279438708</v>
      </c>
    </row>
    <row r="130" spans="1:27" s="3" customFormat="1" x14ac:dyDescent="0.25">
      <c r="A130" s="72"/>
      <c r="B130" s="8"/>
      <c r="C130" s="9">
        <v>41246</v>
      </c>
      <c r="D130" s="3">
        <v>9.8000000000000007</v>
      </c>
      <c r="E130" s="3">
        <v>6.7</v>
      </c>
      <c r="F130" s="3">
        <v>12</v>
      </c>
      <c r="G130" s="3">
        <f t="shared" si="13"/>
        <v>1018.0999999999996</v>
      </c>
      <c r="J130" s="3">
        <v>7.4</v>
      </c>
      <c r="K130" s="3">
        <f t="shared" si="14"/>
        <v>269.69999999999987</v>
      </c>
      <c r="L130" s="3">
        <v>0.2</v>
      </c>
      <c r="M130" s="3">
        <f t="shared" si="15"/>
        <v>120.79999999999998</v>
      </c>
      <c r="N130" s="3">
        <v>7.2</v>
      </c>
      <c r="O130" s="3">
        <f t="shared" si="19"/>
        <v>180.99999999999997</v>
      </c>
      <c r="P130" s="3">
        <v>90</v>
      </c>
      <c r="Q130" s="3">
        <f t="shared" si="18"/>
        <v>0.78512396694214881</v>
      </c>
      <c r="R130" s="7">
        <f t="shared" si="11"/>
        <v>0.15702479338842978</v>
      </c>
      <c r="S130" s="7">
        <f t="shared" si="12"/>
        <v>7.2429752066115709</v>
      </c>
      <c r="T130" s="7">
        <f t="shared" si="17"/>
        <v>197.4</v>
      </c>
      <c r="V130" s="3">
        <v>102.8</v>
      </c>
      <c r="X130" s="3">
        <f t="shared" si="16"/>
        <v>58032.19999999999</v>
      </c>
      <c r="AA130" s="11">
        <v>8.6284777077740902</v>
      </c>
    </row>
    <row r="131" spans="1:27" s="3" customFormat="1" x14ac:dyDescent="0.25">
      <c r="A131" s="72"/>
      <c r="B131" s="8"/>
      <c r="C131" s="9">
        <v>41247</v>
      </c>
      <c r="D131" s="3">
        <v>5.8</v>
      </c>
      <c r="E131" s="3">
        <v>4.3</v>
      </c>
      <c r="F131" s="3">
        <v>9</v>
      </c>
      <c r="G131" s="3">
        <f t="shared" si="13"/>
        <v>1023.8999999999995</v>
      </c>
      <c r="J131" s="3">
        <v>2.2000000000000002</v>
      </c>
      <c r="K131" s="3">
        <f t="shared" si="14"/>
        <v>271.89999999999986</v>
      </c>
      <c r="L131" s="3">
        <v>1.1000000000000001</v>
      </c>
      <c r="M131" s="3">
        <f t="shared" si="15"/>
        <v>121.89999999999998</v>
      </c>
      <c r="N131" s="3">
        <v>1.1000000000000001</v>
      </c>
      <c r="O131" s="3">
        <f t="shared" si="19"/>
        <v>182.09999999999997</v>
      </c>
      <c r="P131" s="3">
        <v>91</v>
      </c>
      <c r="Q131" s="3">
        <f t="shared" si="18"/>
        <v>0.79049586776859493</v>
      </c>
      <c r="R131" s="7">
        <f t="shared" si="11"/>
        <v>0.86954545454545451</v>
      </c>
      <c r="S131" s="7">
        <f t="shared" si="12"/>
        <v>1.3304545454545456</v>
      </c>
      <c r="T131" s="7">
        <f t="shared" si="17"/>
        <v>197.4</v>
      </c>
      <c r="V131" s="3">
        <v>429.8</v>
      </c>
      <c r="X131" s="3">
        <f t="shared" si="16"/>
        <v>58461.999999999993</v>
      </c>
      <c r="AA131" s="11">
        <v>8.6010876182217704</v>
      </c>
    </row>
    <row r="132" spans="1:27" s="3" customFormat="1" x14ac:dyDescent="0.25">
      <c r="A132" s="72"/>
      <c r="B132" s="12">
        <v>4</v>
      </c>
      <c r="C132" s="9">
        <v>41248</v>
      </c>
      <c r="D132" s="3">
        <v>4.4000000000000004</v>
      </c>
      <c r="E132" s="3">
        <v>2.9</v>
      </c>
      <c r="F132" s="3">
        <v>8.1</v>
      </c>
      <c r="G132" s="3">
        <f t="shared" si="13"/>
        <v>1028.2999999999995</v>
      </c>
      <c r="J132" s="3">
        <v>2.5</v>
      </c>
      <c r="K132" s="3">
        <f t="shared" si="14"/>
        <v>274.39999999999986</v>
      </c>
      <c r="L132" s="3">
        <v>1</v>
      </c>
      <c r="M132" s="3">
        <f t="shared" si="15"/>
        <v>122.89999999999998</v>
      </c>
      <c r="N132" s="3">
        <v>1.5</v>
      </c>
      <c r="O132" s="3">
        <f t="shared" si="19"/>
        <v>183.59999999999997</v>
      </c>
      <c r="P132" s="3">
        <v>92</v>
      </c>
      <c r="Q132" s="3">
        <f t="shared" si="18"/>
        <v>0.79586776859504127</v>
      </c>
      <c r="R132" s="7">
        <f t="shared" si="11"/>
        <v>0.79586776859504127</v>
      </c>
      <c r="S132" s="7">
        <f t="shared" si="12"/>
        <v>1.7041322314049587</v>
      </c>
      <c r="T132" s="7">
        <f t="shared" si="17"/>
        <v>197.4</v>
      </c>
      <c r="V132" s="3">
        <v>476.4</v>
      </c>
      <c r="X132" s="3">
        <f t="shared" si="16"/>
        <v>58938.399999999994</v>
      </c>
      <c r="AA132" s="11">
        <v>8.5749585150120193</v>
      </c>
    </row>
    <row r="133" spans="1:27" s="3" customFormat="1" x14ac:dyDescent="0.25">
      <c r="A133" s="72"/>
      <c r="B133" s="12">
        <v>5</v>
      </c>
      <c r="C133" s="9">
        <v>41249</v>
      </c>
      <c r="D133" s="3">
        <v>2.8</v>
      </c>
      <c r="E133" s="3">
        <v>-1.2</v>
      </c>
      <c r="F133" s="3">
        <v>6.6</v>
      </c>
      <c r="G133" s="3">
        <f t="shared" si="13"/>
        <v>1031.0999999999995</v>
      </c>
      <c r="J133" s="3">
        <v>9.1</v>
      </c>
      <c r="K133" s="3">
        <f t="shared" si="14"/>
        <v>283.49999999999989</v>
      </c>
      <c r="L133" s="3">
        <v>0.6</v>
      </c>
      <c r="M133" s="3">
        <f t="shared" si="15"/>
        <v>123.49999999999997</v>
      </c>
      <c r="N133" s="3">
        <v>8.5</v>
      </c>
      <c r="O133" s="3">
        <f t="shared" si="19"/>
        <v>192.09999999999997</v>
      </c>
      <c r="P133" s="3">
        <v>93</v>
      </c>
      <c r="Q133" s="3">
        <f t="shared" si="18"/>
        <v>0.80123966942148761</v>
      </c>
      <c r="R133" s="7">
        <f t="shared" si="11"/>
        <v>0.48074380165289254</v>
      </c>
      <c r="S133" s="7">
        <f t="shared" si="12"/>
        <v>8.6192561983471077</v>
      </c>
      <c r="T133" s="7">
        <f t="shared" si="17"/>
        <v>197.4</v>
      </c>
      <c r="V133" s="3">
        <v>421.2</v>
      </c>
      <c r="X133" s="3">
        <f t="shared" si="16"/>
        <v>59359.599999999991</v>
      </c>
      <c r="AA133" s="11">
        <v>8.5501172096972606</v>
      </c>
    </row>
    <row r="134" spans="1:27" s="3" customFormat="1" x14ac:dyDescent="0.25">
      <c r="A134" s="72"/>
      <c r="B134" s="8"/>
      <c r="C134" s="9">
        <v>41250</v>
      </c>
      <c r="D134" s="3">
        <v>6.8</v>
      </c>
      <c r="E134" s="3">
        <v>4</v>
      </c>
      <c r="F134" s="3">
        <v>9</v>
      </c>
      <c r="G134" s="3">
        <f t="shared" si="13"/>
        <v>1037.8999999999994</v>
      </c>
      <c r="J134" s="3">
        <v>3.6</v>
      </c>
      <c r="K134" s="3">
        <f t="shared" si="14"/>
        <v>287.09999999999991</v>
      </c>
      <c r="L134" s="3">
        <v>1.1000000000000001</v>
      </c>
      <c r="M134" s="3">
        <f t="shared" si="15"/>
        <v>124.59999999999997</v>
      </c>
      <c r="N134" s="3">
        <v>2.5</v>
      </c>
      <c r="O134" s="3">
        <f t="shared" si="19"/>
        <v>194.59999999999997</v>
      </c>
      <c r="P134" s="3">
        <v>94</v>
      </c>
      <c r="Q134" s="3">
        <f t="shared" si="18"/>
        <v>0.80661157024793395</v>
      </c>
      <c r="R134" s="7">
        <f t="shared" si="11"/>
        <v>0.88727272727272744</v>
      </c>
      <c r="S134" s="7">
        <f t="shared" si="12"/>
        <v>2.7127272727272729</v>
      </c>
      <c r="T134" s="7">
        <f t="shared" si="17"/>
        <v>197.4</v>
      </c>
      <c r="V134" s="3">
        <v>512</v>
      </c>
      <c r="X134" s="3">
        <f t="shared" si="16"/>
        <v>59871.599999999991</v>
      </c>
      <c r="AA134" s="11">
        <v>8.5265896799417202</v>
      </c>
    </row>
    <row r="135" spans="1:27" s="3" customFormat="1" x14ac:dyDescent="0.25">
      <c r="A135" s="72"/>
      <c r="B135" s="8"/>
      <c r="C135" s="9">
        <v>41251</v>
      </c>
      <c r="D135" s="3">
        <v>5.6</v>
      </c>
      <c r="E135" s="3">
        <v>4.9000000000000004</v>
      </c>
      <c r="F135" s="3">
        <v>7.4</v>
      </c>
      <c r="G135" s="3">
        <f t="shared" si="13"/>
        <v>1043.4999999999993</v>
      </c>
      <c r="J135" s="3">
        <v>0</v>
      </c>
      <c r="K135" s="3">
        <f t="shared" si="14"/>
        <v>287.09999999999991</v>
      </c>
      <c r="L135" s="3">
        <v>1</v>
      </c>
      <c r="M135" s="3">
        <f t="shared" si="15"/>
        <v>125.59999999999997</v>
      </c>
      <c r="N135" s="3">
        <v>-1</v>
      </c>
      <c r="O135" s="3">
        <f t="shared" si="19"/>
        <v>193.59999999999997</v>
      </c>
      <c r="P135" s="3">
        <v>95</v>
      </c>
      <c r="Q135" s="3">
        <f t="shared" si="18"/>
        <v>0.81198347107438007</v>
      </c>
      <c r="R135" s="7">
        <f t="shared" si="11"/>
        <v>0.81198347107438007</v>
      </c>
      <c r="S135" s="7">
        <f t="shared" si="12"/>
        <v>-0.81198347107438007</v>
      </c>
      <c r="T135" s="7">
        <f t="shared" si="17"/>
        <v>196.58801652892564</v>
      </c>
      <c r="V135" s="3">
        <v>196.7</v>
      </c>
      <c r="X135" s="3">
        <f t="shared" si="16"/>
        <v>60068.299999999988</v>
      </c>
      <c r="AA135" s="11">
        <v>8.5044009800137506</v>
      </c>
    </row>
    <row r="136" spans="1:27" s="3" customFormat="1" x14ac:dyDescent="0.25">
      <c r="A136" s="72"/>
      <c r="B136" s="8"/>
      <c r="C136" s="9">
        <v>41252</v>
      </c>
      <c r="D136" s="3">
        <v>5.9</v>
      </c>
      <c r="E136" s="3">
        <v>1.8</v>
      </c>
      <c r="F136" s="3">
        <v>9.4</v>
      </c>
      <c r="G136" s="3">
        <f t="shared" si="13"/>
        <v>1049.3999999999994</v>
      </c>
      <c r="J136" s="3">
        <v>1.5</v>
      </c>
      <c r="K136" s="3">
        <f t="shared" si="14"/>
        <v>288.59999999999991</v>
      </c>
      <c r="L136" s="3">
        <v>0.6</v>
      </c>
      <c r="M136" s="3">
        <f t="shared" si="15"/>
        <v>126.19999999999996</v>
      </c>
      <c r="N136" s="3">
        <v>0.9</v>
      </c>
      <c r="O136" s="3">
        <f t="shared" si="19"/>
        <v>194.49999999999997</v>
      </c>
      <c r="P136" s="3">
        <v>96</v>
      </c>
      <c r="Q136" s="3">
        <f t="shared" si="18"/>
        <v>0.81735537190082641</v>
      </c>
      <c r="R136" s="7">
        <f t="shared" si="11"/>
        <v>0.49041322314049585</v>
      </c>
      <c r="S136" s="7">
        <f t="shared" si="12"/>
        <v>1.0095867768595042</v>
      </c>
      <c r="T136" s="7">
        <f t="shared" si="17"/>
        <v>197.4</v>
      </c>
      <c r="V136" s="3">
        <v>171.2</v>
      </c>
      <c r="X136" s="3">
        <f t="shared" si="16"/>
        <v>60239.499999999985</v>
      </c>
      <c r="AA136" s="11">
        <v>8.4835751520538096</v>
      </c>
    </row>
    <row r="137" spans="1:27" s="3" customFormat="1" x14ac:dyDescent="0.25">
      <c r="A137" s="72"/>
      <c r="B137" s="8"/>
      <c r="C137" s="9">
        <v>41253</v>
      </c>
      <c r="D137" s="3">
        <v>5.0999999999999996</v>
      </c>
      <c r="E137" s="3">
        <v>2.9</v>
      </c>
      <c r="F137" s="3">
        <v>8.4</v>
      </c>
      <c r="G137" s="3">
        <f t="shared" si="13"/>
        <v>1054.4999999999993</v>
      </c>
      <c r="J137" s="3">
        <v>0</v>
      </c>
      <c r="K137" s="3">
        <f t="shared" si="14"/>
        <v>288.59999999999991</v>
      </c>
      <c r="L137" s="3">
        <v>0.9</v>
      </c>
      <c r="M137" s="3">
        <f t="shared" si="15"/>
        <v>127.09999999999997</v>
      </c>
      <c r="N137" s="3">
        <v>-0.9</v>
      </c>
      <c r="O137" s="3">
        <f t="shared" si="19"/>
        <v>193.59999999999997</v>
      </c>
      <c r="P137" s="3">
        <v>97</v>
      </c>
      <c r="Q137" s="3">
        <f t="shared" si="18"/>
        <v>0.82272727272727275</v>
      </c>
      <c r="R137" s="7">
        <f t="shared" si="11"/>
        <v>0.74045454545454548</v>
      </c>
      <c r="S137" s="7">
        <f t="shared" si="12"/>
        <v>-0.74045454545454548</v>
      </c>
      <c r="T137" s="7">
        <f t="shared" si="17"/>
        <v>196.65954545454545</v>
      </c>
      <c r="V137" s="3">
        <v>530.79999999999995</v>
      </c>
      <c r="X137" s="3">
        <f t="shared" si="16"/>
        <v>60770.299999999988</v>
      </c>
      <c r="AA137" s="11">
        <v>8.4641351387067392</v>
      </c>
    </row>
    <row r="138" spans="1:27" s="3" customFormat="1" x14ac:dyDescent="0.25">
      <c r="A138" s="72"/>
      <c r="B138" s="12">
        <v>6</v>
      </c>
      <c r="C138" s="9">
        <v>41254</v>
      </c>
      <c r="D138" s="3">
        <v>1.5</v>
      </c>
      <c r="E138" s="3">
        <v>-0.2</v>
      </c>
      <c r="F138" s="3">
        <v>6.4</v>
      </c>
      <c r="G138" s="3">
        <f t="shared" si="13"/>
        <v>1055.9999999999993</v>
      </c>
      <c r="J138" s="3">
        <v>0</v>
      </c>
      <c r="K138" s="3">
        <f t="shared" si="14"/>
        <v>288.59999999999991</v>
      </c>
      <c r="L138" s="3">
        <v>1</v>
      </c>
      <c r="M138" s="3">
        <f t="shared" si="15"/>
        <v>128.09999999999997</v>
      </c>
      <c r="N138" s="3">
        <v>-1</v>
      </c>
      <c r="O138" s="3">
        <f t="shared" si="19"/>
        <v>192.59999999999997</v>
      </c>
      <c r="P138" s="3">
        <v>98</v>
      </c>
      <c r="Q138" s="3">
        <f t="shared" si="18"/>
        <v>0.82809917355371898</v>
      </c>
      <c r="R138" s="7">
        <f t="shared" si="11"/>
        <v>0.82809917355371898</v>
      </c>
      <c r="S138" s="7">
        <f t="shared" si="12"/>
        <v>-0.82809917355371898</v>
      </c>
      <c r="T138" s="7">
        <f t="shared" si="17"/>
        <v>195.83144628099174</v>
      </c>
      <c r="V138" s="3">
        <v>618.6</v>
      </c>
      <c r="X138" s="3">
        <f t="shared" si="16"/>
        <v>61388.899999999987</v>
      </c>
      <c r="AA138" s="11">
        <v>8.4461026977227203</v>
      </c>
    </row>
    <row r="139" spans="1:27" s="3" customFormat="1" x14ac:dyDescent="0.25">
      <c r="A139" s="72"/>
      <c r="B139" s="12">
        <v>7</v>
      </c>
      <c r="C139" s="9">
        <v>41255</v>
      </c>
      <c r="D139" s="3">
        <v>-1.3</v>
      </c>
      <c r="E139" s="3">
        <v>-3.7</v>
      </c>
      <c r="F139" s="3">
        <v>1.7</v>
      </c>
      <c r="G139" s="3">
        <v>1056</v>
      </c>
      <c r="J139" s="3">
        <v>1.4</v>
      </c>
      <c r="K139" s="3">
        <f t="shared" si="14"/>
        <v>289.99999999999989</v>
      </c>
      <c r="L139" s="3">
        <v>0.6</v>
      </c>
      <c r="M139" s="3">
        <f t="shared" si="15"/>
        <v>128.69999999999996</v>
      </c>
      <c r="N139" s="3">
        <v>0.79999999999999993</v>
      </c>
      <c r="O139" s="3">
        <f t="shared" si="19"/>
        <v>193.39999999999998</v>
      </c>
      <c r="P139" s="3">
        <v>99</v>
      </c>
      <c r="Q139" s="3">
        <f t="shared" si="18"/>
        <v>0.83347107438016521</v>
      </c>
      <c r="R139" s="7">
        <f t="shared" si="11"/>
        <v>0.50008264462809915</v>
      </c>
      <c r="S139" s="7">
        <f t="shared" si="12"/>
        <v>0.89991735537190076</v>
      </c>
      <c r="T139" s="7">
        <f t="shared" si="17"/>
        <v>196.73136363636365</v>
      </c>
      <c r="V139" s="3">
        <v>567.6</v>
      </c>
      <c r="X139" s="3">
        <f t="shared" si="16"/>
        <v>61956.499999999985</v>
      </c>
      <c r="AA139" s="11">
        <v>8.4294983191401904</v>
      </c>
    </row>
    <row r="140" spans="1:27" s="3" customFormat="1" x14ac:dyDescent="0.25">
      <c r="A140" s="72"/>
      <c r="B140" s="12">
        <v>8</v>
      </c>
      <c r="C140" s="9">
        <v>41256</v>
      </c>
      <c r="D140" s="3">
        <v>3.2</v>
      </c>
      <c r="E140" s="3">
        <v>-0.8</v>
      </c>
      <c r="F140" s="3">
        <v>9</v>
      </c>
      <c r="G140" s="3">
        <f t="shared" si="13"/>
        <v>1059.2</v>
      </c>
      <c r="J140" s="3">
        <v>5.3</v>
      </c>
      <c r="K140" s="3">
        <f t="shared" si="14"/>
        <v>295.2999999999999</v>
      </c>
      <c r="L140" s="3">
        <v>0.6</v>
      </c>
      <c r="M140" s="3">
        <f t="shared" si="15"/>
        <v>129.29999999999995</v>
      </c>
      <c r="N140" s="3">
        <v>4.7</v>
      </c>
      <c r="O140" s="3">
        <v>197.4</v>
      </c>
      <c r="P140" s="3">
        <v>100</v>
      </c>
      <c r="Q140" s="3">
        <f t="shared" si="18"/>
        <v>0.83884297520661155</v>
      </c>
      <c r="R140" s="7">
        <f t="shared" si="11"/>
        <v>0.50330578512396695</v>
      </c>
      <c r="S140" s="7">
        <f t="shared" si="12"/>
        <v>4.796694214876033</v>
      </c>
      <c r="T140" s="7">
        <f t="shared" si="17"/>
        <v>197.4</v>
      </c>
      <c r="V140" s="3">
        <v>185.5</v>
      </c>
      <c r="X140" s="3">
        <f t="shared" si="16"/>
        <v>62141.999999999985</v>
      </c>
      <c r="AA140" s="11">
        <v>8.4143411456663699</v>
      </c>
    </row>
    <row r="141" spans="1:27" s="3" customFormat="1" x14ac:dyDescent="0.25">
      <c r="A141" s="72"/>
      <c r="B141" s="8"/>
      <c r="C141" s="9">
        <v>41257</v>
      </c>
      <c r="D141" s="3">
        <v>9.8000000000000007</v>
      </c>
      <c r="E141" s="3">
        <v>6.3</v>
      </c>
      <c r="F141" s="3">
        <v>13.3</v>
      </c>
      <c r="G141" s="3">
        <f t="shared" si="13"/>
        <v>1069</v>
      </c>
      <c r="J141" s="3">
        <v>9.6999999999999993</v>
      </c>
      <c r="K141" s="3">
        <f t="shared" si="14"/>
        <v>304.99999999999989</v>
      </c>
      <c r="L141" s="3">
        <v>0.6</v>
      </c>
      <c r="M141" s="3">
        <f t="shared" si="15"/>
        <v>129.89999999999995</v>
      </c>
      <c r="N141" s="3">
        <v>9.1</v>
      </c>
      <c r="O141" s="3">
        <v>197.4</v>
      </c>
      <c r="P141" s="3">
        <v>101</v>
      </c>
      <c r="Q141" s="3">
        <f t="shared" si="18"/>
        <v>0.84421487603305789</v>
      </c>
      <c r="R141" s="7">
        <f t="shared" si="11"/>
        <v>0.50652892561983476</v>
      </c>
      <c r="S141" s="7">
        <f t="shared" si="12"/>
        <v>9.1934710743801649</v>
      </c>
      <c r="T141" s="7">
        <f t="shared" si="17"/>
        <v>197.4</v>
      </c>
      <c r="V141" s="3">
        <v>83.6</v>
      </c>
      <c r="X141" s="3">
        <f t="shared" si="16"/>
        <v>62225.599999999984</v>
      </c>
      <c r="AA141" s="11">
        <v>8.4006488968663096</v>
      </c>
    </row>
    <row r="142" spans="1:27" s="3" customFormat="1" x14ac:dyDescent="0.25">
      <c r="A142" s="72"/>
      <c r="B142" s="8"/>
      <c r="C142" s="9">
        <v>41258</v>
      </c>
      <c r="D142" s="3">
        <v>9.1999999999999993</v>
      </c>
      <c r="E142" s="3">
        <v>7.5</v>
      </c>
      <c r="F142" s="3">
        <v>12.3</v>
      </c>
      <c r="G142" s="3">
        <f t="shared" si="13"/>
        <v>1078.2</v>
      </c>
      <c r="J142" s="3">
        <v>9.3000000000000007</v>
      </c>
      <c r="K142" s="3">
        <f t="shared" si="14"/>
        <v>314.2999999999999</v>
      </c>
      <c r="L142" s="3">
        <v>1</v>
      </c>
      <c r="M142" s="3">
        <f t="shared" si="15"/>
        <v>130.89999999999995</v>
      </c>
      <c r="N142" s="3">
        <v>8.3000000000000007</v>
      </c>
      <c r="O142" s="3">
        <v>197.4</v>
      </c>
      <c r="P142" s="3">
        <v>102</v>
      </c>
      <c r="Q142" s="3">
        <f t="shared" si="18"/>
        <v>0.84958677685950412</v>
      </c>
      <c r="R142" s="7">
        <f t="shared" si="11"/>
        <v>0.84958677685950412</v>
      </c>
      <c r="S142" s="7">
        <f t="shared" si="12"/>
        <v>8.4504132231404974</v>
      </c>
      <c r="T142" s="7">
        <f t="shared" si="17"/>
        <v>197.4</v>
      </c>
      <c r="V142" s="3">
        <v>250.5</v>
      </c>
      <c r="X142" s="3">
        <f t="shared" si="16"/>
        <v>62476.099999999984</v>
      </c>
      <c r="AA142" s="11">
        <v>8.3884377977584599</v>
      </c>
    </row>
    <row r="143" spans="1:27" s="3" customFormat="1" x14ac:dyDescent="0.25">
      <c r="A143" s="72"/>
      <c r="B143" s="8"/>
      <c r="C143" s="9">
        <v>41259</v>
      </c>
      <c r="D143" s="3">
        <v>8.8000000000000007</v>
      </c>
      <c r="E143" s="3">
        <v>7.2</v>
      </c>
      <c r="F143" s="3">
        <v>11.1</v>
      </c>
      <c r="G143" s="3">
        <f t="shared" si="13"/>
        <v>1087</v>
      </c>
      <c r="J143" s="3">
        <v>4.0999999999999996</v>
      </c>
      <c r="K143" s="3">
        <f t="shared" si="14"/>
        <v>318.39999999999992</v>
      </c>
      <c r="L143" s="3">
        <v>0.8</v>
      </c>
      <c r="M143" s="3">
        <f t="shared" si="15"/>
        <v>131.69999999999996</v>
      </c>
      <c r="N143" s="3">
        <v>3.3</v>
      </c>
      <c r="O143" s="3">
        <v>197.4</v>
      </c>
      <c r="P143" s="3">
        <v>103</v>
      </c>
      <c r="Q143" s="3">
        <f t="shared" si="18"/>
        <v>0.85495867768595035</v>
      </c>
      <c r="R143" s="7">
        <f t="shared" si="11"/>
        <v>0.6839669421487603</v>
      </c>
      <c r="S143" s="7">
        <f t="shared" si="12"/>
        <v>3.4160330578512395</v>
      </c>
      <c r="T143" s="7">
        <f t="shared" si="17"/>
        <v>197.4</v>
      </c>
      <c r="V143" s="3">
        <v>349.1</v>
      </c>
      <c r="X143" s="3">
        <f t="shared" si="16"/>
        <v>62825.199999999983</v>
      </c>
      <c r="AA143" s="11">
        <v>8.3777225123951595</v>
      </c>
    </row>
    <row r="144" spans="1:27" s="3" customFormat="1" x14ac:dyDescent="0.25">
      <c r="A144" s="72"/>
      <c r="B144" s="8"/>
      <c r="C144" s="9">
        <v>41260</v>
      </c>
      <c r="D144" s="3">
        <v>8.3000000000000007</v>
      </c>
      <c r="E144" s="3">
        <v>7</v>
      </c>
      <c r="F144" s="3">
        <v>10.9</v>
      </c>
      <c r="G144" s="3">
        <f t="shared" si="13"/>
        <v>1095.3</v>
      </c>
      <c r="J144" s="3">
        <v>0.6</v>
      </c>
      <c r="K144" s="3">
        <f t="shared" si="14"/>
        <v>318.99999999999994</v>
      </c>
      <c r="L144" s="3">
        <v>1.2</v>
      </c>
      <c r="M144" s="3">
        <f t="shared" si="15"/>
        <v>132.89999999999995</v>
      </c>
      <c r="N144" s="3">
        <v>-0.6</v>
      </c>
      <c r="O144" s="3">
        <f>O143+N144</f>
        <v>196.8</v>
      </c>
      <c r="P144" s="3">
        <v>104</v>
      </c>
      <c r="Q144" s="3">
        <f t="shared" si="18"/>
        <v>0.86033057851239669</v>
      </c>
      <c r="R144" s="7">
        <f t="shared" si="11"/>
        <v>1.0323966942148759</v>
      </c>
      <c r="S144" s="7">
        <f t="shared" si="12"/>
        <v>-0.43239669421487592</v>
      </c>
      <c r="T144" s="7">
        <f t="shared" si="17"/>
        <v>196.96760330578513</v>
      </c>
      <c r="V144" s="3">
        <v>223.9</v>
      </c>
      <c r="X144" s="3">
        <f t="shared" si="16"/>
        <v>63049.099999999984</v>
      </c>
      <c r="AA144" s="11">
        <v>8.3685160829780205</v>
      </c>
    </row>
    <row r="145" spans="1:27" s="3" customFormat="1" x14ac:dyDescent="0.25">
      <c r="A145" s="72"/>
      <c r="B145" s="8"/>
      <c r="C145" s="9">
        <v>41261</v>
      </c>
      <c r="D145" s="3">
        <v>7.3</v>
      </c>
      <c r="E145" s="3">
        <v>6.4</v>
      </c>
      <c r="F145" s="3">
        <v>9.6</v>
      </c>
      <c r="G145" s="3">
        <f t="shared" si="13"/>
        <v>1102.5999999999999</v>
      </c>
      <c r="J145" s="3">
        <v>8.5</v>
      </c>
      <c r="K145" s="3">
        <f t="shared" si="14"/>
        <v>327.49999999999994</v>
      </c>
      <c r="L145" s="3">
        <v>0.6</v>
      </c>
      <c r="M145" s="3">
        <f t="shared" si="15"/>
        <v>133.49999999999994</v>
      </c>
      <c r="N145" s="3">
        <v>7.9</v>
      </c>
      <c r="O145" s="3">
        <v>197.4</v>
      </c>
      <c r="P145" s="3">
        <v>105</v>
      </c>
      <c r="Q145" s="3">
        <f t="shared" si="18"/>
        <v>0.86570247933884303</v>
      </c>
      <c r="R145" s="7">
        <f t="shared" si="11"/>
        <v>0.51942148760330575</v>
      </c>
      <c r="S145" s="7">
        <f t="shared" si="12"/>
        <v>7.9805785123966944</v>
      </c>
      <c r="T145" s="7">
        <f t="shared" si="17"/>
        <v>197.4</v>
      </c>
      <c r="V145" s="3">
        <v>152.4</v>
      </c>
      <c r="X145" s="3">
        <f t="shared" si="16"/>
        <v>63201.499999999985</v>
      </c>
      <c r="AA145" s="11">
        <v>8.3608298750230894</v>
      </c>
    </row>
    <row r="146" spans="1:27" s="3" customFormat="1" x14ac:dyDescent="0.25">
      <c r="A146" s="72"/>
      <c r="B146" s="8"/>
      <c r="C146" s="9">
        <v>41262</v>
      </c>
      <c r="D146" s="3">
        <v>10</v>
      </c>
      <c r="E146" s="3">
        <v>6.1</v>
      </c>
      <c r="F146" s="3">
        <v>12.2</v>
      </c>
      <c r="G146" s="3">
        <f t="shared" si="13"/>
        <v>1112.5999999999999</v>
      </c>
      <c r="J146" s="3">
        <v>20.8</v>
      </c>
      <c r="K146" s="3">
        <f t="shared" si="14"/>
        <v>348.29999999999995</v>
      </c>
      <c r="L146" s="3">
        <v>0.2</v>
      </c>
      <c r="M146" s="3">
        <f t="shared" si="15"/>
        <v>133.69999999999993</v>
      </c>
      <c r="N146" s="3">
        <v>20.6</v>
      </c>
      <c r="O146" s="3">
        <v>197.4</v>
      </c>
      <c r="P146" s="3">
        <v>106</v>
      </c>
      <c r="Q146" s="3">
        <f t="shared" si="18"/>
        <v>0.87107438016528926</v>
      </c>
      <c r="R146" s="7">
        <f t="shared" si="11"/>
        <v>0.17421487603305785</v>
      </c>
      <c r="S146" s="7">
        <f t="shared" si="12"/>
        <v>20.625785123966942</v>
      </c>
      <c r="T146" s="7">
        <f t="shared" si="17"/>
        <v>197.4</v>
      </c>
      <c r="V146" s="3">
        <v>65.400000000000006</v>
      </c>
      <c r="X146" s="3">
        <f t="shared" si="16"/>
        <v>63266.899999999987</v>
      </c>
      <c r="AA146" s="11">
        <v>8.3546735290476395</v>
      </c>
    </row>
    <row r="147" spans="1:27" s="3" customFormat="1" x14ac:dyDescent="0.25">
      <c r="A147" s="72"/>
      <c r="B147" s="8"/>
      <c r="C147" s="9">
        <v>41263</v>
      </c>
      <c r="D147" s="3">
        <v>10.199999999999999</v>
      </c>
      <c r="E147" s="3">
        <v>9.4</v>
      </c>
      <c r="F147" s="3">
        <v>12.1</v>
      </c>
      <c r="G147" s="3">
        <f t="shared" si="13"/>
        <v>1122.8</v>
      </c>
      <c r="J147" s="3">
        <v>2.6</v>
      </c>
      <c r="K147" s="3">
        <f t="shared" si="14"/>
        <v>350.9</v>
      </c>
      <c r="L147" s="3">
        <v>0.7</v>
      </c>
      <c r="M147" s="3">
        <f t="shared" si="15"/>
        <v>134.39999999999992</v>
      </c>
      <c r="N147" s="3">
        <v>1.9000000000000001</v>
      </c>
      <c r="O147" s="3">
        <v>197.4</v>
      </c>
      <c r="P147" s="3">
        <v>107</v>
      </c>
      <c r="Q147" s="3">
        <f t="shared" si="18"/>
        <v>0.87644628099173549</v>
      </c>
      <c r="R147" s="7">
        <f t="shared" si="11"/>
        <v>0.61351239669421476</v>
      </c>
      <c r="S147" s="7">
        <f t="shared" si="12"/>
        <v>1.9864876033057852</v>
      </c>
      <c r="T147" s="7">
        <f t="shared" si="17"/>
        <v>197.4</v>
      </c>
      <c r="V147" s="3">
        <v>231.1</v>
      </c>
      <c r="X147" s="3">
        <f t="shared" si="16"/>
        <v>63497.999999999985</v>
      </c>
      <c r="AA147" s="11">
        <v>8.3500549192009093</v>
      </c>
    </row>
    <row r="148" spans="1:27" s="3" customFormat="1" x14ac:dyDescent="0.25">
      <c r="A148" s="72"/>
      <c r="B148" s="8"/>
      <c r="C148" s="9">
        <v>41264</v>
      </c>
      <c r="D148" s="3">
        <v>8.5</v>
      </c>
      <c r="E148" s="3">
        <v>7.6</v>
      </c>
      <c r="F148" s="3">
        <v>10.3</v>
      </c>
      <c r="G148" s="3">
        <f t="shared" si="13"/>
        <v>1131.3</v>
      </c>
      <c r="J148" s="3">
        <v>10.4</v>
      </c>
      <c r="K148" s="3">
        <f t="shared" si="14"/>
        <v>361.29999999999995</v>
      </c>
      <c r="L148" s="3">
        <v>0.4</v>
      </c>
      <c r="M148" s="3">
        <f t="shared" si="15"/>
        <v>134.79999999999993</v>
      </c>
      <c r="N148" s="3">
        <v>10</v>
      </c>
      <c r="O148" s="3">
        <v>197.4</v>
      </c>
      <c r="P148" s="3">
        <v>108</v>
      </c>
      <c r="Q148" s="3">
        <f t="shared" si="18"/>
        <v>0.88181818181818183</v>
      </c>
      <c r="R148" s="7">
        <f t="shared" si="11"/>
        <v>0.35272727272727278</v>
      </c>
      <c r="S148" s="7">
        <f t="shared" si="12"/>
        <v>10.047272727272727</v>
      </c>
      <c r="T148" s="7">
        <f t="shared" si="17"/>
        <v>197.4</v>
      </c>
      <c r="V148" s="3">
        <v>193.1</v>
      </c>
      <c r="X148" s="3">
        <f t="shared" si="16"/>
        <v>63691.099999999984</v>
      </c>
      <c r="AA148" s="11">
        <v>8.3469801192051296</v>
      </c>
    </row>
    <row r="149" spans="1:27" s="3" customFormat="1" x14ac:dyDescent="0.25">
      <c r="A149" s="72"/>
      <c r="B149" s="8"/>
      <c r="C149" s="9">
        <v>41265</v>
      </c>
      <c r="D149" s="3">
        <v>12.6</v>
      </c>
      <c r="E149" s="3">
        <v>8.1</v>
      </c>
      <c r="F149" s="3">
        <v>16.2</v>
      </c>
      <c r="G149" s="3">
        <f t="shared" si="13"/>
        <v>1143.8999999999999</v>
      </c>
      <c r="J149" s="3">
        <v>1.1000000000000001</v>
      </c>
      <c r="K149" s="3">
        <f t="shared" si="14"/>
        <v>362.4</v>
      </c>
      <c r="L149" s="3">
        <v>0.5</v>
      </c>
      <c r="M149" s="3">
        <f t="shared" si="15"/>
        <v>135.29999999999993</v>
      </c>
      <c r="N149" s="3">
        <v>0.60000000000000009</v>
      </c>
      <c r="O149" s="3">
        <v>197.4</v>
      </c>
      <c r="P149" s="3">
        <v>109</v>
      </c>
      <c r="Q149" s="3">
        <f t="shared" si="18"/>
        <v>0.88719008264462806</v>
      </c>
      <c r="R149" s="7">
        <f t="shared" si="11"/>
        <v>0.44359504132231403</v>
      </c>
      <c r="S149" s="7">
        <f t="shared" si="12"/>
        <v>0.65640495867768611</v>
      </c>
      <c r="T149" s="7">
        <f t="shared" si="17"/>
        <v>197.4</v>
      </c>
      <c r="V149" s="3">
        <v>68.3</v>
      </c>
      <c r="X149" s="3">
        <f t="shared" si="16"/>
        <v>63759.399999999987</v>
      </c>
      <c r="AA149" s="11">
        <v>8.3454533759116405</v>
      </c>
    </row>
    <row r="150" spans="1:27" s="3" customFormat="1" x14ac:dyDescent="0.25">
      <c r="A150" s="72"/>
      <c r="B150" s="8"/>
      <c r="C150" s="9">
        <v>41266</v>
      </c>
      <c r="D150" s="3">
        <v>13.6</v>
      </c>
      <c r="E150" s="3">
        <v>13.4</v>
      </c>
      <c r="F150" s="3">
        <v>13.9</v>
      </c>
      <c r="G150" s="3">
        <f t="shared" si="13"/>
        <v>1157.4999999999998</v>
      </c>
      <c r="J150" s="3">
        <v>0.2</v>
      </c>
      <c r="K150" s="3">
        <f t="shared" si="14"/>
        <v>362.59999999999997</v>
      </c>
      <c r="L150" s="3">
        <v>1</v>
      </c>
      <c r="M150" s="3">
        <f t="shared" si="15"/>
        <v>136.29999999999993</v>
      </c>
      <c r="N150" s="3">
        <v>-0.8</v>
      </c>
      <c r="O150" s="3">
        <f>O149+N150</f>
        <v>196.6</v>
      </c>
      <c r="P150" s="3">
        <v>110</v>
      </c>
      <c r="Q150" s="3">
        <f t="shared" si="18"/>
        <v>0.8925619834710744</v>
      </c>
      <c r="R150" s="7">
        <f t="shared" si="11"/>
        <v>0.8925619834710744</v>
      </c>
      <c r="S150" s="7">
        <f t="shared" si="12"/>
        <v>-0.69256198347107434</v>
      </c>
      <c r="T150" s="7">
        <f t="shared" si="17"/>
        <v>196.70743801652893</v>
      </c>
      <c r="V150" s="3">
        <v>136.4</v>
      </c>
      <c r="X150" s="3">
        <f t="shared" si="16"/>
        <v>63895.799999999988</v>
      </c>
      <c r="AA150" s="11">
        <v>8.3454770907109808</v>
      </c>
    </row>
    <row r="151" spans="1:27" s="3" customFormat="1" x14ac:dyDescent="0.25">
      <c r="A151" s="72"/>
      <c r="B151" s="8"/>
      <c r="C151" s="9">
        <v>41267</v>
      </c>
      <c r="D151" s="3">
        <v>11.4</v>
      </c>
      <c r="E151" s="3">
        <v>9.5</v>
      </c>
      <c r="F151" s="3">
        <v>13.5</v>
      </c>
      <c r="G151" s="3">
        <f t="shared" si="13"/>
        <v>1168.8999999999999</v>
      </c>
      <c r="J151" s="3">
        <v>4.9000000000000004</v>
      </c>
      <c r="K151" s="3">
        <f t="shared" si="14"/>
        <v>367.49999999999994</v>
      </c>
      <c r="L151" s="3">
        <v>1</v>
      </c>
      <c r="M151" s="3">
        <f t="shared" si="15"/>
        <v>137.29999999999993</v>
      </c>
      <c r="N151" s="3">
        <v>3.9000000000000004</v>
      </c>
      <c r="O151" s="3">
        <v>197.4</v>
      </c>
      <c r="P151" s="3">
        <v>111</v>
      </c>
      <c r="Q151" s="3">
        <f t="shared" si="18"/>
        <v>0.89793388429752063</v>
      </c>
      <c r="R151" s="7">
        <f t="shared" si="11"/>
        <v>0.89793388429752063</v>
      </c>
      <c r="S151" s="7">
        <f t="shared" si="12"/>
        <v>4.0020661157024797</v>
      </c>
      <c r="T151" s="7">
        <f t="shared" si="17"/>
        <v>197.4</v>
      </c>
      <c r="V151" s="3">
        <v>450</v>
      </c>
      <c r="X151" s="3">
        <f t="shared" si="16"/>
        <v>64345.799999999988</v>
      </c>
      <c r="AA151" s="11">
        <v>8.3470518089656096</v>
      </c>
    </row>
    <row r="152" spans="1:27" s="3" customFormat="1" x14ac:dyDescent="0.25">
      <c r="A152" s="72"/>
      <c r="B152" s="8"/>
      <c r="C152" s="9">
        <v>41268</v>
      </c>
      <c r="D152" s="3">
        <v>10</v>
      </c>
      <c r="E152" s="3">
        <v>9.3000000000000007</v>
      </c>
      <c r="F152" s="3">
        <v>12.7</v>
      </c>
      <c r="G152" s="3">
        <f t="shared" si="13"/>
        <v>1178.8999999999999</v>
      </c>
      <c r="J152" s="3">
        <v>1.9</v>
      </c>
      <c r="K152" s="3">
        <f t="shared" si="14"/>
        <v>369.39999999999992</v>
      </c>
      <c r="L152" s="3">
        <v>1.5</v>
      </c>
      <c r="M152" s="3">
        <f t="shared" si="15"/>
        <v>138.79999999999993</v>
      </c>
      <c r="N152" s="3">
        <v>0.39999999999999991</v>
      </c>
      <c r="O152" s="3">
        <v>197.4</v>
      </c>
      <c r="P152" s="3">
        <v>112</v>
      </c>
      <c r="Q152" s="3">
        <f t="shared" si="18"/>
        <v>0.90330578512396698</v>
      </c>
      <c r="R152" s="7">
        <f t="shared" si="11"/>
        <v>1.3549586776859504</v>
      </c>
      <c r="S152" s="7">
        <f t="shared" si="12"/>
        <v>0.54504132231404956</v>
      </c>
      <c r="T152" s="7">
        <f t="shared" si="17"/>
        <v>197.4</v>
      </c>
      <c r="V152" s="3">
        <v>330.7</v>
      </c>
      <c r="X152" s="3">
        <f t="shared" si="16"/>
        <v>64676.499999999985</v>
      </c>
      <c r="AA152" s="11">
        <v>8.3501762175618701</v>
      </c>
    </row>
    <row r="153" spans="1:27" s="3" customFormat="1" x14ac:dyDescent="0.25">
      <c r="A153" s="72"/>
      <c r="B153" s="8"/>
      <c r="C153" s="9">
        <v>41269</v>
      </c>
      <c r="D153" s="3">
        <v>9.6</v>
      </c>
      <c r="E153" s="3">
        <v>6.8</v>
      </c>
      <c r="F153" s="3">
        <v>12.9</v>
      </c>
      <c r="G153" s="3">
        <f t="shared" si="13"/>
        <v>1188.4999999999998</v>
      </c>
      <c r="J153" s="3">
        <v>7</v>
      </c>
      <c r="K153" s="3">
        <f t="shared" si="14"/>
        <v>376.39999999999992</v>
      </c>
      <c r="L153" s="3">
        <v>1.2</v>
      </c>
      <c r="M153" s="3">
        <f t="shared" si="15"/>
        <v>139.99999999999991</v>
      </c>
      <c r="N153" s="3">
        <v>5.8</v>
      </c>
      <c r="O153" s="3">
        <v>197.4</v>
      </c>
      <c r="P153" s="3">
        <v>113</v>
      </c>
      <c r="Q153" s="3">
        <f t="shared" si="18"/>
        <v>0.90867768595041321</v>
      </c>
      <c r="R153" s="7">
        <f t="shared" si="11"/>
        <v>1.0904132231404957</v>
      </c>
      <c r="S153" s="7">
        <f t="shared" si="12"/>
        <v>5.9095867768595038</v>
      </c>
      <c r="T153" s="7">
        <f t="shared" si="17"/>
        <v>197.4</v>
      </c>
      <c r="V153" s="3">
        <v>440.6</v>
      </c>
      <c r="X153" s="3">
        <f t="shared" si="16"/>
        <v>65117.099999999984</v>
      </c>
      <c r="AA153" s="11">
        <v>8.3548471506033692</v>
      </c>
    </row>
    <row r="154" spans="1:27" s="3" customFormat="1" x14ac:dyDescent="0.25">
      <c r="A154" s="72"/>
      <c r="B154" s="8"/>
      <c r="C154" s="9">
        <v>41270</v>
      </c>
      <c r="D154" s="3">
        <v>10</v>
      </c>
      <c r="E154" s="3">
        <v>9.6</v>
      </c>
      <c r="F154" s="3">
        <v>11.8</v>
      </c>
      <c r="G154" s="3">
        <f t="shared" si="13"/>
        <v>1198.4999999999998</v>
      </c>
      <c r="J154" s="3">
        <v>0.7</v>
      </c>
      <c r="K154" s="3">
        <f t="shared" si="14"/>
        <v>377.09999999999991</v>
      </c>
      <c r="L154" s="3">
        <v>1.6</v>
      </c>
      <c r="M154" s="3">
        <f t="shared" si="15"/>
        <v>141.59999999999991</v>
      </c>
      <c r="N154" s="3">
        <v>-0.90000000000000013</v>
      </c>
      <c r="O154" s="3">
        <f>O153+N154</f>
        <v>196.5</v>
      </c>
      <c r="P154" s="3">
        <v>114</v>
      </c>
      <c r="Q154" s="3">
        <f t="shared" si="18"/>
        <v>0.91404958677685955</v>
      </c>
      <c r="R154" s="7">
        <f t="shared" si="11"/>
        <v>1.4624793388429753</v>
      </c>
      <c r="S154" s="7">
        <f t="shared" si="12"/>
        <v>-0.76247933884297536</v>
      </c>
      <c r="T154" s="7">
        <f t="shared" si="17"/>
        <v>196.63752066115703</v>
      </c>
      <c r="V154" s="3">
        <v>198.4</v>
      </c>
      <c r="X154" s="3">
        <f t="shared" si="16"/>
        <v>65315.499999999985</v>
      </c>
      <c r="AA154" s="11">
        <v>8.3610596031940396</v>
      </c>
    </row>
    <row r="155" spans="1:27" s="3" customFormat="1" x14ac:dyDescent="0.25">
      <c r="A155" s="72"/>
      <c r="B155" s="8"/>
      <c r="C155" s="9">
        <v>41271</v>
      </c>
      <c r="D155" s="3">
        <v>11.5</v>
      </c>
      <c r="E155" s="3">
        <v>9.1</v>
      </c>
      <c r="F155" s="3">
        <v>12.5</v>
      </c>
      <c r="G155" s="3">
        <f t="shared" si="13"/>
        <v>1209.9999999999998</v>
      </c>
      <c r="J155" s="3">
        <v>0.6</v>
      </c>
      <c r="K155" s="3">
        <f t="shared" si="14"/>
        <v>377.69999999999993</v>
      </c>
      <c r="L155" s="3">
        <v>0.3</v>
      </c>
      <c r="M155" s="3">
        <f t="shared" si="15"/>
        <v>141.89999999999992</v>
      </c>
      <c r="N155" s="3">
        <v>0.3</v>
      </c>
      <c r="O155" s="3">
        <f>O154+N155</f>
        <v>196.8</v>
      </c>
      <c r="P155" s="3">
        <v>115</v>
      </c>
      <c r="Q155" s="3">
        <f t="shared" si="18"/>
        <v>0.91942148760330578</v>
      </c>
      <c r="R155" s="7">
        <f t="shared" si="11"/>
        <v>0.27582644628099173</v>
      </c>
      <c r="S155" s="7">
        <f t="shared" si="12"/>
        <v>0.32417355371900825</v>
      </c>
      <c r="T155" s="7">
        <f t="shared" si="17"/>
        <v>196.96169421487605</v>
      </c>
      <c r="V155" s="3">
        <v>131.19999999999999</v>
      </c>
      <c r="X155" s="3">
        <f t="shared" si="16"/>
        <v>65446.699999999983</v>
      </c>
      <c r="AA155" s="11">
        <v>8.3688067531851402</v>
      </c>
    </row>
    <row r="156" spans="1:27" s="3" customFormat="1" x14ac:dyDescent="0.25">
      <c r="A156" s="72"/>
      <c r="B156" s="8"/>
      <c r="C156" s="9">
        <v>41272</v>
      </c>
      <c r="D156" s="3">
        <v>9.6</v>
      </c>
      <c r="E156" s="3">
        <v>8.1</v>
      </c>
      <c r="F156" s="3">
        <v>12.9</v>
      </c>
      <c r="G156" s="3">
        <f t="shared" si="13"/>
        <v>1219.5999999999997</v>
      </c>
      <c r="J156" s="3">
        <v>2.8</v>
      </c>
      <c r="K156" s="3">
        <f t="shared" si="14"/>
        <v>380.49999999999994</v>
      </c>
      <c r="L156" s="3">
        <v>1.1000000000000001</v>
      </c>
      <c r="M156" s="3">
        <f t="shared" si="15"/>
        <v>142.99999999999991</v>
      </c>
      <c r="N156" s="3">
        <v>1.6999999999999997</v>
      </c>
      <c r="O156" s="3">
        <v>197.4</v>
      </c>
      <c r="P156" s="3">
        <v>116</v>
      </c>
      <c r="Q156" s="3">
        <f t="shared" si="18"/>
        <v>0.92479338842975212</v>
      </c>
      <c r="R156" s="7">
        <f t="shared" si="11"/>
        <v>1.0172727272727273</v>
      </c>
      <c r="S156" s="7">
        <f t="shared" si="12"/>
        <v>1.7827272727272725</v>
      </c>
      <c r="T156" s="7">
        <f t="shared" si="17"/>
        <v>197.4</v>
      </c>
      <c r="V156" s="3">
        <v>113.3</v>
      </c>
      <c r="X156" s="3">
        <f t="shared" si="16"/>
        <v>65559.999999999985</v>
      </c>
      <c r="AA156" s="11">
        <v>8.3780799906893897</v>
      </c>
    </row>
    <row r="157" spans="1:27" s="3" customFormat="1" x14ac:dyDescent="0.25">
      <c r="A157" s="72"/>
      <c r="B157" s="8"/>
      <c r="C157" s="9">
        <v>41273</v>
      </c>
      <c r="D157" s="3">
        <v>8.5</v>
      </c>
      <c r="E157" s="3">
        <v>6.6</v>
      </c>
      <c r="F157" s="3">
        <v>11.2</v>
      </c>
      <c r="G157" s="3">
        <f t="shared" si="13"/>
        <v>1228.0999999999997</v>
      </c>
      <c r="J157" s="3">
        <v>0.5</v>
      </c>
      <c r="K157" s="3">
        <f t="shared" si="14"/>
        <v>380.99999999999994</v>
      </c>
      <c r="L157" s="3">
        <v>1.1000000000000001</v>
      </c>
      <c r="M157" s="3">
        <f t="shared" si="15"/>
        <v>144.09999999999991</v>
      </c>
      <c r="N157" s="3">
        <v>-0.60000000000000009</v>
      </c>
      <c r="O157" s="3">
        <f>O156+N157</f>
        <v>196.8</v>
      </c>
      <c r="P157" s="3">
        <v>117</v>
      </c>
      <c r="Q157" s="3">
        <f t="shared" si="18"/>
        <v>0.93016528925619835</v>
      </c>
      <c r="R157" s="7">
        <f t="shared" si="11"/>
        <v>1.0231818181818182</v>
      </c>
      <c r="S157" s="7">
        <f t="shared" si="12"/>
        <v>-0.52318181818181819</v>
      </c>
      <c r="T157" s="7">
        <f t="shared" si="17"/>
        <v>196.87681818181818</v>
      </c>
      <c r="V157" s="3">
        <v>416.6</v>
      </c>
      <c r="X157" s="3">
        <f t="shared" si="16"/>
        <v>65976.599999999991</v>
      </c>
      <c r="AA157" s="11">
        <v>8.3888689550965605</v>
      </c>
    </row>
    <row r="158" spans="1:27" s="3" customFormat="1" x14ac:dyDescent="0.25">
      <c r="A158" s="72"/>
      <c r="B158" s="8"/>
      <c r="C158" s="9">
        <v>41274</v>
      </c>
      <c r="D158" s="3">
        <v>10.199999999999999</v>
      </c>
      <c r="E158" s="3">
        <v>8.1</v>
      </c>
      <c r="F158" s="3">
        <v>11.3</v>
      </c>
      <c r="G158" s="3">
        <f t="shared" si="13"/>
        <v>1238.2999999999997</v>
      </c>
      <c r="J158" s="3">
        <v>16.899999999999999</v>
      </c>
      <c r="K158" s="3">
        <f t="shared" si="14"/>
        <v>397.89999999999992</v>
      </c>
      <c r="L158" s="3">
        <v>0.4</v>
      </c>
      <c r="M158" s="3">
        <f t="shared" si="15"/>
        <v>144.49999999999991</v>
      </c>
      <c r="N158" s="3">
        <v>16.5</v>
      </c>
      <c r="O158" s="3">
        <v>197.4</v>
      </c>
      <c r="P158" s="3">
        <v>118</v>
      </c>
      <c r="Q158" s="3">
        <f t="shared" si="18"/>
        <v>0.93553719008264458</v>
      </c>
      <c r="R158" s="7">
        <f t="shared" si="11"/>
        <v>0.37421487603305786</v>
      </c>
      <c r="S158" s="7">
        <f t="shared" si="12"/>
        <v>16.525785123966941</v>
      </c>
      <c r="T158" s="7">
        <f t="shared" si="17"/>
        <v>197.4</v>
      </c>
      <c r="V158" s="3">
        <v>106.5</v>
      </c>
      <c r="X158" s="3">
        <f t="shared" si="16"/>
        <v>66083.099999999991</v>
      </c>
      <c r="AA158" s="11">
        <v>8.4011615792606609</v>
      </c>
    </row>
    <row r="159" spans="1:27" s="3" customFormat="1" x14ac:dyDescent="0.25">
      <c r="A159" s="72"/>
      <c r="B159" s="8"/>
      <c r="C159" s="9">
        <v>41275</v>
      </c>
      <c r="D159" s="3">
        <v>7.2</v>
      </c>
      <c r="E159" s="3">
        <v>5.8</v>
      </c>
      <c r="F159" s="3">
        <v>9.6</v>
      </c>
      <c r="G159" s="3">
        <f t="shared" si="13"/>
        <v>1245.4999999999998</v>
      </c>
      <c r="J159" s="3">
        <v>1.7</v>
      </c>
      <c r="K159" s="3">
        <f t="shared" si="14"/>
        <v>399.59999999999991</v>
      </c>
      <c r="L159" s="3">
        <v>0.7</v>
      </c>
      <c r="M159" s="3">
        <f t="shared" si="15"/>
        <v>145.1999999999999</v>
      </c>
      <c r="N159" s="3">
        <v>1</v>
      </c>
      <c r="O159" s="3">
        <v>197.4</v>
      </c>
      <c r="P159" s="3">
        <v>119</v>
      </c>
      <c r="Q159" s="3">
        <f t="shared" si="18"/>
        <v>0.94090909090909092</v>
      </c>
      <c r="R159" s="7">
        <f t="shared" si="11"/>
        <v>0.65863636363636358</v>
      </c>
      <c r="S159" s="7">
        <f t="shared" si="12"/>
        <v>1.0413636363636365</v>
      </c>
      <c r="T159" s="7">
        <f t="shared" si="17"/>
        <v>197.4</v>
      </c>
      <c r="V159" s="3">
        <v>498.2</v>
      </c>
      <c r="X159" s="3">
        <f t="shared" si="16"/>
        <v>66581.299999999988</v>
      </c>
      <c r="AA159" s="11">
        <v>8.4193892160187005</v>
      </c>
    </row>
    <row r="160" spans="1:27" s="3" customFormat="1" x14ac:dyDescent="0.25">
      <c r="A160" s="72"/>
      <c r="B160" s="8"/>
      <c r="C160" s="9">
        <v>41276</v>
      </c>
      <c r="D160" s="3">
        <v>7.3</v>
      </c>
      <c r="E160" s="3">
        <v>3.4</v>
      </c>
      <c r="F160" s="3">
        <v>9.8000000000000007</v>
      </c>
      <c r="G160" s="3">
        <f t="shared" si="13"/>
        <v>1252.7999999999997</v>
      </c>
      <c r="J160" s="3">
        <v>0</v>
      </c>
      <c r="K160" s="3">
        <f t="shared" si="14"/>
        <v>399.59999999999991</v>
      </c>
      <c r="L160" s="3">
        <v>0.4</v>
      </c>
      <c r="M160" s="3">
        <f t="shared" si="15"/>
        <v>145.59999999999991</v>
      </c>
      <c r="N160" s="3">
        <v>-0.4</v>
      </c>
      <c r="O160" s="3">
        <f t="shared" ref="O160:O166" si="20">O159+N160</f>
        <v>197</v>
      </c>
      <c r="P160" s="3">
        <v>120</v>
      </c>
      <c r="Q160" s="3">
        <f t="shared" si="18"/>
        <v>0.94628099173553726</v>
      </c>
      <c r="R160" s="7">
        <f t="shared" si="11"/>
        <v>0.37851239669421494</v>
      </c>
      <c r="S160" s="7">
        <f t="shared" si="12"/>
        <v>-0.37851239669421494</v>
      </c>
      <c r="T160" s="7">
        <f t="shared" si="17"/>
        <v>197.02148760330579</v>
      </c>
      <c r="V160" s="3">
        <v>395.7</v>
      </c>
      <c r="X160" s="3">
        <f t="shared" si="16"/>
        <v>66976.999999999985</v>
      </c>
      <c r="AA160" s="11">
        <v>8.4350877093723202</v>
      </c>
    </row>
    <row r="161" spans="1:27" s="3" customFormat="1" x14ac:dyDescent="0.25">
      <c r="A161" s="72"/>
      <c r="B161" s="8"/>
      <c r="C161" s="9">
        <v>41277</v>
      </c>
      <c r="D161" s="3">
        <v>10.1</v>
      </c>
      <c r="E161" s="3">
        <v>8.9</v>
      </c>
      <c r="F161" s="3">
        <v>11.6</v>
      </c>
      <c r="G161" s="3">
        <f t="shared" si="13"/>
        <v>1262.8999999999996</v>
      </c>
      <c r="J161" s="3">
        <v>0.1</v>
      </c>
      <c r="K161" s="3">
        <f t="shared" si="14"/>
        <v>399.69999999999993</v>
      </c>
      <c r="L161" s="3">
        <v>0.5</v>
      </c>
      <c r="M161" s="3">
        <f t="shared" si="15"/>
        <v>146.09999999999991</v>
      </c>
      <c r="N161" s="3">
        <v>-0.4</v>
      </c>
      <c r="O161" s="3">
        <f t="shared" si="20"/>
        <v>196.6</v>
      </c>
      <c r="P161" s="3">
        <v>121</v>
      </c>
      <c r="Q161" s="3">
        <f t="shared" si="18"/>
        <v>0.95165289256198349</v>
      </c>
      <c r="R161" s="7">
        <f t="shared" si="11"/>
        <v>0.47582644628099174</v>
      </c>
      <c r="S161" s="7">
        <f t="shared" si="12"/>
        <v>-0.37582644628099171</v>
      </c>
      <c r="T161" s="7">
        <f t="shared" si="17"/>
        <v>196.64566115702479</v>
      </c>
      <c r="V161" s="3">
        <v>157.30000000000001</v>
      </c>
      <c r="X161" s="3">
        <f t="shared" si="16"/>
        <v>67134.299999999988</v>
      </c>
      <c r="AA161" s="11">
        <v>8.4522385901356891</v>
      </c>
    </row>
    <row r="162" spans="1:27" s="3" customFormat="1" x14ac:dyDescent="0.25">
      <c r="A162" s="72"/>
      <c r="B162" s="8"/>
      <c r="C162" s="9">
        <v>41278</v>
      </c>
      <c r="D162" s="3">
        <v>9.1</v>
      </c>
      <c r="E162" s="3">
        <v>8.5</v>
      </c>
      <c r="F162" s="3">
        <v>9.6999999999999993</v>
      </c>
      <c r="G162" s="3">
        <f t="shared" si="13"/>
        <v>1271.9999999999995</v>
      </c>
      <c r="J162" s="3">
        <v>0</v>
      </c>
      <c r="K162" s="3">
        <f t="shared" si="14"/>
        <v>399.69999999999993</v>
      </c>
      <c r="L162" s="3">
        <v>0.3</v>
      </c>
      <c r="M162" s="3">
        <f t="shared" si="15"/>
        <v>146.39999999999992</v>
      </c>
      <c r="N162" s="3">
        <v>-0.3</v>
      </c>
      <c r="O162" s="3">
        <f t="shared" si="20"/>
        <v>196.29999999999998</v>
      </c>
      <c r="P162" s="3">
        <v>122</v>
      </c>
      <c r="Q162" s="3">
        <f t="shared" si="18"/>
        <v>0.95702479338842972</v>
      </c>
      <c r="R162" s="7">
        <f t="shared" si="11"/>
        <v>0.28710743801652888</v>
      </c>
      <c r="S162" s="7">
        <f t="shared" si="12"/>
        <v>-0.28710743801652888</v>
      </c>
      <c r="T162" s="7">
        <f t="shared" si="17"/>
        <v>196.35855371900826</v>
      </c>
      <c r="V162" s="3">
        <v>139</v>
      </c>
      <c r="X162" s="3">
        <f t="shared" si="16"/>
        <v>67273.299999999988</v>
      </c>
      <c r="AA162" s="11">
        <v>8.4708231076445308</v>
      </c>
    </row>
    <row r="163" spans="1:27" s="3" customFormat="1" x14ac:dyDescent="0.25">
      <c r="A163" s="72"/>
      <c r="B163" s="8"/>
      <c r="C163" s="9">
        <v>41279</v>
      </c>
      <c r="D163" s="3">
        <v>6.9</v>
      </c>
      <c r="E163" s="3">
        <v>6.3</v>
      </c>
      <c r="F163" s="3">
        <v>7.2</v>
      </c>
      <c r="G163" s="3">
        <f t="shared" si="13"/>
        <v>1278.8999999999996</v>
      </c>
      <c r="J163" s="3">
        <v>0.3</v>
      </c>
      <c r="K163" s="3">
        <f t="shared" si="14"/>
        <v>399.99999999999994</v>
      </c>
      <c r="L163" s="3">
        <v>0.1</v>
      </c>
      <c r="M163" s="3">
        <f t="shared" si="15"/>
        <v>146.49999999999991</v>
      </c>
      <c r="N163" s="3">
        <v>0.19999999999999998</v>
      </c>
      <c r="O163" s="3">
        <f t="shared" si="20"/>
        <v>196.49999999999997</v>
      </c>
      <c r="P163" s="3">
        <v>123</v>
      </c>
      <c r="Q163" s="3">
        <f t="shared" si="18"/>
        <v>0.96239669421487606</v>
      </c>
      <c r="R163" s="7">
        <f t="shared" si="11"/>
        <v>9.6239669421487609E-2</v>
      </c>
      <c r="S163" s="7">
        <f t="shared" si="12"/>
        <v>0.20376033057851239</v>
      </c>
      <c r="T163" s="7">
        <f t="shared" si="17"/>
        <v>196.56231404958677</v>
      </c>
      <c r="V163" s="3">
        <v>131.6</v>
      </c>
      <c r="X163" s="3">
        <f t="shared" si="16"/>
        <v>67404.899999999994</v>
      </c>
      <c r="AA163" s="11">
        <v>8.4908211407778005</v>
      </c>
    </row>
    <row r="164" spans="1:27" s="3" customFormat="1" x14ac:dyDescent="0.25">
      <c r="A164" s="72"/>
      <c r="B164" s="8"/>
      <c r="C164" s="9">
        <v>41280</v>
      </c>
      <c r="D164" s="3">
        <v>5.2</v>
      </c>
      <c r="E164" s="3">
        <v>5</v>
      </c>
      <c r="F164" s="3">
        <v>5.4</v>
      </c>
      <c r="G164" s="3">
        <f t="shared" si="13"/>
        <v>1284.0999999999997</v>
      </c>
      <c r="J164" s="3">
        <v>0.5</v>
      </c>
      <c r="K164" s="3">
        <f t="shared" si="14"/>
        <v>400.49999999999994</v>
      </c>
      <c r="L164" s="3">
        <v>0.1</v>
      </c>
      <c r="M164" s="3">
        <f t="shared" si="15"/>
        <v>146.59999999999991</v>
      </c>
      <c r="N164" s="3">
        <v>0.4</v>
      </c>
      <c r="O164" s="3">
        <f t="shared" si="20"/>
        <v>196.89999999999998</v>
      </c>
      <c r="P164" s="3">
        <v>124</v>
      </c>
      <c r="Q164" s="3">
        <f t="shared" si="18"/>
        <v>0.9677685950413224</v>
      </c>
      <c r="R164" s="7">
        <f t="shared" si="11"/>
        <v>9.6776859504132243E-2</v>
      </c>
      <c r="S164" s="7">
        <f t="shared" si="12"/>
        <v>0.40322314049586777</v>
      </c>
      <c r="T164" s="7">
        <f t="shared" si="17"/>
        <v>196.96553719008264</v>
      </c>
      <c r="V164" s="3">
        <v>83.5</v>
      </c>
      <c r="X164" s="3">
        <f t="shared" si="16"/>
        <v>67488.399999999994</v>
      </c>
      <c r="AA164" s="11">
        <v>8.5122112765059796</v>
      </c>
    </row>
    <row r="165" spans="1:27" s="3" customFormat="1" x14ac:dyDescent="0.25">
      <c r="A165" s="72"/>
      <c r="B165" s="12">
        <v>9</v>
      </c>
      <c r="C165" s="9">
        <v>41281</v>
      </c>
      <c r="D165" s="3">
        <v>4.8</v>
      </c>
      <c r="E165" s="3">
        <v>3.9</v>
      </c>
      <c r="F165" s="3">
        <v>5.5</v>
      </c>
      <c r="G165" s="3">
        <f t="shared" si="13"/>
        <v>1288.8999999999996</v>
      </c>
      <c r="J165" s="3">
        <v>0.4</v>
      </c>
      <c r="K165" s="3">
        <f t="shared" si="14"/>
        <v>400.89999999999992</v>
      </c>
      <c r="L165" s="3">
        <v>0.2</v>
      </c>
      <c r="M165" s="3">
        <f t="shared" si="15"/>
        <v>146.7999999999999</v>
      </c>
      <c r="N165" s="3">
        <v>0.2</v>
      </c>
      <c r="O165" s="3">
        <f t="shared" si="20"/>
        <v>197.09999999999997</v>
      </c>
      <c r="P165" s="3">
        <v>125</v>
      </c>
      <c r="Q165" s="3">
        <f t="shared" si="18"/>
        <v>0.97314049586776863</v>
      </c>
      <c r="R165" s="7">
        <f t="shared" si="11"/>
        <v>0.19462809917355373</v>
      </c>
      <c r="S165" s="7">
        <f t="shared" si="12"/>
        <v>0.2053719008264463</v>
      </c>
      <c r="T165" s="7">
        <f t="shared" si="17"/>
        <v>197.17090909090908</v>
      </c>
      <c r="V165" s="3">
        <v>116.2</v>
      </c>
      <c r="X165" s="3">
        <f t="shared" si="16"/>
        <v>67604.599999999991</v>
      </c>
      <c r="AA165" s="11">
        <v>8.5349708918221392</v>
      </c>
    </row>
    <row r="166" spans="1:27" s="3" customFormat="1" x14ac:dyDescent="0.25">
      <c r="A166" s="72"/>
      <c r="B166" s="8"/>
      <c r="C166" s="9">
        <v>41282</v>
      </c>
      <c r="D166" s="3">
        <v>5.6</v>
      </c>
      <c r="E166" s="3">
        <v>5</v>
      </c>
      <c r="F166" s="3">
        <v>6.1</v>
      </c>
      <c r="G166" s="3">
        <f t="shared" si="13"/>
        <v>1294.4999999999995</v>
      </c>
      <c r="J166" s="3">
        <v>0</v>
      </c>
      <c r="K166" s="3">
        <f t="shared" si="14"/>
        <v>400.89999999999992</v>
      </c>
      <c r="L166" s="3">
        <v>0.3</v>
      </c>
      <c r="M166" s="3">
        <f t="shared" si="15"/>
        <v>147.09999999999991</v>
      </c>
      <c r="N166" s="3">
        <v>-0.3</v>
      </c>
      <c r="O166" s="3">
        <f t="shared" si="20"/>
        <v>196.79999999999995</v>
      </c>
      <c r="P166" s="3">
        <v>126</v>
      </c>
      <c r="Q166" s="3">
        <f t="shared" si="18"/>
        <v>0.97851239669421486</v>
      </c>
      <c r="R166" s="7">
        <f t="shared" si="11"/>
        <v>0.29355371900826444</v>
      </c>
      <c r="S166" s="7">
        <f t="shared" si="12"/>
        <v>-0.29355371900826444</v>
      </c>
      <c r="T166" s="7">
        <f t="shared" si="17"/>
        <v>196.87735537190082</v>
      </c>
      <c r="V166" s="3">
        <v>144.5</v>
      </c>
      <c r="X166" s="3">
        <f t="shared" si="16"/>
        <v>67749.099999999991</v>
      </c>
      <c r="AA166" s="11">
        <v>8.5590762384411292</v>
      </c>
    </row>
    <row r="167" spans="1:27" s="3" customFormat="1" x14ac:dyDescent="0.25">
      <c r="A167" s="72"/>
      <c r="B167" s="8"/>
      <c r="C167" s="9">
        <v>41283</v>
      </c>
      <c r="D167" s="3">
        <v>7.1</v>
      </c>
      <c r="E167" s="3">
        <v>5.6</v>
      </c>
      <c r="F167" s="3">
        <v>9.1999999999999993</v>
      </c>
      <c r="G167" s="3">
        <f t="shared" si="13"/>
        <v>1301.5999999999995</v>
      </c>
      <c r="J167" s="3">
        <v>4.2</v>
      </c>
      <c r="K167" s="3">
        <f t="shared" si="14"/>
        <v>405.09999999999991</v>
      </c>
      <c r="L167" s="3">
        <v>0.3</v>
      </c>
      <c r="M167" s="3">
        <f t="shared" si="15"/>
        <v>147.39999999999992</v>
      </c>
      <c r="N167" s="3">
        <v>3.9000000000000004</v>
      </c>
      <c r="O167" s="3">
        <v>197.4</v>
      </c>
      <c r="P167" s="3">
        <v>127</v>
      </c>
      <c r="Q167" s="3">
        <f t="shared" si="18"/>
        <v>0.98388429752066109</v>
      </c>
      <c r="R167" s="7">
        <f t="shared" si="11"/>
        <v>0.29516528925619834</v>
      </c>
      <c r="S167" s="7">
        <f t="shared" si="12"/>
        <v>3.9048347107438017</v>
      </c>
      <c r="T167" s="7">
        <f t="shared" si="17"/>
        <v>197.4</v>
      </c>
      <c r="V167" s="3">
        <v>51.5</v>
      </c>
      <c r="X167" s="3">
        <f t="shared" si="16"/>
        <v>67800.599999999991</v>
      </c>
      <c r="AA167" s="11">
        <v>8.5845025296519992</v>
      </c>
    </row>
    <row r="168" spans="1:27" s="3" customFormat="1" x14ac:dyDescent="0.25">
      <c r="A168" s="72"/>
      <c r="B168" s="8"/>
      <c r="C168" s="9">
        <v>41284</v>
      </c>
      <c r="D168" s="3">
        <v>9</v>
      </c>
      <c r="E168" s="3">
        <v>8.1999999999999993</v>
      </c>
      <c r="F168" s="3">
        <v>11.7</v>
      </c>
      <c r="G168" s="3">
        <f t="shared" si="13"/>
        <v>1310.5999999999995</v>
      </c>
      <c r="J168" s="3">
        <v>4.3</v>
      </c>
      <c r="K168" s="3">
        <f t="shared" si="14"/>
        <v>409.39999999999992</v>
      </c>
      <c r="L168" s="3">
        <v>0.6</v>
      </c>
      <c r="M168" s="3">
        <f t="shared" si="15"/>
        <v>147.99999999999991</v>
      </c>
      <c r="N168" s="3">
        <v>3.6999999999999997</v>
      </c>
      <c r="O168" s="3">
        <v>197.4</v>
      </c>
      <c r="P168" s="3">
        <v>128</v>
      </c>
      <c r="Q168" s="3">
        <f t="shared" si="18"/>
        <v>0.98925619834710743</v>
      </c>
      <c r="R168" s="7">
        <f t="shared" si="11"/>
        <v>0.59355371900826448</v>
      </c>
      <c r="S168" s="7">
        <f t="shared" si="12"/>
        <v>3.7064462809917353</v>
      </c>
      <c r="T168" s="7">
        <f t="shared" si="17"/>
        <v>197.4</v>
      </c>
      <c r="V168" s="3">
        <v>96.8</v>
      </c>
      <c r="X168" s="3">
        <f t="shared" si="16"/>
        <v>67897.399999999994</v>
      </c>
      <c r="AA168" s="11">
        <v>8.61122402871605</v>
      </c>
    </row>
    <row r="169" spans="1:27" s="3" customFormat="1" x14ac:dyDescent="0.25">
      <c r="A169" s="72"/>
      <c r="B169" s="8"/>
      <c r="C169" s="9">
        <v>41285</v>
      </c>
      <c r="D169" s="3">
        <v>7.7</v>
      </c>
      <c r="E169" s="3">
        <v>5.2</v>
      </c>
      <c r="F169" s="3">
        <v>11.9</v>
      </c>
      <c r="G169" s="3">
        <f t="shared" si="13"/>
        <v>1318.2999999999995</v>
      </c>
      <c r="J169" s="3">
        <v>5.9</v>
      </c>
      <c r="K169" s="3">
        <f t="shared" si="14"/>
        <v>415.2999999999999</v>
      </c>
      <c r="L169" s="3">
        <v>0.9</v>
      </c>
      <c r="M169" s="3">
        <f t="shared" si="15"/>
        <v>148.89999999999992</v>
      </c>
      <c r="N169" s="3">
        <v>5</v>
      </c>
      <c r="O169" s="3">
        <v>197.4</v>
      </c>
      <c r="P169" s="3">
        <v>129</v>
      </c>
      <c r="Q169" s="3">
        <f t="shared" si="18"/>
        <v>0.99462809917355377</v>
      </c>
      <c r="R169" s="7">
        <f t="shared" ref="R169:R232" si="21">Q169*L169</f>
        <v>0.89516528925619843</v>
      </c>
      <c r="S169" s="7">
        <f t="shared" ref="S169:S232" si="22">J169-R169</f>
        <v>5.0048347107438023</v>
      </c>
      <c r="T169" s="7">
        <f t="shared" si="17"/>
        <v>197.4</v>
      </c>
      <c r="V169" s="3">
        <v>497.4</v>
      </c>
      <c r="X169" s="3">
        <f t="shared" si="16"/>
        <v>68394.799999999988</v>
      </c>
      <c r="AA169" s="11">
        <v>8.6392141382164898</v>
      </c>
    </row>
    <row r="170" spans="1:27" s="44" customFormat="1" ht="15.75" thickBot="1" x14ac:dyDescent="0.3">
      <c r="A170" s="72"/>
      <c r="B170" s="42"/>
      <c r="C170" s="65">
        <v>41286</v>
      </c>
      <c r="D170" s="44">
        <v>6.1</v>
      </c>
      <c r="E170" s="44">
        <v>5.8</v>
      </c>
      <c r="F170" s="44">
        <v>9.6999999999999993</v>
      </c>
      <c r="G170" s="44">
        <f t="shared" si="13"/>
        <v>1324.3999999999994</v>
      </c>
      <c r="J170" s="44">
        <v>0</v>
      </c>
      <c r="K170" s="44">
        <f t="shared" si="14"/>
        <v>415.2999999999999</v>
      </c>
      <c r="L170" s="44">
        <v>1</v>
      </c>
      <c r="M170" s="44">
        <f t="shared" si="15"/>
        <v>149.89999999999992</v>
      </c>
      <c r="N170" s="44">
        <v>-1</v>
      </c>
      <c r="O170" s="44">
        <f>O169+N170</f>
        <v>196.4</v>
      </c>
      <c r="P170" s="44">
        <v>130</v>
      </c>
      <c r="Q170" s="44">
        <f t="shared" si="18"/>
        <v>1</v>
      </c>
      <c r="R170" s="46">
        <f t="shared" si="21"/>
        <v>1</v>
      </c>
      <c r="S170" s="46">
        <f t="shared" si="22"/>
        <v>-1</v>
      </c>
      <c r="T170" s="46">
        <f t="shared" si="17"/>
        <v>196.4</v>
      </c>
      <c r="V170" s="44">
        <v>567.29999999999995</v>
      </c>
      <c r="W170" s="44">
        <f>(X170/100)/I54</f>
        <v>0.52070446994865582</v>
      </c>
      <c r="X170" s="44">
        <f t="shared" si="16"/>
        <v>68962.099999999991</v>
      </c>
      <c r="AA170" s="66">
        <v>8.6684454897849594</v>
      </c>
    </row>
    <row r="171" spans="1:27" s="3" customFormat="1" x14ac:dyDescent="0.25">
      <c r="A171" s="73" t="s">
        <v>18</v>
      </c>
      <c r="B171" s="12">
        <v>10</v>
      </c>
      <c r="C171" s="14">
        <v>41287</v>
      </c>
      <c r="D171" s="3">
        <v>3.2</v>
      </c>
      <c r="E171" s="3">
        <v>-0.1</v>
      </c>
      <c r="F171" s="3">
        <v>5.9</v>
      </c>
      <c r="G171" s="3">
        <f t="shared" ref="G171:G234" si="23">G170+D171</f>
        <v>1327.5999999999995</v>
      </c>
      <c r="H171" s="3">
        <f>D171</f>
        <v>3.2</v>
      </c>
      <c r="I171" s="15" t="s">
        <v>2</v>
      </c>
      <c r="J171" s="3">
        <v>0.3</v>
      </c>
      <c r="K171" s="3">
        <f t="shared" ref="K171:K234" si="24">J171+K170</f>
        <v>415.59999999999991</v>
      </c>
      <c r="L171" s="3">
        <v>0.1</v>
      </c>
      <c r="M171" s="3">
        <f t="shared" ref="M171:M234" si="25">M170+L171</f>
        <v>149.99999999999991</v>
      </c>
      <c r="N171" s="3">
        <v>0.19999999999999998</v>
      </c>
      <c r="O171" s="3">
        <f>O170+N171</f>
        <v>196.6</v>
      </c>
      <c r="P171" s="3">
        <v>131</v>
      </c>
      <c r="Q171" s="3">
        <v>1</v>
      </c>
      <c r="R171" s="7">
        <f t="shared" si="21"/>
        <v>0.1</v>
      </c>
      <c r="S171" s="7">
        <f t="shared" si="22"/>
        <v>0.19999999999999998</v>
      </c>
      <c r="T171" s="7">
        <f t="shared" si="17"/>
        <v>196.6</v>
      </c>
      <c r="U171" s="15" t="s">
        <v>3</v>
      </c>
      <c r="V171" s="3">
        <v>176.8</v>
      </c>
      <c r="X171" s="3">
        <f t="shared" ref="X171:X234" si="26">X170+V171</f>
        <v>69138.899999999994</v>
      </c>
      <c r="Y171" s="3">
        <f>V171</f>
        <v>176.8</v>
      </c>
      <c r="Z171" s="15" t="s">
        <v>4</v>
      </c>
      <c r="AA171" s="11">
        <v>8.6988900336550294</v>
      </c>
    </row>
    <row r="172" spans="1:27" s="3" customFormat="1" x14ac:dyDescent="0.25">
      <c r="A172" s="73"/>
      <c r="B172" s="12">
        <v>11</v>
      </c>
      <c r="C172" s="14">
        <v>41288</v>
      </c>
      <c r="D172" s="3">
        <v>4.0999999999999996</v>
      </c>
      <c r="E172" s="3">
        <v>1.7</v>
      </c>
      <c r="F172" s="3">
        <v>5.6</v>
      </c>
      <c r="G172" s="3">
        <f t="shared" si="23"/>
        <v>1331.6999999999994</v>
      </c>
      <c r="H172" s="3">
        <f>H171+D172</f>
        <v>7.3</v>
      </c>
      <c r="I172" s="3">
        <f>MIN(E171:E220)</f>
        <v>-3.3</v>
      </c>
      <c r="J172" s="3">
        <v>7</v>
      </c>
      <c r="K172" s="3">
        <f t="shared" si="24"/>
        <v>422.59999999999991</v>
      </c>
      <c r="L172" s="3">
        <v>0.3</v>
      </c>
      <c r="M172" s="3">
        <f t="shared" si="25"/>
        <v>150.29999999999993</v>
      </c>
      <c r="N172" s="3">
        <v>6.7</v>
      </c>
      <c r="O172" s="3">
        <v>197.4</v>
      </c>
      <c r="P172" s="3">
        <v>132</v>
      </c>
      <c r="Q172" s="3">
        <v>1</v>
      </c>
      <c r="R172" s="7">
        <f t="shared" si="21"/>
        <v>0.3</v>
      </c>
      <c r="S172" s="7">
        <f t="shared" si="22"/>
        <v>6.7</v>
      </c>
      <c r="T172" s="7">
        <f t="shared" si="17"/>
        <v>197.4</v>
      </c>
      <c r="U172" s="3">
        <v>26</v>
      </c>
      <c r="V172" s="3">
        <v>117.3</v>
      </c>
      <c r="X172" s="3">
        <f t="shared" si="26"/>
        <v>69256.2</v>
      </c>
      <c r="Y172" s="3">
        <f>Y171+V172</f>
        <v>294.10000000000002</v>
      </c>
      <c r="Z172" s="3">
        <v>22690.6</v>
      </c>
      <c r="AA172" s="11">
        <v>8.7305191275220508</v>
      </c>
    </row>
    <row r="173" spans="1:27" s="3" customFormat="1" x14ac:dyDescent="0.25">
      <c r="A173" s="73"/>
      <c r="B173" s="12">
        <v>12</v>
      </c>
      <c r="C173" s="14">
        <v>41289</v>
      </c>
      <c r="D173" s="3">
        <v>4</v>
      </c>
      <c r="E173" s="3">
        <v>2</v>
      </c>
      <c r="F173" s="3">
        <v>6.7</v>
      </c>
      <c r="G173" s="3">
        <f t="shared" si="23"/>
        <v>1335.6999999999994</v>
      </c>
      <c r="H173" s="3">
        <f t="shared" ref="H173:H236" si="27">H172+D173</f>
        <v>11.3</v>
      </c>
      <c r="I173" s="15" t="s">
        <v>5</v>
      </c>
      <c r="J173" s="3">
        <v>1.3</v>
      </c>
      <c r="K173" s="3">
        <f t="shared" si="24"/>
        <v>423.89999999999992</v>
      </c>
      <c r="L173" s="3">
        <v>0.6</v>
      </c>
      <c r="M173" s="3">
        <f t="shared" si="25"/>
        <v>150.89999999999992</v>
      </c>
      <c r="N173" s="3">
        <v>0.70000000000000007</v>
      </c>
      <c r="O173" s="3">
        <v>197.4</v>
      </c>
      <c r="P173" s="3">
        <v>133</v>
      </c>
      <c r="Q173" s="3">
        <v>1</v>
      </c>
      <c r="R173" s="7">
        <f t="shared" si="21"/>
        <v>0.6</v>
      </c>
      <c r="S173" s="7">
        <f t="shared" si="22"/>
        <v>0.70000000000000007</v>
      </c>
      <c r="T173" s="7">
        <f t="shared" si="17"/>
        <v>197.4</v>
      </c>
      <c r="U173" s="15" t="s">
        <v>6</v>
      </c>
      <c r="V173" s="3">
        <v>328.2</v>
      </c>
      <c r="X173" s="3">
        <f t="shared" si="26"/>
        <v>69584.399999999994</v>
      </c>
      <c r="Y173" s="3">
        <f t="shared" ref="Y173:Y236" si="28">Y172+V173</f>
        <v>622.29999999999995</v>
      </c>
      <c r="Z173" s="15" t="s">
        <v>7</v>
      </c>
      <c r="AA173" s="11">
        <v>8.7633036242218001</v>
      </c>
    </row>
    <row r="174" spans="1:27" s="3" customFormat="1" x14ac:dyDescent="0.25">
      <c r="A174" s="73"/>
      <c r="B174" s="12">
        <v>13</v>
      </c>
      <c r="C174" s="14">
        <v>41290</v>
      </c>
      <c r="D174" s="3">
        <v>1.4</v>
      </c>
      <c r="E174" s="3">
        <v>-0.7</v>
      </c>
      <c r="F174" s="3">
        <v>3.2</v>
      </c>
      <c r="G174" s="3">
        <f t="shared" si="23"/>
        <v>1337.0999999999995</v>
      </c>
      <c r="H174" s="3">
        <f t="shared" si="27"/>
        <v>12.700000000000001</v>
      </c>
      <c r="I174" s="3">
        <f>MAX(F171:F220)</f>
        <v>13.5</v>
      </c>
      <c r="J174" s="3">
        <v>0.1</v>
      </c>
      <c r="K174" s="3">
        <f t="shared" si="24"/>
        <v>423.99999999999994</v>
      </c>
      <c r="L174" s="3">
        <v>0.5</v>
      </c>
      <c r="M174" s="3">
        <f t="shared" si="25"/>
        <v>151.39999999999992</v>
      </c>
      <c r="N174" s="3">
        <v>-0.4</v>
      </c>
      <c r="O174" s="3">
        <f>O173+N174</f>
        <v>197</v>
      </c>
      <c r="P174" s="3">
        <v>134</v>
      </c>
      <c r="Q174" s="3">
        <v>1</v>
      </c>
      <c r="R174" s="7">
        <f t="shared" si="21"/>
        <v>0.5</v>
      </c>
      <c r="S174" s="7">
        <f t="shared" si="22"/>
        <v>-0.4</v>
      </c>
      <c r="T174" s="7">
        <f t="shared" ref="T174:T237" si="29">MIN(197.4,T173+S174)</f>
        <v>197</v>
      </c>
      <c r="U174" s="3">
        <v>0</v>
      </c>
      <c r="V174" s="3">
        <v>570.9</v>
      </c>
      <c r="X174" s="3">
        <f t="shared" si="26"/>
        <v>70155.299999999988</v>
      </c>
      <c r="Y174" s="3">
        <f t="shared" si="28"/>
        <v>1193.1999999999998</v>
      </c>
      <c r="Z174" s="3">
        <f>(Z172/100)/I184</f>
        <v>1.0248690153568201</v>
      </c>
      <c r="AA174" s="11">
        <v>8.7972139577765898</v>
      </c>
    </row>
    <row r="175" spans="1:27" s="3" customFormat="1" x14ac:dyDescent="0.25">
      <c r="A175" s="73"/>
      <c r="B175" s="12">
        <v>14</v>
      </c>
      <c r="C175" s="14">
        <v>41291</v>
      </c>
      <c r="D175" s="3">
        <v>-0.2</v>
      </c>
      <c r="E175" s="3">
        <v>-3</v>
      </c>
      <c r="F175" s="3">
        <v>3.5</v>
      </c>
      <c r="G175" s="3">
        <v>1337.1</v>
      </c>
      <c r="H175" s="3">
        <v>12.7</v>
      </c>
      <c r="I175" s="15" t="s">
        <v>8</v>
      </c>
      <c r="J175" s="3">
        <v>0</v>
      </c>
      <c r="K175" s="3">
        <f t="shared" si="24"/>
        <v>423.99999999999994</v>
      </c>
      <c r="L175" s="3">
        <v>0.6</v>
      </c>
      <c r="M175" s="3">
        <f t="shared" si="25"/>
        <v>151.99999999999991</v>
      </c>
      <c r="N175" s="3">
        <v>-0.6</v>
      </c>
      <c r="O175" s="3">
        <f>O174+N175</f>
        <v>196.4</v>
      </c>
      <c r="P175" s="3">
        <v>135</v>
      </c>
      <c r="Q175" s="3">
        <v>1</v>
      </c>
      <c r="R175" s="7">
        <f t="shared" si="21"/>
        <v>0.6</v>
      </c>
      <c r="S175" s="7">
        <f t="shared" si="22"/>
        <v>-0.6</v>
      </c>
      <c r="T175" s="7">
        <f t="shared" si="29"/>
        <v>196.4</v>
      </c>
      <c r="U175" s="15" t="s">
        <v>9</v>
      </c>
      <c r="V175" s="3">
        <v>354</v>
      </c>
      <c r="X175" s="3">
        <f t="shared" si="26"/>
        <v>70509.299999999988</v>
      </c>
      <c r="Y175" s="3">
        <f t="shared" si="28"/>
        <v>1547.1999999999998</v>
      </c>
      <c r="Z175" s="15" t="s">
        <v>10</v>
      </c>
      <c r="AA175" s="11">
        <v>8.8322202273963804</v>
      </c>
    </row>
    <row r="176" spans="1:27" s="3" customFormat="1" x14ac:dyDescent="0.25">
      <c r="A176" s="73"/>
      <c r="B176" s="12">
        <v>15</v>
      </c>
      <c r="C176" s="14">
        <v>41292</v>
      </c>
      <c r="D176" s="3">
        <v>-1.7</v>
      </c>
      <c r="E176" s="3">
        <v>-3.3</v>
      </c>
      <c r="F176" s="3">
        <v>-0.2</v>
      </c>
      <c r="G176" s="3">
        <v>1337.1</v>
      </c>
      <c r="H176" s="3">
        <v>12.7</v>
      </c>
      <c r="I176" s="7">
        <f>AVERAGE(D171:D220)</f>
        <v>4.3760000000000012</v>
      </c>
      <c r="J176" s="3">
        <v>0</v>
      </c>
      <c r="K176" s="3">
        <f t="shared" si="24"/>
        <v>423.99999999999994</v>
      </c>
      <c r="L176" s="3">
        <v>0.3</v>
      </c>
      <c r="M176" s="3">
        <f t="shared" si="25"/>
        <v>152.29999999999993</v>
      </c>
      <c r="N176" s="3">
        <v>-0.3</v>
      </c>
      <c r="O176" s="3">
        <f>O175+N176</f>
        <v>196.1</v>
      </c>
      <c r="P176" s="3">
        <v>136</v>
      </c>
      <c r="Q176" s="3">
        <v>1</v>
      </c>
      <c r="R176" s="7">
        <f t="shared" si="21"/>
        <v>0.3</v>
      </c>
      <c r="S176" s="7">
        <f t="shared" si="22"/>
        <v>-0.3</v>
      </c>
      <c r="T176" s="7">
        <f t="shared" si="29"/>
        <v>196.1</v>
      </c>
      <c r="U176" s="3">
        <v>0</v>
      </c>
      <c r="V176" s="3">
        <v>104.1</v>
      </c>
      <c r="X176" s="3">
        <f t="shared" si="26"/>
        <v>70613.399999999994</v>
      </c>
      <c r="Y176" s="3">
        <f t="shared" si="28"/>
        <v>1651.2999999999997</v>
      </c>
      <c r="Z176" s="3">
        <v>46</v>
      </c>
      <c r="AA176" s="11">
        <v>8.8682922790623309</v>
      </c>
    </row>
    <row r="177" spans="1:27" s="3" customFormat="1" x14ac:dyDescent="0.25">
      <c r="A177" s="73"/>
      <c r="B177" s="12">
        <v>16</v>
      </c>
      <c r="C177" s="14">
        <v>41293</v>
      </c>
      <c r="D177" s="3">
        <v>0.4</v>
      </c>
      <c r="E177" s="3">
        <v>-1</v>
      </c>
      <c r="F177" s="3">
        <v>1.8</v>
      </c>
      <c r="G177" s="3">
        <f t="shared" si="23"/>
        <v>1337.5</v>
      </c>
      <c r="H177" s="3">
        <f t="shared" si="27"/>
        <v>13.1</v>
      </c>
      <c r="I177" s="15" t="s">
        <v>11</v>
      </c>
      <c r="J177" s="3">
        <v>0.5</v>
      </c>
      <c r="K177" s="3">
        <f t="shared" si="24"/>
        <v>424.49999999999994</v>
      </c>
      <c r="L177" s="3">
        <v>0.3</v>
      </c>
      <c r="M177" s="3">
        <f t="shared" si="25"/>
        <v>152.59999999999994</v>
      </c>
      <c r="N177" s="3">
        <v>0.2</v>
      </c>
      <c r="O177" s="3">
        <f>O176+N177</f>
        <v>196.29999999999998</v>
      </c>
      <c r="P177" s="3">
        <v>137</v>
      </c>
      <c r="Q177" s="3">
        <v>1</v>
      </c>
      <c r="R177" s="7">
        <f t="shared" si="21"/>
        <v>0.3</v>
      </c>
      <c r="S177" s="7">
        <f t="shared" si="22"/>
        <v>0.2</v>
      </c>
      <c r="T177" s="7">
        <f t="shared" si="29"/>
        <v>196.29999999999998</v>
      </c>
      <c r="U177" s="15" t="s">
        <v>12</v>
      </c>
      <c r="V177" s="3">
        <v>107.5</v>
      </c>
      <c r="X177" s="3">
        <f t="shared" si="26"/>
        <v>70720.899999999994</v>
      </c>
      <c r="Y177" s="3">
        <f t="shared" si="28"/>
        <v>1758.7999999999997</v>
      </c>
      <c r="AA177" s="11">
        <v>8.9053997843622401</v>
      </c>
    </row>
    <row r="178" spans="1:27" s="3" customFormat="1" x14ac:dyDescent="0.25">
      <c r="A178" s="73"/>
      <c r="B178" s="12">
        <v>17</v>
      </c>
      <c r="C178" s="14">
        <v>41294</v>
      </c>
      <c r="D178" s="3">
        <v>1.3</v>
      </c>
      <c r="E178" s="3">
        <v>0.5</v>
      </c>
      <c r="F178" s="3">
        <v>2.2000000000000002</v>
      </c>
      <c r="G178" s="3">
        <f t="shared" si="23"/>
        <v>1338.8</v>
      </c>
      <c r="H178" s="3">
        <f t="shared" si="27"/>
        <v>14.4</v>
      </c>
      <c r="I178" s="3">
        <v>11</v>
      </c>
      <c r="J178" s="3">
        <v>1.9</v>
      </c>
      <c r="K178" s="3">
        <f t="shared" si="24"/>
        <v>426.39999999999992</v>
      </c>
      <c r="L178" s="3">
        <v>0.4</v>
      </c>
      <c r="M178" s="3">
        <f t="shared" si="25"/>
        <v>152.99999999999994</v>
      </c>
      <c r="N178" s="3">
        <v>1.5</v>
      </c>
      <c r="O178" s="3">
        <v>197.4</v>
      </c>
      <c r="P178" s="3">
        <v>138</v>
      </c>
      <c r="Q178" s="3">
        <v>1</v>
      </c>
      <c r="R178" s="7">
        <f t="shared" si="21"/>
        <v>0.4</v>
      </c>
      <c r="S178" s="7">
        <f t="shared" si="22"/>
        <v>1.5</v>
      </c>
      <c r="T178" s="7">
        <f t="shared" si="29"/>
        <v>197.4</v>
      </c>
      <c r="U178" s="7">
        <f>MIN(T171:T220)</f>
        <v>180.9</v>
      </c>
      <c r="V178" s="3">
        <v>415.2</v>
      </c>
      <c r="X178" s="3">
        <f t="shared" si="26"/>
        <v>71136.099999999991</v>
      </c>
      <c r="Y178" s="3">
        <f t="shared" si="28"/>
        <v>2173.9999999999995</v>
      </c>
      <c r="AA178" s="11">
        <v>8.9435123162883503</v>
      </c>
    </row>
    <row r="179" spans="1:27" s="3" customFormat="1" x14ac:dyDescent="0.25">
      <c r="A179" s="73"/>
      <c r="B179" s="12">
        <v>18</v>
      </c>
      <c r="C179" s="14">
        <v>41295</v>
      </c>
      <c r="D179" s="3">
        <v>2.2999999999999998</v>
      </c>
      <c r="E179" s="3">
        <v>0.4</v>
      </c>
      <c r="F179" s="3">
        <v>4</v>
      </c>
      <c r="G179" s="3">
        <f t="shared" si="23"/>
        <v>1341.1</v>
      </c>
      <c r="H179" s="3">
        <f t="shared" si="27"/>
        <v>16.7</v>
      </c>
      <c r="I179" s="15" t="s">
        <v>13</v>
      </c>
      <c r="J179" s="3">
        <v>3.3</v>
      </c>
      <c r="K179" s="3">
        <f t="shared" si="24"/>
        <v>429.69999999999993</v>
      </c>
      <c r="L179" s="3">
        <v>0.3</v>
      </c>
      <c r="M179" s="3">
        <f t="shared" si="25"/>
        <v>153.29999999999995</v>
      </c>
      <c r="N179" s="3">
        <v>3</v>
      </c>
      <c r="O179" s="3">
        <v>197.4</v>
      </c>
      <c r="P179" s="3">
        <v>139</v>
      </c>
      <c r="Q179" s="3">
        <v>1</v>
      </c>
      <c r="R179" s="7">
        <f t="shared" si="21"/>
        <v>0.3</v>
      </c>
      <c r="S179" s="7">
        <f t="shared" si="22"/>
        <v>3</v>
      </c>
      <c r="T179" s="7">
        <f t="shared" si="29"/>
        <v>197.4</v>
      </c>
      <c r="U179" s="15" t="s">
        <v>14</v>
      </c>
      <c r="V179" s="3">
        <v>106.1</v>
      </c>
      <c r="X179" s="3">
        <f t="shared" si="26"/>
        <v>71242.2</v>
      </c>
      <c r="Y179" s="3">
        <f t="shared" si="28"/>
        <v>2280.0999999999995</v>
      </c>
      <c r="AA179" s="11">
        <v>8.9825994217501801</v>
      </c>
    </row>
    <row r="180" spans="1:27" s="3" customFormat="1" x14ac:dyDescent="0.25">
      <c r="A180" s="73"/>
      <c r="B180" s="8"/>
      <c r="C180" s="14">
        <v>41296</v>
      </c>
      <c r="D180" s="3">
        <v>4.4000000000000004</v>
      </c>
      <c r="E180" s="3">
        <v>3</v>
      </c>
      <c r="F180" s="3">
        <v>7.3</v>
      </c>
      <c r="G180" s="3">
        <f t="shared" si="23"/>
        <v>1345.5</v>
      </c>
      <c r="H180" s="3">
        <f t="shared" si="27"/>
        <v>21.1</v>
      </c>
      <c r="I180" s="3">
        <v>0</v>
      </c>
      <c r="J180" s="3">
        <v>3.7</v>
      </c>
      <c r="K180" s="3">
        <f t="shared" si="24"/>
        <v>433.39999999999992</v>
      </c>
      <c r="L180" s="3">
        <v>0.5</v>
      </c>
      <c r="M180" s="3">
        <f t="shared" si="25"/>
        <v>153.79999999999995</v>
      </c>
      <c r="N180" s="3">
        <v>3.2</v>
      </c>
      <c r="O180" s="3">
        <v>197.4</v>
      </c>
      <c r="P180" s="3">
        <v>140</v>
      </c>
      <c r="Q180" s="3">
        <v>1</v>
      </c>
      <c r="R180" s="7">
        <f t="shared" si="21"/>
        <v>0.5</v>
      </c>
      <c r="S180" s="7">
        <f t="shared" si="22"/>
        <v>3.2</v>
      </c>
      <c r="T180" s="7">
        <f t="shared" si="29"/>
        <v>197.4</v>
      </c>
      <c r="U180" s="7">
        <f>MAX(T171:T220)</f>
        <v>197.4</v>
      </c>
      <c r="V180" s="3">
        <v>133.4</v>
      </c>
      <c r="X180" s="3">
        <f t="shared" si="26"/>
        <v>71375.599999999991</v>
      </c>
      <c r="Y180" s="3">
        <f t="shared" si="28"/>
        <v>2413.4999999999995</v>
      </c>
      <c r="AA180" s="3">
        <v>9.02263069059555</v>
      </c>
    </row>
    <row r="181" spans="1:27" s="3" customFormat="1" x14ac:dyDescent="0.25">
      <c r="A181" s="73"/>
      <c r="B181" s="8"/>
      <c r="C181" s="14">
        <v>41297</v>
      </c>
      <c r="D181" s="3">
        <v>2.6</v>
      </c>
      <c r="E181" s="3">
        <v>0.4</v>
      </c>
      <c r="F181" s="3">
        <v>5.7</v>
      </c>
      <c r="G181" s="3">
        <f t="shared" si="23"/>
        <v>1348.1</v>
      </c>
      <c r="H181" s="3">
        <f t="shared" si="27"/>
        <v>23.700000000000003</v>
      </c>
      <c r="I181" s="15" t="s">
        <v>15</v>
      </c>
      <c r="J181" s="3">
        <v>0.3</v>
      </c>
      <c r="K181" s="3">
        <f t="shared" si="24"/>
        <v>433.69999999999993</v>
      </c>
      <c r="L181" s="3">
        <v>0.5</v>
      </c>
      <c r="M181" s="3">
        <f t="shared" si="25"/>
        <v>154.29999999999995</v>
      </c>
      <c r="N181" s="3">
        <v>-0.2</v>
      </c>
      <c r="O181" s="3">
        <f>O180+N181</f>
        <v>197.20000000000002</v>
      </c>
      <c r="P181" s="3">
        <v>141</v>
      </c>
      <c r="Q181" s="3">
        <v>1</v>
      </c>
      <c r="R181" s="7">
        <f t="shared" si="21"/>
        <v>0.5</v>
      </c>
      <c r="S181" s="7">
        <f t="shared" si="22"/>
        <v>-0.2</v>
      </c>
      <c r="T181" s="7">
        <f t="shared" si="29"/>
        <v>197.20000000000002</v>
      </c>
      <c r="U181" s="15" t="s">
        <v>16</v>
      </c>
      <c r="V181" s="3">
        <v>257.60000000000002</v>
      </c>
      <c r="X181" s="3">
        <f t="shared" si="26"/>
        <v>71633.2</v>
      </c>
      <c r="Y181" s="3">
        <f t="shared" si="28"/>
        <v>2671.0999999999995</v>
      </c>
      <c r="AA181" s="3">
        <v>9.0635758209727104</v>
      </c>
    </row>
    <row r="182" spans="1:27" s="3" customFormat="1" x14ac:dyDescent="0.25">
      <c r="A182" s="73"/>
      <c r="B182" s="8"/>
      <c r="C182" s="14">
        <v>41298</v>
      </c>
      <c r="D182" s="3">
        <v>3.5</v>
      </c>
      <c r="E182" s="3">
        <v>1.8</v>
      </c>
      <c r="F182" s="3">
        <v>6.3</v>
      </c>
      <c r="G182" s="3">
        <f t="shared" si="23"/>
        <v>1351.6</v>
      </c>
      <c r="H182" s="3">
        <f t="shared" si="27"/>
        <v>27.200000000000003</v>
      </c>
      <c r="I182" s="3">
        <v>32</v>
      </c>
      <c r="J182" s="3">
        <v>0.4</v>
      </c>
      <c r="K182" s="3">
        <f t="shared" si="24"/>
        <v>434.09999999999991</v>
      </c>
      <c r="L182" s="3">
        <v>0.5</v>
      </c>
      <c r="M182" s="3">
        <f t="shared" si="25"/>
        <v>154.79999999999995</v>
      </c>
      <c r="N182" s="3">
        <v>-9.9999999999999978E-2</v>
      </c>
      <c r="O182" s="3">
        <f>O181+N182</f>
        <v>197.10000000000002</v>
      </c>
      <c r="P182" s="3">
        <v>142</v>
      </c>
      <c r="Q182" s="3">
        <v>1</v>
      </c>
      <c r="R182" s="7">
        <f t="shared" si="21"/>
        <v>0.5</v>
      </c>
      <c r="S182" s="7">
        <f t="shared" si="22"/>
        <v>-9.9999999999999978E-2</v>
      </c>
      <c r="T182" s="7">
        <f t="shared" si="29"/>
        <v>197.10000000000002</v>
      </c>
      <c r="U182" s="20">
        <f>AVERAGE(T171:T220)</f>
        <v>194.01999999999995</v>
      </c>
      <c r="V182" s="3">
        <v>229.5</v>
      </c>
      <c r="X182" s="3">
        <f t="shared" si="26"/>
        <v>71862.7</v>
      </c>
      <c r="Y182" s="3">
        <f t="shared" si="28"/>
        <v>2900.5999999999995</v>
      </c>
      <c r="AA182" s="3">
        <v>9.1054046809047993</v>
      </c>
    </row>
    <row r="183" spans="1:27" s="3" customFormat="1" x14ac:dyDescent="0.25">
      <c r="A183" s="73"/>
      <c r="B183" s="8"/>
      <c r="C183" s="14">
        <v>41299</v>
      </c>
      <c r="D183" s="3">
        <v>1</v>
      </c>
      <c r="E183" s="3">
        <v>-2.2000000000000002</v>
      </c>
      <c r="F183" s="3">
        <v>6.9</v>
      </c>
      <c r="G183" s="3">
        <f t="shared" si="23"/>
        <v>1352.6</v>
      </c>
      <c r="H183" s="3">
        <f t="shared" si="27"/>
        <v>28.200000000000003</v>
      </c>
      <c r="I183" s="15" t="s">
        <v>17</v>
      </c>
      <c r="J183" s="3">
        <v>9</v>
      </c>
      <c r="K183" s="3">
        <f t="shared" si="24"/>
        <v>443.09999999999991</v>
      </c>
      <c r="L183" s="3">
        <v>0.7</v>
      </c>
      <c r="M183" s="3">
        <f t="shared" si="25"/>
        <v>155.49999999999994</v>
      </c>
      <c r="N183" s="3">
        <v>8.3000000000000007</v>
      </c>
      <c r="O183" s="3">
        <v>197.4</v>
      </c>
      <c r="P183" s="3">
        <v>143</v>
      </c>
      <c r="Q183" s="3">
        <v>1</v>
      </c>
      <c r="R183" s="7">
        <f t="shared" si="21"/>
        <v>0.7</v>
      </c>
      <c r="S183" s="7">
        <f t="shared" si="22"/>
        <v>8.3000000000000007</v>
      </c>
      <c r="T183" s="7">
        <f t="shared" si="29"/>
        <v>197.4</v>
      </c>
      <c r="U183" s="15" t="s">
        <v>19</v>
      </c>
      <c r="V183" s="3">
        <v>239.7</v>
      </c>
      <c r="X183" s="3">
        <f t="shared" si="26"/>
        <v>72102.399999999994</v>
      </c>
      <c r="Y183" s="3">
        <f t="shared" si="28"/>
        <v>3140.2999999999993</v>
      </c>
      <c r="AA183" s="3">
        <v>9.1480873659837592</v>
      </c>
    </row>
    <row r="184" spans="1:27" s="3" customFormat="1" x14ac:dyDescent="0.25">
      <c r="A184" s="73"/>
      <c r="B184" s="8">
        <v>8</v>
      </c>
      <c r="C184" s="14">
        <v>41300</v>
      </c>
      <c r="D184" s="3">
        <v>7.6</v>
      </c>
      <c r="E184" s="3">
        <v>1.2</v>
      </c>
      <c r="F184" s="3">
        <v>10</v>
      </c>
      <c r="G184" s="3">
        <f t="shared" si="23"/>
        <v>1360.1999999999998</v>
      </c>
      <c r="H184" s="3">
        <f t="shared" si="27"/>
        <v>35.800000000000004</v>
      </c>
      <c r="I184" s="3">
        <v>221.4</v>
      </c>
      <c r="J184" s="3">
        <v>4.9000000000000004</v>
      </c>
      <c r="K184" s="3">
        <f t="shared" si="24"/>
        <v>447.99999999999989</v>
      </c>
      <c r="L184" s="3">
        <v>0.4</v>
      </c>
      <c r="M184" s="3">
        <f t="shared" si="25"/>
        <v>155.89999999999995</v>
      </c>
      <c r="N184" s="3">
        <v>4.5</v>
      </c>
      <c r="O184" s="3">
        <v>197.4</v>
      </c>
      <c r="P184" s="3">
        <v>144</v>
      </c>
      <c r="Q184" s="3">
        <v>1</v>
      </c>
      <c r="R184" s="7">
        <f t="shared" si="21"/>
        <v>0.4</v>
      </c>
      <c r="S184" s="7">
        <f t="shared" si="22"/>
        <v>4.5</v>
      </c>
      <c r="T184" s="7">
        <f t="shared" si="29"/>
        <v>197.4</v>
      </c>
      <c r="U184" s="7">
        <v>18</v>
      </c>
      <c r="V184" s="3">
        <v>638.20000000000005</v>
      </c>
      <c r="X184" s="3">
        <f t="shared" si="26"/>
        <v>72740.599999999991</v>
      </c>
      <c r="Y184" s="3">
        <f t="shared" si="28"/>
        <v>3778.4999999999991</v>
      </c>
      <c r="AA184" s="3">
        <v>9.1915942531253005</v>
      </c>
    </row>
    <row r="185" spans="1:27" s="3" customFormat="1" x14ac:dyDescent="0.25">
      <c r="A185" s="73"/>
      <c r="B185" s="8"/>
      <c r="C185" s="14">
        <v>41301</v>
      </c>
      <c r="D185" s="3">
        <v>9.1999999999999993</v>
      </c>
      <c r="E185" s="3">
        <v>7.6</v>
      </c>
      <c r="F185" s="3">
        <v>11.7</v>
      </c>
      <c r="G185" s="3">
        <f t="shared" si="23"/>
        <v>1369.3999999999999</v>
      </c>
      <c r="H185" s="3">
        <f t="shared" si="27"/>
        <v>45</v>
      </c>
      <c r="J185" s="3">
        <v>3.8</v>
      </c>
      <c r="K185" s="3">
        <f t="shared" si="24"/>
        <v>451.7999999999999</v>
      </c>
      <c r="L185" s="3">
        <v>1.3</v>
      </c>
      <c r="M185" s="3">
        <f t="shared" si="25"/>
        <v>157.19999999999996</v>
      </c>
      <c r="N185" s="3">
        <v>2.5</v>
      </c>
      <c r="O185" s="3">
        <v>197.4</v>
      </c>
      <c r="P185" s="3">
        <v>145</v>
      </c>
      <c r="Q185" s="3">
        <v>1</v>
      </c>
      <c r="R185" s="7">
        <f t="shared" si="21"/>
        <v>1.3</v>
      </c>
      <c r="S185" s="7">
        <f t="shared" si="22"/>
        <v>2.5</v>
      </c>
      <c r="T185" s="7">
        <f t="shared" si="29"/>
        <v>197.4</v>
      </c>
      <c r="V185" s="3">
        <v>286.5</v>
      </c>
      <c r="X185" s="3">
        <f t="shared" si="26"/>
        <v>73027.099999999991</v>
      </c>
      <c r="Y185" s="3">
        <f t="shared" si="28"/>
        <v>4064.9999999999991</v>
      </c>
      <c r="AA185" s="3">
        <v>9.2358960503577805</v>
      </c>
    </row>
    <row r="186" spans="1:27" s="3" customFormat="1" x14ac:dyDescent="0.25">
      <c r="A186" s="73"/>
      <c r="B186" s="8"/>
      <c r="C186" s="14">
        <v>41302</v>
      </c>
      <c r="D186" s="3">
        <v>8.3000000000000007</v>
      </c>
      <c r="E186" s="3">
        <v>3.8</v>
      </c>
      <c r="F186" s="3">
        <v>11.3</v>
      </c>
      <c r="G186" s="3">
        <f t="shared" si="23"/>
        <v>1377.6999999999998</v>
      </c>
      <c r="H186" s="3">
        <f t="shared" si="27"/>
        <v>53.3</v>
      </c>
      <c r="J186" s="3">
        <v>2.7</v>
      </c>
      <c r="K186" s="3">
        <f t="shared" si="24"/>
        <v>454.49999999999989</v>
      </c>
      <c r="L186" s="3">
        <v>0.6</v>
      </c>
      <c r="M186" s="3">
        <f t="shared" si="25"/>
        <v>157.79999999999995</v>
      </c>
      <c r="N186" s="3">
        <v>2.1</v>
      </c>
      <c r="O186" s="3">
        <v>197.4</v>
      </c>
      <c r="P186" s="3">
        <v>146</v>
      </c>
      <c r="Q186" s="3">
        <v>1</v>
      </c>
      <c r="R186" s="7">
        <f t="shared" si="21"/>
        <v>0.6</v>
      </c>
      <c r="S186" s="7">
        <f t="shared" si="22"/>
        <v>2.1</v>
      </c>
      <c r="T186" s="7">
        <f t="shared" si="29"/>
        <v>197.4</v>
      </c>
      <c r="U186" s="7">
        <f>(U182*100)/197.4</f>
        <v>98.287740628166134</v>
      </c>
      <c r="V186" s="3">
        <v>622.1</v>
      </c>
      <c r="X186" s="3">
        <f t="shared" si="26"/>
        <v>73649.2</v>
      </c>
      <c r="Y186" s="3">
        <f t="shared" si="28"/>
        <v>4687.0999999999995</v>
      </c>
      <c r="AA186" s="3">
        <v>9.2809638426474006</v>
      </c>
    </row>
    <row r="187" spans="1:27" s="3" customFormat="1" x14ac:dyDescent="0.25">
      <c r="A187" s="73"/>
      <c r="B187" s="8"/>
      <c r="C187" s="14">
        <v>41303</v>
      </c>
      <c r="D187" s="3">
        <v>12.4</v>
      </c>
      <c r="E187" s="3">
        <v>10.9</v>
      </c>
      <c r="F187" s="3">
        <v>13.5</v>
      </c>
      <c r="G187" s="3">
        <f t="shared" si="23"/>
        <v>1390.1</v>
      </c>
      <c r="H187" s="3">
        <f t="shared" si="27"/>
        <v>65.7</v>
      </c>
      <c r="J187" s="3">
        <v>2.7</v>
      </c>
      <c r="K187" s="3">
        <f t="shared" si="24"/>
        <v>457.19999999999987</v>
      </c>
      <c r="L187" s="3">
        <v>0.5</v>
      </c>
      <c r="M187" s="3">
        <f t="shared" si="25"/>
        <v>158.29999999999995</v>
      </c>
      <c r="N187" s="3">
        <v>2.2000000000000002</v>
      </c>
      <c r="O187" s="3">
        <v>197.4</v>
      </c>
      <c r="P187" s="3">
        <v>147</v>
      </c>
      <c r="Q187" s="3">
        <v>1</v>
      </c>
      <c r="R187" s="7">
        <f t="shared" si="21"/>
        <v>0.5</v>
      </c>
      <c r="S187" s="7">
        <f t="shared" si="22"/>
        <v>2.2000000000000002</v>
      </c>
      <c r="T187" s="7">
        <f t="shared" si="29"/>
        <v>197.4</v>
      </c>
      <c r="V187" s="3">
        <v>141.4</v>
      </c>
      <c r="X187" s="3">
        <f t="shared" si="26"/>
        <v>73790.599999999991</v>
      </c>
      <c r="Y187" s="3">
        <f t="shared" si="28"/>
        <v>4828.4999999999991</v>
      </c>
      <c r="AA187" s="3">
        <v>9.3267691337885896</v>
      </c>
    </row>
    <row r="188" spans="1:27" s="3" customFormat="1" x14ac:dyDescent="0.25">
      <c r="A188" s="73"/>
      <c r="B188" s="8"/>
      <c r="C188" s="14">
        <v>41304</v>
      </c>
      <c r="D188" s="3">
        <v>11.2</v>
      </c>
      <c r="E188" s="3">
        <v>9.3000000000000007</v>
      </c>
      <c r="F188" s="3">
        <v>13.3</v>
      </c>
      <c r="G188" s="3">
        <f t="shared" si="23"/>
        <v>1401.3</v>
      </c>
      <c r="H188" s="3">
        <f t="shared" si="27"/>
        <v>76.900000000000006</v>
      </c>
      <c r="J188" s="3">
        <v>1.1000000000000001</v>
      </c>
      <c r="K188" s="3">
        <f t="shared" si="24"/>
        <v>458.2999999999999</v>
      </c>
      <c r="L188" s="3">
        <v>0.9</v>
      </c>
      <c r="M188" s="3">
        <f t="shared" si="25"/>
        <v>159.19999999999996</v>
      </c>
      <c r="N188" s="3">
        <v>0.20000000000000007</v>
      </c>
      <c r="O188" s="3">
        <v>197.4</v>
      </c>
      <c r="P188" s="3">
        <v>148</v>
      </c>
      <c r="Q188" s="3">
        <v>1</v>
      </c>
      <c r="R188" s="7">
        <f t="shared" si="21"/>
        <v>0.9</v>
      </c>
      <c r="S188" s="7">
        <f t="shared" si="22"/>
        <v>0.20000000000000007</v>
      </c>
      <c r="T188" s="7">
        <f t="shared" si="29"/>
        <v>197.4</v>
      </c>
      <c r="V188" s="3">
        <v>379.5</v>
      </c>
      <c r="X188" s="3">
        <f t="shared" si="26"/>
        <v>74170.099999999991</v>
      </c>
      <c r="Y188" s="3">
        <f t="shared" si="28"/>
        <v>5207.9999999999991</v>
      </c>
      <c r="AA188" s="3">
        <v>9.37328388441213</v>
      </c>
    </row>
    <row r="189" spans="1:27" s="3" customFormat="1" x14ac:dyDescent="0.25">
      <c r="A189" s="73"/>
      <c r="B189" s="8"/>
      <c r="C189" s="14">
        <v>41305</v>
      </c>
      <c r="D189" s="3">
        <v>10</v>
      </c>
      <c r="E189" s="3">
        <v>5.7</v>
      </c>
      <c r="F189" s="3">
        <v>13.2</v>
      </c>
      <c r="G189" s="3">
        <f t="shared" si="23"/>
        <v>1411.3</v>
      </c>
      <c r="H189" s="3">
        <f t="shared" si="27"/>
        <v>86.9</v>
      </c>
      <c r="J189" s="3">
        <v>5.9</v>
      </c>
      <c r="K189" s="3">
        <f t="shared" si="24"/>
        <v>464.19999999999987</v>
      </c>
      <c r="L189" s="3">
        <v>0.6</v>
      </c>
      <c r="M189" s="3">
        <f t="shared" si="25"/>
        <v>159.79999999999995</v>
      </c>
      <c r="N189" s="3">
        <v>5.3000000000000007</v>
      </c>
      <c r="O189" s="3">
        <v>197.4</v>
      </c>
      <c r="P189" s="3">
        <v>149</v>
      </c>
      <c r="Q189" s="3">
        <v>1</v>
      </c>
      <c r="R189" s="7">
        <f t="shared" si="21"/>
        <v>0.6</v>
      </c>
      <c r="S189" s="7">
        <f t="shared" si="22"/>
        <v>5.3000000000000007</v>
      </c>
      <c r="T189" s="7">
        <f t="shared" si="29"/>
        <v>197.4</v>
      </c>
      <c r="V189" s="3">
        <v>339.8</v>
      </c>
      <c r="X189" s="3">
        <f t="shared" si="26"/>
        <v>74509.899999999994</v>
      </c>
      <c r="Y189" s="3">
        <f t="shared" si="28"/>
        <v>5547.7999999999993</v>
      </c>
      <c r="AA189" s="3">
        <v>9.4204805461851908</v>
      </c>
    </row>
    <row r="190" spans="1:27" s="3" customFormat="1" x14ac:dyDescent="0.25">
      <c r="A190" s="73"/>
      <c r="B190" s="8"/>
      <c r="C190" s="14">
        <v>41306</v>
      </c>
      <c r="D190" s="3">
        <v>8.4</v>
      </c>
      <c r="E190" s="3">
        <v>7.1</v>
      </c>
      <c r="F190" s="3">
        <v>10.9</v>
      </c>
      <c r="G190" s="3">
        <f t="shared" si="23"/>
        <v>1419.7</v>
      </c>
      <c r="H190" s="3">
        <f t="shared" si="27"/>
        <v>95.300000000000011</v>
      </c>
      <c r="J190" s="3">
        <v>8.6999999999999993</v>
      </c>
      <c r="K190" s="3">
        <f t="shared" si="24"/>
        <v>472.89999999999986</v>
      </c>
      <c r="L190" s="3">
        <v>0.5</v>
      </c>
      <c r="M190" s="3">
        <f t="shared" si="25"/>
        <v>160.29999999999995</v>
      </c>
      <c r="N190" s="3">
        <v>8.1999999999999993</v>
      </c>
      <c r="O190" s="3">
        <v>197.4</v>
      </c>
      <c r="P190" s="3">
        <v>150</v>
      </c>
      <c r="Q190" s="3">
        <v>1</v>
      </c>
      <c r="R190" s="7">
        <f t="shared" si="21"/>
        <v>0.5</v>
      </c>
      <c r="S190" s="7">
        <f t="shared" si="22"/>
        <v>8.1999999999999993</v>
      </c>
      <c r="T190" s="7">
        <f t="shared" si="29"/>
        <v>197.4</v>
      </c>
      <c r="V190" s="3">
        <v>114.2</v>
      </c>
      <c r="X190" s="3">
        <f t="shared" si="26"/>
        <v>74624.099999999991</v>
      </c>
      <c r="Y190" s="3">
        <f t="shared" si="28"/>
        <v>5661.9999999999991</v>
      </c>
      <c r="AA190" s="3">
        <v>9.4683320922958405</v>
      </c>
    </row>
    <row r="191" spans="1:27" s="3" customFormat="1" x14ac:dyDescent="0.25">
      <c r="A191" s="73"/>
      <c r="B191" s="8">
        <v>9</v>
      </c>
      <c r="C191" s="14">
        <v>41307</v>
      </c>
      <c r="D191" s="3">
        <v>5.0999999999999996</v>
      </c>
      <c r="E191" s="3">
        <v>4.3</v>
      </c>
      <c r="F191" s="3">
        <v>6.9</v>
      </c>
      <c r="G191" s="3">
        <f t="shared" si="23"/>
        <v>1424.8</v>
      </c>
      <c r="H191" s="3">
        <f t="shared" si="27"/>
        <v>100.4</v>
      </c>
      <c r="J191" s="3">
        <v>0.2</v>
      </c>
      <c r="K191" s="3">
        <f t="shared" si="24"/>
        <v>473.09999999999985</v>
      </c>
      <c r="L191" s="3">
        <v>1.2</v>
      </c>
      <c r="M191" s="3">
        <f t="shared" si="25"/>
        <v>161.49999999999994</v>
      </c>
      <c r="N191" s="3">
        <v>-1</v>
      </c>
      <c r="O191" s="3">
        <f>O190+N191</f>
        <v>196.4</v>
      </c>
      <c r="P191" s="3">
        <v>151</v>
      </c>
      <c r="Q191" s="3">
        <v>1</v>
      </c>
      <c r="R191" s="7">
        <f t="shared" si="21"/>
        <v>1.2</v>
      </c>
      <c r="S191" s="7">
        <f t="shared" si="22"/>
        <v>-1</v>
      </c>
      <c r="T191" s="7">
        <f t="shared" si="29"/>
        <v>196.4</v>
      </c>
      <c r="V191" s="3">
        <v>707.1</v>
      </c>
      <c r="X191" s="3">
        <f t="shared" si="26"/>
        <v>75331.199999999997</v>
      </c>
      <c r="Y191" s="3">
        <f t="shared" si="28"/>
        <v>6369.0999999999995</v>
      </c>
      <c r="AA191" s="3">
        <v>9.5168120443305408</v>
      </c>
    </row>
    <row r="192" spans="1:27" s="3" customFormat="1" x14ac:dyDescent="0.25">
      <c r="A192" s="73"/>
      <c r="B192" s="8"/>
      <c r="C192" s="14">
        <v>41308</v>
      </c>
      <c r="D192" s="3">
        <v>5.2</v>
      </c>
      <c r="E192" s="3">
        <v>-0.5</v>
      </c>
      <c r="F192" s="3">
        <v>9.6</v>
      </c>
      <c r="G192" s="3">
        <f t="shared" si="23"/>
        <v>1430</v>
      </c>
      <c r="H192" s="3">
        <f t="shared" si="27"/>
        <v>105.60000000000001</v>
      </c>
      <c r="J192" s="3">
        <v>1.3</v>
      </c>
      <c r="K192" s="3">
        <f t="shared" si="24"/>
        <v>474.39999999999986</v>
      </c>
      <c r="L192" s="3">
        <v>0.4</v>
      </c>
      <c r="M192" s="3">
        <f t="shared" si="25"/>
        <v>161.89999999999995</v>
      </c>
      <c r="N192" s="3">
        <v>0.9</v>
      </c>
      <c r="O192" s="3">
        <f>O191+N192</f>
        <v>197.3</v>
      </c>
      <c r="P192" s="3">
        <v>152</v>
      </c>
      <c r="Q192" s="3">
        <v>1</v>
      </c>
      <c r="R192" s="7">
        <f t="shared" si="21"/>
        <v>0.4</v>
      </c>
      <c r="S192" s="7">
        <f t="shared" si="22"/>
        <v>0.9</v>
      </c>
      <c r="T192" s="7">
        <f t="shared" si="29"/>
        <v>197.3</v>
      </c>
      <c r="V192" s="3">
        <v>217.8</v>
      </c>
      <c r="X192" s="3">
        <f t="shared" si="26"/>
        <v>75549</v>
      </c>
      <c r="Y192" s="3">
        <f t="shared" si="28"/>
        <v>6586.9</v>
      </c>
      <c r="AA192" s="3">
        <v>9.5658944956672105</v>
      </c>
    </row>
    <row r="193" spans="1:28" s="3" customFormat="1" x14ac:dyDescent="0.25">
      <c r="A193" s="73"/>
      <c r="B193" s="8"/>
      <c r="C193" s="14">
        <v>41309</v>
      </c>
      <c r="D193" s="3">
        <v>9.6999999999999993</v>
      </c>
      <c r="E193" s="3">
        <v>8.6999999999999993</v>
      </c>
      <c r="F193" s="3">
        <v>12.4</v>
      </c>
      <c r="G193" s="3">
        <f t="shared" si="23"/>
        <v>1439.7</v>
      </c>
      <c r="H193" s="3">
        <f t="shared" si="27"/>
        <v>115.30000000000001</v>
      </c>
      <c r="J193" s="3">
        <v>0.5</v>
      </c>
      <c r="K193" s="3">
        <f t="shared" si="24"/>
        <v>474.89999999999986</v>
      </c>
      <c r="L193" s="3">
        <v>0.9</v>
      </c>
      <c r="M193" s="3">
        <f t="shared" si="25"/>
        <v>162.79999999999995</v>
      </c>
      <c r="N193" s="3">
        <v>-0.4</v>
      </c>
      <c r="O193" s="3">
        <f>O192+N193</f>
        <v>196.9</v>
      </c>
      <c r="P193" s="3">
        <v>153</v>
      </c>
      <c r="Q193" s="3">
        <v>1</v>
      </c>
      <c r="R193" s="7">
        <f t="shared" si="21"/>
        <v>0.9</v>
      </c>
      <c r="S193" s="7">
        <f t="shared" si="22"/>
        <v>-0.4</v>
      </c>
      <c r="T193" s="7">
        <f t="shared" si="29"/>
        <v>196.9</v>
      </c>
      <c r="V193" s="3">
        <v>312.89999999999998</v>
      </c>
      <c r="X193" s="3">
        <f t="shared" si="26"/>
        <v>75861.899999999994</v>
      </c>
      <c r="Y193" s="3">
        <f t="shared" si="28"/>
        <v>6899.7999999999993</v>
      </c>
      <c r="AA193" s="3">
        <v>9.6155541315168893</v>
      </c>
    </row>
    <row r="194" spans="1:28" s="3" customFormat="1" x14ac:dyDescent="0.25">
      <c r="A194" s="73"/>
      <c r="B194" s="8"/>
      <c r="C194" s="14">
        <v>41310</v>
      </c>
      <c r="D194" s="3">
        <v>5.9</v>
      </c>
      <c r="E194" s="3">
        <v>4.3</v>
      </c>
      <c r="F194" s="3">
        <v>7</v>
      </c>
      <c r="G194" s="3">
        <f t="shared" si="23"/>
        <v>1445.6000000000001</v>
      </c>
      <c r="H194" s="3">
        <f t="shared" si="27"/>
        <v>121.20000000000002</v>
      </c>
      <c r="J194" s="3">
        <v>8.1</v>
      </c>
      <c r="K194" s="3">
        <f t="shared" si="24"/>
        <v>482.99999999999989</v>
      </c>
      <c r="L194" s="3">
        <v>0.9</v>
      </c>
      <c r="M194" s="3">
        <f t="shared" si="25"/>
        <v>163.69999999999996</v>
      </c>
      <c r="N194" s="3">
        <v>7.1999999999999993</v>
      </c>
      <c r="O194" s="3">
        <v>197.4</v>
      </c>
      <c r="P194" s="3">
        <v>154</v>
      </c>
      <c r="Q194" s="3">
        <v>1</v>
      </c>
      <c r="R194" s="7">
        <f t="shared" si="21"/>
        <v>0.9</v>
      </c>
      <c r="S194" s="7">
        <f t="shared" si="22"/>
        <v>7.1999999999999993</v>
      </c>
      <c r="T194" s="7">
        <f t="shared" si="29"/>
        <v>197.4</v>
      </c>
      <c r="V194" s="3">
        <v>804.9</v>
      </c>
      <c r="X194" s="3">
        <f t="shared" si="26"/>
        <v>76666.799999999988</v>
      </c>
      <c r="Y194" s="3">
        <f t="shared" si="28"/>
        <v>7704.6999999999989</v>
      </c>
      <c r="AA194" s="3">
        <v>9.6657662457569504</v>
      </c>
    </row>
    <row r="195" spans="1:28" s="3" customFormat="1" x14ac:dyDescent="0.25">
      <c r="A195" s="73"/>
      <c r="B195" s="8"/>
      <c r="C195" s="14">
        <v>41311</v>
      </c>
      <c r="D195" s="3">
        <v>4.9000000000000004</v>
      </c>
      <c r="E195" s="3">
        <v>3.6</v>
      </c>
      <c r="F195" s="3">
        <v>5.9</v>
      </c>
      <c r="G195" s="3">
        <f t="shared" si="23"/>
        <v>1450.5000000000002</v>
      </c>
      <c r="H195" s="3">
        <f t="shared" si="27"/>
        <v>126.10000000000002</v>
      </c>
      <c r="J195" s="3">
        <v>3.7</v>
      </c>
      <c r="K195" s="3">
        <f t="shared" si="24"/>
        <v>486.69999999999987</v>
      </c>
      <c r="L195" s="3">
        <v>0.7</v>
      </c>
      <c r="M195" s="3">
        <f t="shared" si="25"/>
        <v>164.39999999999995</v>
      </c>
      <c r="N195" s="3">
        <v>3</v>
      </c>
      <c r="O195" s="3">
        <v>197.4</v>
      </c>
      <c r="P195" s="3">
        <v>155</v>
      </c>
      <c r="Q195" s="3">
        <v>1</v>
      </c>
      <c r="R195" s="7">
        <f t="shared" si="21"/>
        <v>0.7</v>
      </c>
      <c r="S195" s="7">
        <f t="shared" si="22"/>
        <v>3</v>
      </c>
      <c r="T195" s="7">
        <f t="shared" si="29"/>
        <v>197.4</v>
      </c>
      <c r="V195" s="3">
        <v>230.4</v>
      </c>
      <c r="X195" s="3">
        <f t="shared" si="26"/>
        <v>76897.199999999983</v>
      </c>
      <c r="Y195" s="3">
        <f t="shared" si="28"/>
        <v>7935.0999999999985</v>
      </c>
      <c r="AA195" s="3">
        <v>9.7165067547050707</v>
      </c>
    </row>
    <row r="196" spans="1:28" s="3" customFormat="1" x14ac:dyDescent="0.25">
      <c r="A196" s="73"/>
      <c r="B196" s="8"/>
      <c r="C196" s="14">
        <v>41312</v>
      </c>
      <c r="D196" s="3">
        <v>3.6</v>
      </c>
      <c r="E196" s="3">
        <v>0.2</v>
      </c>
      <c r="F196" s="3">
        <v>6.7</v>
      </c>
      <c r="G196" s="3">
        <f t="shared" si="23"/>
        <v>1454.1000000000001</v>
      </c>
      <c r="H196" s="3">
        <f t="shared" si="27"/>
        <v>129.70000000000002</v>
      </c>
      <c r="J196" s="3">
        <v>3.7</v>
      </c>
      <c r="K196" s="3">
        <f t="shared" si="24"/>
        <v>490.39999999999986</v>
      </c>
      <c r="L196" s="3">
        <v>0.7</v>
      </c>
      <c r="M196" s="3">
        <f t="shared" si="25"/>
        <v>165.09999999999994</v>
      </c>
      <c r="N196" s="3">
        <v>3</v>
      </c>
      <c r="O196" s="3">
        <v>197.4</v>
      </c>
      <c r="P196" s="3">
        <v>156</v>
      </c>
      <c r="Q196" s="3">
        <v>1</v>
      </c>
      <c r="R196" s="7">
        <f t="shared" si="21"/>
        <v>0.7</v>
      </c>
      <c r="S196" s="7">
        <f t="shared" si="22"/>
        <v>3</v>
      </c>
      <c r="T196" s="7">
        <f t="shared" si="29"/>
        <v>197.4</v>
      </c>
      <c r="V196" s="3">
        <v>259.39999999999998</v>
      </c>
      <c r="X196" s="3">
        <f t="shared" si="26"/>
        <v>77156.599999999977</v>
      </c>
      <c r="Y196" s="3">
        <f t="shared" si="28"/>
        <v>8194.4999999999982</v>
      </c>
      <c r="AA196" s="3">
        <v>9.7677522079885293</v>
      </c>
    </row>
    <row r="197" spans="1:28" s="3" customFormat="1" x14ac:dyDescent="0.25">
      <c r="A197" s="73"/>
      <c r="B197" s="8"/>
      <c r="C197" s="14">
        <v>41313</v>
      </c>
      <c r="D197" s="3">
        <v>4.4000000000000004</v>
      </c>
      <c r="E197" s="3">
        <v>3.1</v>
      </c>
      <c r="F197" s="3">
        <v>6.6</v>
      </c>
      <c r="G197" s="3">
        <f t="shared" si="23"/>
        <v>1458.5000000000002</v>
      </c>
      <c r="H197" s="3">
        <f t="shared" si="27"/>
        <v>134.10000000000002</v>
      </c>
      <c r="J197" s="3">
        <v>1.4</v>
      </c>
      <c r="K197" s="3">
        <f t="shared" si="24"/>
        <v>491.79999999999984</v>
      </c>
      <c r="L197" s="3">
        <v>0.7</v>
      </c>
      <c r="M197" s="3">
        <f t="shared" si="25"/>
        <v>165.79999999999993</v>
      </c>
      <c r="N197" s="3">
        <v>0.7</v>
      </c>
      <c r="O197" s="3">
        <v>197.4</v>
      </c>
      <c r="P197" s="3">
        <v>157</v>
      </c>
      <c r="Q197" s="3">
        <v>1</v>
      </c>
      <c r="R197" s="7">
        <f t="shared" si="21"/>
        <v>0.7</v>
      </c>
      <c r="S197" s="7">
        <f t="shared" si="22"/>
        <v>0.7</v>
      </c>
      <c r="T197" s="7">
        <f t="shared" si="29"/>
        <v>197.4</v>
      </c>
      <c r="V197" s="3">
        <v>474</v>
      </c>
      <c r="X197" s="3">
        <f t="shared" si="26"/>
        <v>77630.599999999977</v>
      </c>
      <c r="Y197" s="3">
        <f t="shared" si="28"/>
        <v>8668.4999999999982</v>
      </c>
      <c r="AA197" s="3">
        <v>9.8194797966666592</v>
      </c>
    </row>
    <row r="198" spans="1:28" s="3" customFormat="1" x14ac:dyDescent="0.25">
      <c r="A198" s="73"/>
      <c r="B198" s="8">
        <v>10</v>
      </c>
      <c r="C198" s="14">
        <v>41314</v>
      </c>
      <c r="D198" s="3">
        <v>5.0999999999999996</v>
      </c>
      <c r="E198" s="3">
        <v>3.2</v>
      </c>
      <c r="F198" s="3">
        <v>6.7</v>
      </c>
      <c r="G198" s="3">
        <f t="shared" si="23"/>
        <v>1463.6000000000001</v>
      </c>
      <c r="H198" s="3">
        <f t="shared" si="27"/>
        <v>139.20000000000002</v>
      </c>
      <c r="J198" s="3">
        <v>8.9</v>
      </c>
      <c r="K198" s="3">
        <f t="shared" si="24"/>
        <v>500.69999999999982</v>
      </c>
      <c r="L198" s="3">
        <v>0.2</v>
      </c>
      <c r="M198" s="3">
        <f t="shared" si="25"/>
        <v>165.99999999999991</v>
      </c>
      <c r="N198" s="3">
        <v>8.7000000000000011</v>
      </c>
      <c r="O198" s="3">
        <v>197.4</v>
      </c>
      <c r="P198" s="3">
        <v>158</v>
      </c>
      <c r="Q198" s="3">
        <v>1</v>
      </c>
      <c r="R198" s="7">
        <f t="shared" si="21"/>
        <v>0.2</v>
      </c>
      <c r="S198" s="7">
        <f t="shared" si="22"/>
        <v>8.7000000000000011</v>
      </c>
      <c r="T198" s="7">
        <f t="shared" si="29"/>
        <v>197.4</v>
      </c>
      <c r="V198" s="3">
        <v>158.19999999999999</v>
      </c>
      <c r="X198" s="3">
        <f t="shared" si="26"/>
        <v>77788.799999999974</v>
      </c>
      <c r="Y198" s="3">
        <f t="shared" si="28"/>
        <v>8826.6999999999989</v>
      </c>
      <c r="AA198" s="3">
        <v>9.87166735876594</v>
      </c>
    </row>
    <row r="199" spans="1:28" s="3" customFormat="1" x14ac:dyDescent="0.25">
      <c r="A199" s="73"/>
      <c r="B199" s="8"/>
      <c r="C199" s="14">
        <v>41315</v>
      </c>
      <c r="D199" s="3">
        <v>6.9</v>
      </c>
      <c r="E199" s="3">
        <v>5.8</v>
      </c>
      <c r="F199" s="3">
        <v>10</v>
      </c>
      <c r="G199" s="3">
        <f t="shared" si="23"/>
        <v>1470.5000000000002</v>
      </c>
      <c r="H199" s="3">
        <f t="shared" si="27"/>
        <v>146.10000000000002</v>
      </c>
      <c r="J199" s="3">
        <v>12.4</v>
      </c>
      <c r="K199" s="3">
        <f t="shared" si="24"/>
        <v>513.0999999999998</v>
      </c>
      <c r="L199" s="3">
        <v>0.6</v>
      </c>
      <c r="M199" s="3">
        <f t="shared" si="25"/>
        <v>166.59999999999991</v>
      </c>
      <c r="N199" s="3">
        <v>11.8</v>
      </c>
      <c r="O199" s="3">
        <v>197.4</v>
      </c>
      <c r="P199" s="3">
        <v>159</v>
      </c>
      <c r="Q199" s="3">
        <v>1</v>
      </c>
      <c r="R199" s="7">
        <f t="shared" si="21"/>
        <v>0.6</v>
      </c>
      <c r="S199" s="7">
        <f t="shared" si="22"/>
        <v>11.8</v>
      </c>
      <c r="T199" s="7">
        <f t="shared" si="29"/>
        <v>197.4</v>
      </c>
      <c r="V199" s="3">
        <v>160.19999999999999</v>
      </c>
      <c r="X199" s="3">
        <f t="shared" si="26"/>
        <v>77948.999999999971</v>
      </c>
      <c r="Y199" s="3">
        <f t="shared" si="28"/>
        <v>8986.9</v>
      </c>
      <c r="AA199" s="3">
        <v>9.9242933823874697</v>
      </c>
    </row>
    <row r="200" spans="1:28" s="3" customFormat="1" x14ac:dyDescent="0.25">
      <c r="A200" s="73"/>
      <c r="B200" s="8"/>
      <c r="C200" s="14">
        <v>41316</v>
      </c>
      <c r="D200" s="3">
        <v>4.5999999999999996</v>
      </c>
      <c r="E200" s="3">
        <v>1.1000000000000001</v>
      </c>
      <c r="F200" s="3">
        <v>8.1</v>
      </c>
      <c r="G200" s="3">
        <f t="shared" si="23"/>
        <v>1475.1000000000001</v>
      </c>
      <c r="H200" s="3">
        <f t="shared" si="27"/>
        <v>150.70000000000002</v>
      </c>
      <c r="J200" s="3">
        <v>0.2</v>
      </c>
      <c r="K200" s="3">
        <f t="shared" si="24"/>
        <v>513.29999999999984</v>
      </c>
      <c r="L200" s="3">
        <v>0.6</v>
      </c>
      <c r="M200" s="3">
        <f t="shared" si="25"/>
        <v>167.1999999999999</v>
      </c>
      <c r="N200" s="3">
        <v>-0.39999999999999997</v>
      </c>
      <c r="O200" s="3">
        <f>O199+N200</f>
        <v>197</v>
      </c>
      <c r="P200" s="3">
        <v>160</v>
      </c>
      <c r="Q200" s="3">
        <v>1</v>
      </c>
      <c r="R200" s="7">
        <f t="shared" si="21"/>
        <v>0.6</v>
      </c>
      <c r="S200" s="7">
        <f t="shared" si="22"/>
        <v>-0.39999999999999997</v>
      </c>
      <c r="T200" s="7">
        <f t="shared" si="29"/>
        <v>197</v>
      </c>
      <c r="V200" s="3">
        <v>464.5</v>
      </c>
      <c r="X200" s="3">
        <f t="shared" si="26"/>
        <v>78413.499999999971</v>
      </c>
      <c r="Y200" s="3">
        <f t="shared" si="28"/>
        <v>9451.4</v>
      </c>
      <c r="AA200" s="3">
        <v>9.9773370065455698</v>
      </c>
    </row>
    <row r="201" spans="1:28" s="3" customFormat="1" x14ac:dyDescent="0.25">
      <c r="A201" s="73"/>
      <c r="B201" s="8"/>
      <c r="C201" s="14">
        <v>41317</v>
      </c>
      <c r="D201" s="3">
        <v>4.3</v>
      </c>
      <c r="E201" s="3">
        <v>2.2000000000000002</v>
      </c>
      <c r="F201" s="3">
        <v>5.6</v>
      </c>
      <c r="G201" s="3">
        <f t="shared" si="23"/>
        <v>1479.4</v>
      </c>
      <c r="H201" s="3">
        <f t="shared" si="27"/>
        <v>155.00000000000003</v>
      </c>
      <c r="J201" s="3">
        <v>0.4</v>
      </c>
      <c r="K201" s="3">
        <f t="shared" si="24"/>
        <v>513.69999999999982</v>
      </c>
      <c r="L201" s="3">
        <v>0.3</v>
      </c>
      <c r="M201" s="3">
        <f t="shared" si="25"/>
        <v>167.49999999999991</v>
      </c>
      <c r="N201" s="3">
        <v>0.10000000000000003</v>
      </c>
      <c r="O201" s="3">
        <f>O200+N201</f>
        <v>197.1</v>
      </c>
      <c r="P201" s="3">
        <v>161</v>
      </c>
      <c r="Q201" s="3">
        <v>1</v>
      </c>
      <c r="R201" s="7">
        <f t="shared" si="21"/>
        <v>0.3</v>
      </c>
      <c r="S201" s="7">
        <f t="shared" si="22"/>
        <v>0.10000000000000003</v>
      </c>
      <c r="T201" s="7">
        <f t="shared" si="29"/>
        <v>197.1</v>
      </c>
      <c r="V201" s="3">
        <v>256.8</v>
      </c>
      <c r="X201" s="3">
        <f t="shared" si="26"/>
        <v>78670.299999999974</v>
      </c>
      <c r="Y201" s="3">
        <f t="shared" si="28"/>
        <v>9708.1999999999989</v>
      </c>
      <c r="AA201" s="3">
        <v>10.0307780198942</v>
      </c>
    </row>
    <row r="202" spans="1:28" s="3" customFormat="1" x14ac:dyDescent="0.25">
      <c r="A202" s="73"/>
      <c r="B202" s="16" t="s">
        <v>20</v>
      </c>
      <c r="C202" s="14">
        <v>41318</v>
      </c>
      <c r="D202" s="3">
        <v>4.3</v>
      </c>
      <c r="E202" s="3">
        <v>2.9</v>
      </c>
      <c r="F202" s="3">
        <v>7.9</v>
      </c>
      <c r="G202" s="3">
        <f t="shared" si="23"/>
        <v>1483.7</v>
      </c>
      <c r="H202" s="3">
        <f t="shared" si="27"/>
        <v>159.30000000000004</v>
      </c>
      <c r="J202" s="3">
        <v>1.3</v>
      </c>
      <c r="K202" s="3">
        <f t="shared" si="24"/>
        <v>514.99999999999977</v>
      </c>
      <c r="L202" s="3">
        <v>0.8</v>
      </c>
      <c r="M202" s="3">
        <f t="shared" si="25"/>
        <v>168.29999999999993</v>
      </c>
      <c r="N202" s="3">
        <v>0.5</v>
      </c>
      <c r="O202" s="3">
        <v>197.4</v>
      </c>
      <c r="P202" s="3">
        <v>162</v>
      </c>
      <c r="Q202" s="3">
        <v>1</v>
      </c>
      <c r="R202" s="7">
        <f t="shared" si="21"/>
        <v>0.8</v>
      </c>
      <c r="S202" s="7">
        <f t="shared" si="22"/>
        <v>0.5</v>
      </c>
      <c r="T202" s="7">
        <f t="shared" si="29"/>
        <v>197.4</v>
      </c>
      <c r="V202" s="3">
        <v>355.2</v>
      </c>
      <c r="X202" s="3">
        <f t="shared" si="26"/>
        <v>79025.499999999971</v>
      </c>
      <c r="Y202" s="3">
        <f t="shared" si="28"/>
        <v>10063.4</v>
      </c>
      <c r="AA202" s="3">
        <v>10.084596857494899</v>
      </c>
    </row>
    <row r="203" spans="1:28" s="3" customFormat="1" x14ac:dyDescent="0.25">
      <c r="A203" s="73"/>
      <c r="B203" s="4"/>
      <c r="C203" s="14">
        <v>41319</v>
      </c>
      <c r="D203" s="3">
        <v>8.1999999999999993</v>
      </c>
      <c r="E203" s="3">
        <v>4.5999999999999996</v>
      </c>
      <c r="F203" s="3">
        <v>12.4</v>
      </c>
      <c r="G203" s="3">
        <f t="shared" si="23"/>
        <v>1491.9</v>
      </c>
      <c r="H203" s="3">
        <f t="shared" si="27"/>
        <v>167.50000000000003</v>
      </c>
      <c r="J203" s="3">
        <v>1.1000000000000001</v>
      </c>
      <c r="K203" s="3">
        <f t="shared" si="24"/>
        <v>516.0999999999998</v>
      </c>
      <c r="L203" s="3">
        <v>1.4</v>
      </c>
      <c r="M203" s="3">
        <f t="shared" si="25"/>
        <v>169.69999999999993</v>
      </c>
      <c r="N203" s="3">
        <v>-0.29999999999999982</v>
      </c>
      <c r="O203" s="3">
        <f t="shared" ref="O203:O226" si="30">O202+N203</f>
        <v>197.1</v>
      </c>
      <c r="P203" s="3">
        <v>163</v>
      </c>
      <c r="Q203" s="3">
        <v>1</v>
      </c>
      <c r="R203" s="7">
        <f t="shared" si="21"/>
        <v>1.4</v>
      </c>
      <c r="S203" s="7">
        <f t="shared" si="22"/>
        <v>-0.29999999999999982</v>
      </c>
      <c r="T203" s="7">
        <f t="shared" si="29"/>
        <v>197.1</v>
      </c>
      <c r="V203" s="3">
        <v>837.9</v>
      </c>
      <c r="X203" s="3">
        <f t="shared" si="26"/>
        <v>79863.399999999965</v>
      </c>
      <c r="Y203" s="3">
        <f t="shared" si="28"/>
        <v>10901.3</v>
      </c>
      <c r="AA203" s="3">
        <v>10.138774595775301</v>
      </c>
    </row>
    <row r="204" spans="1:28" s="3" customFormat="1" x14ac:dyDescent="0.25">
      <c r="A204" s="73"/>
      <c r="B204" s="8"/>
      <c r="C204" s="14">
        <v>41320</v>
      </c>
      <c r="D204" s="3">
        <v>6.4</v>
      </c>
      <c r="E204" s="3">
        <v>1.7</v>
      </c>
      <c r="F204" s="3">
        <v>11.9</v>
      </c>
      <c r="G204" s="3">
        <f t="shared" si="23"/>
        <v>1498.3000000000002</v>
      </c>
      <c r="H204" s="3">
        <f t="shared" si="27"/>
        <v>173.90000000000003</v>
      </c>
      <c r="J204" s="84">
        <v>0.2</v>
      </c>
      <c r="K204" s="3">
        <f t="shared" si="24"/>
        <v>516.29999999999984</v>
      </c>
      <c r="L204" s="3">
        <v>0.9</v>
      </c>
      <c r="M204" s="3">
        <f t="shared" si="25"/>
        <v>170.59999999999994</v>
      </c>
      <c r="N204" s="3">
        <v>-0.7</v>
      </c>
      <c r="O204" s="3">
        <f t="shared" si="30"/>
        <v>196.4</v>
      </c>
      <c r="P204" s="3">
        <v>164</v>
      </c>
      <c r="Q204" s="3">
        <v>1</v>
      </c>
      <c r="R204" s="7">
        <f t="shared" si="21"/>
        <v>0.9</v>
      </c>
      <c r="S204" s="7">
        <f t="shared" si="22"/>
        <v>-0.7</v>
      </c>
      <c r="T204" s="7">
        <f t="shared" si="29"/>
        <v>196.4</v>
      </c>
      <c r="V204" s="3">
        <v>665.5</v>
      </c>
      <c r="X204" s="3">
        <f t="shared" si="26"/>
        <v>80528.899999999965</v>
      </c>
      <c r="Y204" s="3">
        <f t="shared" si="28"/>
        <v>11566.8</v>
      </c>
      <c r="AA204" s="3">
        <v>10.193292945824201</v>
      </c>
      <c r="AB204" s="88" t="s">
        <v>59</v>
      </c>
    </row>
    <row r="205" spans="1:28" s="3" customFormat="1" x14ac:dyDescent="0.25">
      <c r="A205" s="73"/>
      <c r="B205" s="8"/>
      <c r="C205" s="14">
        <v>41321</v>
      </c>
      <c r="D205" s="3">
        <v>4.7</v>
      </c>
      <c r="E205" s="3">
        <v>2.2000000000000002</v>
      </c>
      <c r="F205" s="3">
        <v>7.6</v>
      </c>
      <c r="G205" s="3">
        <f t="shared" si="23"/>
        <v>1503.0000000000002</v>
      </c>
      <c r="H205" s="3">
        <f t="shared" si="27"/>
        <v>178.60000000000002</v>
      </c>
      <c r="J205" s="84">
        <v>0</v>
      </c>
      <c r="K205" s="3">
        <f t="shared" si="24"/>
        <v>516.29999999999984</v>
      </c>
      <c r="L205" s="3">
        <v>0.5</v>
      </c>
      <c r="M205" s="3">
        <f t="shared" si="25"/>
        <v>171.09999999999994</v>
      </c>
      <c r="N205" s="3">
        <v>-0.5</v>
      </c>
      <c r="O205" s="3">
        <f t="shared" si="30"/>
        <v>195.9</v>
      </c>
      <c r="P205" s="3">
        <v>165</v>
      </c>
      <c r="Q205" s="3">
        <v>1</v>
      </c>
      <c r="R205" s="7">
        <f t="shared" si="21"/>
        <v>0.5</v>
      </c>
      <c r="S205" s="7">
        <f t="shared" si="22"/>
        <v>-0.5</v>
      </c>
      <c r="T205" s="7">
        <f t="shared" si="29"/>
        <v>195.9</v>
      </c>
      <c r="V205" s="3">
        <v>340.9</v>
      </c>
      <c r="X205" s="3">
        <f t="shared" si="26"/>
        <v>80869.799999999959</v>
      </c>
      <c r="Y205" s="3">
        <f t="shared" si="28"/>
        <v>11907.699999999999</v>
      </c>
      <c r="AA205" s="3">
        <v>10.248134245162101</v>
      </c>
      <c r="AB205" s="7">
        <f>AVERAGE(T211:T224)</f>
        <v>183.37420634920636</v>
      </c>
    </row>
    <row r="206" spans="1:28" s="3" customFormat="1" x14ac:dyDescent="0.25">
      <c r="A206" s="73"/>
      <c r="B206" s="8"/>
      <c r="C206" s="14">
        <v>41322</v>
      </c>
      <c r="D206" s="3">
        <v>4.3</v>
      </c>
      <c r="E206" s="3">
        <v>2.7</v>
      </c>
      <c r="F206" s="3">
        <v>7.2</v>
      </c>
      <c r="G206" s="3">
        <f t="shared" si="23"/>
        <v>1507.3000000000002</v>
      </c>
      <c r="H206" s="3">
        <f t="shared" si="27"/>
        <v>182.90000000000003</v>
      </c>
      <c r="J206" s="84">
        <v>0</v>
      </c>
      <c r="K206" s="3">
        <f t="shared" si="24"/>
        <v>516.29999999999984</v>
      </c>
      <c r="L206" s="3">
        <v>0.9</v>
      </c>
      <c r="M206" s="3">
        <f t="shared" si="25"/>
        <v>171.99999999999994</v>
      </c>
      <c r="N206" s="3">
        <v>-0.9</v>
      </c>
      <c r="O206" s="3">
        <f t="shared" si="30"/>
        <v>195</v>
      </c>
      <c r="P206" s="3">
        <v>166</v>
      </c>
      <c r="Q206" s="3">
        <v>1</v>
      </c>
      <c r="R206" s="7">
        <f t="shared" si="21"/>
        <v>0.9</v>
      </c>
      <c r="S206" s="7">
        <f t="shared" si="22"/>
        <v>-0.9</v>
      </c>
      <c r="T206" s="7">
        <f t="shared" si="29"/>
        <v>195</v>
      </c>
      <c r="V206" s="3">
        <v>767.1</v>
      </c>
      <c r="X206" s="3">
        <f t="shared" si="26"/>
        <v>81636.899999999965</v>
      </c>
      <c r="Y206" s="3">
        <f t="shared" si="28"/>
        <v>12674.8</v>
      </c>
      <c r="AA206" s="3">
        <v>10.3032814481223</v>
      </c>
      <c r="AB206" s="88" t="s">
        <v>60</v>
      </c>
    </row>
    <row r="207" spans="1:28" s="3" customFormat="1" x14ac:dyDescent="0.25">
      <c r="A207" s="73"/>
      <c r="B207" s="8"/>
      <c r="C207" s="14">
        <v>41323</v>
      </c>
      <c r="D207" s="3">
        <v>4.4000000000000004</v>
      </c>
      <c r="E207" s="3">
        <v>1.6</v>
      </c>
      <c r="F207" s="3">
        <v>9</v>
      </c>
      <c r="G207" s="3">
        <f t="shared" si="23"/>
        <v>1511.7000000000003</v>
      </c>
      <c r="H207" s="3">
        <f t="shared" si="27"/>
        <v>187.30000000000004</v>
      </c>
      <c r="J207" s="84">
        <v>0</v>
      </c>
      <c r="K207" s="3">
        <f t="shared" si="24"/>
        <v>516.29999999999984</v>
      </c>
      <c r="L207" s="3">
        <v>1.5</v>
      </c>
      <c r="M207" s="3">
        <f t="shared" si="25"/>
        <v>173.49999999999994</v>
      </c>
      <c r="N207" s="3">
        <v>-1.5</v>
      </c>
      <c r="O207" s="3">
        <f t="shared" si="30"/>
        <v>193.5</v>
      </c>
      <c r="P207" s="3">
        <v>167</v>
      </c>
      <c r="Q207" s="3">
        <v>1</v>
      </c>
      <c r="R207" s="7">
        <f t="shared" si="21"/>
        <v>1.5</v>
      </c>
      <c r="S207" s="7">
        <f t="shared" si="22"/>
        <v>-1.5</v>
      </c>
      <c r="T207" s="7">
        <f t="shared" si="29"/>
        <v>193.5</v>
      </c>
      <c r="V207" s="3">
        <v>1257.7</v>
      </c>
      <c r="X207" s="3">
        <f t="shared" si="26"/>
        <v>82894.599999999962</v>
      </c>
      <c r="Y207" s="3">
        <f t="shared" si="28"/>
        <v>13932.5</v>
      </c>
      <c r="AA207" s="3">
        <v>10.358718114969401</v>
      </c>
      <c r="AB207" s="3">
        <v>4</v>
      </c>
    </row>
    <row r="208" spans="1:28" s="3" customFormat="1" x14ac:dyDescent="0.25">
      <c r="A208" s="73"/>
      <c r="B208" s="8"/>
      <c r="C208" s="14">
        <v>41324</v>
      </c>
      <c r="D208" s="3">
        <v>4.5</v>
      </c>
      <c r="E208" s="3">
        <v>0.4</v>
      </c>
      <c r="F208" s="3">
        <v>10.6</v>
      </c>
      <c r="G208" s="3">
        <f t="shared" si="23"/>
        <v>1516.2000000000003</v>
      </c>
      <c r="H208" s="3">
        <f t="shared" si="27"/>
        <v>191.80000000000004</v>
      </c>
      <c r="J208" s="84">
        <v>0</v>
      </c>
      <c r="K208" s="3">
        <f t="shared" si="24"/>
        <v>516.29999999999984</v>
      </c>
      <c r="L208" s="3">
        <v>1.5</v>
      </c>
      <c r="M208" s="3">
        <f t="shared" si="25"/>
        <v>174.99999999999994</v>
      </c>
      <c r="N208" s="3">
        <v>-1.5</v>
      </c>
      <c r="O208" s="3">
        <f t="shared" si="30"/>
        <v>192</v>
      </c>
      <c r="P208" s="3">
        <v>168</v>
      </c>
      <c r="Q208" s="3">
        <v>1</v>
      </c>
      <c r="R208" s="7">
        <f t="shared" si="21"/>
        <v>1.5</v>
      </c>
      <c r="S208" s="7">
        <f t="shared" si="22"/>
        <v>-1.5</v>
      </c>
      <c r="T208" s="7">
        <f t="shared" si="29"/>
        <v>192</v>
      </c>
      <c r="V208" s="3">
        <v>1195.0999999999999</v>
      </c>
      <c r="X208" s="3">
        <f t="shared" si="26"/>
        <v>84089.699999999968</v>
      </c>
      <c r="Y208" s="3">
        <f t="shared" si="28"/>
        <v>15127.6</v>
      </c>
      <c r="AA208" s="3">
        <v>10.4144283998791</v>
      </c>
      <c r="AB208" s="88" t="s">
        <v>61</v>
      </c>
    </row>
    <row r="209" spans="1:29" s="3" customFormat="1" x14ac:dyDescent="0.25">
      <c r="A209" s="73"/>
      <c r="B209" s="16" t="s">
        <v>21</v>
      </c>
      <c r="C209" s="14">
        <v>41325</v>
      </c>
      <c r="D209" s="3">
        <v>3.9</v>
      </c>
      <c r="E209" s="3">
        <v>-0.9</v>
      </c>
      <c r="F209" s="3">
        <v>10.4</v>
      </c>
      <c r="G209" s="3">
        <f t="shared" si="23"/>
        <v>1520.1000000000004</v>
      </c>
      <c r="H209" s="3">
        <f t="shared" si="27"/>
        <v>195.70000000000005</v>
      </c>
      <c r="J209" s="84">
        <v>0.1</v>
      </c>
      <c r="K209" s="3">
        <f t="shared" si="24"/>
        <v>516.39999999999986</v>
      </c>
      <c r="L209" s="3">
        <v>1.7</v>
      </c>
      <c r="M209" s="3">
        <f t="shared" si="25"/>
        <v>176.69999999999993</v>
      </c>
      <c r="N209" s="3">
        <v>-1.5999999999999999</v>
      </c>
      <c r="O209" s="3">
        <f t="shared" si="30"/>
        <v>190.4</v>
      </c>
      <c r="P209" s="3">
        <v>169</v>
      </c>
      <c r="Q209" s="3">
        <v>1</v>
      </c>
      <c r="R209" s="7">
        <f t="shared" si="21"/>
        <v>1.7</v>
      </c>
      <c r="S209" s="7">
        <f t="shared" si="22"/>
        <v>-1.5999999999999999</v>
      </c>
      <c r="T209" s="7">
        <f t="shared" si="29"/>
        <v>190.4</v>
      </c>
      <c r="V209" s="3">
        <v>1284.7</v>
      </c>
      <c r="X209" s="3">
        <f t="shared" si="26"/>
        <v>85374.399999999965</v>
      </c>
      <c r="Y209" s="3">
        <f t="shared" si="28"/>
        <v>16412.3</v>
      </c>
      <c r="AA209" s="3">
        <v>10.4703970378929</v>
      </c>
      <c r="AB209" s="3">
        <v>7</v>
      </c>
    </row>
    <row r="210" spans="1:29" s="3" customFormat="1" x14ac:dyDescent="0.25">
      <c r="A210" s="73"/>
      <c r="B210" s="8"/>
      <c r="C210" s="14">
        <v>41326</v>
      </c>
      <c r="D210" s="3">
        <v>1.3</v>
      </c>
      <c r="E210" s="3">
        <v>-0.4</v>
      </c>
      <c r="F210" s="3">
        <v>4.0999999999999996</v>
      </c>
      <c r="G210" s="3">
        <f t="shared" si="23"/>
        <v>1521.4000000000003</v>
      </c>
      <c r="H210" s="3">
        <f t="shared" si="27"/>
        <v>197.00000000000006</v>
      </c>
      <c r="J210" s="84">
        <v>0</v>
      </c>
      <c r="K210" s="3">
        <f t="shared" si="24"/>
        <v>516.39999999999986</v>
      </c>
      <c r="L210" s="3">
        <v>1.8</v>
      </c>
      <c r="M210" s="3">
        <f t="shared" si="25"/>
        <v>178.49999999999994</v>
      </c>
      <c r="N210" s="3">
        <v>-1.8</v>
      </c>
      <c r="O210" s="3">
        <f t="shared" si="30"/>
        <v>188.6</v>
      </c>
      <c r="P210" s="3">
        <v>170</v>
      </c>
      <c r="Q210" s="3">
        <v>1</v>
      </c>
      <c r="R210" s="7">
        <f t="shared" si="21"/>
        <v>1.8</v>
      </c>
      <c r="S210" s="7">
        <f t="shared" si="22"/>
        <v>-1.8</v>
      </c>
      <c r="T210" s="7">
        <f t="shared" si="29"/>
        <v>188.6</v>
      </c>
      <c r="V210" s="3">
        <v>1313.2</v>
      </c>
      <c r="X210" s="3">
        <f t="shared" si="26"/>
        <v>86687.599999999962</v>
      </c>
      <c r="Y210" s="3">
        <f t="shared" si="28"/>
        <v>17725.5</v>
      </c>
      <c r="AA210" s="3">
        <v>10.526609330957299</v>
      </c>
      <c r="AB210" s="88" t="s">
        <v>62</v>
      </c>
    </row>
    <row r="211" spans="1:29" s="3" customFormat="1" x14ac:dyDescent="0.25">
      <c r="A211" s="73"/>
      <c r="B211" s="8"/>
      <c r="C211" s="14">
        <v>41327</v>
      </c>
      <c r="D211" s="3">
        <v>-0.1</v>
      </c>
      <c r="E211" s="3">
        <v>-1.5</v>
      </c>
      <c r="F211" s="3">
        <v>2.5</v>
      </c>
      <c r="G211" s="3">
        <v>1521.4</v>
      </c>
      <c r="H211" s="3">
        <v>197</v>
      </c>
      <c r="J211" s="84">
        <v>0</v>
      </c>
      <c r="K211" s="3">
        <f t="shared" si="24"/>
        <v>516.39999999999986</v>
      </c>
      <c r="L211" s="3">
        <v>1.5</v>
      </c>
      <c r="M211" s="3">
        <f t="shared" si="25"/>
        <v>179.99999999999994</v>
      </c>
      <c r="N211" s="3">
        <v>-1.5</v>
      </c>
      <c r="O211" s="3">
        <f t="shared" si="30"/>
        <v>187.1</v>
      </c>
      <c r="P211" s="3">
        <v>171</v>
      </c>
      <c r="Q211" s="3">
        <v>1</v>
      </c>
      <c r="R211" s="7">
        <f t="shared" si="21"/>
        <v>1.5</v>
      </c>
      <c r="S211" s="7">
        <f t="shared" si="22"/>
        <v>-1.5</v>
      </c>
      <c r="T211" s="86">
        <f t="shared" si="29"/>
        <v>187.1</v>
      </c>
      <c r="V211" s="3">
        <v>821.6</v>
      </c>
      <c r="X211" s="3">
        <f t="shared" si="26"/>
        <v>87509.199999999968</v>
      </c>
      <c r="Y211" s="3">
        <f t="shared" si="28"/>
        <v>18547.099999999999</v>
      </c>
      <c r="AA211" s="3">
        <v>10.5830511331501</v>
      </c>
      <c r="AB211" s="3">
        <v>0</v>
      </c>
    </row>
    <row r="212" spans="1:29" s="3" customFormat="1" x14ac:dyDescent="0.25">
      <c r="A212" s="73"/>
      <c r="B212" s="8"/>
      <c r="C212" s="14">
        <v>41328</v>
      </c>
      <c r="D212" s="3">
        <v>-0.6</v>
      </c>
      <c r="E212" s="3">
        <v>-3.3</v>
      </c>
      <c r="F212" s="3">
        <v>1</v>
      </c>
      <c r="G212" s="3">
        <v>1521.4</v>
      </c>
      <c r="H212" s="3">
        <v>197</v>
      </c>
      <c r="J212" s="84">
        <v>0</v>
      </c>
      <c r="K212" s="3">
        <f t="shared" si="24"/>
        <v>516.39999999999986</v>
      </c>
      <c r="L212" s="3">
        <v>0.7</v>
      </c>
      <c r="M212" s="3">
        <f t="shared" si="25"/>
        <v>180.69999999999993</v>
      </c>
      <c r="N212" s="3">
        <v>-0.7</v>
      </c>
      <c r="O212" s="3">
        <f t="shared" si="30"/>
        <v>186.4</v>
      </c>
      <c r="P212" s="3">
        <v>172</v>
      </c>
      <c r="Q212" s="3">
        <v>1</v>
      </c>
      <c r="R212" s="7">
        <f t="shared" si="21"/>
        <v>0.7</v>
      </c>
      <c r="S212" s="7">
        <f t="shared" si="22"/>
        <v>-0.7</v>
      </c>
      <c r="T212" s="86">
        <f t="shared" si="29"/>
        <v>186.4</v>
      </c>
      <c r="V212" s="3">
        <v>373.3</v>
      </c>
      <c r="X212" s="3">
        <f t="shared" si="26"/>
        <v>87882.499999999971</v>
      </c>
      <c r="Y212" s="3">
        <f t="shared" si="28"/>
        <v>18920.399999999998</v>
      </c>
      <c r="AA212" s="3">
        <v>10.639708835189101</v>
      </c>
      <c r="AB212" s="88" t="s">
        <v>63</v>
      </c>
    </row>
    <row r="213" spans="1:29" s="3" customFormat="1" x14ac:dyDescent="0.25">
      <c r="A213" s="73"/>
      <c r="B213" s="8"/>
      <c r="C213" s="14">
        <v>41329</v>
      </c>
      <c r="D213" s="3">
        <v>2</v>
      </c>
      <c r="E213" s="3">
        <v>0.3</v>
      </c>
      <c r="F213" s="3">
        <v>3.9</v>
      </c>
      <c r="G213" s="3">
        <f t="shared" si="23"/>
        <v>1523.4</v>
      </c>
      <c r="H213" s="3">
        <f t="shared" si="27"/>
        <v>199</v>
      </c>
      <c r="J213" s="84">
        <v>0.3</v>
      </c>
      <c r="K213" s="3">
        <f t="shared" si="24"/>
        <v>516.69999999999982</v>
      </c>
      <c r="L213" s="3">
        <v>1</v>
      </c>
      <c r="M213" s="3">
        <f t="shared" si="25"/>
        <v>181.69999999999993</v>
      </c>
      <c r="N213" s="3">
        <v>-0.7</v>
      </c>
      <c r="O213" s="3">
        <f t="shared" si="30"/>
        <v>185.70000000000002</v>
      </c>
      <c r="P213" s="3">
        <v>173</v>
      </c>
      <c r="Q213" s="3">
        <v>1</v>
      </c>
      <c r="R213" s="7">
        <f t="shared" si="21"/>
        <v>1</v>
      </c>
      <c r="S213" s="7">
        <f t="shared" si="22"/>
        <v>-0.7</v>
      </c>
      <c r="T213" s="86">
        <f t="shared" si="29"/>
        <v>185.70000000000002</v>
      </c>
      <c r="V213" s="3">
        <v>448.2</v>
      </c>
      <c r="X213" s="3">
        <f t="shared" si="26"/>
        <v>88330.699999999968</v>
      </c>
      <c r="Y213" s="3">
        <f t="shared" si="28"/>
        <v>19368.599999999999</v>
      </c>
      <c r="AA213" s="3">
        <v>10.696569348312501</v>
      </c>
      <c r="AB213" s="3">
        <f>SUM(J215:J224)</f>
        <v>15.5</v>
      </c>
    </row>
    <row r="214" spans="1:29" s="79" customFormat="1" x14ac:dyDescent="0.25">
      <c r="A214" s="73"/>
      <c r="B214" s="77" t="s">
        <v>58</v>
      </c>
      <c r="C214" s="78">
        <v>41330</v>
      </c>
      <c r="D214" s="79">
        <v>3.7</v>
      </c>
      <c r="E214" s="79">
        <v>1.4</v>
      </c>
      <c r="F214" s="79">
        <v>5.7</v>
      </c>
      <c r="G214" s="79">
        <f t="shared" si="23"/>
        <v>1527.1000000000001</v>
      </c>
      <c r="H214" s="79">
        <f t="shared" si="27"/>
        <v>202.7</v>
      </c>
      <c r="J214" s="79">
        <v>0.8</v>
      </c>
      <c r="K214" s="79">
        <f t="shared" si="24"/>
        <v>517.49999999999977</v>
      </c>
      <c r="L214" s="79">
        <v>0.8</v>
      </c>
      <c r="M214" s="79">
        <f t="shared" si="25"/>
        <v>182.49999999999994</v>
      </c>
      <c r="N214" s="79">
        <v>0</v>
      </c>
      <c r="O214" s="79">
        <f t="shared" si="30"/>
        <v>185.70000000000002</v>
      </c>
      <c r="P214" s="79">
        <v>174</v>
      </c>
      <c r="Q214" s="79">
        <v>1</v>
      </c>
      <c r="R214" s="80">
        <f t="shared" si="21"/>
        <v>0.8</v>
      </c>
      <c r="S214" s="80">
        <f t="shared" si="22"/>
        <v>0</v>
      </c>
      <c r="T214" s="80">
        <f t="shared" si="29"/>
        <v>185.70000000000002</v>
      </c>
      <c r="V214" s="79">
        <v>315.8</v>
      </c>
      <c r="X214" s="79">
        <f t="shared" si="26"/>
        <v>88646.499999999971</v>
      </c>
      <c r="Y214" s="79">
        <f t="shared" si="28"/>
        <v>19684.399999999998</v>
      </c>
      <c r="AA214" s="79">
        <v>10.7536200876135</v>
      </c>
    </row>
    <row r="215" spans="1:29" s="3" customFormat="1" x14ac:dyDescent="0.25">
      <c r="A215" s="73"/>
      <c r="B215" s="8"/>
      <c r="C215" s="14">
        <v>41331</v>
      </c>
      <c r="D215" s="3">
        <v>3.4</v>
      </c>
      <c r="E215" s="3">
        <v>3.1</v>
      </c>
      <c r="F215" s="3">
        <v>3.8</v>
      </c>
      <c r="G215" s="3">
        <f t="shared" si="23"/>
        <v>1530.5000000000002</v>
      </c>
      <c r="H215" s="3">
        <f t="shared" si="27"/>
        <v>206.1</v>
      </c>
      <c r="J215" s="84">
        <v>0</v>
      </c>
      <c r="K215" s="3">
        <f t="shared" si="24"/>
        <v>517.49999999999977</v>
      </c>
      <c r="L215" s="3">
        <v>0.7</v>
      </c>
      <c r="M215" s="3">
        <f t="shared" si="25"/>
        <v>183.19999999999993</v>
      </c>
      <c r="N215" s="3">
        <v>-0.7</v>
      </c>
      <c r="O215" s="3">
        <f t="shared" si="30"/>
        <v>185.00000000000003</v>
      </c>
      <c r="P215" s="3">
        <v>175</v>
      </c>
      <c r="Q215" s="3">
        <v>1</v>
      </c>
      <c r="R215" s="7">
        <f t="shared" si="21"/>
        <v>0.7</v>
      </c>
      <c r="S215" s="7">
        <f t="shared" si="22"/>
        <v>-0.7</v>
      </c>
      <c r="T215" s="86">
        <f t="shared" si="29"/>
        <v>185.00000000000003</v>
      </c>
      <c r="V215" s="3">
        <v>306.39999999999998</v>
      </c>
      <c r="X215" s="3">
        <f t="shared" si="26"/>
        <v>88952.899999999965</v>
      </c>
      <c r="Y215" s="3">
        <f t="shared" si="28"/>
        <v>19990.8</v>
      </c>
      <c r="AA215" s="3">
        <v>10.810848954906399</v>
      </c>
    </row>
    <row r="216" spans="1:29" s="3" customFormat="1" x14ac:dyDescent="0.25">
      <c r="A216" s="73"/>
      <c r="B216" s="16" t="s">
        <v>22</v>
      </c>
      <c r="C216" s="14">
        <v>41332</v>
      </c>
      <c r="D216" s="3">
        <v>3.7</v>
      </c>
      <c r="E216" s="3">
        <v>2.4</v>
      </c>
      <c r="F216" s="3">
        <v>5.4</v>
      </c>
      <c r="G216" s="3">
        <f t="shared" si="23"/>
        <v>1534.2000000000003</v>
      </c>
      <c r="H216" s="3">
        <f t="shared" si="27"/>
        <v>209.79999999999998</v>
      </c>
      <c r="J216" s="84">
        <v>0</v>
      </c>
      <c r="K216" s="3">
        <f t="shared" si="24"/>
        <v>517.49999999999977</v>
      </c>
      <c r="L216" s="3">
        <v>1.1000000000000001</v>
      </c>
      <c r="M216" s="3">
        <f t="shared" si="25"/>
        <v>184.29999999999993</v>
      </c>
      <c r="N216" s="3">
        <v>-1.1000000000000001</v>
      </c>
      <c r="O216" s="3">
        <f t="shared" si="30"/>
        <v>183.90000000000003</v>
      </c>
      <c r="P216" s="3">
        <v>176</v>
      </c>
      <c r="Q216" s="3">
        <v>1</v>
      </c>
      <c r="R216" s="7">
        <f t="shared" si="21"/>
        <v>1.1000000000000001</v>
      </c>
      <c r="S216" s="7">
        <f t="shared" si="22"/>
        <v>-1.1000000000000001</v>
      </c>
      <c r="T216" s="86">
        <f t="shared" si="29"/>
        <v>183.90000000000003</v>
      </c>
      <c r="V216" s="3">
        <v>745.7</v>
      </c>
      <c r="X216" s="3">
        <f t="shared" si="26"/>
        <v>89698.599999999962</v>
      </c>
      <c r="Y216" s="3">
        <f t="shared" si="28"/>
        <v>20736.5</v>
      </c>
      <c r="AA216" s="3">
        <v>10.868244321193201</v>
      </c>
    </row>
    <row r="217" spans="1:29" s="3" customFormat="1" x14ac:dyDescent="0.25">
      <c r="A217" s="73"/>
      <c r="B217" s="8"/>
      <c r="C217" s="14">
        <v>41333</v>
      </c>
      <c r="D217" s="3">
        <v>3</v>
      </c>
      <c r="E217" s="3">
        <v>1.9</v>
      </c>
      <c r="F217" s="3">
        <v>4.0999999999999996</v>
      </c>
      <c r="G217" s="3">
        <f t="shared" si="23"/>
        <v>1537.2000000000003</v>
      </c>
      <c r="H217" s="3">
        <f t="shared" si="27"/>
        <v>212.79999999999998</v>
      </c>
      <c r="J217" s="84">
        <v>0</v>
      </c>
      <c r="K217" s="3">
        <f t="shared" si="24"/>
        <v>517.49999999999977</v>
      </c>
      <c r="L217" s="3">
        <v>0.4</v>
      </c>
      <c r="M217" s="3">
        <f t="shared" si="25"/>
        <v>184.69999999999993</v>
      </c>
      <c r="N217" s="3">
        <v>-0.4</v>
      </c>
      <c r="O217" s="3">
        <f t="shared" si="30"/>
        <v>183.50000000000003</v>
      </c>
      <c r="P217" s="3">
        <v>177</v>
      </c>
      <c r="Q217" s="3">
        <v>1</v>
      </c>
      <c r="R217" s="7">
        <f t="shared" si="21"/>
        <v>0.4</v>
      </c>
      <c r="S217" s="7">
        <f t="shared" si="22"/>
        <v>-0.4</v>
      </c>
      <c r="T217" s="86">
        <f t="shared" si="29"/>
        <v>183.50000000000003</v>
      </c>
      <c r="V217" s="3">
        <v>325.5</v>
      </c>
      <c r="X217" s="3">
        <f t="shared" si="26"/>
        <v>90024.099999999962</v>
      </c>
      <c r="Y217" s="3">
        <f t="shared" si="28"/>
        <v>21062</v>
      </c>
      <c r="AA217" s="3">
        <v>10.9257950087975</v>
      </c>
    </row>
    <row r="218" spans="1:29" s="3" customFormat="1" x14ac:dyDescent="0.25">
      <c r="A218" s="73"/>
      <c r="B218" s="8"/>
      <c r="C218" s="14">
        <v>41334</v>
      </c>
      <c r="D218" s="3">
        <v>3.1</v>
      </c>
      <c r="E218" s="3">
        <v>1.5</v>
      </c>
      <c r="F218" s="3">
        <v>4.3</v>
      </c>
      <c r="G218" s="3">
        <f t="shared" si="23"/>
        <v>1540.3000000000002</v>
      </c>
      <c r="H218" s="3">
        <f t="shared" si="27"/>
        <v>215.89999999999998</v>
      </c>
      <c r="J218" s="84">
        <v>0</v>
      </c>
      <c r="K218" s="3">
        <f t="shared" si="24"/>
        <v>517.49999999999977</v>
      </c>
      <c r="L218" s="3">
        <v>0.8</v>
      </c>
      <c r="M218" s="3">
        <f t="shared" si="25"/>
        <v>185.49999999999994</v>
      </c>
      <c r="N218" s="3">
        <v>-0.8</v>
      </c>
      <c r="O218" s="3">
        <f t="shared" si="30"/>
        <v>182.70000000000002</v>
      </c>
      <c r="P218" s="3">
        <v>178</v>
      </c>
      <c r="Q218" s="3">
        <v>1</v>
      </c>
      <c r="R218" s="7">
        <f t="shared" si="21"/>
        <v>0.8</v>
      </c>
      <c r="S218" s="7">
        <f t="shared" si="22"/>
        <v>-0.8</v>
      </c>
      <c r="T218" s="86">
        <f t="shared" si="29"/>
        <v>182.70000000000002</v>
      </c>
      <c r="V218" s="3">
        <v>424.6</v>
      </c>
      <c r="X218" s="3">
        <f t="shared" si="26"/>
        <v>90448.699999999968</v>
      </c>
      <c r="Y218" s="3">
        <f t="shared" si="28"/>
        <v>21486.6</v>
      </c>
      <c r="AA218" s="3">
        <v>10.9834902732216</v>
      </c>
    </row>
    <row r="219" spans="1:29" s="3" customFormat="1" x14ac:dyDescent="0.25">
      <c r="A219" s="73"/>
      <c r="B219" s="8"/>
      <c r="C219" s="14">
        <v>41335</v>
      </c>
      <c r="D219" s="3">
        <v>2.9</v>
      </c>
      <c r="E219" s="3">
        <v>2.5</v>
      </c>
      <c r="F219" s="3">
        <v>3.4</v>
      </c>
      <c r="G219" s="3">
        <f t="shared" si="23"/>
        <v>1543.2000000000003</v>
      </c>
      <c r="H219" s="3">
        <f t="shared" si="27"/>
        <v>218.79999999999998</v>
      </c>
      <c r="J219" s="84">
        <v>0</v>
      </c>
      <c r="K219" s="3">
        <f t="shared" si="24"/>
        <v>517.49999999999977</v>
      </c>
      <c r="L219" s="3">
        <v>0.9</v>
      </c>
      <c r="M219" s="3">
        <f t="shared" si="25"/>
        <v>186.39999999999995</v>
      </c>
      <c r="N219" s="3">
        <v>-0.9</v>
      </c>
      <c r="O219" s="3">
        <f t="shared" si="30"/>
        <v>181.8</v>
      </c>
      <c r="P219" s="3">
        <v>179</v>
      </c>
      <c r="Q219" s="3">
        <v>1</v>
      </c>
      <c r="R219" s="7">
        <f t="shared" si="21"/>
        <v>0.9</v>
      </c>
      <c r="S219" s="7">
        <f t="shared" si="22"/>
        <v>-0.9</v>
      </c>
      <c r="T219" s="86">
        <f t="shared" si="29"/>
        <v>181.8</v>
      </c>
      <c r="V219" s="3">
        <v>530.29999999999995</v>
      </c>
      <c r="X219" s="3">
        <f t="shared" si="26"/>
        <v>90978.999999999971</v>
      </c>
      <c r="Y219" s="3">
        <f t="shared" si="28"/>
        <v>22016.899999999998</v>
      </c>
      <c r="AA219" s="3">
        <v>11.0413197847836</v>
      </c>
    </row>
    <row r="220" spans="1:29" s="44" customFormat="1" ht="15.75" thickBot="1" x14ac:dyDescent="0.3">
      <c r="A220" s="73"/>
      <c r="B220" s="42"/>
      <c r="C220" s="67">
        <v>41336</v>
      </c>
      <c r="D220" s="44">
        <v>2.6</v>
      </c>
      <c r="E220" s="44">
        <v>1.2</v>
      </c>
      <c r="F220" s="44">
        <v>4.3</v>
      </c>
      <c r="G220" s="44">
        <f t="shared" si="23"/>
        <v>1545.8000000000002</v>
      </c>
      <c r="H220" s="44">
        <f t="shared" si="27"/>
        <v>221.39999999999998</v>
      </c>
      <c r="J220" s="85">
        <v>0</v>
      </c>
      <c r="K220" s="44">
        <f t="shared" si="24"/>
        <v>517.49999999999977</v>
      </c>
      <c r="L220" s="44">
        <v>0.9</v>
      </c>
      <c r="M220" s="44">
        <f t="shared" si="25"/>
        <v>187.29999999999995</v>
      </c>
      <c r="N220" s="44">
        <v>-0.9</v>
      </c>
      <c r="O220" s="44">
        <f t="shared" si="30"/>
        <v>180.9</v>
      </c>
      <c r="P220" s="44">
        <v>180</v>
      </c>
      <c r="Q220" s="44">
        <v>1</v>
      </c>
      <c r="R220" s="46">
        <f t="shared" si="21"/>
        <v>0.9</v>
      </c>
      <c r="S220" s="46">
        <f t="shared" si="22"/>
        <v>-0.9</v>
      </c>
      <c r="T220" s="87">
        <f t="shared" si="29"/>
        <v>180.9</v>
      </c>
      <c r="V220" s="44">
        <v>673.7</v>
      </c>
      <c r="W220" s="44">
        <f>(Y220/100)/I184</f>
        <v>1.0248690153568201</v>
      </c>
      <c r="X220" s="44">
        <f t="shared" si="26"/>
        <v>91652.699999999968</v>
      </c>
      <c r="Y220" s="44">
        <f t="shared" si="28"/>
        <v>22690.6</v>
      </c>
      <c r="AA220" s="44">
        <v>11.0992736100799</v>
      </c>
    </row>
    <row r="221" spans="1:29" s="3" customFormat="1" ht="15" customHeight="1" x14ac:dyDescent="0.25">
      <c r="A221" s="17" t="s">
        <v>23</v>
      </c>
      <c r="B221" s="8"/>
      <c r="C221" s="18">
        <v>41337</v>
      </c>
      <c r="D221" s="3">
        <v>5.8</v>
      </c>
      <c r="E221" s="3">
        <v>0.2</v>
      </c>
      <c r="F221" s="3">
        <v>9.6</v>
      </c>
      <c r="G221" s="3">
        <f t="shared" si="23"/>
        <v>1551.6000000000001</v>
      </c>
      <c r="H221" s="3">
        <v>5.8</v>
      </c>
      <c r="I221" s="19" t="s">
        <v>2</v>
      </c>
      <c r="J221" s="84">
        <v>0</v>
      </c>
      <c r="K221" s="3">
        <f t="shared" si="24"/>
        <v>517.49999999999977</v>
      </c>
      <c r="L221" s="3">
        <v>1.5</v>
      </c>
      <c r="M221" s="3">
        <f t="shared" si="25"/>
        <v>188.79999999999995</v>
      </c>
      <c r="N221" s="3">
        <v>-1.5</v>
      </c>
      <c r="O221" s="3">
        <f t="shared" si="30"/>
        <v>179.4</v>
      </c>
      <c r="P221" s="3">
        <v>181</v>
      </c>
      <c r="Q221" s="20">
        <f>1+((P221-180)/27)*(1.15-1)</f>
        <v>1.0055555555555555</v>
      </c>
      <c r="R221" s="7">
        <f t="shared" si="21"/>
        <v>1.5083333333333333</v>
      </c>
      <c r="S221" s="7">
        <f t="shared" si="22"/>
        <v>-1.5083333333333333</v>
      </c>
      <c r="T221" s="86">
        <f t="shared" si="29"/>
        <v>179.39166666666668</v>
      </c>
      <c r="U221" s="19" t="s">
        <v>3</v>
      </c>
      <c r="V221" s="3">
        <v>1366.8</v>
      </c>
      <c r="X221" s="3">
        <f t="shared" si="26"/>
        <v>93019.499999999971</v>
      </c>
      <c r="Y221" s="3">
        <v>1366.8</v>
      </c>
      <c r="Z221" s="19" t="s">
        <v>4</v>
      </c>
      <c r="AA221" s="3">
        <v>11.157342193318399</v>
      </c>
    </row>
    <row r="222" spans="1:29" s="3" customFormat="1" x14ac:dyDescent="0.25">
      <c r="A222" s="17"/>
      <c r="B222" s="8"/>
      <c r="C222" s="18">
        <v>41338</v>
      </c>
      <c r="D222" s="3">
        <v>10.3</v>
      </c>
      <c r="E222" s="3">
        <v>6.1</v>
      </c>
      <c r="F222" s="3">
        <v>15.2</v>
      </c>
      <c r="G222" s="3">
        <f t="shared" si="23"/>
        <v>1561.9</v>
      </c>
      <c r="H222" s="3">
        <f t="shared" si="27"/>
        <v>16.100000000000001</v>
      </c>
      <c r="I222" s="3">
        <f>MIN(E221:E247)</f>
        <v>-2.5</v>
      </c>
      <c r="J222" s="84">
        <v>0.1</v>
      </c>
      <c r="K222" s="3">
        <f t="shared" si="24"/>
        <v>517.5999999999998</v>
      </c>
      <c r="L222" s="3">
        <v>2.2000000000000002</v>
      </c>
      <c r="M222" s="3">
        <f t="shared" si="25"/>
        <v>190.99999999999994</v>
      </c>
      <c r="N222" s="3">
        <v>-2.1</v>
      </c>
      <c r="O222" s="3">
        <f t="shared" si="30"/>
        <v>177.3</v>
      </c>
      <c r="P222" s="3">
        <v>182</v>
      </c>
      <c r="Q222" s="20">
        <f t="shared" ref="Q222:Q247" si="31">1+((P222-180)/27)*(1.15-1)</f>
        <v>1.0111111111111111</v>
      </c>
      <c r="R222" s="7">
        <f t="shared" si="21"/>
        <v>2.2244444444444444</v>
      </c>
      <c r="S222" s="7">
        <f t="shared" si="22"/>
        <v>-2.1244444444444444</v>
      </c>
      <c r="T222" s="86">
        <f t="shared" si="29"/>
        <v>177.26722222222224</v>
      </c>
      <c r="U222" s="3">
        <v>17</v>
      </c>
      <c r="V222" s="3">
        <v>1062.3</v>
      </c>
      <c r="X222" s="3">
        <f t="shared" si="26"/>
        <v>94081.799999999974</v>
      </c>
      <c r="Y222" s="3">
        <f t="shared" si="28"/>
        <v>2429.1</v>
      </c>
      <c r="Z222" s="3">
        <v>19378.000000000004</v>
      </c>
      <c r="AA222" s="3">
        <v>11.215516337560899</v>
      </c>
    </row>
    <row r="223" spans="1:29" s="3" customFormat="1" x14ac:dyDescent="0.25">
      <c r="A223" s="17"/>
      <c r="B223" s="16" t="s">
        <v>24</v>
      </c>
      <c r="C223" s="18">
        <v>41339</v>
      </c>
      <c r="D223" s="3">
        <v>11.1</v>
      </c>
      <c r="E223" s="3">
        <v>8.4</v>
      </c>
      <c r="F223" s="3">
        <v>14</v>
      </c>
      <c r="G223" s="3">
        <f t="shared" si="23"/>
        <v>1573</v>
      </c>
      <c r="H223" s="3">
        <f t="shared" si="27"/>
        <v>27.200000000000003</v>
      </c>
      <c r="I223" s="19" t="s">
        <v>5</v>
      </c>
      <c r="J223" s="84">
        <v>1</v>
      </c>
      <c r="K223" s="3">
        <f t="shared" si="24"/>
        <v>518.5999999999998</v>
      </c>
      <c r="L223" s="3">
        <v>1.1000000000000001</v>
      </c>
      <c r="M223" s="3">
        <f t="shared" si="25"/>
        <v>192.09999999999994</v>
      </c>
      <c r="N223" s="3">
        <v>-0.10000000000000009</v>
      </c>
      <c r="O223" s="3">
        <f t="shared" si="30"/>
        <v>177.20000000000002</v>
      </c>
      <c r="P223" s="3">
        <v>183</v>
      </c>
      <c r="Q223" s="20">
        <f t="shared" si="31"/>
        <v>1.0166666666666666</v>
      </c>
      <c r="R223" s="7">
        <f t="shared" si="21"/>
        <v>1.1183333333333334</v>
      </c>
      <c r="S223" s="7">
        <f t="shared" si="22"/>
        <v>-0.1183333333333334</v>
      </c>
      <c r="T223" s="86">
        <f t="shared" si="29"/>
        <v>177.14888888888891</v>
      </c>
      <c r="U223" s="19" t="s">
        <v>6</v>
      </c>
      <c r="V223" s="3">
        <v>328.9</v>
      </c>
      <c r="X223" s="3">
        <f t="shared" si="26"/>
        <v>94410.699999999968</v>
      </c>
      <c r="Y223" s="3">
        <f t="shared" si="28"/>
        <v>2758</v>
      </c>
      <c r="Z223" s="19" t="s">
        <v>7</v>
      </c>
      <c r="AA223" s="3">
        <v>11.2737871859081</v>
      </c>
      <c r="AC223" s="88" t="s">
        <v>59</v>
      </c>
    </row>
    <row r="224" spans="1:29" s="3" customFormat="1" x14ac:dyDescent="0.25">
      <c r="A224" s="17"/>
      <c r="B224" s="8"/>
      <c r="C224" s="18">
        <v>41340</v>
      </c>
      <c r="D224" s="3">
        <v>12.1</v>
      </c>
      <c r="E224" s="3">
        <v>9.8000000000000007</v>
      </c>
      <c r="F224" s="3">
        <v>15.6</v>
      </c>
      <c r="G224" s="3">
        <f t="shared" si="23"/>
        <v>1585.1</v>
      </c>
      <c r="H224" s="3">
        <f t="shared" si="27"/>
        <v>39.300000000000004</v>
      </c>
      <c r="I224" s="3">
        <f>MAX(F221:F247)</f>
        <v>16.3</v>
      </c>
      <c r="J224" s="84">
        <v>14.4</v>
      </c>
      <c r="K224" s="3">
        <f t="shared" si="24"/>
        <v>532.99999999999977</v>
      </c>
      <c r="L224" s="3">
        <v>0.8</v>
      </c>
      <c r="M224" s="3">
        <f t="shared" si="25"/>
        <v>192.89999999999995</v>
      </c>
      <c r="N224" s="3">
        <v>13.6</v>
      </c>
      <c r="O224" s="3">
        <f t="shared" si="30"/>
        <v>190.8</v>
      </c>
      <c r="P224" s="3">
        <v>184</v>
      </c>
      <c r="Q224" s="20">
        <f t="shared" si="31"/>
        <v>1.0222222222222221</v>
      </c>
      <c r="R224" s="7">
        <f t="shared" si="21"/>
        <v>0.81777777777777771</v>
      </c>
      <c r="S224" s="7">
        <f t="shared" si="22"/>
        <v>13.582222222222223</v>
      </c>
      <c r="T224" s="86">
        <f t="shared" si="29"/>
        <v>190.73111111111112</v>
      </c>
      <c r="U224" s="3">
        <v>0</v>
      </c>
      <c r="V224" s="3">
        <v>281.10000000000002</v>
      </c>
      <c r="X224" s="3">
        <f t="shared" si="26"/>
        <v>94691.799999999974</v>
      </c>
      <c r="Y224" s="3">
        <f t="shared" si="28"/>
        <v>3039.1</v>
      </c>
      <c r="Z224" s="3">
        <f>(Z222/100)/I234</f>
        <v>1.1214120370370371</v>
      </c>
      <c r="AA224" s="3">
        <v>11.332146202658601</v>
      </c>
      <c r="AC224" s="20">
        <f>(AB205*(40/80))+(AB236*(40/80))</f>
        <v>185.30251984126983</v>
      </c>
    </row>
    <row r="225" spans="1:29" s="3" customFormat="1" x14ac:dyDescent="0.25">
      <c r="A225" s="17"/>
      <c r="B225" s="8"/>
      <c r="C225" s="18">
        <v>41341</v>
      </c>
      <c r="D225" s="3">
        <v>11.7</v>
      </c>
      <c r="E225" s="3">
        <v>9.5</v>
      </c>
      <c r="F225" s="3">
        <v>16.3</v>
      </c>
      <c r="G225" s="3">
        <f t="shared" si="23"/>
        <v>1596.8</v>
      </c>
      <c r="H225" s="3">
        <f t="shared" si="27"/>
        <v>51</v>
      </c>
      <c r="I225" s="19" t="s">
        <v>8</v>
      </c>
      <c r="J225" s="3">
        <v>0.6</v>
      </c>
      <c r="K225" s="3">
        <f t="shared" si="24"/>
        <v>533.5999999999998</v>
      </c>
      <c r="L225" s="3">
        <v>1.6</v>
      </c>
      <c r="M225" s="3">
        <f t="shared" si="25"/>
        <v>194.49999999999994</v>
      </c>
      <c r="N225" s="3">
        <v>-1</v>
      </c>
      <c r="O225" s="3">
        <f t="shared" si="30"/>
        <v>189.8</v>
      </c>
      <c r="P225" s="3">
        <v>185</v>
      </c>
      <c r="Q225" s="20">
        <f t="shared" si="31"/>
        <v>1.0277777777777777</v>
      </c>
      <c r="R225" s="7">
        <f t="shared" si="21"/>
        <v>1.6444444444444444</v>
      </c>
      <c r="S225" s="7">
        <f t="shared" si="22"/>
        <v>-1.0444444444444443</v>
      </c>
      <c r="T225" s="7">
        <f t="shared" si="29"/>
        <v>189.68666666666667</v>
      </c>
      <c r="U225" s="19" t="s">
        <v>9</v>
      </c>
      <c r="V225" s="3">
        <v>717.5</v>
      </c>
      <c r="X225" s="3">
        <f t="shared" si="26"/>
        <v>95409.299999999974</v>
      </c>
      <c r="Y225" s="3">
        <f t="shared" si="28"/>
        <v>3756.6</v>
      </c>
      <c r="Z225" s="19" t="s">
        <v>10</v>
      </c>
      <c r="AA225" s="3">
        <v>11.390585154468599</v>
      </c>
      <c r="AC225" s="88" t="s">
        <v>60</v>
      </c>
    </row>
    <row r="226" spans="1:29" s="3" customFormat="1" x14ac:dyDescent="0.25">
      <c r="A226" s="17"/>
      <c r="B226" s="8"/>
      <c r="C226" s="18">
        <v>41342</v>
      </c>
      <c r="D226" s="3">
        <v>9.1999999999999993</v>
      </c>
      <c r="E226" s="3">
        <v>7.3</v>
      </c>
      <c r="F226" s="3">
        <v>12.2</v>
      </c>
      <c r="G226" s="3">
        <f t="shared" si="23"/>
        <v>1606</v>
      </c>
      <c r="H226" s="3">
        <f t="shared" si="27"/>
        <v>60.2</v>
      </c>
      <c r="I226" s="7">
        <f>AVERAGE(D221:D247)</f>
        <v>6.4000000000000021</v>
      </c>
      <c r="J226" s="3">
        <v>0</v>
      </c>
      <c r="K226" s="3">
        <f t="shared" si="24"/>
        <v>533.5999999999998</v>
      </c>
      <c r="L226" s="3">
        <v>0.7</v>
      </c>
      <c r="M226" s="3">
        <f t="shared" si="25"/>
        <v>195.19999999999993</v>
      </c>
      <c r="N226" s="3">
        <v>-0.7</v>
      </c>
      <c r="O226" s="3">
        <f t="shared" si="30"/>
        <v>189.10000000000002</v>
      </c>
      <c r="P226" s="3">
        <v>186</v>
      </c>
      <c r="Q226" s="20">
        <f t="shared" si="31"/>
        <v>1.0333333333333332</v>
      </c>
      <c r="R226" s="7">
        <f t="shared" si="21"/>
        <v>0.72333333333333316</v>
      </c>
      <c r="S226" s="7">
        <f t="shared" si="22"/>
        <v>-0.72333333333333316</v>
      </c>
      <c r="T226" s="7">
        <f t="shared" si="29"/>
        <v>188.96333333333334</v>
      </c>
      <c r="U226" s="3">
        <v>0</v>
      </c>
      <c r="V226" s="3">
        <v>384.9</v>
      </c>
      <c r="X226" s="3">
        <f t="shared" si="26"/>
        <v>95794.199999999968</v>
      </c>
      <c r="Y226" s="3">
        <f t="shared" si="28"/>
        <v>4141.5</v>
      </c>
      <c r="Z226" s="3">
        <v>20</v>
      </c>
      <c r="AA226" s="3">
        <v>11.4490960915339</v>
      </c>
      <c r="AC226" s="3">
        <f>(AB207*(40/80))+(AB238*(40/80))</f>
        <v>4.5</v>
      </c>
    </row>
    <row r="227" spans="1:29" s="3" customFormat="1" x14ac:dyDescent="0.25">
      <c r="A227" s="17"/>
      <c r="B227" s="8"/>
      <c r="C227" s="18">
        <v>41343</v>
      </c>
      <c r="D227" s="3">
        <v>9</v>
      </c>
      <c r="E227" s="3">
        <v>6.3</v>
      </c>
      <c r="F227" s="3">
        <v>12.8</v>
      </c>
      <c r="G227" s="3">
        <f t="shared" si="23"/>
        <v>1615</v>
      </c>
      <c r="H227" s="3">
        <f t="shared" si="27"/>
        <v>69.2</v>
      </c>
      <c r="I227" s="19" t="s">
        <v>11</v>
      </c>
      <c r="J227" s="3">
        <v>19.899999999999999</v>
      </c>
      <c r="K227" s="3">
        <f t="shared" si="24"/>
        <v>553.49999999999977</v>
      </c>
      <c r="L227" s="3">
        <v>0.5</v>
      </c>
      <c r="M227" s="3">
        <f t="shared" si="25"/>
        <v>195.69999999999993</v>
      </c>
      <c r="N227" s="3">
        <v>19.399999999999999</v>
      </c>
      <c r="O227" s="3">
        <v>197.4</v>
      </c>
      <c r="P227" s="3">
        <v>187</v>
      </c>
      <c r="Q227" s="20">
        <f t="shared" si="31"/>
        <v>1.0388888888888888</v>
      </c>
      <c r="R227" s="7">
        <f t="shared" si="21"/>
        <v>0.51944444444444438</v>
      </c>
      <c r="S227" s="7">
        <f t="shared" si="22"/>
        <v>19.380555555555553</v>
      </c>
      <c r="T227" s="7">
        <f t="shared" si="29"/>
        <v>197.4</v>
      </c>
      <c r="U227" s="19" t="s">
        <v>12</v>
      </c>
      <c r="V227" s="3">
        <v>215.8</v>
      </c>
      <c r="X227" s="3">
        <f t="shared" si="26"/>
        <v>96009.999999999971</v>
      </c>
      <c r="Y227" s="3">
        <f t="shared" si="28"/>
        <v>4357.3</v>
      </c>
      <c r="AA227" s="3">
        <v>11.507671328814601</v>
      </c>
      <c r="AC227" s="88" t="s">
        <v>61</v>
      </c>
    </row>
    <row r="228" spans="1:29" s="3" customFormat="1" x14ac:dyDescent="0.25">
      <c r="A228" s="17"/>
      <c r="B228" s="8"/>
      <c r="C228" s="18">
        <v>41344</v>
      </c>
      <c r="D228" s="3">
        <v>5.4</v>
      </c>
      <c r="E228" s="3">
        <v>1.4</v>
      </c>
      <c r="F228" s="3">
        <v>9.5</v>
      </c>
      <c r="G228" s="3">
        <f t="shared" si="23"/>
        <v>1620.4</v>
      </c>
      <c r="H228" s="3">
        <f t="shared" si="27"/>
        <v>74.600000000000009</v>
      </c>
      <c r="I228" s="3">
        <v>5</v>
      </c>
      <c r="J228" s="3">
        <v>2.5</v>
      </c>
      <c r="K228" s="3">
        <f t="shared" si="24"/>
        <v>555.99999999999977</v>
      </c>
      <c r="L228" s="3">
        <v>0.2</v>
      </c>
      <c r="M228" s="3">
        <f t="shared" si="25"/>
        <v>195.89999999999992</v>
      </c>
      <c r="N228" s="3">
        <v>2.2999999999999998</v>
      </c>
      <c r="O228" s="3">
        <v>197.4</v>
      </c>
      <c r="P228" s="3">
        <v>188</v>
      </c>
      <c r="Q228" s="20">
        <f t="shared" si="31"/>
        <v>1.0444444444444445</v>
      </c>
      <c r="R228" s="7">
        <f t="shared" si="21"/>
        <v>0.2088888888888889</v>
      </c>
      <c r="S228" s="7">
        <f t="shared" si="22"/>
        <v>2.2911111111111113</v>
      </c>
      <c r="T228" s="7">
        <f t="shared" si="29"/>
        <v>197.4</v>
      </c>
      <c r="U228" s="7">
        <f>MIN(T221:T247)</f>
        <v>177.14888888888891</v>
      </c>
      <c r="V228" s="3">
        <v>193.6</v>
      </c>
      <c r="X228" s="3">
        <f t="shared" si="26"/>
        <v>96203.599999999977</v>
      </c>
      <c r="Y228" s="3">
        <f t="shared" si="28"/>
        <v>4550.9000000000005</v>
      </c>
      <c r="AA228" s="3">
        <v>11.5663034273196</v>
      </c>
      <c r="AC228" s="3">
        <f>(AB209*(40/80))+(AB240*(40/80))</f>
        <v>6</v>
      </c>
    </row>
    <row r="229" spans="1:29" s="3" customFormat="1" x14ac:dyDescent="0.25">
      <c r="A229" s="17"/>
      <c r="B229" s="8"/>
      <c r="C229" s="18">
        <v>41345</v>
      </c>
      <c r="D229" s="3">
        <v>0</v>
      </c>
      <c r="E229" s="3">
        <v>-1.2</v>
      </c>
      <c r="F229" s="3">
        <v>0.7</v>
      </c>
      <c r="G229" s="3">
        <f t="shared" si="23"/>
        <v>1620.4</v>
      </c>
      <c r="H229" s="3">
        <f t="shared" si="27"/>
        <v>74.600000000000009</v>
      </c>
      <c r="I229" s="19" t="s">
        <v>13</v>
      </c>
      <c r="J229" s="3">
        <v>0.8</v>
      </c>
      <c r="K229" s="3">
        <f t="shared" si="24"/>
        <v>556.79999999999973</v>
      </c>
      <c r="L229" s="3">
        <v>0.6</v>
      </c>
      <c r="M229" s="3">
        <f t="shared" si="25"/>
        <v>196.49999999999991</v>
      </c>
      <c r="N229" s="3">
        <v>0.20000000000000007</v>
      </c>
      <c r="O229" s="3">
        <v>197.4</v>
      </c>
      <c r="P229" s="3">
        <v>189</v>
      </c>
      <c r="Q229" s="20">
        <f t="shared" si="31"/>
        <v>1.05</v>
      </c>
      <c r="R229" s="7">
        <f t="shared" si="21"/>
        <v>0.63</v>
      </c>
      <c r="S229" s="7">
        <f t="shared" si="22"/>
        <v>0.17000000000000004</v>
      </c>
      <c r="T229" s="7">
        <f t="shared" si="29"/>
        <v>197.4</v>
      </c>
      <c r="U229" s="19" t="s">
        <v>14</v>
      </c>
      <c r="V229" s="3">
        <v>387.7</v>
      </c>
      <c r="X229" s="3">
        <f t="shared" si="26"/>
        <v>96591.299999999974</v>
      </c>
      <c r="Y229" s="3">
        <f t="shared" si="28"/>
        <v>4938.6000000000004</v>
      </c>
      <c r="AA229" s="3">
        <v>11.6249851754635</v>
      </c>
      <c r="AC229" s="88" t="s">
        <v>62</v>
      </c>
    </row>
    <row r="230" spans="1:29" s="3" customFormat="1" x14ac:dyDescent="0.25">
      <c r="A230" s="17"/>
      <c r="B230" s="16" t="s">
        <v>25</v>
      </c>
      <c r="C230" s="18">
        <v>41346</v>
      </c>
      <c r="D230" s="3">
        <v>2.2000000000000002</v>
      </c>
      <c r="E230" s="3">
        <v>-0.2</v>
      </c>
      <c r="F230" s="3">
        <v>6</v>
      </c>
      <c r="G230" s="3">
        <f t="shared" si="23"/>
        <v>1622.6000000000001</v>
      </c>
      <c r="H230" s="3">
        <f t="shared" si="27"/>
        <v>76.800000000000011</v>
      </c>
      <c r="I230" s="3">
        <v>0</v>
      </c>
      <c r="J230" s="3">
        <v>0.1</v>
      </c>
      <c r="K230" s="3">
        <f t="shared" si="24"/>
        <v>556.89999999999975</v>
      </c>
      <c r="L230" s="3">
        <v>1</v>
      </c>
      <c r="M230" s="3">
        <f t="shared" si="25"/>
        <v>197.49999999999991</v>
      </c>
      <c r="N230" s="3">
        <v>-0.9</v>
      </c>
      <c r="O230" s="3">
        <f>O229+N230</f>
        <v>196.5</v>
      </c>
      <c r="P230" s="3">
        <v>190</v>
      </c>
      <c r="Q230" s="20">
        <f t="shared" si="31"/>
        <v>1.0555555555555556</v>
      </c>
      <c r="R230" s="7">
        <f t="shared" si="21"/>
        <v>1.0555555555555556</v>
      </c>
      <c r="S230" s="7">
        <f t="shared" si="22"/>
        <v>-0.9555555555555556</v>
      </c>
      <c r="T230" s="7">
        <f t="shared" si="29"/>
        <v>196.44444444444446</v>
      </c>
      <c r="U230" s="7">
        <f>MAX(T221:T247)</f>
        <v>197.4</v>
      </c>
      <c r="V230" s="3">
        <v>796.4</v>
      </c>
      <c r="X230" s="3">
        <f t="shared" si="26"/>
        <v>97387.699999999968</v>
      </c>
      <c r="Y230" s="3">
        <f t="shared" si="28"/>
        <v>5735</v>
      </c>
      <c r="AA230" s="3">
        <v>11.6837095705081</v>
      </c>
      <c r="AC230" s="3">
        <f>(AB211*(40/80))+(AB242*(40/80))</f>
        <v>0</v>
      </c>
    </row>
    <row r="231" spans="1:29" s="3" customFormat="1" x14ac:dyDescent="0.25">
      <c r="A231" s="17"/>
      <c r="B231" s="8"/>
      <c r="C231" s="18">
        <v>41347</v>
      </c>
      <c r="D231" s="3">
        <v>2.1</v>
      </c>
      <c r="E231" s="3">
        <v>-0.4</v>
      </c>
      <c r="F231" s="3">
        <v>7.1</v>
      </c>
      <c r="G231" s="3">
        <f t="shared" si="23"/>
        <v>1624.7</v>
      </c>
      <c r="H231" s="3">
        <f t="shared" si="27"/>
        <v>78.900000000000006</v>
      </c>
      <c r="I231" s="19" t="s">
        <v>15</v>
      </c>
      <c r="J231" s="3">
        <v>0.1</v>
      </c>
      <c r="K231" s="3">
        <f t="shared" si="24"/>
        <v>556.99999999999977</v>
      </c>
      <c r="L231" s="3">
        <v>1.4</v>
      </c>
      <c r="M231" s="3">
        <f t="shared" si="25"/>
        <v>198.89999999999992</v>
      </c>
      <c r="N231" s="3">
        <v>-1.2999999999999998</v>
      </c>
      <c r="O231" s="3">
        <f>O230+N231</f>
        <v>195.2</v>
      </c>
      <c r="P231" s="3">
        <v>191</v>
      </c>
      <c r="Q231" s="20">
        <f t="shared" si="31"/>
        <v>1.0611111111111111</v>
      </c>
      <c r="R231" s="7">
        <f t="shared" si="21"/>
        <v>1.4855555555555555</v>
      </c>
      <c r="S231" s="7">
        <f t="shared" si="22"/>
        <v>-1.3855555555555554</v>
      </c>
      <c r="T231" s="7">
        <f t="shared" si="29"/>
        <v>195.0588888888889</v>
      </c>
      <c r="U231" s="19" t="s">
        <v>16</v>
      </c>
      <c r="V231" s="3">
        <v>1092.0999999999999</v>
      </c>
      <c r="X231" s="3">
        <f t="shared" si="26"/>
        <v>98479.799999999974</v>
      </c>
      <c r="Y231" s="3">
        <f t="shared" si="28"/>
        <v>6827.1</v>
      </c>
      <c r="AA231" s="3">
        <v>11.7424698000957</v>
      </c>
      <c r="AC231" s="88" t="s">
        <v>63</v>
      </c>
    </row>
    <row r="232" spans="1:29" s="3" customFormat="1" x14ac:dyDescent="0.25">
      <c r="A232" s="17"/>
      <c r="B232" s="8"/>
      <c r="C232" s="18">
        <v>41348</v>
      </c>
      <c r="D232" s="3">
        <v>4.2</v>
      </c>
      <c r="E232" s="3">
        <v>-2.5</v>
      </c>
      <c r="F232" s="3">
        <v>10.5</v>
      </c>
      <c r="G232" s="3">
        <f t="shared" si="23"/>
        <v>1628.9</v>
      </c>
      <c r="H232" s="3">
        <f t="shared" si="27"/>
        <v>83.100000000000009</v>
      </c>
      <c r="I232" s="3">
        <v>12</v>
      </c>
      <c r="J232" s="3">
        <v>2.8</v>
      </c>
      <c r="K232" s="3">
        <f t="shared" si="24"/>
        <v>559.79999999999973</v>
      </c>
      <c r="L232" s="3">
        <v>1.1000000000000001</v>
      </c>
      <c r="M232" s="3">
        <f t="shared" si="25"/>
        <v>199.99999999999991</v>
      </c>
      <c r="N232" s="3">
        <v>1.6999999999999997</v>
      </c>
      <c r="O232" s="3">
        <f>O231+N232</f>
        <v>196.89999999999998</v>
      </c>
      <c r="P232" s="3">
        <v>192</v>
      </c>
      <c r="Q232" s="20">
        <f t="shared" si="31"/>
        <v>1.0666666666666667</v>
      </c>
      <c r="R232" s="7">
        <f t="shared" si="21"/>
        <v>1.1733333333333333</v>
      </c>
      <c r="S232" s="7">
        <f t="shared" si="22"/>
        <v>1.6266666666666665</v>
      </c>
      <c r="T232" s="7">
        <f t="shared" si="29"/>
        <v>196.68555555555557</v>
      </c>
      <c r="U232" s="20">
        <f>AVERAGE(T221:T247)</f>
        <v>192.52765432098769</v>
      </c>
      <c r="V232" s="3">
        <v>878.1</v>
      </c>
      <c r="X232" s="3">
        <f t="shared" si="26"/>
        <v>99357.89999999998</v>
      </c>
      <c r="Y232" s="3">
        <f t="shared" si="28"/>
        <v>7705.2000000000007</v>
      </c>
      <c r="AA232" s="3">
        <v>11.8012592238835</v>
      </c>
      <c r="AC232" s="3">
        <f>(AB213*(40/80))+(AB244*(40/80))</f>
        <v>13.7</v>
      </c>
    </row>
    <row r="233" spans="1:29" s="3" customFormat="1" x14ac:dyDescent="0.25">
      <c r="A233" s="17"/>
      <c r="B233" s="8"/>
      <c r="C233" s="18">
        <v>41349</v>
      </c>
      <c r="D233" s="3">
        <v>6.3</v>
      </c>
      <c r="E233" s="3">
        <v>5.8</v>
      </c>
      <c r="F233" s="3">
        <v>7.9</v>
      </c>
      <c r="G233" s="3">
        <f t="shared" si="23"/>
        <v>1635.2</v>
      </c>
      <c r="H233" s="3">
        <f t="shared" si="27"/>
        <v>89.4</v>
      </c>
      <c r="I233" s="19" t="s">
        <v>17</v>
      </c>
      <c r="J233" s="3">
        <v>11.6</v>
      </c>
      <c r="K233" s="3">
        <f t="shared" si="24"/>
        <v>571.39999999999975</v>
      </c>
      <c r="L233" s="3">
        <v>0.9</v>
      </c>
      <c r="M233" s="3">
        <f t="shared" si="25"/>
        <v>200.89999999999992</v>
      </c>
      <c r="N233" s="3">
        <v>10.7</v>
      </c>
      <c r="O233" s="3">
        <v>197.4</v>
      </c>
      <c r="P233" s="3">
        <v>193</v>
      </c>
      <c r="Q233" s="20">
        <f t="shared" si="31"/>
        <v>1.0722222222222222</v>
      </c>
      <c r="R233" s="7">
        <f t="shared" ref="R233:R296" si="32">Q233*L233</f>
        <v>0.96499999999999997</v>
      </c>
      <c r="S233" s="7">
        <f t="shared" ref="S233:S296" si="33">J233-R233</f>
        <v>10.635</v>
      </c>
      <c r="T233" s="7">
        <f t="shared" si="29"/>
        <v>197.4</v>
      </c>
      <c r="V233" s="3">
        <v>363.7</v>
      </c>
      <c r="X233" s="3">
        <f t="shared" si="26"/>
        <v>99721.599999999977</v>
      </c>
      <c r="Y233" s="3">
        <f t="shared" si="28"/>
        <v>8068.9000000000005</v>
      </c>
      <c r="AA233" s="3">
        <v>11.8600713552808</v>
      </c>
    </row>
    <row r="234" spans="1:29" s="3" customFormat="1" x14ac:dyDescent="0.25">
      <c r="A234" s="17"/>
      <c r="B234" s="8"/>
      <c r="C234" s="18">
        <v>41350</v>
      </c>
      <c r="D234" s="3">
        <v>5.9</v>
      </c>
      <c r="E234" s="3">
        <v>3.8</v>
      </c>
      <c r="F234" s="3">
        <v>7.9</v>
      </c>
      <c r="G234" s="3">
        <f t="shared" si="23"/>
        <v>1641.1000000000001</v>
      </c>
      <c r="H234" s="3">
        <f t="shared" si="27"/>
        <v>95.300000000000011</v>
      </c>
      <c r="I234" s="3">
        <v>172.8</v>
      </c>
      <c r="J234" s="3">
        <v>3.1</v>
      </c>
      <c r="K234" s="3">
        <f t="shared" si="24"/>
        <v>574.49999999999977</v>
      </c>
      <c r="L234" s="3">
        <v>0.9</v>
      </c>
      <c r="M234" s="3">
        <f t="shared" si="25"/>
        <v>201.79999999999993</v>
      </c>
      <c r="N234" s="3">
        <v>2.2000000000000002</v>
      </c>
      <c r="O234" s="3">
        <v>197.4</v>
      </c>
      <c r="P234" s="3">
        <v>194</v>
      </c>
      <c r="Q234" s="20">
        <f t="shared" si="31"/>
        <v>1.0777777777777777</v>
      </c>
      <c r="R234" s="7">
        <f t="shared" si="32"/>
        <v>0.97</v>
      </c>
      <c r="S234" s="7">
        <f t="shared" si="33"/>
        <v>2.13</v>
      </c>
      <c r="T234" s="7">
        <f t="shared" si="29"/>
        <v>197.4</v>
      </c>
      <c r="U234" s="7">
        <f>(U232*100)/197.4</f>
        <v>97.531739777602667</v>
      </c>
      <c r="V234" s="3">
        <v>560.1</v>
      </c>
      <c r="X234" s="3">
        <f t="shared" si="26"/>
        <v>100281.69999999998</v>
      </c>
      <c r="Y234" s="3">
        <f t="shared" si="28"/>
        <v>8629</v>
      </c>
      <c r="AA234" s="3">
        <v>11.9188998432952</v>
      </c>
    </row>
    <row r="235" spans="1:29" s="3" customFormat="1" x14ac:dyDescent="0.25">
      <c r="A235" s="17"/>
      <c r="B235" s="8"/>
      <c r="C235" s="18">
        <v>41351</v>
      </c>
      <c r="D235" s="3">
        <v>5.5</v>
      </c>
      <c r="E235" s="3">
        <v>3.6</v>
      </c>
      <c r="F235" s="3">
        <v>8.9</v>
      </c>
      <c r="G235" s="3">
        <f t="shared" ref="G235:G298" si="34">G234+D235</f>
        <v>1646.6000000000001</v>
      </c>
      <c r="H235" s="3">
        <f t="shared" si="27"/>
        <v>100.80000000000001</v>
      </c>
      <c r="J235" s="84">
        <v>0.6</v>
      </c>
      <c r="K235" s="3">
        <f t="shared" ref="K235:K298" si="35">J235+K234</f>
        <v>575.0999999999998</v>
      </c>
      <c r="L235" s="3">
        <v>1.1000000000000001</v>
      </c>
      <c r="M235" s="3">
        <f t="shared" ref="M235:M298" si="36">M234+L235</f>
        <v>202.89999999999992</v>
      </c>
      <c r="N235" s="3">
        <v>-0.50000000000000011</v>
      </c>
      <c r="O235" s="3">
        <f>O234+N235</f>
        <v>196.9</v>
      </c>
      <c r="P235" s="3">
        <v>195</v>
      </c>
      <c r="Q235" s="20">
        <f t="shared" si="31"/>
        <v>1.0833333333333333</v>
      </c>
      <c r="R235" s="7">
        <f t="shared" si="32"/>
        <v>1.1916666666666667</v>
      </c>
      <c r="S235" s="7">
        <f t="shared" si="33"/>
        <v>-0.59166666666666667</v>
      </c>
      <c r="T235" s="7">
        <f t="shared" si="29"/>
        <v>196.80833333333334</v>
      </c>
      <c r="V235" s="3">
        <v>734.6</v>
      </c>
      <c r="X235" s="3">
        <f t="shared" ref="X235:X298" si="37">X234+V235</f>
        <v>101016.29999999999</v>
      </c>
      <c r="Y235" s="3">
        <f t="shared" si="28"/>
        <v>9363.6</v>
      </c>
      <c r="AA235" s="3">
        <v>11.9777384544863</v>
      </c>
      <c r="AB235" s="88" t="s">
        <v>59</v>
      </c>
    </row>
    <row r="236" spans="1:29" s="3" customFormat="1" x14ac:dyDescent="0.25">
      <c r="A236" s="17"/>
      <c r="B236" s="8"/>
      <c r="C236" s="18">
        <v>41352</v>
      </c>
      <c r="D236" s="3">
        <v>5.4</v>
      </c>
      <c r="E236" s="3">
        <v>1.5</v>
      </c>
      <c r="F236" s="3">
        <v>9</v>
      </c>
      <c r="G236" s="3">
        <f t="shared" si="34"/>
        <v>1652.0000000000002</v>
      </c>
      <c r="H236" s="3">
        <f t="shared" si="27"/>
        <v>106.20000000000002</v>
      </c>
      <c r="J236" s="84">
        <v>3.2</v>
      </c>
      <c r="K236" s="3">
        <f t="shared" si="35"/>
        <v>578.29999999999984</v>
      </c>
      <c r="L236" s="3">
        <v>0.9</v>
      </c>
      <c r="M236" s="3">
        <f t="shared" si="36"/>
        <v>203.79999999999993</v>
      </c>
      <c r="N236" s="3">
        <v>2.3000000000000003</v>
      </c>
      <c r="O236" s="3">
        <v>197.4</v>
      </c>
      <c r="P236" s="3">
        <v>196</v>
      </c>
      <c r="Q236" s="20">
        <f t="shared" si="31"/>
        <v>1.0888888888888888</v>
      </c>
      <c r="R236" s="7">
        <f t="shared" si="32"/>
        <v>0.98</v>
      </c>
      <c r="S236" s="7">
        <f t="shared" si="33"/>
        <v>2.2200000000000002</v>
      </c>
      <c r="T236" s="7">
        <f t="shared" si="29"/>
        <v>197.4</v>
      </c>
      <c r="V236" s="3">
        <v>835.6</v>
      </c>
      <c r="X236" s="3">
        <f t="shared" si="37"/>
        <v>101851.9</v>
      </c>
      <c r="Y236" s="3">
        <f t="shared" si="28"/>
        <v>10199.200000000001</v>
      </c>
      <c r="AA236" s="3">
        <v>12.0365810550304</v>
      </c>
      <c r="AB236" s="7">
        <f>AVERAGE(T242:T255)</f>
        <v>187.23083333333332</v>
      </c>
    </row>
    <row r="237" spans="1:29" s="3" customFormat="1" x14ac:dyDescent="0.25">
      <c r="A237" s="17"/>
      <c r="B237" s="16" t="s">
        <v>26</v>
      </c>
      <c r="C237" s="18">
        <v>41353</v>
      </c>
      <c r="D237" s="3">
        <v>6.9</v>
      </c>
      <c r="E237" s="3">
        <v>2.7</v>
      </c>
      <c r="F237" s="3">
        <v>10.7</v>
      </c>
      <c r="G237" s="3">
        <f t="shared" si="34"/>
        <v>1658.9000000000003</v>
      </c>
      <c r="H237" s="3">
        <f t="shared" ref="H237:H300" si="38">H236+D237</f>
        <v>113.10000000000002</v>
      </c>
      <c r="J237" s="84">
        <v>0.2</v>
      </c>
      <c r="K237" s="3">
        <f t="shared" si="35"/>
        <v>578.49999999999989</v>
      </c>
      <c r="L237" s="3">
        <v>1.4</v>
      </c>
      <c r="M237" s="3">
        <f t="shared" si="36"/>
        <v>205.19999999999993</v>
      </c>
      <c r="N237" s="3">
        <v>-1.2</v>
      </c>
      <c r="O237" s="3">
        <f>O236+N237</f>
        <v>196.20000000000002</v>
      </c>
      <c r="P237" s="3">
        <v>197</v>
      </c>
      <c r="Q237" s="20">
        <f t="shared" si="31"/>
        <v>1.0944444444444443</v>
      </c>
      <c r="R237" s="7">
        <f t="shared" si="32"/>
        <v>1.5322222222222219</v>
      </c>
      <c r="S237" s="7">
        <f t="shared" si="33"/>
        <v>-1.332222222222222</v>
      </c>
      <c r="T237" s="7">
        <f t="shared" si="29"/>
        <v>196.06777777777779</v>
      </c>
      <c r="V237" s="3">
        <v>993.8</v>
      </c>
      <c r="X237" s="3">
        <f t="shared" si="37"/>
        <v>102845.7</v>
      </c>
      <c r="Y237" s="3">
        <f t="shared" ref="Y237:Y300" si="39">Y236+V237</f>
        <v>11193</v>
      </c>
      <c r="AA237" s="3">
        <v>12.095421592892601</v>
      </c>
      <c r="AB237" s="88" t="s">
        <v>60</v>
      </c>
    </row>
    <row r="238" spans="1:29" s="3" customFormat="1" x14ac:dyDescent="0.25">
      <c r="A238" s="17"/>
      <c r="B238" s="8"/>
      <c r="C238" s="18">
        <v>41354</v>
      </c>
      <c r="D238" s="3">
        <v>7.4</v>
      </c>
      <c r="E238" s="3">
        <v>5.5</v>
      </c>
      <c r="F238" s="3">
        <v>9.1</v>
      </c>
      <c r="G238" s="3">
        <f t="shared" si="34"/>
        <v>1666.3000000000004</v>
      </c>
      <c r="H238" s="3">
        <f t="shared" si="38"/>
        <v>120.50000000000003</v>
      </c>
      <c r="J238" s="84">
        <v>8.6</v>
      </c>
      <c r="K238" s="3">
        <f t="shared" si="35"/>
        <v>587.09999999999991</v>
      </c>
      <c r="L238" s="3">
        <v>0.7</v>
      </c>
      <c r="M238" s="3">
        <f t="shared" si="36"/>
        <v>205.89999999999992</v>
      </c>
      <c r="N238" s="3">
        <v>7.8999999999999995</v>
      </c>
      <c r="O238" s="3">
        <v>197.4</v>
      </c>
      <c r="P238" s="3">
        <v>198</v>
      </c>
      <c r="Q238" s="20">
        <f t="shared" si="31"/>
        <v>1.0999999999999999</v>
      </c>
      <c r="R238" s="7">
        <f t="shared" si="32"/>
        <v>0.76999999999999991</v>
      </c>
      <c r="S238" s="7">
        <f t="shared" si="33"/>
        <v>7.83</v>
      </c>
      <c r="T238" s="7">
        <f t="shared" ref="T238:T301" si="40">MIN(197.4,T237+S238)</f>
        <v>197.4</v>
      </c>
      <c r="V238" s="3">
        <v>318.7</v>
      </c>
      <c r="X238" s="3">
        <f t="shared" si="37"/>
        <v>103164.4</v>
      </c>
      <c r="Y238" s="3">
        <f t="shared" si="39"/>
        <v>11511.7</v>
      </c>
      <c r="AA238" s="3">
        <v>12.1542540801066</v>
      </c>
      <c r="AB238" s="3">
        <v>5</v>
      </c>
    </row>
    <row r="239" spans="1:29" s="3" customFormat="1" x14ac:dyDescent="0.25">
      <c r="A239" s="17"/>
      <c r="B239" s="8"/>
      <c r="C239" s="18">
        <v>41355</v>
      </c>
      <c r="D239" s="3">
        <v>10.5</v>
      </c>
      <c r="E239" s="3">
        <v>7.1</v>
      </c>
      <c r="F239" s="3">
        <v>14.4</v>
      </c>
      <c r="G239" s="3">
        <f t="shared" si="34"/>
        <v>1676.8000000000004</v>
      </c>
      <c r="H239" s="3">
        <f t="shared" si="38"/>
        <v>131.00000000000003</v>
      </c>
      <c r="J239" s="84">
        <v>1.6</v>
      </c>
      <c r="K239" s="3">
        <f t="shared" si="35"/>
        <v>588.69999999999993</v>
      </c>
      <c r="L239" s="3">
        <v>1.7</v>
      </c>
      <c r="M239" s="3">
        <f t="shared" si="36"/>
        <v>207.59999999999991</v>
      </c>
      <c r="N239" s="3">
        <v>-9.9999999999999867E-2</v>
      </c>
      <c r="O239" s="3">
        <f t="shared" ref="O239:O256" si="41">O238+N239</f>
        <v>197.3</v>
      </c>
      <c r="P239" s="3">
        <v>199</v>
      </c>
      <c r="Q239" s="20">
        <f t="shared" si="31"/>
        <v>1.1055555555555554</v>
      </c>
      <c r="R239" s="7">
        <f t="shared" si="32"/>
        <v>1.879444444444444</v>
      </c>
      <c r="S239" s="7">
        <f t="shared" si="33"/>
        <v>-0.27944444444444394</v>
      </c>
      <c r="T239" s="7">
        <f t="shared" si="40"/>
        <v>197.12055555555557</v>
      </c>
      <c r="V239" s="3">
        <v>854.9</v>
      </c>
      <c r="X239" s="3">
        <f t="shared" si="37"/>
        <v>104019.29999999999</v>
      </c>
      <c r="Y239" s="3">
        <f t="shared" si="39"/>
        <v>12366.6</v>
      </c>
      <c r="AA239" s="3">
        <v>12.2130725751594</v>
      </c>
      <c r="AB239" s="88" t="s">
        <v>61</v>
      </c>
    </row>
    <row r="240" spans="1:29" s="3" customFormat="1" x14ac:dyDescent="0.25">
      <c r="A240" s="17"/>
      <c r="B240" s="8"/>
      <c r="C240" s="18">
        <v>41356</v>
      </c>
      <c r="D240" s="3">
        <v>9.3000000000000007</v>
      </c>
      <c r="E240" s="3">
        <v>6.9</v>
      </c>
      <c r="F240" s="3">
        <v>11.4</v>
      </c>
      <c r="G240" s="3">
        <f t="shared" si="34"/>
        <v>1686.1000000000004</v>
      </c>
      <c r="H240" s="3">
        <f t="shared" si="38"/>
        <v>140.30000000000004</v>
      </c>
      <c r="J240" s="84">
        <v>0</v>
      </c>
      <c r="K240" s="3">
        <f t="shared" si="35"/>
        <v>588.69999999999993</v>
      </c>
      <c r="L240" s="3">
        <v>1.1000000000000001</v>
      </c>
      <c r="M240" s="3">
        <f t="shared" si="36"/>
        <v>208.6999999999999</v>
      </c>
      <c r="N240" s="3">
        <v>-1.1000000000000001</v>
      </c>
      <c r="O240" s="3">
        <f t="shared" si="41"/>
        <v>196.20000000000002</v>
      </c>
      <c r="P240" s="3">
        <v>200</v>
      </c>
      <c r="Q240" s="20">
        <f t="shared" si="31"/>
        <v>1.1111111111111109</v>
      </c>
      <c r="R240" s="7">
        <f t="shared" si="32"/>
        <v>1.2222222222222221</v>
      </c>
      <c r="S240" s="7">
        <f t="shared" si="33"/>
        <v>-1.2222222222222221</v>
      </c>
      <c r="T240" s="7">
        <f t="shared" si="40"/>
        <v>195.89833333333334</v>
      </c>
      <c r="V240" s="3">
        <v>904.4</v>
      </c>
      <c r="X240" s="3">
        <f t="shared" si="37"/>
        <v>104923.69999999998</v>
      </c>
      <c r="Y240" s="3">
        <f t="shared" si="39"/>
        <v>13271</v>
      </c>
      <c r="AA240" s="3">
        <v>12.2718711654767</v>
      </c>
      <c r="AB240" s="3">
        <v>5</v>
      </c>
    </row>
    <row r="241" spans="1:28" s="3" customFormat="1" x14ac:dyDescent="0.25">
      <c r="A241" s="17"/>
      <c r="B241" s="8"/>
      <c r="C241" s="18">
        <v>41357</v>
      </c>
      <c r="D241" s="3">
        <v>7.9</v>
      </c>
      <c r="E241" s="3">
        <v>5</v>
      </c>
      <c r="F241" s="3">
        <v>13</v>
      </c>
      <c r="G241" s="3">
        <f t="shared" si="34"/>
        <v>1694.0000000000005</v>
      </c>
      <c r="H241" s="3">
        <f t="shared" si="38"/>
        <v>148.20000000000005</v>
      </c>
      <c r="J241" s="84">
        <v>0</v>
      </c>
      <c r="K241" s="3">
        <f t="shared" si="35"/>
        <v>588.69999999999993</v>
      </c>
      <c r="L241" s="3">
        <v>1.9</v>
      </c>
      <c r="M241" s="3">
        <f t="shared" si="36"/>
        <v>210.59999999999991</v>
      </c>
      <c r="N241" s="3">
        <v>-1.9</v>
      </c>
      <c r="O241" s="3">
        <f t="shared" si="41"/>
        <v>194.3</v>
      </c>
      <c r="P241" s="3">
        <v>201</v>
      </c>
      <c r="Q241" s="20">
        <f t="shared" si="31"/>
        <v>1.1166666666666667</v>
      </c>
      <c r="R241" s="7">
        <f t="shared" si="32"/>
        <v>2.1216666666666666</v>
      </c>
      <c r="S241" s="7">
        <f t="shared" si="33"/>
        <v>-2.1216666666666666</v>
      </c>
      <c r="T241" s="7">
        <f t="shared" si="40"/>
        <v>193.77666666666667</v>
      </c>
      <c r="V241" s="3">
        <v>1286.5999999999999</v>
      </c>
      <c r="X241" s="3">
        <f t="shared" si="37"/>
        <v>106210.29999999999</v>
      </c>
      <c r="Y241" s="3">
        <f t="shared" si="39"/>
        <v>14557.6</v>
      </c>
      <c r="AA241" s="3">
        <v>12.3306439500082</v>
      </c>
      <c r="AB241" s="88" t="s">
        <v>62</v>
      </c>
    </row>
    <row r="242" spans="1:28" s="3" customFormat="1" x14ac:dyDescent="0.25">
      <c r="A242" s="17"/>
      <c r="B242" s="8"/>
      <c r="C242" s="18">
        <v>41358</v>
      </c>
      <c r="D242" s="3">
        <v>5.4</v>
      </c>
      <c r="E242" s="3">
        <v>4.4000000000000004</v>
      </c>
      <c r="F242" s="3">
        <v>7.1</v>
      </c>
      <c r="G242" s="3">
        <f t="shared" si="34"/>
        <v>1699.4000000000005</v>
      </c>
      <c r="H242" s="3">
        <f t="shared" si="38"/>
        <v>153.60000000000005</v>
      </c>
      <c r="J242" s="84">
        <v>0</v>
      </c>
      <c r="K242" s="3">
        <f t="shared" si="35"/>
        <v>588.69999999999993</v>
      </c>
      <c r="L242" s="3">
        <v>1</v>
      </c>
      <c r="M242" s="3">
        <f t="shared" si="36"/>
        <v>211.59999999999991</v>
      </c>
      <c r="N242" s="3">
        <v>-1</v>
      </c>
      <c r="O242" s="3">
        <f t="shared" si="41"/>
        <v>193.3</v>
      </c>
      <c r="P242" s="3">
        <v>202</v>
      </c>
      <c r="Q242" s="20">
        <f t="shared" si="31"/>
        <v>1.1222222222222222</v>
      </c>
      <c r="R242" s="7">
        <f t="shared" si="32"/>
        <v>1.1222222222222222</v>
      </c>
      <c r="S242" s="7">
        <f t="shared" si="33"/>
        <v>-1.1222222222222222</v>
      </c>
      <c r="T242" s="86">
        <f t="shared" si="40"/>
        <v>192.65444444444444</v>
      </c>
      <c r="V242" s="3">
        <v>673.6</v>
      </c>
      <c r="X242" s="3">
        <f t="shared" si="37"/>
        <v>106883.9</v>
      </c>
      <c r="Y242" s="3">
        <f t="shared" si="39"/>
        <v>15231.2</v>
      </c>
      <c r="AA242" s="3">
        <v>12.389385021906101</v>
      </c>
      <c r="AB242" s="3">
        <v>0</v>
      </c>
    </row>
    <row r="243" spans="1:28" s="3" customFormat="1" x14ac:dyDescent="0.25">
      <c r="A243" s="17"/>
      <c r="B243" s="8"/>
      <c r="C243" s="18">
        <v>41359</v>
      </c>
      <c r="D243" s="3">
        <v>5.5</v>
      </c>
      <c r="E243" s="3">
        <v>3.1</v>
      </c>
      <c r="F243" s="3">
        <v>7.4</v>
      </c>
      <c r="G243" s="3">
        <f t="shared" si="34"/>
        <v>1704.9000000000005</v>
      </c>
      <c r="H243" s="3">
        <f t="shared" si="38"/>
        <v>159.10000000000005</v>
      </c>
      <c r="J243" s="84">
        <v>0</v>
      </c>
      <c r="K243" s="3">
        <f t="shared" si="35"/>
        <v>588.69999999999993</v>
      </c>
      <c r="L243" s="3">
        <v>1</v>
      </c>
      <c r="M243" s="3">
        <f t="shared" si="36"/>
        <v>212.59999999999991</v>
      </c>
      <c r="N243" s="3">
        <v>-1</v>
      </c>
      <c r="O243" s="3">
        <f t="shared" si="41"/>
        <v>192.3</v>
      </c>
      <c r="P243" s="3">
        <v>203</v>
      </c>
      <c r="Q243" s="20">
        <f t="shared" si="31"/>
        <v>1.1277777777777778</v>
      </c>
      <c r="R243" s="7">
        <f t="shared" si="32"/>
        <v>1.1277777777777778</v>
      </c>
      <c r="S243" s="7">
        <f t="shared" si="33"/>
        <v>-1.1277777777777778</v>
      </c>
      <c r="T243" s="86">
        <f t="shared" si="40"/>
        <v>191.52666666666667</v>
      </c>
      <c r="V243" s="3">
        <v>744.7</v>
      </c>
      <c r="X243" s="3">
        <f t="shared" si="37"/>
        <v>107628.59999999999</v>
      </c>
      <c r="Y243" s="3">
        <f t="shared" si="39"/>
        <v>15975.900000000001</v>
      </c>
      <c r="AA243" s="3">
        <v>12.4480884512964</v>
      </c>
      <c r="AB243" s="88" t="s">
        <v>63</v>
      </c>
    </row>
    <row r="244" spans="1:28" s="3" customFormat="1" x14ac:dyDescent="0.25">
      <c r="A244" s="17"/>
      <c r="B244" s="16" t="s">
        <v>27</v>
      </c>
      <c r="C244" s="18">
        <v>41360</v>
      </c>
      <c r="D244" s="3">
        <v>4.5</v>
      </c>
      <c r="E244" s="3">
        <v>2.2999999999999998</v>
      </c>
      <c r="F244" s="3">
        <v>6.8</v>
      </c>
      <c r="G244" s="3">
        <f t="shared" si="34"/>
        <v>1709.4000000000005</v>
      </c>
      <c r="H244" s="3">
        <f t="shared" si="38"/>
        <v>163.60000000000005</v>
      </c>
      <c r="J244" s="84">
        <v>0</v>
      </c>
      <c r="K244" s="3">
        <f t="shared" si="35"/>
        <v>588.69999999999993</v>
      </c>
      <c r="L244" s="3">
        <v>1.1000000000000001</v>
      </c>
      <c r="M244" s="3">
        <f t="shared" si="36"/>
        <v>213.6999999999999</v>
      </c>
      <c r="N244" s="3">
        <v>-1.1000000000000001</v>
      </c>
      <c r="O244" s="3">
        <f t="shared" si="41"/>
        <v>191.20000000000002</v>
      </c>
      <c r="P244" s="3">
        <v>204</v>
      </c>
      <c r="Q244" s="20">
        <f t="shared" si="31"/>
        <v>1.1333333333333333</v>
      </c>
      <c r="R244" s="7">
        <f t="shared" si="32"/>
        <v>1.2466666666666668</v>
      </c>
      <c r="S244" s="7">
        <f t="shared" si="33"/>
        <v>-1.2466666666666668</v>
      </c>
      <c r="T244" s="86">
        <f t="shared" si="40"/>
        <v>190.28</v>
      </c>
      <c r="V244" s="3">
        <v>750.8</v>
      </c>
      <c r="W244" s="13"/>
      <c r="X244" s="3">
        <f t="shared" si="37"/>
        <v>108379.4</v>
      </c>
      <c r="Y244" s="3">
        <f t="shared" si="39"/>
        <v>16726.7</v>
      </c>
      <c r="AA244" s="3">
        <v>12.506748268137301</v>
      </c>
      <c r="AB244" s="3">
        <f>SUM(J246:J255)</f>
        <v>11.899999999999999</v>
      </c>
    </row>
    <row r="245" spans="1:28" s="79" customFormat="1" ht="15" customHeight="1" x14ac:dyDescent="0.25">
      <c r="A245" s="81"/>
      <c r="B245" s="77" t="s">
        <v>58</v>
      </c>
      <c r="C245" s="78">
        <v>41361</v>
      </c>
      <c r="D245" s="82">
        <v>3.3</v>
      </c>
      <c r="E245" s="82">
        <v>-0.1</v>
      </c>
      <c r="F245" s="79">
        <v>7.1</v>
      </c>
      <c r="G245" s="79">
        <f t="shared" si="34"/>
        <v>1712.7000000000005</v>
      </c>
      <c r="H245" s="79">
        <f t="shared" si="38"/>
        <v>166.90000000000006</v>
      </c>
      <c r="J245" s="79">
        <v>0</v>
      </c>
      <c r="K245" s="79">
        <f t="shared" si="35"/>
        <v>588.69999999999993</v>
      </c>
      <c r="L245" s="79">
        <v>1.8</v>
      </c>
      <c r="M245" s="79">
        <f t="shared" si="36"/>
        <v>215.49999999999991</v>
      </c>
      <c r="N245" s="82">
        <v>-1.8</v>
      </c>
      <c r="O245" s="79">
        <f t="shared" si="41"/>
        <v>189.4</v>
      </c>
      <c r="P245" s="79">
        <v>205</v>
      </c>
      <c r="Q245" s="83">
        <f t="shared" si="31"/>
        <v>1.1388888888888888</v>
      </c>
      <c r="R245" s="80">
        <f t="shared" si="32"/>
        <v>2.0499999999999998</v>
      </c>
      <c r="S245" s="80">
        <f t="shared" si="33"/>
        <v>-2.0499999999999998</v>
      </c>
      <c r="T245" s="80">
        <f t="shared" si="40"/>
        <v>188.23</v>
      </c>
      <c r="V245" s="79">
        <v>1380</v>
      </c>
      <c r="X245" s="79">
        <f t="shared" si="37"/>
        <v>109759.4</v>
      </c>
      <c r="Y245" s="79">
        <f t="shared" si="39"/>
        <v>18106.7</v>
      </c>
      <c r="AA245" s="79">
        <v>12.565358445162101</v>
      </c>
    </row>
    <row r="246" spans="1:28" s="3" customFormat="1" x14ac:dyDescent="0.25">
      <c r="A246" s="17"/>
      <c r="B246" s="8"/>
      <c r="C246" s="18">
        <v>41362</v>
      </c>
      <c r="D246" s="3">
        <v>3.1</v>
      </c>
      <c r="E246" s="3">
        <v>1.2</v>
      </c>
      <c r="F246" s="3">
        <v>4.9000000000000004</v>
      </c>
      <c r="G246" s="3">
        <f t="shared" si="34"/>
        <v>1715.8000000000004</v>
      </c>
      <c r="H246" s="3">
        <f t="shared" si="38"/>
        <v>170.00000000000006</v>
      </c>
      <c r="J246" s="84">
        <v>4.8</v>
      </c>
      <c r="K246" s="3">
        <f t="shared" si="35"/>
        <v>593.49999999999989</v>
      </c>
      <c r="L246" s="3">
        <v>1</v>
      </c>
      <c r="M246" s="3">
        <f t="shared" si="36"/>
        <v>216.49999999999991</v>
      </c>
      <c r="N246" s="3">
        <v>3.8</v>
      </c>
      <c r="O246" s="3">
        <f t="shared" si="41"/>
        <v>193.20000000000002</v>
      </c>
      <c r="P246" s="3">
        <v>206</v>
      </c>
      <c r="Q246" s="20">
        <f t="shared" si="31"/>
        <v>1.1444444444444444</v>
      </c>
      <c r="R246" s="7">
        <f t="shared" si="32"/>
        <v>1.1444444444444444</v>
      </c>
      <c r="S246" s="7">
        <f t="shared" si="33"/>
        <v>3.6555555555555554</v>
      </c>
      <c r="T246" s="86">
        <f t="shared" si="40"/>
        <v>191.88555555555556</v>
      </c>
      <c r="U246" s="22"/>
      <c r="V246" s="3">
        <v>558.4</v>
      </c>
      <c r="X246" s="3">
        <f t="shared" si="37"/>
        <v>110317.79999999999</v>
      </c>
      <c r="Y246" s="3">
        <f t="shared" si="39"/>
        <v>18665.100000000002</v>
      </c>
      <c r="AA246" s="3">
        <v>12.6239128809042</v>
      </c>
    </row>
    <row r="247" spans="1:28" s="44" customFormat="1" ht="15.75" thickBot="1" x14ac:dyDescent="0.3">
      <c r="A247" s="41"/>
      <c r="B247" s="42"/>
      <c r="C247" s="43">
        <v>41363</v>
      </c>
      <c r="D247" s="44">
        <v>2.8</v>
      </c>
      <c r="E247" s="44">
        <v>2.2999999999999998</v>
      </c>
      <c r="F247" s="44">
        <v>4.7</v>
      </c>
      <c r="G247" s="44">
        <f t="shared" si="34"/>
        <v>1718.6000000000004</v>
      </c>
      <c r="H247" s="44">
        <f t="shared" si="38"/>
        <v>172.80000000000007</v>
      </c>
      <c r="J247" s="85">
        <v>0.2</v>
      </c>
      <c r="K247" s="44">
        <f t="shared" si="35"/>
        <v>593.69999999999993</v>
      </c>
      <c r="L247" s="44">
        <v>1.1000000000000001</v>
      </c>
      <c r="M247" s="44">
        <f t="shared" si="36"/>
        <v>217.59999999999991</v>
      </c>
      <c r="N247" s="44">
        <v>-0.90000000000000013</v>
      </c>
      <c r="O247" s="44">
        <f t="shared" si="41"/>
        <v>192.3</v>
      </c>
      <c r="P247" s="44">
        <v>207</v>
      </c>
      <c r="Q247" s="45">
        <f t="shared" si="31"/>
        <v>1.1499999999999999</v>
      </c>
      <c r="R247" s="46">
        <f t="shared" si="32"/>
        <v>1.2649999999999999</v>
      </c>
      <c r="S247" s="46">
        <f t="shared" si="33"/>
        <v>-1.0649999999999999</v>
      </c>
      <c r="T247" s="87">
        <f t="shared" si="40"/>
        <v>190.82055555555556</v>
      </c>
      <c r="V247" s="44">
        <v>712.9</v>
      </c>
      <c r="X247" s="44">
        <f t="shared" si="37"/>
        <v>111030.69999999998</v>
      </c>
      <c r="Y247" s="44">
        <f t="shared" si="39"/>
        <v>19378.000000000004</v>
      </c>
      <c r="AA247" s="44">
        <v>12.6824053828018</v>
      </c>
    </row>
    <row r="248" spans="1:28" s="3" customFormat="1" x14ac:dyDescent="0.25">
      <c r="A248" s="23" t="s">
        <v>28</v>
      </c>
      <c r="B248" s="4"/>
      <c r="C248" s="24">
        <v>41364</v>
      </c>
      <c r="D248" s="3">
        <v>3.1</v>
      </c>
      <c r="E248" s="3">
        <v>-1.2</v>
      </c>
      <c r="F248" s="3">
        <v>6.5</v>
      </c>
      <c r="G248" s="3">
        <f t="shared" si="34"/>
        <v>1721.7000000000003</v>
      </c>
      <c r="H248" s="3">
        <v>3.1</v>
      </c>
      <c r="I248" s="25" t="s">
        <v>2</v>
      </c>
      <c r="J248" s="84">
        <v>0</v>
      </c>
      <c r="K248" s="3">
        <f t="shared" si="35"/>
        <v>593.69999999999993</v>
      </c>
      <c r="L248" s="3">
        <v>1.4</v>
      </c>
      <c r="M248" s="3">
        <f t="shared" si="36"/>
        <v>218.99999999999991</v>
      </c>
      <c r="N248" s="3">
        <v>-1.4</v>
      </c>
      <c r="O248" s="3">
        <f t="shared" si="41"/>
        <v>190.9</v>
      </c>
      <c r="P248" s="3">
        <v>208</v>
      </c>
      <c r="Q248" s="3">
        <v>1.1499999999999999</v>
      </c>
      <c r="R248" s="7">
        <f t="shared" si="32"/>
        <v>1.6099999999999999</v>
      </c>
      <c r="S248" s="7">
        <f t="shared" si="33"/>
        <v>-1.6099999999999999</v>
      </c>
      <c r="T248" s="86">
        <f t="shared" si="40"/>
        <v>189.21055555555554</v>
      </c>
      <c r="U248" s="25" t="s">
        <v>3</v>
      </c>
      <c r="V248" s="3">
        <v>1323.9</v>
      </c>
      <c r="X248" s="3">
        <f t="shared" si="37"/>
        <v>112354.59999999998</v>
      </c>
      <c r="Y248" s="3">
        <v>1323.9</v>
      </c>
      <c r="Z248" s="25" t="s">
        <v>4</v>
      </c>
      <c r="AA248" s="3">
        <v>12.7408296503808</v>
      </c>
    </row>
    <row r="249" spans="1:28" s="3" customFormat="1" x14ac:dyDescent="0.25">
      <c r="A249" s="26"/>
      <c r="B249" s="4"/>
      <c r="C249" s="24">
        <v>41365</v>
      </c>
      <c r="D249" s="3">
        <v>4.5</v>
      </c>
      <c r="E249" s="3">
        <v>-0.2</v>
      </c>
      <c r="F249" s="3">
        <v>8.1</v>
      </c>
      <c r="G249" s="3">
        <f t="shared" si="34"/>
        <v>1726.2000000000003</v>
      </c>
      <c r="H249" s="3">
        <f t="shared" si="38"/>
        <v>7.6</v>
      </c>
      <c r="I249" s="3">
        <f>MIN(E248:E268)</f>
        <v>-1.2</v>
      </c>
      <c r="J249" s="84">
        <v>0</v>
      </c>
      <c r="K249" s="3">
        <f t="shared" si="35"/>
        <v>593.69999999999993</v>
      </c>
      <c r="L249" s="3">
        <v>2.2999999999999998</v>
      </c>
      <c r="M249" s="3">
        <f t="shared" si="36"/>
        <v>221.29999999999993</v>
      </c>
      <c r="N249" s="3">
        <v>-2.2999999999999998</v>
      </c>
      <c r="O249" s="3">
        <f t="shared" si="41"/>
        <v>188.6</v>
      </c>
      <c r="P249" s="3">
        <v>209</v>
      </c>
      <c r="Q249" s="3">
        <v>1.1499999999999999</v>
      </c>
      <c r="R249" s="7">
        <f t="shared" si="32"/>
        <v>2.6449999999999996</v>
      </c>
      <c r="S249" s="7">
        <f t="shared" si="33"/>
        <v>-2.6449999999999996</v>
      </c>
      <c r="T249" s="86">
        <f t="shared" si="40"/>
        <v>186.56555555555553</v>
      </c>
      <c r="U249" s="3">
        <v>17</v>
      </c>
      <c r="V249" s="3">
        <v>1901.3</v>
      </c>
      <c r="X249" s="3">
        <f t="shared" si="37"/>
        <v>114255.89999999998</v>
      </c>
      <c r="Y249" s="3">
        <f t="shared" si="39"/>
        <v>3225.2</v>
      </c>
      <c r="Z249" s="3">
        <v>26874.2</v>
      </c>
      <c r="AA249" s="3">
        <v>12.7991792585143</v>
      </c>
    </row>
    <row r="250" spans="1:28" s="3" customFormat="1" x14ac:dyDescent="0.25">
      <c r="A250" s="26"/>
      <c r="B250" s="4"/>
      <c r="C250" s="24">
        <v>41366</v>
      </c>
      <c r="D250" s="3">
        <v>4.8</v>
      </c>
      <c r="E250" s="3">
        <v>0.2</v>
      </c>
      <c r="F250" s="3">
        <v>10.3</v>
      </c>
      <c r="G250" s="3">
        <f t="shared" si="34"/>
        <v>1731.0000000000002</v>
      </c>
      <c r="H250" s="3">
        <f t="shared" si="38"/>
        <v>12.399999999999999</v>
      </c>
      <c r="I250" s="25" t="s">
        <v>5</v>
      </c>
      <c r="J250" s="84">
        <v>0</v>
      </c>
      <c r="K250" s="3">
        <f t="shared" si="35"/>
        <v>593.69999999999993</v>
      </c>
      <c r="L250" s="3">
        <v>1.9</v>
      </c>
      <c r="M250" s="3">
        <f t="shared" si="36"/>
        <v>223.19999999999993</v>
      </c>
      <c r="N250" s="3">
        <v>-1.9</v>
      </c>
      <c r="O250" s="3">
        <f t="shared" si="41"/>
        <v>186.7</v>
      </c>
      <c r="P250" s="3">
        <v>210</v>
      </c>
      <c r="Q250" s="3">
        <v>1.1499999999999999</v>
      </c>
      <c r="R250" s="7">
        <f t="shared" si="32"/>
        <v>2.1849999999999996</v>
      </c>
      <c r="S250" s="7">
        <f t="shared" si="33"/>
        <v>-2.1849999999999996</v>
      </c>
      <c r="T250" s="86">
        <f t="shared" si="40"/>
        <v>184.38055555555553</v>
      </c>
      <c r="U250" s="25" t="s">
        <v>6</v>
      </c>
      <c r="V250" s="3">
        <v>1345.4</v>
      </c>
      <c r="X250" s="3">
        <f t="shared" si="37"/>
        <v>115601.29999999997</v>
      </c>
      <c r="Y250" s="3">
        <f t="shared" si="39"/>
        <v>4570.6000000000004</v>
      </c>
      <c r="Z250" s="25" t="s">
        <v>7</v>
      </c>
      <c r="AA250" s="3">
        <v>12.8574476407617</v>
      </c>
    </row>
    <row r="251" spans="1:28" s="3" customFormat="1" x14ac:dyDescent="0.25">
      <c r="A251" s="26"/>
      <c r="B251" s="4"/>
      <c r="C251" s="24">
        <v>41367</v>
      </c>
      <c r="D251" s="3">
        <v>3.9</v>
      </c>
      <c r="E251" s="3">
        <v>-0.3</v>
      </c>
      <c r="F251" s="3">
        <v>9.5</v>
      </c>
      <c r="G251" s="3">
        <f t="shared" si="34"/>
        <v>1734.9000000000003</v>
      </c>
      <c r="H251" s="3">
        <f t="shared" si="38"/>
        <v>16.299999999999997</v>
      </c>
      <c r="I251" s="3">
        <f>MAX(F248:F268)</f>
        <v>22.8</v>
      </c>
      <c r="J251" s="84">
        <v>0</v>
      </c>
      <c r="K251" s="3">
        <f t="shared" si="35"/>
        <v>593.69999999999993</v>
      </c>
      <c r="L251" s="3">
        <v>2.7</v>
      </c>
      <c r="M251" s="3">
        <f t="shared" si="36"/>
        <v>225.89999999999992</v>
      </c>
      <c r="N251" s="3">
        <v>-2.7</v>
      </c>
      <c r="O251" s="3">
        <f t="shared" si="41"/>
        <v>184</v>
      </c>
      <c r="P251" s="3">
        <v>211</v>
      </c>
      <c r="Q251" s="3">
        <v>1.1499999999999999</v>
      </c>
      <c r="R251" s="7">
        <f t="shared" si="32"/>
        <v>3.105</v>
      </c>
      <c r="S251" s="7">
        <f t="shared" si="33"/>
        <v>-3.105</v>
      </c>
      <c r="T251" s="86">
        <f t="shared" si="40"/>
        <v>181.27555555555554</v>
      </c>
      <c r="U251" s="3">
        <v>0</v>
      </c>
      <c r="V251" s="3">
        <v>1868.2</v>
      </c>
      <c r="X251" s="3">
        <f t="shared" si="37"/>
        <v>117469.49999999997</v>
      </c>
      <c r="Y251" s="3">
        <f t="shared" si="39"/>
        <v>6438.8</v>
      </c>
      <c r="Z251" s="3">
        <f>(Z249/100)/I261</f>
        <v>1.5174590626764541</v>
      </c>
      <c r="AA251" s="3">
        <v>12.915628072785401</v>
      </c>
    </row>
    <row r="252" spans="1:28" s="3" customFormat="1" x14ac:dyDescent="0.25">
      <c r="A252" s="26"/>
      <c r="B252" s="4"/>
      <c r="C252" s="24">
        <v>41368</v>
      </c>
      <c r="D252" s="3">
        <v>3.2</v>
      </c>
      <c r="E252" s="3">
        <v>0.3</v>
      </c>
      <c r="F252" s="3">
        <v>7.6</v>
      </c>
      <c r="G252" s="3">
        <f t="shared" si="34"/>
        <v>1738.1000000000004</v>
      </c>
      <c r="H252" s="3">
        <f t="shared" si="38"/>
        <v>19.499999999999996</v>
      </c>
      <c r="I252" s="25" t="s">
        <v>8</v>
      </c>
      <c r="J252" s="84">
        <v>2.8</v>
      </c>
      <c r="K252" s="3">
        <f t="shared" si="35"/>
        <v>596.49999999999989</v>
      </c>
      <c r="L252" s="3">
        <v>1.6</v>
      </c>
      <c r="M252" s="3">
        <f t="shared" si="36"/>
        <v>227.49999999999991</v>
      </c>
      <c r="N252" s="3">
        <v>1.1999999999999997</v>
      </c>
      <c r="O252" s="3">
        <f t="shared" si="41"/>
        <v>185.2</v>
      </c>
      <c r="P252" s="3">
        <v>212</v>
      </c>
      <c r="Q252" s="3">
        <v>1.1499999999999999</v>
      </c>
      <c r="R252" s="7">
        <f t="shared" si="32"/>
        <v>1.8399999999999999</v>
      </c>
      <c r="S252" s="7">
        <f t="shared" si="33"/>
        <v>0.96</v>
      </c>
      <c r="T252" s="86">
        <f t="shared" si="40"/>
        <v>182.23555555555555</v>
      </c>
      <c r="U252" s="25" t="s">
        <v>9</v>
      </c>
      <c r="V252" s="3">
        <v>926</v>
      </c>
      <c r="X252" s="3">
        <f t="shared" si="37"/>
        <v>118395.49999999997</v>
      </c>
      <c r="Y252" s="3">
        <f t="shared" si="39"/>
        <v>7364.8</v>
      </c>
      <c r="Z252" s="25" t="s">
        <v>10</v>
      </c>
      <c r="AA252" s="3">
        <v>12.973713655852</v>
      </c>
    </row>
    <row r="253" spans="1:28" s="3" customFormat="1" x14ac:dyDescent="0.25">
      <c r="A253" s="26"/>
      <c r="B253" s="4"/>
      <c r="C253" s="24">
        <v>41369</v>
      </c>
      <c r="D253" s="3">
        <v>3.3</v>
      </c>
      <c r="E253" s="3">
        <v>2.6</v>
      </c>
      <c r="F253" s="3">
        <v>4</v>
      </c>
      <c r="G253" s="3">
        <f t="shared" si="34"/>
        <v>1741.4000000000003</v>
      </c>
      <c r="H253" s="3">
        <f t="shared" si="38"/>
        <v>22.799999999999997</v>
      </c>
      <c r="I253" s="7">
        <f>AVERAGE(D248:D268)</f>
        <v>8.4333333333333336</v>
      </c>
      <c r="J253" s="84">
        <v>3.9</v>
      </c>
      <c r="K253" s="3">
        <f t="shared" si="35"/>
        <v>600.39999999999986</v>
      </c>
      <c r="L253" s="3">
        <v>0.6</v>
      </c>
      <c r="M253" s="3">
        <f t="shared" si="36"/>
        <v>228.09999999999991</v>
      </c>
      <c r="N253" s="3">
        <v>3.3</v>
      </c>
      <c r="O253" s="3">
        <f t="shared" si="41"/>
        <v>188.5</v>
      </c>
      <c r="P253" s="3">
        <v>213</v>
      </c>
      <c r="Q253" s="3">
        <v>1.1499999999999999</v>
      </c>
      <c r="R253" s="7">
        <f t="shared" si="32"/>
        <v>0.69</v>
      </c>
      <c r="S253" s="7">
        <f t="shared" si="33"/>
        <v>3.21</v>
      </c>
      <c r="T253" s="86">
        <f t="shared" si="40"/>
        <v>185.44555555555556</v>
      </c>
      <c r="U253" s="3">
        <v>0</v>
      </c>
      <c r="V253" s="3">
        <v>396.8</v>
      </c>
      <c r="X253" s="3">
        <f t="shared" si="37"/>
        <v>118792.29999999997</v>
      </c>
      <c r="Y253" s="3">
        <f t="shared" si="39"/>
        <v>7761.6</v>
      </c>
      <c r="Z253" s="3">
        <v>7</v>
      </c>
      <c r="AA253" s="3">
        <v>13.0316973004188</v>
      </c>
    </row>
    <row r="254" spans="1:28" s="3" customFormat="1" x14ac:dyDescent="0.25">
      <c r="A254" s="26"/>
      <c r="B254" s="4"/>
      <c r="C254" s="24">
        <v>41370</v>
      </c>
      <c r="D254" s="3">
        <v>4.7</v>
      </c>
      <c r="E254" s="3">
        <v>3</v>
      </c>
      <c r="F254" s="3">
        <v>7.6</v>
      </c>
      <c r="G254" s="3">
        <f t="shared" si="34"/>
        <v>1746.1000000000004</v>
      </c>
      <c r="H254" s="3">
        <f t="shared" si="38"/>
        <v>27.499999999999996</v>
      </c>
      <c r="I254" s="25" t="s">
        <v>11</v>
      </c>
      <c r="J254" s="84">
        <v>0</v>
      </c>
      <c r="K254" s="3">
        <f t="shared" si="35"/>
        <v>600.39999999999986</v>
      </c>
      <c r="L254" s="3">
        <v>1.4</v>
      </c>
      <c r="M254" s="3">
        <f t="shared" si="36"/>
        <v>229.49999999999991</v>
      </c>
      <c r="N254" s="3">
        <v>-1.4</v>
      </c>
      <c r="O254" s="3">
        <f t="shared" si="41"/>
        <v>187.1</v>
      </c>
      <c r="P254" s="3">
        <v>214</v>
      </c>
      <c r="Q254" s="3">
        <v>1.1499999999999999</v>
      </c>
      <c r="R254" s="7">
        <f t="shared" si="32"/>
        <v>1.6099999999999999</v>
      </c>
      <c r="S254" s="7">
        <f t="shared" si="33"/>
        <v>-1.6099999999999999</v>
      </c>
      <c r="T254" s="86">
        <f t="shared" si="40"/>
        <v>183.83555555555554</v>
      </c>
      <c r="U254" s="25" t="s">
        <v>12</v>
      </c>
      <c r="V254" s="3">
        <v>676.8</v>
      </c>
      <c r="X254" s="3">
        <f t="shared" si="37"/>
        <v>119469.09999999998</v>
      </c>
      <c r="Y254" s="3">
        <f t="shared" si="39"/>
        <v>8438.4</v>
      </c>
      <c r="AA254" s="3">
        <v>13.0895717098142</v>
      </c>
    </row>
    <row r="255" spans="1:28" s="3" customFormat="1" x14ac:dyDescent="0.25">
      <c r="A255" s="26"/>
      <c r="B255" s="4"/>
      <c r="C255" s="24">
        <v>41371</v>
      </c>
      <c r="D255" s="3">
        <v>5</v>
      </c>
      <c r="E255" s="3">
        <v>1.4</v>
      </c>
      <c r="F255" s="3">
        <v>7.5</v>
      </c>
      <c r="G255" s="3">
        <f t="shared" si="34"/>
        <v>1751.1000000000004</v>
      </c>
      <c r="H255" s="3">
        <f t="shared" si="38"/>
        <v>32.5</v>
      </c>
      <c r="I255" s="3">
        <v>3</v>
      </c>
      <c r="J255" s="84">
        <v>0.2</v>
      </c>
      <c r="K255" s="3">
        <f t="shared" si="35"/>
        <v>600.59999999999991</v>
      </c>
      <c r="L255" s="3">
        <v>1</v>
      </c>
      <c r="M255" s="3">
        <f t="shared" si="36"/>
        <v>230.49999999999991</v>
      </c>
      <c r="N255" s="3">
        <v>-0.8</v>
      </c>
      <c r="O255" s="3">
        <f t="shared" si="41"/>
        <v>186.29999999999998</v>
      </c>
      <c r="P255" s="3">
        <v>215</v>
      </c>
      <c r="Q255" s="3">
        <v>1.1499999999999999</v>
      </c>
      <c r="R255" s="7">
        <f t="shared" si="32"/>
        <v>1.1499999999999999</v>
      </c>
      <c r="S255" s="7">
        <f t="shared" si="33"/>
        <v>-0.95</v>
      </c>
      <c r="T255" s="86">
        <f t="shared" si="40"/>
        <v>182.88555555555556</v>
      </c>
      <c r="U255" s="7">
        <f>MIN(T248:T268)</f>
        <v>172.76</v>
      </c>
      <c r="V255" s="3">
        <v>694.4</v>
      </c>
      <c r="X255" s="3">
        <f t="shared" si="37"/>
        <v>120163.49999999997</v>
      </c>
      <c r="Y255" s="3">
        <f t="shared" si="39"/>
        <v>9132.7999999999993</v>
      </c>
      <c r="AA255" s="3">
        <v>13.1473293640191</v>
      </c>
    </row>
    <row r="256" spans="1:28" s="3" customFormat="1" x14ac:dyDescent="0.25">
      <c r="A256" s="26"/>
      <c r="B256" s="4"/>
      <c r="C256" s="24">
        <v>41372</v>
      </c>
      <c r="D256" s="3">
        <v>8.1999999999999993</v>
      </c>
      <c r="E256" s="3">
        <v>4.5999999999999996</v>
      </c>
      <c r="F256" s="3">
        <v>13</v>
      </c>
      <c r="G256" s="3">
        <f t="shared" si="34"/>
        <v>1759.3000000000004</v>
      </c>
      <c r="H256" s="3">
        <f t="shared" si="38"/>
        <v>40.700000000000003</v>
      </c>
      <c r="I256" s="25" t="s">
        <v>13</v>
      </c>
      <c r="J256" s="3">
        <v>8.8000000000000007</v>
      </c>
      <c r="K256" s="3">
        <f t="shared" si="35"/>
        <v>609.39999999999986</v>
      </c>
      <c r="L256" s="3">
        <v>1.9</v>
      </c>
      <c r="M256" s="3">
        <f t="shared" si="36"/>
        <v>232.39999999999992</v>
      </c>
      <c r="N256" s="3">
        <v>6.9</v>
      </c>
      <c r="O256" s="3">
        <f t="shared" si="41"/>
        <v>193.2</v>
      </c>
      <c r="P256" s="3">
        <v>216</v>
      </c>
      <c r="Q256" s="3">
        <v>1.1499999999999999</v>
      </c>
      <c r="R256" s="7">
        <f t="shared" si="32"/>
        <v>2.1849999999999996</v>
      </c>
      <c r="S256" s="7">
        <f t="shared" si="33"/>
        <v>6.6150000000000011</v>
      </c>
      <c r="T256" s="7">
        <f t="shared" si="40"/>
        <v>189.50055555555556</v>
      </c>
      <c r="U256" s="25" t="s">
        <v>14</v>
      </c>
      <c r="V256" s="3">
        <v>1147.7</v>
      </c>
      <c r="X256" s="3">
        <f t="shared" si="37"/>
        <v>121311.19999999997</v>
      </c>
      <c r="Y256" s="3">
        <f t="shared" si="39"/>
        <v>10280.5</v>
      </c>
      <c r="AA256" s="3">
        <v>13.204962503558599</v>
      </c>
    </row>
    <row r="257" spans="1:27" s="3" customFormat="1" x14ac:dyDescent="0.25">
      <c r="A257" s="26"/>
      <c r="B257" s="4"/>
      <c r="C257" s="24">
        <v>41373</v>
      </c>
      <c r="D257" s="3">
        <v>9.6</v>
      </c>
      <c r="E257" s="3">
        <v>6.5</v>
      </c>
      <c r="F257" s="3">
        <v>12.4</v>
      </c>
      <c r="G257" s="3">
        <f t="shared" si="34"/>
        <v>1768.9000000000003</v>
      </c>
      <c r="H257" s="3">
        <f t="shared" si="38"/>
        <v>50.300000000000004</v>
      </c>
      <c r="I257" s="3">
        <v>0</v>
      </c>
      <c r="J257" s="3">
        <v>5.5</v>
      </c>
      <c r="K257" s="3">
        <f t="shared" si="35"/>
        <v>614.89999999999986</v>
      </c>
      <c r="L257" s="3">
        <v>1.2</v>
      </c>
      <c r="M257" s="3">
        <f t="shared" si="36"/>
        <v>233.59999999999991</v>
      </c>
      <c r="N257" s="3">
        <v>4.3</v>
      </c>
      <c r="O257" s="3">
        <v>197.4</v>
      </c>
      <c r="P257" s="3">
        <v>217</v>
      </c>
      <c r="Q257" s="3">
        <v>1.1499999999999999</v>
      </c>
      <c r="R257" s="7">
        <f t="shared" si="32"/>
        <v>1.38</v>
      </c>
      <c r="S257" s="7">
        <f t="shared" si="33"/>
        <v>4.12</v>
      </c>
      <c r="T257" s="7">
        <f t="shared" si="40"/>
        <v>193.62055555555557</v>
      </c>
      <c r="U257" s="7">
        <f>MAX(T248:T268)</f>
        <v>197.4</v>
      </c>
      <c r="V257" s="3">
        <v>782.7</v>
      </c>
      <c r="X257" s="3">
        <f t="shared" si="37"/>
        <v>122093.89999999997</v>
      </c>
      <c r="Y257" s="3">
        <f t="shared" si="39"/>
        <v>11063.2</v>
      </c>
      <c r="AA257" s="3">
        <v>13.2624631135172</v>
      </c>
    </row>
    <row r="258" spans="1:27" s="3" customFormat="1" x14ac:dyDescent="0.25">
      <c r="A258" s="26"/>
      <c r="B258" s="4"/>
      <c r="C258" s="24">
        <v>41374</v>
      </c>
      <c r="D258" s="3">
        <v>9.6</v>
      </c>
      <c r="E258" s="3">
        <v>6</v>
      </c>
      <c r="F258" s="3">
        <v>11.8</v>
      </c>
      <c r="G258" s="3">
        <f t="shared" si="34"/>
        <v>1778.5000000000002</v>
      </c>
      <c r="H258" s="3">
        <f t="shared" si="38"/>
        <v>59.900000000000006</v>
      </c>
      <c r="I258" s="25" t="s">
        <v>15</v>
      </c>
      <c r="J258" s="3">
        <v>11.9</v>
      </c>
      <c r="K258" s="3">
        <f t="shared" si="35"/>
        <v>626.79999999999984</v>
      </c>
      <c r="L258" s="3">
        <v>0.6</v>
      </c>
      <c r="M258" s="3">
        <f t="shared" si="36"/>
        <v>234.1999999999999</v>
      </c>
      <c r="N258" s="3">
        <v>11.3</v>
      </c>
      <c r="O258" s="3">
        <v>197.4</v>
      </c>
      <c r="P258" s="3">
        <v>218</v>
      </c>
      <c r="Q258" s="3">
        <v>1.1499999999999999</v>
      </c>
      <c r="R258" s="7">
        <f t="shared" si="32"/>
        <v>0.69</v>
      </c>
      <c r="S258" s="7">
        <f t="shared" si="33"/>
        <v>11.21</v>
      </c>
      <c r="T258" s="7">
        <f t="shared" si="40"/>
        <v>197.4</v>
      </c>
      <c r="U258" s="25" t="s">
        <v>16</v>
      </c>
      <c r="V258" s="3">
        <v>479.6</v>
      </c>
      <c r="X258" s="3">
        <f t="shared" si="37"/>
        <v>122573.49999999997</v>
      </c>
      <c r="Y258" s="3">
        <f t="shared" si="39"/>
        <v>11542.800000000001</v>
      </c>
      <c r="AA258" s="3">
        <v>13.319822907690501</v>
      </c>
    </row>
    <row r="259" spans="1:27" s="3" customFormat="1" x14ac:dyDescent="0.25">
      <c r="A259" s="23" t="s">
        <v>29</v>
      </c>
      <c r="B259" s="4"/>
      <c r="C259" s="24">
        <v>41375</v>
      </c>
      <c r="D259" s="3">
        <v>11.5</v>
      </c>
      <c r="E259" s="3">
        <v>9.5</v>
      </c>
      <c r="F259" s="3">
        <v>13</v>
      </c>
      <c r="G259" s="3">
        <f t="shared" si="34"/>
        <v>1790.0000000000002</v>
      </c>
      <c r="H259" s="3">
        <f t="shared" si="38"/>
        <v>71.400000000000006</v>
      </c>
      <c r="I259" s="3">
        <v>8</v>
      </c>
      <c r="J259" s="3">
        <v>6.7</v>
      </c>
      <c r="K259" s="3">
        <f t="shared" si="35"/>
        <v>633.49999999999989</v>
      </c>
      <c r="L259" s="3">
        <v>1.7</v>
      </c>
      <c r="M259" s="3">
        <f t="shared" si="36"/>
        <v>235.89999999999989</v>
      </c>
      <c r="N259" s="3">
        <v>5</v>
      </c>
      <c r="O259" s="3">
        <v>197.4</v>
      </c>
      <c r="P259" s="3">
        <v>219</v>
      </c>
      <c r="Q259" s="3">
        <v>1.1499999999999999</v>
      </c>
      <c r="R259" s="7">
        <f t="shared" si="32"/>
        <v>1.9549999999999998</v>
      </c>
      <c r="S259" s="7">
        <f t="shared" si="33"/>
        <v>4.7450000000000001</v>
      </c>
      <c r="T259" s="7">
        <f t="shared" si="40"/>
        <v>197.4</v>
      </c>
      <c r="U259" s="20">
        <f>AVERAGE(T248:T268)</f>
        <v>187.1071693121693</v>
      </c>
      <c r="V259" s="3">
        <v>1033.4000000000001</v>
      </c>
      <c r="X259" s="3">
        <f t="shared" si="37"/>
        <v>123606.89999999997</v>
      </c>
      <c r="Y259" s="3">
        <f t="shared" si="39"/>
        <v>12576.2</v>
      </c>
      <c r="AA259" s="3">
        <v>13.3770333128915</v>
      </c>
    </row>
    <row r="260" spans="1:27" s="3" customFormat="1" x14ac:dyDescent="0.25">
      <c r="A260" s="26"/>
      <c r="B260" s="4"/>
      <c r="C260" s="24">
        <v>41376</v>
      </c>
      <c r="D260" s="3">
        <v>11.3</v>
      </c>
      <c r="E260" s="3">
        <v>10.1</v>
      </c>
      <c r="F260" s="3">
        <v>14.8</v>
      </c>
      <c r="G260" s="3">
        <f t="shared" si="34"/>
        <v>1801.3000000000002</v>
      </c>
      <c r="H260" s="3">
        <f t="shared" si="38"/>
        <v>82.7</v>
      </c>
      <c r="I260" s="25" t="s">
        <v>17</v>
      </c>
      <c r="J260" s="3">
        <v>1.7</v>
      </c>
      <c r="K260" s="3">
        <f t="shared" si="35"/>
        <v>635.19999999999993</v>
      </c>
      <c r="L260" s="3">
        <v>2.9</v>
      </c>
      <c r="M260" s="3">
        <f t="shared" si="36"/>
        <v>238.7999999999999</v>
      </c>
      <c r="N260" s="3">
        <v>-1.2</v>
      </c>
      <c r="O260" s="3">
        <f t="shared" ref="O260:O323" si="42">O259+N260</f>
        <v>196.20000000000002</v>
      </c>
      <c r="P260" s="3">
        <v>220</v>
      </c>
      <c r="Q260" s="3">
        <v>1.1499999999999999</v>
      </c>
      <c r="R260" s="7">
        <f t="shared" si="32"/>
        <v>3.3349999999999995</v>
      </c>
      <c r="S260" s="7">
        <f t="shared" si="33"/>
        <v>-1.6349999999999996</v>
      </c>
      <c r="T260" s="7">
        <f t="shared" si="40"/>
        <v>195.76500000000001</v>
      </c>
      <c r="V260" s="3">
        <v>1334.9</v>
      </c>
      <c r="X260" s="3">
        <f t="shared" si="37"/>
        <v>124941.79999999996</v>
      </c>
      <c r="Y260" s="3">
        <f t="shared" si="39"/>
        <v>13911.1</v>
      </c>
      <c r="AA260" s="3">
        <v>13.4340854534294</v>
      </c>
    </row>
    <row r="261" spans="1:27" s="3" customFormat="1" x14ac:dyDescent="0.25">
      <c r="A261" s="26"/>
      <c r="B261" s="4"/>
      <c r="C261" s="24">
        <v>41377</v>
      </c>
      <c r="D261" s="3">
        <v>11</v>
      </c>
      <c r="E261" s="3">
        <v>6.5</v>
      </c>
      <c r="F261" s="3">
        <v>13.9</v>
      </c>
      <c r="G261" s="3">
        <f t="shared" si="34"/>
        <v>1812.3000000000002</v>
      </c>
      <c r="H261" s="3">
        <f t="shared" si="38"/>
        <v>93.7</v>
      </c>
      <c r="I261" s="3">
        <v>177.1</v>
      </c>
      <c r="J261" s="3">
        <v>1</v>
      </c>
      <c r="K261" s="3">
        <f t="shared" si="35"/>
        <v>636.19999999999993</v>
      </c>
      <c r="L261" s="3">
        <v>0.7</v>
      </c>
      <c r="M261" s="3">
        <f t="shared" si="36"/>
        <v>239.49999999999989</v>
      </c>
      <c r="N261" s="3">
        <v>0.30000000000000004</v>
      </c>
      <c r="O261" s="3">
        <f t="shared" si="42"/>
        <v>196.50000000000003</v>
      </c>
      <c r="P261" s="3">
        <v>221</v>
      </c>
      <c r="Q261" s="3">
        <v>1.1499999999999999</v>
      </c>
      <c r="R261" s="7">
        <f t="shared" si="32"/>
        <v>0.80499999999999994</v>
      </c>
      <c r="S261" s="7">
        <f t="shared" si="33"/>
        <v>0.19500000000000006</v>
      </c>
      <c r="T261" s="7">
        <f t="shared" si="40"/>
        <v>195.96</v>
      </c>
      <c r="U261" s="7">
        <f>(U259*100)/197.4</f>
        <v>94.785800056823362</v>
      </c>
      <c r="V261" s="3">
        <v>555.20000000000005</v>
      </c>
      <c r="X261" s="3">
        <f t="shared" si="37"/>
        <v>125496.99999999996</v>
      </c>
      <c r="Y261" s="3">
        <f t="shared" si="39"/>
        <v>14466.300000000001</v>
      </c>
      <c r="AA261" s="3">
        <v>13.490970135784</v>
      </c>
    </row>
    <row r="262" spans="1:27" s="3" customFormat="1" x14ac:dyDescent="0.25">
      <c r="A262" s="26"/>
      <c r="B262" s="4"/>
      <c r="C262" s="24">
        <v>41378</v>
      </c>
      <c r="D262" s="3">
        <v>14.9</v>
      </c>
      <c r="E262" s="3">
        <v>10.7</v>
      </c>
      <c r="F262" s="3">
        <v>21.4</v>
      </c>
      <c r="G262" s="3">
        <f t="shared" si="34"/>
        <v>1827.2000000000003</v>
      </c>
      <c r="H262" s="3">
        <f t="shared" si="38"/>
        <v>108.60000000000001</v>
      </c>
      <c r="J262" s="3">
        <v>1.5</v>
      </c>
      <c r="K262" s="3">
        <f t="shared" si="35"/>
        <v>637.69999999999993</v>
      </c>
      <c r="L262" s="3">
        <v>4.0999999999999996</v>
      </c>
      <c r="M262" s="3">
        <f t="shared" si="36"/>
        <v>243.59999999999988</v>
      </c>
      <c r="N262" s="3">
        <v>-2.5999999999999996</v>
      </c>
      <c r="O262" s="3">
        <f t="shared" si="42"/>
        <v>193.90000000000003</v>
      </c>
      <c r="P262" s="3">
        <v>222</v>
      </c>
      <c r="Q262" s="3">
        <v>1.1499999999999999</v>
      </c>
      <c r="R262" s="7">
        <f t="shared" si="32"/>
        <v>4.714999999999999</v>
      </c>
      <c r="S262" s="7">
        <f t="shared" si="33"/>
        <v>-3.214999999999999</v>
      </c>
      <c r="T262" s="7">
        <f t="shared" si="40"/>
        <v>192.745</v>
      </c>
      <c r="V262" s="3">
        <v>2062.1999999999998</v>
      </c>
      <c r="X262" s="3">
        <f t="shared" si="37"/>
        <v>127559.19999999995</v>
      </c>
      <c r="Y262" s="3">
        <f t="shared" si="39"/>
        <v>16528.5</v>
      </c>
      <c r="AA262" s="3">
        <v>13.547677833501201</v>
      </c>
    </row>
    <row r="263" spans="1:27" s="3" customFormat="1" x14ac:dyDescent="0.25">
      <c r="A263" s="26"/>
      <c r="B263" s="4"/>
      <c r="C263" s="24">
        <v>41379</v>
      </c>
      <c r="D263" s="3">
        <v>13.4</v>
      </c>
      <c r="E263" s="3">
        <v>10.9</v>
      </c>
      <c r="F263" s="3">
        <v>16.399999999999999</v>
      </c>
      <c r="G263" s="3">
        <f t="shared" si="34"/>
        <v>1840.6000000000004</v>
      </c>
      <c r="H263" s="3">
        <f t="shared" si="38"/>
        <v>122.00000000000001</v>
      </c>
      <c r="J263" s="3">
        <v>0</v>
      </c>
      <c r="K263" s="3">
        <f t="shared" si="35"/>
        <v>637.69999999999993</v>
      </c>
      <c r="L263" s="3">
        <v>3.1</v>
      </c>
      <c r="M263" s="3">
        <f t="shared" si="36"/>
        <v>246.69999999999987</v>
      </c>
      <c r="N263" s="3">
        <v>-3.1</v>
      </c>
      <c r="O263" s="3">
        <f t="shared" si="42"/>
        <v>190.80000000000004</v>
      </c>
      <c r="P263" s="3">
        <v>223</v>
      </c>
      <c r="Q263" s="3">
        <v>1.1499999999999999</v>
      </c>
      <c r="R263" s="7">
        <f t="shared" si="32"/>
        <v>3.5649999999999999</v>
      </c>
      <c r="S263" s="7">
        <f t="shared" si="33"/>
        <v>-3.5649999999999999</v>
      </c>
      <c r="T263" s="7">
        <f t="shared" si="40"/>
        <v>189.18</v>
      </c>
      <c r="V263" s="3">
        <v>1859.9</v>
      </c>
      <c r="X263" s="3">
        <f t="shared" si="37"/>
        <v>129419.09999999995</v>
      </c>
      <c r="Y263" s="3">
        <f t="shared" si="39"/>
        <v>18388.400000000001</v>
      </c>
      <c r="AA263" s="3">
        <v>13.6041986723355</v>
      </c>
    </row>
    <row r="264" spans="1:27" s="3" customFormat="1" x14ac:dyDescent="0.25">
      <c r="A264" s="26"/>
      <c r="B264" s="4"/>
      <c r="C264" s="24">
        <v>41380</v>
      </c>
      <c r="D264" s="3">
        <v>12.7</v>
      </c>
      <c r="E264" s="3">
        <v>10.7</v>
      </c>
      <c r="F264" s="3">
        <v>14.4</v>
      </c>
      <c r="G264" s="3">
        <f t="shared" si="34"/>
        <v>1853.3000000000004</v>
      </c>
      <c r="H264" s="3">
        <f t="shared" si="38"/>
        <v>134.70000000000002</v>
      </c>
      <c r="J264" s="3">
        <v>0</v>
      </c>
      <c r="K264" s="3">
        <f t="shared" si="35"/>
        <v>637.69999999999993</v>
      </c>
      <c r="L264" s="3">
        <v>1</v>
      </c>
      <c r="M264" s="3">
        <f t="shared" si="36"/>
        <v>247.69999999999987</v>
      </c>
      <c r="N264" s="3">
        <v>-1</v>
      </c>
      <c r="O264" s="3">
        <f t="shared" si="42"/>
        <v>189.80000000000004</v>
      </c>
      <c r="P264" s="3">
        <v>224</v>
      </c>
      <c r="Q264" s="3">
        <v>1.1499999999999999</v>
      </c>
      <c r="R264" s="7">
        <f t="shared" si="32"/>
        <v>1.1499999999999999</v>
      </c>
      <c r="S264" s="7">
        <f t="shared" si="33"/>
        <v>-1.1499999999999999</v>
      </c>
      <c r="T264" s="7">
        <f t="shared" si="40"/>
        <v>188.03</v>
      </c>
      <c r="V264" s="3">
        <v>586.29999999999995</v>
      </c>
      <c r="X264" s="3">
        <f t="shared" si="37"/>
        <v>130005.39999999995</v>
      </c>
      <c r="Y264" s="3">
        <f t="shared" si="39"/>
        <v>18974.7</v>
      </c>
      <c r="AA264" s="3">
        <v>13.660522415674199</v>
      </c>
    </row>
    <row r="265" spans="1:27" s="3" customFormat="1" x14ac:dyDescent="0.25">
      <c r="A265" s="26"/>
      <c r="B265" s="4"/>
      <c r="C265" s="24">
        <v>41381</v>
      </c>
      <c r="D265" s="3">
        <v>15</v>
      </c>
      <c r="E265" s="3">
        <v>9.3000000000000007</v>
      </c>
      <c r="F265" s="3">
        <v>22.8</v>
      </c>
      <c r="G265" s="3">
        <f t="shared" si="34"/>
        <v>1868.3000000000004</v>
      </c>
      <c r="H265" s="3">
        <f t="shared" si="38"/>
        <v>149.70000000000002</v>
      </c>
      <c r="J265" s="3">
        <v>0</v>
      </c>
      <c r="K265" s="3">
        <f t="shared" si="35"/>
        <v>637.69999999999993</v>
      </c>
      <c r="L265" s="3">
        <v>3.8</v>
      </c>
      <c r="M265" s="3">
        <f t="shared" si="36"/>
        <v>251.49999999999989</v>
      </c>
      <c r="N265" s="21">
        <v>-3.8</v>
      </c>
      <c r="O265" s="3">
        <f t="shared" si="42"/>
        <v>186.00000000000003</v>
      </c>
      <c r="P265" s="3">
        <v>225</v>
      </c>
      <c r="Q265" s="3">
        <v>1.1499999999999999</v>
      </c>
      <c r="R265" s="7">
        <f t="shared" si="32"/>
        <v>4.3699999999999992</v>
      </c>
      <c r="S265" s="7">
        <f t="shared" si="33"/>
        <v>-4.3699999999999992</v>
      </c>
      <c r="T265" s="7">
        <f t="shared" si="40"/>
        <v>183.66</v>
      </c>
      <c r="V265" s="3">
        <v>1898.5</v>
      </c>
      <c r="W265" s="13"/>
      <c r="X265" s="3">
        <f t="shared" si="37"/>
        <v>131903.89999999997</v>
      </c>
      <c r="Y265" s="3">
        <f t="shared" si="39"/>
        <v>20873.2</v>
      </c>
      <c r="AA265" s="3">
        <v>13.7166384502749</v>
      </c>
    </row>
    <row r="266" spans="1:27" s="3" customFormat="1" ht="15" customHeight="1" x14ac:dyDescent="0.25">
      <c r="A266" s="26"/>
      <c r="B266" s="4"/>
      <c r="C266" s="24">
        <v>41382</v>
      </c>
      <c r="D266" s="3">
        <v>11.3</v>
      </c>
      <c r="E266" s="3">
        <v>9.3000000000000007</v>
      </c>
      <c r="F266" s="3">
        <v>15.3</v>
      </c>
      <c r="G266" s="3">
        <f t="shared" si="34"/>
        <v>1879.6000000000004</v>
      </c>
      <c r="H266" s="3">
        <f t="shared" si="38"/>
        <v>161.00000000000003</v>
      </c>
      <c r="J266" s="3">
        <v>0.4</v>
      </c>
      <c r="K266" s="3">
        <f t="shared" si="35"/>
        <v>638.09999999999991</v>
      </c>
      <c r="L266" s="3">
        <v>3.2</v>
      </c>
      <c r="M266" s="3">
        <f t="shared" si="36"/>
        <v>254.69999999999987</v>
      </c>
      <c r="N266" s="3">
        <v>-2.8000000000000003</v>
      </c>
      <c r="O266" s="3">
        <f t="shared" si="42"/>
        <v>183.20000000000002</v>
      </c>
      <c r="P266" s="3">
        <v>226</v>
      </c>
      <c r="Q266" s="3">
        <v>1.1499999999999999</v>
      </c>
      <c r="R266" s="7">
        <f t="shared" si="32"/>
        <v>3.6799999999999997</v>
      </c>
      <c r="S266" s="7">
        <f t="shared" si="33"/>
        <v>-3.28</v>
      </c>
      <c r="T266" s="7">
        <f t="shared" si="40"/>
        <v>180.38</v>
      </c>
      <c r="U266" s="13"/>
      <c r="V266" s="3">
        <v>1740.8</v>
      </c>
      <c r="X266" s="3">
        <f t="shared" si="37"/>
        <v>133644.69999999995</v>
      </c>
      <c r="Y266" s="3">
        <f t="shared" si="39"/>
        <v>22614</v>
      </c>
      <c r="AA266" s="3">
        <v>13.772535772356401</v>
      </c>
    </row>
    <row r="267" spans="1:27" s="3" customFormat="1" x14ac:dyDescent="0.25">
      <c r="A267" s="26"/>
      <c r="B267" s="4"/>
      <c r="C267" s="24">
        <v>41383</v>
      </c>
      <c r="D267" s="3">
        <v>8.5</v>
      </c>
      <c r="E267" s="3">
        <v>4</v>
      </c>
      <c r="F267" s="3">
        <v>14.4</v>
      </c>
      <c r="G267" s="3">
        <f t="shared" si="34"/>
        <v>1888.1000000000004</v>
      </c>
      <c r="H267" s="3">
        <f t="shared" si="38"/>
        <v>169.50000000000003</v>
      </c>
      <c r="J267" s="3">
        <v>0.2</v>
      </c>
      <c r="K267" s="3">
        <f t="shared" si="35"/>
        <v>638.29999999999995</v>
      </c>
      <c r="L267" s="3">
        <v>3.1</v>
      </c>
      <c r="M267" s="3">
        <f t="shared" si="36"/>
        <v>257.7999999999999</v>
      </c>
      <c r="N267" s="3">
        <v>-2.9</v>
      </c>
      <c r="O267" s="3">
        <f t="shared" si="42"/>
        <v>180.3</v>
      </c>
      <c r="P267" s="3">
        <v>227</v>
      </c>
      <c r="Q267" s="3">
        <v>1.1499999999999999</v>
      </c>
      <c r="R267" s="7">
        <f t="shared" si="32"/>
        <v>3.5649999999999999</v>
      </c>
      <c r="S267" s="7">
        <f t="shared" si="33"/>
        <v>-3.3649999999999998</v>
      </c>
      <c r="T267" s="7">
        <f t="shared" si="40"/>
        <v>177.01499999999999</v>
      </c>
      <c r="V267" s="3">
        <v>1857.4</v>
      </c>
      <c r="X267" s="3">
        <f t="shared" si="37"/>
        <v>135502.09999999995</v>
      </c>
      <c r="Y267" s="3">
        <f t="shared" si="39"/>
        <v>24471.4</v>
      </c>
      <c r="AA267" s="3">
        <v>13.828202974085199</v>
      </c>
    </row>
    <row r="268" spans="1:27" s="44" customFormat="1" ht="15.75" thickBot="1" x14ac:dyDescent="0.3">
      <c r="A268" s="53" t="s">
        <v>30</v>
      </c>
      <c r="B268" s="54"/>
      <c r="C268" s="55">
        <v>41384</v>
      </c>
      <c r="D268" s="44">
        <v>7.6</v>
      </c>
      <c r="E268" s="44">
        <v>2.5</v>
      </c>
      <c r="F268" s="44">
        <v>15.4</v>
      </c>
      <c r="G268" s="44">
        <f t="shared" si="34"/>
        <v>1895.7000000000003</v>
      </c>
      <c r="H268" s="44">
        <f t="shared" si="38"/>
        <v>177.10000000000002</v>
      </c>
      <c r="J268" s="44">
        <v>0</v>
      </c>
      <c r="K268" s="44">
        <f t="shared" si="35"/>
        <v>638.29999999999995</v>
      </c>
      <c r="L268" s="44">
        <v>3.7</v>
      </c>
      <c r="M268" s="44">
        <f t="shared" si="36"/>
        <v>261.49999999999989</v>
      </c>
      <c r="N268" s="44">
        <v>-3.7</v>
      </c>
      <c r="O268" s="44">
        <f t="shared" si="42"/>
        <v>176.60000000000002</v>
      </c>
      <c r="P268" s="44">
        <v>228</v>
      </c>
      <c r="Q268" s="44">
        <v>1.1499999999999999</v>
      </c>
      <c r="R268" s="46">
        <f t="shared" si="32"/>
        <v>4.2549999999999999</v>
      </c>
      <c r="S268" s="46">
        <f t="shared" si="33"/>
        <v>-4.2549999999999999</v>
      </c>
      <c r="T268" s="46">
        <f t="shared" si="40"/>
        <v>172.76</v>
      </c>
      <c r="V268" s="44">
        <v>2402.8000000000002</v>
      </c>
      <c r="X268" s="44">
        <f t="shared" si="37"/>
        <v>137904.89999999994</v>
      </c>
      <c r="Y268" s="44">
        <f t="shared" si="39"/>
        <v>26874.2</v>
      </c>
      <c r="AA268" s="44">
        <v>13.8836282305015</v>
      </c>
    </row>
    <row r="269" spans="1:27" s="3" customFormat="1" x14ac:dyDescent="0.25">
      <c r="A269" s="27"/>
      <c r="B269" s="8"/>
      <c r="C269" s="28">
        <v>41385</v>
      </c>
      <c r="D269" s="3">
        <v>7.4</v>
      </c>
      <c r="E269" s="3">
        <v>0.4</v>
      </c>
      <c r="F269" s="3">
        <v>14.2</v>
      </c>
      <c r="G269" s="3">
        <f t="shared" si="34"/>
        <v>1903.1000000000004</v>
      </c>
      <c r="H269" s="3">
        <v>7.4</v>
      </c>
      <c r="I269" s="29" t="s">
        <v>2</v>
      </c>
      <c r="J269" s="3">
        <v>0</v>
      </c>
      <c r="K269" s="3">
        <f t="shared" si="35"/>
        <v>638.29999999999995</v>
      </c>
      <c r="L269" s="3">
        <v>3</v>
      </c>
      <c r="M269" s="3">
        <f t="shared" si="36"/>
        <v>264.49999999999989</v>
      </c>
      <c r="N269" s="3">
        <v>-3</v>
      </c>
      <c r="O269" s="3">
        <f t="shared" si="42"/>
        <v>173.60000000000002</v>
      </c>
      <c r="P269" s="3">
        <v>229</v>
      </c>
      <c r="Q269" s="3">
        <v>1.1499999999999999</v>
      </c>
      <c r="R269" s="7">
        <f t="shared" si="32"/>
        <v>3.4499999999999997</v>
      </c>
      <c r="S269" s="7">
        <f t="shared" si="33"/>
        <v>-3.4499999999999997</v>
      </c>
      <c r="T269" s="7">
        <f t="shared" si="40"/>
        <v>169.31</v>
      </c>
      <c r="U269" s="29" t="s">
        <v>3</v>
      </c>
      <c r="V269" s="3">
        <v>2072.3000000000002</v>
      </c>
      <c r="X269" s="3">
        <f t="shared" si="37"/>
        <v>139977.19999999992</v>
      </c>
      <c r="Y269" s="3">
        <v>2072.3000000000002</v>
      </c>
      <c r="Z269" s="29" t="s">
        <v>4</v>
      </c>
      <c r="AA269" s="3">
        <v>13.938799286936201</v>
      </c>
    </row>
    <row r="270" spans="1:27" s="3" customFormat="1" x14ac:dyDescent="0.25">
      <c r="A270" s="27"/>
      <c r="B270" s="8"/>
      <c r="C270" s="28">
        <v>41386</v>
      </c>
      <c r="D270" s="3">
        <v>10.7</v>
      </c>
      <c r="E270" s="3">
        <v>5.4</v>
      </c>
      <c r="F270" s="3">
        <v>14.4</v>
      </c>
      <c r="G270" s="3">
        <f t="shared" si="34"/>
        <v>1913.8000000000004</v>
      </c>
      <c r="H270" s="3">
        <f t="shared" si="38"/>
        <v>18.100000000000001</v>
      </c>
      <c r="I270" s="3">
        <f>MIN(E269:E295)</f>
        <v>0.4</v>
      </c>
      <c r="J270" s="3">
        <v>0</v>
      </c>
      <c r="K270" s="3">
        <f t="shared" si="35"/>
        <v>638.29999999999995</v>
      </c>
      <c r="L270" s="3">
        <v>2.1</v>
      </c>
      <c r="M270" s="3">
        <f t="shared" si="36"/>
        <v>266.59999999999991</v>
      </c>
      <c r="N270" s="3">
        <v>-2.1</v>
      </c>
      <c r="O270" s="3">
        <f t="shared" si="42"/>
        <v>171.50000000000003</v>
      </c>
      <c r="P270" s="3">
        <v>230</v>
      </c>
      <c r="Q270" s="3">
        <v>1.1499999999999999</v>
      </c>
      <c r="R270" s="7">
        <f t="shared" si="32"/>
        <v>2.415</v>
      </c>
      <c r="S270" s="7">
        <f t="shared" si="33"/>
        <v>-2.415</v>
      </c>
      <c r="T270" s="7">
        <f t="shared" si="40"/>
        <v>166.89500000000001</v>
      </c>
      <c r="U270" s="3">
        <v>24</v>
      </c>
      <c r="V270" s="3">
        <v>1539.6</v>
      </c>
      <c r="X270" s="3">
        <f t="shared" si="37"/>
        <v>141516.79999999993</v>
      </c>
      <c r="Y270" s="3">
        <f t="shared" si="39"/>
        <v>3611.9</v>
      </c>
      <c r="Z270" s="3">
        <v>39169.399999999994</v>
      </c>
      <c r="AA270" s="3">
        <v>13.9937034469721</v>
      </c>
    </row>
    <row r="271" spans="1:27" s="3" customFormat="1" x14ac:dyDescent="0.25">
      <c r="A271" s="27"/>
      <c r="B271" s="8"/>
      <c r="C271" s="28">
        <v>41387</v>
      </c>
      <c r="D271" s="3">
        <v>12.5</v>
      </c>
      <c r="E271" s="3">
        <v>10.7</v>
      </c>
      <c r="F271" s="3">
        <v>15.8</v>
      </c>
      <c r="G271" s="3">
        <f t="shared" si="34"/>
        <v>1926.3000000000004</v>
      </c>
      <c r="H271" s="3">
        <f t="shared" si="38"/>
        <v>30.6</v>
      </c>
      <c r="I271" s="29" t="s">
        <v>5</v>
      </c>
      <c r="J271" s="3">
        <v>0</v>
      </c>
      <c r="K271" s="3">
        <f t="shared" si="35"/>
        <v>638.29999999999995</v>
      </c>
      <c r="L271" s="3">
        <v>1.5</v>
      </c>
      <c r="M271" s="3">
        <f t="shared" si="36"/>
        <v>268.09999999999991</v>
      </c>
      <c r="N271" s="3">
        <v>-1.5</v>
      </c>
      <c r="O271" s="3">
        <f t="shared" si="42"/>
        <v>170.00000000000003</v>
      </c>
      <c r="P271" s="3">
        <v>231</v>
      </c>
      <c r="Q271" s="3">
        <v>1.1499999999999999</v>
      </c>
      <c r="R271" s="7">
        <f t="shared" si="32"/>
        <v>1.7249999999999999</v>
      </c>
      <c r="S271" s="7">
        <f t="shared" si="33"/>
        <v>-1.7249999999999999</v>
      </c>
      <c r="T271" s="7">
        <f t="shared" si="40"/>
        <v>165.17000000000002</v>
      </c>
      <c r="U271" s="29" t="s">
        <v>6</v>
      </c>
      <c r="V271" s="3">
        <v>738.6</v>
      </c>
      <c r="X271" s="3">
        <f t="shared" si="37"/>
        <v>142255.39999999994</v>
      </c>
      <c r="Y271" s="3">
        <f t="shared" si="39"/>
        <v>4350.5</v>
      </c>
      <c r="Z271" s="29" t="s">
        <v>7</v>
      </c>
      <c r="AA271" s="3">
        <v>14.0483275610059</v>
      </c>
    </row>
    <row r="272" spans="1:27" s="3" customFormat="1" x14ac:dyDescent="0.25">
      <c r="A272" s="27"/>
      <c r="B272" s="8"/>
      <c r="C272" s="28">
        <v>41388</v>
      </c>
      <c r="D272" s="3">
        <v>14</v>
      </c>
      <c r="E272" s="3">
        <v>7.1</v>
      </c>
      <c r="F272" s="3">
        <v>20.5</v>
      </c>
      <c r="G272" s="3">
        <f t="shared" si="34"/>
        <v>1940.3000000000004</v>
      </c>
      <c r="H272" s="3">
        <f t="shared" si="38"/>
        <v>44.6</v>
      </c>
      <c r="I272" s="3">
        <f>MAX(F269:F295)</f>
        <v>23.6</v>
      </c>
      <c r="J272" s="3">
        <v>0</v>
      </c>
      <c r="K272" s="3">
        <f t="shared" si="35"/>
        <v>638.29999999999995</v>
      </c>
      <c r="L272" s="3">
        <v>3.7</v>
      </c>
      <c r="M272" s="3">
        <f t="shared" si="36"/>
        <v>271.7999999999999</v>
      </c>
      <c r="N272" s="3">
        <v>-3.7</v>
      </c>
      <c r="O272" s="3">
        <f t="shared" si="42"/>
        <v>166.30000000000004</v>
      </c>
      <c r="P272" s="3">
        <v>232</v>
      </c>
      <c r="Q272" s="3">
        <v>1.1499999999999999</v>
      </c>
      <c r="R272" s="7">
        <f t="shared" si="32"/>
        <v>4.2549999999999999</v>
      </c>
      <c r="S272" s="7">
        <f t="shared" si="33"/>
        <v>-4.2549999999999999</v>
      </c>
      <c r="T272" s="7">
        <f t="shared" si="40"/>
        <v>160.91500000000002</v>
      </c>
      <c r="U272" s="3">
        <v>0</v>
      </c>
      <c r="V272" s="3">
        <v>2194.4</v>
      </c>
      <c r="X272" s="3">
        <f t="shared" si="37"/>
        <v>144449.79999999993</v>
      </c>
      <c r="Y272" s="3">
        <f t="shared" si="39"/>
        <v>6544.9</v>
      </c>
      <c r="Z272" s="3">
        <f>(Z270/100)/I282</f>
        <v>1.2927194719471946</v>
      </c>
      <c r="AA272" s="3">
        <v>14.102658015474701</v>
      </c>
    </row>
    <row r="273" spans="1:27" s="3" customFormat="1" x14ac:dyDescent="0.25">
      <c r="A273" s="27"/>
      <c r="B273" s="8"/>
      <c r="C273" s="28">
        <v>41389</v>
      </c>
      <c r="D273" s="3">
        <v>15.9</v>
      </c>
      <c r="E273" s="3">
        <v>8.4</v>
      </c>
      <c r="F273" s="3">
        <v>23.6</v>
      </c>
      <c r="G273" s="3">
        <f t="shared" si="34"/>
        <v>1956.2000000000005</v>
      </c>
      <c r="H273" s="3">
        <f t="shared" si="38"/>
        <v>60.5</v>
      </c>
      <c r="I273" s="29" t="s">
        <v>8</v>
      </c>
      <c r="J273" s="3">
        <v>0</v>
      </c>
      <c r="K273" s="3">
        <f t="shared" si="35"/>
        <v>638.29999999999995</v>
      </c>
      <c r="L273" s="3">
        <v>4.5999999999999996</v>
      </c>
      <c r="M273" s="3">
        <f t="shared" si="36"/>
        <v>276.39999999999992</v>
      </c>
      <c r="N273" s="3">
        <v>-4.5999999999999996</v>
      </c>
      <c r="O273" s="3">
        <f t="shared" si="42"/>
        <v>161.70000000000005</v>
      </c>
      <c r="P273" s="3">
        <v>233</v>
      </c>
      <c r="Q273" s="3">
        <v>1.1499999999999999</v>
      </c>
      <c r="R273" s="7">
        <f t="shared" si="32"/>
        <v>5.2899999999999991</v>
      </c>
      <c r="S273" s="7">
        <f t="shared" si="33"/>
        <v>-5.2899999999999991</v>
      </c>
      <c r="T273" s="7">
        <f t="shared" si="40"/>
        <v>155.62500000000003</v>
      </c>
      <c r="U273" s="29" t="s">
        <v>9</v>
      </c>
      <c r="V273" s="3">
        <v>2146.1</v>
      </c>
      <c r="X273" s="3">
        <f t="shared" si="37"/>
        <v>146595.89999999994</v>
      </c>
      <c r="Y273" s="3">
        <f t="shared" si="39"/>
        <v>8691</v>
      </c>
      <c r="Z273" s="29" t="s">
        <v>10</v>
      </c>
      <c r="AA273" s="3">
        <v>14.156680722811201</v>
      </c>
    </row>
    <row r="274" spans="1:27" s="3" customFormat="1" x14ac:dyDescent="0.25">
      <c r="A274" s="27"/>
      <c r="B274" s="8"/>
      <c r="C274" s="28">
        <v>41390</v>
      </c>
      <c r="D274" s="3">
        <v>8.9</v>
      </c>
      <c r="E274" s="3">
        <v>8.5</v>
      </c>
      <c r="F274" s="3">
        <v>10.9</v>
      </c>
      <c r="G274" s="3">
        <f t="shared" si="34"/>
        <v>1965.1000000000006</v>
      </c>
      <c r="H274" s="3">
        <f t="shared" si="38"/>
        <v>69.400000000000006</v>
      </c>
      <c r="I274" s="7">
        <f>AVERAGE(D269:D295)</f>
        <v>11.222222222222225</v>
      </c>
      <c r="J274" s="3">
        <v>0</v>
      </c>
      <c r="K274" s="3">
        <f t="shared" si="35"/>
        <v>638.29999999999995</v>
      </c>
      <c r="L274" s="3">
        <v>1.8</v>
      </c>
      <c r="M274" s="3">
        <f t="shared" si="36"/>
        <v>278.19999999999993</v>
      </c>
      <c r="N274" s="3">
        <v>-1.8</v>
      </c>
      <c r="O274" s="3">
        <f t="shared" si="42"/>
        <v>159.90000000000003</v>
      </c>
      <c r="P274" s="3">
        <v>234</v>
      </c>
      <c r="Q274" s="3">
        <v>1.1499999999999999</v>
      </c>
      <c r="R274" s="7">
        <f t="shared" si="32"/>
        <v>2.0699999999999998</v>
      </c>
      <c r="S274" s="7">
        <f t="shared" si="33"/>
        <v>-2.0699999999999998</v>
      </c>
      <c r="T274" s="7">
        <f t="shared" si="40"/>
        <v>153.55500000000004</v>
      </c>
      <c r="U274" s="3">
        <v>0</v>
      </c>
      <c r="V274" s="3">
        <v>1044.7</v>
      </c>
      <c r="X274" s="3">
        <f t="shared" si="37"/>
        <v>147640.59999999995</v>
      </c>
      <c r="Y274" s="3">
        <f t="shared" si="39"/>
        <v>9735.7000000000007</v>
      </c>
      <c r="Z274" s="3">
        <v>8</v>
      </c>
      <c r="AA274" s="3">
        <v>14.210381112199199</v>
      </c>
    </row>
    <row r="275" spans="1:27" s="3" customFormat="1" x14ac:dyDescent="0.25">
      <c r="A275" s="27"/>
      <c r="B275" s="8"/>
      <c r="C275" s="28">
        <v>41391</v>
      </c>
      <c r="D275" s="3">
        <v>6.7</v>
      </c>
      <c r="E275" s="3">
        <v>2.8</v>
      </c>
      <c r="F275" s="3">
        <v>12.1</v>
      </c>
      <c r="G275" s="3">
        <f t="shared" si="34"/>
        <v>1971.8000000000006</v>
      </c>
      <c r="H275" s="3">
        <f t="shared" si="38"/>
        <v>76.100000000000009</v>
      </c>
      <c r="I275" s="29" t="s">
        <v>11</v>
      </c>
      <c r="J275" s="3">
        <v>1</v>
      </c>
      <c r="K275" s="3">
        <f t="shared" si="35"/>
        <v>639.29999999999995</v>
      </c>
      <c r="L275" s="3">
        <v>2.9</v>
      </c>
      <c r="M275" s="3">
        <f t="shared" si="36"/>
        <v>281.09999999999991</v>
      </c>
      <c r="N275" s="3">
        <v>-1.9</v>
      </c>
      <c r="O275" s="3">
        <f t="shared" si="42"/>
        <v>158.00000000000003</v>
      </c>
      <c r="P275" s="3">
        <v>235</v>
      </c>
      <c r="Q275" s="3">
        <v>1.1499999999999999</v>
      </c>
      <c r="R275" s="7">
        <f t="shared" si="32"/>
        <v>3.3349999999999995</v>
      </c>
      <c r="S275" s="7">
        <f t="shared" si="33"/>
        <v>-2.3349999999999995</v>
      </c>
      <c r="T275" s="7">
        <f t="shared" si="40"/>
        <v>151.22000000000003</v>
      </c>
      <c r="U275" s="29" t="s">
        <v>12</v>
      </c>
      <c r="V275" s="3">
        <v>2001.2</v>
      </c>
      <c r="X275" s="3">
        <f t="shared" si="37"/>
        <v>149641.79999999996</v>
      </c>
      <c r="Y275" s="3">
        <f t="shared" si="39"/>
        <v>11736.900000000001</v>
      </c>
      <c r="AA275" s="3">
        <v>14.2637441212025</v>
      </c>
    </row>
    <row r="276" spans="1:27" s="3" customFormat="1" x14ac:dyDescent="0.25">
      <c r="A276" s="27"/>
      <c r="B276" s="8"/>
      <c r="C276" s="28">
        <v>41392</v>
      </c>
      <c r="D276" s="3">
        <v>7.9</v>
      </c>
      <c r="E276" s="3">
        <v>3.7</v>
      </c>
      <c r="F276" s="3">
        <v>13</v>
      </c>
      <c r="G276" s="3">
        <f t="shared" si="34"/>
        <v>1979.7000000000007</v>
      </c>
      <c r="H276" s="3">
        <f t="shared" si="38"/>
        <v>84.000000000000014</v>
      </c>
      <c r="I276" s="3">
        <v>0</v>
      </c>
      <c r="J276" s="3">
        <v>0</v>
      </c>
      <c r="K276" s="3">
        <f t="shared" si="35"/>
        <v>639.29999999999995</v>
      </c>
      <c r="L276" s="3">
        <v>2.9</v>
      </c>
      <c r="M276" s="3">
        <f t="shared" si="36"/>
        <v>283.99999999999989</v>
      </c>
      <c r="N276" s="3">
        <v>-2.9</v>
      </c>
      <c r="O276" s="3">
        <f t="shared" si="42"/>
        <v>155.10000000000002</v>
      </c>
      <c r="P276" s="3">
        <v>236</v>
      </c>
      <c r="Q276" s="3">
        <v>1.1499999999999999</v>
      </c>
      <c r="R276" s="7">
        <f t="shared" si="32"/>
        <v>3.3349999999999995</v>
      </c>
      <c r="S276" s="7">
        <f t="shared" si="33"/>
        <v>-3.3349999999999995</v>
      </c>
      <c r="T276" s="7">
        <f t="shared" si="40"/>
        <v>147.88500000000002</v>
      </c>
      <c r="U276" s="7">
        <f>MIN(T269:T295)</f>
        <v>120.13500000000002</v>
      </c>
      <c r="V276" s="3">
        <v>1693.8</v>
      </c>
      <c r="X276" s="3">
        <f t="shared" si="37"/>
        <v>151335.59999999995</v>
      </c>
      <c r="Y276" s="3">
        <f t="shared" si="39"/>
        <v>13430.7</v>
      </c>
      <c r="AA276" s="3">
        <v>14.316754188346501</v>
      </c>
    </row>
    <row r="277" spans="1:27" s="3" customFormat="1" x14ac:dyDescent="0.25">
      <c r="A277" s="27"/>
      <c r="B277" s="8"/>
      <c r="C277" s="28">
        <v>41393</v>
      </c>
      <c r="D277" s="3">
        <v>8.1</v>
      </c>
      <c r="E277" s="3">
        <v>1.6</v>
      </c>
      <c r="F277" s="3">
        <v>12.5</v>
      </c>
      <c r="G277" s="3">
        <f t="shared" si="34"/>
        <v>1987.8000000000006</v>
      </c>
      <c r="H277" s="3">
        <f t="shared" si="38"/>
        <v>92.100000000000009</v>
      </c>
      <c r="I277" s="29" t="s">
        <v>13</v>
      </c>
      <c r="J277" s="3">
        <v>0</v>
      </c>
      <c r="K277" s="3">
        <f t="shared" si="35"/>
        <v>639.29999999999995</v>
      </c>
      <c r="L277" s="3">
        <v>1.9</v>
      </c>
      <c r="M277" s="3">
        <f t="shared" si="36"/>
        <v>285.89999999999986</v>
      </c>
      <c r="N277" s="3">
        <v>-1.9</v>
      </c>
      <c r="O277" s="3">
        <f t="shared" si="42"/>
        <v>153.20000000000002</v>
      </c>
      <c r="P277" s="3">
        <v>237</v>
      </c>
      <c r="Q277" s="3">
        <v>1.1499999999999999</v>
      </c>
      <c r="R277" s="7">
        <f t="shared" si="32"/>
        <v>2.1849999999999996</v>
      </c>
      <c r="S277" s="7">
        <f t="shared" si="33"/>
        <v>-2.1849999999999996</v>
      </c>
      <c r="T277" s="7">
        <f t="shared" si="40"/>
        <v>145.70000000000002</v>
      </c>
      <c r="U277" s="29" t="s">
        <v>14</v>
      </c>
      <c r="V277" s="3">
        <v>1150.5</v>
      </c>
      <c r="X277" s="3">
        <f t="shared" si="37"/>
        <v>152486.09999999995</v>
      </c>
      <c r="Y277" s="3">
        <f t="shared" si="39"/>
        <v>14581.2</v>
      </c>
      <c r="AA277" s="3">
        <v>14.3693952467345</v>
      </c>
    </row>
    <row r="278" spans="1:27" s="3" customFormat="1" x14ac:dyDescent="0.25">
      <c r="A278" s="27"/>
      <c r="B278" s="8"/>
      <c r="C278" s="28">
        <v>41394</v>
      </c>
      <c r="D278" s="3">
        <v>11.5</v>
      </c>
      <c r="E278" s="3">
        <v>6.3</v>
      </c>
      <c r="F278" s="3">
        <v>16.899999999999999</v>
      </c>
      <c r="G278" s="3">
        <f t="shared" si="34"/>
        <v>1999.3000000000006</v>
      </c>
      <c r="H278" s="3">
        <f t="shared" si="38"/>
        <v>103.60000000000001</v>
      </c>
      <c r="I278" s="3">
        <v>0</v>
      </c>
      <c r="J278" s="3">
        <v>0</v>
      </c>
      <c r="K278" s="3">
        <f t="shared" si="35"/>
        <v>639.29999999999995</v>
      </c>
      <c r="L278" s="3">
        <v>4.0999999999999996</v>
      </c>
      <c r="M278" s="3">
        <f t="shared" si="36"/>
        <v>289.99999999999989</v>
      </c>
      <c r="N278" s="3">
        <v>-4.0999999999999996</v>
      </c>
      <c r="O278" s="3">
        <f t="shared" si="42"/>
        <v>149.10000000000002</v>
      </c>
      <c r="P278" s="3">
        <v>238</v>
      </c>
      <c r="Q278" s="3">
        <v>1.1499999999999999</v>
      </c>
      <c r="R278" s="7">
        <f t="shared" si="32"/>
        <v>4.714999999999999</v>
      </c>
      <c r="S278" s="7">
        <f t="shared" si="33"/>
        <v>-4.714999999999999</v>
      </c>
      <c r="T278" s="7">
        <f t="shared" si="40"/>
        <v>140.98500000000001</v>
      </c>
      <c r="U278" s="7">
        <f>MAX(T269:T295)</f>
        <v>169.31</v>
      </c>
      <c r="V278" s="3">
        <v>2062.4</v>
      </c>
      <c r="X278" s="3">
        <f t="shared" si="37"/>
        <v>154548.49999999994</v>
      </c>
      <c r="Y278" s="3">
        <f t="shared" si="39"/>
        <v>16643.600000000002</v>
      </c>
      <c r="AA278" s="3">
        <v>14.421650718784701</v>
      </c>
    </row>
    <row r="279" spans="1:27" s="3" customFormat="1" x14ac:dyDescent="0.25">
      <c r="A279" s="27"/>
      <c r="B279" s="8"/>
      <c r="C279" s="28">
        <v>41395</v>
      </c>
      <c r="D279" s="3">
        <v>9.8000000000000007</v>
      </c>
      <c r="E279" s="3">
        <v>8</v>
      </c>
      <c r="F279" s="3">
        <v>13.2</v>
      </c>
      <c r="G279" s="3">
        <f t="shared" si="34"/>
        <v>2009.1000000000006</v>
      </c>
      <c r="H279" s="3">
        <f t="shared" si="38"/>
        <v>113.4</v>
      </c>
      <c r="I279" s="29" t="s">
        <v>15</v>
      </c>
      <c r="J279" s="3">
        <v>12.3</v>
      </c>
      <c r="K279" s="3">
        <f t="shared" si="35"/>
        <v>651.59999999999991</v>
      </c>
      <c r="L279" s="3">
        <v>1.7</v>
      </c>
      <c r="M279" s="3">
        <f t="shared" si="36"/>
        <v>291.69999999999987</v>
      </c>
      <c r="N279" s="3">
        <v>10.600000000000001</v>
      </c>
      <c r="O279" s="3">
        <f t="shared" si="42"/>
        <v>159.70000000000002</v>
      </c>
      <c r="P279" s="3">
        <v>239</v>
      </c>
      <c r="Q279" s="3">
        <v>1.1499999999999999</v>
      </c>
      <c r="R279" s="7">
        <f t="shared" si="32"/>
        <v>1.9549999999999998</v>
      </c>
      <c r="S279" s="7">
        <f t="shared" si="33"/>
        <v>10.345000000000001</v>
      </c>
      <c r="T279" s="7">
        <f t="shared" si="40"/>
        <v>151.33000000000001</v>
      </c>
      <c r="U279" s="29" t="s">
        <v>16</v>
      </c>
      <c r="V279" s="3">
        <v>629.4</v>
      </c>
      <c r="X279" s="3">
        <f t="shared" si="37"/>
        <v>155177.89999999994</v>
      </c>
      <c r="Y279" s="3">
        <f t="shared" si="39"/>
        <v>17273.000000000004</v>
      </c>
      <c r="AA279" s="3">
        <v>14.4735035121777</v>
      </c>
    </row>
    <row r="280" spans="1:27" s="3" customFormat="1" x14ac:dyDescent="0.25">
      <c r="A280" s="27"/>
      <c r="B280" s="8"/>
      <c r="C280" s="28">
        <v>41396</v>
      </c>
      <c r="D280" s="3">
        <v>9.1</v>
      </c>
      <c r="E280" s="3">
        <v>8.1</v>
      </c>
      <c r="F280" s="3">
        <v>10.199999999999999</v>
      </c>
      <c r="G280" s="3">
        <f t="shared" si="34"/>
        <v>2018.2000000000005</v>
      </c>
      <c r="H280" s="3">
        <f t="shared" si="38"/>
        <v>122.5</v>
      </c>
      <c r="I280" s="3">
        <v>5</v>
      </c>
      <c r="J280" s="3">
        <v>0</v>
      </c>
      <c r="K280" s="3">
        <f t="shared" si="35"/>
        <v>651.59999999999991</v>
      </c>
      <c r="L280" s="3">
        <v>0.8</v>
      </c>
      <c r="M280" s="3">
        <f t="shared" si="36"/>
        <v>292.49999999999989</v>
      </c>
      <c r="N280" s="3">
        <v>-0.8</v>
      </c>
      <c r="O280" s="3">
        <f t="shared" si="42"/>
        <v>158.9</v>
      </c>
      <c r="P280" s="3">
        <v>240</v>
      </c>
      <c r="Q280" s="3">
        <v>1.1499999999999999</v>
      </c>
      <c r="R280" s="7">
        <f t="shared" si="32"/>
        <v>0.91999999999999993</v>
      </c>
      <c r="S280" s="7">
        <f t="shared" si="33"/>
        <v>-0.91999999999999993</v>
      </c>
      <c r="T280" s="7">
        <f t="shared" si="40"/>
        <v>150.41000000000003</v>
      </c>
      <c r="U280" s="20">
        <f>AVERAGE(T269:T295)</f>
        <v>142.22722222222225</v>
      </c>
      <c r="V280" s="3">
        <v>573.5</v>
      </c>
      <c r="X280" s="3">
        <f t="shared" si="37"/>
        <v>155751.39999999994</v>
      </c>
      <c r="Y280" s="3">
        <f t="shared" si="39"/>
        <v>17846.500000000004</v>
      </c>
      <c r="AA280" s="3">
        <v>14.5249360171082</v>
      </c>
    </row>
    <row r="281" spans="1:27" s="3" customFormat="1" x14ac:dyDescent="0.25">
      <c r="A281" s="27"/>
      <c r="B281" s="8"/>
      <c r="C281" s="28">
        <v>41397</v>
      </c>
      <c r="D281" s="3">
        <v>11.1</v>
      </c>
      <c r="E281" s="3">
        <v>6</v>
      </c>
      <c r="F281" s="3">
        <v>17.899999999999999</v>
      </c>
      <c r="G281" s="3">
        <f t="shared" si="34"/>
        <v>2029.3000000000004</v>
      </c>
      <c r="H281" s="3">
        <f t="shared" si="38"/>
        <v>133.6</v>
      </c>
      <c r="I281" s="29" t="s">
        <v>17</v>
      </c>
      <c r="J281" s="3">
        <v>0</v>
      </c>
      <c r="K281" s="3">
        <f t="shared" si="35"/>
        <v>651.59999999999991</v>
      </c>
      <c r="L281" s="3">
        <v>3.8</v>
      </c>
      <c r="M281" s="3">
        <f t="shared" si="36"/>
        <v>296.2999999999999</v>
      </c>
      <c r="N281" s="3">
        <v>-3.8</v>
      </c>
      <c r="O281" s="3">
        <f t="shared" si="42"/>
        <v>155.1</v>
      </c>
      <c r="P281" s="3">
        <v>241</v>
      </c>
      <c r="Q281" s="3">
        <v>1.1499999999999999</v>
      </c>
      <c r="R281" s="7">
        <f t="shared" si="32"/>
        <v>4.3699999999999992</v>
      </c>
      <c r="S281" s="7">
        <f t="shared" si="33"/>
        <v>-4.3699999999999992</v>
      </c>
      <c r="T281" s="7">
        <f t="shared" si="40"/>
        <v>146.04000000000002</v>
      </c>
      <c r="V281" s="3">
        <v>2349.8000000000002</v>
      </c>
      <c r="X281" s="3">
        <f t="shared" si="37"/>
        <v>158101.19999999992</v>
      </c>
      <c r="Y281" s="3">
        <f t="shared" si="39"/>
        <v>20196.300000000003</v>
      </c>
      <c r="AA281" s="3">
        <v>14.575930104935701</v>
      </c>
    </row>
    <row r="282" spans="1:27" s="3" customFormat="1" x14ac:dyDescent="0.25">
      <c r="A282" s="27"/>
      <c r="B282" s="8"/>
      <c r="C282" s="28">
        <v>41398</v>
      </c>
      <c r="D282" s="3">
        <v>11.2</v>
      </c>
      <c r="E282" s="3">
        <v>4.5999999999999996</v>
      </c>
      <c r="F282" s="3">
        <v>16.8</v>
      </c>
      <c r="G282" s="3">
        <f t="shared" si="34"/>
        <v>2040.5000000000005</v>
      </c>
      <c r="H282" s="3">
        <f t="shared" si="38"/>
        <v>144.79999999999998</v>
      </c>
      <c r="I282" s="3">
        <v>303</v>
      </c>
      <c r="J282" s="3">
        <v>0</v>
      </c>
      <c r="K282" s="3">
        <f t="shared" si="35"/>
        <v>651.59999999999991</v>
      </c>
      <c r="L282" s="3">
        <v>2.8</v>
      </c>
      <c r="M282" s="3">
        <f t="shared" si="36"/>
        <v>299.09999999999991</v>
      </c>
      <c r="N282" s="3">
        <v>-2.8</v>
      </c>
      <c r="O282" s="3">
        <f t="shared" si="42"/>
        <v>152.29999999999998</v>
      </c>
      <c r="P282" s="3">
        <v>242</v>
      </c>
      <c r="Q282" s="3">
        <v>1.1499999999999999</v>
      </c>
      <c r="R282" s="7">
        <f t="shared" si="32"/>
        <v>3.2199999999999998</v>
      </c>
      <c r="S282" s="7">
        <f t="shared" si="33"/>
        <v>-3.2199999999999998</v>
      </c>
      <c r="T282" s="7">
        <f t="shared" si="40"/>
        <v>142.82000000000002</v>
      </c>
      <c r="U282" s="7">
        <f>(U280*100)/197.4</f>
        <v>72.050264550264558</v>
      </c>
      <c r="V282" s="3">
        <v>1969.3</v>
      </c>
      <c r="X282" s="3">
        <f t="shared" si="37"/>
        <v>160070.49999999991</v>
      </c>
      <c r="Y282" s="3">
        <f t="shared" si="39"/>
        <v>22165.600000000002</v>
      </c>
      <c r="AA282" s="3">
        <v>14.6264671283348</v>
      </c>
    </row>
    <row r="283" spans="1:27" s="3" customFormat="1" x14ac:dyDescent="0.25">
      <c r="A283" s="27"/>
      <c r="B283" s="8"/>
      <c r="C283" s="28">
        <v>41399</v>
      </c>
      <c r="D283" s="3">
        <v>14.2</v>
      </c>
      <c r="E283" s="3">
        <v>9.1</v>
      </c>
      <c r="F283" s="3">
        <v>18.899999999999999</v>
      </c>
      <c r="G283" s="3">
        <f t="shared" si="34"/>
        <v>2054.7000000000003</v>
      </c>
      <c r="H283" s="3">
        <f t="shared" si="38"/>
        <v>158.99999999999997</v>
      </c>
      <c r="J283" s="3">
        <v>0</v>
      </c>
      <c r="K283" s="3">
        <f t="shared" si="35"/>
        <v>651.59999999999991</v>
      </c>
      <c r="L283" s="3">
        <v>1.4</v>
      </c>
      <c r="M283" s="3">
        <f t="shared" si="36"/>
        <v>300.49999999999989</v>
      </c>
      <c r="N283" s="3">
        <v>-1.4</v>
      </c>
      <c r="O283" s="3">
        <f t="shared" si="42"/>
        <v>150.89999999999998</v>
      </c>
      <c r="P283" s="3">
        <v>243</v>
      </c>
      <c r="Q283" s="3">
        <v>1.1499999999999999</v>
      </c>
      <c r="R283" s="7">
        <f t="shared" si="32"/>
        <v>1.6099999999999999</v>
      </c>
      <c r="S283" s="7">
        <f t="shared" si="33"/>
        <v>-1.6099999999999999</v>
      </c>
      <c r="T283" s="7">
        <f t="shared" si="40"/>
        <v>141.21</v>
      </c>
      <c r="V283" s="3">
        <v>877</v>
      </c>
      <c r="X283" s="3">
        <f t="shared" si="37"/>
        <v>160947.49999999991</v>
      </c>
      <c r="Y283" s="3">
        <f t="shared" si="39"/>
        <v>23042.600000000002</v>
      </c>
      <c r="AA283" s="3">
        <v>14.676527923044199</v>
      </c>
    </row>
    <row r="284" spans="1:27" s="3" customFormat="1" x14ac:dyDescent="0.25">
      <c r="A284" s="27"/>
      <c r="B284" s="8"/>
      <c r="C284" s="28">
        <v>41400</v>
      </c>
      <c r="D284" s="3">
        <v>15</v>
      </c>
      <c r="E284" s="3">
        <v>8.5</v>
      </c>
      <c r="F284" s="3">
        <v>21.9</v>
      </c>
      <c r="G284" s="3">
        <f t="shared" si="34"/>
        <v>2069.7000000000003</v>
      </c>
      <c r="H284" s="3">
        <f t="shared" si="38"/>
        <v>173.99999999999997</v>
      </c>
      <c r="J284" s="3">
        <v>0</v>
      </c>
      <c r="K284" s="3">
        <f t="shared" si="35"/>
        <v>651.59999999999991</v>
      </c>
      <c r="L284" s="3">
        <v>3.5</v>
      </c>
      <c r="M284" s="3">
        <f t="shared" si="36"/>
        <v>303.99999999999989</v>
      </c>
      <c r="N284" s="3">
        <v>-3.5</v>
      </c>
      <c r="O284" s="3">
        <f t="shared" si="42"/>
        <v>147.39999999999998</v>
      </c>
      <c r="P284" s="3">
        <v>244</v>
      </c>
      <c r="Q284" s="3">
        <v>1.1499999999999999</v>
      </c>
      <c r="R284" s="7">
        <f t="shared" si="32"/>
        <v>4.0249999999999995</v>
      </c>
      <c r="S284" s="7">
        <f t="shared" si="33"/>
        <v>-4.0249999999999995</v>
      </c>
      <c r="T284" s="7">
        <f t="shared" si="40"/>
        <v>137.185</v>
      </c>
      <c r="V284" s="3">
        <v>2021.1</v>
      </c>
      <c r="X284" s="3">
        <f t="shared" si="37"/>
        <v>162968.59999999992</v>
      </c>
      <c r="Y284" s="3">
        <f t="shared" si="39"/>
        <v>25063.7</v>
      </c>
      <c r="AA284" s="3">
        <v>14.7260928113191</v>
      </c>
    </row>
    <row r="285" spans="1:27" s="3" customFormat="1" x14ac:dyDescent="0.25">
      <c r="A285" s="27"/>
      <c r="B285" s="8"/>
      <c r="C285" s="28">
        <v>41401</v>
      </c>
      <c r="D285" s="3">
        <v>16.3</v>
      </c>
      <c r="E285" s="3">
        <v>11.5</v>
      </c>
      <c r="F285" s="3">
        <v>22.6</v>
      </c>
      <c r="G285" s="3">
        <f t="shared" si="34"/>
        <v>2086.0000000000005</v>
      </c>
      <c r="H285" s="3">
        <f t="shared" si="38"/>
        <v>190.29999999999998</v>
      </c>
      <c r="J285" s="3">
        <v>4.0999999999999996</v>
      </c>
      <c r="K285" s="3">
        <f t="shared" si="35"/>
        <v>655.69999999999993</v>
      </c>
      <c r="L285" s="3">
        <v>3</v>
      </c>
      <c r="M285" s="3">
        <f t="shared" si="36"/>
        <v>306.99999999999989</v>
      </c>
      <c r="N285" s="3">
        <v>1.0999999999999996</v>
      </c>
      <c r="O285" s="3">
        <f t="shared" si="42"/>
        <v>148.49999999999997</v>
      </c>
      <c r="P285" s="3">
        <v>245</v>
      </c>
      <c r="Q285" s="3">
        <v>1.1499999999999999</v>
      </c>
      <c r="R285" s="7">
        <f t="shared" si="32"/>
        <v>3.4499999999999997</v>
      </c>
      <c r="S285" s="7">
        <f t="shared" si="33"/>
        <v>0.64999999999999991</v>
      </c>
      <c r="T285" s="7">
        <f t="shared" si="40"/>
        <v>137.83500000000001</v>
      </c>
      <c r="V285" s="3">
        <v>1449.7</v>
      </c>
      <c r="X285" s="3">
        <f t="shared" si="37"/>
        <v>164418.29999999993</v>
      </c>
      <c r="Y285" s="3">
        <f t="shared" si="39"/>
        <v>26513.4</v>
      </c>
      <c r="AA285" s="3">
        <v>14.7751416071881</v>
      </c>
    </row>
    <row r="286" spans="1:27" s="3" customFormat="1" x14ac:dyDescent="0.25">
      <c r="A286" s="27"/>
      <c r="B286" s="8"/>
      <c r="C286" s="28">
        <v>41402</v>
      </c>
      <c r="D286" s="3">
        <v>13.8</v>
      </c>
      <c r="E286" s="3">
        <v>13.6</v>
      </c>
      <c r="F286" s="3">
        <v>16.5</v>
      </c>
      <c r="G286" s="3">
        <f t="shared" si="34"/>
        <v>2099.8000000000006</v>
      </c>
      <c r="H286" s="3">
        <f t="shared" si="38"/>
        <v>204.1</v>
      </c>
      <c r="J286" s="3">
        <v>0.1</v>
      </c>
      <c r="K286" s="3">
        <f t="shared" si="35"/>
        <v>655.8</v>
      </c>
      <c r="L286" s="3">
        <v>1.6</v>
      </c>
      <c r="M286" s="3">
        <f t="shared" si="36"/>
        <v>308.59999999999991</v>
      </c>
      <c r="N286" s="3">
        <v>-1.5</v>
      </c>
      <c r="O286" s="3">
        <f t="shared" si="42"/>
        <v>146.99999999999997</v>
      </c>
      <c r="P286" s="3">
        <v>246</v>
      </c>
      <c r="Q286" s="3">
        <v>1.1499999999999999</v>
      </c>
      <c r="R286" s="7">
        <f t="shared" si="32"/>
        <v>1.8399999999999999</v>
      </c>
      <c r="S286" s="7">
        <f t="shared" si="33"/>
        <v>-1.7399999999999998</v>
      </c>
      <c r="T286" s="7">
        <f t="shared" si="40"/>
        <v>136.095</v>
      </c>
      <c r="V286" s="3">
        <v>596.5</v>
      </c>
      <c r="X286" s="3">
        <f t="shared" si="37"/>
        <v>165014.79999999993</v>
      </c>
      <c r="Y286" s="3">
        <f t="shared" si="39"/>
        <v>27109.9</v>
      </c>
      <c r="AA286" s="3">
        <v>14.823653623621601</v>
      </c>
    </row>
    <row r="287" spans="1:27" s="3" customFormat="1" x14ac:dyDescent="0.25">
      <c r="A287" s="27"/>
      <c r="B287" s="8"/>
      <c r="C287" s="28">
        <v>41403</v>
      </c>
      <c r="D287" s="3">
        <v>11.3</v>
      </c>
      <c r="E287" s="3">
        <v>7.6</v>
      </c>
      <c r="F287" s="3">
        <v>15.3</v>
      </c>
      <c r="G287" s="3">
        <f t="shared" si="34"/>
        <v>2111.1000000000008</v>
      </c>
      <c r="H287" s="3">
        <f t="shared" si="38"/>
        <v>215.4</v>
      </c>
      <c r="J287" s="3">
        <v>0</v>
      </c>
      <c r="K287" s="3">
        <f t="shared" si="35"/>
        <v>655.8</v>
      </c>
      <c r="L287" s="3">
        <v>3.3</v>
      </c>
      <c r="M287" s="3">
        <f t="shared" si="36"/>
        <v>311.89999999999992</v>
      </c>
      <c r="N287" s="3">
        <v>-3.3</v>
      </c>
      <c r="O287" s="3">
        <f t="shared" si="42"/>
        <v>143.69999999999996</v>
      </c>
      <c r="P287" s="3">
        <v>247</v>
      </c>
      <c r="Q287" s="3">
        <v>1.1499999999999999</v>
      </c>
      <c r="R287" s="7">
        <f t="shared" si="32"/>
        <v>3.7949999999999995</v>
      </c>
      <c r="S287" s="7">
        <f t="shared" si="33"/>
        <v>-3.7949999999999995</v>
      </c>
      <c r="T287" s="7">
        <f t="shared" si="40"/>
        <v>132.30000000000001</v>
      </c>
      <c r="V287" s="3">
        <v>1801.7</v>
      </c>
      <c r="X287" s="3">
        <f t="shared" si="37"/>
        <v>166816.49999999994</v>
      </c>
      <c r="Y287" s="3">
        <f t="shared" si="39"/>
        <v>28911.600000000002</v>
      </c>
      <c r="AA287" s="3">
        <v>14.8716076817126</v>
      </c>
    </row>
    <row r="288" spans="1:27" s="3" customFormat="1" x14ac:dyDescent="0.25">
      <c r="A288" s="27"/>
      <c r="B288" s="8"/>
      <c r="C288" s="28">
        <v>41404</v>
      </c>
      <c r="D288" s="3">
        <v>12.2</v>
      </c>
      <c r="E288" s="3">
        <v>9.9</v>
      </c>
      <c r="F288" s="3">
        <v>14.4</v>
      </c>
      <c r="G288" s="3">
        <f t="shared" si="34"/>
        <v>2123.3000000000006</v>
      </c>
      <c r="H288" s="3">
        <f t="shared" si="38"/>
        <v>227.6</v>
      </c>
      <c r="J288" s="3">
        <v>1</v>
      </c>
      <c r="K288" s="3">
        <f t="shared" si="35"/>
        <v>656.8</v>
      </c>
      <c r="L288" s="3">
        <v>1.5</v>
      </c>
      <c r="M288" s="3">
        <f t="shared" si="36"/>
        <v>313.39999999999992</v>
      </c>
      <c r="N288" s="3">
        <v>-0.5</v>
      </c>
      <c r="O288" s="3">
        <f t="shared" si="42"/>
        <v>143.19999999999996</v>
      </c>
      <c r="P288" s="3">
        <v>248</v>
      </c>
      <c r="Q288" s="3">
        <v>1.1499999999999999</v>
      </c>
      <c r="R288" s="7">
        <f t="shared" si="32"/>
        <v>1.7249999999999999</v>
      </c>
      <c r="S288" s="7">
        <f t="shared" si="33"/>
        <v>-0.72499999999999987</v>
      </c>
      <c r="T288" s="7">
        <f t="shared" si="40"/>
        <v>131.57500000000002</v>
      </c>
      <c r="V288" s="3">
        <v>745.6</v>
      </c>
      <c r="X288" s="3">
        <f t="shared" si="37"/>
        <v>167562.09999999995</v>
      </c>
      <c r="Y288" s="3">
        <f t="shared" si="39"/>
        <v>29657.200000000001</v>
      </c>
      <c r="AA288" s="3">
        <v>14.9189821219744</v>
      </c>
    </row>
    <row r="289" spans="1:27" s="3" customFormat="1" x14ac:dyDescent="0.25">
      <c r="A289" s="27"/>
      <c r="B289" s="8"/>
      <c r="C289" s="28">
        <v>41405</v>
      </c>
      <c r="D289" s="3">
        <v>11.6</v>
      </c>
      <c r="E289" s="3">
        <v>9.9</v>
      </c>
      <c r="F289" s="3">
        <v>14.8</v>
      </c>
      <c r="G289" s="3">
        <f t="shared" si="34"/>
        <v>2134.9000000000005</v>
      </c>
      <c r="H289" s="3">
        <f t="shared" si="38"/>
        <v>239.2</v>
      </c>
      <c r="J289" s="3">
        <v>0.6</v>
      </c>
      <c r="K289" s="3">
        <f t="shared" si="35"/>
        <v>657.4</v>
      </c>
      <c r="L289" s="3">
        <v>3.3</v>
      </c>
      <c r="M289" s="3">
        <f t="shared" si="36"/>
        <v>316.69999999999993</v>
      </c>
      <c r="N289" s="3">
        <v>-2.6999999999999997</v>
      </c>
      <c r="O289" s="3">
        <f t="shared" si="42"/>
        <v>140.49999999999997</v>
      </c>
      <c r="P289" s="3">
        <v>249</v>
      </c>
      <c r="Q289" s="3">
        <v>1.1499999999999999</v>
      </c>
      <c r="R289" s="7">
        <f t="shared" si="32"/>
        <v>3.7949999999999995</v>
      </c>
      <c r="S289" s="7">
        <f t="shared" si="33"/>
        <v>-3.1949999999999994</v>
      </c>
      <c r="T289" s="7">
        <f t="shared" si="40"/>
        <v>128.38000000000002</v>
      </c>
      <c r="V289" s="3">
        <v>2014.8</v>
      </c>
      <c r="X289" s="3">
        <f t="shared" si="37"/>
        <v>169576.89999999994</v>
      </c>
      <c r="Y289" s="3">
        <f t="shared" si="39"/>
        <v>31672</v>
      </c>
      <c r="AA289" s="3">
        <v>14.9657548178534</v>
      </c>
    </row>
    <row r="290" spans="1:27" s="3" customFormat="1" x14ac:dyDescent="0.25">
      <c r="A290" s="27"/>
      <c r="B290" s="8"/>
      <c r="C290" s="28">
        <v>41406</v>
      </c>
      <c r="D290" s="3">
        <v>11.5</v>
      </c>
      <c r="E290" s="3">
        <v>8.1999999999999993</v>
      </c>
      <c r="F290" s="3">
        <v>13.7</v>
      </c>
      <c r="G290" s="3">
        <f t="shared" si="34"/>
        <v>2146.4000000000005</v>
      </c>
      <c r="H290" s="3">
        <f t="shared" si="38"/>
        <v>250.7</v>
      </c>
      <c r="J290" s="3">
        <v>0</v>
      </c>
      <c r="K290" s="3">
        <f t="shared" si="35"/>
        <v>657.4</v>
      </c>
      <c r="L290" s="3">
        <v>1.7</v>
      </c>
      <c r="M290" s="3">
        <f t="shared" si="36"/>
        <v>318.39999999999992</v>
      </c>
      <c r="N290" s="3">
        <v>-1.7</v>
      </c>
      <c r="O290" s="3">
        <f t="shared" si="42"/>
        <v>138.79999999999998</v>
      </c>
      <c r="P290" s="3">
        <v>250</v>
      </c>
      <c r="Q290" s="3">
        <v>1.1499999999999999</v>
      </c>
      <c r="R290" s="7">
        <f t="shared" si="32"/>
        <v>1.9549999999999998</v>
      </c>
      <c r="S290" s="7">
        <f t="shared" si="33"/>
        <v>-1.9549999999999998</v>
      </c>
      <c r="T290" s="7">
        <f t="shared" si="40"/>
        <v>126.42500000000003</v>
      </c>
      <c r="V290" s="3">
        <v>935</v>
      </c>
      <c r="X290" s="3">
        <f t="shared" si="37"/>
        <v>170511.89999999994</v>
      </c>
      <c r="Y290" s="3">
        <f t="shared" si="39"/>
        <v>32607</v>
      </c>
      <c r="AA290" s="3">
        <v>15.011903191555099</v>
      </c>
    </row>
    <row r="291" spans="1:27" s="3" customFormat="1" x14ac:dyDescent="0.25">
      <c r="A291" s="27"/>
      <c r="B291" s="8"/>
      <c r="C291" s="28">
        <v>41407</v>
      </c>
      <c r="D291" s="3">
        <v>13.1</v>
      </c>
      <c r="E291" s="3">
        <v>11.5</v>
      </c>
      <c r="F291" s="3">
        <v>16.3</v>
      </c>
      <c r="G291" s="3">
        <f t="shared" si="34"/>
        <v>2159.5000000000005</v>
      </c>
      <c r="H291" s="3">
        <f t="shared" si="38"/>
        <v>263.8</v>
      </c>
      <c r="J291" s="3">
        <v>0</v>
      </c>
      <c r="K291" s="3">
        <f t="shared" si="35"/>
        <v>657.4</v>
      </c>
      <c r="L291" s="3">
        <v>1.9</v>
      </c>
      <c r="M291" s="3">
        <f t="shared" si="36"/>
        <v>320.2999999999999</v>
      </c>
      <c r="N291" s="3">
        <v>-1.9</v>
      </c>
      <c r="O291" s="3">
        <f t="shared" si="42"/>
        <v>136.89999999999998</v>
      </c>
      <c r="P291" s="3">
        <v>251</v>
      </c>
      <c r="Q291" s="3">
        <v>1.1499999999999999</v>
      </c>
      <c r="R291" s="7">
        <f t="shared" si="32"/>
        <v>2.1849999999999996</v>
      </c>
      <c r="S291" s="7">
        <f t="shared" si="33"/>
        <v>-2.1849999999999996</v>
      </c>
      <c r="T291" s="7">
        <f t="shared" si="40"/>
        <v>124.24000000000002</v>
      </c>
      <c r="V291" s="3">
        <v>641.70000000000005</v>
      </c>
      <c r="X291" s="3">
        <f t="shared" si="37"/>
        <v>171153.59999999995</v>
      </c>
      <c r="Y291" s="3">
        <f t="shared" si="39"/>
        <v>33248.699999999997</v>
      </c>
      <c r="AA291" s="3">
        <v>15.0574042322748</v>
      </c>
    </row>
    <row r="292" spans="1:27" s="3" customFormat="1" x14ac:dyDescent="0.25">
      <c r="A292" s="27"/>
      <c r="B292" s="8"/>
      <c r="C292" s="28">
        <v>41408</v>
      </c>
      <c r="D292" s="3">
        <v>9.9</v>
      </c>
      <c r="E292" s="3">
        <v>8.3000000000000007</v>
      </c>
      <c r="F292" s="3">
        <v>11.6</v>
      </c>
      <c r="G292" s="3">
        <f t="shared" si="34"/>
        <v>2169.4000000000005</v>
      </c>
      <c r="H292" s="3">
        <f t="shared" si="38"/>
        <v>273.7</v>
      </c>
      <c r="J292" s="3">
        <v>4</v>
      </c>
      <c r="K292" s="3">
        <f t="shared" si="35"/>
        <v>661.4</v>
      </c>
      <c r="L292" s="3">
        <v>1.4</v>
      </c>
      <c r="M292" s="3">
        <f t="shared" si="36"/>
        <v>321.69999999999987</v>
      </c>
      <c r="N292" s="3">
        <v>2.6</v>
      </c>
      <c r="O292" s="3">
        <f t="shared" si="42"/>
        <v>139.49999999999997</v>
      </c>
      <c r="P292" s="3">
        <v>252</v>
      </c>
      <c r="Q292" s="3">
        <v>1.1499999999999999</v>
      </c>
      <c r="R292" s="7">
        <f t="shared" si="32"/>
        <v>1.6099999999999999</v>
      </c>
      <c r="S292" s="7">
        <f t="shared" si="33"/>
        <v>2.39</v>
      </c>
      <c r="T292" s="7">
        <f t="shared" si="40"/>
        <v>126.63000000000002</v>
      </c>
      <c r="V292" s="3">
        <v>747.6</v>
      </c>
      <c r="W292" s="13"/>
      <c r="X292" s="3">
        <f t="shared" si="37"/>
        <v>171901.19999999995</v>
      </c>
      <c r="Y292" s="3">
        <f t="shared" si="39"/>
        <v>33996.299999999996</v>
      </c>
      <c r="AA292" s="3">
        <v>15.1022345169196</v>
      </c>
    </row>
    <row r="293" spans="1:27" s="3" customFormat="1" ht="15" customHeight="1" x14ac:dyDescent="0.25">
      <c r="A293" s="27"/>
      <c r="B293" s="8"/>
      <c r="C293" s="28">
        <v>41409</v>
      </c>
      <c r="D293" s="3">
        <v>8.6</v>
      </c>
      <c r="E293" s="3">
        <v>6.4</v>
      </c>
      <c r="F293" s="3">
        <v>10.6</v>
      </c>
      <c r="G293" s="3">
        <f t="shared" si="34"/>
        <v>2178.0000000000005</v>
      </c>
      <c r="H293" s="3">
        <f t="shared" si="38"/>
        <v>282.3</v>
      </c>
      <c r="J293" s="3">
        <v>1.2</v>
      </c>
      <c r="K293" s="3">
        <f t="shared" si="35"/>
        <v>662.6</v>
      </c>
      <c r="L293" s="3">
        <v>1.9</v>
      </c>
      <c r="M293" s="3">
        <f t="shared" si="36"/>
        <v>323.59999999999985</v>
      </c>
      <c r="N293" s="3">
        <v>-0.7</v>
      </c>
      <c r="O293" s="3">
        <f t="shared" si="42"/>
        <v>138.79999999999998</v>
      </c>
      <c r="P293" s="3">
        <v>253</v>
      </c>
      <c r="Q293" s="3">
        <v>1.1499999999999999</v>
      </c>
      <c r="R293" s="7">
        <f t="shared" si="32"/>
        <v>2.1849999999999996</v>
      </c>
      <c r="S293" s="7">
        <f t="shared" si="33"/>
        <v>-0.98499999999999965</v>
      </c>
      <c r="T293" s="7">
        <f t="shared" si="40"/>
        <v>125.64500000000002</v>
      </c>
      <c r="U293" s="22"/>
      <c r="V293" s="3">
        <v>1496.3</v>
      </c>
      <c r="X293" s="3">
        <f t="shared" si="37"/>
        <v>173397.49999999994</v>
      </c>
      <c r="Y293" s="3">
        <f t="shared" si="39"/>
        <v>35492.6</v>
      </c>
      <c r="AA293" s="3">
        <v>15.1463702334015</v>
      </c>
    </row>
    <row r="294" spans="1:27" s="3" customFormat="1" x14ac:dyDescent="0.25">
      <c r="A294" s="27"/>
      <c r="B294" s="8"/>
      <c r="C294" s="28">
        <v>41410</v>
      </c>
      <c r="D294" s="3">
        <v>9.6</v>
      </c>
      <c r="E294" s="3">
        <v>5.6</v>
      </c>
      <c r="F294" s="3">
        <v>13.5</v>
      </c>
      <c r="G294" s="3">
        <f t="shared" si="34"/>
        <v>2187.6000000000004</v>
      </c>
      <c r="H294" s="3">
        <f t="shared" si="38"/>
        <v>291.90000000000003</v>
      </c>
      <c r="J294" s="3">
        <v>0.7</v>
      </c>
      <c r="K294" s="3">
        <f t="shared" si="35"/>
        <v>663.30000000000007</v>
      </c>
      <c r="L294" s="3">
        <v>1.5</v>
      </c>
      <c r="M294" s="3">
        <f t="shared" si="36"/>
        <v>325.09999999999985</v>
      </c>
      <c r="N294" s="3">
        <v>-0.8</v>
      </c>
      <c r="O294" s="3">
        <f t="shared" si="42"/>
        <v>137.99999999999997</v>
      </c>
      <c r="P294" s="3">
        <v>254</v>
      </c>
      <c r="Q294" s="3">
        <v>1.1499999999999999</v>
      </c>
      <c r="R294" s="7">
        <f t="shared" si="32"/>
        <v>1.7249999999999999</v>
      </c>
      <c r="S294" s="7">
        <f t="shared" si="33"/>
        <v>-1.0249999999999999</v>
      </c>
      <c r="T294" s="7">
        <f t="shared" si="40"/>
        <v>124.62000000000002</v>
      </c>
      <c r="V294" s="3">
        <v>997.6</v>
      </c>
      <c r="X294" s="3">
        <f t="shared" si="37"/>
        <v>174395.09999999995</v>
      </c>
      <c r="Y294" s="3">
        <f t="shared" si="39"/>
        <v>36490.199999999997</v>
      </c>
      <c r="AA294" s="3">
        <v>15.1897872065722</v>
      </c>
    </row>
    <row r="295" spans="1:27" s="44" customFormat="1" ht="15.75" thickBot="1" x14ac:dyDescent="0.3">
      <c r="A295" s="58"/>
      <c r="B295" s="42">
        <v>300</v>
      </c>
      <c r="C295" s="59">
        <v>41411</v>
      </c>
      <c r="D295" s="44">
        <v>11.1</v>
      </c>
      <c r="E295" s="44">
        <v>5.7</v>
      </c>
      <c r="F295" s="44">
        <v>16.2</v>
      </c>
      <c r="G295" s="44">
        <f t="shared" si="34"/>
        <v>2198.7000000000003</v>
      </c>
      <c r="H295" s="44">
        <f t="shared" si="38"/>
        <v>303.00000000000006</v>
      </c>
      <c r="J295" s="44">
        <v>0</v>
      </c>
      <c r="K295" s="44">
        <f t="shared" si="35"/>
        <v>663.30000000000007</v>
      </c>
      <c r="L295" s="44">
        <v>3.9</v>
      </c>
      <c r="M295" s="44">
        <f t="shared" si="36"/>
        <v>328.99999999999983</v>
      </c>
      <c r="N295" s="44">
        <v>-3.9</v>
      </c>
      <c r="O295" s="44">
        <f t="shared" si="42"/>
        <v>134.09999999999997</v>
      </c>
      <c r="P295" s="44">
        <v>255</v>
      </c>
      <c r="Q295" s="45">
        <v>1.1499999999999999</v>
      </c>
      <c r="R295" s="46">
        <f t="shared" si="32"/>
        <v>4.4849999999999994</v>
      </c>
      <c r="S295" s="46">
        <f t="shared" si="33"/>
        <v>-4.4849999999999994</v>
      </c>
      <c r="T295" s="46">
        <f t="shared" si="40"/>
        <v>120.13500000000002</v>
      </c>
      <c r="V295" s="44">
        <v>2679.2</v>
      </c>
      <c r="X295" s="44">
        <f t="shared" si="37"/>
        <v>177074.29999999996</v>
      </c>
      <c r="Y295" s="44">
        <f t="shared" si="39"/>
        <v>39169.399999999994</v>
      </c>
      <c r="AA295" s="44">
        <v>15.2324609268607</v>
      </c>
    </row>
    <row r="296" spans="1:27" s="3" customFormat="1" x14ac:dyDescent="0.25">
      <c r="A296" s="30"/>
      <c r="B296" s="8"/>
      <c r="C296" s="31">
        <v>41412</v>
      </c>
      <c r="D296" s="3">
        <v>11.3</v>
      </c>
      <c r="E296" s="3">
        <v>7.7</v>
      </c>
      <c r="F296" s="3">
        <v>15.6</v>
      </c>
      <c r="G296" s="3">
        <f t="shared" si="34"/>
        <v>2210.0000000000005</v>
      </c>
      <c r="H296" s="3">
        <v>11.3</v>
      </c>
      <c r="I296" s="32" t="s">
        <v>2</v>
      </c>
      <c r="J296" s="3">
        <v>7.3</v>
      </c>
      <c r="K296" s="3">
        <f t="shared" si="35"/>
        <v>670.6</v>
      </c>
      <c r="L296" s="3">
        <v>2.2999999999999998</v>
      </c>
      <c r="M296" s="3">
        <f t="shared" si="36"/>
        <v>331.29999999999984</v>
      </c>
      <c r="N296" s="3">
        <v>5</v>
      </c>
      <c r="O296" s="3">
        <f t="shared" si="42"/>
        <v>139.09999999999997</v>
      </c>
      <c r="P296" s="3">
        <v>256</v>
      </c>
      <c r="Q296" s="20">
        <f>1.15+((P296-255)/59)*(0.35-1.15)</f>
        <v>1.1364406779661016</v>
      </c>
      <c r="R296" s="7">
        <f t="shared" si="32"/>
        <v>2.6138135593220335</v>
      </c>
      <c r="S296" s="7">
        <f t="shared" si="33"/>
        <v>4.6861864406779663</v>
      </c>
      <c r="T296" s="7">
        <f t="shared" si="40"/>
        <v>124.82118644067799</v>
      </c>
      <c r="U296" s="32" t="s">
        <v>3</v>
      </c>
      <c r="V296" s="3">
        <v>1126.7</v>
      </c>
      <c r="X296" s="3">
        <f t="shared" si="37"/>
        <v>178200.99999999997</v>
      </c>
      <c r="Y296" s="3">
        <v>1126.7</v>
      </c>
      <c r="Z296" s="32" t="s">
        <v>4</v>
      </c>
      <c r="AA296" s="3">
        <v>15.274366581663999</v>
      </c>
    </row>
    <row r="297" spans="1:27" s="3" customFormat="1" x14ac:dyDescent="0.25">
      <c r="A297" s="30"/>
      <c r="B297" s="8"/>
      <c r="C297" s="31">
        <v>41413</v>
      </c>
      <c r="D297" s="3">
        <v>10.5</v>
      </c>
      <c r="E297" s="3">
        <v>9.6</v>
      </c>
      <c r="F297" s="3">
        <v>11.4</v>
      </c>
      <c r="G297" s="3">
        <f t="shared" si="34"/>
        <v>2220.5000000000005</v>
      </c>
      <c r="H297" s="3">
        <f t="shared" si="38"/>
        <v>21.8</v>
      </c>
      <c r="I297" s="3">
        <f>MIN(E296:E319)</f>
        <v>4.4000000000000004</v>
      </c>
      <c r="J297" s="3">
        <v>5.8</v>
      </c>
      <c r="K297" s="3">
        <f t="shared" si="35"/>
        <v>676.4</v>
      </c>
      <c r="L297" s="3">
        <v>0.6</v>
      </c>
      <c r="M297" s="3">
        <f t="shared" si="36"/>
        <v>331.89999999999986</v>
      </c>
      <c r="N297" s="3">
        <v>5.2</v>
      </c>
      <c r="O297" s="3">
        <f t="shared" si="42"/>
        <v>144.29999999999995</v>
      </c>
      <c r="P297" s="3">
        <v>257</v>
      </c>
      <c r="Q297" s="20">
        <f t="shared" ref="Q297:Q354" si="43">1.15+((P297-255)/59)*(0.35-1.15)</f>
        <v>1.1228813559322033</v>
      </c>
      <c r="R297" s="7">
        <f t="shared" ref="R297:R354" si="44">Q297*L297</f>
        <v>0.6737288135593219</v>
      </c>
      <c r="S297" s="7">
        <f t="shared" ref="S297:S354" si="45">J297-R297</f>
        <v>5.126271186440678</v>
      </c>
      <c r="T297" s="7">
        <f t="shared" si="40"/>
        <v>129.94745762711867</v>
      </c>
      <c r="U297" s="3">
        <v>15</v>
      </c>
      <c r="V297" s="3">
        <v>413</v>
      </c>
      <c r="X297" s="3">
        <f t="shared" si="37"/>
        <v>178613.99999999997</v>
      </c>
      <c r="Y297" s="3">
        <f t="shared" si="39"/>
        <v>1539.7</v>
      </c>
      <c r="Z297" s="3">
        <v>36257.5</v>
      </c>
      <c r="AA297" s="3">
        <v>15.315479089526701</v>
      </c>
    </row>
    <row r="298" spans="1:27" s="3" customFormat="1" x14ac:dyDescent="0.25">
      <c r="A298" s="30"/>
      <c r="B298" s="8"/>
      <c r="C298" s="31">
        <v>41414</v>
      </c>
      <c r="D298" s="3">
        <v>11.4</v>
      </c>
      <c r="E298" s="3">
        <v>10.1</v>
      </c>
      <c r="F298" s="3">
        <v>12.5</v>
      </c>
      <c r="G298" s="3">
        <f t="shared" si="34"/>
        <v>2231.9000000000005</v>
      </c>
      <c r="H298" s="3">
        <f t="shared" si="38"/>
        <v>33.200000000000003</v>
      </c>
      <c r="I298" s="32" t="s">
        <v>5</v>
      </c>
      <c r="J298" s="3">
        <v>1.3</v>
      </c>
      <c r="K298" s="3">
        <f t="shared" si="35"/>
        <v>677.69999999999993</v>
      </c>
      <c r="L298" s="3">
        <v>1</v>
      </c>
      <c r="M298" s="3">
        <f t="shared" si="36"/>
        <v>332.89999999999986</v>
      </c>
      <c r="N298" s="3">
        <v>0.30000000000000004</v>
      </c>
      <c r="O298" s="3">
        <f t="shared" si="42"/>
        <v>144.59999999999997</v>
      </c>
      <c r="P298" s="3">
        <v>258</v>
      </c>
      <c r="Q298" s="20">
        <f t="shared" si="43"/>
        <v>1.109322033898305</v>
      </c>
      <c r="R298" s="7">
        <f t="shared" si="44"/>
        <v>1.109322033898305</v>
      </c>
      <c r="S298" s="7">
        <f t="shared" si="45"/>
        <v>0.19067796610169507</v>
      </c>
      <c r="T298" s="7">
        <f t="shared" si="40"/>
        <v>130.13813559322037</v>
      </c>
      <c r="U298" s="32" t="s">
        <v>6</v>
      </c>
      <c r="V298" s="3">
        <v>638.6</v>
      </c>
      <c r="X298" s="3">
        <f t="shared" si="37"/>
        <v>179252.59999999998</v>
      </c>
      <c r="Y298" s="3">
        <f t="shared" si="39"/>
        <v>2178.3000000000002</v>
      </c>
      <c r="Z298" s="32" t="s">
        <v>7</v>
      </c>
      <c r="AA298" s="3">
        <v>15.355773137132701</v>
      </c>
    </row>
    <row r="299" spans="1:27" s="3" customFormat="1" x14ac:dyDescent="0.25">
      <c r="A299" s="30"/>
      <c r="B299" s="8"/>
      <c r="C299" s="31">
        <v>41415</v>
      </c>
      <c r="D299" s="3">
        <v>13.6</v>
      </c>
      <c r="E299" s="3">
        <v>11.8</v>
      </c>
      <c r="F299" s="3">
        <v>17.2</v>
      </c>
      <c r="G299" s="3">
        <f t="shared" ref="G299:G354" si="46">G298+D299</f>
        <v>2245.5000000000005</v>
      </c>
      <c r="H299" s="3">
        <f t="shared" si="38"/>
        <v>46.800000000000004</v>
      </c>
      <c r="I299" s="3">
        <f>MAX(F296:F319)</f>
        <v>27.8</v>
      </c>
      <c r="J299" s="3">
        <v>0.1</v>
      </c>
      <c r="K299" s="3">
        <f t="shared" ref="K299:K354" si="47">J299+K298</f>
        <v>677.8</v>
      </c>
      <c r="L299" s="3">
        <v>1.6</v>
      </c>
      <c r="M299" s="3">
        <f t="shared" ref="M299:M354" si="48">M298+L299</f>
        <v>334.49999999999989</v>
      </c>
      <c r="N299" s="3">
        <v>-1.5</v>
      </c>
      <c r="O299" s="3">
        <f t="shared" si="42"/>
        <v>143.09999999999997</v>
      </c>
      <c r="P299" s="3">
        <v>259</v>
      </c>
      <c r="Q299" s="20">
        <f t="shared" si="43"/>
        <v>1.0957627118644067</v>
      </c>
      <c r="R299" s="7">
        <f t="shared" si="44"/>
        <v>1.7532203389830507</v>
      </c>
      <c r="S299" s="7">
        <f t="shared" si="45"/>
        <v>-1.6532203389830507</v>
      </c>
      <c r="T299" s="7">
        <f t="shared" si="40"/>
        <v>128.48491525423731</v>
      </c>
      <c r="U299" s="3">
        <v>0</v>
      </c>
      <c r="V299" s="3">
        <v>637.4</v>
      </c>
      <c r="X299" s="3">
        <f t="shared" ref="X299:X354" si="49">X298+V299</f>
        <v>179889.99999999997</v>
      </c>
      <c r="Y299" s="3">
        <f t="shared" si="39"/>
        <v>2815.7000000000003</v>
      </c>
      <c r="Z299" s="3">
        <f>(Z297/100)/I309</f>
        <v>1.1513972689742775</v>
      </c>
      <c r="AA299" s="3">
        <v>15.3952232191133</v>
      </c>
    </row>
    <row r="300" spans="1:27" s="3" customFormat="1" x14ac:dyDescent="0.25">
      <c r="A300" s="30"/>
      <c r="B300" s="8"/>
      <c r="C300" s="31">
        <v>41416</v>
      </c>
      <c r="D300" s="3">
        <v>12.5</v>
      </c>
      <c r="E300" s="3">
        <v>10.8</v>
      </c>
      <c r="F300" s="3">
        <v>15.1</v>
      </c>
      <c r="G300" s="3">
        <f t="shared" si="46"/>
        <v>2258.0000000000005</v>
      </c>
      <c r="H300" s="3">
        <f t="shared" si="38"/>
        <v>59.300000000000004</v>
      </c>
      <c r="I300" s="32" t="s">
        <v>8</v>
      </c>
      <c r="J300" s="3">
        <v>0</v>
      </c>
      <c r="K300" s="3">
        <f t="shared" si="47"/>
        <v>677.8</v>
      </c>
      <c r="L300" s="3">
        <v>1.8</v>
      </c>
      <c r="M300" s="3">
        <f t="shared" si="48"/>
        <v>336.2999999999999</v>
      </c>
      <c r="N300" s="3">
        <v>-1.8</v>
      </c>
      <c r="O300" s="3">
        <f t="shared" si="42"/>
        <v>141.29999999999995</v>
      </c>
      <c r="P300" s="3">
        <v>260</v>
      </c>
      <c r="Q300" s="20">
        <f t="shared" si="43"/>
        <v>1.0822033898305083</v>
      </c>
      <c r="R300" s="7">
        <f t="shared" si="44"/>
        <v>1.947966101694915</v>
      </c>
      <c r="S300" s="7">
        <f t="shared" si="45"/>
        <v>-1.947966101694915</v>
      </c>
      <c r="T300" s="7">
        <f t="shared" si="40"/>
        <v>126.53694915254239</v>
      </c>
      <c r="U300" s="32" t="s">
        <v>9</v>
      </c>
      <c r="V300" s="3">
        <v>1060.0999999999999</v>
      </c>
      <c r="X300" s="3">
        <f t="shared" si="49"/>
        <v>180950.09999999998</v>
      </c>
      <c r="Y300" s="3">
        <f t="shared" si="39"/>
        <v>3875.8</v>
      </c>
      <c r="Z300" s="32" t="s">
        <v>10</v>
      </c>
      <c r="AA300" s="3">
        <v>15.433803680661301</v>
      </c>
    </row>
    <row r="301" spans="1:27" s="3" customFormat="1" x14ac:dyDescent="0.25">
      <c r="A301" s="30"/>
      <c r="B301" s="8"/>
      <c r="C301" s="31">
        <v>41417</v>
      </c>
      <c r="D301" s="3">
        <v>9.8000000000000007</v>
      </c>
      <c r="E301" s="3">
        <v>8.1</v>
      </c>
      <c r="F301" s="3">
        <v>12.8</v>
      </c>
      <c r="G301" s="3">
        <f t="shared" si="46"/>
        <v>2267.8000000000006</v>
      </c>
      <c r="H301" s="3">
        <f t="shared" ref="H301:H354" si="50">H300+D301</f>
        <v>69.100000000000009</v>
      </c>
      <c r="I301" s="3">
        <f>AVERAGE(D296:D319)</f>
        <v>13.120833333333332</v>
      </c>
      <c r="J301" s="3">
        <v>2.4</v>
      </c>
      <c r="K301" s="3">
        <f t="shared" si="47"/>
        <v>680.19999999999993</v>
      </c>
      <c r="L301" s="3">
        <v>3.8</v>
      </c>
      <c r="M301" s="3">
        <f t="shared" si="48"/>
        <v>340.09999999999991</v>
      </c>
      <c r="N301" s="3">
        <v>-1.4</v>
      </c>
      <c r="O301" s="3">
        <f t="shared" si="42"/>
        <v>139.89999999999995</v>
      </c>
      <c r="P301" s="3">
        <v>261</v>
      </c>
      <c r="Q301" s="20">
        <f t="shared" si="43"/>
        <v>1.06864406779661</v>
      </c>
      <c r="R301" s="7">
        <f t="shared" si="44"/>
        <v>4.0608474576271183</v>
      </c>
      <c r="S301" s="7">
        <f t="shared" si="45"/>
        <v>-1.6608474576271184</v>
      </c>
      <c r="T301" s="7">
        <f t="shared" si="40"/>
        <v>124.87610169491528</v>
      </c>
      <c r="U301" s="3">
        <v>0</v>
      </c>
      <c r="V301" s="3">
        <v>2409.3000000000002</v>
      </c>
      <c r="X301" s="3">
        <f t="shared" si="49"/>
        <v>183359.39999999997</v>
      </c>
      <c r="Y301" s="3">
        <f t="shared" ref="Y301:Y354" si="51">Y300+V301</f>
        <v>6285.1</v>
      </c>
      <c r="Z301" s="3">
        <v>5</v>
      </c>
      <c r="AA301" s="3">
        <v>15.471488762918799</v>
      </c>
    </row>
    <row r="302" spans="1:27" s="3" customFormat="1" x14ac:dyDescent="0.25">
      <c r="A302" s="30"/>
      <c r="B302" s="8"/>
      <c r="C302" s="31">
        <v>41418</v>
      </c>
      <c r="D302" s="3">
        <v>8.5</v>
      </c>
      <c r="E302" s="3">
        <v>5.2</v>
      </c>
      <c r="F302" s="3">
        <v>10.199999999999999</v>
      </c>
      <c r="G302" s="3">
        <f t="shared" si="46"/>
        <v>2276.3000000000006</v>
      </c>
      <c r="H302" s="3">
        <f t="shared" si="50"/>
        <v>77.600000000000009</v>
      </c>
      <c r="I302" s="32" t="s">
        <v>11</v>
      </c>
      <c r="J302" s="3">
        <v>2.7</v>
      </c>
      <c r="K302" s="3">
        <f t="shared" si="47"/>
        <v>682.9</v>
      </c>
      <c r="L302" s="3">
        <v>1.8</v>
      </c>
      <c r="M302" s="3">
        <f t="shared" si="48"/>
        <v>341.89999999999992</v>
      </c>
      <c r="N302" s="3">
        <v>0.90000000000000013</v>
      </c>
      <c r="O302" s="3">
        <f t="shared" si="42"/>
        <v>140.79999999999995</v>
      </c>
      <c r="P302" s="3">
        <v>262</v>
      </c>
      <c r="Q302" s="20">
        <f t="shared" si="43"/>
        <v>1.0550847457627117</v>
      </c>
      <c r="R302" s="7">
        <f t="shared" si="44"/>
        <v>1.8991525423728812</v>
      </c>
      <c r="S302" s="7">
        <f t="shared" si="45"/>
        <v>0.80084745762711895</v>
      </c>
      <c r="T302" s="7">
        <f t="shared" ref="T302:T354" si="52">MIN(197.4,T301+S302)</f>
        <v>125.67694915254239</v>
      </c>
      <c r="U302" s="32" t="s">
        <v>12</v>
      </c>
      <c r="V302" s="3">
        <v>1471.4</v>
      </c>
      <c r="X302" s="3">
        <f t="shared" si="49"/>
        <v>184830.79999999996</v>
      </c>
      <c r="Y302" s="3">
        <f t="shared" si="51"/>
        <v>7756.5</v>
      </c>
      <c r="AA302" s="3">
        <v>15.508252651086901</v>
      </c>
    </row>
    <row r="303" spans="1:27" s="3" customFormat="1" x14ac:dyDescent="0.25">
      <c r="A303" s="30"/>
      <c r="B303" s="8"/>
      <c r="C303" s="31">
        <v>41419</v>
      </c>
      <c r="D303" s="3">
        <v>10.199999999999999</v>
      </c>
      <c r="E303" s="3">
        <v>7.9</v>
      </c>
      <c r="F303" s="3">
        <v>13.7</v>
      </c>
      <c r="G303" s="3">
        <f t="shared" si="46"/>
        <v>2286.5000000000005</v>
      </c>
      <c r="H303" s="3">
        <f t="shared" si="50"/>
        <v>87.800000000000011</v>
      </c>
      <c r="I303" s="3">
        <v>0</v>
      </c>
      <c r="J303" s="3">
        <v>0</v>
      </c>
      <c r="K303" s="3">
        <f t="shared" si="47"/>
        <v>682.9</v>
      </c>
      <c r="L303" s="3">
        <v>3.4</v>
      </c>
      <c r="M303" s="3">
        <f t="shared" si="48"/>
        <v>345.2999999999999</v>
      </c>
      <c r="N303" s="3">
        <v>-3.4</v>
      </c>
      <c r="O303" s="3">
        <f t="shared" si="42"/>
        <v>137.39999999999995</v>
      </c>
      <c r="P303" s="3">
        <v>263</v>
      </c>
      <c r="Q303" s="20">
        <f t="shared" si="43"/>
        <v>1.0415254237288134</v>
      </c>
      <c r="R303" s="7">
        <f t="shared" si="44"/>
        <v>3.5411864406779654</v>
      </c>
      <c r="S303" s="7">
        <f t="shared" si="45"/>
        <v>-3.5411864406779654</v>
      </c>
      <c r="T303" s="7">
        <f t="shared" si="52"/>
        <v>122.13576271186443</v>
      </c>
      <c r="U303" s="7">
        <f>MIN(T296:T319)</f>
        <v>120.28542372881358</v>
      </c>
      <c r="V303" s="3">
        <v>2253.1</v>
      </c>
      <c r="X303" s="3">
        <f t="shared" si="49"/>
        <v>187083.89999999997</v>
      </c>
      <c r="Y303" s="3">
        <f t="shared" si="51"/>
        <v>10009.6</v>
      </c>
      <c r="AA303" s="3">
        <v>15.544069525182699</v>
      </c>
    </row>
    <row r="304" spans="1:27" s="3" customFormat="1" x14ac:dyDescent="0.25">
      <c r="A304" s="30"/>
      <c r="B304" s="8"/>
      <c r="C304" s="31">
        <v>41420</v>
      </c>
      <c r="D304" s="3">
        <v>10.8</v>
      </c>
      <c r="E304" s="3">
        <v>4.4000000000000004</v>
      </c>
      <c r="F304" s="3">
        <v>17.3</v>
      </c>
      <c r="G304" s="3">
        <f t="shared" si="46"/>
        <v>2297.3000000000006</v>
      </c>
      <c r="H304" s="3">
        <f t="shared" si="50"/>
        <v>98.600000000000009</v>
      </c>
      <c r="I304" s="32" t="s">
        <v>13</v>
      </c>
      <c r="J304" s="3">
        <v>0</v>
      </c>
      <c r="K304" s="3">
        <f t="shared" si="47"/>
        <v>682.9</v>
      </c>
      <c r="L304" s="3">
        <v>1.8</v>
      </c>
      <c r="M304" s="3">
        <f t="shared" si="48"/>
        <v>347.09999999999991</v>
      </c>
      <c r="N304" s="3">
        <v>-1.8</v>
      </c>
      <c r="O304" s="3">
        <f t="shared" si="42"/>
        <v>135.59999999999994</v>
      </c>
      <c r="P304" s="3">
        <v>264</v>
      </c>
      <c r="Q304" s="20">
        <f t="shared" si="43"/>
        <v>1.0279661016949151</v>
      </c>
      <c r="R304" s="7">
        <f t="shared" si="44"/>
        <v>1.8503389830508472</v>
      </c>
      <c r="S304" s="7">
        <f t="shared" si="45"/>
        <v>-1.8503389830508472</v>
      </c>
      <c r="T304" s="7">
        <f t="shared" si="52"/>
        <v>120.28542372881358</v>
      </c>
      <c r="U304" s="32" t="s">
        <v>14</v>
      </c>
      <c r="V304" s="3">
        <v>1162.7</v>
      </c>
      <c r="X304" s="3">
        <f t="shared" si="49"/>
        <v>188246.59999999998</v>
      </c>
      <c r="Y304" s="3">
        <f t="shared" si="51"/>
        <v>11172.300000000001</v>
      </c>
      <c r="AA304" s="3">
        <v>15.578913613345801</v>
      </c>
    </row>
    <row r="305" spans="1:27" s="3" customFormat="1" x14ac:dyDescent="0.25">
      <c r="A305" s="30"/>
      <c r="B305" s="8"/>
      <c r="C305" s="31">
        <v>41421</v>
      </c>
      <c r="D305" s="3">
        <v>12.8</v>
      </c>
      <c r="E305" s="3">
        <v>6.6</v>
      </c>
      <c r="F305" s="3">
        <v>18.600000000000001</v>
      </c>
      <c r="G305" s="3">
        <f t="shared" si="46"/>
        <v>2310.1000000000008</v>
      </c>
      <c r="H305" s="3">
        <f t="shared" si="50"/>
        <v>111.4</v>
      </c>
      <c r="I305" s="3">
        <v>2</v>
      </c>
      <c r="J305" s="3">
        <v>15.1</v>
      </c>
      <c r="K305" s="3">
        <f t="shared" si="47"/>
        <v>698</v>
      </c>
      <c r="L305" s="3">
        <v>3</v>
      </c>
      <c r="M305" s="3">
        <f t="shared" si="48"/>
        <v>350.09999999999991</v>
      </c>
      <c r="N305" s="3">
        <v>12.1</v>
      </c>
      <c r="O305" s="3">
        <f t="shared" si="42"/>
        <v>147.69999999999993</v>
      </c>
      <c r="P305" s="3">
        <v>265</v>
      </c>
      <c r="Q305" s="20">
        <f t="shared" si="43"/>
        <v>1.0144067796610168</v>
      </c>
      <c r="R305" s="7">
        <f t="shared" si="44"/>
        <v>3.0432203389830503</v>
      </c>
      <c r="S305" s="7">
        <f t="shared" si="45"/>
        <v>12.05677966101695</v>
      </c>
      <c r="T305" s="7">
        <f t="shared" si="52"/>
        <v>132.34220338983053</v>
      </c>
      <c r="U305" s="7">
        <f>MAX(T296:T319)</f>
        <v>144.58101694915257</v>
      </c>
      <c r="V305" s="3">
        <v>1520.9</v>
      </c>
      <c r="X305" s="3">
        <f t="shared" si="49"/>
        <v>189767.49999999997</v>
      </c>
      <c r="Y305" s="3">
        <f t="shared" si="51"/>
        <v>12693.2</v>
      </c>
      <c r="AA305" s="3">
        <v>15.612759247572299</v>
      </c>
    </row>
    <row r="306" spans="1:27" s="3" customFormat="1" x14ac:dyDescent="0.25">
      <c r="A306" s="30"/>
      <c r="B306" s="8"/>
      <c r="C306" s="31">
        <v>41422</v>
      </c>
      <c r="D306" s="3">
        <v>9.3000000000000007</v>
      </c>
      <c r="E306" s="3">
        <v>7.7</v>
      </c>
      <c r="F306" s="3">
        <v>10.5</v>
      </c>
      <c r="G306" s="3">
        <f t="shared" si="46"/>
        <v>2319.400000000001</v>
      </c>
      <c r="H306" s="3">
        <f t="shared" si="50"/>
        <v>120.7</v>
      </c>
      <c r="I306" s="32" t="s">
        <v>15</v>
      </c>
      <c r="J306" s="3">
        <v>9</v>
      </c>
      <c r="K306" s="3">
        <f t="shared" si="47"/>
        <v>707</v>
      </c>
      <c r="L306" s="3">
        <v>1.6</v>
      </c>
      <c r="M306" s="3">
        <f t="shared" si="48"/>
        <v>351.69999999999993</v>
      </c>
      <c r="N306" s="3">
        <v>7.4</v>
      </c>
      <c r="O306" s="3">
        <f t="shared" si="42"/>
        <v>155.09999999999994</v>
      </c>
      <c r="P306" s="3">
        <v>266</v>
      </c>
      <c r="Q306" s="20">
        <f t="shared" si="43"/>
        <v>1.0008474576271187</v>
      </c>
      <c r="R306" s="7">
        <f t="shared" si="44"/>
        <v>1.6013559322033899</v>
      </c>
      <c r="S306" s="7">
        <f t="shared" si="45"/>
        <v>7.3986440677966101</v>
      </c>
      <c r="T306" s="7">
        <f t="shared" si="52"/>
        <v>139.74084745762713</v>
      </c>
      <c r="U306" s="32" t="s">
        <v>16</v>
      </c>
      <c r="V306" s="3">
        <v>1079.2</v>
      </c>
      <c r="X306" s="3">
        <f t="shared" si="49"/>
        <v>190846.69999999998</v>
      </c>
      <c r="Y306" s="3">
        <f t="shared" si="51"/>
        <v>13772.400000000001</v>
      </c>
      <c r="AA306" s="3">
        <v>15.6455809217266</v>
      </c>
    </row>
    <row r="307" spans="1:27" s="3" customFormat="1" x14ac:dyDescent="0.25">
      <c r="A307" s="30"/>
      <c r="B307" s="8"/>
      <c r="C307" s="31">
        <v>41423</v>
      </c>
      <c r="D307" s="3">
        <v>10.7</v>
      </c>
      <c r="E307" s="3">
        <v>6.6</v>
      </c>
      <c r="F307" s="3">
        <v>13.5</v>
      </c>
      <c r="G307" s="3">
        <f t="shared" si="46"/>
        <v>2330.1000000000008</v>
      </c>
      <c r="H307" s="3">
        <f t="shared" si="50"/>
        <v>131.4</v>
      </c>
      <c r="I307" s="3">
        <v>1</v>
      </c>
      <c r="J307" s="3">
        <v>0.6</v>
      </c>
      <c r="K307" s="3">
        <f t="shared" si="47"/>
        <v>707.6</v>
      </c>
      <c r="L307" s="3">
        <v>1.3</v>
      </c>
      <c r="M307" s="3">
        <f t="shared" si="48"/>
        <v>352.99999999999994</v>
      </c>
      <c r="N307" s="3">
        <v>-0.70000000000000007</v>
      </c>
      <c r="O307" s="3">
        <f t="shared" si="42"/>
        <v>154.39999999999995</v>
      </c>
      <c r="P307" s="3">
        <v>267</v>
      </c>
      <c r="Q307" s="20">
        <f t="shared" si="43"/>
        <v>0.98728813559322026</v>
      </c>
      <c r="R307" s="7">
        <f t="shared" si="44"/>
        <v>1.2834745762711863</v>
      </c>
      <c r="S307" s="7">
        <f t="shared" si="45"/>
        <v>-0.68347457627118635</v>
      </c>
      <c r="T307" s="7">
        <f t="shared" si="52"/>
        <v>139.05737288135595</v>
      </c>
      <c r="U307" s="20">
        <f>AVERAGE(T296:T319)</f>
        <v>131.50269774011301</v>
      </c>
      <c r="V307" s="3">
        <v>941.7</v>
      </c>
      <c r="X307" s="3">
        <f t="shared" si="49"/>
        <v>191788.4</v>
      </c>
      <c r="Y307" s="3">
        <f t="shared" si="51"/>
        <v>14714.100000000002</v>
      </c>
      <c r="AA307" s="3">
        <v>15.677353351658899</v>
      </c>
    </row>
    <row r="308" spans="1:27" s="3" customFormat="1" x14ac:dyDescent="0.25">
      <c r="A308" s="30"/>
      <c r="B308" s="8"/>
      <c r="C308" s="31">
        <v>41424</v>
      </c>
      <c r="D308" s="3">
        <v>12.5</v>
      </c>
      <c r="E308" s="3">
        <v>10.3</v>
      </c>
      <c r="F308" s="3">
        <v>14</v>
      </c>
      <c r="G308" s="3">
        <f t="shared" si="46"/>
        <v>2342.6000000000008</v>
      </c>
      <c r="H308" s="3">
        <f t="shared" si="50"/>
        <v>143.9</v>
      </c>
      <c r="I308" s="32" t="s">
        <v>17</v>
      </c>
      <c r="J308" s="3">
        <v>6.4</v>
      </c>
      <c r="K308" s="3">
        <f t="shared" si="47"/>
        <v>714</v>
      </c>
      <c r="L308" s="3">
        <v>0.9</v>
      </c>
      <c r="M308" s="3">
        <f t="shared" si="48"/>
        <v>353.89999999999992</v>
      </c>
      <c r="N308" s="3">
        <v>5.5</v>
      </c>
      <c r="O308" s="3">
        <f t="shared" si="42"/>
        <v>159.89999999999995</v>
      </c>
      <c r="P308" s="3">
        <v>268</v>
      </c>
      <c r="Q308" s="20">
        <f t="shared" si="43"/>
        <v>0.97372881355932195</v>
      </c>
      <c r="R308" s="7">
        <f t="shared" si="44"/>
        <v>0.87635593220338981</v>
      </c>
      <c r="S308" s="7">
        <f t="shared" si="45"/>
        <v>5.5236440677966101</v>
      </c>
      <c r="T308" s="7">
        <f t="shared" si="52"/>
        <v>144.58101694915257</v>
      </c>
      <c r="V308" s="3">
        <v>649.79999999999995</v>
      </c>
      <c r="X308" s="3">
        <f t="shared" si="49"/>
        <v>192438.19999999998</v>
      </c>
      <c r="Y308" s="3">
        <f t="shared" si="51"/>
        <v>15363.900000000001</v>
      </c>
      <c r="AA308" s="3">
        <v>15.7080515372264</v>
      </c>
    </row>
    <row r="309" spans="1:27" s="3" customFormat="1" x14ac:dyDescent="0.25">
      <c r="A309" s="30"/>
      <c r="B309" s="8"/>
      <c r="C309" s="31">
        <v>41425</v>
      </c>
      <c r="D309" s="3">
        <v>14.1</v>
      </c>
      <c r="E309" s="3">
        <v>11.4</v>
      </c>
      <c r="F309" s="3">
        <v>17.2</v>
      </c>
      <c r="G309" s="3">
        <f t="shared" si="46"/>
        <v>2356.7000000000007</v>
      </c>
      <c r="H309" s="3">
        <f t="shared" si="50"/>
        <v>158</v>
      </c>
      <c r="I309" s="3">
        <v>314.89999999999998</v>
      </c>
      <c r="J309" s="3">
        <v>0</v>
      </c>
      <c r="K309" s="3">
        <f t="shared" si="47"/>
        <v>714</v>
      </c>
      <c r="L309" s="3">
        <v>2.2000000000000002</v>
      </c>
      <c r="M309" s="3">
        <f t="shared" si="48"/>
        <v>356.09999999999991</v>
      </c>
      <c r="N309" s="3">
        <v>-2.2000000000000002</v>
      </c>
      <c r="O309" s="3">
        <f t="shared" si="42"/>
        <v>157.69999999999996</v>
      </c>
      <c r="P309" s="3">
        <v>269</v>
      </c>
      <c r="Q309" s="20">
        <f t="shared" si="43"/>
        <v>0.96016949152542364</v>
      </c>
      <c r="R309" s="7">
        <f t="shared" si="44"/>
        <v>2.1123728813559324</v>
      </c>
      <c r="S309" s="7">
        <f t="shared" si="45"/>
        <v>-2.1123728813559324</v>
      </c>
      <c r="T309" s="7">
        <f t="shared" si="52"/>
        <v>142.46864406779665</v>
      </c>
      <c r="U309" s="7">
        <f>(U307*100)/197.4</f>
        <v>66.617374741698583</v>
      </c>
      <c r="V309" s="3">
        <v>1169.9000000000001</v>
      </c>
      <c r="X309" s="3">
        <f t="shared" si="49"/>
        <v>193608.09999999998</v>
      </c>
      <c r="Y309" s="3">
        <f t="shared" si="51"/>
        <v>16533.800000000003</v>
      </c>
      <c r="AA309" s="3">
        <v>15.7376508259911</v>
      </c>
    </row>
    <row r="310" spans="1:27" s="3" customFormat="1" x14ac:dyDescent="0.25">
      <c r="A310" s="30"/>
      <c r="B310" s="8"/>
      <c r="C310" s="31">
        <v>41426</v>
      </c>
      <c r="D310" s="3">
        <v>13.4</v>
      </c>
      <c r="E310" s="3">
        <v>10.4</v>
      </c>
      <c r="F310" s="3">
        <v>17.8</v>
      </c>
      <c r="G310" s="3">
        <f t="shared" si="46"/>
        <v>2370.1000000000008</v>
      </c>
      <c r="H310" s="3">
        <f t="shared" si="50"/>
        <v>171.4</v>
      </c>
      <c r="J310" s="3">
        <v>0</v>
      </c>
      <c r="K310" s="3">
        <f t="shared" si="47"/>
        <v>714</v>
      </c>
      <c r="L310" s="3">
        <v>2.7</v>
      </c>
      <c r="M310" s="3">
        <f t="shared" si="48"/>
        <v>358.7999999999999</v>
      </c>
      <c r="N310" s="3">
        <v>-2.7</v>
      </c>
      <c r="O310" s="3">
        <f t="shared" si="42"/>
        <v>154.99999999999997</v>
      </c>
      <c r="P310" s="3">
        <v>270</v>
      </c>
      <c r="Q310" s="20">
        <f t="shared" si="43"/>
        <v>0.94661016949152532</v>
      </c>
      <c r="R310" s="7">
        <f t="shared" si="44"/>
        <v>2.5558474576271184</v>
      </c>
      <c r="S310" s="7">
        <f t="shared" si="45"/>
        <v>-2.5558474576271184</v>
      </c>
      <c r="T310" s="7">
        <f t="shared" si="52"/>
        <v>139.91279661016952</v>
      </c>
      <c r="V310" s="3">
        <v>1503.3</v>
      </c>
      <c r="X310" s="3">
        <f t="shared" si="49"/>
        <v>195111.39999999997</v>
      </c>
      <c r="Y310" s="3">
        <f t="shared" si="51"/>
        <v>18037.100000000002</v>
      </c>
      <c r="AA310" s="3">
        <v>15.7661269783405</v>
      </c>
    </row>
    <row r="311" spans="1:27" s="3" customFormat="1" x14ac:dyDescent="0.25">
      <c r="A311" s="30"/>
      <c r="B311" s="8"/>
      <c r="C311" s="31">
        <v>41427</v>
      </c>
      <c r="D311" s="3">
        <v>13.3</v>
      </c>
      <c r="E311" s="3">
        <v>8.3000000000000007</v>
      </c>
      <c r="F311" s="3">
        <v>17.5</v>
      </c>
      <c r="G311" s="3">
        <f t="shared" si="46"/>
        <v>2383.400000000001</v>
      </c>
      <c r="H311" s="3">
        <f t="shared" si="50"/>
        <v>184.70000000000002</v>
      </c>
      <c r="J311" s="3">
        <v>0</v>
      </c>
      <c r="K311" s="3">
        <f t="shared" si="47"/>
        <v>714</v>
      </c>
      <c r="L311" s="3">
        <v>3</v>
      </c>
      <c r="M311" s="3">
        <f t="shared" si="48"/>
        <v>361.7999999999999</v>
      </c>
      <c r="N311" s="3">
        <v>-3</v>
      </c>
      <c r="O311" s="3">
        <f t="shared" si="42"/>
        <v>151.99999999999997</v>
      </c>
      <c r="P311" s="3">
        <v>271</v>
      </c>
      <c r="Q311" s="20">
        <f t="shared" si="43"/>
        <v>0.93305084745762701</v>
      </c>
      <c r="R311" s="7">
        <f t="shared" si="44"/>
        <v>2.7991525423728811</v>
      </c>
      <c r="S311" s="7">
        <f t="shared" si="45"/>
        <v>-2.7991525423728811</v>
      </c>
      <c r="T311" s="7">
        <f t="shared" si="52"/>
        <v>137.11364406779663</v>
      </c>
      <c r="V311" s="3">
        <v>1993.2</v>
      </c>
      <c r="X311" s="3">
        <f t="shared" si="49"/>
        <v>197104.59999999998</v>
      </c>
      <c r="Y311" s="3">
        <f t="shared" si="51"/>
        <v>20030.300000000003</v>
      </c>
      <c r="AA311" s="3">
        <v>15.793456233751099</v>
      </c>
    </row>
    <row r="312" spans="1:27" s="3" customFormat="1" x14ac:dyDescent="0.25">
      <c r="A312" s="30"/>
      <c r="B312" s="8"/>
      <c r="C312" s="31">
        <v>41428</v>
      </c>
      <c r="D312" s="3">
        <v>14.1</v>
      </c>
      <c r="E312" s="3">
        <v>9.6</v>
      </c>
      <c r="F312" s="3">
        <v>18.100000000000001</v>
      </c>
      <c r="G312" s="3">
        <f t="shared" si="46"/>
        <v>2397.5000000000009</v>
      </c>
      <c r="H312" s="3">
        <f t="shared" si="50"/>
        <v>198.8</v>
      </c>
      <c r="J312" s="3">
        <v>0</v>
      </c>
      <c r="K312" s="3">
        <f t="shared" si="47"/>
        <v>714</v>
      </c>
      <c r="L312" s="3">
        <v>5.0999999999999996</v>
      </c>
      <c r="M312" s="3">
        <f t="shared" si="48"/>
        <v>366.89999999999992</v>
      </c>
      <c r="N312" s="3">
        <v>-5.0999999999999996</v>
      </c>
      <c r="O312" s="3">
        <f t="shared" si="42"/>
        <v>146.89999999999998</v>
      </c>
      <c r="P312" s="3">
        <v>272</v>
      </c>
      <c r="Q312" s="20">
        <f t="shared" si="43"/>
        <v>0.9194915254237287</v>
      </c>
      <c r="R312" s="7">
        <f t="shared" si="44"/>
        <v>4.6894067796610157</v>
      </c>
      <c r="S312" s="7">
        <f t="shared" si="45"/>
        <v>-4.6894067796610157</v>
      </c>
      <c r="T312" s="7">
        <f t="shared" si="52"/>
        <v>132.4242372881356</v>
      </c>
      <c r="V312" s="3">
        <v>3209.4</v>
      </c>
      <c r="X312" s="3">
        <f t="shared" si="49"/>
        <v>200313.99999999997</v>
      </c>
      <c r="Y312" s="3">
        <f t="shared" si="51"/>
        <v>23239.700000000004</v>
      </c>
      <c r="AA312" s="3">
        <v>15.819615377891401</v>
      </c>
    </row>
    <row r="313" spans="1:27" s="3" customFormat="1" x14ac:dyDescent="0.25">
      <c r="A313" s="30"/>
      <c r="B313" s="8"/>
      <c r="C313" s="31">
        <v>41429</v>
      </c>
      <c r="D313" s="3">
        <v>14</v>
      </c>
      <c r="E313" s="3">
        <v>9.1</v>
      </c>
      <c r="F313" s="3">
        <v>18.399999999999999</v>
      </c>
      <c r="G313" s="3">
        <f t="shared" si="46"/>
        <v>2411.5000000000009</v>
      </c>
      <c r="H313" s="3">
        <f t="shared" si="50"/>
        <v>212.8</v>
      </c>
      <c r="J313" s="3">
        <v>0</v>
      </c>
      <c r="K313" s="3">
        <f t="shared" si="47"/>
        <v>714</v>
      </c>
      <c r="L313" s="3">
        <v>3.9</v>
      </c>
      <c r="M313" s="3">
        <f t="shared" si="48"/>
        <v>370.7999999999999</v>
      </c>
      <c r="N313" s="3">
        <v>-3.9</v>
      </c>
      <c r="O313" s="3">
        <f t="shared" si="42"/>
        <v>142.99999999999997</v>
      </c>
      <c r="P313" s="3">
        <v>273</v>
      </c>
      <c r="Q313" s="20">
        <f t="shared" si="43"/>
        <v>0.90593220338983049</v>
      </c>
      <c r="R313" s="7">
        <f t="shared" si="44"/>
        <v>3.5331355932203388</v>
      </c>
      <c r="S313" s="7">
        <f t="shared" si="45"/>
        <v>-3.5331355932203388</v>
      </c>
      <c r="T313" s="7">
        <f t="shared" si="52"/>
        <v>128.89110169491525</v>
      </c>
      <c r="V313" s="3">
        <v>2458</v>
      </c>
      <c r="X313" s="3">
        <f t="shared" si="49"/>
        <v>202771.99999999997</v>
      </c>
      <c r="Y313" s="3">
        <f t="shared" si="51"/>
        <v>25697.700000000004</v>
      </c>
      <c r="AA313" s="3">
        <v>15.8445818102358</v>
      </c>
    </row>
    <row r="314" spans="1:27" s="3" customFormat="1" x14ac:dyDescent="0.25">
      <c r="A314" s="30"/>
      <c r="B314" s="8"/>
      <c r="C314" s="31">
        <v>41430</v>
      </c>
      <c r="D314" s="3">
        <v>16.600000000000001</v>
      </c>
      <c r="E314" s="3">
        <v>10.6</v>
      </c>
      <c r="F314" s="3">
        <v>22.7</v>
      </c>
      <c r="G314" s="3">
        <f t="shared" si="46"/>
        <v>2428.1000000000008</v>
      </c>
      <c r="H314" s="3">
        <f t="shared" si="50"/>
        <v>229.4</v>
      </c>
      <c r="J314" s="3">
        <v>0</v>
      </c>
      <c r="K314" s="3">
        <f t="shared" si="47"/>
        <v>714</v>
      </c>
      <c r="L314" s="3">
        <v>4.7</v>
      </c>
      <c r="M314" s="3">
        <f t="shared" si="48"/>
        <v>375.49999999999989</v>
      </c>
      <c r="N314" s="3">
        <v>-4.7</v>
      </c>
      <c r="O314" s="3">
        <f t="shared" si="42"/>
        <v>138.29999999999998</v>
      </c>
      <c r="P314" s="3">
        <v>274</v>
      </c>
      <c r="Q314" s="20">
        <f t="shared" si="43"/>
        <v>0.89237288135593218</v>
      </c>
      <c r="R314" s="7">
        <f t="shared" si="44"/>
        <v>4.1941525423728816</v>
      </c>
      <c r="S314" s="7">
        <f t="shared" si="45"/>
        <v>-4.1941525423728816</v>
      </c>
      <c r="T314" s="7">
        <f t="shared" si="52"/>
        <v>124.69694915254237</v>
      </c>
      <c r="V314" s="3">
        <v>2660.7</v>
      </c>
      <c r="X314" s="3">
        <f t="shared" si="49"/>
        <v>205432.69999999998</v>
      </c>
      <c r="Y314" s="3">
        <f t="shared" si="51"/>
        <v>28358.400000000005</v>
      </c>
      <c r="AA314" s="3">
        <v>15.868333611840001</v>
      </c>
    </row>
    <row r="315" spans="1:27" s="3" customFormat="1" x14ac:dyDescent="0.25">
      <c r="A315" s="30"/>
      <c r="B315" s="8"/>
      <c r="C315" s="31">
        <v>41431</v>
      </c>
      <c r="D315" s="3">
        <v>20.3</v>
      </c>
      <c r="E315" s="3">
        <v>12.8</v>
      </c>
      <c r="F315" s="3">
        <v>25.6</v>
      </c>
      <c r="G315" s="3">
        <f t="shared" si="46"/>
        <v>2448.400000000001</v>
      </c>
      <c r="H315" s="3">
        <f t="shared" si="50"/>
        <v>249.70000000000002</v>
      </c>
      <c r="J315" s="3">
        <v>0</v>
      </c>
      <c r="K315" s="3">
        <f t="shared" si="47"/>
        <v>714</v>
      </c>
      <c r="L315" s="3">
        <v>4</v>
      </c>
      <c r="M315" s="3">
        <f t="shared" si="48"/>
        <v>379.49999999999989</v>
      </c>
      <c r="N315" s="3">
        <v>-4</v>
      </c>
      <c r="O315" s="3">
        <f t="shared" si="42"/>
        <v>134.29999999999998</v>
      </c>
      <c r="P315" s="3">
        <v>275</v>
      </c>
      <c r="Q315" s="20">
        <f t="shared" si="43"/>
        <v>0.87881355932203387</v>
      </c>
      <c r="R315" s="7">
        <f t="shared" si="44"/>
        <v>3.5152542372881355</v>
      </c>
      <c r="S315" s="7">
        <f t="shared" si="45"/>
        <v>-3.5152542372881355</v>
      </c>
      <c r="T315" s="7">
        <f t="shared" si="52"/>
        <v>121.18169491525424</v>
      </c>
      <c r="V315" s="3">
        <v>2188.8000000000002</v>
      </c>
      <c r="X315" s="3">
        <f t="shared" si="49"/>
        <v>207621.49999999997</v>
      </c>
      <c r="Y315" s="3">
        <f t="shared" si="51"/>
        <v>30547.200000000004</v>
      </c>
      <c r="AA315" s="3">
        <v>15.8908496129102</v>
      </c>
    </row>
    <row r="316" spans="1:27" s="3" customFormat="1" x14ac:dyDescent="0.25">
      <c r="A316" s="30"/>
      <c r="B316" s="8"/>
      <c r="C316" s="31">
        <v>41432</v>
      </c>
      <c r="D316" s="3">
        <v>19.3</v>
      </c>
      <c r="E316" s="3">
        <v>15.9</v>
      </c>
      <c r="F316" s="3">
        <v>27.8</v>
      </c>
      <c r="G316" s="3">
        <f t="shared" si="46"/>
        <v>2467.7000000000012</v>
      </c>
      <c r="H316" s="3">
        <f t="shared" si="50"/>
        <v>269</v>
      </c>
      <c r="J316" s="3">
        <v>21.2</v>
      </c>
      <c r="K316" s="3">
        <f t="shared" si="47"/>
        <v>735.2</v>
      </c>
      <c r="L316" s="3">
        <v>5.3</v>
      </c>
      <c r="M316" s="3">
        <f t="shared" si="48"/>
        <v>384.7999999999999</v>
      </c>
      <c r="N316" s="3">
        <v>15.899999999999999</v>
      </c>
      <c r="O316" s="3">
        <f t="shared" si="42"/>
        <v>150.19999999999999</v>
      </c>
      <c r="P316" s="3">
        <v>276</v>
      </c>
      <c r="Q316" s="20">
        <f t="shared" si="43"/>
        <v>0.86525423728813555</v>
      </c>
      <c r="R316" s="7">
        <f t="shared" si="44"/>
        <v>4.5858474576271187</v>
      </c>
      <c r="S316" s="7">
        <f t="shared" si="45"/>
        <v>16.614152542372882</v>
      </c>
      <c r="T316" s="7">
        <f t="shared" si="52"/>
        <v>137.79584745762713</v>
      </c>
      <c r="V316" s="3">
        <v>2337.5</v>
      </c>
      <c r="X316" s="3">
        <f t="shared" si="49"/>
        <v>209958.99999999997</v>
      </c>
      <c r="Y316" s="3">
        <f t="shared" si="51"/>
        <v>32884.700000000004</v>
      </c>
      <c r="AA316" s="3">
        <v>15.9121094597803</v>
      </c>
    </row>
    <row r="317" spans="1:27" s="3" customFormat="1" x14ac:dyDescent="0.25">
      <c r="A317" s="30"/>
      <c r="B317" s="8"/>
      <c r="C317" s="31">
        <v>41433</v>
      </c>
      <c r="D317" s="3">
        <v>17.399999999999999</v>
      </c>
      <c r="E317" s="3">
        <v>14.6</v>
      </c>
      <c r="F317" s="3">
        <v>24.1</v>
      </c>
      <c r="G317" s="3">
        <f t="shared" si="46"/>
        <v>2485.1000000000013</v>
      </c>
      <c r="H317" s="3">
        <f t="shared" si="50"/>
        <v>286.39999999999998</v>
      </c>
      <c r="J317" s="3">
        <v>0.3</v>
      </c>
      <c r="K317" s="3">
        <f t="shared" si="47"/>
        <v>735.5</v>
      </c>
      <c r="L317" s="3">
        <v>3.7</v>
      </c>
      <c r="M317" s="3">
        <f t="shared" si="48"/>
        <v>388.49999999999989</v>
      </c>
      <c r="N317" s="3">
        <v>-3.4000000000000004</v>
      </c>
      <c r="O317" s="3">
        <f t="shared" si="42"/>
        <v>146.79999999999998</v>
      </c>
      <c r="P317" s="3">
        <v>277</v>
      </c>
      <c r="Q317" s="20">
        <f t="shared" si="43"/>
        <v>0.85169491525423724</v>
      </c>
      <c r="R317" s="7">
        <f t="shared" si="44"/>
        <v>3.1512711864406779</v>
      </c>
      <c r="S317" s="7">
        <f t="shared" si="45"/>
        <v>-2.8512711864406781</v>
      </c>
      <c r="T317" s="7">
        <f t="shared" si="52"/>
        <v>134.94457627118646</v>
      </c>
      <c r="V317" s="3">
        <v>1771.2</v>
      </c>
      <c r="W317" s="13"/>
      <c r="X317" s="3">
        <f t="shared" si="49"/>
        <v>211730.19999999998</v>
      </c>
      <c r="Y317" s="3">
        <f t="shared" si="51"/>
        <v>34655.9</v>
      </c>
      <c r="AA317" s="3">
        <v>15.932093680898401</v>
      </c>
    </row>
    <row r="318" spans="1:27" s="3" customFormat="1" ht="15" customHeight="1" x14ac:dyDescent="0.25">
      <c r="A318" s="30"/>
      <c r="B318" s="8"/>
      <c r="C318" s="31">
        <v>41434</v>
      </c>
      <c r="D318" s="3">
        <v>13.4</v>
      </c>
      <c r="E318" s="3">
        <v>12.3</v>
      </c>
      <c r="F318" s="3">
        <v>14.7</v>
      </c>
      <c r="G318" s="3">
        <f t="shared" si="46"/>
        <v>2498.5000000000014</v>
      </c>
      <c r="H318" s="3">
        <f t="shared" si="50"/>
        <v>299.79999999999995</v>
      </c>
      <c r="J318" s="3">
        <v>0</v>
      </c>
      <c r="K318" s="3">
        <f t="shared" si="47"/>
        <v>735.5</v>
      </c>
      <c r="L318" s="3">
        <v>1.2</v>
      </c>
      <c r="M318" s="3">
        <f t="shared" si="48"/>
        <v>389.69999999999987</v>
      </c>
      <c r="N318" s="3">
        <v>-1.2</v>
      </c>
      <c r="O318" s="3">
        <f t="shared" si="42"/>
        <v>145.6</v>
      </c>
      <c r="P318" s="3">
        <v>278</v>
      </c>
      <c r="Q318" s="20">
        <f t="shared" si="43"/>
        <v>0.83813559322033893</v>
      </c>
      <c r="R318" s="7">
        <f t="shared" si="44"/>
        <v>1.0057627118644066</v>
      </c>
      <c r="S318" s="7">
        <f t="shared" si="45"/>
        <v>-1.0057627118644066</v>
      </c>
      <c r="T318" s="7">
        <f t="shared" si="52"/>
        <v>133.93881355932206</v>
      </c>
      <c r="U318" s="22"/>
      <c r="V318" s="3">
        <v>686.6</v>
      </c>
      <c r="X318" s="3">
        <f t="shared" si="49"/>
        <v>212416.8</v>
      </c>
      <c r="Y318" s="3">
        <f t="shared" si="51"/>
        <v>35342.5</v>
      </c>
      <c r="AA318" s="3">
        <v>15.950783751414001</v>
      </c>
    </row>
    <row r="319" spans="1:27" s="44" customFormat="1" ht="15.75" thickBot="1" x14ac:dyDescent="0.3">
      <c r="A319" s="63"/>
      <c r="B319" s="42">
        <v>600</v>
      </c>
      <c r="C319" s="64">
        <v>41435</v>
      </c>
      <c r="D319" s="44">
        <v>15.1</v>
      </c>
      <c r="E319" s="44">
        <v>12.5</v>
      </c>
      <c r="F319" s="44">
        <v>18.2</v>
      </c>
      <c r="G319" s="44">
        <f t="shared" si="46"/>
        <v>2513.6000000000013</v>
      </c>
      <c r="H319" s="44">
        <f t="shared" si="50"/>
        <v>314.89999999999998</v>
      </c>
      <c r="J319" s="44">
        <v>1.7</v>
      </c>
      <c r="K319" s="44">
        <f t="shared" si="47"/>
        <v>737.2</v>
      </c>
      <c r="L319" s="44">
        <v>1.9</v>
      </c>
      <c r="M319" s="44">
        <f t="shared" si="48"/>
        <v>391.59999999999985</v>
      </c>
      <c r="N319" s="44">
        <v>-0.19999999999999996</v>
      </c>
      <c r="O319" s="44">
        <f t="shared" si="42"/>
        <v>145.4</v>
      </c>
      <c r="P319" s="44">
        <v>279</v>
      </c>
      <c r="Q319" s="45">
        <f t="shared" si="43"/>
        <v>0.82457627118644061</v>
      </c>
      <c r="R319" s="46">
        <f t="shared" si="44"/>
        <v>1.5666949152542371</v>
      </c>
      <c r="S319" s="46">
        <f t="shared" si="45"/>
        <v>0.13330508474576286</v>
      </c>
      <c r="T319" s="46">
        <f t="shared" si="52"/>
        <v>134.07211864406781</v>
      </c>
      <c r="V319" s="44">
        <v>915</v>
      </c>
      <c r="X319" s="44">
        <f t="shared" si="49"/>
        <v>213331.8</v>
      </c>
      <c r="Y319" s="44">
        <f t="shared" si="51"/>
        <v>36257.5</v>
      </c>
      <c r="AA319" s="44">
        <v>15.968162155951299</v>
      </c>
    </row>
    <row r="320" spans="1:27" s="3" customFormat="1" x14ac:dyDescent="0.25">
      <c r="A320" s="33"/>
      <c r="B320" s="8"/>
      <c r="C320" s="34">
        <v>41436</v>
      </c>
      <c r="D320" s="3">
        <v>15.7</v>
      </c>
      <c r="E320" s="3">
        <v>14.2</v>
      </c>
      <c r="F320" s="3">
        <v>17.100000000000001</v>
      </c>
      <c r="G320" s="3">
        <f t="shared" si="46"/>
        <v>2529.3000000000011</v>
      </c>
      <c r="H320" s="3">
        <v>15.7</v>
      </c>
      <c r="I320" s="35" t="s">
        <v>2</v>
      </c>
      <c r="J320" s="3">
        <v>0.7</v>
      </c>
      <c r="K320" s="3">
        <f t="shared" si="47"/>
        <v>737.90000000000009</v>
      </c>
      <c r="L320" s="3">
        <v>0.9</v>
      </c>
      <c r="M320" s="3">
        <f t="shared" si="48"/>
        <v>392.49999999999983</v>
      </c>
      <c r="N320" s="3">
        <v>-0.20000000000000007</v>
      </c>
      <c r="O320" s="3">
        <f t="shared" si="42"/>
        <v>145.20000000000002</v>
      </c>
      <c r="P320" s="3">
        <v>280</v>
      </c>
      <c r="Q320" s="20">
        <f t="shared" si="43"/>
        <v>0.8110169491525423</v>
      </c>
      <c r="R320" s="7">
        <f t="shared" si="44"/>
        <v>0.72991525423728809</v>
      </c>
      <c r="S320" s="7">
        <f t="shared" si="45"/>
        <v>-2.9915254237288136E-2</v>
      </c>
      <c r="T320" s="7">
        <f t="shared" si="52"/>
        <v>134.04220338983052</v>
      </c>
      <c r="U320" s="35" t="s">
        <v>3</v>
      </c>
      <c r="V320" s="3">
        <v>455.8</v>
      </c>
      <c r="X320" s="3">
        <f t="shared" si="49"/>
        <v>213787.59999999998</v>
      </c>
      <c r="Y320" s="3">
        <v>455.8</v>
      </c>
      <c r="Z320" s="35" t="s">
        <v>4</v>
      </c>
      <c r="AA320" s="3">
        <v>15.984212449150601</v>
      </c>
    </row>
    <row r="321" spans="1:27" s="3" customFormat="1" x14ac:dyDescent="0.25">
      <c r="A321" s="33"/>
      <c r="B321" s="8"/>
      <c r="C321" s="34">
        <v>41437</v>
      </c>
      <c r="D321" s="3">
        <v>16.8</v>
      </c>
      <c r="E321" s="3">
        <v>15.5</v>
      </c>
      <c r="F321" s="3">
        <v>18.600000000000001</v>
      </c>
      <c r="G321" s="3">
        <f t="shared" si="46"/>
        <v>2546.1000000000013</v>
      </c>
      <c r="H321" s="3">
        <f t="shared" si="50"/>
        <v>32.5</v>
      </c>
      <c r="I321" s="3">
        <f>MIN(E320:E345)</f>
        <v>7.9</v>
      </c>
      <c r="J321" s="3">
        <v>1.8</v>
      </c>
      <c r="K321" s="3">
        <f t="shared" si="47"/>
        <v>739.7</v>
      </c>
      <c r="L321" s="3">
        <v>1.2</v>
      </c>
      <c r="M321" s="3">
        <f t="shared" si="48"/>
        <v>393.69999999999982</v>
      </c>
      <c r="N321" s="3">
        <v>0.60000000000000009</v>
      </c>
      <c r="O321" s="3">
        <f t="shared" si="42"/>
        <v>145.80000000000001</v>
      </c>
      <c r="P321" s="3">
        <v>281</v>
      </c>
      <c r="Q321" s="20">
        <f t="shared" si="43"/>
        <v>0.79745762711864399</v>
      </c>
      <c r="R321" s="7">
        <f t="shared" si="44"/>
        <v>0.95694915254237278</v>
      </c>
      <c r="S321" s="7">
        <f t="shared" si="45"/>
        <v>0.84305084745762726</v>
      </c>
      <c r="T321" s="7">
        <f t="shared" si="52"/>
        <v>134.88525423728814</v>
      </c>
      <c r="V321" s="3">
        <v>524.20000000000005</v>
      </c>
      <c r="X321" s="3">
        <f t="shared" si="49"/>
        <v>214311.8</v>
      </c>
      <c r="Y321" s="3">
        <f t="shared" si="51"/>
        <v>980</v>
      </c>
      <c r="Z321" s="3">
        <v>31916.800000000003</v>
      </c>
      <c r="AA321" s="3">
        <v>15.9989193135647</v>
      </c>
    </row>
    <row r="322" spans="1:27" s="3" customFormat="1" x14ac:dyDescent="0.25">
      <c r="A322" s="33"/>
      <c r="B322" s="8"/>
      <c r="C322" s="34">
        <v>41438</v>
      </c>
      <c r="D322" s="3">
        <v>14.9</v>
      </c>
      <c r="E322" s="3">
        <v>13.9</v>
      </c>
      <c r="F322" s="3">
        <v>18.399999999999999</v>
      </c>
      <c r="G322" s="3">
        <f t="shared" si="46"/>
        <v>2561.0000000000014</v>
      </c>
      <c r="H322" s="3">
        <f t="shared" si="50"/>
        <v>47.4</v>
      </c>
      <c r="I322" s="35" t="s">
        <v>5</v>
      </c>
      <c r="J322" s="3">
        <v>0.8</v>
      </c>
      <c r="K322" s="3">
        <f t="shared" si="47"/>
        <v>740.5</v>
      </c>
      <c r="L322" s="3">
        <v>2.4</v>
      </c>
      <c r="M322" s="3">
        <f t="shared" si="48"/>
        <v>396.0999999999998</v>
      </c>
      <c r="N322" s="3">
        <v>-1.5999999999999999</v>
      </c>
      <c r="O322" s="3">
        <f t="shared" si="42"/>
        <v>144.20000000000002</v>
      </c>
      <c r="P322" s="3">
        <v>282</v>
      </c>
      <c r="Q322" s="20">
        <f t="shared" si="43"/>
        <v>0.78389830508474567</v>
      </c>
      <c r="R322" s="7">
        <f t="shared" si="44"/>
        <v>1.8813559322033895</v>
      </c>
      <c r="S322" s="7">
        <f t="shared" si="45"/>
        <v>-1.0813559322033894</v>
      </c>
      <c r="T322" s="7">
        <f t="shared" si="52"/>
        <v>133.80389830508474</v>
      </c>
      <c r="U322" s="35" t="s">
        <v>6</v>
      </c>
      <c r="V322" s="3">
        <v>1177.0999999999999</v>
      </c>
      <c r="X322" s="3">
        <f t="shared" si="49"/>
        <v>215488.9</v>
      </c>
      <c r="Y322" s="3">
        <f t="shared" si="51"/>
        <v>2157.1</v>
      </c>
      <c r="Z322" s="35" t="s">
        <v>7</v>
      </c>
      <c r="AA322" s="3">
        <v>16.012268614500002</v>
      </c>
    </row>
    <row r="323" spans="1:27" s="3" customFormat="1" x14ac:dyDescent="0.25">
      <c r="A323" s="33"/>
      <c r="B323" s="8"/>
      <c r="C323" s="34">
        <v>41439</v>
      </c>
      <c r="D323" s="3">
        <v>15</v>
      </c>
      <c r="E323" s="3">
        <v>9.9</v>
      </c>
      <c r="F323" s="3">
        <v>20.2</v>
      </c>
      <c r="G323" s="3">
        <f t="shared" si="46"/>
        <v>2576.0000000000014</v>
      </c>
      <c r="H323" s="3">
        <f t="shared" si="50"/>
        <v>62.4</v>
      </c>
      <c r="I323" s="3">
        <f>MAX(F320:F345)</f>
        <v>24.9</v>
      </c>
      <c r="J323" s="3">
        <v>0.3</v>
      </c>
      <c r="K323" s="3">
        <f t="shared" si="47"/>
        <v>740.8</v>
      </c>
      <c r="L323" s="3">
        <v>2.9</v>
      </c>
      <c r="M323" s="3">
        <f t="shared" si="48"/>
        <v>398.99999999999977</v>
      </c>
      <c r="N323" s="3">
        <v>-2.6</v>
      </c>
      <c r="O323" s="3">
        <f t="shared" si="42"/>
        <v>141.60000000000002</v>
      </c>
      <c r="P323" s="3">
        <v>283</v>
      </c>
      <c r="Q323" s="20">
        <f t="shared" si="43"/>
        <v>0.77033898305084736</v>
      </c>
      <c r="R323" s="7">
        <f t="shared" si="44"/>
        <v>2.2339830508474572</v>
      </c>
      <c r="S323" s="7">
        <f t="shared" si="45"/>
        <v>-1.9339830508474571</v>
      </c>
      <c r="T323" s="7">
        <f t="shared" si="52"/>
        <v>131.8699152542373</v>
      </c>
      <c r="V323" s="3">
        <v>1511.9</v>
      </c>
      <c r="X323" s="3">
        <f t="shared" si="49"/>
        <v>217000.8</v>
      </c>
      <c r="Y323" s="3">
        <f t="shared" si="51"/>
        <v>3669</v>
      </c>
      <c r="Z323" s="3">
        <f>(Z321/100)/I333</f>
        <v>0.76557447829215641</v>
      </c>
      <c r="AA323" s="3">
        <v>16.024247451408399</v>
      </c>
    </row>
    <row r="324" spans="1:27" s="3" customFormat="1" x14ac:dyDescent="0.25">
      <c r="A324" s="33"/>
      <c r="B324" s="8"/>
      <c r="C324" s="34">
        <v>41440</v>
      </c>
      <c r="D324" s="3">
        <v>14.7</v>
      </c>
      <c r="E324" s="3">
        <v>11.9</v>
      </c>
      <c r="F324" s="3">
        <v>17.3</v>
      </c>
      <c r="G324" s="3">
        <f t="shared" si="46"/>
        <v>2590.7000000000012</v>
      </c>
      <c r="H324" s="3">
        <f t="shared" si="50"/>
        <v>77.099999999999994</v>
      </c>
      <c r="I324" s="35" t="s">
        <v>8</v>
      </c>
      <c r="J324" s="3">
        <v>0</v>
      </c>
      <c r="K324" s="3">
        <f t="shared" si="47"/>
        <v>740.8</v>
      </c>
      <c r="L324" s="3">
        <v>3.2</v>
      </c>
      <c r="M324" s="3">
        <f t="shared" si="48"/>
        <v>402.19999999999976</v>
      </c>
      <c r="N324" s="3">
        <v>-3.2</v>
      </c>
      <c r="O324" s="3">
        <f t="shared" ref="O324:O354" si="53">O323+N324</f>
        <v>138.40000000000003</v>
      </c>
      <c r="P324" s="3">
        <v>284</v>
      </c>
      <c r="Q324" s="20">
        <f t="shared" si="43"/>
        <v>0.75677966101694905</v>
      </c>
      <c r="R324" s="7">
        <f t="shared" si="44"/>
        <v>2.4216949152542373</v>
      </c>
      <c r="S324" s="7">
        <f t="shared" si="45"/>
        <v>-2.4216949152542373</v>
      </c>
      <c r="T324" s="7">
        <f t="shared" si="52"/>
        <v>129.44822033898305</v>
      </c>
      <c r="U324" s="35" t="s">
        <v>9</v>
      </c>
      <c r="V324" s="3">
        <v>1936.7</v>
      </c>
      <c r="X324" s="3">
        <f t="shared" si="49"/>
        <v>218937.5</v>
      </c>
      <c r="Y324" s="3">
        <f t="shared" si="51"/>
        <v>5605.7</v>
      </c>
      <c r="Z324" s="35" t="s">
        <v>10</v>
      </c>
      <c r="AA324" s="3">
        <v>16.034844205448401</v>
      </c>
    </row>
    <row r="325" spans="1:27" s="3" customFormat="1" x14ac:dyDescent="0.25">
      <c r="A325" s="33"/>
      <c r="B325" s="8"/>
      <c r="C325" s="34">
        <v>41441</v>
      </c>
      <c r="D325" s="3">
        <v>16.2</v>
      </c>
      <c r="E325" s="3">
        <v>11.8</v>
      </c>
      <c r="F325" s="3">
        <v>19.899999999999999</v>
      </c>
      <c r="G325" s="3">
        <f t="shared" si="46"/>
        <v>2606.900000000001</v>
      </c>
      <c r="H325" s="3">
        <f t="shared" si="50"/>
        <v>93.3</v>
      </c>
      <c r="I325" s="7">
        <f>AVERAGE(D320:D345)</f>
        <v>16.034615384615385</v>
      </c>
      <c r="J325" s="3">
        <v>6.7</v>
      </c>
      <c r="K325" s="3">
        <f t="shared" si="47"/>
        <v>747.5</v>
      </c>
      <c r="L325" s="3">
        <v>1.5</v>
      </c>
      <c r="M325" s="3">
        <f t="shared" si="48"/>
        <v>403.69999999999976</v>
      </c>
      <c r="N325" s="3">
        <v>5.2</v>
      </c>
      <c r="O325" s="3">
        <f t="shared" si="53"/>
        <v>143.60000000000002</v>
      </c>
      <c r="P325" s="3">
        <v>285</v>
      </c>
      <c r="Q325" s="20">
        <f t="shared" si="43"/>
        <v>0.74322033898305073</v>
      </c>
      <c r="R325" s="7">
        <f t="shared" si="44"/>
        <v>1.1148305084745762</v>
      </c>
      <c r="S325" s="7">
        <f t="shared" si="45"/>
        <v>5.5851694915254235</v>
      </c>
      <c r="T325" s="7">
        <f t="shared" si="52"/>
        <v>135.03338983050847</v>
      </c>
      <c r="V325" s="3">
        <v>1026.2</v>
      </c>
      <c r="X325" s="3">
        <f t="shared" si="49"/>
        <v>219963.7</v>
      </c>
      <c r="Y325" s="3">
        <f t="shared" si="51"/>
        <v>6631.9</v>
      </c>
      <c r="Z325" s="3">
        <v>9</v>
      </c>
      <c r="AA325" s="3">
        <v>16.0440485828574</v>
      </c>
    </row>
    <row r="326" spans="1:27" s="3" customFormat="1" x14ac:dyDescent="0.25">
      <c r="A326" s="33"/>
      <c r="B326" s="8"/>
      <c r="C326" s="34">
        <v>41442</v>
      </c>
      <c r="D326" s="3">
        <v>18.899999999999999</v>
      </c>
      <c r="E326" s="3">
        <v>15</v>
      </c>
      <c r="F326" s="3">
        <v>24.5</v>
      </c>
      <c r="G326" s="3">
        <f t="shared" si="46"/>
        <v>2625.8000000000011</v>
      </c>
      <c r="H326" s="3">
        <f t="shared" si="50"/>
        <v>112.19999999999999</v>
      </c>
      <c r="I326" s="35" t="s">
        <v>11</v>
      </c>
      <c r="J326" s="3">
        <v>0.6</v>
      </c>
      <c r="K326" s="3">
        <f t="shared" si="47"/>
        <v>748.1</v>
      </c>
      <c r="L326" s="3">
        <v>1.5</v>
      </c>
      <c r="M326" s="3">
        <f t="shared" si="48"/>
        <v>405.19999999999976</v>
      </c>
      <c r="N326" s="3">
        <v>-0.9</v>
      </c>
      <c r="O326" s="3">
        <f t="shared" si="53"/>
        <v>142.70000000000002</v>
      </c>
      <c r="P326" s="3">
        <v>286</v>
      </c>
      <c r="Q326" s="20">
        <f t="shared" si="43"/>
        <v>0.72966101694915242</v>
      </c>
      <c r="R326" s="7">
        <f t="shared" si="44"/>
        <v>1.0944915254237286</v>
      </c>
      <c r="S326" s="7">
        <f t="shared" si="45"/>
        <v>-0.49449152542372865</v>
      </c>
      <c r="T326" s="7">
        <f t="shared" si="52"/>
        <v>134.53889830508473</v>
      </c>
      <c r="U326" s="35" t="s">
        <v>12</v>
      </c>
      <c r="V326" s="3">
        <v>772.9</v>
      </c>
      <c r="X326" s="3">
        <f t="shared" si="49"/>
        <v>220736.6</v>
      </c>
      <c r="Y326" s="3">
        <f t="shared" si="51"/>
        <v>7404.7999999999993</v>
      </c>
      <c r="AA326" s="3">
        <v>16.051851653800099</v>
      </c>
    </row>
    <row r="327" spans="1:27" s="3" customFormat="1" x14ac:dyDescent="0.25">
      <c r="A327" s="33"/>
      <c r="B327" s="8"/>
      <c r="C327" s="34">
        <v>41443</v>
      </c>
      <c r="D327" s="3">
        <v>16.2</v>
      </c>
      <c r="E327" s="3">
        <v>12.7</v>
      </c>
      <c r="F327" s="3">
        <v>19.8</v>
      </c>
      <c r="G327" s="3">
        <f t="shared" si="46"/>
        <v>2642.0000000000009</v>
      </c>
      <c r="H327" s="3">
        <f t="shared" si="50"/>
        <v>128.39999999999998</v>
      </c>
      <c r="I327" s="3">
        <v>0</v>
      </c>
      <c r="J327" s="3">
        <v>0.6</v>
      </c>
      <c r="K327" s="3">
        <f t="shared" si="47"/>
        <v>748.7</v>
      </c>
      <c r="L327" s="3">
        <v>1.5</v>
      </c>
      <c r="M327" s="3">
        <f t="shared" si="48"/>
        <v>406.69999999999976</v>
      </c>
      <c r="N327" s="3">
        <v>-0.9</v>
      </c>
      <c r="O327" s="3">
        <f t="shared" si="53"/>
        <v>141.80000000000001</v>
      </c>
      <c r="P327" s="3">
        <v>287</v>
      </c>
      <c r="Q327" s="20">
        <f t="shared" si="43"/>
        <v>0.71610169491525411</v>
      </c>
      <c r="R327" s="7">
        <f t="shared" si="44"/>
        <v>1.074152542372881</v>
      </c>
      <c r="S327" s="7">
        <f t="shared" si="45"/>
        <v>-0.47415254237288107</v>
      </c>
      <c r="T327" s="7">
        <f t="shared" si="52"/>
        <v>134.06474576271185</v>
      </c>
      <c r="U327" s="7"/>
      <c r="V327" s="3">
        <v>977.3</v>
      </c>
      <c r="X327" s="3">
        <f t="shared" si="49"/>
        <v>221713.9</v>
      </c>
      <c r="Y327" s="3">
        <f t="shared" si="51"/>
        <v>8382.0999999999985</v>
      </c>
      <c r="AA327" s="3">
        <v>16.0582458863922</v>
      </c>
    </row>
    <row r="328" spans="1:27" s="3" customFormat="1" x14ac:dyDescent="0.25">
      <c r="A328" s="33"/>
      <c r="B328" s="8"/>
      <c r="C328" s="34">
        <v>41444</v>
      </c>
      <c r="D328" s="3">
        <v>16.3</v>
      </c>
      <c r="E328" s="3">
        <v>14.5</v>
      </c>
      <c r="F328" s="3">
        <v>19.600000000000001</v>
      </c>
      <c r="G328" s="3">
        <f t="shared" si="46"/>
        <v>2658.3000000000011</v>
      </c>
      <c r="H328" s="3">
        <f t="shared" si="50"/>
        <v>144.69999999999999</v>
      </c>
      <c r="I328" s="35" t="s">
        <v>13</v>
      </c>
      <c r="J328" s="3">
        <v>0.9</v>
      </c>
      <c r="K328" s="3">
        <f t="shared" si="47"/>
        <v>749.6</v>
      </c>
      <c r="L328" s="3">
        <v>2.2000000000000002</v>
      </c>
      <c r="M328" s="3">
        <f t="shared" si="48"/>
        <v>408.89999999999975</v>
      </c>
      <c r="N328" s="3">
        <v>-1.3000000000000003</v>
      </c>
      <c r="O328" s="3">
        <f t="shared" si="53"/>
        <v>140.5</v>
      </c>
      <c r="P328" s="3">
        <v>288</v>
      </c>
      <c r="Q328" s="20">
        <f t="shared" si="43"/>
        <v>0.7025423728813559</v>
      </c>
      <c r="R328" s="7">
        <f t="shared" si="44"/>
        <v>1.5455932203389831</v>
      </c>
      <c r="S328" s="7">
        <f t="shared" si="45"/>
        <v>-0.64559322033898303</v>
      </c>
      <c r="T328" s="7">
        <f t="shared" si="52"/>
        <v>133.41915254237287</v>
      </c>
      <c r="U328" s="35" t="s">
        <v>14</v>
      </c>
      <c r="V328" s="3">
        <v>1055.8</v>
      </c>
      <c r="X328" s="3">
        <f t="shared" si="49"/>
        <v>222769.69999999998</v>
      </c>
      <c r="Y328" s="3">
        <f t="shared" si="51"/>
        <v>9437.8999999999978</v>
      </c>
      <c r="AA328" s="3">
        <v>16.063225175626499</v>
      </c>
    </row>
    <row r="329" spans="1:27" s="3" customFormat="1" x14ac:dyDescent="0.25">
      <c r="A329" s="33"/>
      <c r="B329" s="8"/>
      <c r="C329" s="34">
        <v>41445</v>
      </c>
      <c r="D329" s="3">
        <v>15.8</v>
      </c>
      <c r="E329" s="3">
        <v>10.7</v>
      </c>
      <c r="F329" s="3">
        <v>19.8</v>
      </c>
      <c r="G329" s="3">
        <f t="shared" si="46"/>
        <v>2674.1000000000013</v>
      </c>
      <c r="H329" s="3">
        <f t="shared" si="50"/>
        <v>160.5</v>
      </c>
      <c r="I329" s="3">
        <v>0</v>
      </c>
      <c r="J329" s="3">
        <v>0.2</v>
      </c>
      <c r="K329" s="3">
        <f t="shared" si="47"/>
        <v>749.80000000000007</v>
      </c>
      <c r="L329" s="3">
        <v>1.8</v>
      </c>
      <c r="M329" s="3">
        <f t="shared" si="48"/>
        <v>410.69999999999976</v>
      </c>
      <c r="N329" s="3">
        <v>-1.6</v>
      </c>
      <c r="O329" s="3">
        <f t="shared" si="53"/>
        <v>138.9</v>
      </c>
      <c r="P329" s="3">
        <v>289</v>
      </c>
      <c r="Q329" s="20">
        <f t="shared" si="43"/>
        <v>0.68898305084745748</v>
      </c>
      <c r="R329" s="7">
        <f t="shared" si="44"/>
        <v>1.2401694915254236</v>
      </c>
      <c r="S329" s="7">
        <f t="shared" si="45"/>
        <v>-1.0401694915254236</v>
      </c>
      <c r="T329" s="7">
        <f t="shared" si="52"/>
        <v>132.37898305084744</v>
      </c>
      <c r="U329" s="7"/>
      <c r="V329" s="3">
        <v>940.2</v>
      </c>
      <c r="X329" s="3">
        <f t="shared" si="49"/>
        <v>223709.9</v>
      </c>
      <c r="Y329" s="3">
        <f t="shared" si="51"/>
        <v>10378.099999999999</v>
      </c>
      <c r="AA329" s="3">
        <v>16.066784866973201</v>
      </c>
    </row>
    <row r="330" spans="1:27" s="3" customFormat="1" x14ac:dyDescent="0.25">
      <c r="A330" s="33"/>
      <c r="B330" s="8"/>
      <c r="C330" s="34">
        <v>41446</v>
      </c>
      <c r="D330" s="3">
        <v>15.5</v>
      </c>
      <c r="E330" s="3">
        <v>13.5</v>
      </c>
      <c r="F330" s="3">
        <v>18</v>
      </c>
      <c r="G330" s="3">
        <f t="shared" si="46"/>
        <v>2689.6000000000013</v>
      </c>
      <c r="H330" s="3">
        <f t="shared" si="50"/>
        <v>176</v>
      </c>
      <c r="I330" s="35" t="s">
        <v>15</v>
      </c>
      <c r="J330" s="3">
        <v>1.8</v>
      </c>
      <c r="K330" s="3">
        <f t="shared" si="47"/>
        <v>751.6</v>
      </c>
      <c r="L330" s="3">
        <v>1.6</v>
      </c>
      <c r="M330" s="3">
        <f t="shared" si="48"/>
        <v>412.29999999999978</v>
      </c>
      <c r="N330" s="3">
        <v>0.19999999999999996</v>
      </c>
      <c r="O330" s="3">
        <f t="shared" si="53"/>
        <v>139.1</v>
      </c>
      <c r="P330" s="3">
        <v>290</v>
      </c>
      <c r="Q330" s="20">
        <f t="shared" si="43"/>
        <v>0.67542372881355928</v>
      </c>
      <c r="R330" s="7">
        <f t="shared" si="44"/>
        <v>1.080677966101695</v>
      </c>
      <c r="S330" s="7">
        <f t="shared" si="45"/>
        <v>0.71932203389830507</v>
      </c>
      <c r="T330" s="7">
        <f t="shared" si="52"/>
        <v>133.09830508474573</v>
      </c>
      <c r="U330" s="35" t="s">
        <v>16</v>
      </c>
      <c r="V330" s="3">
        <v>773.1</v>
      </c>
      <c r="X330" s="3">
        <f t="shared" si="49"/>
        <v>224483</v>
      </c>
      <c r="Y330" s="3">
        <f t="shared" si="51"/>
        <v>11151.199999999999</v>
      </c>
      <c r="AA330" s="3">
        <v>16.068921774459099</v>
      </c>
    </row>
    <row r="331" spans="1:27" s="3" customFormat="1" x14ac:dyDescent="0.25">
      <c r="A331" s="33"/>
      <c r="B331" s="8"/>
      <c r="C331" s="34">
        <v>41447</v>
      </c>
      <c r="D331" s="3">
        <v>15.2</v>
      </c>
      <c r="E331" s="3">
        <v>12.9</v>
      </c>
      <c r="F331" s="3">
        <v>18.100000000000001</v>
      </c>
      <c r="G331" s="3">
        <f t="shared" si="46"/>
        <v>2704.8000000000011</v>
      </c>
      <c r="H331" s="3">
        <f t="shared" si="50"/>
        <v>191.2</v>
      </c>
      <c r="I331" s="3">
        <v>0</v>
      </c>
      <c r="J331" s="3">
        <v>0.6</v>
      </c>
      <c r="K331" s="3">
        <f t="shared" si="47"/>
        <v>752.2</v>
      </c>
      <c r="L331" s="3">
        <v>1.4</v>
      </c>
      <c r="M331" s="3">
        <f t="shared" si="48"/>
        <v>413.69999999999976</v>
      </c>
      <c r="N331" s="3">
        <v>-0.79999999999999993</v>
      </c>
      <c r="O331" s="3">
        <f t="shared" si="53"/>
        <v>138.29999999999998</v>
      </c>
      <c r="P331" s="3">
        <v>291</v>
      </c>
      <c r="Q331" s="20">
        <f t="shared" si="43"/>
        <v>0.66186440677966096</v>
      </c>
      <c r="R331" s="7">
        <f t="shared" si="44"/>
        <v>0.9266101694915253</v>
      </c>
      <c r="S331" s="7">
        <f t="shared" si="45"/>
        <v>-0.32661016949152533</v>
      </c>
      <c r="T331" s="7">
        <f t="shared" si="52"/>
        <v>132.77169491525422</v>
      </c>
      <c r="U331" s="20">
        <f>AVERAGE(T320:T345)</f>
        <v>128.64773142112125</v>
      </c>
      <c r="V331" s="3">
        <v>608.5</v>
      </c>
      <c r="X331" s="3">
        <f t="shared" si="49"/>
        <v>225091.5</v>
      </c>
      <c r="Y331" s="3">
        <f t="shared" si="51"/>
        <v>11759.699999999999</v>
      </c>
      <c r="AA331" s="3">
        <v>16.069634193082901</v>
      </c>
    </row>
    <row r="332" spans="1:27" s="3" customFormat="1" x14ac:dyDescent="0.25">
      <c r="A332" s="33"/>
      <c r="B332" s="8"/>
      <c r="C332" s="34">
        <v>41448</v>
      </c>
      <c r="D332" s="3">
        <v>14</v>
      </c>
      <c r="E332" s="3">
        <v>12.6</v>
      </c>
      <c r="F332" s="3">
        <v>15.7</v>
      </c>
      <c r="G332" s="3">
        <f t="shared" si="46"/>
        <v>2718.8000000000011</v>
      </c>
      <c r="H332" s="3">
        <f t="shared" si="50"/>
        <v>205.2</v>
      </c>
      <c r="I332" s="35" t="s">
        <v>17</v>
      </c>
      <c r="J332" s="3">
        <v>2.2000000000000002</v>
      </c>
      <c r="K332" s="3">
        <f t="shared" si="47"/>
        <v>754.40000000000009</v>
      </c>
      <c r="L332" s="3">
        <v>2.4</v>
      </c>
      <c r="M332" s="3">
        <f t="shared" si="48"/>
        <v>416.09999999999974</v>
      </c>
      <c r="N332" s="3">
        <v>-0.19999999999999973</v>
      </c>
      <c r="O332" s="3">
        <f t="shared" si="53"/>
        <v>138.1</v>
      </c>
      <c r="P332" s="3">
        <v>292</v>
      </c>
      <c r="Q332" s="20">
        <f t="shared" si="43"/>
        <v>0.64830508474576265</v>
      </c>
      <c r="R332" s="7">
        <f t="shared" si="44"/>
        <v>1.5559322033898304</v>
      </c>
      <c r="S332" s="7">
        <f t="shared" si="45"/>
        <v>0.64406779661016977</v>
      </c>
      <c r="T332" s="7">
        <f t="shared" si="52"/>
        <v>133.41576271186437</v>
      </c>
      <c r="V332" s="3">
        <v>1268.5999999999999</v>
      </c>
      <c r="X332" s="3">
        <f t="shared" si="49"/>
        <v>226360.1</v>
      </c>
      <c r="Y332" s="3">
        <f t="shared" si="51"/>
        <v>13028.3</v>
      </c>
      <c r="AA332" s="3">
        <v>16.068921905460201</v>
      </c>
    </row>
    <row r="333" spans="1:27" s="3" customFormat="1" x14ac:dyDescent="0.25">
      <c r="A333" s="33"/>
      <c r="B333" s="8"/>
      <c r="C333" s="34">
        <v>41449</v>
      </c>
      <c r="D333" s="3">
        <v>13.5</v>
      </c>
      <c r="E333" s="3">
        <v>11.2</v>
      </c>
      <c r="F333" s="3">
        <v>17.8</v>
      </c>
      <c r="G333" s="3">
        <f t="shared" si="46"/>
        <v>2732.3000000000011</v>
      </c>
      <c r="H333" s="3">
        <f t="shared" si="50"/>
        <v>218.7</v>
      </c>
      <c r="I333" s="3">
        <v>416.9</v>
      </c>
      <c r="J333" s="3">
        <v>0</v>
      </c>
      <c r="K333" s="3">
        <f t="shared" si="47"/>
        <v>754.40000000000009</v>
      </c>
      <c r="L333" s="3">
        <v>4.4000000000000004</v>
      </c>
      <c r="M333" s="3">
        <f t="shared" si="48"/>
        <v>420.49999999999972</v>
      </c>
      <c r="N333" s="3">
        <v>-4.4000000000000004</v>
      </c>
      <c r="O333" s="3">
        <f t="shared" si="53"/>
        <v>133.69999999999999</v>
      </c>
      <c r="P333" s="3">
        <v>293</v>
      </c>
      <c r="Q333" s="20">
        <f t="shared" si="43"/>
        <v>0.63474576271186445</v>
      </c>
      <c r="R333" s="7">
        <f t="shared" si="44"/>
        <v>2.7928813559322037</v>
      </c>
      <c r="S333" s="7">
        <f t="shared" si="45"/>
        <v>-2.7928813559322037</v>
      </c>
      <c r="T333" s="7">
        <f t="shared" si="52"/>
        <v>130.62288135593218</v>
      </c>
      <c r="U333" s="7">
        <f>(U331*100)/197.4</f>
        <v>65.171089878987459</v>
      </c>
      <c r="V333" s="3">
        <v>2578.8000000000002</v>
      </c>
      <c r="X333" s="3">
        <f t="shared" si="49"/>
        <v>228938.9</v>
      </c>
      <c r="Y333" s="3">
        <f t="shared" si="51"/>
        <v>15607.099999999999</v>
      </c>
      <c r="AA333" s="3">
        <v>16.0667861826471</v>
      </c>
    </row>
    <row r="334" spans="1:27" s="3" customFormat="1" x14ac:dyDescent="0.25">
      <c r="A334" s="33"/>
      <c r="B334" s="8"/>
      <c r="C334" s="34">
        <v>41450</v>
      </c>
      <c r="D334" s="3">
        <v>13.5</v>
      </c>
      <c r="E334" s="3">
        <v>7.9</v>
      </c>
      <c r="F334" s="3">
        <v>18.3</v>
      </c>
      <c r="G334" s="3">
        <f t="shared" si="46"/>
        <v>2745.8000000000011</v>
      </c>
      <c r="H334" s="3">
        <f t="shared" si="50"/>
        <v>232.2</v>
      </c>
      <c r="J334" s="3">
        <v>0</v>
      </c>
      <c r="K334" s="3">
        <f t="shared" si="47"/>
        <v>754.40000000000009</v>
      </c>
      <c r="L334" s="3">
        <v>3.2</v>
      </c>
      <c r="M334" s="3">
        <f t="shared" si="48"/>
        <v>423.6999999999997</v>
      </c>
      <c r="N334" s="3">
        <v>-3.2</v>
      </c>
      <c r="O334" s="3">
        <f t="shared" si="53"/>
        <v>130.5</v>
      </c>
      <c r="P334" s="3">
        <v>294</v>
      </c>
      <c r="Q334" s="20">
        <f t="shared" si="43"/>
        <v>0.62118644067796602</v>
      </c>
      <c r="R334" s="7">
        <f t="shared" si="44"/>
        <v>1.9877966101694913</v>
      </c>
      <c r="S334" s="7">
        <f t="shared" si="45"/>
        <v>-1.9877966101694913</v>
      </c>
      <c r="T334" s="7">
        <f t="shared" si="52"/>
        <v>128.6350847457627</v>
      </c>
      <c r="V334" s="3">
        <v>1972.4</v>
      </c>
      <c r="X334" s="3">
        <f t="shared" si="49"/>
        <v>230911.3</v>
      </c>
      <c r="Y334" s="3">
        <f t="shared" si="51"/>
        <v>17579.5</v>
      </c>
      <c r="AA334" s="3">
        <v>16.063229779132801</v>
      </c>
    </row>
    <row r="335" spans="1:27" s="3" customFormat="1" x14ac:dyDescent="0.25">
      <c r="A335" s="33"/>
      <c r="B335" s="8"/>
      <c r="C335" s="34">
        <v>41451</v>
      </c>
      <c r="D335" s="3">
        <v>14.5</v>
      </c>
      <c r="E335" s="3">
        <v>9</v>
      </c>
      <c r="F335" s="3">
        <v>19.7</v>
      </c>
      <c r="G335" s="3">
        <f t="shared" si="46"/>
        <v>2760.3000000000011</v>
      </c>
      <c r="H335" s="3">
        <f t="shared" si="50"/>
        <v>246.7</v>
      </c>
      <c r="J335" s="3">
        <v>0</v>
      </c>
      <c r="K335" s="3">
        <f t="shared" si="47"/>
        <v>754.40000000000009</v>
      </c>
      <c r="L335" s="3">
        <v>3.3</v>
      </c>
      <c r="M335" s="3">
        <f t="shared" si="48"/>
        <v>426.99999999999972</v>
      </c>
      <c r="N335" s="3">
        <v>-3.3</v>
      </c>
      <c r="O335" s="3">
        <f t="shared" si="53"/>
        <v>127.2</v>
      </c>
      <c r="P335" s="3">
        <v>295</v>
      </c>
      <c r="Q335" s="20">
        <f t="shared" si="43"/>
        <v>0.60762711864406782</v>
      </c>
      <c r="R335" s="7">
        <f t="shared" si="44"/>
        <v>2.0051694915254239</v>
      </c>
      <c r="S335" s="7">
        <f t="shared" si="45"/>
        <v>-2.0051694915254239</v>
      </c>
      <c r="T335" s="7">
        <f t="shared" si="52"/>
        <v>126.62991525423728</v>
      </c>
      <c r="V335" s="3">
        <v>1984.9</v>
      </c>
      <c r="X335" s="3">
        <f t="shared" si="49"/>
        <v>232896.19999999998</v>
      </c>
      <c r="Y335" s="3">
        <f t="shared" si="51"/>
        <v>19564.400000000001</v>
      </c>
      <c r="AA335" s="3">
        <v>16.058256922043999</v>
      </c>
    </row>
    <row r="336" spans="1:27" s="3" customFormat="1" x14ac:dyDescent="0.25">
      <c r="A336" s="33"/>
      <c r="B336" s="8"/>
      <c r="C336" s="34">
        <v>41452</v>
      </c>
      <c r="D336" s="3">
        <v>15.4</v>
      </c>
      <c r="E336" s="3">
        <v>9.9</v>
      </c>
      <c r="F336" s="3">
        <v>20</v>
      </c>
      <c r="G336" s="3">
        <f t="shared" si="46"/>
        <v>2775.7000000000012</v>
      </c>
      <c r="H336" s="3">
        <f t="shared" si="50"/>
        <v>262.09999999999997</v>
      </c>
      <c r="J336" s="3">
        <v>0.2</v>
      </c>
      <c r="K336" s="3">
        <f t="shared" si="47"/>
        <v>754.60000000000014</v>
      </c>
      <c r="L336" s="3">
        <v>3.5</v>
      </c>
      <c r="M336" s="3">
        <f t="shared" si="48"/>
        <v>430.49999999999972</v>
      </c>
      <c r="N336" s="3">
        <v>-3.3</v>
      </c>
      <c r="O336" s="3">
        <f t="shared" si="53"/>
        <v>123.9</v>
      </c>
      <c r="P336" s="3">
        <v>296</v>
      </c>
      <c r="Q336" s="20">
        <f t="shared" si="43"/>
        <v>0.5940677966101694</v>
      </c>
      <c r="R336" s="7">
        <f t="shared" si="44"/>
        <v>2.0792372881355927</v>
      </c>
      <c r="S336" s="7">
        <f t="shared" si="45"/>
        <v>-1.8792372881355928</v>
      </c>
      <c r="T336" s="7">
        <f t="shared" si="52"/>
        <v>124.75067796610168</v>
      </c>
      <c r="V336" s="3">
        <v>1978.5</v>
      </c>
      <c r="X336" s="3">
        <f t="shared" si="49"/>
        <v>234874.69999999998</v>
      </c>
      <c r="Y336" s="3">
        <f t="shared" si="51"/>
        <v>21542.9</v>
      </c>
      <c r="AA336" s="3">
        <v>16.051873294648299</v>
      </c>
    </row>
    <row r="337" spans="1:27" s="3" customFormat="1" x14ac:dyDescent="0.25">
      <c r="A337" s="33"/>
      <c r="B337" s="8"/>
      <c r="C337" s="34">
        <v>41453</v>
      </c>
      <c r="D337" s="3">
        <v>17.399999999999999</v>
      </c>
      <c r="E337" s="3">
        <v>14.5</v>
      </c>
      <c r="F337" s="3">
        <v>22.5</v>
      </c>
      <c r="G337" s="3">
        <f t="shared" si="46"/>
        <v>2793.1000000000013</v>
      </c>
      <c r="H337" s="3">
        <f t="shared" si="50"/>
        <v>279.49999999999994</v>
      </c>
      <c r="J337" s="3">
        <v>0.1</v>
      </c>
      <c r="K337" s="3">
        <f t="shared" si="47"/>
        <v>754.70000000000016</v>
      </c>
      <c r="L337" s="3">
        <v>2</v>
      </c>
      <c r="M337" s="3">
        <f t="shared" si="48"/>
        <v>432.49999999999972</v>
      </c>
      <c r="N337" s="3">
        <v>-1.9</v>
      </c>
      <c r="O337" s="3">
        <f t="shared" si="53"/>
        <v>122</v>
      </c>
      <c r="P337" s="3">
        <v>297</v>
      </c>
      <c r="Q337" s="20">
        <f t="shared" si="43"/>
        <v>0.58050847457627119</v>
      </c>
      <c r="R337" s="7">
        <f t="shared" si="44"/>
        <v>1.1610169491525424</v>
      </c>
      <c r="S337" s="7">
        <f t="shared" si="45"/>
        <v>-1.0610169491525423</v>
      </c>
      <c r="T337" s="7">
        <f t="shared" si="52"/>
        <v>123.68966101694913</v>
      </c>
      <c r="V337" s="3">
        <v>832.9</v>
      </c>
      <c r="X337" s="3">
        <f t="shared" si="49"/>
        <v>235707.59999999998</v>
      </c>
      <c r="Y337" s="3">
        <f t="shared" si="51"/>
        <v>22375.800000000003</v>
      </c>
      <c r="AA337" s="3">
        <v>16.044086014292098</v>
      </c>
    </row>
    <row r="338" spans="1:27" s="3" customFormat="1" x14ac:dyDescent="0.25">
      <c r="A338" s="33"/>
      <c r="B338" s="8"/>
      <c r="C338" s="34">
        <v>41454</v>
      </c>
      <c r="D338" s="3">
        <v>16.2</v>
      </c>
      <c r="E338" s="3">
        <v>12.7</v>
      </c>
      <c r="F338" s="3">
        <v>19.600000000000001</v>
      </c>
      <c r="G338" s="3">
        <f t="shared" si="46"/>
        <v>2809.3000000000011</v>
      </c>
      <c r="H338" s="3">
        <f t="shared" si="50"/>
        <v>295.69999999999993</v>
      </c>
      <c r="J338" s="3">
        <v>0</v>
      </c>
      <c r="K338" s="3">
        <f t="shared" si="47"/>
        <v>754.70000000000016</v>
      </c>
      <c r="L338" s="3">
        <v>1.8</v>
      </c>
      <c r="M338" s="3">
        <f t="shared" si="48"/>
        <v>434.29999999999973</v>
      </c>
      <c r="N338" s="3">
        <v>-1.8</v>
      </c>
      <c r="O338" s="3">
        <f t="shared" si="53"/>
        <v>120.2</v>
      </c>
      <c r="P338" s="3">
        <v>298</v>
      </c>
      <c r="Q338" s="20">
        <f t="shared" si="43"/>
        <v>0.56694915254237288</v>
      </c>
      <c r="R338" s="7">
        <f t="shared" si="44"/>
        <v>1.0205084745762711</v>
      </c>
      <c r="S338" s="7">
        <f t="shared" si="45"/>
        <v>-1.0205084745762711</v>
      </c>
      <c r="T338" s="7">
        <f t="shared" si="52"/>
        <v>122.66915254237286</v>
      </c>
      <c r="V338" s="3">
        <v>774.2</v>
      </c>
      <c r="X338" s="3">
        <f t="shared" si="49"/>
        <v>236481.8</v>
      </c>
      <c r="Y338" s="3">
        <f t="shared" si="51"/>
        <v>23150.000000000004</v>
      </c>
      <c r="AA338" s="3">
        <v>16.034903604951001</v>
      </c>
    </row>
    <row r="339" spans="1:27" s="3" customFormat="1" x14ac:dyDescent="0.25">
      <c r="A339" s="33"/>
      <c r="B339" s="8"/>
      <c r="C339" s="34">
        <v>41455</v>
      </c>
      <c r="D339" s="3">
        <v>17.8</v>
      </c>
      <c r="E339" s="3">
        <v>13.7</v>
      </c>
      <c r="F339" s="3">
        <v>24.3</v>
      </c>
      <c r="G339" s="3">
        <f t="shared" si="46"/>
        <v>2827.1000000000013</v>
      </c>
      <c r="H339" s="3">
        <f t="shared" si="50"/>
        <v>313.49999999999994</v>
      </c>
      <c r="J339" s="3">
        <v>0</v>
      </c>
      <c r="K339" s="3">
        <f t="shared" si="47"/>
        <v>754.70000000000016</v>
      </c>
      <c r="L339" s="3">
        <v>2.9</v>
      </c>
      <c r="M339" s="3">
        <f t="shared" si="48"/>
        <v>437.1999999999997</v>
      </c>
      <c r="N339" s="3">
        <v>-2.9</v>
      </c>
      <c r="O339" s="3">
        <f t="shared" si="53"/>
        <v>117.3</v>
      </c>
      <c r="P339" s="3">
        <v>299</v>
      </c>
      <c r="Q339" s="20">
        <f t="shared" si="43"/>
        <v>0.55338983050847457</v>
      </c>
      <c r="R339" s="7">
        <f t="shared" si="44"/>
        <v>1.6048305084745762</v>
      </c>
      <c r="S339" s="7">
        <f t="shared" si="45"/>
        <v>-1.6048305084745762</v>
      </c>
      <c r="T339" s="7">
        <f t="shared" si="52"/>
        <v>121.06432203389828</v>
      </c>
      <c r="V339" s="3">
        <v>1460.6</v>
      </c>
      <c r="X339" s="3">
        <f t="shared" si="49"/>
        <v>237942.39999999999</v>
      </c>
      <c r="Y339" s="3">
        <f t="shared" si="51"/>
        <v>24610.600000000002</v>
      </c>
      <c r="AA339" s="3">
        <v>16.024335964614099</v>
      </c>
    </row>
    <row r="340" spans="1:27" s="3" customFormat="1" x14ac:dyDescent="0.25">
      <c r="A340" s="33"/>
      <c r="B340" s="8"/>
      <c r="C340" s="34">
        <v>41456</v>
      </c>
      <c r="D340" s="3">
        <v>15.8</v>
      </c>
      <c r="E340" s="3">
        <v>12.8</v>
      </c>
      <c r="F340" s="3">
        <v>20.5</v>
      </c>
      <c r="G340" s="3">
        <f t="shared" si="46"/>
        <v>2842.9000000000015</v>
      </c>
      <c r="H340" s="3">
        <f t="shared" si="50"/>
        <v>329.29999999999995</v>
      </c>
      <c r="J340" s="3">
        <v>0</v>
      </c>
      <c r="K340" s="3">
        <f t="shared" si="47"/>
        <v>754.70000000000016</v>
      </c>
      <c r="L340" s="3">
        <v>1.9</v>
      </c>
      <c r="M340" s="3">
        <f t="shared" si="48"/>
        <v>439.09999999999968</v>
      </c>
      <c r="N340" s="3">
        <v>-1.9</v>
      </c>
      <c r="O340" s="3">
        <f t="shared" si="53"/>
        <v>115.39999999999999</v>
      </c>
      <c r="P340" s="3">
        <v>300</v>
      </c>
      <c r="Q340" s="20">
        <f t="shared" si="43"/>
        <v>0.53983050847457625</v>
      </c>
      <c r="R340" s="7">
        <f t="shared" si="44"/>
        <v>1.0256779661016948</v>
      </c>
      <c r="S340" s="7">
        <f t="shared" si="45"/>
        <v>-1.0256779661016948</v>
      </c>
      <c r="T340" s="7">
        <f t="shared" si="52"/>
        <v>120.03864406779658</v>
      </c>
      <c r="V340" s="3">
        <v>1072.2</v>
      </c>
      <c r="X340" s="3">
        <f t="shared" si="49"/>
        <v>239014.6</v>
      </c>
      <c r="Y340" s="3">
        <f t="shared" si="51"/>
        <v>25682.800000000003</v>
      </c>
      <c r="AA340" s="3">
        <v>16.012394327759999</v>
      </c>
    </row>
    <row r="341" spans="1:27" s="3" customFormat="1" x14ac:dyDescent="0.25">
      <c r="A341" s="33"/>
      <c r="B341" s="8"/>
      <c r="C341" s="34">
        <v>41457</v>
      </c>
      <c r="D341" s="3">
        <v>15.4</v>
      </c>
      <c r="E341" s="3">
        <v>11.4</v>
      </c>
      <c r="F341" s="3">
        <v>21.4</v>
      </c>
      <c r="G341" s="3">
        <f t="shared" si="46"/>
        <v>2858.3000000000015</v>
      </c>
      <c r="H341" s="3">
        <f t="shared" si="50"/>
        <v>344.69999999999993</v>
      </c>
      <c r="J341" s="3">
        <v>6.1</v>
      </c>
      <c r="K341" s="3">
        <f t="shared" si="47"/>
        <v>760.80000000000018</v>
      </c>
      <c r="L341" s="3">
        <v>3.6</v>
      </c>
      <c r="M341" s="3">
        <f t="shared" si="48"/>
        <v>442.6999999999997</v>
      </c>
      <c r="N341" s="3">
        <v>2.4999999999999996</v>
      </c>
      <c r="O341" s="3">
        <f t="shared" si="53"/>
        <v>117.89999999999999</v>
      </c>
      <c r="P341" s="3">
        <v>301</v>
      </c>
      <c r="Q341" s="20">
        <f t="shared" si="43"/>
        <v>0.52627118644067794</v>
      </c>
      <c r="R341" s="7">
        <f t="shared" si="44"/>
        <v>1.8945762711864407</v>
      </c>
      <c r="S341" s="7">
        <f t="shared" si="45"/>
        <v>4.2054237288135585</v>
      </c>
      <c r="T341" s="7">
        <f t="shared" si="52"/>
        <v>124.24406779661014</v>
      </c>
      <c r="V341" s="3">
        <v>1912.3</v>
      </c>
      <c r="X341" s="3">
        <f t="shared" si="49"/>
        <v>240926.9</v>
      </c>
      <c r="Y341" s="3">
        <f t="shared" si="51"/>
        <v>27595.100000000002</v>
      </c>
      <c r="AA341" s="3">
        <v>15.9990912232204</v>
      </c>
    </row>
    <row r="342" spans="1:27" s="3" customFormat="1" x14ac:dyDescent="0.25">
      <c r="A342" s="33"/>
      <c r="B342" s="8"/>
      <c r="C342" s="34">
        <v>41458</v>
      </c>
      <c r="D342" s="3">
        <v>16.7</v>
      </c>
      <c r="E342" s="3">
        <v>15.1</v>
      </c>
      <c r="F342" s="3">
        <v>19.3</v>
      </c>
      <c r="G342" s="3">
        <f t="shared" si="46"/>
        <v>2875.0000000000014</v>
      </c>
      <c r="H342" s="3">
        <f t="shared" si="50"/>
        <v>361.39999999999992</v>
      </c>
      <c r="J342" s="3">
        <v>0.5</v>
      </c>
      <c r="K342" s="3">
        <f t="shared" si="47"/>
        <v>761.30000000000018</v>
      </c>
      <c r="L342" s="3">
        <v>1.6</v>
      </c>
      <c r="M342" s="3">
        <f t="shared" si="48"/>
        <v>444.29999999999973</v>
      </c>
      <c r="N342" s="3">
        <v>-1.1000000000000001</v>
      </c>
      <c r="O342" s="3">
        <f t="shared" si="53"/>
        <v>116.8</v>
      </c>
      <c r="P342" s="3">
        <v>302</v>
      </c>
      <c r="Q342" s="20">
        <f t="shared" si="43"/>
        <v>0.51271186440677963</v>
      </c>
      <c r="R342" s="7">
        <f t="shared" si="44"/>
        <v>0.8203389830508474</v>
      </c>
      <c r="S342" s="7">
        <f t="shared" si="45"/>
        <v>-0.3203389830508474</v>
      </c>
      <c r="T342" s="7">
        <f t="shared" si="52"/>
        <v>123.92372881355929</v>
      </c>
      <c r="V342" s="3">
        <v>773.5</v>
      </c>
      <c r="X342" s="3">
        <f t="shared" si="49"/>
        <v>241700.4</v>
      </c>
      <c r="Y342" s="3">
        <f t="shared" si="51"/>
        <v>28368.600000000002</v>
      </c>
      <c r="AA342" s="3">
        <v>15.984440427755599</v>
      </c>
    </row>
    <row r="343" spans="1:27" s="3" customFormat="1" x14ac:dyDescent="0.25">
      <c r="A343" s="33"/>
      <c r="B343" s="8"/>
      <c r="C343" s="34">
        <v>41459</v>
      </c>
      <c r="D343" s="3">
        <v>18.100000000000001</v>
      </c>
      <c r="E343" s="3">
        <v>12</v>
      </c>
      <c r="F343" s="3">
        <v>22.7</v>
      </c>
      <c r="G343" s="3">
        <f t="shared" si="46"/>
        <v>2893.1000000000013</v>
      </c>
      <c r="H343" s="3">
        <f t="shared" si="50"/>
        <v>379.49999999999994</v>
      </c>
      <c r="J343" s="3">
        <v>0</v>
      </c>
      <c r="K343" s="3">
        <f t="shared" si="47"/>
        <v>761.30000000000018</v>
      </c>
      <c r="L343" s="3">
        <v>1.1000000000000001</v>
      </c>
      <c r="M343" s="3">
        <f t="shared" si="48"/>
        <v>445.39999999999975</v>
      </c>
      <c r="N343" s="3">
        <v>-1.1000000000000001</v>
      </c>
      <c r="O343" s="3">
        <f t="shared" si="53"/>
        <v>115.7</v>
      </c>
      <c r="P343" s="3">
        <v>303</v>
      </c>
      <c r="Q343" s="20">
        <f t="shared" si="43"/>
        <v>0.49915254237288131</v>
      </c>
      <c r="R343" s="7">
        <f t="shared" si="44"/>
        <v>0.54906779661016947</v>
      </c>
      <c r="S343" s="7">
        <f t="shared" si="45"/>
        <v>-0.54906779661016947</v>
      </c>
      <c r="T343" s="7">
        <f t="shared" si="52"/>
        <v>123.37466101694912</v>
      </c>
      <c r="V343" s="3">
        <v>611.9</v>
      </c>
      <c r="W343" s="13"/>
      <c r="X343" s="3">
        <f t="shared" si="49"/>
        <v>242312.3</v>
      </c>
      <c r="Y343" s="3">
        <f t="shared" si="51"/>
        <v>28980.500000000004</v>
      </c>
      <c r="AA343" s="3">
        <v>15.968456915694301</v>
      </c>
    </row>
    <row r="344" spans="1:27" s="3" customFormat="1" ht="15" customHeight="1" x14ac:dyDescent="0.25">
      <c r="A344" s="33"/>
      <c r="B344" s="36"/>
      <c r="C344" s="34">
        <v>41460</v>
      </c>
      <c r="D344" s="3">
        <v>18.100000000000001</v>
      </c>
      <c r="E344" s="3">
        <v>15.4</v>
      </c>
      <c r="F344" s="3">
        <v>22.3</v>
      </c>
      <c r="G344" s="3">
        <f t="shared" si="46"/>
        <v>2911.2000000000012</v>
      </c>
      <c r="H344" s="3">
        <f t="shared" si="50"/>
        <v>397.59999999999997</v>
      </c>
      <c r="J344" s="3">
        <v>0</v>
      </c>
      <c r="K344" s="3">
        <f t="shared" si="47"/>
        <v>761.30000000000018</v>
      </c>
      <c r="L344" s="3">
        <v>2.7</v>
      </c>
      <c r="M344" s="3">
        <f t="shared" si="48"/>
        <v>448.09999999999974</v>
      </c>
      <c r="N344" s="3">
        <v>-2.7</v>
      </c>
      <c r="O344" s="3">
        <f t="shared" si="53"/>
        <v>113</v>
      </c>
      <c r="P344" s="3">
        <v>304</v>
      </c>
      <c r="Q344" s="20">
        <f t="shared" si="43"/>
        <v>0.485593220338983</v>
      </c>
      <c r="R344" s="7">
        <f t="shared" si="44"/>
        <v>1.3111016949152541</v>
      </c>
      <c r="S344" s="7">
        <f t="shared" si="45"/>
        <v>-1.3111016949152541</v>
      </c>
      <c r="T344" s="7">
        <f t="shared" si="52"/>
        <v>122.06355932203387</v>
      </c>
      <c r="V344" s="3">
        <v>1140</v>
      </c>
      <c r="X344" s="3">
        <f t="shared" si="49"/>
        <v>243452.3</v>
      </c>
      <c r="Y344" s="3">
        <f t="shared" si="51"/>
        <v>30120.500000000004</v>
      </c>
      <c r="AA344" s="3">
        <v>15.9511568050136</v>
      </c>
    </row>
    <row r="345" spans="1:27" s="44" customFormat="1" ht="15.75" thickBot="1" x14ac:dyDescent="0.3">
      <c r="A345" s="61"/>
      <c r="B345" s="62">
        <v>1000</v>
      </c>
      <c r="C345" s="60">
        <v>41461</v>
      </c>
      <c r="D345" s="44">
        <v>19.3</v>
      </c>
      <c r="E345" s="44">
        <v>12.9</v>
      </c>
      <c r="F345" s="44">
        <v>24.9</v>
      </c>
      <c r="G345" s="44">
        <f t="shared" si="46"/>
        <v>2930.5000000000014</v>
      </c>
      <c r="H345" s="44">
        <f t="shared" si="50"/>
        <v>416.9</v>
      </c>
      <c r="J345" s="44">
        <v>0</v>
      </c>
      <c r="K345" s="44">
        <f t="shared" si="47"/>
        <v>761.30000000000018</v>
      </c>
      <c r="L345" s="44">
        <v>3.6</v>
      </c>
      <c r="M345" s="44">
        <f t="shared" si="48"/>
        <v>451.69999999999976</v>
      </c>
      <c r="N345" s="44">
        <v>-3.6</v>
      </c>
      <c r="O345" s="44">
        <f t="shared" si="53"/>
        <v>109.4</v>
      </c>
      <c r="P345" s="44">
        <v>305</v>
      </c>
      <c r="Q345" s="45">
        <f t="shared" si="43"/>
        <v>0.4720338983050848</v>
      </c>
      <c r="R345" s="46">
        <f t="shared" si="44"/>
        <v>1.6993220338983053</v>
      </c>
      <c r="S345" s="46">
        <f t="shared" si="45"/>
        <v>-1.6993220338983053</v>
      </c>
      <c r="T345" s="46">
        <f t="shared" si="52"/>
        <v>120.36423728813556</v>
      </c>
      <c r="V345" s="44">
        <v>1796.3</v>
      </c>
      <c r="X345" s="44">
        <f t="shared" si="49"/>
        <v>245248.59999999998</v>
      </c>
      <c r="Y345" s="44">
        <f t="shared" si="51"/>
        <v>31916.800000000003</v>
      </c>
      <c r="AA345" s="44">
        <v>15.932557300249201</v>
      </c>
    </row>
    <row r="346" spans="1:27" s="3" customFormat="1" x14ac:dyDescent="0.25">
      <c r="A346" s="37"/>
      <c r="B346" s="36"/>
      <c r="C346" s="5">
        <v>41462</v>
      </c>
      <c r="D346" s="3">
        <v>21.7</v>
      </c>
      <c r="E346" s="3">
        <v>14.4</v>
      </c>
      <c r="F346" s="3">
        <v>29</v>
      </c>
      <c r="G346" s="3">
        <f t="shared" si="46"/>
        <v>2952.2000000000012</v>
      </c>
      <c r="H346" s="3">
        <v>21.7</v>
      </c>
      <c r="J346" s="3">
        <v>0</v>
      </c>
      <c r="K346" s="3">
        <f t="shared" si="47"/>
        <v>761.30000000000018</v>
      </c>
      <c r="L346" s="3">
        <v>4.5</v>
      </c>
      <c r="M346" s="3">
        <f t="shared" si="48"/>
        <v>456.19999999999976</v>
      </c>
      <c r="N346" s="3">
        <v>-4.5</v>
      </c>
      <c r="O346" s="3">
        <f t="shared" si="53"/>
        <v>104.9</v>
      </c>
      <c r="P346" s="3">
        <v>306</v>
      </c>
      <c r="Q346" s="20">
        <f t="shared" si="43"/>
        <v>0.45847457627118637</v>
      </c>
      <c r="R346" s="7">
        <f t="shared" si="44"/>
        <v>2.0631355932203386</v>
      </c>
      <c r="S346" s="7">
        <f t="shared" si="45"/>
        <v>-2.0631355932203386</v>
      </c>
      <c r="T346" s="7">
        <f t="shared" si="52"/>
        <v>118.30110169491522</v>
      </c>
      <c r="V346" s="3">
        <v>2107.6</v>
      </c>
      <c r="X346" s="3">
        <f t="shared" si="49"/>
        <v>247356.19999999998</v>
      </c>
      <c r="Y346" s="3">
        <v>2107.6</v>
      </c>
      <c r="AA346" s="3">
        <v>15.9126766326445</v>
      </c>
    </row>
    <row r="347" spans="1:27" s="3" customFormat="1" x14ac:dyDescent="0.25">
      <c r="A347" s="37"/>
      <c r="B347" s="36"/>
      <c r="C347" s="5">
        <v>41463</v>
      </c>
      <c r="D347" s="3">
        <v>23.2</v>
      </c>
      <c r="E347" s="3">
        <v>17</v>
      </c>
      <c r="F347" s="3">
        <v>30</v>
      </c>
      <c r="G347" s="3">
        <f t="shared" si="46"/>
        <v>2975.400000000001</v>
      </c>
      <c r="H347" s="3">
        <f t="shared" si="50"/>
        <v>44.9</v>
      </c>
      <c r="J347" s="3">
        <v>0</v>
      </c>
      <c r="K347" s="3">
        <f t="shared" si="47"/>
        <v>761.30000000000018</v>
      </c>
      <c r="L347" s="3">
        <v>7.1</v>
      </c>
      <c r="M347" s="3">
        <f t="shared" si="48"/>
        <v>463.29999999999978</v>
      </c>
      <c r="N347" s="3">
        <v>-7.1</v>
      </c>
      <c r="O347" s="3">
        <f t="shared" si="53"/>
        <v>97.800000000000011</v>
      </c>
      <c r="P347" s="3">
        <v>307</v>
      </c>
      <c r="Q347" s="20">
        <f t="shared" si="43"/>
        <v>0.44491525423728817</v>
      </c>
      <c r="R347" s="7">
        <f t="shared" si="44"/>
        <v>3.1588983050847457</v>
      </c>
      <c r="S347" s="7">
        <f t="shared" si="45"/>
        <v>-3.1588983050847457</v>
      </c>
      <c r="T347" s="7">
        <f t="shared" si="52"/>
        <v>115.14220338983047</v>
      </c>
      <c r="V347" s="3">
        <v>3191.7</v>
      </c>
      <c r="X347" s="3">
        <f t="shared" si="49"/>
        <v>250547.9</v>
      </c>
      <c r="Y347" s="3">
        <f t="shared" si="51"/>
        <v>5299.2999999999993</v>
      </c>
      <c r="AA347" s="3">
        <v>15.8915339979484</v>
      </c>
    </row>
    <row r="348" spans="1:27" s="3" customFormat="1" x14ac:dyDescent="0.25">
      <c r="A348" s="37"/>
      <c r="B348" s="36"/>
      <c r="C348" s="5">
        <v>41464</v>
      </c>
      <c r="D348" s="3">
        <v>22.7</v>
      </c>
      <c r="E348" s="3">
        <v>15.8</v>
      </c>
      <c r="F348" s="3">
        <v>29.8</v>
      </c>
      <c r="G348" s="3">
        <f t="shared" si="46"/>
        <v>2998.1000000000008</v>
      </c>
      <c r="H348" s="3">
        <f t="shared" si="50"/>
        <v>67.599999999999994</v>
      </c>
      <c r="J348" s="3">
        <v>0</v>
      </c>
      <c r="K348" s="3">
        <f t="shared" si="47"/>
        <v>761.30000000000018</v>
      </c>
      <c r="L348" s="3">
        <v>6.3</v>
      </c>
      <c r="M348" s="3">
        <f t="shared" si="48"/>
        <v>469.5999999999998</v>
      </c>
      <c r="N348" s="3">
        <v>-6.3</v>
      </c>
      <c r="O348" s="3">
        <f t="shared" si="53"/>
        <v>91.500000000000014</v>
      </c>
      <c r="P348" s="3">
        <v>308</v>
      </c>
      <c r="Q348" s="20">
        <f t="shared" si="43"/>
        <v>0.43135593220338975</v>
      </c>
      <c r="R348" s="7">
        <f t="shared" si="44"/>
        <v>2.7175423728813555</v>
      </c>
      <c r="S348" s="7">
        <f t="shared" si="45"/>
        <v>-2.7175423728813555</v>
      </c>
      <c r="T348" s="7">
        <f t="shared" si="52"/>
        <v>112.42466101694912</v>
      </c>
      <c r="V348" s="3">
        <v>2859.9</v>
      </c>
      <c r="X348" s="3">
        <f t="shared" si="49"/>
        <v>253407.8</v>
      </c>
      <c r="Y348" s="3">
        <f t="shared" si="51"/>
        <v>8159.1999999999989</v>
      </c>
      <c r="AA348" s="3">
        <v>15.869149492282199</v>
      </c>
    </row>
    <row r="349" spans="1:27" s="3" customFormat="1" x14ac:dyDescent="0.25">
      <c r="A349" s="37"/>
      <c r="B349" s="36"/>
      <c r="C349" s="5">
        <v>41465</v>
      </c>
      <c r="D349" s="3">
        <v>21.3</v>
      </c>
      <c r="E349" s="3">
        <v>15.6</v>
      </c>
      <c r="F349" s="3">
        <v>28.6</v>
      </c>
      <c r="G349" s="3">
        <f t="shared" si="46"/>
        <v>3019.400000000001</v>
      </c>
      <c r="H349" s="3">
        <f t="shared" si="50"/>
        <v>88.899999999999991</v>
      </c>
      <c r="J349" s="3">
        <v>0</v>
      </c>
      <c r="K349" s="3">
        <f t="shared" si="47"/>
        <v>761.30000000000018</v>
      </c>
      <c r="L349" s="3">
        <v>6.6</v>
      </c>
      <c r="M349" s="3">
        <f t="shared" si="48"/>
        <v>476.19999999999982</v>
      </c>
      <c r="N349" s="3">
        <v>-6.6</v>
      </c>
      <c r="O349" s="3">
        <f t="shared" si="53"/>
        <v>84.90000000000002</v>
      </c>
      <c r="P349" s="3">
        <v>309</v>
      </c>
      <c r="Q349" s="20">
        <f t="shared" si="43"/>
        <v>0.41779661016949154</v>
      </c>
      <c r="R349" s="7">
        <f t="shared" si="44"/>
        <v>2.7574576271186442</v>
      </c>
      <c r="S349" s="7">
        <f t="shared" si="45"/>
        <v>-2.7574576271186442</v>
      </c>
      <c r="T349" s="7">
        <f t="shared" si="52"/>
        <v>109.66720338983048</v>
      </c>
      <c r="V349" s="3">
        <v>3141</v>
      </c>
      <c r="X349" s="3">
        <f t="shared" si="49"/>
        <v>256548.8</v>
      </c>
      <c r="Y349" s="3">
        <f t="shared" si="51"/>
        <v>11300.199999999999</v>
      </c>
      <c r="AA349" s="3">
        <v>15.845544046489801</v>
      </c>
    </row>
    <row r="350" spans="1:27" s="3" customFormat="1" x14ac:dyDescent="0.25">
      <c r="A350" s="37"/>
      <c r="B350" s="36"/>
      <c r="C350" s="5">
        <v>41466</v>
      </c>
      <c r="D350" s="3">
        <v>18.7</v>
      </c>
      <c r="E350" s="3">
        <v>14.7</v>
      </c>
      <c r="F350" s="3">
        <v>23.7</v>
      </c>
      <c r="G350" s="3">
        <f t="shared" si="46"/>
        <v>3038.1000000000008</v>
      </c>
      <c r="H350" s="3">
        <f t="shared" si="50"/>
        <v>107.6</v>
      </c>
      <c r="J350" s="3">
        <v>0</v>
      </c>
      <c r="K350" s="3">
        <f t="shared" si="47"/>
        <v>761.30000000000018</v>
      </c>
      <c r="L350" s="3">
        <v>4.9000000000000004</v>
      </c>
      <c r="M350" s="3">
        <f t="shared" si="48"/>
        <v>481.0999999999998</v>
      </c>
      <c r="N350" s="3">
        <v>-4.9000000000000004</v>
      </c>
      <c r="O350" s="3">
        <f t="shared" si="53"/>
        <v>80.000000000000014</v>
      </c>
      <c r="P350" s="3">
        <v>310</v>
      </c>
      <c r="Q350" s="20">
        <f t="shared" si="43"/>
        <v>0.40423728813559323</v>
      </c>
      <c r="R350" s="7">
        <f t="shared" si="44"/>
        <v>1.9807627118644069</v>
      </c>
      <c r="S350" s="7">
        <f t="shared" si="45"/>
        <v>-1.9807627118644069</v>
      </c>
      <c r="T350" s="7">
        <f t="shared" si="52"/>
        <v>107.68644067796608</v>
      </c>
      <c r="V350" s="3">
        <v>2362.8000000000002</v>
      </c>
      <c r="X350" s="3">
        <f t="shared" si="49"/>
        <v>258911.59999999998</v>
      </c>
      <c r="Y350" s="3">
        <f t="shared" si="51"/>
        <v>13663</v>
      </c>
      <c r="AA350" s="3">
        <v>15.8207393593835</v>
      </c>
    </row>
    <row r="351" spans="1:27" s="3" customFormat="1" x14ac:dyDescent="0.25">
      <c r="A351" s="37"/>
      <c r="B351" s="36"/>
      <c r="C351" s="5">
        <v>41467</v>
      </c>
      <c r="D351" s="3">
        <v>19.899999999999999</v>
      </c>
      <c r="E351" s="3">
        <v>13.8</v>
      </c>
      <c r="F351" s="3">
        <v>25.9</v>
      </c>
      <c r="G351" s="3">
        <f t="shared" si="46"/>
        <v>3058.0000000000009</v>
      </c>
      <c r="H351" s="3">
        <f t="shared" si="50"/>
        <v>127.5</v>
      </c>
      <c r="J351" s="3">
        <v>0</v>
      </c>
      <c r="K351" s="3">
        <f t="shared" si="47"/>
        <v>761.30000000000018</v>
      </c>
      <c r="L351" s="3">
        <v>6.1</v>
      </c>
      <c r="M351" s="3">
        <f t="shared" si="48"/>
        <v>487.19999999999982</v>
      </c>
      <c r="N351" s="3">
        <v>-6.1</v>
      </c>
      <c r="O351" s="3">
        <f t="shared" si="53"/>
        <v>73.90000000000002</v>
      </c>
      <c r="P351" s="3">
        <v>311</v>
      </c>
      <c r="Q351" s="20">
        <f t="shared" si="43"/>
        <v>0.39067796610169492</v>
      </c>
      <c r="R351" s="7">
        <f t="shared" si="44"/>
        <v>2.3831355932203389</v>
      </c>
      <c r="S351" s="7">
        <f t="shared" si="45"/>
        <v>-2.3831355932203389</v>
      </c>
      <c r="T351" s="7">
        <f t="shared" si="52"/>
        <v>105.30330508474573</v>
      </c>
      <c r="V351" s="3">
        <v>3063.3</v>
      </c>
      <c r="X351" s="3">
        <f t="shared" si="49"/>
        <v>261974.89999999997</v>
      </c>
      <c r="Y351" s="3">
        <f t="shared" si="51"/>
        <v>16726.3</v>
      </c>
      <c r="AA351" s="3">
        <v>15.7947578302865</v>
      </c>
    </row>
    <row r="352" spans="1:27" s="3" customFormat="1" x14ac:dyDescent="0.25">
      <c r="A352" s="37"/>
      <c r="B352" s="36"/>
      <c r="C352" s="5">
        <v>41468</v>
      </c>
      <c r="D352" s="3">
        <v>21</v>
      </c>
      <c r="E352" s="3">
        <v>14.6</v>
      </c>
      <c r="F352" s="3">
        <v>26.7</v>
      </c>
      <c r="G352" s="3">
        <f t="shared" si="46"/>
        <v>3079.0000000000009</v>
      </c>
      <c r="H352" s="3">
        <f t="shared" si="50"/>
        <v>148.5</v>
      </c>
      <c r="J352" s="3">
        <v>0</v>
      </c>
      <c r="K352" s="3">
        <f t="shared" si="47"/>
        <v>761.30000000000018</v>
      </c>
      <c r="L352" s="3">
        <v>6.2</v>
      </c>
      <c r="M352" s="3">
        <f t="shared" si="48"/>
        <v>493.39999999999981</v>
      </c>
      <c r="N352" s="3">
        <v>-6.2</v>
      </c>
      <c r="O352" s="3">
        <f t="shared" si="53"/>
        <v>67.700000000000017</v>
      </c>
      <c r="P352" s="3">
        <v>312</v>
      </c>
      <c r="Q352" s="20">
        <f t="shared" si="43"/>
        <v>0.3771186440677966</v>
      </c>
      <c r="R352" s="7">
        <f t="shared" si="44"/>
        <v>2.3381355932203389</v>
      </c>
      <c r="S352" s="7">
        <f t="shared" si="45"/>
        <v>-2.3381355932203389</v>
      </c>
      <c r="T352" s="7">
        <f t="shared" si="52"/>
        <v>102.96516949152539</v>
      </c>
      <c r="V352" s="3">
        <v>3026.1</v>
      </c>
      <c r="X352" s="3">
        <f t="shared" si="49"/>
        <v>265000.99999999994</v>
      </c>
      <c r="Y352" s="3">
        <f t="shared" si="51"/>
        <v>19752.399999999998</v>
      </c>
      <c r="AA352" s="3">
        <v>15.7676224912632</v>
      </c>
    </row>
    <row r="353" spans="1:27" s="3" customFormat="1" x14ac:dyDescent="0.25">
      <c r="A353" s="37"/>
      <c r="B353" s="36"/>
      <c r="C353" s="5">
        <v>41469</v>
      </c>
      <c r="D353" s="3">
        <v>22.3</v>
      </c>
      <c r="E353" s="3">
        <v>16.600000000000001</v>
      </c>
      <c r="F353" s="3">
        <v>29.8</v>
      </c>
      <c r="G353" s="3">
        <f t="shared" si="46"/>
        <v>3101.3000000000011</v>
      </c>
      <c r="H353" s="3">
        <f t="shared" si="50"/>
        <v>170.8</v>
      </c>
      <c r="J353" s="3">
        <v>0</v>
      </c>
      <c r="K353" s="3">
        <f t="shared" si="47"/>
        <v>761.30000000000018</v>
      </c>
      <c r="L353" s="3">
        <v>7</v>
      </c>
      <c r="M353" s="3">
        <f t="shared" si="48"/>
        <v>500.39999999999981</v>
      </c>
      <c r="N353" s="3">
        <v>-7</v>
      </c>
      <c r="O353" s="3">
        <f t="shared" si="53"/>
        <v>60.700000000000017</v>
      </c>
      <c r="P353" s="3">
        <v>313</v>
      </c>
      <c r="Q353" s="20">
        <f t="shared" si="43"/>
        <v>0.36355932203389829</v>
      </c>
      <c r="R353" s="7">
        <f t="shared" si="44"/>
        <v>2.5449152542372881</v>
      </c>
      <c r="S353" s="7">
        <f t="shared" si="45"/>
        <v>-2.5449152542372881</v>
      </c>
      <c r="T353" s="7">
        <f t="shared" si="52"/>
        <v>100.42025423728811</v>
      </c>
      <c r="V353" s="3">
        <v>3107.5</v>
      </c>
      <c r="X353" s="3">
        <f t="shared" si="49"/>
        <v>268108.49999999994</v>
      </c>
      <c r="Y353" s="3">
        <f t="shared" si="51"/>
        <v>22859.899999999998</v>
      </c>
      <c r="AA353" s="3">
        <v>15.7393569394096</v>
      </c>
    </row>
    <row r="354" spans="1:27" s="3" customFormat="1" x14ac:dyDescent="0.25">
      <c r="A354" s="37"/>
      <c r="B354" s="36"/>
      <c r="C354" s="38">
        <v>41470</v>
      </c>
      <c r="D354" s="3">
        <v>21.6</v>
      </c>
      <c r="E354" s="3">
        <v>14.2</v>
      </c>
      <c r="F354" s="3">
        <v>30.3</v>
      </c>
      <c r="G354" s="3">
        <f t="shared" si="46"/>
        <v>3122.900000000001</v>
      </c>
      <c r="H354" s="3">
        <f t="shared" si="50"/>
        <v>192.4</v>
      </c>
      <c r="J354" s="3">
        <v>0</v>
      </c>
      <c r="K354" s="3">
        <f t="shared" si="47"/>
        <v>761.30000000000018</v>
      </c>
      <c r="L354" s="3">
        <v>6.7</v>
      </c>
      <c r="M354" s="3">
        <f t="shared" si="48"/>
        <v>507.0999999999998</v>
      </c>
      <c r="N354" s="3">
        <v>-6.7</v>
      </c>
      <c r="O354" s="3">
        <f t="shared" si="53"/>
        <v>54.000000000000014</v>
      </c>
      <c r="P354" s="3">
        <v>314</v>
      </c>
      <c r="Q354" s="20">
        <f t="shared" si="43"/>
        <v>0.35</v>
      </c>
      <c r="R354" s="7">
        <f t="shared" si="44"/>
        <v>2.3449999999999998</v>
      </c>
      <c r="S354" s="7">
        <f t="shared" si="45"/>
        <v>-2.3449999999999998</v>
      </c>
      <c r="T354" s="7">
        <f t="shared" si="52"/>
        <v>98.075254237288107</v>
      </c>
      <c r="V354" s="3">
        <v>2976.5</v>
      </c>
      <c r="X354" s="3">
        <f t="shared" si="49"/>
        <v>271084.99999999994</v>
      </c>
      <c r="Y354" s="3">
        <f t="shared" si="51"/>
        <v>25836.399999999998</v>
      </c>
      <c r="AA354" s="3">
        <v>15.7099852695598</v>
      </c>
    </row>
    <row r="355" spans="1:27" s="3" customFormat="1" x14ac:dyDescent="0.25">
      <c r="A355" s="74" t="s">
        <v>31</v>
      </c>
      <c r="B355" s="74"/>
      <c r="C355" s="74"/>
      <c r="D355" s="74"/>
      <c r="E355" s="74"/>
      <c r="F355" s="74"/>
      <c r="G355" s="74"/>
      <c r="H355" s="74"/>
      <c r="I355" s="74"/>
      <c r="J355" s="74"/>
      <c r="K355" s="74"/>
      <c r="L355" s="74"/>
      <c r="M355" s="74"/>
      <c r="N355" s="74"/>
      <c r="O355" s="74"/>
      <c r="P355" s="74"/>
      <c r="Q355" s="74"/>
      <c r="R355" s="74"/>
      <c r="S355" s="74"/>
      <c r="T355" s="74"/>
      <c r="U355" s="74"/>
      <c r="V355" s="74"/>
      <c r="W355" s="74"/>
      <c r="X355" s="74"/>
      <c r="Y355" s="74"/>
      <c r="Z355" s="74"/>
    </row>
  </sheetData>
  <mergeCells count="10">
    <mergeCell ref="A40:Z40"/>
    <mergeCell ref="A41:A170"/>
    <mergeCell ref="A171:A220"/>
    <mergeCell ref="A355:Z355"/>
    <mergeCell ref="D1:I2"/>
    <mergeCell ref="J1:U2"/>
    <mergeCell ref="V1:Z2"/>
    <mergeCell ref="P3:T3"/>
    <mergeCell ref="G4:H4"/>
    <mergeCell ref="X4:Y4"/>
  </mergeCells>
  <conditionalFormatting sqref="T1:T4">
    <cfRule type="cellIs" dxfId="21" priority="1" operator="equal">
      <formula>0</formula>
    </cfRule>
    <cfRule type="cellIs" dxfId="20" priority="2" operator="lessThanOrEqual">
      <formula>65.8</formula>
    </cfRule>
  </conditionalFormatting>
  <conditionalFormatting sqref="D41:F354 I54 I50 I52 I48 I178 I180 I182 I184 I228 I230 I232 I234 I255 I259 I257 I261 I282 I280 I278 I276 I297 I299 I303 I305 I307 I309 I333 I331 I329 I327 D5:F39">
    <cfRule type="cellIs" dxfId="19" priority="9" operator="between">
      <formula>25</formula>
      <formula>40</formula>
    </cfRule>
    <cfRule type="cellIs" dxfId="18" priority="10" operator="between">
      <formula>0</formula>
      <formula>5</formula>
    </cfRule>
    <cfRule type="cellIs" dxfId="17" priority="11" operator="between">
      <formula>0</formula>
      <formula>-50</formula>
    </cfRule>
  </conditionalFormatting>
  <conditionalFormatting sqref="N41:N354 N5:N39">
    <cfRule type="cellIs" dxfId="16" priority="8" operator="between">
      <formula>0</formula>
      <formula>-40</formula>
    </cfRule>
  </conditionalFormatting>
  <conditionalFormatting sqref="V5:V355">
    <cfRule type="cellIs" dxfId="15" priority="7" operator="between">
      <formula>899.999</formula>
      <formula>0</formula>
    </cfRule>
  </conditionalFormatting>
  <conditionalFormatting sqref="S41:S354">
    <cfRule type="cellIs" dxfId="14" priority="6" operator="lessThanOrEqual">
      <formula>0</formula>
    </cfRule>
  </conditionalFormatting>
  <conditionalFormatting sqref="T5:T355">
    <cfRule type="cellIs" dxfId="13" priority="4" operator="equal">
      <formula>0</formula>
    </cfRule>
    <cfRule type="cellIs" dxfId="12" priority="5" operator="lessThanOrEqual">
      <formula>65.8</formula>
    </cfRule>
  </conditionalFormatting>
  <conditionalFormatting sqref="V1:V4">
    <cfRule type="cellIs" dxfId="11" priority="3" operator="between">
      <formula>899.999</formula>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A355"/>
  <sheetViews>
    <sheetView zoomScale="80" zoomScaleNormal="80" workbookViewId="0">
      <pane xSplit="3" ySplit="4" topLeftCell="D5" activePane="bottomRight" state="frozen"/>
      <selection pane="topRight" activeCell="D1" sqref="D1"/>
      <selection pane="bottomLeft" activeCell="A5" sqref="A5"/>
      <selection pane="bottomRight" activeCell="U340" sqref="U340"/>
    </sheetView>
  </sheetViews>
  <sheetFormatPr baseColWidth="10" defaultRowHeight="15" x14ac:dyDescent="0.25"/>
  <sheetData>
    <row r="1" spans="1:27" s="2" customFormat="1" x14ac:dyDescent="0.25">
      <c r="A1"/>
      <c r="B1" s="1"/>
      <c r="C1"/>
      <c r="D1" s="68" t="s">
        <v>32</v>
      </c>
      <c r="E1" s="68"/>
      <c r="F1" s="68"/>
      <c r="G1" s="68"/>
      <c r="H1" s="68"/>
      <c r="I1" s="68"/>
      <c r="J1" s="68" t="s">
        <v>33</v>
      </c>
      <c r="K1" s="68"/>
      <c r="L1" s="68"/>
      <c r="M1" s="68"/>
      <c r="N1" s="68"/>
      <c r="O1" s="68"/>
      <c r="P1" s="68"/>
      <c r="Q1" s="68"/>
      <c r="R1" s="68"/>
      <c r="S1" s="68"/>
      <c r="T1" s="68"/>
      <c r="U1" s="68"/>
      <c r="V1" s="68" t="s">
        <v>34</v>
      </c>
      <c r="W1" s="69"/>
      <c r="X1" s="69"/>
      <c r="Y1" s="69"/>
      <c r="Z1" s="69"/>
    </row>
    <row r="2" spans="1:27" s="2" customFormat="1" x14ac:dyDescent="0.25">
      <c r="A2"/>
      <c r="B2" s="1"/>
      <c r="C2"/>
      <c r="D2" s="68"/>
      <c r="E2" s="68"/>
      <c r="F2" s="68"/>
      <c r="G2" s="68"/>
      <c r="H2" s="68"/>
      <c r="I2" s="68"/>
      <c r="J2" s="68"/>
      <c r="K2" s="68"/>
      <c r="L2" s="68"/>
      <c r="M2" s="68"/>
      <c r="N2" s="68"/>
      <c r="O2" s="68"/>
      <c r="P2" s="68"/>
      <c r="Q2" s="68"/>
      <c r="R2" s="68"/>
      <c r="S2" s="68"/>
      <c r="T2" s="68"/>
      <c r="U2" s="68"/>
      <c r="V2" s="69"/>
      <c r="W2" s="69"/>
      <c r="X2" s="69"/>
      <c r="Y2" s="69"/>
      <c r="Z2" s="69"/>
    </row>
    <row r="3" spans="1:27" s="2" customFormat="1" x14ac:dyDescent="0.25">
      <c r="A3"/>
      <c r="B3" s="1"/>
      <c r="C3"/>
      <c r="D3" s="39"/>
      <c r="E3" s="39"/>
      <c r="F3" s="39"/>
      <c r="G3" s="39"/>
      <c r="H3" s="39"/>
      <c r="I3" s="39"/>
      <c r="J3" s="39"/>
      <c r="K3" s="39"/>
      <c r="L3" s="39"/>
      <c r="M3" s="39"/>
      <c r="N3" s="39"/>
      <c r="O3" s="39"/>
      <c r="P3" s="68" t="s">
        <v>35</v>
      </c>
      <c r="Q3" s="68"/>
      <c r="R3" s="68"/>
      <c r="S3" s="68"/>
      <c r="T3" s="68"/>
      <c r="U3" s="39"/>
      <c r="V3" s="40"/>
      <c r="W3" s="40"/>
      <c r="X3" s="40"/>
      <c r="Y3" s="40"/>
      <c r="Z3" s="40"/>
    </row>
    <row r="4" spans="1:27" s="2" customFormat="1" x14ac:dyDescent="0.25">
      <c r="A4" t="s">
        <v>36</v>
      </c>
      <c r="B4" s="1">
        <v>5</v>
      </c>
      <c r="C4" t="s">
        <v>37</v>
      </c>
      <c r="D4" t="s">
        <v>38</v>
      </c>
      <c r="E4" t="s">
        <v>39</v>
      </c>
      <c r="F4" t="s">
        <v>40</v>
      </c>
      <c r="G4" s="70" t="s">
        <v>41</v>
      </c>
      <c r="H4" s="70"/>
      <c r="I4" t="s">
        <v>42</v>
      </c>
      <c r="J4" t="s">
        <v>43</v>
      </c>
      <c r="K4" t="s">
        <v>44</v>
      </c>
      <c r="L4" t="s">
        <v>45</v>
      </c>
      <c r="M4" t="s">
        <v>46</v>
      </c>
      <c r="N4" t="s">
        <v>47</v>
      </c>
      <c r="O4" t="s">
        <v>48</v>
      </c>
      <c r="P4" t="s">
        <v>49</v>
      </c>
      <c r="Q4" t="s">
        <v>50</v>
      </c>
      <c r="R4" t="s">
        <v>51</v>
      </c>
      <c r="S4" t="s">
        <v>52</v>
      </c>
      <c r="T4" t="s">
        <v>53</v>
      </c>
      <c r="U4" t="s">
        <v>42</v>
      </c>
      <c r="V4" t="s">
        <v>54</v>
      </c>
      <c r="W4" t="s">
        <v>55</v>
      </c>
      <c r="X4" s="70" t="s">
        <v>56</v>
      </c>
      <c r="Y4" s="70"/>
      <c r="Z4" t="s">
        <v>42</v>
      </c>
      <c r="AA4" s="2" t="s">
        <v>57</v>
      </c>
    </row>
    <row r="5" spans="1:27" s="3" customFormat="1" x14ac:dyDescent="0.25">
      <c r="B5" s="4"/>
      <c r="C5" s="5">
        <v>41122</v>
      </c>
      <c r="D5" s="3">
        <v>17.8</v>
      </c>
      <c r="E5" s="3">
        <v>14</v>
      </c>
      <c r="F5" s="3">
        <v>22.8</v>
      </c>
      <c r="G5" s="6"/>
      <c r="H5" s="6"/>
      <c r="I5" s="6"/>
      <c r="J5" s="3">
        <v>0.8</v>
      </c>
      <c r="K5" s="6"/>
      <c r="L5" s="3">
        <v>2.6</v>
      </c>
      <c r="M5" s="6"/>
      <c r="N5" s="3">
        <v>-1.8</v>
      </c>
      <c r="O5" s="6">
        <v>0</v>
      </c>
      <c r="T5" s="7"/>
      <c r="V5" s="3">
        <v>1134.2</v>
      </c>
    </row>
    <row r="6" spans="1:27" s="3" customFormat="1" x14ac:dyDescent="0.25">
      <c r="B6" s="4"/>
      <c r="C6" s="5">
        <v>41123</v>
      </c>
      <c r="D6" s="3">
        <v>17.5</v>
      </c>
      <c r="E6" s="3">
        <v>13.9</v>
      </c>
      <c r="F6" s="3">
        <v>21</v>
      </c>
      <c r="G6" s="6"/>
      <c r="H6" s="6"/>
      <c r="I6" s="6"/>
      <c r="J6" s="3">
        <v>0.9</v>
      </c>
      <c r="K6" s="6"/>
      <c r="L6" s="3">
        <v>2.6</v>
      </c>
      <c r="M6" s="6"/>
      <c r="N6" s="3">
        <v>-1.7000000000000002</v>
      </c>
      <c r="O6" s="6">
        <v>0</v>
      </c>
      <c r="T6" s="7"/>
      <c r="V6" s="3">
        <v>1279</v>
      </c>
    </row>
    <row r="7" spans="1:27" s="3" customFormat="1" x14ac:dyDescent="0.25">
      <c r="B7" s="4"/>
      <c r="C7" s="5">
        <v>41124</v>
      </c>
      <c r="D7" s="3">
        <v>18</v>
      </c>
      <c r="E7" s="3">
        <v>13.9</v>
      </c>
      <c r="F7" s="3">
        <v>23</v>
      </c>
      <c r="G7" s="6"/>
      <c r="H7" s="6"/>
      <c r="I7" s="6"/>
      <c r="J7" s="3">
        <v>3.9</v>
      </c>
      <c r="K7" s="6"/>
      <c r="L7" s="3">
        <v>3.4</v>
      </c>
      <c r="M7" s="6"/>
      <c r="N7" s="3">
        <v>0.5</v>
      </c>
      <c r="O7" s="3">
        <f>O6+N7</f>
        <v>0.5</v>
      </c>
      <c r="T7" s="7"/>
      <c r="V7" s="3">
        <v>1806.2</v>
      </c>
    </row>
    <row r="8" spans="1:27" s="3" customFormat="1" x14ac:dyDescent="0.25">
      <c r="B8" s="4"/>
      <c r="C8" s="5">
        <v>41125</v>
      </c>
      <c r="D8" s="3">
        <v>17.100000000000001</v>
      </c>
      <c r="E8" s="3">
        <v>15.1</v>
      </c>
      <c r="F8" s="3">
        <v>19.399999999999999</v>
      </c>
      <c r="G8" s="6"/>
      <c r="H8" s="6"/>
      <c r="I8" s="6"/>
      <c r="J8" s="3">
        <v>4.5999999999999996</v>
      </c>
      <c r="K8" s="6"/>
      <c r="L8" s="3">
        <v>1.9</v>
      </c>
      <c r="M8" s="6"/>
      <c r="N8" s="3">
        <v>2.6999999999999997</v>
      </c>
      <c r="O8" s="3">
        <f t="shared" ref="O8:O28" si="0">O7+N8</f>
        <v>3.1999999999999997</v>
      </c>
      <c r="T8" s="7"/>
      <c r="V8" s="3">
        <v>859</v>
      </c>
    </row>
    <row r="9" spans="1:27" s="3" customFormat="1" x14ac:dyDescent="0.25">
      <c r="B9" s="4"/>
      <c r="C9" s="5">
        <v>41126</v>
      </c>
      <c r="D9" s="3">
        <v>16.7</v>
      </c>
      <c r="E9" s="3">
        <v>13.9</v>
      </c>
      <c r="F9" s="3">
        <v>21</v>
      </c>
      <c r="G9" s="6"/>
      <c r="H9" s="6"/>
      <c r="I9" s="6"/>
      <c r="J9" s="3">
        <v>0.5</v>
      </c>
      <c r="K9" s="6"/>
      <c r="L9" s="3">
        <v>3</v>
      </c>
      <c r="M9" s="6"/>
      <c r="N9" s="3">
        <v>-2.5</v>
      </c>
      <c r="O9" s="3">
        <f t="shared" si="0"/>
        <v>0.69999999999999973</v>
      </c>
      <c r="T9" s="7"/>
      <c r="V9" s="3">
        <v>1473.6</v>
      </c>
    </row>
    <row r="10" spans="1:27" s="3" customFormat="1" x14ac:dyDescent="0.25">
      <c r="B10" s="4"/>
      <c r="C10" s="5">
        <v>41127</v>
      </c>
      <c r="D10" s="3">
        <v>16.5</v>
      </c>
      <c r="E10" s="3">
        <v>13.4</v>
      </c>
      <c r="F10" s="3">
        <v>20.8</v>
      </c>
      <c r="G10" s="6"/>
      <c r="H10" s="6"/>
      <c r="I10" s="6"/>
      <c r="J10" s="3">
        <v>0</v>
      </c>
      <c r="K10" s="6"/>
      <c r="L10" s="3">
        <v>3</v>
      </c>
      <c r="M10" s="6"/>
      <c r="N10" s="3">
        <v>-3</v>
      </c>
      <c r="O10" s="3">
        <v>0</v>
      </c>
      <c r="T10" s="7"/>
      <c r="V10" s="3">
        <v>1430.3</v>
      </c>
    </row>
    <row r="11" spans="1:27" s="3" customFormat="1" x14ac:dyDescent="0.25">
      <c r="B11" s="4"/>
      <c r="C11" s="5">
        <v>41128</v>
      </c>
      <c r="D11" s="3">
        <v>16.899999999999999</v>
      </c>
      <c r="E11" s="3">
        <v>11.9</v>
      </c>
      <c r="F11" s="3">
        <v>21.3</v>
      </c>
      <c r="G11" s="6"/>
      <c r="H11" s="6"/>
      <c r="I11" s="6"/>
      <c r="J11" s="3">
        <v>0</v>
      </c>
      <c r="K11" s="6"/>
      <c r="L11" s="3">
        <v>2.9</v>
      </c>
      <c r="M11" s="6"/>
      <c r="N11" s="3">
        <v>-2.9</v>
      </c>
      <c r="O11" s="3">
        <v>0</v>
      </c>
      <c r="T11" s="7"/>
      <c r="V11" s="3">
        <v>1546.4</v>
      </c>
    </row>
    <row r="12" spans="1:27" s="3" customFormat="1" x14ac:dyDescent="0.25">
      <c r="B12" s="4"/>
      <c r="C12" s="5">
        <v>41129</v>
      </c>
      <c r="D12" s="3">
        <v>19.399999999999999</v>
      </c>
      <c r="E12" s="3">
        <v>12.4</v>
      </c>
      <c r="F12" s="3">
        <v>26.9</v>
      </c>
      <c r="G12" s="6"/>
      <c r="H12" s="6"/>
      <c r="I12" s="6"/>
      <c r="J12" s="3">
        <v>0</v>
      </c>
      <c r="K12" s="6"/>
      <c r="L12" s="3">
        <v>5.2</v>
      </c>
      <c r="M12" s="6"/>
      <c r="N12" s="3">
        <v>-5.2</v>
      </c>
      <c r="O12" s="3">
        <v>0</v>
      </c>
      <c r="T12" s="7"/>
      <c r="V12" s="3">
        <v>2511.8000000000002</v>
      </c>
    </row>
    <row r="13" spans="1:27" s="3" customFormat="1" x14ac:dyDescent="0.25">
      <c r="B13" s="4"/>
      <c r="C13" s="5">
        <v>41130</v>
      </c>
      <c r="D13" s="3">
        <v>21.8</v>
      </c>
      <c r="E13" s="3">
        <v>13.7</v>
      </c>
      <c r="F13" s="3">
        <v>29.8</v>
      </c>
      <c r="G13" s="6"/>
      <c r="H13" s="6"/>
      <c r="I13" s="6"/>
      <c r="J13" s="3">
        <v>0</v>
      </c>
      <c r="K13" s="6"/>
      <c r="L13" s="3">
        <v>5.9</v>
      </c>
      <c r="M13" s="6"/>
      <c r="N13" s="3">
        <v>-5.9</v>
      </c>
      <c r="O13" s="3">
        <v>0</v>
      </c>
      <c r="T13" s="7"/>
      <c r="V13" s="3">
        <v>2708.1</v>
      </c>
    </row>
    <row r="14" spans="1:27" s="3" customFormat="1" x14ac:dyDescent="0.25">
      <c r="B14" s="4"/>
      <c r="C14" s="5">
        <v>41131</v>
      </c>
      <c r="D14" s="3">
        <v>22.4</v>
      </c>
      <c r="E14" s="3">
        <v>17.100000000000001</v>
      </c>
      <c r="F14" s="3">
        <v>29.1</v>
      </c>
      <c r="G14" s="6"/>
      <c r="H14" s="6"/>
      <c r="I14" s="6"/>
      <c r="J14" s="3">
        <v>0</v>
      </c>
      <c r="K14" s="6"/>
      <c r="L14" s="3">
        <v>6.6</v>
      </c>
      <c r="M14" s="6"/>
      <c r="N14" s="3">
        <v>-6.6</v>
      </c>
      <c r="O14" s="3">
        <v>0</v>
      </c>
      <c r="T14" s="7"/>
      <c r="V14" s="3">
        <v>2769.7</v>
      </c>
    </row>
    <row r="15" spans="1:27" s="3" customFormat="1" x14ac:dyDescent="0.25">
      <c r="B15" s="4"/>
      <c r="C15" s="5">
        <v>41132</v>
      </c>
      <c r="D15" s="3">
        <v>22.6</v>
      </c>
      <c r="E15" s="3">
        <v>15.7</v>
      </c>
      <c r="F15" s="3">
        <v>29.3</v>
      </c>
      <c r="G15" s="6"/>
      <c r="H15" s="6"/>
      <c r="I15" s="6"/>
      <c r="J15" s="3">
        <v>0</v>
      </c>
      <c r="K15" s="6"/>
      <c r="L15" s="3">
        <v>5.4</v>
      </c>
      <c r="M15" s="6"/>
      <c r="N15" s="3">
        <v>-5.4</v>
      </c>
      <c r="O15" s="3">
        <v>0</v>
      </c>
      <c r="T15" s="7"/>
      <c r="V15" s="3">
        <v>2401.3000000000002</v>
      </c>
    </row>
    <row r="16" spans="1:27" s="3" customFormat="1" x14ac:dyDescent="0.25">
      <c r="B16" s="4"/>
      <c r="C16" s="5">
        <v>41133</v>
      </c>
      <c r="D16" s="3">
        <v>20</v>
      </c>
      <c r="E16" s="3">
        <v>16.399999999999999</v>
      </c>
      <c r="F16" s="3">
        <v>23.3</v>
      </c>
      <c r="G16" s="6"/>
      <c r="H16" s="6"/>
      <c r="I16" s="6"/>
      <c r="J16" s="3">
        <v>0.1</v>
      </c>
      <c r="K16" s="6"/>
      <c r="L16" s="3">
        <v>3.5</v>
      </c>
      <c r="M16" s="6"/>
      <c r="N16" s="3">
        <v>-3.4</v>
      </c>
      <c r="O16" s="3">
        <v>0</v>
      </c>
      <c r="T16" s="7"/>
      <c r="V16" s="3">
        <v>1621.6</v>
      </c>
    </row>
    <row r="17" spans="2:22" s="3" customFormat="1" x14ac:dyDescent="0.25">
      <c r="B17" s="4"/>
      <c r="C17" s="5">
        <v>41134</v>
      </c>
      <c r="D17" s="3">
        <v>19</v>
      </c>
      <c r="E17" s="3">
        <v>16.5</v>
      </c>
      <c r="F17" s="3">
        <v>22.4</v>
      </c>
      <c r="G17" s="6"/>
      <c r="H17" s="6"/>
      <c r="I17" s="6"/>
      <c r="J17" s="3">
        <v>5.0999999999999996</v>
      </c>
      <c r="K17" s="6"/>
      <c r="L17" s="3">
        <v>1.4</v>
      </c>
      <c r="M17" s="6"/>
      <c r="N17" s="3">
        <v>3.6999999999999997</v>
      </c>
      <c r="O17" s="3">
        <f t="shared" si="0"/>
        <v>3.6999999999999997</v>
      </c>
      <c r="T17" s="7"/>
      <c r="V17" s="3">
        <v>575.5</v>
      </c>
    </row>
    <row r="18" spans="2:22" s="3" customFormat="1" x14ac:dyDescent="0.25">
      <c r="B18" s="4"/>
      <c r="C18" s="5">
        <v>41135</v>
      </c>
      <c r="D18" s="3">
        <v>20.399999999999999</v>
      </c>
      <c r="E18" s="3">
        <v>17.2</v>
      </c>
      <c r="F18" s="3">
        <v>23.4</v>
      </c>
      <c r="G18" s="6"/>
      <c r="H18" s="6"/>
      <c r="I18" s="6"/>
      <c r="J18" s="3">
        <v>2.9</v>
      </c>
      <c r="K18" s="6"/>
      <c r="L18" s="3">
        <v>1.2</v>
      </c>
      <c r="M18" s="6"/>
      <c r="N18" s="3">
        <v>1.7</v>
      </c>
      <c r="O18" s="3">
        <f t="shared" si="0"/>
        <v>5.3999999999999995</v>
      </c>
      <c r="T18" s="7"/>
      <c r="V18" s="3">
        <v>502</v>
      </c>
    </row>
    <row r="19" spans="2:22" s="3" customFormat="1" x14ac:dyDescent="0.25">
      <c r="B19" s="4"/>
      <c r="C19" s="5">
        <v>41136</v>
      </c>
      <c r="D19" s="3">
        <v>19.2</v>
      </c>
      <c r="E19" s="3">
        <v>18.5</v>
      </c>
      <c r="F19" s="3">
        <v>21.5</v>
      </c>
      <c r="G19" s="6"/>
      <c r="H19" s="6"/>
      <c r="I19" s="6"/>
      <c r="J19" s="3">
        <v>0</v>
      </c>
      <c r="K19" s="6"/>
      <c r="L19" s="3">
        <v>2.2999999999999998</v>
      </c>
      <c r="M19" s="6"/>
      <c r="N19" s="3">
        <v>-2.2999999999999998</v>
      </c>
      <c r="O19" s="3">
        <f t="shared" si="0"/>
        <v>3.0999999999999996</v>
      </c>
      <c r="T19" s="7"/>
      <c r="V19" s="3">
        <v>682.1</v>
      </c>
    </row>
    <row r="20" spans="2:22" s="3" customFormat="1" x14ac:dyDescent="0.25">
      <c r="B20" s="4"/>
      <c r="C20" s="5">
        <v>41137</v>
      </c>
      <c r="D20" s="3">
        <v>19.899999999999999</v>
      </c>
      <c r="E20" s="3">
        <v>15.3</v>
      </c>
      <c r="F20" s="3">
        <v>23.8</v>
      </c>
      <c r="G20" s="6"/>
      <c r="H20" s="6"/>
      <c r="I20" s="6"/>
      <c r="J20" s="3">
        <v>0</v>
      </c>
      <c r="K20" s="6"/>
      <c r="L20" s="3">
        <v>1.8</v>
      </c>
      <c r="M20" s="6"/>
      <c r="N20" s="3">
        <v>-1.8</v>
      </c>
      <c r="O20" s="3">
        <f t="shared" si="0"/>
        <v>1.2999999999999996</v>
      </c>
      <c r="T20" s="7"/>
      <c r="V20" s="3">
        <v>725.2</v>
      </c>
    </row>
    <row r="21" spans="2:22" s="3" customFormat="1" x14ac:dyDescent="0.25">
      <c r="B21" s="4"/>
      <c r="C21" s="5">
        <v>41138</v>
      </c>
      <c r="D21" s="3">
        <v>23.6</v>
      </c>
      <c r="E21" s="3">
        <v>16.7</v>
      </c>
      <c r="F21" s="3">
        <v>31.8</v>
      </c>
      <c r="G21" s="6"/>
      <c r="H21" s="6"/>
      <c r="I21" s="6"/>
      <c r="J21" s="3">
        <v>0</v>
      </c>
      <c r="K21" s="6"/>
      <c r="L21" s="3">
        <v>6</v>
      </c>
      <c r="M21" s="6"/>
      <c r="N21" s="3">
        <v>-6</v>
      </c>
      <c r="O21" s="3">
        <v>0</v>
      </c>
      <c r="T21" s="7"/>
      <c r="V21" s="3">
        <v>2230.6</v>
      </c>
    </row>
    <row r="22" spans="2:22" s="3" customFormat="1" x14ac:dyDescent="0.25">
      <c r="B22" s="4"/>
      <c r="C22" s="5">
        <v>41139</v>
      </c>
      <c r="D22" s="3">
        <v>22.4</v>
      </c>
      <c r="E22" s="3">
        <v>15.4</v>
      </c>
      <c r="F22" s="3">
        <v>31</v>
      </c>
      <c r="G22" s="6"/>
      <c r="H22" s="6"/>
      <c r="I22" s="6"/>
      <c r="J22" s="3">
        <v>0</v>
      </c>
      <c r="K22" s="6"/>
      <c r="L22" s="3">
        <v>6.1</v>
      </c>
      <c r="M22" s="6"/>
      <c r="N22" s="3">
        <v>-6.1</v>
      </c>
      <c r="O22" s="3">
        <v>0</v>
      </c>
      <c r="T22" s="7"/>
      <c r="V22" s="3">
        <v>2503</v>
      </c>
    </row>
    <row r="23" spans="2:22" s="3" customFormat="1" x14ac:dyDescent="0.25">
      <c r="B23" s="4"/>
      <c r="C23" s="5">
        <v>41140</v>
      </c>
      <c r="D23" s="3">
        <v>21.3</v>
      </c>
      <c r="E23" s="3">
        <v>16.7</v>
      </c>
      <c r="F23" s="3">
        <v>27.4</v>
      </c>
      <c r="G23" s="6"/>
      <c r="H23" s="6"/>
      <c r="I23" s="6"/>
      <c r="J23" s="3">
        <v>0</v>
      </c>
      <c r="K23" s="6"/>
      <c r="L23" s="3">
        <v>3.6</v>
      </c>
      <c r="M23" s="6"/>
      <c r="N23" s="3">
        <v>-3.6</v>
      </c>
      <c r="O23" s="3">
        <v>0</v>
      </c>
      <c r="T23" s="7"/>
      <c r="V23" s="3">
        <v>1808.1</v>
      </c>
    </row>
    <row r="24" spans="2:22" s="3" customFormat="1" x14ac:dyDescent="0.25">
      <c r="B24" s="4"/>
      <c r="C24" s="5">
        <v>41141</v>
      </c>
      <c r="D24" s="3">
        <v>20.6</v>
      </c>
      <c r="E24" s="3">
        <v>16.600000000000001</v>
      </c>
      <c r="F24" s="3">
        <v>25.6</v>
      </c>
      <c r="G24" s="6"/>
      <c r="H24" s="6"/>
      <c r="I24" s="6"/>
      <c r="J24" s="3">
        <v>0</v>
      </c>
      <c r="K24" s="6"/>
      <c r="L24" s="3">
        <v>2.2000000000000002</v>
      </c>
      <c r="M24" s="6"/>
      <c r="N24" s="3">
        <v>-2.2000000000000002</v>
      </c>
      <c r="O24" s="3">
        <v>0</v>
      </c>
      <c r="T24" s="7"/>
      <c r="V24" s="3">
        <v>1163.9000000000001</v>
      </c>
    </row>
    <row r="25" spans="2:22" s="3" customFormat="1" x14ac:dyDescent="0.25">
      <c r="B25" s="4"/>
      <c r="C25" s="5">
        <v>41142</v>
      </c>
      <c r="D25" s="3">
        <v>18.8</v>
      </c>
      <c r="E25" s="3">
        <v>16.3</v>
      </c>
      <c r="F25" s="3">
        <v>24.5</v>
      </c>
      <c r="G25" s="6"/>
      <c r="H25" s="6"/>
      <c r="I25" s="6"/>
      <c r="J25" s="3">
        <v>0</v>
      </c>
      <c r="K25" s="6"/>
      <c r="L25" s="3">
        <v>3.4</v>
      </c>
      <c r="M25" s="6"/>
      <c r="N25" s="3">
        <v>-3.4</v>
      </c>
      <c r="O25" s="3">
        <v>0</v>
      </c>
      <c r="T25" s="7"/>
      <c r="V25" s="3">
        <v>1589.1</v>
      </c>
    </row>
    <row r="26" spans="2:22" s="3" customFormat="1" x14ac:dyDescent="0.25">
      <c r="B26" s="4"/>
      <c r="C26" s="5">
        <v>41143</v>
      </c>
      <c r="D26" s="3">
        <v>16.600000000000001</v>
      </c>
      <c r="E26" s="3">
        <v>11.4</v>
      </c>
      <c r="F26" s="3">
        <v>23.2</v>
      </c>
      <c r="G26" s="6"/>
      <c r="H26" s="6"/>
      <c r="I26" s="6"/>
      <c r="J26" s="3">
        <v>0</v>
      </c>
      <c r="K26" s="6"/>
      <c r="L26" s="3">
        <v>3.8</v>
      </c>
      <c r="M26" s="6"/>
      <c r="N26" s="3">
        <v>-3.8</v>
      </c>
      <c r="O26" s="3">
        <v>0</v>
      </c>
      <c r="T26" s="7"/>
      <c r="V26" s="3">
        <v>1816.4</v>
      </c>
    </row>
    <row r="27" spans="2:22" s="3" customFormat="1" x14ac:dyDescent="0.25">
      <c r="B27" s="4"/>
      <c r="C27" s="5">
        <v>41144</v>
      </c>
      <c r="D27" s="3">
        <v>17</v>
      </c>
      <c r="E27" s="3">
        <v>10.5</v>
      </c>
      <c r="F27" s="3">
        <v>23.6</v>
      </c>
      <c r="G27" s="6"/>
      <c r="H27" s="6"/>
      <c r="I27" s="6"/>
      <c r="J27" s="3">
        <v>0</v>
      </c>
      <c r="K27" s="6"/>
      <c r="L27" s="3">
        <v>3.6</v>
      </c>
      <c r="M27" s="6"/>
      <c r="N27" s="3">
        <v>-3.6</v>
      </c>
      <c r="O27" s="3">
        <v>0</v>
      </c>
      <c r="T27" s="7"/>
      <c r="V27" s="3">
        <v>1841.9</v>
      </c>
    </row>
    <row r="28" spans="2:22" s="3" customFormat="1" x14ac:dyDescent="0.25">
      <c r="B28" s="4"/>
      <c r="C28" s="5">
        <v>41145</v>
      </c>
      <c r="D28" s="3">
        <v>16.8</v>
      </c>
      <c r="E28" s="3">
        <v>13.7</v>
      </c>
      <c r="F28" s="3">
        <v>20.3</v>
      </c>
      <c r="G28" s="6"/>
      <c r="H28" s="6"/>
      <c r="I28" s="6"/>
      <c r="J28" s="3">
        <v>2.2999999999999998</v>
      </c>
      <c r="K28" s="6"/>
      <c r="L28" s="3">
        <v>1.7</v>
      </c>
      <c r="M28" s="6"/>
      <c r="N28" s="3">
        <v>0.59999999999999987</v>
      </c>
      <c r="O28" s="3">
        <f t="shared" si="0"/>
        <v>0.59999999999999987</v>
      </c>
      <c r="T28" s="7"/>
      <c r="V28" s="3">
        <v>817.7</v>
      </c>
    </row>
    <row r="29" spans="2:22" s="3" customFormat="1" x14ac:dyDescent="0.25">
      <c r="B29" s="4"/>
      <c r="C29" s="5">
        <v>41146</v>
      </c>
      <c r="D29" s="3">
        <v>17</v>
      </c>
      <c r="E29" s="3">
        <v>15.4</v>
      </c>
      <c r="F29" s="3">
        <v>20.5</v>
      </c>
      <c r="G29" s="6"/>
      <c r="H29" s="6"/>
      <c r="I29" s="6"/>
      <c r="J29" s="3">
        <v>0.7</v>
      </c>
      <c r="K29" s="6"/>
      <c r="L29" s="3">
        <v>3</v>
      </c>
      <c r="M29" s="6"/>
      <c r="N29" s="3">
        <v>-2.2999999999999998</v>
      </c>
      <c r="O29" s="3">
        <v>0</v>
      </c>
      <c r="T29" s="7"/>
      <c r="V29" s="3">
        <v>1460.2</v>
      </c>
    </row>
    <row r="30" spans="2:22" s="3" customFormat="1" x14ac:dyDescent="0.25">
      <c r="B30" s="4"/>
      <c r="C30" s="5">
        <v>41147</v>
      </c>
      <c r="D30" s="3">
        <v>17.399999999999999</v>
      </c>
      <c r="E30" s="3">
        <v>12.3</v>
      </c>
      <c r="F30" s="3">
        <v>22.4</v>
      </c>
      <c r="G30" s="6"/>
      <c r="H30" s="6"/>
      <c r="I30" s="6"/>
      <c r="J30" s="3">
        <v>0</v>
      </c>
      <c r="K30" s="6"/>
      <c r="L30" s="3">
        <v>2.9</v>
      </c>
      <c r="M30" s="6"/>
      <c r="N30" s="3">
        <v>-2.9</v>
      </c>
      <c r="O30" s="3">
        <v>0</v>
      </c>
      <c r="T30" s="7"/>
      <c r="V30" s="3">
        <v>1338.7</v>
      </c>
    </row>
    <row r="31" spans="2:22" s="3" customFormat="1" x14ac:dyDescent="0.25">
      <c r="B31" s="4"/>
      <c r="C31" s="5">
        <v>41148</v>
      </c>
      <c r="D31" s="3">
        <v>19.8</v>
      </c>
      <c r="E31" s="3">
        <v>13.8</v>
      </c>
      <c r="F31" s="3">
        <v>27.2</v>
      </c>
      <c r="G31" s="6"/>
      <c r="H31" s="6"/>
      <c r="I31" s="6"/>
      <c r="J31" s="3">
        <v>0</v>
      </c>
      <c r="K31" s="6"/>
      <c r="L31" s="3">
        <v>4.3</v>
      </c>
      <c r="M31" s="6"/>
      <c r="N31" s="3">
        <v>-4.3</v>
      </c>
      <c r="O31" s="3">
        <v>0</v>
      </c>
      <c r="T31" s="7"/>
      <c r="V31" s="3">
        <v>1501.9</v>
      </c>
    </row>
    <row r="32" spans="2:22" s="3" customFormat="1" x14ac:dyDescent="0.25">
      <c r="B32" s="4"/>
      <c r="C32" s="5">
        <v>41149</v>
      </c>
      <c r="D32" s="3">
        <v>18.2</v>
      </c>
      <c r="E32" s="3">
        <v>13.8</v>
      </c>
      <c r="F32" s="3">
        <v>22.7</v>
      </c>
      <c r="G32" s="6"/>
      <c r="H32" s="6"/>
      <c r="I32" s="6"/>
      <c r="J32" s="3">
        <v>0.1</v>
      </c>
      <c r="K32" s="6"/>
      <c r="L32" s="3">
        <v>3.7</v>
      </c>
      <c r="M32" s="6"/>
      <c r="N32" s="3">
        <v>-3.6</v>
      </c>
      <c r="O32" s="3">
        <v>0</v>
      </c>
      <c r="T32" s="7"/>
      <c r="V32" s="3">
        <v>1844.6</v>
      </c>
    </row>
    <row r="33" spans="1:27" s="3" customFormat="1" x14ac:dyDescent="0.25">
      <c r="B33" s="4"/>
      <c r="C33" s="5">
        <v>41150</v>
      </c>
      <c r="D33" s="3">
        <v>16.7</v>
      </c>
      <c r="E33" s="3">
        <v>14.1</v>
      </c>
      <c r="F33" s="3">
        <v>22.2</v>
      </c>
      <c r="G33" s="6"/>
      <c r="H33" s="6"/>
      <c r="I33" s="6"/>
      <c r="J33" s="3">
        <v>0.2</v>
      </c>
      <c r="K33" s="6"/>
      <c r="L33" s="3">
        <v>3.3</v>
      </c>
      <c r="M33" s="6"/>
      <c r="N33" s="3">
        <v>-3.0999999999999996</v>
      </c>
      <c r="O33" s="3">
        <v>0</v>
      </c>
      <c r="T33" s="7"/>
      <c r="V33" s="3">
        <v>1340.7</v>
      </c>
    </row>
    <row r="34" spans="1:27" s="3" customFormat="1" x14ac:dyDescent="0.25">
      <c r="B34" s="4"/>
      <c r="C34" s="5">
        <v>41151</v>
      </c>
      <c r="D34" s="3">
        <v>15.2</v>
      </c>
      <c r="E34" s="3">
        <v>13.6</v>
      </c>
      <c r="F34" s="3">
        <v>19.899999999999999</v>
      </c>
      <c r="G34" s="6"/>
      <c r="H34" s="6"/>
      <c r="I34" s="6"/>
      <c r="J34" s="3">
        <v>0.6</v>
      </c>
      <c r="K34" s="6"/>
      <c r="L34" s="3">
        <v>3.2</v>
      </c>
      <c r="M34" s="6"/>
      <c r="N34" s="3">
        <v>-2.6</v>
      </c>
      <c r="O34" s="3">
        <v>0</v>
      </c>
      <c r="T34" s="7"/>
      <c r="V34" s="3">
        <v>1460.5</v>
      </c>
    </row>
    <row r="35" spans="1:27" s="3" customFormat="1" x14ac:dyDescent="0.25">
      <c r="B35" s="4"/>
      <c r="C35" s="5">
        <v>41152</v>
      </c>
      <c r="D35" s="3">
        <v>13.7</v>
      </c>
      <c r="E35" s="3">
        <v>9.6999999999999993</v>
      </c>
      <c r="F35" s="3">
        <v>18.2</v>
      </c>
      <c r="G35" s="6"/>
      <c r="H35" s="6"/>
      <c r="I35" s="6"/>
      <c r="J35" s="3">
        <v>0</v>
      </c>
      <c r="K35" s="6"/>
      <c r="L35" s="3">
        <v>2.8</v>
      </c>
      <c r="M35" s="6"/>
      <c r="N35" s="3">
        <v>-2.8</v>
      </c>
      <c r="O35" s="3">
        <v>0</v>
      </c>
      <c r="T35" s="7"/>
      <c r="V35" s="3">
        <v>1343.2</v>
      </c>
    </row>
    <row r="36" spans="1:27" s="3" customFormat="1" x14ac:dyDescent="0.25">
      <c r="B36" s="4"/>
      <c r="C36" s="5">
        <v>41153</v>
      </c>
      <c r="D36" s="3">
        <v>14.7</v>
      </c>
      <c r="E36" s="3">
        <v>11.3</v>
      </c>
      <c r="F36" s="3">
        <v>17.5</v>
      </c>
      <c r="G36" s="6"/>
      <c r="H36" s="6"/>
      <c r="I36" s="6"/>
      <c r="J36" s="3">
        <v>0</v>
      </c>
      <c r="K36" s="6"/>
      <c r="L36" s="3">
        <v>0.9</v>
      </c>
      <c r="M36" s="6"/>
      <c r="N36" s="3">
        <v>-0.9</v>
      </c>
      <c r="O36" s="3">
        <v>0</v>
      </c>
      <c r="T36" s="7"/>
      <c r="V36" s="3">
        <v>639.4</v>
      </c>
    </row>
    <row r="37" spans="1:27" s="3" customFormat="1" x14ac:dyDescent="0.25">
      <c r="B37" s="4"/>
      <c r="C37" s="5">
        <v>41154</v>
      </c>
      <c r="D37" s="3">
        <v>15.5</v>
      </c>
      <c r="E37" s="3">
        <v>10.5</v>
      </c>
      <c r="F37" s="3">
        <v>20.7</v>
      </c>
      <c r="G37" s="6"/>
      <c r="H37" s="6"/>
      <c r="I37" s="6"/>
      <c r="J37" s="3">
        <v>0.2</v>
      </c>
      <c r="K37" s="6"/>
      <c r="L37" s="3">
        <v>3</v>
      </c>
      <c r="M37" s="6"/>
      <c r="N37" s="3">
        <v>-2.8</v>
      </c>
      <c r="O37" s="3">
        <v>0</v>
      </c>
      <c r="T37" s="7"/>
      <c r="V37" s="3">
        <v>1625.9</v>
      </c>
    </row>
    <row r="38" spans="1:27" s="3" customFormat="1" x14ac:dyDescent="0.25">
      <c r="B38" s="4"/>
      <c r="C38" s="5">
        <v>41155</v>
      </c>
      <c r="D38" s="3">
        <v>16.399999999999999</v>
      </c>
      <c r="E38" s="3">
        <v>12.2</v>
      </c>
      <c r="F38" s="3">
        <v>19.3</v>
      </c>
      <c r="G38" s="6"/>
      <c r="H38" s="6"/>
      <c r="I38" s="6"/>
      <c r="J38" s="3">
        <v>0.2</v>
      </c>
      <c r="K38" s="6"/>
      <c r="L38" s="3">
        <v>1</v>
      </c>
      <c r="M38" s="6"/>
      <c r="N38" s="3">
        <v>-0.8</v>
      </c>
      <c r="O38" s="3">
        <v>0</v>
      </c>
      <c r="T38" s="7"/>
      <c r="V38" s="3">
        <v>578.4</v>
      </c>
    </row>
    <row r="39" spans="1:27" s="3" customFormat="1" x14ac:dyDescent="0.25">
      <c r="B39" s="4"/>
      <c r="C39" s="5">
        <v>41156</v>
      </c>
      <c r="D39" s="3">
        <v>17.5</v>
      </c>
      <c r="E39" s="3">
        <v>13.7</v>
      </c>
      <c r="F39" s="3">
        <v>21.3</v>
      </c>
      <c r="G39" s="6"/>
      <c r="H39" s="6"/>
      <c r="I39" s="6"/>
      <c r="J39" s="3">
        <v>0</v>
      </c>
      <c r="K39" s="6"/>
      <c r="L39" s="3">
        <v>1.8</v>
      </c>
      <c r="M39" s="6"/>
      <c r="N39" s="3">
        <v>-1.8</v>
      </c>
      <c r="O39" s="3">
        <v>0</v>
      </c>
      <c r="T39" s="7">
        <v>0</v>
      </c>
      <c r="V39" s="3">
        <v>957.5</v>
      </c>
    </row>
    <row r="40" spans="1:27" s="3" customFormat="1" x14ac:dyDescent="0.25">
      <c r="A40" s="71" t="s">
        <v>0</v>
      </c>
      <c r="B40" s="71"/>
      <c r="C40" s="71"/>
      <c r="D40" s="71"/>
      <c r="E40" s="71"/>
      <c r="F40" s="71"/>
      <c r="G40" s="71"/>
      <c r="H40" s="71"/>
      <c r="I40" s="71"/>
      <c r="J40" s="71"/>
      <c r="K40" s="71"/>
      <c r="L40" s="71"/>
      <c r="M40" s="71"/>
      <c r="N40" s="71"/>
      <c r="O40" s="71"/>
      <c r="P40" s="71"/>
      <c r="Q40" s="71"/>
      <c r="R40" s="71"/>
      <c r="S40" s="71"/>
      <c r="T40" s="71"/>
      <c r="U40" s="71"/>
      <c r="V40" s="71"/>
      <c r="W40" s="71"/>
      <c r="X40" s="71"/>
      <c r="Y40" s="71"/>
      <c r="Z40" s="71"/>
    </row>
    <row r="41" spans="1:27" s="3" customFormat="1" x14ac:dyDescent="0.25">
      <c r="A41" s="72" t="s">
        <v>1</v>
      </c>
      <c r="B41" s="8"/>
      <c r="C41" s="9">
        <v>41157</v>
      </c>
      <c r="D41" s="3">
        <v>17.600000000000001</v>
      </c>
      <c r="E41" s="3">
        <v>15.6</v>
      </c>
      <c r="F41" s="3">
        <v>23</v>
      </c>
      <c r="G41" s="3">
        <f>17.6</f>
        <v>17.600000000000001</v>
      </c>
      <c r="I41" s="10" t="s">
        <v>2</v>
      </c>
      <c r="J41" s="3">
        <v>0</v>
      </c>
      <c r="K41" s="3">
        <f>J41</f>
        <v>0</v>
      </c>
      <c r="L41" s="3">
        <v>2.5</v>
      </c>
      <c r="M41" s="3">
        <f>L41</f>
        <v>2.5</v>
      </c>
      <c r="N41" s="3">
        <v>-2.5</v>
      </c>
      <c r="O41" s="3">
        <v>0</v>
      </c>
      <c r="P41" s="3">
        <v>1</v>
      </c>
      <c r="Q41" s="3">
        <v>0.35</v>
      </c>
      <c r="R41" s="7">
        <f t="shared" ref="R41:R104" si="1">Q41*L41</f>
        <v>0.875</v>
      </c>
      <c r="S41" s="7">
        <f t="shared" ref="S41:S104" si="2">J41-R41</f>
        <v>-0.875</v>
      </c>
      <c r="T41" s="7">
        <v>0</v>
      </c>
      <c r="U41" s="10" t="s">
        <v>3</v>
      </c>
      <c r="V41" s="3">
        <v>1003.5</v>
      </c>
      <c r="X41" s="3">
        <f>V41</f>
        <v>1003.5</v>
      </c>
      <c r="Z41" s="10" t="s">
        <v>4</v>
      </c>
      <c r="AA41" s="3">
        <v>13.239406444861901</v>
      </c>
    </row>
    <row r="42" spans="1:27" s="3" customFormat="1" x14ac:dyDescent="0.25">
      <c r="A42" s="72"/>
      <c r="B42" s="8"/>
      <c r="C42" s="9">
        <v>41158</v>
      </c>
      <c r="D42" s="3">
        <v>15.8</v>
      </c>
      <c r="E42" s="3">
        <v>9.6</v>
      </c>
      <c r="F42" s="3">
        <v>23.6</v>
      </c>
      <c r="G42" s="3">
        <f>G41+D42</f>
        <v>33.400000000000006</v>
      </c>
      <c r="I42" s="3">
        <f>MIN(E41:E170)</f>
        <v>-3.7</v>
      </c>
      <c r="J42" s="3">
        <v>0</v>
      </c>
      <c r="K42" s="3">
        <f>J42+K41</f>
        <v>0</v>
      </c>
      <c r="L42" s="3">
        <v>4.3</v>
      </c>
      <c r="M42" s="3">
        <f>M41+L42</f>
        <v>6.8</v>
      </c>
      <c r="N42" s="3">
        <v>-4.3</v>
      </c>
      <c r="O42" s="3">
        <v>0</v>
      </c>
      <c r="P42" s="3">
        <v>2</v>
      </c>
      <c r="Q42" s="3">
        <v>0.35</v>
      </c>
      <c r="R42" s="7">
        <f t="shared" si="1"/>
        <v>1.5049999999999999</v>
      </c>
      <c r="S42" s="7">
        <f t="shared" si="2"/>
        <v>-1.5049999999999999</v>
      </c>
      <c r="T42" s="7">
        <v>0</v>
      </c>
      <c r="U42" s="3">
        <v>55</v>
      </c>
      <c r="V42" s="3">
        <v>2183.6</v>
      </c>
      <c r="X42" s="3">
        <f>X41+V42</f>
        <v>3187.1</v>
      </c>
      <c r="Z42" s="3">
        <v>68962.099999999991</v>
      </c>
      <c r="AA42" s="3">
        <v>13.182641166102099</v>
      </c>
    </row>
    <row r="43" spans="1:27" s="3" customFormat="1" x14ac:dyDescent="0.25">
      <c r="A43" s="72"/>
      <c r="B43" s="8"/>
      <c r="C43" s="9">
        <v>41159</v>
      </c>
      <c r="D43" s="3">
        <v>16</v>
      </c>
      <c r="E43" s="3">
        <v>7.2</v>
      </c>
      <c r="F43" s="3">
        <v>26</v>
      </c>
      <c r="G43" s="3">
        <f t="shared" ref="G43:G106" si="3">G42+D43</f>
        <v>49.400000000000006</v>
      </c>
      <c r="I43" s="10" t="s">
        <v>5</v>
      </c>
      <c r="J43" s="3">
        <v>0.1</v>
      </c>
      <c r="K43" s="3">
        <f t="shared" ref="K43:K106" si="4">J43+K42</f>
        <v>0.1</v>
      </c>
      <c r="L43" s="3">
        <v>4.3</v>
      </c>
      <c r="M43" s="3">
        <f t="shared" ref="M43:M106" si="5">M42+L43</f>
        <v>11.1</v>
      </c>
      <c r="N43" s="3">
        <v>-4.2</v>
      </c>
      <c r="O43" s="3">
        <v>0</v>
      </c>
      <c r="P43" s="3">
        <v>3</v>
      </c>
      <c r="Q43" s="3">
        <v>0.35</v>
      </c>
      <c r="R43" s="7">
        <f t="shared" si="1"/>
        <v>1.5049999999999999</v>
      </c>
      <c r="S43" s="7">
        <f t="shared" si="2"/>
        <v>-1.4049999999999998</v>
      </c>
      <c r="T43" s="7">
        <v>0</v>
      </c>
      <c r="U43" s="10" t="s">
        <v>6</v>
      </c>
      <c r="V43" s="3">
        <v>2032.4</v>
      </c>
      <c r="X43" s="3">
        <f t="shared" ref="X43:X106" si="6">X42+V43</f>
        <v>5219.5</v>
      </c>
      <c r="Z43" s="10" t="s">
        <v>7</v>
      </c>
      <c r="AA43" s="3">
        <v>13.1257537242615</v>
      </c>
    </row>
    <row r="44" spans="1:27" s="3" customFormat="1" x14ac:dyDescent="0.25">
      <c r="A44" s="72"/>
      <c r="B44" s="8"/>
      <c r="C44" s="9">
        <v>41160</v>
      </c>
      <c r="D44" s="3">
        <v>17.600000000000001</v>
      </c>
      <c r="E44" s="3">
        <v>7.9</v>
      </c>
      <c r="F44" s="3">
        <v>28.4</v>
      </c>
      <c r="G44" s="3">
        <f t="shared" si="3"/>
        <v>67</v>
      </c>
      <c r="I44" s="3">
        <f>MAX(F41:F170)</f>
        <v>28.4</v>
      </c>
      <c r="J44" s="3">
        <v>0</v>
      </c>
      <c r="K44" s="3">
        <f t="shared" si="4"/>
        <v>0.1</v>
      </c>
      <c r="L44" s="3">
        <v>4.9000000000000004</v>
      </c>
      <c r="M44" s="3">
        <f t="shared" si="5"/>
        <v>16</v>
      </c>
      <c r="N44" s="3">
        <v>-4.9000000000000004</v>
      </c>
      <c r="O44" s="3">
        <v>0</v>
      </c>
      <c r="P44" s="3">
        <v>4</v>
      </c>
      <c r="Q44" s="3">
        <v>0.35</v>
      </c>
      <c r="R44" s="7">
        <f t="shared" si="1"/>
        <v>1.7150000000000001</v>
      </c>
      <c r="S44" s="7">
        <f t="shared" si="2"/>
        <v>-1.7150000000000001</v>
      </c>
      <c r="T44" s="7">
        <v>0</v>
      </c>
      <c r="U44" s="3">
        <v>5</v>
      </c>
      <c r="V44" s="3">
        <v>2103</v>
      </c>
      <c r="X44" s="3">
        <f t="shared" si="6"/>
        <v>7322.5</v>
      </c>
      <c r="Z44" s="3">
        <f>(Z42/100)/I54</f>
        <v>0.52070446994865582</v>
      </c>
      <c r="AA44" s="3">
        <v>13.0687515053807</v>
      </c>
    </row>
    <row r="45" spans="1:27" s="3" customFormat="1" x14ac:dyDescent="0.25">
      <c r="A45" s="72"/>
      <c r="B45" s="8"/>
      <c r="C45" s="9">
        <v>41161</v>
      </c>
      <c r="D45" s="3">
        <v>16.600000000000001</v>
      </c>
      <c r="E45" s="3">
        <v>8.5</v>
      </c>
      <c r="F45" s="3">
        <v>25.3</v>
      </c>
      <c r="G45" s="3">
        <f t="shared" si="3"/>
        <v>83.6</v>
      </c>
      <c r="I45" s="10" t="s">
        <v>8</v>
      </c>
      <c r="J45" s="3">
        <v>0</v>
      </c>
      <c r="K45" s="3">
        <f t="shared" si="4"/>
        <v>0.1</v>
      </c>
      <c r="L45" s="3">
        <v>3.5</v>
      </c>
      <c r="M45" s="3">
        <f t="shared" si="5"/>
        <v>19.5</v>
      </c>
      <c r="N45" s="3">
        <v>-3.5</v>
      </c>
      <c r="O45" s="3">
        <v>0</v>
      </c>
      <c r="P45" s="3">
        <v>5</v>
      </c>
      <c r="Q45" s="3">
        <v>0.35</v>
      </c>
      <c r="R45" s="7">
        <f t="shared" si="1"/>
        <v>1.2249999999999999</v>
      </c>
      <c r="S45" s="7">
        <f t="shared" si="2"/>
        <v>-1.2249999999999999</v>
      </c>
      <c r="T45" s="7">
        <v>0</v>
      </c>
      <c r="U45" s="10" t="s">
        <v>9</v>
      </c>
      <c r="V45" s="3">
        <v>1827.4</v>
      </c>
      <c r="X45" s="3">
        <f t="shared" si="6"/>
        <v>9149.9</v>
      </c>
      <c r="Z45" s="10" t="s">
        <v>10</v>
      </c>
      <c r="AA45" s="3">
        <v>13.0116416538983</v>
      </c>
    </row>
    <row r="46" spans="1:27" s="3" customFormat="1" x14ac:dyDescent="0.25">
      <c r="A46" s="72"/>
      <c r="B46" s="8"/>
      <c r="C46" s="9">
        <v>41162</v>
      </c>
      <c r="D46" s="3">
        <v>18.600000000000001</v>
      </c>
      <c r="E46" s="3">
        <v>14.7</v>
      </c>
      <c r="F46" s="3">
        <v>23.6</v>
      </c>
      <c r="G46" s="3">
        <f t="shared" si="3"/>
        <v>102.19999999999999</v>
      </c>
      <c r="I46" s="7">
        <f>AVERAGE(D41:D170)</f>
        <v>10.177692307692299</v>
      </c>
      <c r="J46" s="3">
        <v>3.4</v>
      </c>
      <c r="K46" s="3">
        <f t="shared" si="4"/>
        <v>3.5</v>
      </c>
      <c r="L46" s="3">
        <v>1.8</v>
      </c>
      <c r="M46" s="3">
        <f t="shared" si="5"/>
        <v>21.3</v>
      </c>
      <c r="N46" s="3">
        <v>1.5999999999999999</v>
      </c>
      <c r="O46" s="3">
        <f t="shared" ref="O46:O51" si="7">O45+N46</f>
        <v>1.5999999999999999</v>
      </c>
      <c r="P46" s="3">
        <v>6</v>
      </c>
      <c r="Q46" s="3">
        <v>0.35</v>
      </c>
      <c r="R46" s="7">
        <f t="shared" si="1"/>
        <v>0.63</v>
      </c>
      <c r="S46" s="7">
        <f t="shared" si="2"/>
        <v>2.77</v>
      </c>
      <c r="T46" s="7">
        <f t="shared" ref="T46:T109" si="8">MIN(197.4,T45+S46)</f>
        <v>2.77</v>
      </c>
      <c r="U46" s="3">
        <v>26</v>
      </c>
      <c r="V46" s="3">
        <v>687.3</v>
      </c>
      <c r="X46" s="3">
        <f t="shared" si="6"/>
        <v>9837.1999999999989</v>
      </c>
      <c r="Z46" s="3">
        <v>111</v>
      </c>
      <c r="AA46" s="3">
        <v>12.9544310880942</v>
      </c>
    </row>
    <row r="47" spans="1:27" s="3" customFormat="1" x14ac:dyDescent="0.25">
      <c r="A47" s="72"/>
      <c r="B47" s="8"/>
      <c r="C47" s="9">
        <v>41163</v>
      </c>
      <c r="D47" s="3">
        <v>15.8</v>
      </c>
      <c r="E47" s="3">
        <v>15.1</v>
      </c>
      <c r="F47" s="3">
        <v>18.8</v>
      </c>
      <c r="G47" s="3">
        <f t="shared" si="3"/>
        <v>117.99999999999999</v>
      </c>
      <c r="I47" s="10" t="s">
        <v>11</v>
      </c>
      <c r="J47" s="3">
        <v>8</v>
      </c>
      <c r="K47" s="3">
        <f t="shared" si="4"/>
        <v>11.5</v>
      </c>
      <c r="L47" s="3">
        <v>1.5</v>
      </c>
      <c r="M47" s="3">
        <f t="shared" si="5"/>
        <v>22.8</v>
      </c>
      <c r="N47" s="3">
        <v>6.5</v>
      </c>
      <c r="O47" s="3">
        <f>O46+N47</f>
        <v>8.1</v>
      </c>
      <c r="P47" s="3">
        <v>7</v>
      </c>
      <c r="Q47" s="3">
        <v>0.35</v>
      </c>
      <c r="R47" s="7">
        <f t="shared" si="1"/>
        <v>0.52499999999999991</v>
      </c>
      <c r="S47" s="7">
        <f t="shared" si="2"/>
        <v>7.4749999999999996</v>
      </c>
      <c r="T47" s="7">
        <f t="shared" si="8"/>
        <v>10.244999999999999</v>
      </c>
      <c r="U47" s="10" t="s">
        <v>12</v>
      </c>
      <c r="V47" s="3">
        <v>546.70000000000005</v>
      </c>
      <c r="X47" s="3">
        <f t="shared" si="6"/>
        <v>10383.9</v>
      </c>
      <c r="AA47" s="3">
        <v>12.8971265156125</v>
      </c>
    </row>
    <row r="48" spans="1:27" s="3" customFormat="1" x14ac:dyDescent="0.25">
      <c r="A48" s="72"/>
      <c r="B48" s="8"/>
      <c r="C48" s="9">
        <v>41164</v>
      </c>
      <c r="D48" s="3">
        <v>14.8</v>
      </c>
      <c r="E48" s="3">
        <v>11.8</v>
      </c>
      <c r="F48" s="3">
        <v>19.100000000000001</v>
      </c>
      <c r="G48" s="3">
        <f t="shared" si="3"/>
        <v>132.79999999999998</v>
      </c>
      <c r="I48" s="3">
        <v>6</v>
      </c>
      <c r="J48" s="3">
        <v>1</v>
      </c>
      <c r="K48" s="3">
        <f t="shared" si="4"/>
        <v>12.5</v>
      </c>
      <c r="L48" s="3">
        <v>1.5</v>
      </c>
      <c r="M48" s="3">
        <f t="shared" si="5"/>
        <v>24.3</v>
      </c>
      <c r="N48" s="3">
        <v>-0.5</v>
      </c>
      <c r="O48" s="3">
        <f t="shared" si="7"/>
        <v>7.6</v>
      </c>
      <c r="P48" s="3">
        <v>8</v>
      </c>
      <c r="Q48" s="3">
        <v>0.35</v>
      </c>
      <c r="R48" s="7">
        <f t="shared" si="1"/>
        <v>0.52499999999999991</v>
      </c>
      <c r="S48" s="7">
        <f t="shared" si="2"/>
        <v>0.47500000000000009</v>
      </c>
      <c r="T48" s="7">
        <f t="shared" si="8"/>
        <v>10.719999999999999</v>
      </c>
      <c r="U48" s="7">
        <v>0</v>
      </c>
      <c r="V48" s="3">
        <v>543.79999999999995</v>
      </c>
      <c r="X48" s="3">
        <f t="shared" si="6"/>
        <v>10927.699999999999</v>
      </c>
      <c r="AA48" s="3">
        <v>12.8397344490566</v>
      </c>
    </row>
    <row r="49" spans="1:27" s="3" customFormat="1" x14ac:dyDescent="0.25">
      <c r="A49" s="72"/>
      <c r="B49" s="8"/>
      <c r="C49" s="9">
        <v>41165</v>
      </c>
      <c r="D49" s="3">
        <v>14</v>
      </c>
      <c r="E49" s="3">
        <v>11</v>
      </c>
      <c r="F49" s="3">
        <v>18</v>
      </c>
      <c r="G49" s="3">
        <f t="shared" si="3"/>
        <v>146.79999999999998</v>
      </c>
      <c r="I49" s="10" t="s">
        <v>13</v>
      </c>
      <c r="J49" s="3">
        <v>0</v>
      </c>
      <c r="K49" s="3">
        <f t="shared" si="4"/>
        <v>12.5</v>
      </c>
      <c r="L49" s="3">
        <v>3.4</v>
      </c>
      <c r="M49" s="3">
        <f t="shared" si="5"/>
        <v>27.7</v>
      </c>
      <c r="N49" s="3">
        <v>-3.4</v>
      </c>
      <c r="O49" s="3">
        <f t="shared" si="7"/>
        <v>4.1999999999999993</v>
      </c>
      <c r="P49" s="3">
        <v>9</v>
      </c>
      <c r="Q49" s="3">
        <v>0.35</v>
      </c>
      <c r="R49" s="7">
        <f t="shared" si="1"/>
        <v>1.19</v>
      </c>
      <c r="S49" s="7">
        <f t="shared" si="2"/>
        <v>-1.19</v>
      </c>
      <c r="T49" s="7">
        <f t="shared" si="8"/>
        <v>9.5299999999999994</v>
      </c>
      <c r="U49" s="10" t="s">
        <v>14</v>
      </c>
      <c r="V49" s="3">
        <v>1761.5</v>
      </c>
      <c r="X49" s="3">
        <f t="shared" si="6"/>
        <v>12689.199999999999</v>
      </c>
      <c r="AA49" s="3">
        <v>12.78226122165</v>
      </c>
    </row>
    <row r="50" spans="1:27" s="3" customFormat="1" x14ac:dyDescent="0.25">
      <c r="A50" s="72"/>
      <c r="B50" s="8"/>
      <c r="C50" s="9">
        <v>41166</v>
      </c>
      <c r="D50" s="3">
        <v>14.2</v>
      </c>
      <c r="E50" s="3">
        <v>8.6</v>
      </c>
      <c r="F50" s="3">
        <v>19</v>
      </c>
      <c r="G50" s="3">
        <f t="shared" si="3"/>
        <v>160.99999999999997</v>
      </c>
      <c r="I50" s="3">
        <v>3</v>
      </c>
      <c r="J50" s="3">
        <v>0</v>
      </c>
      <c r="K50" s="3">
        <f t="shared" si="4"/>
        <v>12.5</v>
      </c>
      <c r="L50" s="3">
        <v>0.7</v>
      </c>
      <c r="M50" s="3">
        <f t="shared" si="5"/>
        <v>28.4</v>
      </c>
      <c r="N50" s="3">
        <v>-0.7</v>
      </c>
      <c r="O50" s="3">
        <f t="shared" si="7"/>
        <v>3.4999999999999991</v>
      </c>
      <c r="P50" s="3">
        <v>10</v>
      </c>
      <c r="Q50" s="3">
        <f>0.35+((P50-9)/121)*(1-0.35)</f>
        <v>0.35537190082644626</v>
      </c>
      <c r="R50" s="7">
        <f t="shared" si="1"/>
        <v>0.24876033057851238</v>
      </c>
      <c r="S50" s="7">
        <f t="shared" si="2"/>
        <v>-0.24876033057851238</v>
      </c>
      <c r="T50" s="7">
        <f t="shared" si="8"/>
        <v>9.2812396694214865</v>
      </c>
      <c r="U50" s="7">
        <f>MAX(T41:T170)</f>
        <v>197.4</v>
      </c>
      <c r="V50" s="3">
        <v>369.3</v>
      </c>
      <c r="X50" s="3">
        <f t="shared" si="6"/>
        <v>13058.499999999998</v>
      </c>
      <c r="AA50" s="3">
        <v>12.7247130029575</v>
      </c>
    </row>
    <row r="51" spans="1:27" s="3" customFormat="1" x14ac:dyDescent="0.25">
      <c r="A51" s="72"/>
      <c r="B51" s="8"/>
      <c r="C51" s="9">
        <v>41167</v>
      </c>
      <c r="D51" s="3">
        <v>15.1</v>
      </c>
      <c r="E51" s="3">
        <v>11.8</v>
      </c>
      <c r="F51" s="3">
        <v>21.1</v>
      </c>
      <c r="G51" s="3">
        <f t="shared" si="3"/>
        <v>176.09999999999997</v>
      </c>
      <c r="I51" s="10" t="s">
        <v>15</v>
      </c>
      <c r="J51" s="3">
        <v>0</v>
      </c>
      <c r="K51" s="3">
        <f t="shared" si="4"/>
        <v>12.5</v>
      </c>
      <c r="L51" s="3">
        <v>3.2</v>
      </c>
      <c r="M51" s="3">
        <f t="shared" si="5"/>
        <v>31.599999999999998</v>
      </c>
      <c r="N51" s="3">
        <v>-3.2</v>
      </c>
      <c r="O51" s="3">
        <f t="shared" si="7"/>
        <v>0.29999999999999893</v>
      </c>
      <c r="P51" s="3">
        <v>11</v>
      </c>
      <c r="Q51" s="3">
        <f t="shared" ref="Q51:Q114" si="9">0.35+((P51-9)/121)*(1-0.35)</f>
        <v>0.36074380165289255</v>
      </c>
      <c r="R51" s="7">
        <f t="shared" si="1"/>
        <v>1.1543801652892562</v>
      </c>
      <c r="S51" s="7">
        <f t="shared" si="2"/>
        <v>-1.1543801652892562</v>
      </c>
      <c r="T51" s="7">
        <f t="shared" si="8"/>
        <v>8.1268595041322307</v>
      </c>
      <c r="U51" s="10" t="s">
        <v>16</v>
      </c>
      <c r="V51" s="3">
        <v>1734.2</v>
      </c>
      <c r="X51" s="3">
        <f t="shared" si="6"/>
        <v>14792.699999999999</v>
      </c>
      <c r="AA51" s="3">
        <v>12.667095814664201</v>
      </c>
    </row>
    <row r="52" spans="1:27" s="3" customFormat="1" x14ac:dyDescent="0.25">
      <c r="A52" s="72"/>
      <c r="B52" s="8"/>
      <c r="C52" s="9">
        <v>41168</v>
      </c>
      <c r="D52" s="3">
        <v>14.3</v>
      </c>
      <c r="E52" s="3">
        <v>8.1</v>
      </c>
      <c r="F52" s="3">
        <v>22.7</v>
      </c>
      <c r="G52" s="3">
        <f t="shared" si="3"/>
        <v>190.39999999999998</v>
      </c>
      <c r="I52" s="3">
        <v>27</v>
      </c>
      <c r="J52" s="3">
        <v>0</v>
      </c>
      <c r="K52" s="3">
        <f t="shared" si="4"/>
        <v>12.5</v>
      </c>
      <c r="L52" s="3">
        <v>3.3</v>
      </c>
      <c r="M52" s="3">
        <f t="shared" si="5"/>
        <v>34.9</v>
      </c>
      <c r="N52" s="3">
        <v>-3.3</v>
      </c>
      <c r="O52" s="3">
        <v>0</v>
      </c>
      <c r="P52" s="3">
        <v>12</v>
      </c>
      <c r="Q52" s="3">
        <f t="shared" si="9"/>
        <v>0.36611570247933883</v>
      </c>
      <c r="R52" s="7">
        <f t="shared" si="1"/>
        <v>1.208181818181818</v>
      </c>
      <c r="S52" s="7">
        <f t="shared" si="2"/>
        <v>-1.208181818181818</v>
      </c>
      <c r="T52" s="7">
        <f t="shared" si="8"/>
        <v>6.9186776859504127</v>
      </c>
      <c r="U52" s="20">
        <f>AVERAGE(T41:T170)</f>
        <v>138.26905785123969</v>
      </c>
      <c r="V52" s="3">
        <v>1801.4</v>
      </c>
      <c r="X52" s="3">
        <f t="shared" si="6"/>
        <v>16594.099999999999</v>
      </c>
      <c r="AA52" s="3">
        <v>12.6094155464097</v>
      </c>
    </row>
    <row r="53" spans="1:27" s="3" customFormat="1" x14ac:dyDescent="0.25">
      <c r="A53" s="72"/>
      <c r="B53" s="8"/>
      <c r="C53" s="9">
        <v>41169</v>
      </c>
      <c r="D53" s="3">
        <v>14.4</v>
      </c>
      <c r="E53" s="3">
        <v>9.5</v>
      </c>
      <c r="F53" s="3">
        <v>20.399999999999999</v>
      </c>
      <c r="G53" s="3">
        <f t="shared" si="3"/>
        <v>204.79999999999998</v>
      </c>
      <c r="I53" s="10" t="s">
        <v>17</v>
      </c>
      <c r="J53" s="3">
        <v>0</v>
      </c>
      <c r="K53" s="3">
        <f t="shared" si="4"/>
        <v>12.5</v>
      </c>
      <c r="L53" s="3">
        <v>1.6</v>
      </c>
      <c r="M53" s="3">
        <f t="shared" si="5"/>
        <v>36.5</v>
      </c>
      <c r="N53" s="3">
        <v>-1.6</v>
      </c>
      <c r="O53" s="3">
        <v>0</v>
      </c>
      <c r="P53" s="3">
        <v>13</v>
      </c>
      <c r="Q53" s="3">
        <f t="shared" si="9"/>
        <v>0.37148760330578512</v>
      </c>
      <c r="R53" s="7">
        <f t="shared" si="1"/>
        <v>0.59438016528925619</v>
      </c>
      <c r="S53" s="7">
        <f t="shared" si="2"/>
        <v>-0.59438016528925619</v>
      </c>
      <c r="T53" s="7">
        <f t="shared" si="8"/>
        <v>6.3242975206611565</v>
      </c>
      <c r="V53" s="3">
        <v>744</v>
      </c>
      <c r="X53" s="3">
        <f t="shared" si="6"/>
        <v>17338.099999999999</v>
      </c>
      <c r="AA53" s="3">
        <v>12.5516779716794</v>
      </c>
    </row>
    <row r="54" spans="1:27" s="3" customFormat="1" x14ac:dyDescent="0.25">
      <c r="A54" s="72"/>
      <c r="B54" s="8"/>
      <c r="C54" s="9">
        <v>41170</v>
      </c>
      <c r="D54" s="3">
        <v>13.6</v>
      </c>
      <c r="E54" s="3">
        <v>11.6</v>
      </c>
      <c r="F54" s="3">
        <v>18.7</v>
      </c>
      <c r="G54" s="3">
        <f t="shared" si="3"/>
        <v>218.39999999999998</v>
      </c>
      <c r="I54" s="3">
        <v>1324.4</v>
      </c>
      <c r="J54" s="3">
        <v>0</v>
      </c>
      <c r="K54" s="3">
        <f t="shared" si="4"/>
        <v>12.5</v>
      </c>
      <c r="L54" s="3">
        <v>2.4</v>
      </c>
      <c r="M54" s="3">
        <f t="shared" si="5"/>
        <v>38.9</v>
      </c>
      <c r="N54" s="3">
        <v>-2.4</v>
      </c>
      <c r="O54" s="3">
        <v>0</v>
      </c>
      <c r="P54" s="3">
        <v>14</v>
      </c>
      <c r="Q54" s="3">
        <f t="shared" si="9"/>
        <v>0.3768595041322314</v>
      </c>
      <c r="R54" s="7">
        <f t="shared" si="1"/>
        <v>0.90446280991735528</v>
      </c>
      <c r="S54" s="7">
        <f t="shared" si="2"/>
        <v>-0.90446280991735528</v>
      </c>
      <c r="T54" s="7">
        <f t="shared" si="8"/>
        <v>5.4198347107438014</v>
      </c>
      <c r="U54" s="7">
        <f>(U52*100)/197.4</f>
        <v>70.045115426159924</v>
      </c>
      <c r="V54" s="3">
        <v>1067.7</v>
      </c>
      <c r="X54" s="3">
        <f t="shared" si="6"/>
        <v>18405.8</v>
      </c>
      <c r="AA54" s="3">
        <v>12.4938887637508</v>
      </c>
    </row>
    <row r="55" spans="1:27" s="3" customFormat="1" x14ac:dyDescent="0.25">
      <c r="A55" s="72"/>
      <c r="B55" s="8"/>
      <c r="C55" s="9">
        <v>41171</v>
      </c>
      <c r="D55" s="3">
        <v>10.7</v>
      </c>
      <c r="E55" s="3">
        <v>5</v>
      </c>
      <c r="F55" s="3">
        <v>18.600000000000001</v>
      </c>
      <c r="G55" s="3">
        <f t="shared" si="3"/>
        <v>229.09999999999997</v>
      </c>
      <c r="J55" s="3">
        <v>0</v>
      </c>
      <c r="K55" s="3">
        <f t="shared" si="4"/>
        <v>12.5</v>
      </c>
      <c r="L55" s="3">
        <v>2.8</v>
      </c>
      <c r="M55" s="3">
        <f t="shared" si="5"/>
        <v>41.699999999999996</v>
      </c>
      <c r="N55" s="3">
        <v>-2.8</v>
      </c>
      <c r="O55" s="3">
        <v>0</v>
      </c>
      <c r="P55" s="3">
        <v>15</v>
      </c>
      <c r="Q55" s="3">
        <f t="shared" si="9"/>
        <v>0.38223140495867769</v>
      </c>
      <c r="R55" s="7">
        <f t="shared" si="1"/>
        <v>1.0702479338842974</v>
      </c>
      <c r="S55" s="7">
        <f t="shared" si="2"/>
        <v>-1.0702479338842974</v>
      </c>
      <c r="T55" s="7">
        <f t="shared" si="8"/>
        <v>4.3495867768595042</v>
      </c>
      <c r="V55" s="3">
        <v>1539.5</v>
      </c>
      <c r="X55" s="3">
        <f t="shared" si="6"/>
        <v>19945.3</v>
      </c>
      <c r="AA55" s="3">
        <v>12.436053511699001</v>
      </c>
    </row>
    <row r="56" spans="1:27" s="3" customFormat="1" x14ac:dyDescent="0.25">
      <c r="A56" s="72"/>
      <c r="B56" s="8"/>
      <c r="C56" s="9">
        <v>41172</v>
      </c>
      <c r="D56" s="3">
        <v>10.8</v>
      </c>
      <c r="E56" s="3">
        <v>3.4</v>
      </c>
      <c r="F56" s="3">
        <v>19.8</v>
      </c>
      <c r="G56" s="3">
        <f t="shared" si="3"/>
        <v>239.89999999999998</v>
      </c>
      <c r="J56" s="3">
        <v>0</v>
      </c>
      <c r="K56" s="3">
        <f t="shared" si="4"/>
        <v>12.5</v>
      </c>
      <c r="L56" s="3">
        <v>2.9</v>
      </c>
      <c r="M56" s="3">
        <f t="shared" si="5"/>
        <v>44.599999999999994</v>
      </c>
      <c r="N56" s="3">
        <v>-2.9</v>
      </c>
      <c r="O56" s="3">
        <v>0</v>
      </c>
      <c r="P56" s="3">
        <v>16</v>
      </c>
      <c r="Q56" s="3">
        <f t="shared" si="9"/>
        <v>0.38760330578512392</v>
      </c>
      <c r="R56" s="7">
        <f t="shared" si="1"/>
        <v>1.1240495867768594</v>
      </c>
      <c r="S56" s="7">
        <f t="shared" si="2"/>
        <v>-1.1240495867768594</v>
      </c>
      <c r="T56" s="7">
        <f t="shared" si="8"/>
        <v>3.2255371900826448</v>
      </c>
      <c r="V56" s="3">
        <v>1588.1</v>
      </c>
      <c r="X56" s="3">
        <f t="shared" si="6"/>
        <v>21533.399999999998</v>
      </c>
      <c r="AA56" s="3">
        <v>12.378177736463099</v>
      </c>
    </row>
    <row r="57" spans="1:27" s="3" customFormat="1" x14ac:dyDescent="0.25">
      <c r="A57" s="72"/>
      <c r="B57" s="8"/>
      <c r="C57" s="9">
        <v>41173</v>
      </c>
      <c r="D57" s="3">
        <v>8.3000000000000007</v>
      </c>
      <c r="E57" s="3">
        <v>4.5</v>
      </c>
      <c r="F57" s="3">
        <v>10.199999999999999</v>
      </c>
      <c r="G57" s="3">
        <f t="shared" si="3"/>
        <v>248.2</v>
      </c>
      <c r="J57" s="3">
        <v>14.9</v>
      </c>
      <c r="K57" s="3">
        <f t="shared" si="4"/>
        <v>27.4</v>
      </c>
      <c r="L57" s="3">
        <v>0.7</v>
      </c>
      <c r="M57" s="3">
        <f t="shared" si="5"/>
        <v>45.3</v>
      </c>
      <c r="N57" s="3">
        <v>14.200000000000001</v>
      </c>
      <c r="O57" s="3">
        <f t="shared" ref="O57:O120" si="10">O56+N57</f>
        <v>14.200000000000001</v>
      </c>
      <c r="P57" s="3">
        <v>17</v>
      </c>
      <c r="Q57" s="3">
        <f t="shared" si="9"/>
        <v>0.3929752066115702</v>
      </c>
      <c r="R57" s="7">
        <f t="shared" si="1"/>
        <v>0.27508264462809912</v>
      </c>
      <c r="S57" s="7">
        <f t="shared" si="2"/>
        <v>14.624917355371901</v>
      </c>
      <c r="T57" s="7">
        <f t="shared" si="8"/>
        <v>17.850454545454546</v>
      </c>
      <c r="V57" s="3">
        <v>537.6</v>
      </c>
      <c r="X57" s="3">
        <f t="shared" si="6"/>
        <v>22070.999999999996</v>
      </c>
      <c r="AA57" s="3">
        <v>12.320266906978199</v>
      </c>
    </row>
    <row r="58" spans="1:27" s="3" customFormat="1" x14ac:dyDescent="0.25">
      <c r="A58" s="72"/>
      <c r="B58" s="8"/>
      <c r="C58" s="9">
        <v>41174</v>
      </c>
      <c r="D58" s="3">
        <v>13.2</v>
      </c>
      <c r="E58" s="3">
        <v>8</v>
      </c>
      <c r="F58" s="3">
        <v>18.399999999999999</v>
      </c>
      <c r="G58" s="3">
        <f t="shared" si="3"/>
        <v>261.39999999999998</v>
      </c>
      <c r="J58" s="3">
        <v>0</v>
      </c>
      <c r="K58" s="3">
        <f t="shared" si="4"/>
        <v>27.4</v>
      </c>
      <c r="L58" s="3">
        <v>1.9</v>
      </c>
      <c r="M58" s="3">
        <f t="shared" si="5"/>
        <v>47.199999999999996</v>
      </c>
      <c r="N58" s="3">
        <v>-1.9</v>
      </c>
      <c r="O58" s="3">
        <f t="shared" si="10"/>
        <v>12.3</v>
      </c>
      <c r="P58" s="3">
        <v>18</v>
      </c>
      <c r="Q58" s="3">
        <f t="shared" si="9"/>
        <v>0.39834710743801649</v>
      </c>
      <c r="R58" s="7">
        <f t="shared" si="1"/>
        <v>0.75685950413223124</v>
      </c>
      <c r="S58" s="7">
        <f t="shared" si="2"/>
        <v>-0.75685950413223124</v>
      </c>
      <c r="T58" s="7">
        <f t="shared" si="8"/>
        <v>17.093595041322317</v>
      </c>
      <c r="V58" s="3">
        <v>1115.5999999999999</v>
      </c>
      <c r="X58" s="3">
        <f t="shared" si="6"/>
        <v>23186.599999999995</v>
      </c>
      <c r="AA58" s="3">
        <v>12.2623264563753</v>
      </c>
    </row>
    <row r="59" spans="1:27" s="3" customFormat="1" x14ac:dyDescent="0.25">
      <c r="A59" s="72"/>
      <c r="B59" s="8"/>
      <c r="C59" s="9">
        <v>41175</v>
      </c>
      <c r="D59" s="3">
        <v>16.3</v>
      </c>
      <c r="E59" s="3">
        <v>12.4</v>
      </c>
      <c r="F59" s="3">
        <v>20.7</v>
      </c>
      <c r="G59" s="3">
        <f t="shared" si="3"/>
        <v>277.7</v>
      </c>
      <c r="J59" s="3">
        <v>18.600000000000001</v>
      </c>
      <c r="K59" s="3">
        <f t="shared" si="4"/>
        <v>46</v>
      </c>
      <c r="L59" s="3">
        <v>1.2</v>
      </c>
      <c r="M59" s="3">
        <f t="shared" si="5"/>
        <v>48.4</v>
      </c>
      <c r="N59" s="3">
        <v>17.400000000000002</v>
      </c>
      <c r="O59" s="3">
        <f t="shared" si="10"/>
        <v>29.700000000000003</v>
      </c>
      <c r="P59" s="3">
        <v>19</v>
      </c>
      <c r="Q59" s="3">
        <f t="shared" si="9"/>
        <v>0.40371900826446278</v>
      </c>
      <c r="R59" s="7">
        <f t="shared" si="1"/>
        <v>0.4844628099173553</v>
      </c>
      <c r="S59" s="7">
        <f t="shared" si="2"/>
        <v>18.115537190082645</v>
      </c>
      <c r="T59" s="7">
        <f t="shared" si="8"/>
        <v>35.209132231404965</v>
      </c>
      <c r="V59" s="3">
        <v>383.6</v>
      </c>
      <c r="X59" s="3">
        <f t="shared" si="6"/>
        <v>23570.199999999993</v>
      </c>
      <c r="AA59" s="3">
        <v>12.2043617982565</v>
      </c>
    </row>
    <row r="60" spans="1:27" s="3" customFormat="1" x14ac:dyDescent="0.25">
      <c r="A60" s="72"/>
      <c r="B60" s="8"/>
      <c r="C60" s="9">
        <v>41176</v>
      </c>
      <c r="D60" s="3">
        <v>14.8</v>
      </c>
      <c r="E60" s="3">
        <v>12.9</v>
      </c>
      <c r="F60" s="3">
        <v>19.3</v>
      </c>
      <c r="G60" s="3">
        <f t="shared" si="3"/>
        <v>292.5</v>
      </c>
      <c r="J60" s="3">
        <v>5</v>
      </c>
      <c r="K60" s="3">
        <f t="shared" si="4"/>
        <v>51</v>
      </c>
      <c r="L60" s="3">
        <v>2.2999999999999998</v>
      </c>
      <c r="M60" s="3">
        <f t="shared" si="5"/>
        <v>50.699999999999996</v>
      </c>
      <c r="N60" s="3">
        <v>2.7</v>
      </c>
      <c r="O60" s="3">
        <f t="shared" si="10"/>
        <v>32.400000000000006</v>
      </c>
      <c r="P60" s="3">
        <v>20</v>
      </c>
      <c r="Q60" s="3">
        <f t="shared" si="9"/>
        <v>0.40909090909090906</v>
      </c>
      <c r="R60" s="7">
        <f t="shared" si="1"/>
        <v>0.94090909090909081</v>
      </c>
      <c r="S60" s="7">
        <f t="shared" si="2"/>
        <v>4.0590909090909095</v>
      </c>
      <c r="T60" s="7">
        <f t="shared" si="8"/>
        <v>39.268223140495877</v>
      </c>
      <c r="V60" s="3">
        <v>582.79999999999995</v>
      </c>
      <c r="X60" s="3">
        <f t="shared" si="6"/>
        <v>24152.999999999993</v>
      </c>
      <c r="AA60" s="3">
        <v>12.1463783430485</v>
      </c>
    </row>
    <row r="61" spans="1:27" s="3" customFormat="1" x14ac:dyDescent="0.25">
      <c r="A61" s="72"/>
      <c r="B61" s="8"/>
      <c r="C61" s="9">
        <v>41177</v>
      </c>
      <c r="D61" s="3">
        <v>12.3</v>
      </c>
      <c r="E61" s="3">
        <v>9.1999999999999993</v>
      </c>
      <c r="F61" s="3">
        <v>17.7</v>
      </c>
      <c r="G61" s="3">
        <f t="shared" si="3"/>
        <v>304.8</v>
      </c>
      <c r="J61" s="3">
        <v>6.4</v>
      </c>
      <c r="K61" s="3">
        <f t="shared" si="4"/>
        <v>57.4</v>
      </c>
      <c r="L61" s="3">
        <v>2.2999999999999998</v>
      </c>
      <c r="M61" s="3">
        <f t="shared" si="5"/>
        <v>52.999999999999993</v>
      </c>
      <c r="N61" s="3">
        <v>4.1000000000000005</v>
      </c>
      <c r="O61" s="3">
        <f t="shared" si="10"/>
        <v>36.500000000000007</v>
      </c>
      <c r="P61" s="3">
        <v>21</v>
      </c>
      <c r="Q61" s="3">
        <f t="shared" si="9"/>
        <v>0.41446280991735535</v>
      </c>
      <c r="R61" s="7">
        <f t="shared" si="1"/>
        <v>0.95326446280991717</v>
      </c>
      <c r="S61" s="7">
        <f t="shared" si="2"/>
        <v>5.446735537190083</v>
      </c>
      <c r="T61" s="7">
        <f t="shared" si="8"/>
        <v>44.714958677685956</v>
      </c>
      <c r="V61" s="3">
        <v>1167.9000000000001</v>
      </c>
      <c r="X61" s="3">
        <f t="shared" si="6"/>
        <v>25320.899999999994</v>
      </c>
      <c r="AA61" s="3">
        <v>12.0883815144407</v>
      </c>
    </row>
    <row r="62" spans="1:27" s="3" customFormat="1" x14ac:dyDescent="0.25">
      <c r="A62" s="72"/>
      <c r="B62" s="8"/>
      <c r="C62" s="9">
        <v>41178</v>
      </c>
      <c r="D62" s="3">
        <v>12.7</v>
      </c>
      <c r="E62" s="3">
        <v>9.6999999999999993</v>
      </c>
      <c r="F62" s="3">
        <v>15.7</v>
      </c>
      <c r="G62" s="3">
        <f t="shared" si="3"/>
        <v>317.5</v>
      </c>
      <c r="J62" s="3">
        <v>4.5999999999999996</v>
      </c>
      <c r="K62" s="3">
        <f t="shared" si="4"/>
        <v>62</v>
      </c>
      <c r="L62" s="3">
        <v>1.3</v>
      </c>
      <c r="M62" s="3">
        <f t="shared" si="5"/>
        <v>54.29999999999999</v>
      </c>
      <c r="N62" s="3">
        <v>3.3</v>
      </c>
      <c r="O62" s="3">
        <f t="shared" si="10"/>
        <v>39.800000000000004</v>
      </c>
      <c r="P62" s="3">
        <v>22</v>
      </c>
      <c r="Q62" s="3">
        <f t="shared" si="9"/>
        <v>0.41983471074380163</v>
      </c>
      <c r="R62" s="7">
        <f t="shared" si="1"/>
        <v>0.54578512396694212</v>
      </c>
      <c r="S62" s="7">
        <f t="shared" si="2"/>
        <v>4.0542148760330576</v>
      </c>
      <c r="T62" s="7">
        <f t="shared" si="8"/>
        <v>48.769173553719014</v>
      </c>
      <c r="V62" s="3">
        <v>636.1</v>
      </c>
      <c r="X62" s="3">
        <f t="shared" si="6"/>
        <v>25956.999999999993</v>
      </c>
      <c r="AA62" s="3">
        <v>12.030376765913299</v>
      </c>
    </row>
    <row r="63" spans="1:27" s="3" customFormat="1" x14ac:dyDescent="0.25">
      <c r="A63" s="72"/>
      <c r="B63" s="8"/>
      <c r="C63" s="9">
        <v>41179</v>
      </c>
      <c r="D63" s="3">
        <v>13.4</v>
      </c>
      <c r="E63" s="3">
        <v>11.9</v>
      </c>
      <c r="F63" s="3">
        <v>16.7</v>
      </c>
      <c r="G63" s="3">
        <f t="shared" si="3"/>
        <v>330.9</v>
      </c>
      <c r="J63" s="3">
        <v>1.2</v>
      </c>
      <c r="K63" s="3">
        <f t="shared" si="4"/>
        <v>63.2</v>
      </c>
      <c r="L63" s="3">
        <v>1.5</v>
      </c>
      <c r="M63" s="3">
        <f t="shared" si="5"/>
        <v>55.79999999999999</v>
      </c>
      <c r="N63" s="3">
        <v>-0.30000000000000004</v>
      </c>
      <c r="O63" s="3">
        <f t="shared" si="10"/>
        <v>39.500000000000007</v>
      </c>
      <c r="P63" s="3">
        <v>23</v>
      </c>
      <c r="Q63" s="3">
        <f t="shared" si="9"/>
        <v>0.42520661157024792</v>
      </c>
      <c r="R63" s="7">
        <f t="shared" si="1"/>
        <v>0.63780991735537185</v>
      </c>
      <c r="S63" s="7">
        <f t="shared" si="2"/>
        <v>0.56219008264462811</v>
      </c>
      <c r="T63" s="7">
        <f t="shared" si="8"/>
        <v>49.331363636363641</v>
      </c>
      <c r="V63" s="3">
        <v>481.5</v>
      </c>
      <c r="X63" s="3">
        <f t="shared" si="6"/>
        <v>26438.499999999993</v>
      </c>
      <c r="AA63" s="3">
        <v>11.972369597360601</v>
      </c>
    </row>
    <row r="64" spans="1:27" s="3" customFormat="1" x14ac:dyDescent="0.25">
      <c r="A64" s="72"/>
      <c r="B64" s="8"/>
      <c r="C64" s="9">
        <v>41180</v>
      </c>
      <c r="D64" s="3">
        <v>12.2</v>
      </c>
      <c r="E64" s="3">
        <v>6.6</v>
      </c>
      <c r="F64" s="3">
        <v>18.7</v>
      </c>
      <c r="G64" s="3">
        <f t="shared" si="3"/>
        <v>343.09999999999997</v>
      </c>
      <c r="J64" s="3">
        <v>0</v>
      </c>
      <c r="K64" s="3">
        <f t="shared" si="4"/>
        <v>63.2</v>
      </c>
      <c r="L64" s="3">
        <v>1.7</v>
      </c>
      <c r="M64" s="3">
        <f t="shared" si="5"/>
        <v>57.499999999999993</v>
      </c>
      <c r="N64" s="3">
        <v>-1.7</v>
      </c>
      <c r="O64" s="3">
        <f t="shared" si="10"/>
        <v>37.800000000000004</v>
      </c>
      <c r="P64" s="3">
        <v>24</v>
      </c>
      <c r="Q64" s="3">
        <f t="shared" si="9"/>
        <v>0.4305785123966942</v>
      </c>
      <c r="R64" s="7">
        <f t="shared" si="1"/>
        <v>0.73198347107438011</v>
      </c>
      <c r="S64" s="7">
        <f t="shared" si="2"/>
        <v>-0.73198347107438011</v>
      </c>
      <c r="T64" s="7">
        <f t="shared" si="8"/>
        <v>48.599380165289261</v>
      </c>
      <c r="V64" s="3">
        <v>857</v>
      </c>
      <c r="X64" s="3">
        <f t="shared" si="6"/>
        <v>27295.499999999993</v>
      </c>
      <c r="AA64" s="3">
        <v>11.9143655718154</v>
      </c>
    </row>
    <row r="65" spans="1:27" s="3" customFormat="1" x14ac:dyDescent="0.25">
      <c r="A65" s="72"/>
      <c r="B65" s="8"/>
      <c r="C65" s="9">
        <v>41181</v>
      </c>
      <c r="D65" s="3">
        <v>11.4</v>
      </c>
      <c r="E65" s="3">
        <v>8.4</v>
      </c>
      <c r="F65" s="3">
        <v>16.8</v>
      </c>
      <c r="G65" s="3">
        <f t="shared" si="3"/>
        <v>354.49999999999994</v>
      </c>
      <c r="J65" s="3">
        <v>0</v>
      </c>
      <c r="K65" s="3">
        <f t="shared" si="4"/>
        <v>63.2</v>
      </c>
      <c r="L65" s="3">
        <v>2</v>
      </c>
      <c r="M65" s="3">
        <f t="shared" si="5"/>
        <v>59.499999999999993</v>
      </c>
      <c r="N65" s="3">
        <v>-2</v>
      </c>
      <c r="O65" s="3">
        <f t="shared" si="10"/>
        <v>35.800000000000004</v>
      </c>
      <c r="P65" s="3">
        <v>25</v>
      </c>
      <c r="Q65" s="3">
        <f t="shared" si="9"/>
        <v>0.43595041322314049</v>
      </c>
      <c r="R65" s="7">
        <f t="shared" si="1"/>
        <v>0.87190082644628097</v>
      </c>
      <c r="S65" s="7">
        <f t="shared" si="2"/>
        <v>-0.87190082644628097</v>
      </c>
      <c r="T65" s="7">
        <f t="shared" si="8"/>
        <v>47.727479338842983</v>
      </c>
      <c r="V65" s="3">
        <v>1047.5</v>
      </c>
      <c r="X65" s="3">
        <f t="shared" si="6"/>
        <v>28342.999999999993</v>
      </c>
      <c r="AA65" s="3">
        <v>11.856370332278001</v>
      </c>
    </row>
    <row r="66" spans="1:27" s="3" customFormat="1" x14ac:dyDescent="0.25">
      <c r="A66" s="72"/>
      <c r="B66" s="8"/>
      <c r="C66" s="9">
        <v>41182</v>
      </c>
      <c r="D66" s="3">
        <v>11.5</v>
      </c>
      <c r="E66" s="3">
        <v>6.5</v>
      </c>
      <c r="F66" s="3">
        <v>18.8</v>
      </c>
      <c r="G66" s="3">
        <f t="shared" si="3"/>
        <v>365.99999999999994</v>
      </c>
      <c r="J66" s="3">
        <v>0.1</v>
      </c>
      <c r="K66" s="3">
        <f t="shared" si="4"/>
        <v>63.300000000000004</v>
      </c>
      <c r="L66" s="3">
        <v>2.2000000000000002</v>
      </c>
      <c r="M66" s="3">
        <f t="shared" si="5"/>
        <v>61.699999999999996</v>
      </c>
      <c r="N66" s="3">
        <v>-2.1</v>
      </c>
      <c r="O66" s="3">
        <f t="shared" si="10"/>
        <v>33.700000000000003</v>
      </c>
      <c r="P66" s="3">
        <v>26</v>
      </c>
      <c r="Q66" s="3">
        <f t="shared" si="9"/>
        <v>0.44132231404958677</v>
      </c>
      <c r="R66" s="7">
        <f t="shared" si="1"/>
        <v>0.97090909090909094</v>
      </c>
      <c r="S66" s="7">
        <f t="shared" si="2"/>
        <v>-0.87090909090909097</v>
      </c>
      <c r="T66" s="7">
        <f t="shared" si="8"/>
        <v>46.856570247933895</v>
      </c>
      <c r="V66" s="3">
        <v>1264.5999999999999</v>
      </c>
      <c r="X66" s="3">
        <f t="shared" si="6"/>
        <v>29607.599999999991</v>
      </c>
      <c r="AA66" s="3">
        <v>11.7983896186562</v>
      </c>
    </row>
    <row r="67" spans="1:27" s="3" customFormat="1" x14ac:dyDescent="0.25">
      <c r="A67" s="72"/>
      <c r="B67" s="8"/>
      <c r="C67" s="9">
        <v>41183</v>
      </c>
      <c r="D67" s="3">
        <v>12.7</v>
      </c>
      <c r="E67" s="3">
        <v>7.4</v>
      </c>
      <c r="F67" s="3">
        <v>18.3</v>
      </c>
      <c r="G67" s="3">
        <f t="shared" si="3"/>
        <v>378.69999999999993</v>
      </c>
      <c r="J67" s="3">
        <v>3</v>
      </c>
      <c r="K67" s="3">
        <f t="shared" si="4"/>
        <v>66.300000000000011</v>
      </c>
      <c r="L67" s="3">
        <v>1</v>
      </c>
      <c r="M67" s="3">
        <f t="shared" si="5"/>
        <v>62.699999999999996</v>
      </c>
      <c r="N67" s="3">
        <v>2</v>
      </c>
      <c r="O67" s="3">
        <f t="shared" si="10"/>
        <v>35.700000000000003</v>
      </c>
      <c r="P67" s="3">
        <v>27</v>
      </c>
      <c r="Q67" s="3">
        <f t="shared" si="9"/>
        <v>0.44669421487603306</v>
      </c>
      <c r="R67" s="7">
        <f t="shared" si="1"/>
        <v>0.44669421487603306</v>
      </c>
      <c r="S67" s="7">
        <f t="shared" si="2"/>
        <v>2.5533057851239671</v>
      </c>
      <c r="T67" s="7">
        <f t="shared" si="8"/>
        <v>49.409876033057863</v>
      </c>
      <c r="V67" s="3">
        <v>474.8</v>
      </c>
      <c r="X67" s="3">
        <f t="shared" si="6"/>
        <v>30082.399999999991</v>
      </c>
      <c r="AA67" s="3">
        <v>11.740429284817401</v>
      </c>
    </row>
    <row r="68" spans="1:27" s="3" customFormat="1" x14ac:dyDescent="0.25">
      <c r="A68" s="72"/>
      <c r="B68" s="8"/>
      <c r="C68" s="9">
        <v>41184</v>
      </c>
      <c r="D68" s="3">
        <v>14.2</v>
      </c>
      <c r="E68" s="3">
        <v>10.9</v>
      </c>
      <c r="F68" s="3">
        <v>18.2</v>
      </c>
      <c r="G68" s="3">
        <f t="shared" si="3"/>
        <v>392.89999999999992</v>
      </c>
      <c r="J68" s="3">
        <v>1.4</v>
      </c>
      <c r="K68" s="3">
        <f t="shared" si="4"/>
        <v>67.700000000000017</v>
      </c>
      <c r="L68" s="3">
        <v>1.8</v>
      </c>
      <c r="M68" s="3">
        <f t="shared" si="5"/>
        <v>64.5</v>
      </c>
      <c r="N68" s="3">
        <v>-0.40000000000000013</v>
      </c>
      <c r="O68" s="3">
        <f t="shared" si="10"/>
        <v>35.300000000000004</v>
      </c>
      <c r="P68" s="3">
        <v>28</v>
      </c>
      <c r="Q68" s="3">
        <f t="shared" si="9"/>
        <v>0.45206611570247934</v>
      </c>
      <c r="R68" s="7">
        <f t="shared" si="1"/>
        <v>0.81371900826446286</v>
      </c>
      <c r="S68" s="7">
        <f t="shared" si="2"/>
        <v>0.58628099173553705</v>
      </c>
      <c r="T68" s="7">
        <f t="shared" si="8"/>
        <v>49.996157024793398</v>
      </c>
      <c r="V68" s="3">
        <v>1006.7</v>
      </c>
      <c r="X68" s="3">
        <f t="shared" si="6"/>
        <v>31089.099999999991</v>
      </c>
      <c r="AA68" s="3">
        <v>11.6824953157588</v>
      </c>
    </row>
    <row r="69" spans="1:27" s="3" customFormat="1" x14ac:dyDescent="0.25">
      <c r="A69" s="72"/>
      <c r="B69" s="8"/>
      <c r="C69" s="9">
        <v>41185</v>
      </c>
      <c r="D69" s="3">
        <v>14.9</v>
      </c>
      <c r="E69" s="3">
        <v>13.5</v>
      </c>
      <c r="F69" s="3">
        <v>16.2</v>
      </c>
      <c r="G69" s="3">
        <f t="shared" si="3"/>
        <v>407.7999999999999</v>
      </c>
      <c r="J69" s="3">
        <v>14.3</v>
      </c>
      <c r="K69" s="3">
        <f t="shared" si="4"/>
        <v>82.000000000000014</v>
      </c>
      <c r="L69" s="3">
        <v>1.1000000000000001</v>
      </c>
      <c r="M69" s="3">
        <f t="shared" si="5"/>
        <v>65.599999999999994</v>
      </c>
      <c r="N69" s="3">
        <v>13.200000000000001</v>
      </c>
      <c r="O69" s="3">
        <f t="shared" si="10"/>
        <v>48.500000000000007</v>
      </c>
      <c r="P69" s="3">
        <v>29</v>
      </c>
      <c r="Q69" s="3">
        <f t="shared" si="9"/>
        <v>0.45743801652892557</v>
      </c>
      <c r="R69" s="7">
        <f t="shared" si="1"/>
        <v>0.50318181818181817</v>
      </c>
      <c r="S69" s="7">
        <f t="shared" si="2"/>
        <v>13.796818181818182</v>
      </c>
      <c r="T69" s="7">
        <f t="shared" si="8"/>
        <v>63.79297520661158</v>
      </c>
      <c r="V69" s="3">
        <v>379.2</v>
      </c>
      <c r="X69" s="3">
        <f t="shared" si="6"/>
        <v>31468.299999999992</v>
      </c>
      <c r="AA69" s="3">
        <v>11.624593844895101</v>
      </c>
    </row>
    <row r="70" spans="1:27" s="3" customFormat="1" x14ac:dyDescent="0.25">
      <c r="A70" s="72"/>
      <c r="B70" s="8"/>
      <c r="C70" s="9">
        <v>41186</v>
      </c>
      <c r="D70" s="3">
        <v>15.2</v>
      </c>
      <c r="E70" s="3">
        <v>12.8</v>
      </c>
      <c r="F70" s="3">
        <v>17.2</v>
      </c>
      <c r="G70" s="3">
        <f t="shared" si="3"/>
        <v>422.99999999999989</v>
      </c>
      <c r="J70" s="3">
        <v>0</v>
      </c>
      <c r="K70" s="3">
        <f t="shared" si="4"/>
        <v>82.000000000000014</v>
      </c>
      <c r="L70" s="3">
        <v>1.8</v>
      </c>
      <c r="M70" s="3">
        <f t="shared" si="5"/>
        <v>67.399999999999991</v>
      </c>
      <c r="N70" s="3">
        <v>-1.8</v>
      </c>
      <c r="O70" s="3">
        <f t="shared" si="10"/>
        <v>46.70000000000001</v>
      </c>
      <c r="P70" s="3">
        <v>30</v>
      </c>
      <c r="Q70" s="3">
        <f t="shared" si="9"/>
        <v>0.46280991735537191</v>
      </c>
      <c r="R70" s="7">
        <f t="shared" si="1"/>
        <v>0.83305785123966947</v>
      </c>
      <c r="S70" s="7">
        <f t="shared" si="2"/>
        <v>-0.83305785123966947</v>
      </c>
      <c r="T70" s="7">
        <f t="shared" si="8"/>
        <v>62.959917355371907</v>
      </c>
      <c r="V70" s="3">
        <v>928.6</v>
      </c>
      <c r="X70" s="3">
        <f t="shared" si="6"/>
        <v>32396.899999999991</v>
      </c>
      <c r="AA70" s="3">
        <v>11.566731171465699</v>
      </c>
    </row>
    <row r="71" spans="1:27" s="3" customFormat="1" x14ac:dyDescent="0.25">
      <c r="A71" s="72"/>
      <c r="B71" s="8"/>
      <c r="C71" s="9">
        <v>41187</v>
      </c>
      <c r="D71" s="3">
        <v>16.8</v>
      </c>
      <c r="E71" s="3">
        <v>15.4</v>
      </c>
      <c r="F71" s="3">
        <v>19.5</v>
      </c>
      <c r="G71" s="3">
        <f t="shared" si="3"/>
        <v>439.7999999999999</v>
      </c>
      <c r="J71" s="3">
        <v>0.2</v>
      </c>
      <c r="K71" s="3">
        <f t="shared" si="4"/>
        <v>82.200000000000017</v>
      </c>
      <c r="L71" s="3">
        <v>1.4</v>
      </c>
      <c r="M71" s="3">
        <f t="shared" si="5"/>
        <v>68.8</v>
      </c>
      <c r="N71" s="3">
        <v>-1.2</v>
      </c>
      <c r="O71" s="3">
        <f t="shared" si="10"/>
        <v>45.500000000000007</v>
      </c>
      <c r="P71" s="3">
        <v>31</v>
      </c>
      <c r="Q71" s="3">
        <f t="shared" si="9"/>
        <v>0.46818181818181814</v>
      </c>
      <c r="R71" s="7">
        <f t="shared" si="1"/>
        <v>0.6554545454545454</v>
      </c>
      <c r="S71" s="7">
        <f t="shared" si="2"/>
        <v>-0.45545454545454539</v>
      </c>
      <c r="T71" s="7">
        <f t="shared" si="8"/>
        <v>62.504462809917364</v>
      </c>
      <c r="V71" s="3">
        <v>349.7</v>
      </c>
      <c r="X71" s="3">
        <f t="shared" si="6"/>
        <v>32746.599999999991</v>
      </c>
      <c r="AA71" s="3">
        <v>11.5089137780611</v>
      </c>
    </row>
    <row r="72" spans="1:27" s="3" customFormat="1" x14ac:dyDescent="0.25">
      <c r="A72" s="72"/>
      <c r="B72" s="8"/>
      <c r="C72" s="9">
        <v>41188</v>
      </c>
      <c r="D72" s="3">
        <v>15.7</v>
      </c>
      <c r="E72" s="3">
        <v>13.7</v>
      </c>
      <c r="F72" s="3">
        <v>17.7</v>
      </c>
      <c r="G72" s="3">
        <f t="shared" si="3"/>
        <v>455.49999999999989</v>
      </c>
      <c r="J72" s="3">
        <v>6.8</v>
      </c>
      <c r="K72" s="3">
        <f t="shared" si="4"/>
        <v>89.000000000000014</v>
      </c>
      <c r="L72" s="3">
        <v>0.8</v>
      </c>
      <c r="M72" s="3">
        <f t="shared" si="5"/>
        <v>69.599999999999994</v>
      </c>
      <c r="N72" s="3">
        <v>6</v>
      </c>
      <c r="O72" s="3">
        <f t="shared" si="10"/>
        <v>51.500000000000007</v>
      </c>
      <c r="P72" s="3">
        <v>32</v>
      </c>
      <c r="Q72" s="3">
        <f t="shared" si="9"/>
        <v>0.47355371900826443</v>
      </c>
      <c r="R72" s="7">
        <f t="shared" si="1"/>
        <v>0.37884297520661159</v>
      </c>
      <c r="S72" s="7">
        <f t="shared" si="2"/>
        <v>6.4211570247933878</v>
      </c>
      <c r="T72" s="7">
        <f t="shared" si="8"/>
        <v>68.925619834710744</v>
      </c>
      <c r="V72" s="3">
        <v>330.1</v>
      </c>
      <c r="X72" s="3">
        <f t="shared" si="6"/>
        <v>33076.69999999999</v>
      </c>
      <c r="AA72" s="3">
        <v>11.451148348265299</v>
      </c>
    </row>
    <row r="73" spans="1:27" s="3" customFormat="1" x14ac:dyDescent="0.25">
      <c r="A73" s="72"/>
      <c r="B73" s="8"/>
      <c r="C73" s="9">
        <v>41189</v>
      </c>
      <c r="D73" s="3">
        <v>15</v>
      </c>
      <c r="E73" s="3">
        <v>14.3</v>
      </c>
      <c r="F73" s="3">
        <v>16.7</v>
      </c>
      <c r="G73" s="3">
        <f t="shared" si="3"/>
        <v>470.49999999999989</v>
      </c>
      <c r="J73" s="3">
        <v>7.8</v>
      </c>
      <c r="K73" s="3">
        <f t="shared" si="4"/>
        <v>96.800000000000011</v>
      </c>
      <c r="L73" s="3">
        <v>0.7</v>
      </c>
      <c r="M73" s="3">
        <f t="shared" si="5"/>
        <v>70.3</v>
      </c>
      <c r="N73" s="3">
        <v>7.1</v>
      </c>
      <c r="O73" s="3">
        <f t="shared" si="10"/>
        <v>58.600000000000009</v>
      </c>
      <c r="P73" s="3">
        <v>33</v>
      </c>
      <c r="Q73" s="3">
        <f t="shared" si="9"/>
        <v>0.47892561983471071</v>
      </c>
      <c r="R73" s="7">
        <f t="shared" si="1"/>
        <v>0.33524793388429747</v>
      </c>
      <c r="S73" s="7">
        <f t="shared" si="2"/>
        <v>7.4647520661157021</v>
      </c>
      <c r="T73" s="7">
        <f t="shared" si="8"/>
        <v>76.390371900826452</v>
      </c>
      <c r="V73" s="3">
        <v>332.8</v>
      </c>
      <c r="X73" s="3">
        <f t="shared" si="6"/>
        <v>33409.499999999993</v>
      </c>
      <c r="AA73" s="3">
        <v>11.393441784411801</v>
      </c>
    </row>
    <row r="74" spans="1:27" s="3" customFormat="1" x14ac:dyDescent="0.25">
      <c r="A74" s="72"/>
      <c r="B74" s="8"/>
      <c r="C74" s="9">
        <v>41190</v>
      </c>
      <c r="D74" s="3">
        <v>17.2</v>
      </c>
      <c r="E74" s="3">
        <v>15</v>
      </c>
      <c r="F74" s="3">
        <v>19.100000000000001</v>
      </c>
      <c r="G74" s="3">
        <f t="shared" si="3"/>
        <v>487.69999999999987</v>
      </c>
      <c r="J74" s="3">
        <v>18.2</v>
      </c>
      <c r="K74" s="3">
        <f t="shared" si="4"/>
        <v>115.00000000000001</v>
      </c>
      <c r="L74" s="3">
        <v>0.5</v>
      </c>
      <c r="M74" s="3">
        <f t="shared" si="5"/>
        <v>70.8</v>
      </c>
      <c r="N74" s="3">
        <v>17.7</v>
      </c>
      <c r="O74" s="3">
        <f t="shared" si="10"/>
        <v>76.300000000000011</v>
      </c>
      <c r="P74" s="3">
        <v>34</v>
      </c>
      <c r="Q74" s="3">
        <f t="shared" si="9"/>
        <v>0.484297520661157</v>
      </c>
      <c r="R74" s="7">
        <f t="shared" si="1"/>
        <v>0.2421487603305785</v>
      </c>
      <c r="S74" s="7">
        <f t="shared" si="2"/>
        <v>17.95785123966942</v>
      </c>
      <c r="T74" s="7">
        <f t="shared" si="8"/>
        <v>94.348223140495875</v>
      </c>
      <c r="V74" s="3">
        <v>205.1</v>
      </c>
      <c r="X74" s="3">
        <f t="shared" si="6"/>
        <v>33614.599999999991</v>
      </c>
      <c r="AA74" s="3">
        <v>11.335801225446801</v>
      </c>
    </row>
    <row r="75" spans="1:27" s="3" customFormat="1" x14ac:dyDescent="0.25">
      <c r="A75" s="72"/>
      <c r="B75" s="8"/>
      <c r="C75" s="9">
        <v>41191</v>
      </c>
      <c r="D75" s="3">
        <v>17.3</v>
      </c>
      <c r="E75" s="3">
        <v>16.399999999999999</v>
      </c>
      <c r="F75" s="3">
        <v>18.899999999999999</v>
      </c>
      <c r="G75" s="3">
        <f t="shared" si="3"/>
        <v>504.99999999999989</v>
      </c>
      <c r="J75" s="3">
        <v>3.8</v>
      </c>
      <c r="K75" s="3">
        <f t="shared" si="4"/>
        <v>118.80000000000001</v>
      </c>
      <c r="L75" s="3">
        <v>1</v>
      </c>
      <c r="M75" s="3">
        <f t="shared" si="5"/>
        <v>71.8</v>
      </c>
      <c r="N75" s="3">
        <v>2.8</v>
      </c>
      <c r="O75" s="3">
        <f t="shared" si="10"/>
        <v>79.100000000000009</v>
      </c>
      <c r="P75" s="3">
        <v>35</v>
      </c>
      <c r="Q75" s="3">
        <f t="shared" si="9"/>
        <v>0.48966942148760328</v>
      </c>
      <c r="R75" s="7">
        <f t="shared" si="1"/>
        <v>0.48966942148760328</v>
      </c>
      <c r="S75" s="7">
        <f t="shared" si="2"/>
        <v>3.3103305785123966</v>
      </c>
      <c r="T75" s="7">
        <f t="shared" si="8"/>
        <v>97.658553719008268</v>
      </c>
      <c r="V75" s="3">
        <v>329.9</v>
      </c>
      <c r="X75" s="3">
        <f t="shared" si="6"/>
        <v>33944.499999999993</v>
      </c>
      <c r="AA75" s="3">
        <v>11.278234064892301</v>
      </c>
    </row>
    <row r="76" spans="1:27" s="3" customFormat="1" x14ac:dyDescent="0.25">
      <c r="A76" s="72"/>
      <c r="B76" s="8"/>
      <c r="C76" s="9">
        <v>41192</v>
      </c>
      <c r="D76" s="3">
        <v>16.600000000000001</v>
      </c>
      <c r="E76" s="3">
        <v>15.3</v>
      </c>
      <c r="F76" s="3">
        <v>19</v>
      </c>
      <c r="G76" s="3">
        <f t="shared" si="3"/>
        <v>521.59999999999991</v>
      </c>
      <c r="J76" s="3">
        <v>6.1</v>
      </c>
      <c r="K76" s="3">
        <f t="shared" si="4"/>
        <v>124.9</v>
      </c>
      <c r="L76" s="3">
        <v>0.9</v>
      </c>
      <c r="M76" s="3">
        <f t="shared" si="5"/>
        <v>72.7</v>
      </c>
      <c r="N76" s="3">
        <v>5.1999999999999993</v>
      </c>
      <c r="O76" s="3">
        <f t="shared" si="10"/>
        <v>84.300000000000011</v>
      </c>
      <c r="P76" s="3">
        <v>36</v>
      </c>
      <c r="Q76" s="3">
        <f t="shared" si="9"/>
        <v>0.49504132231404957</v>
      </c>
      <c r="R76" s="7">
        <f t="shared" si="1"/>
        <v>0.44553719008264464</v>
      </c>
      <c r="S76" s="7">
        <f t="shared" si="2"/>
        <v>5.6544628099173551</v>
      </c>
      <c r="T76" s="7">
        <f t="shared" si="8"/>
        <v>103.31301652892563</v>
      </c>
      <c r="V76" s="3">
        <v>353.9</v>
      </c>
      <c r="X76" s="3">
        <f t="shared" si="6"/>
        <v>34298.399999999994</v>
      </c>
      <c r="AA76" s="3">
        <v>11.220747968898101</v>
      </c>
    </row>
    <row r="77" spans="1:27" s="3" customFormat="1" x14ac:dyDescent="0.25">
      <c r="A77" s="72"/>
      <c r="B77" s="8"/>
      <c r="C77" s="9">
        <v>41193</v>
      </c>
      <c r="D77" s="3">
        <v>16.5</v>
      </c>
      <c r="E77" s="3">
        <v>15.6</v>
      </c>
      <c r="F77" s="3">
        <v>20.399999999999999</v>
      </c>
      <c r="G77" s="3">
        <f t="shared" si="3"/>
        <v>538.09999999999991</v>
      </c>
      <c r="J77" s="3">
        <v>6</v>
      </c>
      <c r="K77" s="3">
        <f t="shared" si="4"/>
        <v>130.9</v>
      </c>
      <c r="L77" s="3">
        <v>1.3</v>
      </c>
      <c r="M77" s="3">
        <f t="shared" si="5"/>
        <v>74</v>
      </c>
      <c r="N77" s="3">
        <v>4.7</v>
      </c>
      <c r="O77" s="3">
        <f t="shared" si="10"/>
        <v>89.000000000000014</v>
      </c>
      <c r="P77" s="3">
        <v>37</v>
      </c>
      <c r="Q77" s="3">
        <f t="shared" si="9"/>
        <v>0.50041322314049586</v>
      </c>
      <c r="R77" s="7">
        <f t="shared" si="1"/>
        <v>0.65053719008264466</v>
      </c>
      <c r="S77" s="7">
        <f t="shared" si="2"/>
        <v>5.3494628099173553</v>
      </c>
      <c r="T77" s="7">
        <f t="shared" si="8"/>
        <v>108.66247933884299</v>
      </c>
      <c r="V77" s="3">
        <v>342.8</v>
      </c>
      <c r="X77" s="3">
        <f t="shared" si="6"/>
        <v>34641.199999999997</v>
      </c>
      <c r="AA77" s="3">
        <v>11.163350894371</v>
      </c>
    </row>
    <row r="78" spans="1:27" s="3" customFormat="1" x14ac:dyDescent="0.25">
      <c r="A78" s="72"/>
      <c r="B78" s="8"/>
      <c r="C78" s="9">
        <v>41194</v>
      </c>
      <c r="D78" s="3">
        <v>12.2</v>
      </c>
      <c r="E78" s="3">
        <v>8.1999999999999993</v>
      </c>
      <c r="F78" s="3">
        <v>16.399999999999999</v>
      </c>
      <c r="G78" s="3">
        <f t="shared" si="3"/>
        <v>550.29999999999995</v>
      </c>
      <c r="J78" s="3">
        <v>4.8</v>
      </c>
      <c r="K78" s="3">
        <f t="shared" si="4"/>
        <v>135.70000000000002</v>
      </c>
      <c r="L78" s="3">
        <v>2</v>
      </c>
      <c r="M78" s="3">
        <f t="shared" si="5"/>
        <v>76</v>
      </c>
      <c r="N78" s="3">
        <v>2.8</v>
      </c>
      <c r="O78" s="3">
        <f t="shared" si="10"/>
        <v>91.800000000000011</v>
      </c>
      <c r="P78" s="3">
        <v>38</v>
      </c>
      <c r="Q78" s="3">
        <f t="shared" si="9"/>
        <v>0.5057851239669422</v>
      </c>
      <c r="R78" s="7">
        <f t="shared" si="1"/>
        <v>1.0115702479338844</v>
      </c>
      <c r="S78" s="7">
        <f t="shared" si="2"/>
        <v>3.7884297520661154</v>
      </c>
      <c r="T78" s="7">
        <f t="shared" si="8"/>
        <v>112.45090909090911</v>
      </c>
      <c r="V78" s="3">
        <v>1058.3</v>
      </c>
      <c r="X78" s="3">
        <f t="shared" si="6"/>
        <v>35699.5</v>
      </c>
      <c r="AA78" s="3">
        <v>11.1060511071659</v>
      </c>
    </row>
    <row r="79" spans="1:27" s="3" customFormat="1" x14ac:dyDescent="0.25">
      <c r="A79" s="72"/>
      <c r="B79" s="8"/>
      <c r="C79" s="9">
        <v>41195</v>
      </c>
      <c r="D79" s="3">
        <v>11.1</v>
      </c>
      <c r="E79" s="3">
        <v>11</v>
      </c>
      <c r="F79" s="3">
        <v>12.8</v>
      </c>
      <c r="G79" s="3">
        <f t="shared" si="3"/>
        <v>561.4</v>
      </c>
      <c r="J79" s="3">
        <v>2.2999999999999998</v>
      </c>
      <c r="K79" s="3">
        <f t="shared" si="4"/>
        <v>138.00000000000003</v>
      </c>
      <c r="L79" s="3">
        <v>1.4</v>
      </c>
      <c r="M79" s="3">
        <f t="shared" si="5"/>
        <v>77.400000000000006</v>
      </c>
      <c r="N79" s="3">
        <v>0.89999999999999991</v>
      </c>
      <c r="O79" s="3">
        <f t="shared" si="10"/>
        <v>92.700000000000017</v>
      </c>
      <c r="P79" s="3">
        <v>39</v>
      </c>
      <c r="Q79" s="3">
        <f t="shared" si="9"/>
        <v>0.51115702479338843</v>
      </c>
      <c r="R79" s="7">
        <f t="shared" si="1"/>
        <v>0.71561983471074375</v>
      </c>
      <c r="S79" s="7">
        <f t="shared" si="2"/>
        <v>1.584380165289256</v>
      </c>
      <c r="T79" s="7">
        <f t="shared" si="8"/>
        <v>114.03528925619837</v>
      </c>
      <c r="V79" s="3">
        <v>857.2</v>
      </c>
      <c r="X79" s="3">
        <f t="shared" si="6"/>
        <v>36556.699999999997</v>
      </c>
      <c r="AA79" s="3">
        <v>11.0488572003194</v>
      </c>
    </row>
    <row r="80" spans="1:27" s="3" customFormat="1" x14ac:dyDescent="0.25">
      <c r="A80" s="72"/>
      <c r="B80" s="8"/>
      <c r="C80" s="9">
        <v>41196</v>
      </c>
      <c r="D80" s="3">
        <v>9</v>
      </c>
      <c r="E80" s="3">
        <v>8.1999999999999993</v>
      </c>
      <c r="F80" s="3">
        <v>12.3</v>
      </c>
      <c r="G80" s="3">
        <f t="shared" si="3"/>
        <v>570.4</v>
      </c>
      <c r="J80" s="3">
        <v>0.2</v>
      </c>
      <c r="K80" s="3">
        <f t="shared" si="4"/>
        <v>138.20000000000002</v>
      </c>
      <c r="L80" s="3">
        <v>1.6</v>
      </c>
      <c r="M80" s="3">
        <f t="shared" si="5"/>
        <v>79</v>
      </c>
      <c r="N80" s="3">
        <v>-1.4000000000000001</v>
      </c>
      <c r="O80" s="3">
        <f t="shared" si="10"/>
        <v>91.300000000000011</v>
      </c>
      <c r="P80" s="3">
        <v>40</v>
      </c>
      <c r="Q80" s="3">
        <f t="shared" si="9"/>
        <v>0.51652892561983466</v>
      </c>
      <c r="R80" s="7">
        <f t="shared" si="1"/>
        <v>0.82644628099173545</v>
      </c>
      <c r="S80" s="7">
        <f t="shared" si="2"/>
        <v>-0.62644628099173549</v>
      </c>
      <c r="T80" s="7">
        <f t="shared" si="8"/>
        <v>113.40884297520664</v>
      </c>
      <c r="V80" s="3">
        <v>843.1</v>
      </c>
      <c r="X80" s="3">
        <f t="shared" si="6"/>
        <v>37399.799999999996</v>
      </c>
      <c r="AA80" s="3">
        <v>10.9917781123049</v>
      </c>
    </row>
    <row r="81" spans="1:27" s="3" customFormat="1" x14ac:dyDescent="0.25">
      <c r="A81" s="72"/>
      <c r="B81" s="8"/>
      <c r="C81" s="9">
        <v>41197</v>
      </c>
      <c r="D81" s="3">
        <v>10.5</v>
      </c>
      <c r="E81" s="3">
        <v>5.3</v>
      </c>
      <c r="F81" s="3">
        <v>14.6</v>
      </c>
      <c r="G81" s="3">
        <f t="shared" si="3"/>
        <v>580.9</v>
      </c>
      <c r="J81" s="3">
        <v>3.2</v>
      </c>
      <c r="K81" s="3">
        <f t="shared" si="4"/>
        <v>141.4</v>
      </c>
      <c r="L81" s="3">
        <v>1.6</v>
      </c>
      <c r="M81" s="3">
        <f t="shared" si="5"/>
        <v>80.599999999999994</v>
      </c>
      <c r="N81" s="3">
        <v>1.6</v>
      </c>
      <c r="O81" s="3">
        <f t="shared" si="10"/>
        <v>92.9</v>
      </c>
      <c r="P81" s="3">
        <v>41</v>
      </c>
      <c r="Q81" s="3">
        <f t="shared" si="9"/>
        <v>0.521900826446281</v>
      </c>
      <c r="R81" s="7">
        <f t="shared" si="1"/>
        <v>0.83504132231404959</v>
      </c>
      <c r="S81" s="7">
        <f t="shared" si="2"/>
        <v>2.3649586776859506</v>
      </c>
      <c r="T81" s="7">
        <f t="shared" si="8"/>
        <v>115.77380165289259</v>
      </c>
      <c r="V81" s="3">
        <v>931.1</v>
      </c>
      <c r="X81" s="3">
        <f t="shared" si="6"/>
        <v>38330.899999999994</v>
      </c>
      <c r="AA81" s="3">
        <v>10.9348231452836</v>
      </c>
    </row>
    <row r="82" spans="1:27" s="3" customFormat="1" x14ac:dyDescent="0.25">
      <c r="A82" s="72"/>
      <c r="B82" s="8"/>
      <c r="C82" s="9">
        <v>41198</v>
      </c>
      <c r="D82" s="3">
        <v>12.5</v>
      </c>
      <c r="E82" s="3">
        <v>9.4</v>
      </c>
      <c r="F82" s="3">
        <v>14.9</v>
      </c>
      <c r="G82" s="3">
        <f t="shared" si="3"/>
        <v>593.4</v>
      </c>
      <c r="J82" s="3">
        <v>9.1</v>
      </c>
      <c r="K82" s="3">
        <f t="shared" si="4"/>
        <v>150.5</v>
      </c>
      <c r="L82" s="3">
        <v>1</v>
      </c>
      <c r="M82" s="3">
        <f t="shared" si="5"/>
        <v>81.599999999999994</v>
      </c>
      <c r="N82" s="3">
        <v>8.1</v>
      </c>
      <c r="O82" s="3">
        <f t="shared" si="10"/>
        <v>101</v>
      </c>
      <c r="P82" s="3">
        <v>42</v>
      </c>
      <c r="Q82" s="3">
        <f t="shared" si="9"/>
        <v>0.52727272727272723</v>
      </c>
      <c r="R82" s="7">
        <f t="shared" si="1"/>
        <v>0.52727272727272723</v>
      </c>
      <c r="S82" s="7">
        <f t="shared" si="2"/>
        <v>8.5727272727272723</v>
      </c>
      <c r="T82" s="7">
        <f t="shared" si="8"/>
        <v>124.34652892561986</v>
      </c>
      <c r="V82" s="3">
        <v>474.1</v>
      </c>
      <c r="X82" s="3">
        <f t="shared" si="6"/>
        <v>38804.999999999993</v>
      </c>
      <c r="AA82" s="3">
        <v>10.878001983322999</v>
      </c>
    </row>
    <row r="83" spans="1:27" s="3" customFormat="1" x14ac:dyDescent="0.25">
      <c r="A83" s="72"/>
      <c r="B83" s="8"/>
      <c r="C83" s="9">
        <v>41199</v>
      </c>
      <c r="D83" s="3">
        <v>13.8</v>
      </c>
      <c r="E83" s="3">
        <v>12.5</v>
      </c>
      <c r="F83" s="3">
        <v>15.5</v>
      </c>
      <c r="G83" s="3">
        <f t="shared" si="3"/>
        <v>607.19999999999993</v>
      </c>
      <c r="J83" s="3">
        <v>5.8</v>
      </c>
      <c r="K83" s="3">
        <f t="shared" si="4"/>
        <v>156.30000000000001</v>
      </c>
      <c r="L83" s="3">
        <v>1</v>
      </c>
      <c r="M83" s="3">
        <f t="shared" si="5"/>
        <v>82.6</v>
      </c>
      <c r="N83" s="3">
        <v>4.8</v>
      </c>
      <c r="O83" s="3">
        <f t="shared" si="10"/>
        <v>105.8</v>
      </c>
      <c r="P83" s="3">
        <v>43</v>
      </c>
      <c r="Q83" s="3">
        <f t="shared" si="9"/>
        <v>0.53264462809917357</v>
      </c>
      <c r="R83" s="7">
        <f t="shared" si="1"/>
        <v>0.53264462809917357</v>
      </c>
      <c r="S83" s="7">
        <f t="shared" si="2"/>
        <v>5.2673553719008259</v>
      </c>
      <c r="T83" s="7">
        <f t="shared" si="8"/>
        <v>129.61388429752068</v>
      </c>
      <c r="V83" s="3">
        <v>414</v>
      </c>
      <c r="X83" s="3">
        <f t="shared" si="6"/>
        <v>39218.999999999993</v>
      </c>
      <c r="AA83" s="3">
        <v>10.8213247105489</v>
      </c>
    </row>
    <row r="84" spans="1:27" s="3" customFormat="1" x14ac:dyDescent="0.25">
      <c r="A84" s="72"/>
      <c r="B84" s="8"/>
      <c r="C84" s="9">
        <v>41200</v>
      </c>
      <c r="D84" s="3">
        <v>13</v>
      </c>
      <c r="E84" s="3">
        <v>12.2</v>
      </c>
      <c r="F84" s="3">
        <v>15.1</v>
      </c>
      <c r="G84" s="3">
        <f t="shared" si="3"/>
        <v>620.19999999999993</v>
      </c>
      <c r="J84" s="3">
        <v>15.6</v>
      </c>
      <c r="K84" s="3">
        <f t="shared" si="4"/>
        <v>171.9</v>
      </c>
      <c r="L84" s="3">
        <v>0.7</v>
      </c>
      <c r="M84" s="3">
        <f t="shared" si="5"/>
        <v>83.3</v>
      </c>
      <c r="N84" s="3">
        <v>14.9</v>
      </c>
      <c r="O84" s="3">
        <f t="shared" si="10"/>
        <v>120.7</v>
      </c>
      <c r="P84" s="3">
        <v>44</v>
      </c>
      <c r="Q84" s="3">
        <f t="shared" si="9"/>
        <v>0.5380165289256198</v>
      </c>
      <c r="R84" s="7">
        <f t="shared" si="1"/>
        <v>0.37661157024793385</v>
      </c>
      <c r="S84" s="7">
        <f t="shared" si="2"/>
        <v>15.223388429752065</v>
      </c>
      <c r="T84" s="7">
        <f t="shared" si="8"/>
        <v>144.83727272727276</v>
      </c>
      <c r="V84" s="3">
        <v>352.9</v>
      </c>
      <c r="X84" s="3">
        <f t="shared" si="6"/>
        <v>39571.899999999994</v>
      </c>
      <c r="AA84" s="3">
        <v>10.764801829194701</v>
      </c>
    </row>
    <row r="85" spans="1:27" s="3" customFormat="1" x14ac:dyDescent="0.25">
      <c r="A85" s="72"/>
      <c r="B85" s="8"/>
      <c r="C85" s="9">
        <v>41201</v>
      </c>
      <c r="D85" s="3">
        <v>11.1</v>
      </c>
      <c r="E85" s="3">
        <v>10.6</v>
      </c>
      <c r="F85" s="3">
        <v>12.3</v>
      </c>
      <c r="G85" s="3">
        <f t="shared" si="3"/>
        <v>631.29999999999995</v>
      </c>
      <c r="J85" s="3">
        <v>1.9</v>
      </c>
      <c r="K85" s="3">
        <f t="shared" si="4"/>
        <v>173.8</v>
      </c>
      <c r="L85" s="3">
        <v>0.4</v>
      </c>
      <c r="M85" s="3">
        <f t="shared" si="5"/>
        <v>83.7</v>
      </c>
      <c r="N85" s="3">
        <v>1.5</v>
      </c>
      <c r="O85" s="3">
        <f t="shared" si="10"/>
        <v>122.2</v>
      </c>
      <c r="P85" s="3">
        <v>45</v>
      </c>
      <c r="Q85" s="3">
        <f t="shared" si="9"/>
        <v>0.54338842975206614</v>
      </c>
      <c r="R85" s="7">
        <f t="shared" si="1"/>
        <v>0.21735537190082646</v>
      </c>
      <c r="S85" s="7">
        <f t="shared" si="2"/>
        <v>1.6826446280991734</v>
      </c>
      <c r="T85" s="7">
        <f t="shared" si="8"/>
        <v>146.51991735537194</v>
      </c>
      <c r="V85" s="3">
        <v>197.1</v>
      </c>
      <c r="X85" s="3">
        <f t="shared" si="6"/>
        <v>39768.999999999993</v>
      </c>
      <c r="AA85" s="3">
        <v>10.7084442775047</v>
      </c>
    </row>
    <row r="86" spans="1:27" s="3" customFormat="1" x14ac:dyDescent="0.25">
      <c r="A86" s="72"/>
      <c r="B86" s="8"/>
      <c r="C86" s="9">
        <v>41202</v>
      </c>
      <c r="D86" s="3">
        <v>11.4</v>
      </c>
      <c r="E86" s="3">
        <v>8.9</v>
      </c>
      <c r="F86" s="3">
        <v>12.9</v>
      </c>
      <c r="G86" s="3">
        <f t="shared" si="3"/>
        <v>642.69999999999993</v>
      </c>
      <c r="J86" s="3">
        <v>5</v>
      </c>
      <c r="K86" s="3">
        <f t="shared" si="4"/>
        <v>178.8</v>
      </c>
      <c r="L86" s="3">
        <v>0.4</v>
      </c>
      <c r="M86" s="3">
        <f t="shared" si="5"/>
        <v>84.100000000000009</v>
      </c>
      <c r="N86" s="3">
        <v>4.5999999999999996</v>
      </c>
      <c r="O86" s="3">
        <f t="shared" si="10"/>
        <v>126.8</v>
      </c>
      <c r="P86" s="3">
        <v>46</v>
      </c>
      <c r="Q86" s="3">
        <f t="shared" si="9"/>
        <v>0.54876033057851237</v>
      </c>
      <c r="R86" s="7">
        <f t="shared" si="1"/>
        <v>0.21950413223140497</v>
      </c>
      <c r="S86" s="7">
        <f t="shared" si="2"/>
        <v>4.7804958677685949</v>
      </c>
      <c r="T86" s="7">
        <f t="shared" si="8"/>
        <v>151.30041322314054</v>
      </c>
      <c r="V86" s="3">
        <v>241.1</v>
      </c>
      <c r="X86" s="3">
        <f t="shared" si="6"/>
        <v>40010.099999999991</v>
      </c>
      <c r="AA86" s="3">
        <v>10.652263447446201</v>
      </c>
    </row>
    <row r="87" spans="1:27" s="3" customFormat="1" x14ac:dyDescent="0.25">
      <c r="A87" s="72"/>
      <c r="B87" s="8"/>
      <c r="C87" s="9">
        <v>41203</v>
      </c>
      <c r="D87" s="3">
        <v>13.6</v>
      </c>
      <c r="E87" s="3">
        <v>12.1</v>
      </c>
      <c r="F87" s="3">
        <v>14.5</v>
      </c>
      <c r="G87" s="3">
        <f t="shared" si="3"/>
        <v>656.3</v>
      </c>
      <c r="J87" s="3">
        <v>0.7</v>
      </c>
      <c r="K87" s="3">
        <f t="shared" si="4"/>
        <v>179.5</v>
      </c>
      <c r="L87" s="3">
        <v>0.4</v>
      </c>
      <c r="M87" s="3">
        <f t="shared" si="5"/>
        <v>84.500000000000014</v>
      </c>
      <c r="N87" s="3">
        <v>0.29999999999999993</v>
      </c>
      <c r="O87" s="3">
        <f t="shared" si="10"/>
        <v>127.1</v>
      </c>
      <c r="P87" s="3">
        <v>47</v>
      </c>
      <c r="Q87" s="3">
        <f t="shared" si="9"/>
        <v>0.55413223140495871</v>
      </c>
      <c r="R87" s="7">
        <f t="shared" si="1"/>
        <v>0.22165289256198351</v>
      </c>
      <c r="S87" s="7">
        <f t="shared" si="2"/>
        <v>0.47834710743801645</v>
      </c>
      <c r="T87" s="7">
        <f t="shared" si="8"/>
        <v>151.77876033057856</v>
      </c>
      <c r="V87" s="3">
        <v>189.9</v>
      </c>
      <c r="X87" s="3">
        <f t="shared" si="6"/>
        <v>40199.999999999993</v>
      </c>
      <c r="AA87" s="3">
        <v>10.5962712021773</v>
      </c>
    </row>
    <row r="88" spans="1:27" s="3" customFormat="1" x14ac:dyDescent="0.25">
      <c r="A88" s="72"/>
      <c r="B88" s="8"/>
      <c r="C88" s="9">
        <v>41204</v>
      </c>
      <c r="D88" s="3">
        <v>15.3</v>
      </c>
      <c r="E88" s="3">
        <v>13.6</v>
      </c>
      <c r="F88" s="3">
        <v>16.899999999999999</v>
      </c>
      <c r="G88" s="3">
        <f t="shared" si="3"/>
        <v>671.59999999999991</v>
      </c>
      <c r="J88" s="3">
        <v>0.4</v>
      </c>
      <c r="K88" s="3">
        <f t="shared" si="4"/>
        <v>179.9</v>
      </c>
      <c r="L88" s="3">
        <v>0.6</v>
      </c>
      <c r="M88" s="3">
        <f t="shared" si="5"/>
        <v>85.100000000000009</v>
      </c>
      <c r="N88" s="3">
        <v>-0.19999999999999996</v>
      </c>
      <c r="O88" s="3">
        <f t="shared" si="10"/>
        <v>126.89999999999999</v>
      </c>
      <c r="P88" s="3">
        <v>48</v>
      </c>
      <c r="Q88" s="3">
        <f t="shared" si="9"/>
        <v>0.55950413223140494</v>
      </c>
      <c r="R88" s="7">
        <f t="shared" si="1"/>
        <v>0.33570247933884295</v>
      </c>
      <c r="S88" s="7">
        <f t="shared" si="2"/>
        <v>6.429752066115707E-2</v>
      </c>
      <c r="T88" s="7">
        <f t="shared" si="8"/>
        <v>151.84305785123973</v>
      </c>
      <c r="V88" s="3">
        <v>275</v>
      </c>
      <c r="X88" s="3">
        <f t="shared" si="6"/>
        <v>40474.999999999993</v>
      </c>
      <c r="AA88" s="3">
        <v>10.540479893213901</v>
      </c>
    </row>
    <row r="89" spans="1:27" s="3" customFormat="1" x14ac:dyDescent="0.25">
      <c r="A89" s="72"/>
      <c r="B89" s="8"/>
      <c r="C89" s="9">
        <v>41205</v>
      </c>
      <c r="D89" s="3">
        <v>15.7</v>
      </c>
      <c r="E89" s="3">
        <v>14.4</v>
      </c>
      <c r="F89" s="3">
        <v>18.2</v>
      </c>
      <c r="G89" s="3">
        <f t="shared" si="3"/>
        <v>687.3</v>
      </c>
      <c r="J89" s="3">
        <v>0</v>
      </c>
      <c r="K89" s="3">
        <f t="shared" si="4"/>
        <v>179.9</v>
      </c>
      <c r="L89" s="3">
        <v>0.9</v>
      </c>
      <c r="M89" s="3">
        <f t="shared" si="5"/>
        <v>86.000000000000014</v>
      </c>
      <c r="N89" s="3">
        <v>-0.9</v>
      </c>
      <c r="O89" s="3">
        <f t="shared" si="10"/>
        <v>125.99999999999999</v>
      </c>
      <c r="P89" s="3">
        <v>49</v>
      </c>
      <c r="Q89" s="3">
        <f t="shared" si="9"/>
        <v>0.56487603305785128</v>
      </c>
      <c r="R89" s="7">
        <f t="shared" si="1"/>
        <v>0.50838842975206622</v>
      </c>
      <c r="S89" s="7">
        <f t="shared" si="2"/>
        <v>-0.50838842975206622</v>
      </c>
      <c r="T89" s="7">
        <f t="shared" si="8"/>
        <v>151.33466942148766</v>
      </c>
      <c r="V89" s="3">
        <v>454.7</v>
      </c>
      <c r="X89" s="3">
        <f t="shared" si="6"/>
        <v>40929.69999999999</v>
      </c>
      <c r="AA89" s="3">
        <v>10.4849023772331</v>
      </c>
    </row>
    <row r="90" spans="1:27" s="3" customFormat="1" x14ac:dyDescent="0.25">
      <c r="A90" s="72"/>
      <c r="B90" s="8"/>
      <c r="C90" s="9">
        <v>41206</v>
      </c>
      <c r="D90" s="3">
        <v>13</v>
      </c>
      <c r="E90" s="3">
        <v>11.3</v>
      </c>
      <c r="F90" s="3">
        <v>14.6</v>
      </c>
      <c r="G90" s="3">
        <f t="shared" si="3"/>
        <v>700.3</v>
      </c>
      <c r="J90" s="3">
        <v>0</v>
      </c>
      <c r="K90" s="3">
        <f t="shared" si="4"/>
        <v>179.9</v>
      </c>
      <c r="L90" s="3">
        <v>0.8</v>
      </c>
      <c r="M90" s="3">
        <f t="shared" si="5"/>
        <v>86.800000000000011</v>
      </c>
      <c r="N90" s="3">
        <v>-0.8</v>
      </c>
      <c r="O90" s="3">
        <f t="shared" si="10"/>
        <v>125.19999999999999</v>
      </c>
      <c r="P90" s="3">
        <v>50</v>
      </c>
      <c r="Q90" s="3">
        <f t="shared" si="9"/>
        <v>0.57024793388429751</v>
      </c>
      <c r="R90" s="7">
        <f t="shared" si="1"/>
        <v>0.45619834710743801</v>
      </c>
      <c r="S90" s="7">
        <f t="shared" si="2"/>
        <v>-0.45619834710743801</v>
      </c>
      <c r="T90" s="7">
        <f t="shared" si="8"/>
        <v>150.87847107438023</v>
      </c>
      <c r="V90" s="3">
        <v>287.89999999999998</v>
      </c>
      <c r="X90" s="3">
        <f t="shared" si="6"/>
        <v>41217.599999999991</v>
      </c>
      <c r="AA90" s="3">
        <v>10.429552032444199</v>
      </c>
    </row>
    <row r="91" spans="1:27" s="3" customFormat="1" x14ac:dyDescent="0.25">
      <c r="A91" s="72"/>
      <c r="B91" s="8"/>
      <c r="C91" s="9">
        <v>41207</v>
      </c>
      <c r="D91" s="3">
        <v>11.3</v>
      </c>
      <c r="E91" s="3">
        <v>11</v>
      </c>
      <c r="F91" s="3">
        <v>11.6</v>
      </c>
      <c r="G91" s="3">
        <f t="shared" si="3"/>
        <v>711.59999999999991</v>
      </c>
      <c r="J91" s="3">
        <v>0</v>
      </c>
      <c r="K91" s="3">
        <f t="shared" si="4"/>
        <v>179.9</v>
      </c>
      <c r="L91" s="3">
        <v>0.7</v>
      </c>
      <c r="M91" s="3">
        <f t="shared" si="5"/>
        <v>87.500000000000014</v>
      </c>
      <c r="N91" s="3">
        <v>-0.7</v>
      </c>
      <c r="O91" s="3">
        <f t="shared" si="10"/>
        <v>124.49999999999999</v>
      </c>
      <c r="P91" s="3">
        <v>51</v>
      </c>
      <c r="Q91" s="3">
        <f t="shared" si="9"/>
        <v>0.57561983471074374</v>
      </c>
      <c r="R91" s="7">
        <f t="shared" si="1"/>
        <v>0.40293388429752058</v>
      </c>
      <c r="S91" s="7">
        <f t="shared" si="2"/>
        <v>-0.40293388429752058</v>
      </c>
      <c r="T91" s="7">
        <f t="shared" si="8"/>
        <v>150.47553719008272</v>
      </c>
      <c r="V91" s="3">
        <v>377.8</v>
      </c>
      <c r="X91" s="3">
        <f t="shared" si="6"/>
        <v>41595.399999999994</v>
      </c>
      <c r="AA91" s="3">
        <v>10.374442774453</v>
      </c>
    </row>
    <row r="92" spans="1:27" s="3" customFormat="1" x14ac:dyDescent="0.25">
      <c r="A92" s="72"/>
      <c r="B92" s="8"/>
      <c r="C92" s="9">
        <v>41208</v>
      </c>
      <c r="D92" s="3">
        <v>11</v>
      </c>
      <c r="E92" s="3">
        <v>10</v>
      </c>
      <c r="F92" s="3">
        <v>13.4</v>
      </c>
      <c r="G92" s="3">
        <f t="shared" si="3"/>
        <v>722.59999999999991</v>
      </c>
      <c r="J92" s="3">
        <v>0</v>
      </c>
      <c r="K92" s="3">
        <f t="shared" si="4"/>
        <v>179.9</v>
      </c>
      <c r="L92" s="3">
        <v>1</v>
      </c>
      <c r="M92" s="3">
        <f t="shared" si="5"/>
        <v>88.500000000000014</v>
      </c>
      <c r="N92" s="3">
        <v>-1</v>
      </c>
      <c r="O92" s="3">
        <f t="shared" si="10"/>
        <v>123.49999999999999</v>
      </c>
      <c r="P92" s="3">
        <v>52</v>
      </c>
      <c r="Q92" s="3">
        <f t="shared" si="9"/>
        <v>0.58099173553719008</v>
      </c>
      <c r="R92" s="7">
        <f t="shared" si="1"/>
        <v>0.58099173553719008</v>
      </c>
      <c r="S92" s="7">
        <f t="shared" si="2"/>
        <v>-0.58099173553719008</v>
      </c>
      <c r="T92" s="7">
        <f t="shared" si="8"/>
        <v>149.89454545454552</v>
      </c>
      <c r="V92" s="3">
        <v>200.7</v>
      </c>
      <c r="X92" s="3">
        <f t="shared" si="6"/>
        <v>41796.099999999991</v>
      </c>
      <c r="AA92" s="3">
        <v>10.3195890715385</v>
      </c>
    </row>
    <row r="93" spans="1:27" s="3" customFormat="1" x14ac:dyDescent="0.25">
      <c r="A93" s="72"/>
      <c r="B93" s="8"/>
      <c r="C93" s="9">
        <v>41209</v>
      </c>
      <c r="D93" s="3">
        <v>6.9</v>
      </c>
      <c r="E93" s="3">
        <v>5.4</v>
      </c>
      <c r="F93" s="3">
        <v>9.1</v>
      </c>
      <c r="G93" s="3">
        <f t="shared" si="3"/>
        <v>729.49999999999989</v>
      </c>
      <c r="J93" s="3">
        <v>0</v>
      </c>
      <c r="K93" s="3">
        <f t="shared" si="4"/>
        <v>179.9</v>
      </c>
      <c r="L93" s="3">
        <v>1.8</v>
      </c>
      <c r="M93" s="3">
        <f t="shared" si="5"/>
        <v>90.300000000000011</v>
      </c>
      <c r="N93" s="3">
        <v>-1.8</v>
      </c>
      <c r="O93" s="3">
        <f t="shared" si="10"/>
        <v>121.69999999999999</v>
      </c>
      <c r="P93" s="3">
        <v>53</v>
      </c>
      <c r="Q93" s="3">
        <f t="shared" si="9"/>
        <v>0.58636363636363642</v>
      </c>
      <c r="R93" s="7">
        <f t="shared" si="1"/>
        <v>1.0554545454545456</v>
      </c>
      <c r="S93" s="7">
        <f t="shared" si="2"/>
        <v>-1.0554545454545456</v>
      </c>
      <c r="T93" s="7">
        <f t="shared" si="8"/>
        <v>148.83909090909097</v>
      </c>
      <c r="V93" s="3">
        <v>702.5</v>
      </c>
      <c r="X93" s="3">
        <f t="shared" si="6"/>
        <v>42498.599999999991</v>
      </c>
      <c r="AA93" s="3">
        <v>10.265005959254699</v>
      </c>
    </row>
    <row r="94" spans="1:27" s="3" customFormat="1" x14ac:dyDescent="0.25">
      <c r="A94" s="72"/>
      <c r="B94" s="8"/>
      <c r="C94" s="9">
        <v>41210</v>
      </c>
      <c r="D94" s="3">
        <v>6.7</v>
      </c>
      <c r="E94" s="3">
        <v>2.2000000000000002</v>
      </c>
      <c r="F94" s="3">
        <v>10.6</v>
      </c>
      <c r="G94" s="3">
        <f t="shared" si="3"/>
        <v>736.19999999999993</v>
      </c>
      <c r="J94" s="3">
        <v>0</v>
      </c>
      <c r="K94" s="3">
        <f t="shared" si="4"/>
        <v>179.9</v>
      </c>
      <c r="L94" s="3">
        <v>1.1000000000000001</v>
      </c>
      <c r="M94" s="3">
        <f t="shared" si="5"/>
        <v>91.4</v>
      </c>
      <c r="N94" s="3">
        <v>-1.1000000000000001</v>
      </c>
      <c r="O94" s="3">
        <f t="shared" si="10"/>
        <v>120.6</v>
      </c>
      <c r="P94" s="3">
        <v>54</v>
      </c>
      <c r="Q94" s="3">
        <f t="shared" si="9"/>
        <v>0.59173553719008265</v>
      </c>
      <c r="R94" s="7">
        <f t="shared" si="1"/>
        <v>0.65090909090909099</v>
      </c>
      <c r="S94" s="7">
        <f t="shared" si="2"/>
        <v>-0.65090909090909099</v>
      </c>
      <c r="T94" s="7">
        <f t="shared" si="8"/>
        <v>148.18818181818187</v>
      </c>
      <c r="V94" s="3">
        <v>762.9</v>
      </c>
      <c r="X94" s="3">
        <f t="shared" si="6"/>
        <v>43261.499999999993</v>
      </c>
      <c r="AA94" s="3">
        <v>10.210709054264401</v>
      </c>
    </row>
    <row r="95" spans="1:27" s="3" customFormat="1" x14ac:dyDescent="0.25">
      <c r="A95" s="72"/>
      <c r="B95" s="8"/>
      <c r="C95" s="9">
        <v>41211</v>
      </c>
      <c r="D95" s="3">
        <v>7.6</v>
      </c>
      <c r="E95" s="3">
        <v>5</v>
      </c>
      <c r="F95" s="3">
        <v>12.4</v>
      </c>
      <c r="G95" s="3">
        <f t="shared" si="3"/>
        <v>743.8</v>
      </c>
      <c r="J95" s="3">
        <v>0.1</v>
      </c>
      <c r="K95" s="3">
        <f t="shared" si="4"/>
        <v>180</v>
      </c>
      <c r="L95" s="3">
        <v>1.1000000000000001</v>
      </c>
      <c r="M95" s="3">
        <f t="shared" si="5"/>
        <v>92.5</v>
      </c>
      <c r="N95" s="3">
        <v>-1</v>
      </c>
      <c r="O95" s="3">
        <f t="shared" si="10"/>
        <v>119.6</v>
      </c>
      <c r="P95" s="3">
        <v>55</v>
      </c>
      <c r="Q95" s="3">
        <f t="shared" si="9"/>
        <v>0.59710743801652888</v>
      </c>
      <c r="R95" s="7">
        <f t="shared" si="1"/>
        <v>0.65681818181818186</v>
      </c>
      <c r="S95" s="7">
        <f t="shared" si="2"/>
        <v>-0.55681818181818188</v>
      </c>
      <c r="T95" s="7">
        <f t="shared" si="8"/>
        <v>147.63136363636369</v>
      </c>
      <c r="V95" s="3">
        <v>723.9</v>
      </c>
      <c r="X95" s="3">
        <f t="shared" si="6"/>
        <v>43985.399999999994</v>
      </c>
      <c r="AA95" s="3">
        <v>10.1567145673041</v>
      </c>
    </row>
    <row r="96" spans="1:27" s="3" customFormat="1" x14ac:dyDescent="0.25">
      <c r="A96" s="72"/>
      <c r="B96" s="8"/>
      <c r="C96" s="9">
        <v>41212</v>
      </c>
      <c r="D96" s="3">
        <v>7.7</v>
      </c>
      <c r="E96" s="3">
        <v>3.4</v>
      </c>
      <c r="F96" s="3">
        <v>13.8</v>
      </c>
      <c r="G96" s="3">
        <f t="shared" si="3"/>
        <v>751.5</v>
      </c>
      <c r="J96" s="3">
        <v>0</v>
      </c>
      <c r="K96" s="3">
        <f t="shared" si="4"/>
        <v>180</v>
      </c>
      <c r="L96" s="3">
        <v>0.7</v>
      </c>
      <c r="M96" s="3">
        <f t="shared" si="5"/>
        <v>93.2</v>
      </c>
      <c r="N96" s="3">
        <v>-0.7</v>
      </c>
      <c r="O96" s="3">
        <f t="shared" si="10"/>
        <v>118.89999999999999</v>
      </c>
      <c r="P96" s="3">
        <v>56</v>
      </c>
      <c r="Q96" s="3">
        <f t="shared" si="9"/>
        <v>0.60247933884297522</v>
      </c>
      <c r="R96" s="7">
        <f t="shared" si="1"/>
        <v>0.42173553719008261</v>
      </c>
      <c r="S96" s="7">
        <f t="shared" si="2"/>
        <v>-0.42173553719008261</v>
      </c>
      <c r="T96" s="7">
        <f t="shared" si="8"/>
        <v>147.20962809917361</v>
      </c>
      <c r="V96" s="3">
        <v>523.1</v>
      </c>
      <c r="X96" s="3">
        <f t="shared" si="6"/>
        <v>44508.499999999993</v>
      </c>
      <c r="AA96" s="3">
        <v>10.1030393151739</v>
      </c>
    </row>
    <row r="97" spans="1:27" s="3" customFormat="1" x14ac:dyDescent="0.25">
      <c r="A97" s="72"/>
      <c r="B97" s="8"/>
      <c r="C97" s="9">
        <v>41213</v>
      </c>
      <c r="D97" s="3">
        <v>8.5</v>
      </c>
      <c r="E97" s="3">
        <v>2</v>
      </c>
      <c r="F97" s="3">
        <v>14.3</v>
      </c>
      <c r="G97" s="3">
        <f t="shared" si="3"/>
        <v>760</v>
      </c>
      <c r="J97" s="3">
        <v>6.3</v>
      </c>
      <c r="K97" s="3">
        <f t="shared" si="4"/>
        <v>186.3</v>
      </c>
      <c r="L97" s="3">
        <v>1.4</v>
      </c>
      <c r="M97" s="3">
        <f t="shared" si="5"/>
        <v>94.600000000000009</v>
      </c>
      <c r="N97" s="3">
        <v>4.9000000000000004</v>
      </c>
      <c r="O97" s="3">
        <f t="shared" si="10"/>
        <v>123.8</v>
      </c>
      <c r="P97" s="3">
        <v>57</v>
      </c>
      <c r="Q97" s="3">
        <f t="shared" si="9"/>
        <v>0.60785123966942156</v>
      </c>
      <c r="R97" s="7">
        <f t="shared" si="1"/>
        <v>0.8509917355371901</v>
      </c>
      <c r="S97" s="7">
        <f t="shared" si="2"/>
        <v>5.4490082644628099</v>
      </c>
      <c r="T97" s="7">
        <f t="shared" si="8"/>
        <v>152.65863636363642</v>
      </c>
      <c r="V97" s="3">
        <v>773.5</v>
      </c>
      <c r="X97" s="3">
        <f t="shared" si="6"/>
        <v>45281.999999999993</v>
      </c>
      <c r="AA97" s="3">
        <v>10.0497007316379</v>
      </c>
    </row>
    <row r="98" spans="1:27" s="3" customFormat="1" x14ac:dyDescent="0.25">
      <c r="A98" s="72"/>
      <c r="B98" s="8"/>
      <c r="C98" s="9">
        <v>41214</v>
      </c>
      <c r="D98" s="3">
        <v>8.3000000000000007</v>
      </c>
      <c r="E98" s="3">
        <v>6.7</v>
      </c>
      <c r="F98" s="3">
        <v>11.5</v>
      </c>
      <c r="G98" s="3">
        <f t="shared" si="3"/>
        <v>768.3</v>
      </c>
      <c r="J98" s="3">
        <v>1.1000000000000001</v>
      </c>
      <c r="K98" s="3">
        <f t="shared" si="4"/>
        <v>187.4</v>
      </c>
      <c r="L98" s="3">
        <v>1.2</v>
      </c>
      <c r="M98" s="3">
        <f t="shared" si="5"/>
        <v>95.800000000000011</v>
      </c>
      <c r="N98" s="3">
        <v>-9.9999999999999867E-2</v>
      </c>
      <c r="O98" s="3">
        <f t="shared" si="10"/>
        <v>123.7</v>
      </c>
      <c r="P98" s="3">
        <v>58</v>
      </c>
      <c r="Q98" s="3">
        <f t="shared" si="9"/>
        <v>0.61322314049586768</v>
      </c>
      <c r="R98" s="7">
        <f t="shared" si="1"/>
        <v>0.73586776859504122</v>
      </c>
      <c r="S98" s="7">
        <f t="shared" si="2"/>
        <v>0.36413223140495887</v>
      </c>
      <c r="T98" s="7">
        <f t="shared" si="8"/>
        <v>153.02276859504138</v>
      </c>
      <c r="V98" s="3">
        <v>578.6</v>
      </c>
      <c r="X98" s="3">
        <f t="shared" si="6"/>
        <v>45860.599999999991</v>
      </c>
      <c r="AA98" s="3">
        <v>9.9967168771169792</v>
      </c>
    </row>
    <row r="99" spans="1:27" s="3" customFormat="1" x14ac:dyDescent="0.25">
      <c r="A99" s="72"/>
      <c r="B99" s="8"/>
      <c r="C99" s="9">
        <v>41215</v>
      </c>
      <c r="D99" s="3">
        <v>8.3000000000000007</v>
      </c>
      <c r="E99" s="3">
        <v>4.5999999999999996</v>
      </c>
      <c r="F99" s="3">
        <v>10.9</v>
      </c>
      <c r="G99" s="3">
        <f t="shared" si="3"/>
        <v>776.59999999999991</v>
      </c>
      <c r="J99" s="3">
        <v>7.6</v>
      </c>
      <c r="K99" s="3">
        <f t="shared" si="4"/>
        <v>195</v>
      </c>
      <c r="L99" s="3">
        <v>0.6</v>
      </c>
      <c r="M99" s="3">
        <f t="shared" si="5"/>
        <v>96.4</v>
      </c>
      <c r="N99" s="3">
        <v>7</v>
      </c>
      <c r="O99" s="3">
        <f t="shared" si="10"/>
        <v>130.69999999999999</v>
      </c>
      <c r="P99" s="3">
        <v>59</v>
      </c>
      <c r="Q99" s="3">
        <f t="shared" si="9"/>
        <v>0.61859504132231402</v>
      </c>
      <c r="R99" s="7">
        <f t="shared" si="1"/>
        <v>0.37115702479338841</v>
      </c>
      <c r="S99" s="7">
        <f t="shared" si="2"/>
        <v>7.2288429752066108</v>
      </c>
      <c r="T99" s="7">
        <f t="shared" si="8"/>
        <v>160.251611570248</v>
      </c>
      <c r="V99" s="3">
        <v>501.9</v>
      </c>
      <c r="X99" s="3">
        <f t="shared" si="6"/>
        <v>46362.499999999993</v>
      </c>
      <c r="AA99" s="3">
        <v>9.9441064470457103</v>
      </c>
    </row>
    <row r="100" spans="1:27" s="3" customFormat="1" x14ac:dyDescent="0.25">
      <c r="A100" s="72"/>
      <c r="B100" s="8"/>
      <c r="C100" s="9">
        <v>41216</v>
      </c>
      <c r="D100" s="3">
        <v>9</v>
      </c>
      <c r="E100" s="3">
        <v>7.7</v>
      </c>
      <c r="F100" s="3">
        <v>12.7</v>
      </c>
      <c r="G100" s="3">
        <f t="shared" si="3"/>
        <v>785.59999999999991</v>
      </c>
      <c r="J100" s="3">
        <v>6.2</v>
      </c>
      <c r="K100" s="3">
        <f t="shared" si="4"/>
        <v>201.2</v>
      </c>
      <c r="L100" s="3">
        <v>1.6</v>
      </c>
      <c r="M100" s="3">
        <f t="shared" si="5"/>
        <v>98</v>
      </c>
      <c r="N100" s="3">
        <v>4.5999999999999996</v>
      </c>
      <c r="O100" s="3">
        <f t="shared" si="10"/>
        <v>135.29999999999998</v>
      </c>
      <c r="P100" s="3">
        <v>60</v>
      </c>
      <c r="Q100" s="3">
        <f t="shared" si="9"/>
        <v>0.62396694214876036</v>
      </c>
      <c r="R100" s="7">
        <f t="shared" si="1"/>
        <v>0.99834710743801658</v>
      </c>
      <c r="S100" s="7">
        <f t="shared" si="2"/>
        <v>5.2016528925619836</v>
      </c>
      <c r="T100" s="7">
        <f t="shared" si="8"/>
        <v>165.45326446280998</v>
      </c>
      <c r="V100" s="3">
        <v>805.5</v>
      </c>
      <c r="X100" s="3">
        <f t="shared" si="6"/>
        <v>47167.999999999993</v>
      </c>
      <c r="AA100" s="3">
        <v>9.8918887787624996</v>
      </c>
    </row>
    <row r="101" spans="1:27" s="3" customFormat="1" x14ac:dyDescent="0.25">
      <c r="A101" s="72"/>
      <c r="B101" s="8"/>
      <c r="C101" s="9">
        <v>41217</v>
      </c>
      <c r="D101" s="3">
        <v>9</v>
      </c>
      <c r="E101" s="3">
        <v>5.4</v>
      </c>
      <c r="F101" s="3">
        <v>13.1</v>
      </c>
      <c r="G101" s="3">
        <f t="shared" si="3"/>
        <v>794.59999999999991</v>
      </c>
      <c r="J101" s="3">
        <v>2</v>
      </c>
      <c r="K101" s="3">
        <f t="shared" si="4"/>
        <v>203.2</v>
      </c>
      <c r="L101" s="3">
        <v>1.5</v>
      </c>
      <c r="M101" s="3">
        <f t="shared" si="5"/>
        <v>99.5</v>
      </c>
      <c r="N101" s="3">
        <v>0.5</v>
      </c>
      <c r="O101" s="3">
        <f t="shared" si="10"/>
        <v>135.79999999999998</v>
      </c>
      <c r="P101" s="3">
        <v>61</v>
      </c>
      <c r="Q101" s="3">
        <f t="shared" si="9"/>
        <v>0.62933884297520659</v>
      </c>
      <c r="R101" s="7">
        <f t="shared" si="1"/>
        <v>0.94400826446280983</v>
      </c>
      <c r="S101" s="7">
        <f t="shared" si="2"/>
        <v>1.0559917355371902</v>
      </c>
      <c r="T101" s="7">
        <f t="shared" si="8"/>
        <v>166.50925619834717</v>
      </c>
      <c r="V101" s="3">
        <v>868.9</v>
      </c>
      <c r="X101" s="3">
        <f t="shared" si="6"/>
        <v>48036.899999999994</v>
      </c>
      <c r="AA101" s="3">
        <v>9.8400838567940205</v>
      </c>
    </row>
    <row r="102" spans="1:27" s="3" customFormat="1" x14ac:dyDescent="0.25">
      <c r="A102" s="72"/>
      <c r="B102" s="8"/>
      <c r="C102" s="9">
        <v>41218</v>
      </c>
      <c r="D102" s="3">
        <v>8</v>
      </c>
      <c r="E102" s="3">
        <v>5.6</v>
      </c>
      <c r="F102" s="3">
        <v>12.9</v>
      </c>
      <c r="G102" s="3">
        <f t="shared" si="3"/>
        <v>802.59999999999991</v>
      </c>
      <c r="J102" s="3">
        <v>4.5999999999999996</v>
      </c>
      <c r="K102" s="3">
        <f t="shared" si="4"/>
        <v>207.79999999999998</v>
      </c>
      <c r="L102" s="3">
        <v>1.1000000000000001</v>
      </c>
      <c r="M102" s="3">
        <f t="shared" si="5"/>
        <v>100.6</v>
      </c>
      <c r="N102" s="3">
        <v>3.4999999999999996</v>
      </c>
      <c r="O102" s="3">
        <f t="shared" si="10"/>
        <v>139.29999999999998</v>
      </c>
      <c r="P102" s="3">
        <v>62</v>
      </c>
      <c r="Q102" s="3">
        <f t="shared" si="9"/>
        <v>0.63471074380165282</v>
      </c>
      <c r="R102" s="7">
        <f t="shared" si="1"/>
        <v>0.69818181818181813</v>
      </c>
      <c r="S102" s="7">
        <f t="shared" si="2"/>
        <v>3.9018181818181814</v>
      </c>
      <c r="T102" s="7">
        <f t="shared" si="8"/>
        <v>170.41107438016536</v>
      </c>
      <c r="V102" s="3">
        <v>475.5</v>
      </c>
      <c r="X102" s="3">
        <f t="shared" si="6"/>
        <v>48512.399999999994</v>
      </c>
      <c r="AA102" s="3">
        <v>9.7887123163906296</v>
      </c>
    </row>
    <row r="103" spans="1:27" s="3" customFormat="1" x14ac:dyDescent="0.25">
      <c r="A103" s="72"/>
      <c r="B103" s="8"/>
      <c r="C103" s="9">
        <v>41219</v>
      </c>
      <c r="D103" s="3">
        <v>6.8</v>
      </c>
      <c r="E103" s="3">
        <v>3.3</v>
      </c>
      <c r="F103" s="3">
        <v>11.3</v>
      </c>
      <c r="G103" s="3">
        <f t="shared" si="3"/>
        <v>809.39999999999986</v>
      </c>
      <c r="J103" s="3">
        <v>0</v>
      </c>
      <c r="K103" s="3">
        <f t="shared" si="4"/>
        <v>207.79999999999998</v>
      </c>
      <c r="L103" s="3">
        <v>1.2</v>
      </c>
      <c r="M103" s="3">
        <f t="shared" si="5"/>
        <v>101.8</v>
      </c>
      <c r="N103" s="3">
        <v>-1.2</v>
      </c>
      <c r="O103" s="3">
        <f t="shared" si="10"/>
        <v>138.1</v>
      </c>
      <c r="P103" s="3">
        <v>63</v>
      </c>
      <c r="Q103" s="3">
        <f t="shared" si="9"/>
        <v>0.64008264462809916</v>
      </c>
      <c r="R103" s="7">
        <f t="shared" si="1"/>
        <v>0.76809917355371893</v>
      </c>
      <c r="S103" s="7">
        <f t="shared" si="2"/>
        <v>-0.76809917355371893</v>
      </c>
      <c r="T103" s="7">
        <f t="shared" si="8"/>
        <v>169.64297520661165</v>
      </c>
      <c r="V103" s="3">
        <v>855.2</v>
      </c>
      <c r="X103" s="3">
        <f t="shared" si="6"/>
        <v>49367.599999999991</v>
      </c>
      <c r="AA103" s="3">
        <v>9.7377954451645401</v>
      </c>
    </row>
    <row r="104" spans="1:27" s="3" customFormat="1" x14ac:dyDescent="0.25">
      <c r="A104" s="72"/>
      <c r="B104" s="8"/>
      <c r="C104" s="9">
        <v>41220</v>
      </c>
      <c r="D104" s="3">
        <v>8.9</v>
      </c>
      <c r="E104" s="3">
        <v>5.8</v>
      </c>
      <c r="F104" s="3">
        <v>12</v>
      </c>
      <c r="G104" s="3">
        <f t="shared" si="3"/>
        <v>818.29999999999984</v>
      </c>
      <c r="J104" s="3">
        <v>0</v>
      </c>
      <c r="K104" s="3">
        <f t="shared" si="4"/>
        <v>207.79999999999998</v>
      </c>
      <c r="L104" s="3">
        <v>0.7</v>
      </c>
      <c r="M104" s="3">
        <f t="shared" si="5"/>
        <v>102.5</v>
      </c>
      <c r="N104" s="3">
        <v>-0.7</v>
      </c>
      <c r="O104" s="3">
        <f t="shared" si="10"/>
        <v>137.4</v>
      </c>
      <c r="P104" s="3">
        <v>64</v>
      </c>
      <c r="Q104" s="3">
        <f t="shared" si="9"/>
        <v>0.6454545454545455</v>
      </c>
      <c r="R104" s="7">
        <f t="shared" si="1"/>
        <v>0.45181818181818184</v>
      </c>
      <c r="S104" s="7">
        <f t="shared" si="2"/>
        <v>-0.45181818181818184</v>
      </c>
      <c r="T104" s="7">
        <f t="shared" si="8"/>
        <v>169.19115702479348</v>
      </c>
      <c r="V104" s="3">
        <v>262.39999999999998</v>
      </c>
      <c r="X104" s="3">
        <f t="shared" si="6"/>
        <v>49629.999999999993</v>
      </c>
      <c r="AA104" s="3">
        <v>9.6873551826779796</v>
      </c>
    </row>
    <row r="105" spans="1:27" s="3" customFormat="1" x14ac:dyDescent="0.25">
      <c r="A105" s="72"/>
      <c r="B105" s="8"/>
      <c r="C105" s="9">
        <v>41221</v>
      </c>
      <c r="D105" s="3">
        <v>6.4</v>
      </c>
      <c r="E105" s="3">
        <v>5.3</v>
      </c>
      <c r="F105" s="3">
        <v>11</v>
      </c>
      <c r="G105" s="3">
        <f t="shared" si="3"/>
        <v>824.69999999999982</v>
      </c>
      <c r="J105" s="3">
        <v>0</v>
      </c>
      <c r="K105" s="3">
        <f t="shared" si="4"/>
        <v>207.79999999999998</v>
      </c>
      <c r="L105" s="3">
        <v>1.2</v>
      </c>
      <c r="M105" s="3">
        <f t="shared" si="5"/>
        <v>103.7</v>
      </c>
      <c r="N105" s="3">
        <v>-1.2</v>
      </c>
      <c r="O105" s="3">
        <f t="shared" si="10"/>
        <v>136.20000000000002</v>
      </c>
      <c r="P105" s="3">
        <v>65</v>
      </c>
      <c r="Q105" s="3">
        <f t="shared" si="9"/>
        <v>0.65082644628099173</v>
      </c>
      <c r="R105" s="7">
        <f t="shared" ref="R105:R168" si="11">Q105*L105</f>
        <v>0.78099173553719003</v>
      </c>
      <c r="S105" s="7">
        <f t="shared" ref="S105:S168" si="12">J105-R105</f>
        <v>-0.78099173553719003</v>
      </c>
      <c r="T105" s="7">
        <f t="shared" si="8"/>
        <v>168.4101652892563</v>
      </c>
      <c r="V105" s="3">
        <v>769.2</v>
      </c>
      <c r="X105" s="3">
        <f t="shared" si="6"/>
        <v>50399.19999999999</v>
      </c>
      <c r="AA105" s="3">
        <v>9.6374141178255108</v>
      </c>
    </row>
    <row r="106" spans="1:27" s="3" customFormat="1" x14ac:dyDescent="0.25">
      <c r="A106" s="72"/>
      <c r="B106" s="8"/>
      <c r="C106" s="9">
        <v>41222</v>
      </c>
      <c r="D106" s="3">
        <v>5</v>
      </c>
      <c r="E106" s="3">
        <v>0</v>
      </c>
      <c r="F106" s="3">
        <v>9.1</v>
      </c>
      <c r="G106" s="3">
        <f t="shared" si="3"/>
        <v>829.69999999999982</v>
      </c>
      <c r="J106" s="3">
        <v>4.3</v>
      </c>
      <c r="K106" s="3">
        <f t="shared" si="4"/>
        <v>212.1</v>
      </c>
      <c r="L106" s="3">
        <v>0.3</v>
      </c>
      <c r="M106" s="3">
        <f t="shared" si="5"/>
        <v>104</v>
      </c>
      <c r="N106" s="3">
        <v>4</v>
      </c>
      <c r="O106" s="3">
        <f t="shared" si="10"/>
        <v>140.20000000000002</v>
      </c>
      <c r="P106" s="3">
        <v>66</v>
      </c>
      <c r="Q106" s="3">
        <f t="shared" si="9"/>
        <v>0.65619834710743796</v>
      </c>
      <c r="R106" s="7">
        <f t="shared" si="11"/>
        <v>0.19685950413223138</v>
      </c>
      <c r="S106" s="7">
        <f t="shared" si="12"/>
        <v>4.1031404958677689</v>
      </c>
      <c r="T106" s="7">
        <f t="shared" si="8"/>
        <v>172.51330578512406</v>
      </c>
      <c r="V106" s="3">
        <v>133.9</v>
      </c>
      <c r="X106" s="3">
        <f t="shared" si="6"/>
        <v>50533.099999999991</v>
      </c>
      <c r="AA106" s="3">
        <v>9.5879954838522501</v>
      </c>
    </row>
    <row r="107" spans="1:27" s="3" customFormat="1" x14ac:dyDescent="0.25">
      <c r="A107" s="72"/>
      <c r="B107" s="8"/>
      <c r="C107" s="9">
        <v>41223</v>
      </c>
      <c r="D107" s="3">
        <v>7.6</v>
      </c>
      <c r="E107" s="3">
        <v>6.4</v>
      </c>
      <c r="F107" s="3">
        <v>10</v>
      </c>
      <c r="G107" s="3">
        <f t="shared" ref="G107:G170" si="13">G106+D107</f>
        <v>837.29999999999984</v>
      </c>
      <c r="J107" s="3">
        <v>3</v>
      </c>
      <c r="K107" s="3">
        <f t="shared" ref="K107:K170" si="14">J107+K106</f>
        <v>215.1</v>
      </c>
      <c r="L107" s="3">
        <v>0.6</v>
      </c>
      <c r="M107" s="3">
        <f t="shared" ref="M107:M170" si="15">M106+L107</f>
        <v>104.6</v>
      </c>
      <c r="N107" s="3">
        <v>2.4</v>
      </c>
      <c r="O107" s="3">
        <f t="shared" si="10"/>
        <v>142.60000000000002</v>
      </c>
      <c r="P107" s="3">
        <v>67</v>
      </c>
      <c r="Q107" s="3">
        <f t="shared" si="9"/>
        <v>0.6615702479338843</v>
      </c>
      <c r="R107" s="7">
        <f t="shared" si="11"/>
        <v>0.39694214876033057</v>
      </c>
      <c r="S107" s="7">
        <f t="shared" si="12"/>
        <v>2.6030578512396696</v>
      </c>
      <c r="T107" s="7">
        <f t="shared" si="8"/>
        <v>175.11636363636373</v>
      </c>
      <c r="V107" s="3">
        <v>420.7</v>
      </c>
      <c r="X107" s="3">
        <f t="shared" ref="X107:X170" si="16">X106+V107</f>
        <v>50953.799999999988</v>
      </c>
      <c r="AA107" s="3">
        <v>9.5391231508480097</v>
      </c>
    </row>
    <row r="108" spans="1:27" s="3" customFormat="1" x14ac:dyDescent="0.25">
      <c r="A108" s="72"/>
      <c r="B108" s="8"/>
      <c r="C108" s="9">
        <v>41224</v>
      </c>
      <c r="D108" s="3">
        <v>5.8</v>
      </c>
      <c r="E108" s="3">
        <v>0.9</v>
      </c>
      <c r="F108" s="3">
        <v>10.7</v>
      </c>
      <c r="G108" s="3">
        <f t="shared" si="13"/>
        <v>843.0999999999998</v>
      </c>
      <c r="J108" s="3">
        <v>0.2</v>
      </c>
      <c r="K108" s="3">
        <f t="shared" si="14"/>
        <v>215.29999999999998</v>
      </c>
      <c r="L108" s="3">
        <v>1</v>
      </c>
      <c r="M108" s="3">
        <f t="shared" si="15"/>
        <v>105.6</v>
      </c>
      <c r="N108" s="3">
        <v>-0.8</v>
      </c>
      <c r="O108" s="3">
        <f t="shared" si="10"/>
        <v>141.80000000000001</v>
      </c>
      <c r="P108" s="3">
        <v>68</v>
      </c>
      <c r="Q108" s="3">
        <f t="shared" si="9"/>
        <v>0.66694214876033053</v>
      </c>
      <c r="R108" s="7">
        <f t="shared" si="11"/>
        <v>0.66694214876033053</v>
      </c>
      <c r="S108" s="7">
        <f t="shared" si="12"/>
        <v>-0.46694214876033052</v>
      </c>
      <c r="T108" s="7">
        <f t="shared" si="8"/>
        <v>174.64942148760341</v>
      </c>
      <c r="V108" s="3">
        <v>798.5</v>
      </c>
      <c r="X108" s="3">
        <f t="shared" si="16"/>
        <v>51752.299999999988</v>
      </c>
      <c r="AA108" s="3">
        <v>9.4908216155575502</v>
      </c>
    </row>
    <row r="109" spans="1:27" s="3" customFormat="1" x14ac:dyDescent="0.25">
      <c r="A109" s="72"/>
      <c r="B109" s="8"/>
      <c r="C109" s="9">
        <v>41225</v>
      </c>
      <c r="D109" s="3">
        <v>8</v>
      </c>
      <c r="E109" s="3">
        <v>4.3</v>
      </c>
      <c r="F109" s="3">
        <v>10.5</v>
      </c>
      <c r="G109" s="3">
        <f t="shared" si="13"/>
        <v>851.0999999999998</v>
      </c>
      <c r="J109" s="3">
        <v>0.2</v>
      </c>
      <c r="K109" s="3">
        <f t="shared" si="14"/>
        <v>215.49999999999997</v>
      </c>
      <c r="L109" s="3">
        <v>0.2</v>
      </c>
      <c r="M109" s="3">
        <f t="shared" si="15"/>
        <v>105.8</v>
      </c>
      <c r="N109" s="3">
        <v>0</v>
      </c>
      <c r="O109" s="3">
        <f t="shared" si="10"/>
        <v>141.80000000000001</v>
      </c>
      <c r="P109" s="3">
        <v>69</v>
      </c>
      <c r="Q109" s="3">
        <f t="shared" si="9"/>
        <v>0.67231404958677687</v>
      </c>
      <c r="R109" s="7">
        <f t="shared" si="11"/>
        <v>0.13446280991735537</v>
      </c>
      <c r="S109" s="7">
        <f t="shared" si="12"/>
        <v>6.5537190082644636E-2</v>
      </c>
      <c r="T109" s="7">
        <f t="shared" si="8"/>
        <v>174.71495867768604</v>
      </c>
      <c r="V109" s="3">
        <v>116.1</v>
      </c>
      <c r="X109" s="3">
        <f t="shared" si="16"/>
        <v>51868.399999999987</v>
      </c>
      <c r="AA109" s="3">
        <v>9.4431159883480404</v>
      </c>
    </row>
    <row r="110" spans="1:27" s="3" customFormat="1" x14ac:dyDescent="0.25">
      <c r="A110" s="72"/>
      <c r="B110" s="8"/>
      <c r="C110" s="9">
        <v>41226</v>
      </c>
      <c r="D110" s="3">
        <v>10</v>
      </c>
      <c r="E110" s="3">
        <v>9</v>
      </c>
      <c r="F110" s="3">
        <v>14.3</v>
      </c>
      <c r="G110" s="3">
        <f t="shared" si="13"/>
        <v>861.0999999999998</v>
      </c>
      <c r="J110" s="3">
        <v>0.1</v>
      </c>
      <c r="K110" s="3">
        <f t="shared" si="14"/>
        <v>215.59999999999997</v>
      </c>
      <c r="L110" s="3">
        <v>1.4</v>
      </c>
      <c r="M110" s="3">
        <f t="shared" si="15"/>
        <v>107.2</v>
      </c>
      <c r="N110" s="3">
        <v>-1.2999999999999998</v>
      </c>
      <c r="O110" s="3">
        <f t="shared" si="10"/>
        <v>140.5</v>
      </c>
      <c r="P110" s="3">
        <v>70</v>
      </c>
      <c r="Q110" s="3">
        <f t="shared" si="9"/>
        <v>0.6776859504132231</v>
      </c>
      <c r="R110" s="7">
        <f t="shared" si="11"/>
        <v>0.94876033057851228</v>
      </c>
      <c r="S110" s="7">
        <f t="shared" si="12"/>
        <v>-0.8487603305785123</v>
      </c>
      <c r="T110" s="7">
        <f t="shared" ref="T110:T173" si="17">MIN(197.4,T109+S110)</f>
        <v>173.86619834710754</v>
      </c>
      <c r="V110" s="3">
        <v>663.8</v>
      </c>
      <c r="X110" s="3">
        <f t="shared" si="16"/>
        <v>52532.19999999999</v>
      </c>
      <c r="AA110" s="3">
        <v>9.3960319771778806</v>
      </c>
    </row>
    <row r="111" spans="1:27" s="3" customFormat="1" x14ac:dyDescent="0.25">
      <c r="A111" s="72"/>
      <c r="B111" s="8"/>
      <c r="C111" s="9">
        <v>41227</v>
      </c>
      <c r="D111" s="3">
        <v>5.9</v>
      </c>
      <c r="E111" s="3">
        <v>4.8</v>
      </c>
      <c r="F111" s="3">
        <v>7.5</v>
      </c>
      <c r="G111" s="3">
        <f t="shared" si="13"/>
        <v>866.99999999999977</v>
      </c>
      <c r="J111" s="3">
        <v>0</v>
      </c>
      <c r="K111" s="3">
        <f t="shared" si="14"/>
        <v>215.59999999999997</v>
      </c>
      <c r="L111" s="3">
        <v>0.4</v>
      </c>
      <c r="M111" s="3">
        <f t="shared" si="15"/>
        <v>107.60000000000001</v>
      </c>
      <c r="N111" s="3">
        <v>-0.4</v>
      </c>
      <c r="O111" s="3">
        <f t="shared" si="10"/>
        <v>140.1</v>
      </c>
      <c r="P111" s="3">
        <v>71</v>
      </c>
      <c r="Q111" s="3">
        <f t="shared" si="9"/>
        <v>0.68305785123966944</v>
      </c>
      <c r="R111" s="7">
        <f t="shared" si="11"/>
        <v>0.27322314049586777</v>
      </c>
      <c r="S111" s="7">
        <f t="shared" si="12"/>
        <v>-0.27322314049586777</v>
      </c>
      <c r="T111" s="7">
        <f t="shared" si="17"/>
        <v>173.59297520661167</v>
      </c>
      <c r="V111" s="3">
        <v>239</v>
      </c>
      <c r="X111" s="3">
        <f t="shared" si="16"/>
        <v>52771.19999999999</v>
      </c>
      <c r="AA111" s="3">
        <v>9.3495958684151308</v>
      </c>
    </row>
    <row r="112" spans="1:27" s="3" customFormat="1" x14ac:dyDescent="0.25">
      <c r="A112" s="72"/>
      <c r="B112" s="8"/>
      <c r="C112" s="9">
        <v>41228</v>
      </c>
      <c r="D112" s="3">
        <v>5.5</v>
      </c>
      <c r="E112" s="3">
        <v>4.3</v>
      </c>
      <c r="F112" s="3">
        <v>6.8</v>
      </c>
      <c r="G112" s="3">
        <f t="shared" si="13"/>
        <v>872.49999999999977</v>
      </c>
      <c r="J112" s="3">
        <v>0</v>
      </c>
      <c r="K112" s="3">
        <f t="shared" si="14"/>
        <v>215.59999999999997</v>
      </c>
      <c r="L112" s="3">
        <v>0.3</v>
      </c>
      <c r="M112" s="3">
        <f t="shared" si="15"/>
        <v>107.9</v>
      </c>
      <c r="N112" s="3">
        <v>-0.3</v>
      </c>
      <c r="O112" s="3">
        <f t="shared" si="10"/>
        <v>139.79999999999998</v>
      </c>
      <c r="P112" s="3">
        <v>72</v>
      </c>
      <c r="Q112" s="3">
        <f t="shared" si="9"/>
        <v>0.68842975206611579</v>
      </c>
      <c r="R112" s="7">
        <f t="shared" si="11"/>
        <v>0.20652892561983474</v>
      </c>
      <c r="S112" s="7">
        <f t="shared" si="12"/>
        <v>-0.20652892561983474</v>
      </c>
      <c r="T112" s="7">
        <f t="shared" si="17"/>
        <v>173.38644628099183</v>
      </c>
      <c r="V112" s="3">
        <v>248.9</v>
      </c>
      <c r="X112" s="3">
        <f t="shared" si="16"/>
        <v>53020.099999999991</v>
      </c>
      <c r="AA112" s="3">
        <v>9.3038345043603208</v>
      </c>
    </row>
    <row r="113" spans="1:27" s="3" customFormat="1" x14ac:dyDescent="0.25">
      <c r="A113" s="72"/>
      <c r="B113" s="8"/>
      <c r="C113" s="9">
        <v>41229</v>
      </c>
      <c r="D113" s="3">
        <v>7.1</v>
      </c>
      <c r="E113" s="3">
        <v>5.6</v>
      </c>
      <c r="F113" s="3">
        <v>8.4</v>
      </c>
      <c r="G113" s="3">
        <f t="shared" si="13"/>
        <v>879.5999999999998</v>
      </c>
      <c r="J113" s="3">
        <v>0.1</v>
      </c>
      <c r="K113" s="3">
        <f t="shared" si="14"/>
        <v>215.69999999999996</v>
      </c>
      <c r="L113" s="3">
        <v>0.3</v>
      </c>
      <c r="M113" s="3">
        <f t="shared" si="15"/>
        <v>108.2</v>
      </c>
      <c r="N113" s="3">
        <v>-0.19999999999999998</v>
      </c>
      <c r="O113" s="3">
        <f t="shared" si="10"/>
        <v>139.6</v>
      </c>
      <c r="P113" s="3">
        <v>73</v>
      </c>
      <c r="Q113" s="3">
        <f t="shared" si="9"/>
        <v>0.6938016528925619</v>
      </c>
      <c r="R113" s="7">
        <f t="shared" si="11"/>
        <v>0.20814049586776856</v>
      </c>
      <c r="S113" s="7">
        <f t="shared" si="12"/>
        <v>-0.10814049586776855</v>
      </c>
      <c r="T113" s="7">
        <f t="shared" si="17"/>
        <v>173.27830578512408</v>
      </c>
      <c r="V113" s="3">
        <v>221.5</v>
      </c>
      <c r="X113" s="3">
        <f t="shared" si="16"/>
        <v>53241.599999999991</v>
      </c>
      <c r="AA113" s="3">
        <v>9.2587752573368096</v>
      </c>
    </row>
    <row r="114" spans="1:27" s="3" customFormat="1" x14ac:dyDescent="0.25">
      <c r="A114" s="72"/>
      <c r="B114" s="8"/>
      <c r="C114" s="9">
        <v>41230</v>
      </c>
      <c r="D114" s="3">
        <v>9.6</v>
      </c>
      <c r="E114" s="3">
        <v>7.8</v>
      </c>
      <c r="F114" s="3">
        <v>10.7</v>
      </c>
      <c r="G114" s="3">
        <f t="shared" si="13"/>
        <v>889.19999999999982</v>
      </c>
      <c r="J114" s="3">
        <v>8.6999999999999993</v>
      </c>
      <c r="K114" s="3">
        <f t="shared" si="14"/>
        <v>224.39999999999995</v>
      </c>
      <c r="L114" s="3">
        <v>0.3</v>
      </c>
      <c r="M114" s="3">
        <f t="shared" si="15"/>
        <v>108.5</v>
      </c>
      <c r="N114" s="3">
        <v>8.3999999999999986</v>
      </c>
      <c r="O114" s="3">
        <f t="shared" si="10"/>
        <v>148</v>
      </c>
      <c r="P114" s="3">
        <v>74</v>
      </c>
      <c r="Q114" s="3">
        <f t="shared" si="9"/>
        <v>0.69917355371900825</v>
      </c>
      <c r="R114" s="7">
        <f t="shared" si="11"/>
        <v>0.20975206611570246</v>
      </c>
      <c r="S114" s="7">
        <f t="shared" si="12"/>
        <v>8.4902479338842962</v>
      </c>
      <c r="T114" s="7">
        <f t="shared" si="17"/>
        <v>181.76855371900837</v>
      </c>
      <c r="V114" s="3">
        <v>109.2</v>
      </c>
      <c r="X114" s="3">
        <f t="shared" si="16"/>
        <v>53350.799999999988</v>
      </c>
      <c r="AA114" s="3">
        <v>9.2144460002220008</v>
      </c>
    </row>
    <row r="115" spans="1:27" s="3" customFormat="1" x14ac:dyDescent="0.25">
      <c r="A115" s="72"/>
      <c r="B115" s="8"/>
      <c r="C115" s="9">
        <v>41231</v>
      </c>
      <c r="D115" s="3">
        <v>8.3000000000000007</v>
      </c>
      <c r="E115" s="3">
        <v>6.7</v>
      </c>
      <c r="F115" s="3">
        <v>11.1</v>
      </c>
      <c r="G115" s="3">
        <f t="shared" si="13"/>
        <v>897.49999999999977</v>
      </c>
      <c r="J115" s="3">
        <v>0</v>
      </c>
      <c r="K115" s="3">
        <f t="shared" si="14"/>
        <v>224.39999999999995</v>
      </c>
      <c r="L115" s="3">
        <v>0.8</v>
      </c>
      <c r="M115" s="3">
        <f t="shared" si="15"/>
        <v>109.3</v>
      </c>
      <c r="N115" s="3">
        <v>-0.8</v>
      </c>
      <c r="O115" s="3">
        <f t="shared" si="10"/>
        <v>147.19999999999999</v>
      </c>
      <c r="P115" s="3">
        <v>75</v>
      </c>
      <c r="Q115" s="3">
        <f t="shared" ref="Q115:Q170" si="18">0.35+((P115-9)/121)*(1-0.35)</f>
        <v>0.70454545454545459</v>
      </c>
      <c r="R115" s="7">
        <f t="shared" si="11"/>
        <v>0.56363636363636371</v>
      </c>
      <c r="S115" s="7">
        <f t="shared" si="12"/>
        <v>-0.56363636363636371</v>
      </c>
      <c r="T115" s="7">
        <f t="shared" si="17"/>
        <v>181.204917355372</v>
      </c>
      <c r="V115" s="3">
        <v>334.5</v>
      </c>
      <c r="X115" s="3">
        <f t="shared" si="16"/>
        <v>53685.299999999988</v>
      </c>
      <c r="AA115" s="3">
        <v>9.1708750733060302</v>
      </c>
    </row>
    <row r="116" spans="1:27" s="3" customFormat="1" x14ac:dyDescent="0.25">
      <c r="A116" s="72"/>
      <c r="B116" s="8"/>
      <c r="C116" s="9">
        <v>41232</v>
      </c>
      <c r="D116" s="3">
        <v>8.3000000000000007</v>
      </c>
      <c r="E116" s="3">
        <v>3.3</v>
      </c>
      <c r="F116" s="3">
        <v>11.1</v>
      </c>
      <c r="G116" s="3">
        <f t="shared" si="13"/>
        <v>905.79999999999973</v>
      </c>
      <c r="J116" s="3">
        <v>0</v>
      </c>
      <c r="K116" s="3">
        <f t="shared" si="14"/>
        <v>224.39999999999995</v>
      </c>
      <c r="L116" s="3">
        <v>0.3</v>
      </c>
      <c r="M116" s="3">
        <f t="shared" si="15"/>
        <v>109.6</v>
      </c>
      <c r="N116" s="3">
        <v>-0.3</v>
      </c>
      <c r="O116" s="3">
        <f t="shared" si="10"/>
        <v>146.89999999999998</v>
      </c>
      <c r="P116" s="3">
        <v>76</v>
      </c>
      <c r="Q116" s="3">
        <f t="shared" si="18"/>
        <v>0.70991735537190093</v>
      </c>
      <c r="R116" s="7">
        <f t="shared" si="11"/>
        <v>0.21297520661157027</v>
      </c>
      <c r="S116" s="7">
        <f t="shared" si="12"/>
        <v>-0.21297520661157027</v>
      </c>
      <c r="T116" s="7">
        <f t="shared" si="17"/>
        <v>180.99194214876044</v>
      </c>
      <c r="V116" s="3">
        <v>280.2</v>
      </c>
      <c r="X116" s="3">
        <f t="shared" si="16"/>
        <v>53965.499999999985</v>
      </c>
      <c r="AA116" s="3">
        <v>9.1280912473793894</v>
      </c>
    </row>
    <row r="117" spans="1:27" s="3" customFormat="1" x14ac:dyDescent="0.25">
      <c r="A117" s="72"/>
      <c r="B117" s="8"/>
      <c r="C117" s="9">
        <v>41233</v>
      </c>
      <c r="D117" s="3">
        <v>11.5</v>
      </c>
      <c r="E117" s="3">
        <v>10.3</v>
      </c>
      <c r="F117" s="3">
        <v>12.8</v>
      </c>
      <c r="G117" s="3">
        <f t="shared" si="13"/>
        <v>917.29999999999973</v>
      </c>
      <c r="J117" s="3">
        <v>1.1000000000000001</v>
      </c>
      <c r="K117" s="3">
        <f t="shared" si="14"/>
        <v>225.49999999999994</v>
      </c>
      <c r="L117" s="3">
        <v>1</v>
      </c>
      <c r="M117" s="3">
        <f t="shared" si="15"/>
        <v>110.6</v>
      </c>
      <c r="N117" s="3">
        <v>0.10000000000000009</v>
      </c>
      <c r="O117" s="3">
        <f t="shared" si="10"/>
        <v>146.99999999999997</v>
      </c>
      <c r="P117" s="3">
        <v>77</v>
      </c>
      <c r="Q117" s="3">
        <f t="shared" si="18"/>
        <v>0.71528925619834705</v>
      </c>
      <c r="R117" s="7">
        <f t="shared" si="11"/>
        <v>0.71528925619834705</v>
      </c>
      <c r="S117" s="7">
        <f t="shared" si="12"/>
        <v>0.38471074380165304</v>
      </c>
      <c r="T117" s="7">
        <f t="shared" si="17"/>
        <v>181.37665289256211</v>
      </c>
      <c r="V117" s="3">
        <v>126.4</v>
      </c>
      <c r="X117" s="3">
        <f t="shared" si="16"/>
        <v>54091.899999999987</v>
      </c>
      <c r="AA117" s="3">
        <v>9.0861236829689993</v>
      </c>
    </row>
    <row r="118" spans="1:27" s="3" customFormat="1" x14ac:dyDescent="0.25">
      <c r="A118" s="72"/>
      <c r="B118" s="8"/>
      <c r="C118" s="9">
        <v>41234</v>
      </c>
      <c r="D118" s="3">
        <v>9.6</v>
      </c>
      <c r="E118" s="3">
        <v>9</v>
      </c>
      <c r="F118" s="3">
        <v>11.6</v>
      </c>
      <c r="G118" s="3">
        <f t="shared" si="13"/>
        <v>926.89999999999975</v>
      </c>
      <c r="J118" s="3">
        <v>0.2</v>
      </c>
      <c r="K118" s="3">
        <f t="shared" si="14"/>
        <v>225.69999999999993</v>
      </c>
      <c r="L118" s="3">
        <v>1</v>
      </c>
      <c r="M118" s="3">
        <f t="shared" si="15"/>
        <v>111.6</v>
      </c>
      <c r="N118" s="3">
        <v>-0.8</v>
      </c>
      <c r="O118" s="3">
        <f t="shared" si="10"/>
        <v>146.19999999999996</v>
      </c>
      <c r="P118" s="3">
        <v>78</v>
      </c>
      <c r="Q118" s="3">
        <f t="shared" si="18"/>
        <v>0.72066115702479339</v>
      </c>
      <c r="R118" s="7">
        <f t="shared" si="11"/>
        <v>0.72066115702479339</v>
      </c>
      <c r="S118" s="7">
        <f t="shared" si="12"/>
        <v>-0.52066115702479343</v>
      </c>
      <c r="T118" s="7">
        <f t="shared" si="17"/>
        <v>180.85599173553732</v>
      </c>
      <c r="V118" s="3">
        <v>190.6</v>
      </c>
      <c r="X118" s="3">
        <f t="shared" si="16"/>
        <v>54282.499999999985</v>
      </c>
      <c r="AA118" s="3">
        <v>9.0450018856624599</v>
      </c>
    </row>
    <row r="119" spans="1:27" s="3" customFormat="1" x14ac:dyDescent="0.25">
      <c r="A119" s="72"/>
      <c r="B119" s="8"/>
      <c r="C119" s="9">
        <v>41235</v>
      </c>
      <c r="D119" s="3">
        <v>9.9</v>
      </c>
      <c r="E119" s="3">
        <v>5.8</v>
      </c>
      <c r="F119" s="3">
        <v>14.8</v>
      </c>
      <c r="G119" s="3">
        <f t="shared" si="13"/>
        <v>936.79999999999973</v>
      </c>
      <c r="J119" s="3">
        <v>11.1</v>
      </c>
      <c r="K119" s="3">
        <f t="shared" si="14"/>
        <v>236.79999999999993</v>
      </c>
      <c r="L119" s="3">
        <v>1.3</v>
      </c>
      <c r="M119" s="3">
        <f t="shared" si="15"/>
        <v>112.89999999999999</v>
      </c>
      <c r="N119" s="3">
        <v>9.7999999999999989</v>
      </c>
      <c r="O119" s="3">
        <f t="shared" si="10"/>
        <v>155.99999999999997</v>
      </c>
      <c r="P119" s="3">
        <v>79</v>
      </c>
      <c r="Q119" s="3">
        <f t="shared" si="18"/>
        <v>0.72603305785123962</v>
      </c>
      <c r="R119" s="7">
        <f t="shared" si="11"/>
        <v>0.94384297520661153</v>
      </c>
      <c r="S119" s="7">
        <f t="shared" si="12"/>
        <v>10.156157024793387</v>
      </c>
      <c r="T119" s="7">
        <f t="shared" si="17"/>
        <v>191.01214876033072</v>
      </c>
      <c r="V119" s="3">
        <v>287.5</v>
      </c>
      <c r="X119" s="3">
        <f t="shared" si="16"/>
        <v>54569.999999999985</v>
      </c>
      <c r="AA119" s="3">
        <v>9.0047556574835408</v>
      </c>
    </row>
    <row r="120" spans="1:27" s="3" customFormat="1" x14ac:dyDescent="0.25">
      <c r="A120" s="72"/>
      <c r="B120" s="8"/>
      <c r="C120" s="9">
        <v>41236</v>
      </c>
      <c r="D120" s="3">
        <v>9.5</v>
      </c>
      <c r="E120" s="3">
        <v>9</v>
      </c>
      <c r="F120" s="3">
        <v>9.6999999999999993</v>
      </c>
      <c r="G120" s="3">
        <f t="shared" si="13"/>
        <v>946.29999999999973</v>
      </c>
      <c r="J120" s="3">
        <v>12.6</v>
      </c>
      <c r="K120" s="3">
        <f t="shared" si="14"/>
        <v>249.39999999999992</v>
      </c>
      <c r="L120" s="3">
        <v>0.3</v>
      </c>
      <c r="M120" s="3">
        <f t="shared" si="15"/>
        <v>113.19999999999999</v>
      </c>
      <c r="N120" s="3">
        <v>12.299999999999999</v>
      </c>
      <c r="O120" s="3">
        <f t="shared" si="10"/>
        <v>168.29999999999998</v>
      </c>
      <c r="P120" s="3">
        <v>80</v>
      </c>
      <c r="Q120" s="3">
        <f t="shared" si="18"/>
        <v>0.73140495867768596</v>
      </c>
      <c r="R120" s="7">
        <f t="shared" si="11"/>
        <v>0.21942148760330579</v>
      </c>
      <c r="S120" s="7">
        <f t="shared" si="12"/>
        <v>12.380578512396694</v>
      </c>
      <c r="T120" s="7">
        <f t="shared" si="17"/>
        <v>197.4</v>
      </c>
      <c r="V120" s="3">
        <v>82.2</v>
      </c>
      <c r="X120" s="3">
        <f t="shared" si="16"/>
        <v>54652.199999999983</v>
      </c>
      <c r="AA120" s="11">
        <v>8.9654150443073704</v>
      </c>
    </row>
    <row r="121" spans="1:27" s="3" customFormat="1" x14ac:dyDescent="0.25">
      <c r="A121" s="72"/>
      <c r="B121" s="8"/>
      <c r="C121" s="9">
        <v>41237</v>
      </c>
      <c r="D121" s="3">
        <v>11</v>
      </c>
      <c r="E121" s="3">
        <v>9</v>
      </c>
      <c r="F121" s="3">
        <v>14.1</v>
      </c>
      <c r="G121" s="3">
        <f t="shared" si="13"/>
        <v>957.29999999999973</v>
      </c>
      <c r="J121" s="3">
        <v>1.5</v>
      </c>
      <c r="K121" s="3">
        <f t="shared" si="14"/>
        <v>250.89999999999992</v>
      </c>
      <c r="L121" s="3">
        <v>0.8</v>
      </c>
      <c r="M121" s="3">
        <f t="shared" si="15"/>
        <v>113.99999999999999</v>
      </c>
      <c r="N121" s="3">
        <v>0.7</v>
      </c>
      <c r="O121" s="3">
        <f t="shared" ref="O121:O139" si="19">O120+N121</f>
        <v>168.99999999999997</v>
      </c>
      <c r="P121" s="3">
        <v>81</v>
      </c>
      <c r="Q121" s="3">
        <f t="shared" si="18"/>
        <v>0.73677685950413219</v>
      </c>
      <c r="R121" s="7">
        <f t="shared" si="11"/>
        <v>0.58942148760330582</v>
      </c>
      <c r="S121" s="7">
        <f t="shared" si="12"/>
        <v>0.91057851239669418</v>
      </c>
      <c r="T121" s="7">
        <f t="shared" si="17"/>
        <v>197.4</v>
      </c>
      <c r="V121" s="3">
        <v>102.7</v>
      </c>
      <c r="X121" s="3">
        <f t="shared" si="16"/>
        <v>54754.89999999998</v>
      </c>
      <c r="AA121" s="11">
        <v>8.9270102793325297</v>
      </c>
    </row>
    <row r="122" spans="1:27" s="3" customFormat="1" x14ac:dyDescent="0.25">
      <c r="A122" s="72"/>
      <c r="B122" s="8"/>
      <c r="C122" s="9">
        <v>41238</v>
      </c>
      <c r="D122" s="3">
        <v>10.4</v>
      </c>
      <c r="E122" s="3">
        <v>8.1</v>
      </c>
      <c r="F122" s="3">
        <v>13.1</v>
      </c>
      <c r="G122" s="3">
        <f t="shared" si="13"/>
        <v>967.6999999999997</v>
      </c>
      <c r="J122" s="3">
        <v>2.2999999999999998</v>
      </c>
      <c r="K122" s="3">
        <f t="shared" si="14"/>
        <v>253.19999999999993</v>
      </c>
      <c r="L122" s="3">
        <v>1.5</v>
      </c>
      <c r="M122" s="3">
        <f t="shared" si="15"/>
        <v>115.49999999999999</v>
      </c>
      <c r="N122" s="3">
        <v>0.79999999999999982</v>
      </c>
      <c r="O122" s="3">
        <f t="shared" si="19"/>
        <v>169.79999999999998</v>
      </c>
      <c r="P122" s="3">
        <v>82</v>
      </c>
      <c r="Q122" s="3">
        <f t="shared" si="18"/>
        <v>0.74214876033057853</v>
      </c>
      <c r="R122" s="7">
        <f t="shared" si="11"/>
        <v>1.1132231404958679</v>
      </c>
      <c r="S122" s="7">
        <f t="shared" si="12"/>
        <v>1.1867768595041319</v>
      </c>
      <c r="T122" s="7">
        <f t="shared" si="17"/>
        <v>197.4</v>
      </c>
      <c r="V122" s="3">
        <v>537.4</v>
      </c>
      <c r="X122" s="3">
        <f t="shared" si="16"/>
        <v>55292.299999999981</v>
      </c>
      <c r="AA122" s="11">
        <v>8.8895717226579496</v>
      </c>
    </row>
    <row r="123" spans="1:27" s="3" customFormat="1" x14ac:dyDescent="0.25">
      <c r="A123" s="72"/>
      <c r="B123" s="8"/>
      <c r="C123" s="9">
        <v>41239</v>
      </c>
      <c r="D123" s="3">
        <v>8.8000000000000007</v>
      </c>
      <c r="E123" s="3">
        <v>7.4</v>
      </c>
      <c r="F123" s="3">
        <v>10.8</v>
      </c>
      <c r="G123" s="3">
        <f t="shared" si="13"/>
        <v>976.49999999999966</v>
      </c>
      <c r="J123" s="3">
        <v>0.4</v>
      </c>
      <c r="K123" s="3">
        <f t="shared" si="14"/>
        <v>253.59999999999994</v>
      </c>
      <c r="L123" s="3">
        <v>1.2</v>
      </c>
      <c r="M123" s="3">
        <f t="shared" si="15"/>
        <v>116.69999999999999</v>
      </c>
      <c r="N123" s="3">
        <v>-0.79999999999999993</v>
      </c>
      <c r="O123" s="3">
        <f t="shared" si="19"/>
        <v>168.99999999999997</v>
      </c>
      <c r="P123" s="3">
        <v>83</v>
      </c>
      <c r="Q123" s="3">
        <f t="shared" si="18"/>
        <v>0.74752066115702476</v>
      </c>
      <c r="R123" s="7">
        <f t="shared" si="11"/>
        <v>0.89702479338842966</v>
      </c>
      <c r="S123" s="7">
        <f t="shared" si="12"/>
        <v>-0.49702479338842964</v>
      </c>
      <c r="T123" s="7">
        <f t="shared" si="17"/>
        <v>196.90297520661159</v>
      </c>
      <c r="V123" s="3">
        <v>492.9</v>
      </c>
      <c r="X123" s="3">
        <f t="shared" si="16"/>
        <v>55785.199999999983</v>
      </c>
      <c r="AA123" s="11">
        <v>8.8531297970460692</v>
      </c>
    </row>
    <row r="124" spans="1:27" s="3" customFormat="1" x14ac:dyDescent="0.25">
      <c r="A124" s="72"/>
      <c r="B124" s="8"/>
      <c r="C124" s="9">
        <v>41240</v>
      </c>
      <c r="D124" s="3">
        <v>6.9</v>
      </c>
      <c r="E124" s="3">
        <v>5.7</v>
      </c>
      <c r="F124" s="3">
        <v>8.6</v>
      </c>
      <c r="G124" s="3">
        <f t="shared" si="13"/>
        <v>983.39999999999964</v>
      </c>
      <c r="J124" s="3">
        <v>1.3</v>
      </c>
      <c r="K124" s="3">
        <f t="shared" si="14"/>
        <v>254.89999999999995</v>
      </c>
      <c r="L124" s="3">
        <v>0.4</v>
      </c>
      <c r="M124" s="3">
        <f t="shared" si="15"/>
        <v>117.1</v>
      </c>
      <c r="N124" s="3">
        <v>0.9</v>
      </c>
      <c r="O124" s="3">
        <f t="shared" si="19"/>
        <v>169.89999999999998</v>
      </c>
      <c r="P124" s="3">
        <v>84</v>
      </c>
      <c r="Q124" s="3">
        <f t="shared" si="18"/>
        <v>0.7528925619834711</v>
      </c>
      <c r="R124" s="7">
        <f t="shared" si="11"/>
        <v>0.30115702479338846</v>
      </c>
      <c r="S124" s="7">
        <f t="shared" si="12"/>
        <v>0.99884297520661158</v>
      </c>
      <c r="T124" s="7">
        <f t="shared" si="17"/>
        <v>197.4</v>
      </c>
      <c r="V124" s="3">
        <v>196.7</v>
      </c>
      <c r="X124" s="3">
        <f t="shared" si="16"/>
        <v>55981.89999999998</v>
      </c>
      <c r="AA124" s="11">
        <v>8.8177149199891005</v>
      </c>
    </row>
    <row r="125" spans="1:27" s="3" customFormat="1" x14ac:dyDescent="0.25">
      <c r="A125" s="72"/>
      <c r="B125" s="8"/>
      <c r="C125" s="9">
        <v>41241</v>
      </c>
      <c r="D125" s="3">
        <v>7.5</v>
      </c>
      <c r="E125" s="3">
        <v>6</v>
      </c>
      <c r="F125" s="3">
        <v>8.9</v>
      </c>
      <c r="G125" s="3">
        <f t="shared" si="13"/>
        <v>990.89999999999964</v>
      </c>
      <c r="J125" s="3">
        <v>0.1</v>
      </c>
      <c r="K125" s="3">
        <f t="shared" si="14"/>
        <v>254.99999999999994</v>
      </c>
      <c r="L125" s="3">
        <v>1.1000000000000001</v>
      </c>
      <c r="M125" s="3">
        <f t="shared" si="15"/>
        <v>118.19999999999999</v>
      </c>
      <c r="N125" s="3">
        <v>-1</v>
      </c>
      <c r="O125" s="3">
        <f t="shared" si="19"/>
        <v>168.89999999999998</v>
      </c>
      <c r="P125" s="3">
        <v>85</v>
      </c>
      <c r="Q125" s="3">
        <f t="shared" si="18"/>
        <v>0.75826446280991733</v>
      </c>
      <c r="R125" s="7">
        <f t="shared" si="11"/>
        <v>0.83409090909090911</v>
      </c>
      <c r="S125" s="7">
        <f t="shared" si="12"/>
        <v>-0.73409090909090913</v>
      </c>
      <c r="T125" s="7">
        <f t="shared" si="17"/>
        <v>196.66590909090911</v>
      </c>
      <c r="V125" s="3">
        <v>296.5</v>
      </c>
      <c r="X125" s="3">
        <f t="shared" si="16"/>
        <v>56278.39999999998</v>
      </c>
      <c r="AA125" s="11">
        <v>8.7833574322332097</v>
      </c>
    </row>
    <row r="126" spans="1:27" s="3" customFormat="1" x14ac:dyDescent="0.25">
      <c r="A126" s="72"/>
      <c r="B126" s="12">
        <v>1</v>
      </c>
      <c r="C126" s="9">
        <v>41242</v>
      </c>
      <c r="D126" s="3">
        <v>4.5999999999999996</v>
      </c>
      <c r="E126" s="3">
        <v>3.5</v>
      </c>
      <c r="F126" s="3">
        <v>7.4</v>
      </c>
      <c r="G126" s="3">
        <f t="shared" si="13"/>
        <v>995.49999999999966</v>
      </c>
      <c r="J126" s="3">
        <v>0</v>
      </c>
      <c r="K126" s="3">
        <f t="shared" si="14"/>
        <v>254.99999999999994</v>
      </c>
      <c r="L126" s="3">
        <v>1</v>
      </c>
      <c r="M126" s="3">
        <f t="shared" si="15"/>
        <v>119.19999999999999</v>
      </c>
      <c r="N126" s="3">
        <v>-1</v>
      </c>
      <c r="O126" s="3">
        <f t="shared" si="19"/>
        <v>167.89999999999998</v>
      </c>
      <c r="P126" s="3">
        <v>86</v>
      </c>
      <c r="Q126" s="3">
        <f t="shared" si="18"/>
        <v>0.76363636363636367</v>
      </c>
      <c r="R126" s="7">
        <f t="shared" si="11"/>
        <v>0.76363636363636367</v>
      </c>
      <c r="S126" s="7">
        <f t="shared" si="12"/>
        <v>-0.76363636363636367</v>
      </c>
      <c r="T126" s="7">
        <f t="shared" si="17"/>
        <v>195.90227272727276</v>
      </c>
      <c r="V126" s="3">
        <v>603.9</v>
      </c>
      <c r="X126" s="3">
        <f t="shared" si="16"/>
        <v>56882.299999999981</v>
      </c>
      <c r="AA126" s="11">
        <v>8.7500875229543809</v>
      </c>
    </row>
    <row r="127" spans="1:27" s="3" customFormat="1" x14ac:dyDescent="0.25">
      <c r="A127" s="72"/>
      <c r="B127" s="12">
        <v>2</v>
      </c>
      <c r="C127" s="9">
        <v>41243</v>
      </c>
      <c r="D127" s="3">
        <v>1.8</v>
      </c>
      <c r="E127" s="3">
        <v>-2.5</v>
      </c>
      <c r="F127" s="3">
        <v>6.9</v>
      </c>
      <c r="G127" s="3">
        <f t="shared" si="13"/>
        <v>997.29999999999961</v>
      </c>
      <c r="J127" s="3">
        <v>0.2</v>
      </c>
      <c r="K127" s="3">
        <f t="shared" si="14"/>
        <v>255.19999999999993</v>
      </c>
      <c r="L127" s="3">
        <v>0.3</v>
      </c>
      <c r="M127" s="3">
        <f t="shared" si="15"/>
        <v>119.49999999999999</v>
      </c>
      <c r="N127" s="3">
        <v>-9.9999999999999978E-2</v>
      </c>
      <c r="O127" s="3">
        <f t="shared" si="19"/>
        <v>167.79999999999998</v>
      </c>
      <c r="P127" s="3">
        <v>87</v>
      </c>
      <c r="Q127" s="3">
        <f t="shared" si="18"/>
        <v>0.7690082644628099</v>
      </c>
      <c r="R127" s="7">
        <f t="shared" si="11"/>
        <v>0.23070247933884297</v>
      </c>
      <c r="S127" s="7">
        <f t="shared" si="12"/>
        <v>-3.0702479338842958E-2</v>
      </c>
      <c r="T127" s="7">
        <f t="shared" si="17"/>
        <v>195.8715702479339</v>
      </c>
      <c r="V127" s="3">
        <v>195.9</v>
      </c>
      <c r="X127" s="3">
        <f t="shared" si="16"/>
        <v>57078.199999999983</v>
      </c>
      <c r="AA127" s="11">
        <v>8.7179351518204609</v>
      </c>
    </row>
    <row r="128" spans="1:27" s="3" customFormat="1" x14ac:dyDescent="0.25">
      <c r="A128" s="72"/>
      <c r="B128" s="12">
        <v>3</v>
      </c>
      <c r="C128" s="9">
        <v>41244</v>
      </c>
      <c r="D128" s="3">
        <v>4.3</v>
      </c>
      <c r="E128" s="3">
        <v>-0.3</v>
      </c>
      <c r="F128" s="3">
        <v>7.9</v>
      </c>
      <c r="G128" s="3">
        <f t="shared" si="13"/>
        <v>1001.5999999999996</v>
      </c>
      <c r="J128" s="3">
        <v>0.9</v>
      </c>
      <c r="K128" s="3">
        <f t="shared" si="14"/>
        <v>256.09999999999991</v>
      </c>
      <c r="L128" s="3">
        <v>0.3</v>
      </c>
      <c r="M128" s="3">
        <f t="shared" si="15"/>
        <v>119.79999999999998</v>
      </c>
      <c r="N128" s="3">
        <v>0.60000000000000009</v>
      </c>
      <c r="O128" s="3">
        <f t="shared" si="19"/>
        <v>168.39999999999998</v>
      </c>
      <c r="P128" s="3">
        <v>88</v>
      </c>
      <c r="Q128" s="3">
        <f t="shared" si="18"/>
        <v>0.77438016528925624</v>
      </c>
      <c r="R128" s="7">
        <f t="shared" si="11"/>
        <v>0.23231404958677687</v>
      </c>
      <c r="S128" s="7">
        <f t="shared" si="12"/>
        <v>0.66768595041322309</v>
      </c>
      <c r="T128" s="7">
        <f t="shared" si="17"/>
        <v>196.53925619834712</v>
      </c>
      <c r="V128" s="3">
        <v>445.9</v>
      </c>
      <c r="X128" s="3">
        <f t="shared" si="16"/>
        <v>57524.099999999984</v>
      </c>
      <c r="AA128" s="11">
        <v>8.6869299682154892</v>
      </c>
    </row>
    <row r="129" spans="1:27" s="3" customFormat="1" x14ac:dyDescent="0.25">
      <c r="A129" s="72"/>
      <c r="B129" s="8"/>
      <c r="C129" s="9">
        <v>41245</v>
      </c>
      <c r="D129" s="3">
        <v>6.7</v>
      </c>
      <c r="E129" s="3">
        <v>5</v>
      </c>
      <c r="F129" s="3">
        <v>11</v>
      </c>
      <c r="G129" s="3">
        <f t="shared" si="13"/>
        <v>1008.2999999999996</v>
      </c>
      <c r="J129" s="3">
        <v>6.2</v>
      </c>
      <c r="K129" s="3">
        <f t="shared" si="14"/>
        <v>262.2999999999999</v>
      </c>
      <c r="L129" s="3">
        <v>0.8</v>
      </c>
      <c r="M129" s="3">
        <f t="shared" si="15"/>
        <v>120.59999999999998</v>
      </c>
      <c r="N129" s="3">
        <v>5.4</v>
      </c>
      <c r="O129" s="3">
        <f t="shared" si="19"/>
        <v>173.79999999999998</v>
      </c>
      <c r="P129" s="3">
        <v>89</v>
      </c>
      <c r="Q129" s="3">
        <f t="shared" si="18"/>
        <v>0.77975206611570247</v>
      </c>
      <c r="R129" s="7">
        <f t="shared" si="11"/>
        <v>0.62380165289256206</v>
      </c>
      <c r="S129" s="7">
        <f t="shared" si="12"/>
        <v>5.5761983471074377</v>
      </c>
      <c r="T129" s="7">
        <f t="shared" si="17"/>
        <v>197.4</v>
      </c>
      <c r="V129" s="3">
        <v>405.3</v>
      </c>
      <c r="X129" s="3">
        <f t="shared" si="16"/>
        <v>57929.399999999987</v>
      </c>
      <c r="AA129" s="11">
        <v>8.6571012279438708</v>
      </c>
    </row>
    <row r="130" spans="1:27" s="3" customFormat="1" x14ac:dyDescent="0.25">
      <c r="A130" s="72"/>
      <c r="B130" s="8"/>
      <c r="C130" s="9">
        <v>41246</v>
      </c>
      <c r="D130" s="3">
        <v>9.8000000000000007</v>
      </c>
      <c r="E130" s="3">
        <v>6.7</v>
      </c>
      <c r="F130" s="3">
        <v>12</v>
      </c>
      <c r="G130" s="3">
        <f t="shared" si="13"/>
        <v>1018.0999999999996</v>
      </c>
      <c r="J130" s="3">
        <v>7.4</v>
      </c>
      <c r="K130" s="3">
        <f t="shared" si="14"/>
        <v>269.69999999999987</v>
      </c>
      <c r="L130" s="3">
        <v>0.2</v>
      </c>
      <c r="M130" s="3">
        <f t="shared" si="15"/>
        <v>120.79999999999998</v>
      </c>
      <c r="N130" s="3">
        <v>7.2</v>
      </c>
      <c r="O130" s="3">
        <f t="shared" si="19"/>
        <v>180.99999999999997</v>
      </c>
      <c r="P130" s="3">
        <v>90</v>
      </c>
      <c r="Q130" s="3">
        <f t="shared" si="18"/>
        <v>0.78512396694214881</v>
      </c>
      <c r="R130" s="7">
        <f t="shared" si="11"/>
        <v>0.15702479338842978</v>
      </c>
      <c r="S130" s="7">
        <f t="shared" si="12"/>
        <v>7.2429752066115709</v>
      </c>
      <c r="T130" s="7">
        <f t="shared" si="17"/>
        <v>197.4</v>
      </c>
      <c r="V130" s="3">
        <v>102.8</v>
      </c>
      <c r="X130" s="3">
        <f t="shared" si="16"/>
        <v>58032.19999999999</v>
      </c>
      <c r="AA130" s="11">
        <v>8.6284777077740902</v>
      </c>
    </row>
    <row r="131" spans="1:27" s="3" customFormat="1" x14ac:dyDescent="0.25">
      <c r="A131" s="72"/>
      <c r="B131" s="8"/>
      <c r="C131" s="9">
        <v>41247</v>
      </c>
      <c r="D131" s="3">
        <v>5.8</v>
      </c>
      <c r="E131" s="3">
        <v>4.3</v>
      </c>
      <c r="F131" s="3">
        <v>9</v>
      </c>
      <c r="G131" s="3">
        <f t="shared" si="13"/>
        <v>1023.8999999999995</v>
      </c>
      <c r="J131" s="3">
        <v>2.2000000000000002</v>
      </c>
      <c r="K131" s="3">
        <f t="shared" si="14"/>
        <v>271.89999999999986</v>
      </c>
      <c r="L131" s="3">
        <v>1.1000000000000001</v>
      </c>
      <c r="M131" s="3">
        <f t="shared" si="15"/>
        <v>121.89999999999998</v>
      </c>
      <c r="N131" s="3">
        <v>1.1000000000000001</v>
      </c>
      <c r="O131" s="3">
        <f t="shared" si="19"/>
        <v>182.09999999999997</v>
      </c>
      <c r="P131" s="3">
        <v>91</v>
      </c>
      <c r="Q131" s="3">
        <f t="shared" si="18"/>
        <v>0.79049586776859493</v>
      </c>
      <c r="R131" s="7">
        <f t="shared" si="11"/>
        <v>0.86954545454545451</v>
      </c>
      <c r="S131" s="7">
        <f t="shared" si="12"/>
        <v>1.3304545454545456</v>
      </c>
      <c r="T131" s="7">
        <f t="shared" si="17"/>
        <v>197.4</v>
      </c>
      <c r="V131" s="3">
        <v>429.8</v>
      </c>
      <c r="X131" s="3">
        <f t="shared" si="16"/>
        <v>58461.999999999993</v>
      </c>
      <c r="AA131" s="11">
        <v>8.6010876182217704</v>
      </c>
    </row>
    <row r="132" spans="1:27" s="3" customFormat="1" x14ac:dyDescent="0.25">
      <c r="A132" s="72"/>
      <c r="B132" s="12">
        <v>4</v>
      </c>
      <c r="C132" s="9">
        <v>41248</v>
      </c>
      <c r="D132" s="3">
        <v>4.4000000000000004</v>
      </c>
      <c r="E132" s="3">
        <v>2.9</v>
      </c>
      <c r="F132" s="3">
        <v>8.1</v>
      </c>
      <c r="G132" s="3">
        <f t="shared" si="13"/>
        <v>1028.2999999999995</v>
      </c>
      <c r="J132" s="3">
        <v>2.5</v>
      </c>
      <c r="K132" s="3">
        <f t="shared" si="14"/>
        <v>274.39999999999986</v>
      </c>
      <c r="L132" s="3">
        <v>1</v>
      </c>
      <c r="M132" s="3">
        <f t="shared" si="15"/>
        <v>122.89999999999998</v>
      </c>
      <c r="N132" s="3">
        <v>1.5</v>
      </c>
      <c r="O132" s="3">
        <f t="shared" si="19"/>
        <v>183.59999999999997</v>
      </c>
      <c r="P132" s="3">
        <v>92</v>
      </c>
      <c r="Q132" s="3">
        <f t="shared" si="18"/>
        <v>0.79586776859504127</v>
      </c>
      <c r="R132" s="7">
        <f t="shared" si="11"/>
        <v>0.79586776859504127</v>
      </c>
      <c r="S132" s="7">
        <f t="shared" si="12"/>
        <v>1.7041322314049587</v>
      </c>
      <c r="T132" s="7">
        <f t="shared" si="17"/>
        <v>197.4</v>
      </c>
      <c r="V132" s="3">
        <v>476.4</v>
      </c>
      <c r="X132" s="3">
        <f t="shared" si="16"/>
        <v>58938.399999999994</v>
      </c>
      <c r="AA132" s="11">
        <v>8.5749585150120193</v>
      </c>
    </row>
    <row r="133" spans="1:27" s="3" customFormat="1" x14ac:dyDescent="0.25">
      <c r="A133" s="72"/>
      <c r="B133" s="12">
        <v>5</v>
      </c>
      <c r="C133" s="9">
        <v>41249</v>
      </c>
      <c r="D133" s="3">
        <v>2.8</v>
      </c>
      <c r="E133" s="3">
        <v>-1.2</v>
      </c>
      <c r="F133" s="3">
        <v>6.6</v>
      </c>
      <c r="G133" s="3">
        <f t="shared" si="13"/>
        <v>1031.0999999999995</v>
      </c>
      <c r="J133" s="3">
        <v>9.1</v>
      </c>
      <c r="K133" s="3">
        <f t="shared" si="14"/>
        <v>283.49999999999989</v>
      </c>
      <c r="L133" s="3">
        <v>0.6</v>
      </c>
      <c r="M133" s="3">
        <f t="shared" si="15"/>
        <v>123.49999999999997</v>
      </c>
      <c r="N133" s="3">
        <v>8.5</v>
      </c>
      <c r="O133" s="3">
        <f t="shared" si="19"/>
        <v>192.09999999999997</v>
      </c>
      <c r="P133" s="3">
        <v>93</v>
      </c>
      <c r="Q133" s="3">
        <f t="shared" si="18"/>
        <v>0.80123966942148761</v>
      </c>
      <c r="R133" s="7">
        <f t="shared" si="11"/>
        <v>0.48074380165289254</v>
      </c>
      <c r="S133" s="7">
        <f t="shared" si="12"/>
        <v>8.6192561983471077</v>
      </c>
      <c r="T133" s="7">
        <f t="shared" si="17"/>
        <v>197.4</v>
      </c>
      <c r="V133" s="3">
        <v>421.2</v>
      </c>
      <c r="X133" s="3">
        <f t="shared" si="16"/>
        <v>59359.599999999991</v>
      </c>
      <c r="AA133" s="11">
        <v>8.5501172096972606</v>
      </c>
    </row>
    <row r="134" spans="1:27" s="3" customFormat="1" x14ac:dyDescent="0.25">
      <c r="A134" s="72"/>
      <c r="B134" s="8"/>
      <c r="C134" s="9">
        <v>41250</v>
      </c>
      <c r="D134" s="3">
        <v>6.8</v>
      </c>
      <c r="E134" s="3">
        <v>4</v>
      </c>
      <c r="F134" s="3">
        <v>9</v>
      </c>
      <c r="G134" s="3">
        <f t="shared" si="13"/>
        <v>1037.8999999999994</v>
      </c>
      <c r="J134" s="3">
        <v>3.6</v>
      </c>
      <c r="K134" s="3">
        <f t="shared" si="14"/>
        <v>287.09999999999991</v>
      </c>
      <c r="L134" s="3">
        <v>1.1000000000000001</v>
      </c>
      <c r="M134" s="3">
        <f t="shared" si="15"/>
        <v>124.59999999999997</v>
      </c>
      <c r="N134" s="3">
        <v>2.5</v>
      </c>
      <c r="O134" s="3">
        <f t="shared" si="19"/>
        <v>194.59999999999997</v>
      </c>
      <c r="P134" s="3">
        <v>94</v>
      </c>
      <c r="Q134" s="3">
        <f t="shared" si="18"/>
        <v>0.80661157024793395</v>
      </c>
      <c r="R134" s="7">
        <f t="shared" si="11"/>
        <v>0.88727272727272744</v>
      </c>
      <c r="S134" s="7">
        <f t="shared" si="12"/>
        <v>2.7127272727272729</v>
      </c>
      <c r="T134" s="7">
        <f t="shared" si="17"/>
        <v>197.4</v>
      </c>
      <c r="V134" s="3">
        <v>512</v>
      </c>
      <c r="X134" s="3">
        <f t="shared" si="16"/>
        <v>59871.599999999991</v>
      </c>
      <c r="AA134" s="11">
        <v>8.5265896799417202</v>
      </c>
    </row>
    <row r="135" spans="1:27" s="3" customFormat="1" x14ac:dyDescent="0.25">
      <c r="A135" s="72"/>
      <c r="B135" s="8"/>
      <c r="C135" s="9">
        <v>41251</v>
      </c>
      <c r="D135" s="3">
        <v>5.6</v>
      </c>
      <c r="E135" s="3">
        <v>4.9000000000000004</v>
      </c>
      <c r="F135" s="3">
        <v>7.4</v>
      </c>
      <c r="G135" s="3">
        <f t="shared" si="13"/>
        <v>1043.4999999999993</v>
      </c>
      <c r="J135" s="3">
        <v>0</v>
      </c>
      <c r="K135" s="3">
        <f t="shared" si="14"/>
        <v>287.09999999999991</v>
      </c>
      <c r="L135" s="3">
        <v>1</v>
      </c>
      <c r="M135" s="3">
        <f t="shared" si="15"/>
        <v>125.59999999999997</v>
      </c>
      <c r="N135" s="3">
        <v>-1</v>
      </c>
      <c r="O135" s="3">
        <f t="shared" si="19"/>
        <v>193.59999999999997</v>
      </c>
      <c r="P135" s="3">
        <v>95</v>
      </c>
      <c r="Q135" s="3">
        <f t="shared" si="18"/>
        <v>0.81198347107438007</v>
      </c>
      <c r="R135" s="7">
        <f t="shared" si="11"/>
        <v>0.81198347107438007</v>
      </c>
      <c r="S135" s="7">
        <f t="shared" si="12"/>
        <v>-0.81198347107438007</v>
      </c>
      <c r="T135" s="7">
        <f t="shared" si="17"/>
        <v>196.58801652892564</v>
      </c>
      <c r="V135" s="3">
        <v>196.7</v>
      </c>
      <c r="X135" s="3">
        <f t="shared" si="16"/>
        <v>60068.299999999988</v>
      </c>
      <c r="AA135" s="11">
        <v>8.5044009800137506</v>
      </c>
    </row>
    <row r="136" spans="1:27" s="3" customFormat="1" x14ac:dyDescent="0.25">
      <c r="A136" s="72"/>
      <c r="B136" s="8"/>
      <c r="C136" s="9">
        <v>41252</v>
      </c>
      <c r="D136" s="3">
        <v>5.9</v>
      </c>
      <c r="E136" s="3">
        <v>1.8</v>
      </c>
      <c r="F136" s="3">
        <v>9.4</v>
      </c>
      <c r="G136" s="3">
        <f t="shared" si="13"/>
        <v>1049.3999999999994</v>
      </c>
      <c r="J136" s="3">
        <v>1.5</v>
      </c>
      <c r="K136" s="3">
        <f t="shared" si="14"/>
        <v>288.59999999999991</v>
      </c>
      <c r="L136" s="3">
        <v>0.6</v>
      </c>
      <c r="M136" s="3">
        <f t="shared" si="15"/>
        <v>126.19999999999996</v>
      </c>
      <c r="N136" s="3">
        <v>0.9</v>
      </c>
      <c r="O136" s="3">
        <f t="shared" si="19"/>
        <v>194.49999999999997</v>
      </c>
      <c r="P136" s="3">
        <v>96</v>
      </c>
      <c r="Q136" s="3">
        <f t="shared" si="18"/>
        <v>0.81735537190082641</v>
      </c>
      <c r="R136" s="7">
        <f t="shared" si="11"/>
        <v>0.49041322314049585</v>
      </c>
      <c r="S136" s="7">
        <f t="shared" si="12"/>
        <v>1.0095867768595042</v>
      </c>
      <c r="T136" s="7">
        <f t="shared" si="17"/>
        <v>197.4</v>
      </c>
      <c r="V136" s="3">
        <v>171.2</v>
      </c>
      <c r="X136" s="3">
        <f t="shared" si="16"/>
        <v>60239.499999999985</v>
      </c>
      <c r="AA136" s="11">
        <v>8.4835751520538096</v>
      </c>
    </row>
    <row r="137" spans="1:27" s="3" customFormat="1" x14ac:dyDescent="0.25">
      <c r="A137" s="72"/>
      <c r="B137" s="8"/>
      <c r="C137" s="9">
        <v>41253</v>
      </c>
      <c r="D137" s="3">
        <v>5.0999999999999996</v>
      </c>
      <c r="E137" s="3">
        <v>2.9</v>
      </c>
      <c r="F137" s="3">
        <v>8.4</v>
      </c>
      <c r="G137" s="3">
        <f t="shared" si="13"/>
        <v>1054.4999999999993</v>
      </c>
      <c r="J137" s="3">
        <v>0</v>
      </c>
      <c r="K137" s="3">
        <f t="shared" si="14"/>
        <v>288.59999999999991</v>
      </c>
      <c r="L137" s="3">
        <v>0.9</v>
      </c>
      <c r="M137" s="3">
        <f t="shared" si="15"/>
        <v>127.09999999999997</v>
      </c>
      <c r="N137" s="3">
        <v>-0.9</v>
      </c>
      <c r="O137" s="3">
        <f t="shared" si="19"/>
        <v>193.59999999999997</v>
      </c>
      <c r="P137" s="3">
        <v>97</v>
      </c>
      <c r="Q137" s="3">
        <f t="shared" si="18"/>
        <v>0.82272727272727275</v>
      </c>
      <c r="R137" s="7">
        <f t="shared" si="11"/>
        <v>0.74045454545454548</v>
      </c>
      <c r="S137" s="7">
        <f t="shared" si="12"/>
        <v>-0.74045454545454548</v>
      </c>
      <c r="T137" s="7">
        <f t="shared" si="17"/>
        <v>196.65954545454545</v>
      </c>
      <c r="V137" s="3">
        <v>530.79999999999995</v>
      </c>
      <c r="X137" s="3">
        <f t="shared" si="16"/>
        <v>60770.299999999988</v>
      </c>
      <c r="AA137" s="11">
        <v>8.4641351387067392</v>
      </c>
    </row>
    <row r="138" spans="1:27" s="3" customFormat="1" x14ac:dyDescent="0.25">
      <c r="A138" s="72"/>
      <c r="B138" s="12">
        <v>6</v>
      </c>
      <c r="C138" s="9">
        <v>41254</v>
      </c>
      <c r="D138" s="3">
        <v>1.5</v>
      </c>
      <c r="E138" s="3">
        <v>-0.2</v>
      </c>
      <c r="F138" s="3">
        <v>6.4</v>
      </c>
      <c r="G138" s="3">
        <f t="shared" si="13"/>
        <v>1055.9999999999993</v>
      </c>
      <c r="J138" s="3">
        <v>0</v>
      </c>
      <c r="K138" s="3">
        <f t="shared" si="14"/>
        <v>288.59999999999991</v>
      </c>
      <c r="L138" s="3">
        <v>1</v>
      </c>
      <c r="M138" s="3">
        <f t="shared" si="15"/>
        <v>128.09999999999997</v>
      </c>
      <c r="N138" s="3">
        <v>-1</v>
      </c>
      <c r="O138" s="3">
        <f t="shared" si="19"/>
        <v>192.59999999999997</v>
      </c>
      <c r="P138" s="3">
        <v>98</v>
      </c>
      <c r="Q138" s="3">
        <f t="shared" si="18"/>
        <v>0.82809917355371898</v>
      </c>
      <c r="R138" s="7">
        <f t="shared" si="11"/>
        <v>0.82809917355371898</v>
      </c>
      <c r="S138" s="7">
        <f t="shared" si="12"/>
        <v>-0.82809917355371898</v>
      </c>
      <c r="T138" s="7">
        <f t="shared" si="17"/>
        <v>195.83144628099174</v>
      </c>
      <c r="V138" s="3">
        <v>618.6</v>
      </c>
      <c r="X138" s="3">
        <f t="shared" si="16"/>
        <v>61388.899999999987</v>
      </c>
      <c r="AA138" s="11">
        <v>8.4461026977227203</v>
      </c>
    </row>
    <row r="139" spans="1:27" s="3" customFormat="1" x14ac:dyDescent="0.25">
      <c r="A139" s="72"/>
      <c r="B139" s="12">
        <v>7</v>
      </c>
      <c r="C139" s="9">
        <v>41255</v>
      </c>
      <c r="D139" s="3">
        <v>-1.3</v>
      </c>
      <c r="E139" s="3">
        <v>-3.7</v>
      </c>
      <c r="F139" s="3">
        <v>1.7</v>
      </c>
      <c r="G139" s="3">
        <v>1056</v>
      </c>
      <c r="J139" s="3">
        <v>1.4</v>
      </c>
      <c r="K139" s="3">
        <f t="shared" si="14"/>
        <v>289.99999999999989</v>
      </c>
      <c r="L139" s="3">
        <v>0.6</v>
      </c>
      <c r="M139" s="3">
        <f t="shared" si="15"/>
        <v>128.69999999999996</v>
      </c>
      <c r="N139" s="3">
        <v>0.79999999999999993</v>
      </c>
      <c r="O139" s="3">
        <f t="shared" si="19"/>
        <v>193.39999999999998</v>
      </c>
      <c r="P139" s="3">
        <v>99</v>
      </c>
      <c r="Q139" s="3">
        <f t="shared" si="18"/>
        <v>0.83347107438016521</v>
      </c>
      <c r="R139" s="7">
        <f t="shared" si="11"/>
        <v>0.50008264462809915</v>
      </c>
      <c r="S139" s="7">
        <f t="shared" si="12"/>
        <v>0.89991735537190076</v>
      </c>
      <c r="T139" s="7">
        <f t="shared" si="17"/>
        <v>196.73136363636365</v>
      </c>
      <c r="V139" s="3">
        <v>567.6</v>
      </c>
      <c r="X139" s="3">
        <f t="shared" si="16"/>
        <v>61956.499999999985</v>
      </c>
      <c r="AA139" s="11">
        <v>8.4294983191401904</v>
      </c>
    </row>
    <row r="140" spans="1:27" s="3" customFormat="1" x14ac:dyDescent="0.25">
      <c r="A140" s="72"/>
      <c r="B140" s="12">
        <v>8</v>
      </c>
      <c r="C140" s="9">
        <v>41256</v>
      </c>
      <c r="D140" s="3">
        <v>3.2</v>
      </c>
      <c r="E140" s="3">
        <v>-0.8</v>
      </c>
      <c r="F140" s="3">
        <v>9</v>
      </c>
      <c r="G140" s="3">
        <f t="shared" si="13"/>
        <v>1059.2</v>
      </c>
      <c r="J140" s="3">
        <v>5.3</v>
      </c>
      <c r="K140" s="3">
        <f t="shared" si="14"/>
        <v>295.2999999999999</v>
      </c>
      <c r="L140" s="3">
        <v>0.6</v>
      </c>
      <c r="M140" s="3">
        <f t="shared" si="15"/>
        <v>129.29999999999995</v>
      </c>
      <c r="N140" s="3">
        <v>4.7</v>
      </c>
      <c r="O140" s="3">
        <v>197.4</v>
      </c>
      <c r="P140" s="3">
        <v>100</v>
      </c>
      <c r="Q140" s="3">
        <f t="shared" si="18"/>
        <v>0.83884297520661155</v>
      </c>
      <c r="R140" s="7">
        <f t="shared" si="11"/>
        <v>0.50330578512396695</v>
      </c>
      <c r="S140" s="7">
        <f t="shared" si="12"/>
        <v>4.796694214876033</v>
      </c>
      <c r="T140" s="7">
        <f t="shared" si="17"/>
        <v>197.4</v>
      </c>
      <c r="V140" s="3">
        <v>185.5</v>
      </c>
      <c r="X140" s="3">
        <f t="shared" si="16"/>
        <v>62141.999999999985</v>
      </c>
      <c r="AA140" s="11">
        <v>8.4143411456663699</v>
      </c>
    </row>
    <row r="141" spans="1:27" s="3" customFormat="1" x14ac:dyDescent="0.25">
      <c r="A141" s="72"/>
      <c r="B141" s="8"/>
      <c r="C141" s="9">
        <v>41257</v>
      </c>
      <c r="D141" s="3">
        <v>9.8000000000000007</v>
      </c>
      <c r="E141" s="3">
        <v>6.3</v>
      </c>
      <c r="F141" s="3">
        <v>13.3</v>
      </c>
      <c r="G141" s="3">
        <f t="shared" si="13"/>
        <v>1069</v>
      </c>
      <c r="J141" s="3">
        <v>9.6999999999999993</v>
      </c>
      <c r="K141" s="3">
        <f t="shared" si="14"/>
        <v>304.99999999999989</v>
      </c>
      <c r="L141" s="3">
        <v>0.6</v>
      </c>
      <c r="M141" s="3">
        <f t="shared" si="15"/>
        <v>129.89999999999995</v>
      </c>
      <c r="N141" s="3">
        <v>9.1</v>
      </c>
      <c r="O141" s="3">
        <v>197.4</v>
      </c>
      <c r="P141" s="3">
        <v>101</v>
      </c>
      <c r="Q141" s="3">
        <f t="shared" si="18"/>
        <v>0.84421487603305789</v>
      </c>
      <c r="R141" s="7">
        <f t="shared" si="11"/>
        <v>0.50652892561983476</v>
      </c>
      <c r="S141" s="7">
        <f t="shared" si="12"/>
        <v>9.1934710743801649</v>
      </c>
      <c r="T141" s="7">
        <f t="shared" si="17"/>
        <v>197.4</v>
      </c>
      <c r="V141" s="3">
        <v>83.6</v>
      </c>
      <c r="X141" s="3">
        <f t="shared" si="16"/>
        <v>62225.599999999984</v>
      </c>
      <c r="AA141" s="11">
        <v>8.4006488968663096</v>
      </c>
    </row>
    <row r="142" spans="1:27" s="3" customFormat="1" x14ac:dyDescent="0.25">
      <c r="A142" s="72"/>
      <c r="B142" s="8"/>
      <c r="C142" s="9">
        <v>41258</v>
      </c>
      <c r="D142" s="3">
        <v>9.1999999999999993</v>
      </c>
      <c r="E142" s="3">
        <v>7.5</v>
      </c>
      <c r="F142" s="3">
        <v>12.3</v>
      </c>
      <c r="G142" s="3">
        <f t="shared" si="13"/>
        <v>1078.2</v>
      </c>
      <c r="J142" s="3">
        <v>9.3000000000000007</v>
      </c>
      <c r="K142" s="3">
        <f t="shared" si="14"/>
        <v>314.2999999999999</v>
      </c>
      <c r="L142" s="3">
        <v>1</v>
      </c>
      <c r="M142" s="3">
        <f t="shared" si="15"/>
        <v>130.89999999999995</v>
      </c>
      <c r="N142" s="3">
        <v>8.3000000000000007</v>
      </c>
      <c r="O142" s="3">
        <v>197.4</v>
      </c>
      <c r="P142" s="3">
        <v>102</v>
      </c>
      <c r="Q142" s="3">
        <f t="shared" si="18"/>
        <v>0.84958677685950412</v>
      </c>
      <c r="R142" s="7">
        <f t="shared" si="11"/>
        <v>0.84958677685950412</v>
      </c>
      <c r="S142" s="7">
        <f t="shared" si="12"/>
        <v>8.4504132231404974</v>
      </c>
      <c r="T142" s="7">
        <f t="shared" si="17"/>
        <v>197.4</v>
      </c>
      <c r="V142" s="3">
        <v>250.5</v>
      </c>
      <c r="X142" s="3">
        <f t="shared" si="16"/>
        <v>62476.099999999984</v>
      </c>
      <c r="AA142" s="11">
        <v>8.3884377977584599</v>
      </c>
    </row>
    <row r="143" spans="1:27" s="3" customFormat="1" x14ac:dyDescent="0.25">
      <c r="A143" s="72"/>
      <c r="B143" s="8"/>
      <c r="C143" s="9">
        <v>41259</v>
      </c>
      <c r="D143" s="3">
        <v>8.8000000000000007</v>
      </c>
      <c r="E143" s="3">
        <v>7.2</v>
      </c>
      <c r="F143" s="3">
        <v>11.1</v>
      </c>
      <c r="G143" s="3">
        <f t="shared" si="13"/>
        <v>1087</v>
      </c>
      <c r="J143" s="3">
        <v>4.0999999999999996</v>
      </c>
      <c r="K143" s="3">
        <f t="shared" si="14"/>
        <v>318.39999999999992</v>
      </c>
      <c r="L143" s="3">
        <v>0.8</v>
      </c>
      <c r="M143" s="3">
        <f t="shared" si="15"/>
        <v>131.69999999999996</v>
      </c>
      <c r="N143" s="3">
        <v>3.3</v>
      </c>
      <c r="O143" s="3">
        <v>197.4</v>
      </c>
      <c r="P143" s="3">
        <v>103</v>
      </c>
      <c r="Q143" s="3">
        <f t="shared" si="18"/>
        <v>0.85495867768595035</v>
      </c>
      <c r="R143" s="7">
        <f t="shared" si="11"/>
        <v>0.6839669421487603</v>
      </c>
      <c r="S143" s="7">
        <f t="shared" si="12"/>
        <v>3.4160330578512395</v>
      </c>
      <c r="T143" s="7">
        <f t="shared" si="17"/>
        <v>197.4</v>
      </c>
      <c r="V143" s="3">
        <v>349.1</v>
      </c>
      <c r="X143" s="3">
        <f t="shared" si="16"/>
        <v>62825.199999999983</v>
      </c>
      <c r="AA143" s="11">
        <v>8.3777225123951595</v>
      </c>
    </row>
    <row r="144" spans="1:27" s="3" customFormat="1" x14ac:dyDescent="0.25">
      <c r="A144" s="72"/>
      <c r="B144" s="8"/>
      <c r="C144" s="9">
        <v>41260</v>
      </c>
      <c r="D144" s="3">
        <v>8.3000000000000007</v>
      </c>
      <c r="E144" s="3">
        <v>7</v>
      </c>
      <c r="F144" s="3">
        <v>10.9</v>
      </c>
      <c r="G144" s="3">
        <f t="shared" si="13"/>
        <v>1095.3</v>
      </c>
      <c r="J144" s="3">
        <v>0.6</v>
      </c>
      <c r="K144" s="3">
        <f t="shared" si="14"/>
        <v>318.99999999999994</v>
      </c>
      <c r="L144" s="3">
        <v>1.2</v>
      </c>
      <c r="M144" s="3">
        <f t="shared" si="15"/>
        <v>132.89999999999995</v>
      </c>
      <c r="N144" s="3">
        <v>-0.6</v>
      </c>
      <c r="O144" s="3">
        <f>O143+N144</f>
        <v>196.8</v>
      </c>
      <c r="P144" s="3">
        <v>104</v>
      </c>
      <c r="Q144" s="3">
        <f t="shared" si="18"/>
        <v>0.86033057851239669</v>
      </c>
      <c r="R144" s="7">
        <f t="shared" si="11"/>
        <v>1.0323966942148759</v>
      </c>
      <c r="S144" s="7">
        <f t="shared" si="12"/>
        <v>-0.43239669421487592</v>
      </c>
      <c r="T144" s="7">
        <f t="shared" si="17"/>
        <v>196.96760330578513</v>
      </c>
      <c r="V144" s="3">
        <v>223.9</v>
      </c>
      <c r="X144" s="3">
        <f t="shared" si="16"/>
        <v>63049.099999999984</v>
      </c>
      <c r="AA144" s="11">
        <v>8.3685160829780205</v>
      </c>
    </row>
    <row r="145" spans="1:27" s="3" customFormat="1" x14ac:dyDescent="0.25">
      <c r="A145" s="72"/>
      <c r="B145" s="8"/>
      <c r="C145" s="9">
        <v>41261</v>
      </c>
      <c r="D145" s="3">
        <v>7.3</v>
      </c>
      <c r="E145" s="3">
        <v>6.4</v>
      </c>
      <c r="F145" s="3">
        <v>9.6</v>
      </c>
      <c r="G145" s="3">
        <f t="shared" si="13"/>
        <v>1102.5999999999999</v>
      </c>
      <c r="J145" s="3">
        <v>8.5</v>
      </c>
      <c r="K145" s="3">
        <f t="shared" si="14"/>
        <v>327.49999999999994</v>
      </c>
      <c r="L145" s="3">
        <v>0.6</v>
      </c>
      <c r="M145" s="3">
        <f t="shared" si="15"/>
        <v>133.49999999999994</v>
      </c>
      <c r="N145" s="3">
        <v>7.9</v>
      </c>
      <c r="O145" s="3">
        <v>197.4</v>
      </c>
      <c r="P145" s="3">
        <v>105</v>
      </c>
      <c r="Q145" s="3">
        <f t="shared" si="18"/>
        <v>0.86570247933884303</v>
      </c>
      <c r="R145" s="7">
        <f t="shared" si="11"/>
        <v>0.51942148760330575</v>
      </c>
      <c r="S145" s="7">
        <f t="shared" si="12"/>
        <v>7.9805785123966944</v>
      </c>
      <c r="T145" s="7">
        <f t="shared" si="17"/>
        <v>197.4</v>
      </c>
      <c r="V145" s="3">
        <v>152.4</v>
      </c>
      <c r="X145" s="3">
        <f t="shared" si="16"/>
        <v>63201.499999999985</v>
      </c>
      <c r="AA145" s="11">
        <v>8.3608298750230894</v>
      </c>
    </row>
    <row r="146" spans="1:27" s="3" customFormat="1" x14ac:dyDescent="0.25">
      <c r="A146" s="72"/>
      <c r="B146" s="8"/>
      <c r="C146" s="9">
        <v>41262</v>
      </c>
      <c r="D146" s="3">
        <v>10</v>
      </c>
      <c r="E146" s="3">
        <v>6.1</v>
      </c>
      <c r="F146" s="3">
        <v>12.2</v>
      </c>
      <c r="G146" s="3">
        <f t="shared" si="13"/>
        <v>1112.5999999999999</v>
      </c>
      <c r="J146" s="3">
        <v>20.8</v>
      </c>
      <c r="K146" s="3">
        <f t="shared" si="14"/>
        <v>348.29999999999995</v>
      </c>
      <c r="L146" s="3">
        <v>0.2</v>
      </c>
      <c r="M146" s="3">
        <f t="shared" si="15"/>
        <v>133.69999999999993</v>
      </c>
      <c r="N146" s="3">
        <v>20.6</v>
      </c>
      <c r="O146" s="3">
        <v>197.4</v>
      </c>
      <c r="P146" s="3">
        <v>106</v>
      </c>
      <c r="Q146" s="3">
        <f t="shared" si="18"/>
        <v>0.87107438016528926</v>
      </c>
      <c r="R146" s="7">
        <f t="shared" si="11"/>
        <v>0.17421487603305785</v>
      </c>
      <c r="S146" s="7">
        <f t="shared" si="12"/>
        <v>20.625785123966942</v>
      </c>
      <c r="T146" s="7">
        <f t="shared" si="17"/>
        <v>197.4</v>
      </c>
      <c r="V146" s="3">
        <v>65.400000000000006</v>
      </c>
      <c r="X146" s="3">
        <f t="shared" si="16"/>
        <v>63266.899999999987</v>
      </c>
      <c r="AA146" s="11">
        <v>8.3546735290476395</v>
      </c>
    </row>
    <row r="147" spans="1:27" s="3" customFormat="1" x14ac:dyDescent="0.25">
      <c r="A147" s="72"/>
      <c r="B147" s="8"/>
      <c r="C147" s="9">
        <v>41263</v>
      </c>
      <c r="D147" s="3">
        <v>10.199999999999999</v>
      </c>
      <c r="E147" s="3">
        <v>9.4</v>
      </c>
      <c r="F147" s="3">
        <v>12.1</v>
      </c>
      <c r="G147" s="3">
        <f t="shared" si="13"/>
        <v>1122.8</v>
      </c>
      <c r="J147" s="3">
        <v>2.6</v>
      </c>
      <c r="K147" s="3">
        <f t="shared" si="14"/>
        <v>350.9</v>
      </c>
      <c r="L147" s="3">
        <v>0.7</v>
      </c>
      <c r="M147" s="3">
        <f t="shared" si="15"/>
        <v>134.39999999999992</v>
      </c>
      <c r="N147" s="3">
        <v>1.9000000000000001</v>
      </c>
      <c r="O147" s="3">
        <v>197.4</v>
      </c>
      <c r="P147" s="3">
        <v>107</v>
      </c>
      <c r="Q147" s="3">
        <f t="shared" si="18"/>
        <v>0.87644628099173549</v>
      </c>
      <c r="R147" s="7">
        <f t="shared" si="11"/>
        <v>0.61351239669421476</v>
      </c>
      <c r="S147" s="7">
        <f t="shared" si="12"/>
        <v>1.9864876033057852</v>
      </c>
      <c r="T147" s="7">
        <f t="shared" si="17"/>
        <v>197.4</v>
      </c>
      <c r="V147" s="3">
        <v>231.1</v>
      </c>
      <c r="X147" s="3">
        <f t="shared" si="16"/>
        <v>63497.999999999985</v>
      </c>
      <c r="AA147" s="11">
        <v>8.3500549192009093</v>
      </c>
    </row>
    <row r="148" spans="1:27" s="3" customFormat="1" x14ac:dyDescent="0.25">
      <c r="A148" s="72"/>
      <c r="B148" s="8"/>
      <c r="C148" s="9">
        <v>41264</v>
      </c>
      <c r="D148" s="3">
        <v>8.5</v>
      </c>
      <c r="E148" s="3">
        <v>7.6</v>
      </c>
      <c r="F148" s="3">
        <v>10.3</v>
      </c>
      <c r="G148" s="3">
        <f t="shared" si="13"/>
        <v>1131.3</v>
      </c>
      <c r="J148" s="3">
        <v>10.4</v>
      </c>
      <c r="K148" s="3">
        <f t="shared" si="14"/>
        <v>361.29999999999995</v>
      </c>
      <c r="L148" s="3">
        <v>0.4</v>
      </c>
      <c r="M148" s="3">
        <f t="shared" si="15"/>
        <v>134.79999999999993</v>
      </c>
      <c r="N148" s="3">
        <v>10</v>
      </c>
      <c r="O148" s="3">
        <v>197.4</v>
      </c>
      <c r="P148" s="3">
        <v>108</v>
      </c>
      <c r="Q148" s="3">
        <f t="shared" si="18"/>
        <v>0.88181818181818183</v>
      </c>
      <c r="R148" s="7">
        <f t="shared" si="11"/>
        <v>0.35272727272727278</v>
      </c>
      <c r="S148" s="7">
        <f t="shared" si="12"/>
        <v>10.047272727272727</v>
      </c>
      <c r="T148" s="7">
        <f t="shared" si="17"/>
        <v>197.4</v>
      </c>
      <c r="V148" s="3">
        <v>193.1</v>
      </c>
      <c r="X148" s="3">
        <f t="shared" si="16"/>
        <v>63691.099999999984</v>
      </c>
      <c r="AA148" s="11">
        <v>8.3469801192051296</v>
      </c>
    </row>
    <row r="149" spans="1:27" s="3" customFormat="1" x14ac:dyDescent="0.25">
      <c r="A149" s="72"/>
      <c r="B149" s="8"/>
      <c r="C149" s="9">
        <v>41265</v>
      </c>
      <c r="D149" s="3">
        <v>12.6</v>
      </c>
      <c r="E149" s="3">
        <v>8.1</v>
      </c>
      <c r="F149" s="3">
        <v>16.2</v>
      </c>
      <c r="G149" s="3">
        <f t="shared" si="13"/>
        <v>1143.8999999999999</v>
      </c>
      <c r="J149" s="3">
        <v>1.1000000000000001</v>
      </c>
      <c r="K149" s="3">
        <f t="shared" si="14"/>
        <v>362.4</v>
      </c>
      <c r="L149" s="3">
        <v>0.5</v>
      </c>
      <c r="M149" s="3">
        <f t="shared" si="15"/>
        <v>135.29999999999993</v>
      </c>
      <c r="N149" s="3">
        <v>0.60000000000000009</v>
      </c>
      <c r="O149" s="3">
        <v>197.4</v>
      </c>
      <c r="P149" s="3">
        <v>109</v>
      </c>
      <c r="Q149" s="3">
        <f t="shared" si="18"/>
        <v>0.88719008264462806</v>
      </c>
      <c r="R149" s="7">
        <f t="shared" si="11"/>
        <v>0.44359504132231403</v>
      </c>
      <c r="S149" s="7">
        <f t="shared" si="12"/>
        <v>0.65640495867768611</v>
      </c>
      <c r="T149" s="7">
        <f t="shared" si="17"/>
        <v>197.4</v>
      </c>
      <c r="V149" s="3">
        <v>68.3</v>
      </c>
      <c r="X149" s="3">
        <f t="shared" si="16"/>
        <v>63759.399999999987</v>
      </c>
      <c r="AA149" s="11">
        <v>8.3454533759116405</v>
      </c>
    </row>
    <row r="150" spans="1:27" s="3" customFormat="1" x14ac:dyDescent="0.25">
      <c r="A150" s="72"/>
      <c r="B150" s="8"/>
      <c r="C150" s="9">
        <v>41266</v>
      </c>
      <c r="D150" s="3">
        <v>13.6</v>
      </c>
      <c r="E150" s="3">
        <v>13.4</v>
      </c>
      <c r="F150" s="3">
        <v>13.9</v>
      </c>
      <c r="G150" s="3">
        <f t="shared" si="13"/>
        <v>1157.4999999999998</v>
      </c>
      <c r="J150" s="3">
        <v>0.2</v>
      </c>
      <c r="K150" s="3">
        <f t="shared" si="14"/>
        <v>362.59999999999997</v>
      </c>
      <c r="L150" s="3">
        <v>1</v>
      </c>
      <c r="M150" s="3">
        <f t="shared" si="15"/>
        <v>136.29999999999993</v>
      </c>
      <c r="N150" s="3">
        <v>-0.8</v>
      </c>
      <c r="O150" s="3">
        <f>O149+N150</f>
        <v>196.6</v>
      </c>
      <c r="P150" s="3">
        <v>110</v>
      </c>
      <c r="Q150" s="3">
        <f t="shared" si="18"/>
        <v>0.8925619834710744</v>
      </c>
      <c r="R150" s="7">
        <f t="shared" si="11"/>
        <v>0.8925619834710744</v>
      </c>
      <c r="S150" s="7">
        <f t="shared" si="12"/>
        <v>-0.69256198347107434</v>
      </c>
      <c r="T150" s="7">
        <f t="shared" si="17"/>
        <v>196.70743801652893</v>
      </c>
      <c r="V150" s="3">
        <v>136.4</v>
      </c>
      <c r="X150" s="3">
        <f t="shared" si="16"/>
        <v>63895.799999999988</v>
      </c>
      <c r="AA150" s="11">
        <v>8.3454770907109808</v>
      </c>
    </row>
    <row r="151" spans="1:27" s="3" customFormat="1" x14ac:dyDescent="0.25">
      <c r="A151" s="72"/>
      <c r="B151" s="8"/>
      <c r="C151" s="9">
        <v>41267</v>
      </c>
      <c r="D151" s="3">
        <v>11.4</v>
      </c>
      <c r="E151" s="3">
        <v>9.5</v>
      </c>
      <c r="F151" s="3">
        <v>13.5</v>
      </c>
      <c r="G151" s="3">
        <f t="shared" si="13"/>
        <v>1168.8999999999999</v>
      </c>
      <c r="J151" s="3">
        <v>4.9000000000000004</v>
      </c>
      <c r="K151" s="3">
        <f t="shared" si="14"/>
        <v>367.49999999999994</v>
      </c>
      <c r="L151" s="3">
        <v>1</v>
      </c>
      <c r="M151" s="3">
        <f t="shared" si="15"/>
        <v>137.29999999999993</v>
      </c>
      <c r="N151" s="3">
        <v>3.9000000000000004</v>
      </c>
      <c r="O151" s="3">
        <v>197.4</v>
      </c>
      <c r="P151" s="3">
        <v>111</v>
      </c>
      <c r="Q151" s="3">
        <f t="shared" si="18"/>
        <v>0.89793388429752063</v>
      </c>
      <c r="R151" s="7">
        <f t="shared" si="11"/>
        <v>0.89793388429752063</v>
      </c>
      <c r="S151" s="7">
        <f t="shared" si="12"/>
        <v>4.0020661157024797</v>
      </c>
      <c r="T151" s="7">
        <f t="shared" si="17"/>
        <v>197.4</v>
      </c>
      <c r="V151" s="3">
        <v>450</v>
      </c>
      <c r="X151" s="3">
        <f t="shared" si="16"/>
        <v>64345.799999999988</v>
      </c>
      <c r="AA151" s="11">
        <v>8.3470518089656096</v>
      </c>
    </row>
    <row r="152" spans="1:27" s="3" customFormat="1" x14ac:dyDescent="0.25">
      <c r="A152" s="72"/>
      <c r="B152" s="8"/>
      <c r="C152" s="9">
        <v>41268</v>
      </c>
      <c r="D152" s="3">
        <v>10</v>
      </c>
      <c r="E152" s="3">
        <v>9.3000000000000007</v>
      </c>
      <c r="F152" s="3">
        <v>12.7</v>
      </c>
      <c r="G152" s="3">
        <f t="shared" si="13"/>
        <v>1178.8999999999999</v>
      </c>
      <c r="J152" s="3">
        <v>1.9</v>
      </c>
      <c r="K152" s="3">
        <f t="shared" si="14"/>
        <v>369.39999999999992</v>
      </c>
      <c r="L152" s="3">
        <v>1.5</v>
      </c>
      <c r="M152" s="3">
        <f t="shared" si="15"/>
        <v>138.79999999999993</v>
      </c>
      <c r="N152" s="3">
        <v>0.39999999999999991</v>
      </c>
      <c r="O152" s="3">
        <v>197.4</v>
      </c>
      <c r="P152" s="3">
        <v>112</v>
      </c>
      <c r="Q152" s="3">
        <f t="shared" si="18"/>
        <v>0.90330578512396698</v>
      </c>
      <c r="R152" s="7">
        <f t="shared" si="11"/>
        <v>1.3549586776859504</v>
      </c>
      <c r="S152" s="7">
        <f t="shared" si="12"/>
        <v>0.54504132231404956</v>
      </c>
      <c r="T152" s="7">
        <f t="shared" si="17"/>
        <v>197.4</v>
      </c>
      <c r="V152" s="3">
        <v>330.7</v>
      </c>
      <c r="X152" s="3">
        <f t="shared" si="16"/>
        <v>64676.499999999985</v>
      </c>
      <c r="AA152" s="11">
        <v>8.3501762175618701</v>
      </c>
    </row>
    <row r="153" spans="1:27" s="3" customFormat="1" x14ac:dyDescent="0.25">
      <c r="A153" s="72"/>
      <c r="B153" s="8"/>
      <c r="C153" s="9">
        <v>41269</v>
      </c>
      <c r="D153" s="3">
        <v>9.6</v>
      </c>
      <c r="E153" s="3">
        <v>6.8</v>
      </c>
      <c r="F153" s="3">
        <v>12.9</v>
      </c>
      <c r="G153" s="3">
        <f t="shared" si="13"/>
        <v>1188.4999999999998</v>
      </c>
      <c r="J153" s="3">
        <v>7</v>
      </c>
      <c r="K153" s="3">
        <f t="shared" si="14"/>
        <v>376.39999999999992</v>
      </c>
      <c r="L153" s="3">
        <v>1.2</v>
      </c>
      <c r="M153" s="3">
        <f t="shared" si="15"/>
        <v>139.99999999999991</v>
      </c>
      <c r="N153" s="3">
        <v>5.8</v>
      </c>
      <c r="O153" s="3">
        <v>197.4</v>
      </c>
      <c r="P153" s="3">
        <v>113</v>
      </c>
      <c r="Q153" s="3">
        <f t="shared" si="18"/>
        <v>0.90867768595041321</v>
      </c>
      <c r="R153" s="7">
        <f t="shared" si="11"/>
        <v>1.0904132231404957</v>
      </c>
      <c r="S153" s="7">
        <f t="shared" si="12"/>
        <v>5.9095867768595038</v>
      </c>
      <c r="T153" s="7">
        <f t="shared" si="17"/>
        <v>197.4</v>
      </c>
      <c r="V153" s="3">
        <v>440.6</v>
      </c>
      <c r="X153" s="3">
        <f t="shared" si="16"/>
        <v>65117.099999999984</v>
      </c>
      <c r="AA153" s="11">
        <v>8.3548471506033692</v>
      </c>
    </row>
    <row r="154" spans="1:27" s="3" customFormat="1" x14ac:dyDescent="0.25">
      <c r="A154" s="72"/>
      <c r="B154" s="8"/>
      <c r="C154" s="9">
        <v>41270</v>
      </c>
      <c r="D154" s="3">
        <v>10</v>
      </c>
      <c r="E154" s="3">
        <v>9.6</v>
      </c>
      <c r="F154" s="3">
        <v>11.8</v>
      </c>
      <c r="G154" s="3">
        <f t="shared" si="13"/>
        <v>1198.4999999999998</v>
      </c>
      <c r="J154" s="3">
        <v>0.7</v>
      </c>
      <c r="K154" s="3">
        <f t="shared" si="14"/>
        <v>377.09999999999991</v>
      </c>
      <c r="L154" s="3">
        <v>1.6</v>
      </c>
      <c r="M154" s="3">
        <f t="shared" si="15"/>
        <v>141.59999999999991</v>
      </c>
      <c r="N154" s="3">
        <v>-0.90000000000000013</v>
      </c>
      <c r="O154" s="3">
        <f>O153+N154</f>
        <v>196.5</v>
      </c>
      <c r="P154" s="3">
        <v>114</v>
      </c>
      <c r="Q154" s="3">
        <f t="shared" si="18"/>
        <v>0.91404958677685955</v>
      </c>
      <c r="R154" s="7">
        <f t="shared" si="11"/>
        <v>1.4624793388429753</v>
      </c>
      <c r="S154" s="7">
        <f t="shared" si="12"/>
        <v>-0.76247933884297536</v>
      </c>
      <c r="T154" s="7">
        <f t="shared" si="17"/>
        <v>196.63752066115703</v>
      </c>
      <c r="V154" s="3">
        <v>198.4</v>
      </c>
      <c r="X154" s="3">
        <f t="shared" si="16"/>
        <v>65315.499999999985</v>
      </c>
      <c r="AA154" s="11">
        <v>8.3610596031940396</v>
      </c>
    </row>
    <row r="155" spans="1:27" s="3" customFormat="1" x14ac:dyDescent="0.25">
      <c r="A155" s="72"/>
      <c r="B155" s="8"/>
      <c r="C155" s="9">
        <v>41271</v>
      </c>
      <c r="D155" s="3">
        <v>11.5</v>
      </c>
      <c r="E155" s="3">
        <v>9.1</v>
      </c>
      <c r="F155" s="3">
        <v>12.5</v>
      </c>
      <c r="G155" s="3">
        <f t="shared" si="13"/>
        <v>1209.9999999999998</v>
      </c>
      <c r="J155" s="3">
        <v>0.6</v>
      </c>
      <c r="K155" s="3">
        <f t="shared" si="14"/>
        <v>377.69999999999993</v>
      </c>
      <c r="L155" s="3">
        <v>0.3</v>
      </c>
      <c r="M155" s="3">
        <f t="shared" si="15"/>
        <v>141.89999999999992</v>
      </c>
      <c r="N155" s="3">
        <v>0.3</v>
      </c>
      <c r="O155" s="3">
        <f>O154+N155</f>
        <v>196.8</v>
      </c>
      <c r="P155" s="3">
        <v>115</v>
      </c>
      <c r="Q155" s="3">
        <f t="shared" si="18"/>
        <v>0.91942148760330578</v>
      </c>
      <c r="R155" s="7">
        <f t="shared" si="11"/>
        <v>0.27582644628099173</v>
      </c>
      <c r="S155" s="7">
        <f t="shared" si="12"/>
        <v>0.32417355371900825</v>
      </c>
      <c r="T155" s="7">
        <f t="shared" si="17"/>
        <v>196.96169421487605</v>
      </c>
      <c r="V155" s="3">
        <v>131.19999999999999</v>
      </c>
      <c r="X155" s="3">
        <f t="shared" si="16"/>
        <v>65446.699999999983</v>
      </c>
      <c r="AA155" s="11">
        <v>8.3688067531851402</v>
      </c>
    </row>
    <row r="156" spans="1:27" s="3" customFormat="1" x14ac:dyDescent="0.25">
      <c r="A156" s="72"/>
      <c r="B156" s="8"/>
      <c r="C156" s="9">
        <v>41272</v>
      </c>
      <c r="D156" s="3">
        <v>9.6</v>
      </c>
      <c r="E156" s="3">
        <v>8.1</v>
      </c>
      <c r="F156" s="3">
        <v>12.9</v>
      </c>
      <c r="G156" s="3">
        <f t="shared" si="13"/>
        <v>1219.5999999999997</v>
      </c>
      <c r="J156" s="3">
        <v>2.8</v>
      </c>
      <c r="K156" s="3">
        <f t="shared" si="14"/>
        <v>380.49999999999994</v>
      </c>
      <c r="L156" s="3">
        <v>1.1000000000000001</v>
      </c>
      <c r="M156" s="3">
        <f t="shared" si="15"/>
        <v>142.99999999999991</v>
      </c>
      <c r="N156" s="3">
        <v>1.6999999999999997</v>
      </c>
      <c r="O156" s="3">
        <v>197.4</v>
      </c>
      <c r="P156" s="3">
        <v>116</v>
      </c>
      <c r="Q156" s="3">
        <f t="shared" si="18"/>
        <v>0.92479338842975212</v>
      </c>
      <c r="R156" s="7">
        <f t="shared" si="11"/>
        <v>1.0172727272727273</v>
      </c>
      <c r="S156" s="7">
        <f t="shared" si="12"/>
        <v>1.7827272727272725</v>
      </c>
      <c r="T156" s="7">
        <f t="shared" si="17"/>
        <v>197.4</v>
      </c>
      <c r="V156" s="3">
        <v>113.3</v>
      </c>
      <c r="X156" s="3">
        <f t="shared" si="16"/>
        <v>65559.999999999985</v>
      </c>
      <c r="AA156" s="11">
        <v>8.3780799906893897</v>
      </c>
    </row>
    <row r="157" spans="1:27" s="3" customFormat="1" x14ac:dyDescent="0.25">
      <c r="A157" s="72"/>
      <c r="B157" s="8"/>
      <c r="C157" s="9">
        <v>41273</v>
      </c>
      <c r="D157" s="3">
        <v>8.5</v>
      </c>
      <c r="E157" s="3">
        <v>6.6</v>
      </c>
      <c r="F157" s="3">
        <v>11.2</v>
      </c>
      <c r="G157" s="3">
        <f t="shared" si="13"/>
        <v>1228.0999999999997</v>
      </c>
      <c r="J157" s="3">
        <v>0.5</v>
      </c>
      <c r="K157" s="3">
        <f t="shared" si="14"/>
        <v>380.99999999999994</v>
      </c>
      <c r="L157" s="3">
        <v>1.1000000000000001</v>
      </c>
      <c r="M157" s="3">
        <f t="shared" si="15"/>
        <v>144.09999999999991</v>
      </c>
      <c r="N157" s="3">
        <v>-0.60000000000000009</v>
      </c>
      <c r="O157" s="3">
        <f>O156+N157</f>
        <v>196.8</v>
      </c>
      <c r="P157" s="3">
        <v>117</v>
      </c>
      <c r="Q157" s="3">
        <f t="shared" si="18"/>
        <v>0.93016528925619835</v>
      </c>
      <c r="R157" s="7">
        <f t="shared" si="11"/>
        <v>1.0231818181818182</v>
      </c>
      <c r="S157" s="7">
        <f t="shared" si="12"/>
        <v>-0.52318181818181819</v>
      </c>
      <c r="T157" s="7">
        <f t="shared" si="17"/>
        <v>196.87681818181818</v>
      </c>
      <c r="V157" s="3">
        <v>416.6</v>
      </c>
      <c r="X157" s="3">
        <f t="shared" si="16"/>
        <v>65976.599999999991</v>
      </c>
      <c r="AA157" s="11">
        <v>8.3888689550965605</v>
      </c>
    </row>
    <row r="158" spans="1:27" s="3" customFormat="1" x14ac:dyDescent="0.25">
      <c r="A158" s="72"/>
      <c r="B158" s="8"/>
      <c r="C158" s="9">
        <v>41274</v>
      </c>
      <c r="D158" s="3">
        <v>10.199999999999999</v>
      </c>
      <c r="E158" s="3">
        <v>8.1</v>
      </c>
      <c r="F158" s="3">
        <v>11.3</v>
      </c>
      <c r="G158" s="3">
        <f t="shared" si="13"/>
        <v>1238.2999999999997</v>
      </c>
      <c r="J158" s="3">
        <v>16.899999999999999</v>
      </c>
      <c r="K158" s="3">
        <f t="shared" si="14"/>
        <v>397.89999999999992</v>
      </c>
      <c r="L158" s="3">
        <v>0.4</v>
      </c>
      <c r="M158" s="3">
        <f t="shared" si="15"/>
        <v>144.49999999999991</v>
      </c>
      <c r="N158" s="3">
        <v>16.5</v>
      </c>
      <c r="O158" s="3">
        <v>197.4</v>
      </c>
      <c r="P158" s="3">
        <v>118</v>
      </c>
      <c r="Q158" s="3">
        <f t="shared" si="18"/>
        <v>0.93553719008264458</v>
      </c>
      <c r="R158" s="7">
        <f t="shared" si="11"/>
        <v>0.37421487603305786</v>
      </c>
      <c r="S158" s="7">
        <f t="shared" si="12"/>
        <v>16.525785123966941</v>
      </c>
      <c r="T158" s="7">
        <f t="shared" si="17"/>
        <v>197.4</v>
      </c>
      <c r="V158" s="3">
        <v>106.5</v>
      </c>
      <c r="X158" s="3">
        <f t="shared" si="16"/>
        <v>66083.099999999991</v>
      </c>
      <c r="AA158" s="11">
        <v>8.4011615792606609</v>
      </c>
    </row>
    <row r="159" spans="1:27" s="3" customFormat="1" x14ac:dyDescent="0.25">
      <c r="A159" s="72"/>
      <c r="B159" s="8"/>
      <c r="C159" s="9">
        <v>41275</v>
      </c>
      <c r="D159" s="3">
        <v>7.2</v>
      </c>
      <c r="E159" s="3">
        <v>5.8</v>
      </c>
      <c r="F159" s="3">
        <v>9.6</v>
      </c>
      <c r="G159" s="3">
        <f t="shared" si="13"/>
        <v>1245.4999999999998</v>
      </c>
      <c r="J159" s="3">
        <v>1.7</v>
      </c>
      <c r="K159" s="3">
        <f t="shared" si="14"/>
        <v>399.59999999999991</v>
      </c>
      <c r="L159" s="3">
        <v>0.7</v>
      </c>
      <c r="M159" s="3">
        <f t="shared" si="15"/>
        <v>145.1999999999999</v>
      </c>
      <c r="N159" s="3">
        <v>1</v>
      </c>
      <c r="O159" s="3">
        <v>197.4</v>
      </c>
      <c r="P159" s="3">
        <v>119</v>
      </c>
      <c r="Q159" s="3">
        <f t="shared" si="18"/>
        <v>0.94090909090909092</v>
      </c>
      <c r="R159" s="7">
        <f t="shared" si="11"/>
        <v>0.65863636363636358</v>
      </c>
      <c r="S159" s="7">
        <f t="shared" si="12"/>
        <v>1.0413636363636365</v>
      </c>
      <c r="T159" s="7">
        <f t="shared" si="17"/>
        <v>197.4</v>
      </c>
      <c r="V159" s="3">
        <v>498.2</v>
      </c>
      <c r="X159" s="3">
        <f t="shared" si="16"/>
        <v>66581.299999999988</v>
      </c>
      <c r="AA159" s="11">
        <v>8.4193892160187005</v>
      </c>
    </row>
    <row r="160" spans="1:27" s="3" customFormat="1" x14ac:dyDescent="0.25">
      <c r="A160" s="72"/>
      <c r="B160" s="8"/>
      <c r="C160" s="9">
        <v>41276</v>
      </c>
      <c r="D160" s="3">
        <v>7.3</v>
      </c>
      <c r="E160" s="3">
        <v>3.4</v>
      </c>
      <c r="F160" s="3">
        <v>9.8000000000000007</v>
      </c>
      <c r="G160" s="3">
        <f t="shared" si="13"/>
        <v>1252.7999999999997</v>
      </c>
      <c r="J160" s="3">
        <v>0</v>
      </c>
      <c r="K160" s="3">
        <f t="shared" si="14"/>
        <v>399.59999999999991</v>
      </c>
      <c r="L160" s="3">
        <v>0.4</v>
      </c>
      <c r="M160" s="3">
        <f t="shared" si="15"/>
        <v>145.59999999999991</v>
      </c>
      <c r="N160" s="3">
        <v>-0.4</v>
      </c>
      <c r="O160" s="3">
        <f t="shared" ref="O160:O166" si="20">O159+N160</f>
        <v>197</v>
      </c>
      <c r="P160" s="3">
        <v>120</v>
      </c>
      <c r="Q160" s="3">
        <f t="shared" si="18"/>
        <v>0.94628099173553726</v>
      </c>
      <c r="R160" s="7">
        <f t="shared" si="11"/>
        <v>0.37851239669421494</v>
      </c>
      <c r="S160" s="7">
        <f t="shared" si="12"/>
        <v>-0.37851239669421494</v>
      </c>
      <c r="T160" s="7">
        <f t="shared" si="17"/>
        <v>197.02148760330579</v>
      </c>
      <c r="V160" s="3">
        <v>395.7</v>
      </c>
      <c r="X160" s="3">
        <f t="shared" si="16"/>
        <v>66976.999999999985</v>
      </c>
      <c r="AA160" s="11">
        <v>8.4350877093723202</v>
      </c>
    </row>
    <row r="161" spans="1:27" s="3" customFormat="1" x14ac:dyDescent="0.25">
      <c r="A161" s="72"/>
      <c r="B161" s="8"/>
      <c r="C161" s="9">
        <v>41277</v>
      </c>
      <c r="D161" s="3">
        <v>10.1</v>
      </c>
      <c r="E161" s="3">
        <v>8.9</v>
      </c>
      <c r="F161" s="3">
        <v>11.6</v>
      </c>
      <c r="G161" s="3">
        <f t="shared" si="13"/>
        <v>1262.8999999999996</v>
      </c>
      <c r="J161" s="3">
        <v>0.1</v>
      </c>
      <c r="K161" s="3">
        <f t="shared" si="14"/>
        <v>399.69999999999993</v>
      </c>
      <c r="L161" s="3">
        <v>0.5</v>
      </c>
      <c r="M161" s="3">
        <f t="shared" si="15"/>
        <v>146.09999999999991</v>
      </c>
      <c r="N161" s="3">
        <v>-0.4</v>
      </c>
      <c r="O161" s="3">
        <f t="shared" si="20"/>
        <v>196.6</v>
      </c>
      <c r="P161" s="3">
        <v>121</v>
      </c>
      <c r="Q161" s="3">
        <f t="shared" si="18"/>
        <v>0.95165289256198349</v>
      </c>
      <c r="R161" s="7">
        <f t="shared" si="11"/>
        <v>0.47582644628099174</v>
      </c>
      <c r="S161" s="7">
        <f t="shared" si="12"/>
        <v>-0.37582644628099171</v>
      </c>
      <c r="T161" s="7">
        <f t="shared" si="17"/>
        <v>196.64566115702479</v>
      </c>
      <c r="V161" s="3">
        <v>157.30000000000001</v>
      </c>
      <c r="X161" s="3">
        <f t="shared" si="16"/>
        <v>67134.299999999988</v>
      </c>
      <c r="AA161" s="11">
        <v>8.4522385901356891</v>
      </c>
    </row>
    <row r="162" spans="1:27" s="3" customFormat="1" x14ac:dyDescent="0.25">
      <c r="A162" s="72"/>
      <c r="B162" s="8"/>
      <c r="C162" s="9">
        <v>41278</v>
      </c>
      <c r="D162" s="3">
        <v>9.1</v>
      </c>
      <c r="E162" s="3">
        <v>8.5</v>
      </c>
      <c r="F162" s="3">
        <v>9.6999999999999993</v>
      </c>
      <c r="G162" s="3">
        <f t="shared" si="13"/>
        <v>1271.9999999999995</v>
      </c>
      <c r="J162" s="3">
        <v>0</v>
      </c>
      <c r="K162" s="3">
        <f t="shared" si="14"/>
        <v>399.69999999999993</v>
      </c>
      <c r="L162" s="3">
        <v>0.3</v>
      </c>
      <c r="M162" s="3">
        <f t="shared" si="15"/>
        <v>146.39999999999992</v>
      </c>
      <c r="N162" s="3">
        <v>-0.3</v>
      </c>
      <c r="O162" s="3">
        <f t="shared" si="20"/>
        <v>196.29999999999998</v>
      </c>
      <c r="P162" s="3">
        <v>122</v>
      </c>
      <c r="Q162" s="3">
        <f t="shared" si="18"/>
        <v>0.95702479338842972</v>
      </c>
      <c r="R162" s="7">
        <f t="shared" si="11"/>
        <v>0.28710743801652888</v>
      </c>
      <c r="S162" s="7">
        <f t="shared" si="12"/>
        <v>-0.28710743801652888</v>
      </c>
      <c r="T162" s="7">
        <f t="shared" si="17"/>
        <v>196.35855371900826</v>
      </c>
      <c r="V162" s="3">
        <v>139</v>
      </c>
      <c r="X162" s="3">
        <f t="shared" si="16"/>
        <v>67273.299999999988</v>
      </c>
      <c r="AA162" s="11">
        <v>8.4708231076445308</v>
      </c>
    </row>
    <row r="163" spans="1:27" s="3" customFormat="1" x14ac:dyDescent="0.25">
      <c r="A163" s="72"/>
      <c r="B163" s="8"/>
      <c r="C163" s="9">
        <v>41279</v>
      </c>
      <c r="D163" s="3">
        <v>6.9</v>
      </c>
      <c r="E163" s="3">
        <v>6.3</v>
      </c>
      <c r="F163" s="3">
        <v>7.2</v>
      </c>
      <c r="G163" s="3">
        <f t="shared" si="13"/>
        <v>1278.8999999999996</v>
      </c>
      <c r="J163" s="3">
        <v>0.3</v>
      </c>
      <c r="K163" s="3">
        <f t="shared" si="14"/>
        <v>399.99999999999994</v>
      </c>
      <c r="L163" s="3">
        <v>0.1</v>
      </c>
      <c r="M163" s="3">
        <f t="shared" si="15"/>
        <v>146.49999999999991</v>
      </c>
      <c r="N163" s="3">
        <v>0.19999999999999998</v>
      </c>
      <c r="O163" s="3">
        <f t="shared" si="20"/>
        <v>196.49999999999997</v>
      </c>
      <c r="P163" s="3">
        <v>123</v>
      </c>
      <c r="Q163" s="3">
        <f t="shared" si="18"/>
        <v>0.96239669421487606</v>
      </c>
      <c r="R163" s="7">
        <f t="shared" si="11"/>
        <v>9.6239669421487609E-2</v>
      </c>
      <c r="S163" s="7">
        <f t="shared" si="12"/>
        <v>0.20376033057851239</v>
      </c>
      <c r="T163" s="7">
        <f t="shared" si="17"/>
        <v>196.56231404958677</v>
      </c>
      <c r="V163" s="3">
        <v>131.6</v>
      </c>
      <c r="X163" s="3">
        <f t="shared" si="16"/>
        <v>67404.899999999994</v>
      </c>
      <c r="AA163" s="11">
        <v>8.4908211407778005</v>
      </c>
    </row>
    <row r="164" spans="1:27" s="3" customFormat="1" x14ac:dyDescent="0.25">
      <c r="A164" s="72"/>
      <c r="B164" s="8"/>
      <c r="C164" s="9">
        <v>41280</v>
      </c>
      <c r="D164" s="3">
        <v>5.2</v>
      </c>
      <c r="E164" s="3">
        <v>5</v>
      </c>
      <c r="F164" s="3">
        <v>5.4</v>
      </c>
      <c r="G164" s="3">
        <f t="shared" si="13"/>
        <v>1284.0999999999997</v>
      </c>
      <c r="J164" s="3">
        <v>0.5</v>
      </c>
      <c r="K164" s="3">
        <f t="shared" si="14"/>
        <v>400.49999999999994</v>
      </c>
      <c r="L164" s="3">
        <v>0.1</v>
      </c>
      <c r="M164" s="3">
        <f t="shared" si="15"/>
        <v>146.59999999999991</v>
      </c>
      <c r="N164" s="3">
        <v>0.4</v>
      </c>
      <c r="O164" s="3">
        <f t="shared" si="20"/>
        <v>196.89999999999998</v>
      </c>
      <c r="P164" s="3">
        <v>124</v>
      </c>
      <c r="Q164" s="3">
        <f t="shared" si="18"/>
        <v>0.9677685950413224</v>
      </c>
      <c r="R164" s="7">
        <f t="shared" si="11"/>
        <v>9.6776859504132243E-2</v>
      </c>
      <c r="S164" s="7">
        <f t="shared" si="12"/>
        <v>0.40322314049586777</v>
      </c>
      <c r="T164" s="7">
        <f t="shared" si="17"/>
        <v>196.96553719008264</v>
      </c>
      <c r="V164" s="3">
        <v>83.5</v>
      </c>
      <c r="X164" s="3">
        <f t="shared" si="16"/>
        <v>67488.399999999994</v>
      </c>
      <c r="AA164" s="11">
        <v>8.5122112765059796</v>
      </c>
    </row>
    <row r="165" spans="1:27" s="3" customFormat="1" x14ac:dyDescent="0.25">
      <c r="A165" s="72"/>
      <c r="B165" s="12">
        <v>9</v>
      </c>
      <c r="C165" s="9">
        <v>41281</v>
      </c>
      <c r="D165" s="3">
        <v>4.8</v>
      </c>
      <c r="E165" s="3">
        <v>3.9</v>
      </c>
      <c r="F165" s="3">
        <v>5.5</v>
      </c>
      <c r="G165" s="3">
        <f t="shared" si="13"/>
        <v>1288.8999999999996</v>
      </c>
      <c r="J165" s="3">
        <v>0.4</v>
      </c>
      <c r="K165" s="3">
        <f t="shared" si="14"/>
        <v>400.89999999999992</v>
      </c>
      <c r="L165" s="3">
        <v>0.2</v>
      </c>
      <c r="M165" s="3">
        <f t="shared" si="15"/>
        <v>146.7999999999999</v>
      </c>
      <c r="N165" s="3">
        <v>0.2</v>
      </c>
      <c r="O165" s="3">
        <f t="shared" si="20"/>
        <v>197.09999999999997</v>
      </c>
      <c r="P165" s="3">
        <v>125</v>
      </c>
      <c r="Q165" s="3">
        <f t="shared" si="18"/>
        <v>0.97314049586776863</v>
      </c>
      <c r="R165" s="7">
        <f t="shared" si="11"/>
        <v>0.19462809917355373</v>
      </c>
      <c r="S165" s="7">
        <f t="shared" si="12"/>
        <v>0.2053719008264463</v>
      </c>
      <c r="T165" s="7">
        <f t="shared" si="17"/>
        <v>197.17090909090908</v>
      </c>
      <c r="V165" s="3">
        <v>116.2</v>
      </c>
      <c r="X165" s="3">
        <f t="shared" si="16"/>
        <v>67604.599999999991</v>
      </c>
      <c r="AA165" s="11">
        <v>8.5349708918221392</v>
      </c>
    </row>
    <row r="166" spans="1:27" s="3" customFormat="1" x14ac:dyDescent="0.25">
      <c r="A166" s="72"/>
      <c r="B166" s="8"/>
      <c r="C166" s="9">
        <v>41282</v>
      </c>
      <c r="D166" s="3">
        <v>5.6</v>
      </c>
      <c r="E166" s="3">
        <v>5</v>
      </c>
      <c r="F166" s="3">
        <v>6.1</v>
      </c>
      <c r="G166" s="3">
        <f t="shared" si="13"/>
        <v>1294.4999999999995</v>
      </c>
      <c r="J166" s="3">
        <v>0</v>
      </c>
      <c r="K166" s="3">
        <f t="shared" si="14"/>
        <v>400.89999999999992</v>
      </c>
      <c r="L166" s="3">
        <v>0.3</v>
      </c>
      <c r="M166" s="3">
        <f t="shared" si="15"/>
        <v>147.09999999999991</v>
      </c>
      <c r="N166" s="3">
        <v>-0.3</v>
      </c>
      <c r="O166" s="3">
        <f t="shared" si="20"/>
        <v>196.79999999999995</v>
      </c>
      <c r="P166" s="3">
        <v>126</v>
      </c>
      <c r="Q166" s="3">
        <f t="shared" si="18"/>
        <v>0.97851239669421486</v>
      </c>
      <c r="R166" s="7">
        <f t="shared" si="11"/>
        <v>0.29355371900826444</v>
      </c>
      <c r="S166" s="7">
        <f t="shared" si="12"/>
        <v>-0.29355371900826444</v>
      </c>
      <c r="T166" s="7">
        <f t="shared" si="17"/>
        <v>196.87735537190082</v>
      </c>
      <c r="V166" s="3">
        <v>144.5</v>
      </c>
      <c r="X166" s="3">
        <f t="shared" si="16"/>
        <v>67749.099999999991</v>
      </c>
      <c r="AA166" s="11">
        <v>8.5590762384411292</v>
      </c>
    </row>
    <row r="167" spans="1:27" s="3" customFormat="1" x14ac:dyDescent="0.25">
      <c r="A167" s="72"/>
      <c r="B167" s="8"/>
      <c r="C167" s="9">
        <v>41283</v>
      </c>
      <c r="D167" s="3">
        <v>7.1</v>
      </c>
      <c r="E167" s="3">
        <v>5.6</v>
      </c>
      <c r="F167" s="3">
        <v>9.1999999999999993</v>
      </c>
      <c r="G167" s="3">
        <f t="shared" si="13"/>
        <v>1301.5999999999995</v>
      </c>
      <c r="J167" s="3">
        <v>4.2</v>
      </c>
      <c r="K167" s="3">
        <f t="shared" si="14"/>
        <v>405.09999999999991</v>
      </c>
      <c r="L167" s="3">
        <v>0.3</v>
      </c>
      <c r="M167" s="3">
        <f t="shared" si="15"/>
        <v>147.39999999999992</v>
      </c>
      <c r="N167" s="3">
        <v>3.9000000000000004</v>
      </c>
      <c r="O167" s="3">
        <v>197.4</v>
      </c>
      <c r="P167" s="3">
        <v>127</v>
      </c>
      <c r="Q167" s="3">
        <f t="shared" si="18"/>
        <v>0.98388429752066109</v>
      </c>
      <c r="R167" s="7">
        <f t="shared" si="11"/>
        <v>0.29516528925619834</v>
      </c>
      <c r="S167" s="7">
        <f t="shared" si="12"/>
        <v>3.9048347107438017</v>
      </c>
      <c r="T167" s="7">
        <f t="shared" si="17"/>
        <v>197.4</v>
      </c>
      <c r="V167" s="3">
        <v>51.5</v>
      </c>
      <c r="X167" s="3">
        <f t="shared" si="16"/>
        <v>67800.599999999991</v>
      </c>
      <c r="AA167" s="11">
        <v>8.5845025296519992</v>
      </c>
    </row>
    <row r="168" spans="1:27" s="3" customFormat="1" x14ac:dyDescent="0.25">
      <c r="A168" s="72"/>
      <c r="B168" s="8"/>
      <c r="C168" s="9">
        <v>41284</v>
      </c>
      <c r="D168" s="3">
        <v>9</v>
      </c>
      <c r="E168" s="3">
        <v>8.1999999999999993</v>
      </c>
      <c r="F168" s="3">
        <v>11.7</v>
      </c>
      <c r="G168" s="3">
        <f t="shared" si="13"/>
        <v>1310.5999999999995</v>
      </c>
      <c r="J168" s="3">
        <v>4.3</v>
      </c>
      <c r="K168" s="3">
        <f t="shared" si="14"/>
        <v>409.39999999999992</v>
      </c>
      <c r="L168" s="3">
        <v>0.6</v>
      </c>
      <c r="M168" s="3">
        <f t="shared" si="15"/>
        <v>147.99999999999991</v>
      </c>
      <c r="N168" s="3">
        <v>3.6999999999999997</v>
      </c>
      <c r="O168" s="3">
        <v>197.4</v>
      </c>
      <c r="P168" s="3">
        <v>128</v>
      </c>
      <c r="Q168" s="3">
        <f t="shared" si="18"/>
        <v>0.98925619834710743</v>
      </c>
      <c r="R168" s="7">
        <f t="shared" si="11"/>
        <v>0.59355371900826448</v>
      </c>
      <c r="S168" s="7">
        <f t="shared" si="12"/>
        <v>3.7064462809917353</v>
      </c>
      <c r="T168" s="7">
        <f t="shared" si="17"/>
        <v>197.4</v>
      </c>
      <c r="V168" s="3">
        <v>96.8</v>
      </c>
      <c r="X168" s="3">
        <f t="shared" si="16"/>
        <v>67897.399999999994</v>
      </c>
      <c r="AA168" s="11">
        <v>8.61122402871605</v>
      </c>
    </row>
    <row r="169" spans="1:27" s="3" customFormat="1" x14ac:dyDescent="0.25">
      <c r="A169" s="72"/>
      <c r="B169" s="8"/>
      <c r="C169" s="9">
        <v>41285</v>
      </c>
      <c r="D169" s="3">
        <v>7.7</v>
      </c>
      <c r="E169" s="3">
        <v>5.2</v>
      </c>
      <c r="F169" s="3">
        <v>11.9</v>
      </c>
      <c r="G169" s="3">
        <f t="shared" si="13"/>
        <v>1318.2999999999995</v>
      </c>
      <c r="J169" s="3">
        <v>5.9</v>
      </c>
      <c r="K169" s="3">
        <f t="shared" si="14"/>
        <v>415.2999999999999</v>
      </c>
      <c r="L169" s="3">
        <v>0.9</v>
      </c>
      <c r="M169" s="3">
        <f t="shared" si="15"/>
        <v>148.89999999999992</v>
      </c>
      <c r="N169" s="3">
        <v>5</v>
      </c>
      <c r="O169" s="3">
        <v>197.4</v>
      </c>
      <c r="P169" s="3">
        <v>129</v>
      </c>
      <c r="Q169" s="3">
        <f t="shared" si="18"/>
        <v>0.99462809917355377</v>
      </c>
      <c r="R169" s="7">
        <f t="shared" ref="R169:R232" si="21">Q169*L169</f>
        <v>0.89516528925619843</v>
      </c>
      <c r="S169" s="7">
        <f t="shared" ref="S169:S232" si="22">J169-R169</f>
        <v>5.0048347107438023</v>
      </c>
      <c r="T169" s="7">
        <f t="shared" si="17"/>
        <v>197.4</v>
      </c>
      <c r="V169" s="3">
        <v>497.4</v>
      </c>
      <c r="X169" s="3">
        <f t="shared" si="16"/>
        <v>68394.799999999988</v>
      </c>
      <c r="AA169" s="11">
        <v>8.6392141382164898</v>
      </c>
    </row>
    <row r="170" spans="1:27" s="44" customFormat="1" ht="15.75" thickBot="1" x14ac:dyDescent="0.3">
      <c r="A170" s="72"/>
      <c r="B170" s="42"/>
      <c r="C170" s="65">
        <v>41286</v>
      </c>
      <c r="D170" s="44">
        <v>6.1</v>
      </c>
      <c r="E170" s="44">
        <v>5.8</v>
      </c>
      <c r="F170" s="44">
        <v>9.6999999999999993</v>
      </c>
      <c r="G170" s="44">
        <f t="shared" si="13"/>
        <v>1324.3999999999994</v>
      </c>
      <c r="J170" s="44">
        <v>0</v>
      </c>
      <c r="K170" s="44">
        <f t="shared" si="14"/>
        <v>415.2999999999999</v>
      </c>
      <c r="L170" s="44">
        <v>1</v>
      </c>
      <c r="M170" s="44">
        <f t="shared" si="15"/>
        <v>149.89999999999992</v>
      </c>
      <c r="N170" s="44">
        <v>-1</v>
      </c>
      <c r="O170" s="44">
        <f>O169+N170</f>
        <v>196.4</v>
      </c>
      <c r="P170" s="44">
        <v>130</v>
      </c>
      <c r="Q170" s="44">
        <f t="shared" si="18"/>
        <v>1</v>
      </c>
      <c r="R170" s="46">
        <f t="shared" si="21"/>
        <v>1</v>
      </c>
      <c r="S170" s="46">
        <f t="shared" si="22"/>
        <v>-1</v>
      </c>
      <c r="T170" s="46">
        <f t="shared" si="17"/>
        <v>196.4</v>
      </c>
      <c r="V170" s="44">
        <v>567.29999999999995</v>
      </c>
      <c r="W170" s="44">
        <f>(X170/100)/I54</f>
        <v>0.52070446994865582</v>
      </c>
      <c r="X170" s="44">
        <f t="shared" si="16"/>
        <v>68962.099999999991</v>
      </c>
      <c r="AA170" s="66">
        <v>8.6684454897849594</v>
      </c>
    </row>
    <row r="171" spans="1:27" s="3" customFormat="1" x14ac:dyDescent="0.25">
      <c r="A171" s="73" t="s">
        <v>18</v>
      </c>
      <c r="B171" s="12">
        <v>10</v>
      </c>
      <c r="C171" s="14">
        <v>41287</v>
      </c>
      <c r="D171" s="3">
        <v>3.2</v>
      </c>
      <c r="E171" s="3">
        <v>-0.1</v>
      </c>
      <c r="F171" s="3">
        <v>5.9</v>
      </c>
      <c r="G171" s="3">
        <f t="shared" ref="G171:G234" si="23">G170+D171</f>
        <v>1327.5999999999995</v>
      </c>
      <c r="H171" s="3">
        <f>D171</f>
        <v>3.2</v>
      </c>
      <c r="I171" s="15" t="s">
        <v>2</v>
      </c>
      <c r="J171" s="3">
        <v>0.3</v>
      </c>
      <c r="K171" s="3">
        <f t="shared" ref="K171:K234" si="24">J171+K170</f>
        <v>415.59999999999991</v>
      </c>
      <c r="L171" s="3">
        <v>0.1</v>
      </c>
      <c r="M171" s="3">
        <f t="shared" ref="M171:M234" si="25">M170+L171</f>
        <v>149.99999999999991</v>
      </c>
      <c r="N171" s="3">
        <v>0.19999999999999998</v>
      </c>
      <c r="O171" s="3">
        <f>O170+N171</f>
        <v>196.6</v>
      </c>
      <c r="P171" s="3">
        <v>131</v>
      </c>
      <c r="Q171" s="3">
        <v>1</v>
      </c>
      <c r="R171" s="7">
        <f t="shared" si="21"/>
        <v>0.1</v>
      </c>
      <c r="S171" s="7">
        <f t="shared" si="22"/>
        <v>0.19999999999999998</v>
      </c>
      <c r="T171" s="7">
        <f t="shared" si="17"/>
        <v>196.6</v>
      </c>
      <c r="U171" s="15" t="s">
        <v>3</v>
      </c>
      <c r="V171" s="3">
        <v>176.8</v>
      </c>
      <c r="X171" s="3">
        <f t="shared" ref="X171:X234" si="26">X170+V171</f>
        <v>69138.899999999994</v>
      </c>
      <c r="Y171" s="3">
        <f>V171</f>
        <v>176.8</v>
      </c>
      <c r="Z171" s="15" t="s">
        <v>4</v>
      </c>
      <c r="AA171" s="11">
        <v>8.6988900336550294</v>
      </c>
    </row>
    <row r="172" spans="1:27" s="3" customFormat="1" x14ac:dyDescent="0.25">
      <c r="A172" s="73"/>
      <c r="B172" s="12">
        <v>11</v>
      </c>
      <c r="C172" s="14">
        <v>41288</v>
      </c>
      <c r="D172" s="3">
        <v>4.0999999999999996</v>
      </c>
      <c r="E172" s="3">
        <v>1.7</v>
      </c>
      <c r="F172" s="3">
        <v>5.6</v>
      </c>
      <c r="G172" s="3">
        <f t="shared" si="23"/>
        <v>1331.6999999999994</v>
      </c>
      <c r="H172" s="3">
        <f>H171+D172</f>
        <v>7.3</v>
      </c>
      <c r="I172" s="3">
        <f>MIN(E171:E220)</f>
        <v>-3.3</v>
      </c>
      <c r="J172" s="3">
        <v>7</v>
      </c>
      <c r="K172" s="3">
        <f t="shared" si="24"/>
        <v>422.59999999999991</v>
      </c>
      <c r="L172" s="3">
        <v>0.3</v>
      </c>
      <c r="M172" s="3">
        <f t="shared" si="25"/>
        <v>150.29999999999993</v>
      </c>
      <c r="N172" s="3">
        <v>6.7</v>
      </c>
      <c r="O172" s="3">
        <v>197.4</v>
      </c>
      <c r="P172" s="3">
        <v>132</v>
      </c>
      <c r="Q172" s="3">
        <v>1</v>
      </c>
      <c r="R172" s="7">
        <f t="shared" si="21"/>
        <v>0.3</v>
      </c>
      <c r="S172" s="7">
        <f t="shared" si="22"/>
        <v>6.7</v>
      </c>
      <c r="T172" s="7">
        <f t="shared" si="17"/>
        <v>197.4</v>
      </c>
      <c r="U172" s="3">
        <v>26</v>
      </c>
      <c r="V172" s="3">
        <v>117.3</v>
      </c>
      <c r="X172" s="3">
        <f t="shared" si="26"/>
        <v>69256.2</v>
      </c>
      <c r="Y172" s="3">
        <f>Y171+V172</f>
        <v>294.10000000000002</v>
      </c>
      <c r="Z172" s="3">
        <v>22690.6</v>
      </c>
      <c r="AA172" s="11">
        <v>8.7305191275220508</v>
      </c>
    </row>
    <row r="173" spans="1:27" s="3" customFormat="1" x14ac:dyDescent="0.25">
      <c r="A173" s="73"/>
      <c r="B173" s="12">
        <v>12</v>
      </c>
      <c r="C173" s="14">
        <v>41289</v>
      </c>
      <c r="D173" s="3">
        <v>4</v>
      </c>
      <c r="E173" s="3">
        <v>2</v>
      </c>
      <c r="F173" s="3">
        <v>6.7</v>
      </c>
      <c r="G173" s="3">
        <f t="shared" si="23"/>
        <v>1335.6999999999994</v>
      </c>
      <c r="H173" s="3">
        <f t="shared" ref="H173:H236" si="27">H172+D173</f>
        <v>11.3</v>
      </c>
      <c r="I173" s="15" t="s">
        <v>5</v>
      </c>
      <c r="J173" s="3">
        <v>1.3</v>
      </c>
      <c r="K173" s="3">
        <f t="shared" si="24"/>
        <v>423.89999999999992</v>
      </c>
      <c r="L173" s="3">
        <v>0.6</v>
      </c>
      <c r="M173" s="3">
        <f t="shared" si="25"/>
        <v>150.89999999999992</v>
      </c>
      <c r="N173" s="3">
        <v>0.70000000000000007</v>
      </c>
      <c r="O173" s="3">
        <v>197.4</v>
      </c>
      <c r="P173" s="3">
        <v>133</v>
      </c>
      <c r="Q173" s="3">
        <v>1</v>
      </c>
      <c r="R173" s="7">
        <f t="shared" si="21"/>
        <v>0.6</v>
      </c>
      <c r="S173" s="7">
        <f t="shared" si="22"/>
        <v>0.70000000000000007</v>
      </c>
      <c r="T173" s="7">
        <f t="shared" si="17"/>
        <v>197.4</v>
      </c>
      <c r="U173" s="15" t="s">
        <v>6</v>
      </c>
      <c r="V173" s="3">
        <v>328.2</v>
      </c>
      <c r="X173" s="3">
        <f t="shared" si="26"/>
        <v>69584.399999999994</v>
      </c>
      <c r="Y173" s="3">
        <f t="shared" ref="Y173:Y236" si="28">Y172+V173</f>
        <v>622.29999999999995</v>
      </c>
      <c r="Z173" s="15" t="s">
        <v>7</v>
      </c>
      <c r="AA173" s="11">
        <v>8.7633036242218001</v>
      </c>
    </row>
    <row r="174" spans="1:27" s="3" customFormat="1" x14ac:dyDescent="0.25">
      <c r="A174" s="73"/>
      <c r="B174" s="12">
        <v>13</v>
      </c>
      <c r="C174" s="14">
        <v>41290</v>
      </c>
      <c r="D174" s="3">
        <v>1.4</v>
      </c>
      <c r="E174" s="3">
        <v>-0.7</v>
      </c>
      <c r="F174" s="3">
        <v>3.2</v>
      </c>
      <c r="G174" s="3">
        <f t="shared" si="23"/>
        <v>1337.0999999999995</v>
      </c>
      <c r="H174" s="3">
        <f t="shared" si="27"/>
        <v>12.700000000000001</v>
      </c>
      <c r="I174" s="3">
        <f>MAX(F171:F220)</f>
        <v>13.5</v>
      </c>
      <c r="J174" s="3">
        <v>0.1</v>
      </c>
      <c r="K174" s="3">
        <f t="shared" si="24"/>
        <v>423.99999999999994</v>
      </c>
      <c r="L174" s="3">
        <v>0.5</v>
      </c>
      <c r="M174" s="3">
        <f t="shared" si="25"/>
        <v>151.39999999999992</v>
      </c>
      <c r="N174" s="3">
        <v>-0.4</v>
      </c>
      <c r="O174" s="3">
        <f>O173+N174</f>
        <v>197</v>
      </c>
      <c r="P174" s="3">
        <v>134</v>
      </c>
      <c r="Q174" s="3">
        <v>1</v>
      </c>
      <c r="R174" s="7">
        <f t="shared" si="21"/>
        <v>0.5</v>
      </c>
      <c r="S174" s="7">
        <f t="shared" si="22"/>
        <v>-0.4</v>
      </c>
      <c r="T174" s="7">
        <f t="shared" ref="T174:T237" si="29">MIN(197.4,T173+S174)</f>
        <v>197</v>
      </c>
      <c r="U174" s="3">
        <v>0</v>
      </c>
      <c r="V174" s="3">
        <v>570.9</v>
      </c>
      <c r="X174" s="3">
        <f t="shared" si="26"/>
        <v>70155.299999999988</v>
      </c>
      <c r="Y174" s="3">
        <f t="shared" si="28"/>
        <v>1193.1999999999998</v>
      </c>
      <c r="Z174" s="3">
        <f>(Z172/100)/I184</f>
        <v>1.0248690153568201</v>
      </c>
      <c r="AA174" s="11">
        <v>8.7972139577765898</v>
      </c>
    </row>
    <row r="175" spans="1:27" s="3" customFormat="1" x14ac:dyDescent="0.25">
      <c r="A175" s="73"/>
      <c r="B175" s="12">
        <v>14</v>
      </c>
      <c r="C175" s="14">
        <v>41291</v>
      </c>
      <c r="D175" s="3">
        <v>-0.2</v>
      </c>
      <c r="E175" s="3">
        <v>-3</v>
      </c>
      <c r="F175" s="3">
        <v>3.5</v>
      </c>
      <c r="G175" s="3">
        <v>1337.1</v>
      </c>
      <c r="H175" s="3">
        <v>12.7</v>
      </c>
      <c r="I175" s="15" t="s">
        <v>8</v>
      </c>
      <c r="J175" s="3">
        <v>0</v>
      </c>
      <c r="K175" s="3">
        <f t="shared" si="24"/>
        <v>423.99999999999994</v>
      </c>
      <c r="L175" s="3">
        <v>0.6</v>
      </c>
      <c r="M175" s="3">
        <f t="shared" si="25"/>
        <v>151.99999999999991</v>
      </c>
      <c r="N175" s="3">
        <v>-0.6</v>
      </c>
      <c r="O175" s="3">
        <f>O174+N175</f>
        <v>196.4</v>
      </c>
      <c r="P175" s="3">
        <v>135</v>
      </c>
      <c r="Q175" s="3">
        <v>1</v>
      </c>
      <c r="R175" s="7">
        <f t="shared" si="21"/>
        <v>0.6</v>
      </c>
      <c r="S175" s="7">
        <f t="shared" si="22"/>
        <v>-0.6</v>
      </c>
      <c r="T175" s="7">
        <f t="shared" si="29"/>
        <v>196.4</v>
      </c>
      <c r="U175" s="15" t="s">
        <v>9</v>
      </c>
      <c r="V175" s="3">
        <v>354</v>
      </c>
      <c r="X175" s="3">
        <f t="shared" si="26"/>
        <v>70509.299999999988</v>
      </c>
      <c r="Y175" s="3">
        <f t="shared" si="28"/>
        <v>1547.1999999999998</v>
      </c>
      <c r="Z175" s="15" t="s">
        <v>10</v>
      </c>
      <c r="AA175" s="11">
        <v>8.8322202273963804</v>
      </c>
    </row>
    <row r="176" spans="1:27" s="3" customFormat="1" x14ac:dyDescent="0.25">
      <c r="A176" s="73"/>
      <c r="B176" s="12">
        <v>15</v>
      </c>
      <c r="C176" s="14">
        <v>41292</v>
      </c>
      <c r="D176" s="3">
        <v>-1.7</v>
      </c>
      <c r="E176" s="3">
        <v>-3.3</v>
      </c>
      <c r="F176" s="3">
        <v>-0.2</v>
      </c>
      <c r="G176" s="3">
        <v>1337.1</v>
      </c>
      <c r="H176" s="3">
        <v>12.7</v>
      </c>
      <c r="I176" s="7">
        <f>AVERAGE(D171:D220)</f>
        <v>4.3760000000000012</v>
      </c>
      <c r="J176" s="3">
        <v>0</v>
      </c>
      <c r="K176" s="3">
        <f t="shared" si="24"/>
        <v>423.99999999999994</v>
      </c>
      <c r="L176" s="3">
        <v>0.3</v>
      </c>
      <c r="M176" s="3">
        <f t="shared" si="25"/>
        <v>152.29999999999993</v>
      </c>
      <c r="N176" s="3">
        <v>-0.3</v>
      </c>
      <c r="O176" s="3">
        <f>O175+N176</f>
        <v>196.1</v>
      </c>
      <c r="P176" s="3">
        <v>136</v>
      </c>
      <c r="Q176" s="3">
        <v>1</v>
      </c>
      <c r="R176" s="7">
        <f t="shared" si="21"/>
        <v>0.3</v>
      </c>
      <c r="S176" s="7">
        <f t="shared" si="22"/>
        <v>-0.3</v>
      </c>
      <c r="T176" s="7">
        <f t="shared" si="29"/>
        <v>196.1</v>
      </c>
      <c r="U176" s="3">
        <v>0</v>
      </c>
      <c r="V176" s="3">
        <v>104.1</v>
      </c>
      <c r="X176" s="3">
        <f t="shared" si="26"/>
        <v>70613.399999999994</v>
      </c>
      <c r="Y176" s="3">
        <f t="shared" si="28"/>
        <v>1651.2999999999997</v>
      </c>
      <c r="Z176" s="3">
        <v>46</v>
      </c>
      <c r="AA176" s="11">
        <v>8.8682922790623309</v>
      </c>
    </row>
    <row r="177" spans="1:27" s="3" customFormat="1" x14ac:dyDescent="0.25">
      <c r="A177" s="73"/>
      <c r="B177" s="12">
        <v>16</v>
      </c>
      <c r="C177" s="14">
        <v>41293</v>
      </c>
      <c r="D177" s="3">
        <v>0.4</v>
      </c>
      <c r="E177" s="3">
        <v>-1</v>
      </c>
      <c r="F177" s="3">
        <v>1.8</v>
      </c>
      <c r="G177" s="3">
        <f t="shared" si="23"/>
        <v>1337.5</v>
      </c>
      <c r="H177" s="3">
        <f t="shared" si="27"/>
        <v>13.1</v>
      </c>
      <c r="I177" s="15" t="s">
        <v>11</v>
      </c>
      <c r="J177" s="3">
        <v>0.5</v>
      </c>
      <c r="K177" s="3">
        <f t="shared" si="24"/>
        <v>424.49999999999994</v>
      </c>
      <c r="L177" s="3">
        <v>0.3</v>
      </c>
      <c r="M177" s="3">
        <f t="shared" si="25"/>
        <v>152.59999999999994</v>
      </c>
      <c r="N177" s="3">
        <v>0.2</v>
      </c>
      <c r="O177" s="3">
        <f>O176+N177</f>
        <v>196.29999999999998</v>
      </c>
      <c r="P177" s="3">
        <v>137</v>
      </c>
      <c r="Q177" s="3">
        <v>1</v>
      </c>
      <c r="R177" s="7">
        <f t="shared" si="21"/>
        <v>0.3</v>
      </c>
      <c r="S177" s="7">
        <f t="shared" si="22"/>
        <v>0.2</v>
      </c>
      <c r="T177" s="7">
        <f t="shared" si="29"/>
        <v>196.29999999999998</v>
      </c>
      <c r="U177" s="15" t="s">
        <v>12</v>
      </c>
      <c r="V177" s="3">
        <v>107.5</v>
      </c>
      <c r="X177" s="3">
        <f t="shared" si="26"/>
        <v>70720.899999999994</v>
      </c>
      <c r="Y177" s="3">
        <f t="shared" si="28"/>
        <v>1758.7999999999997</v>
      </c>
      <c r="AA177" s="11">
        <v>8.9053997843622401</v>
      </c>
    </row>
    <row r="178" spans="1:27" s="3" customFormat="1" x14ac:dyDescent="0.25">
      <c r="A178" s="73"/>
      <c r="B178" s="12">
        <v>17</v>
      </c>
      <c r="C178" s="14">
        <v>41294</v>
      </c>
      <c r="D178" s="3">
        <v>1.3</v>
      </c>
      <c r="E178" s="3">
        <v>0.5</v>
      </c>
      <c r="F178" s="3">
        <v>2.2000000000000002</v>
      </c>
      <c r="G178" s="3">
        <f t="shared" si="23"/>
        <v>1338.8</v>
      </c>
      <c r="H178" s="3">
        <f t="shared" si="27"/>
        <v>14.4</v>
      </c>
      <c r="I178" s="3">
        <v>11</v>
      </c>
      <c r="J178" s="3">
        <v>1.9</v>
      </c>
      <c r="K178" s="3">
        <f t="shared" si="24"/>
        <v>426.39999999999992</v>
      </c>
      <c r="L178" s="3">
        <v>0.4</v>
      </c>
      <c r="M178" s="3">
        <f t="shared" si="25"/>
        <v>152.99999999999994</v>
      </c>
      <c r="N178" s="3">
        <v>1.5</v>
      </c>
      <c r="O178" s="3">
        <v>197.4</v>
      </c>
      <c r="P178" s="3">
        <v>138</v>
      </c>
      <c r="Q178" s="3">
        <v>1</v>
      </c>
      <c r="R178" s="7">
        <f t="shared" si="21"/>
        <v>0.4</v>
      </c>
      <c r="S178" s="7">
        <f t="shared" si="22"/>
        <v>1.5</v>
      </c>
      <c r="T178" s="7">
        <f t="shared" si="29"/>
        <v>197.4</v>
      </c>
      <c r="U178" s="7">
        <f>MIN(T171:T220)</f>
        <v>180.9</v>
      </c>
      <c r="V178" s="3">
        <v>415.2</v>
      </c>
      <c r="X178" s="3">
        <f t="shared" si="26"/>
        <v>71136.099999999991</v>
      </c>
      <c r="Y178" s="3">
        <f t="shared" si="28"/>
        <v>2173.9999999999995</v>
      </c>
      <c r="AA178" s="11">
        <v>8.9435123162883503</v>
      </c>
    </row>
    <row r="179" spans="1:27" s="3" customFormat="1" x14ac:dyDescent="0.25">
      <c r="A179" s="73"/>
      <c r="B179" s="12">
        <v>18</v>
      </c>
      <c r="C179" s="14">
        <v>41295</v>
      </c>
      <c r="D179" s="3">
        <v>2.2999999999999998</v>
      </c>
      <c r="E179" s="3">
        <v>0.4</v>
      </c>
      <c r="F179" s="3">
        <v>4</v>
      </c>
      <c r="G179" s="3">
        <f t="shared" si="23"/>
        <v>1341.1</v>
      </c>
      <c r="H179" s="3">
        <f t="shared" si="27"/>
        <v>16.7</v>
      </c>
      <c r="I179" s="15" t="s">
        <v>13</v>
      </c>
      <c r="J179" s="3">
        <v>3.3</v>
      </c>
      <c r="K179" s="3">
        <f t="shared" si="24"/>
        <v>429.69999999999993</v>
      </c>
      <c r="L179" s="3">
        <v>0.3</v>
      </c>
      <c r="M179" s="3">
        <f t="shared" si="25"/>
        <v>153.29999999999995</v>
      </c>
      <c r="N179" s="3">
        <v>3</v>
      </c>
      <c r="O179" s="3">
        <v>197.4</v>
      </c>
      <c r="P179" s="3">
        <v>139</v>
      </c>
      <c r="Q179" s="3">
        <v>1</v>
      </c>
      <c r="R179" s="7">
        <f t="shared" si="21"/>
        <v>0.3</v>
      </c>
      <c r="S179" s="7">
        <f t="shared" si="22"/>
        <v>3</v>
      </c>
      <c r="T179" s="7">
        <f t="shared" si="29"/>
        <v>197.4</v>
      </c>
      <c r="U179" s="15" t="s">
        <v>14</v>
      </c>
      <c r="V179" s="3">
        <v>106.1</v>
      </c>
      <c r="X179" s="3">
        <f t="shared" si="26"/>
        <v>71242.2</v>
      </c>
      <c r="Y179" s="3">
        <f t="shared" si="28"/>
        <v>2280.0999999999995</v>
      </c>
      <c r="AA179" s="11">
        <v>8.9825994217501801</v>
      </c>
    </row>
    <row r="180" spans="1:27" s="3" customFormat="1" x14ac:dyDescent="0.25">
      <c r="A180" s="73"/>
      <c r="B180" s="8"/>
      <c r="C180" s="14">
        <v>41296</v>
      </c>
      <c r="D180" s="3">
        <v>4.4000000000000004</v>
      </c>
      <c r="E180" s="3">
        <v>3</v>
      </c>
      <c r="F180" s="3">
        <v>7.3</v>
      </c>
      <c r="G180" s="3">
        <f t="shared" si="23"/>
        <v>1345.5</v>
      </c>
      <c r="H180" s="3">
        <f t="shared" si="27"/>
        <v>21.1</v>
      </c>
      <c r="I180" s="3">
        <v>0</v>
      </c>
      <c r="J180" s="3">
        <v>3.7</v>
      </c>
      <c r="K180" s="3">
        <f t="shared" si="24"/>
        <v>433.39999999999992</v>
      </c>
      <c r="L180" s="3">
        <v>0.5</v>
      </c>
      <c r="M180" s="3">
        <f t="shared" si="25"/>
        <v>153.79999999999995</v>
      </c>
      <c r="N180" s="3">
        <v>3.2</v>
      </c>
      <c r="O180" s="3">
        <v>197.4</v>
      </c>
      <c r="P180" s="3">
        <v>140</v>
      </c>
      <c r="Q180" s="3">
        <v>1</v>
      </c>
      <c r="R180" s="7">
        <f t="shared" si="21"/>
        <v>0.5</v>
      </c>
      <c r="S180" s="7">
        <f t="shared" si="22"/>
        <v>3.2</v>
      </c>
      <c r="T180" s="7">
        <f t="shared" si="29"/>
        <v>197.4</v>
      </c>
      <c r="U180" s="7">
        <f>MAX(T171:T220)</f>
        <v>197.4</v>
      </c>
      <c r="V180" s="3">
        <v>133.4</v>
      </c>
      <c r="X180" s="3">
        <f t="shared" si="26"/>
        <v>71375.599999999991</v>
      </c>
      <c r="Y180" s="3">
        <f t="shared" si="28"/>
        <v>2413.4999999999995</v>
      </c>
      <c r="AA180" s="3">
        <v>9.02263069059555</v>
      </c>
    </row>
    <row r="181" spans="1:27" s="3" customFormat="1" x14ac:dyDescent="0.25">
      <c r="A181" s="73"/>
      <c r="B181" s="8"/>
      <c r="C181" s="14">
        <v>41297</v>
      </c>
      <c r="D181" s="3">
        <v>2.6</v>
      </c>
      <c r="E181" s="3">
        <v>0.4</v>
      </c>
      <c r="F181" s="3">
        <v>5.7</v>
      </c>
      <c r="G181" s="3">
        <f t="shared" si="23"/>
        <v>1348.1</v>
      </c>
      <c r="H181" s="3">
        <f t="shared" si="27"/>
        <v>23.700000000000003</v>
      </c>
      <c r="I181" s="15" t="s">
        <v>15</v>
      </c>
      <c r="J181" s="3">
        <v>0.3</v>
      </c>
      <c r="K181" s="3">
        <f t="shared" si="24"/>
        <v>433.69999999999993</v>
      </c>
      <c r="L181" s="3">
        <v>0.5</v>
      </c>
      <c r="M181" s="3">
        <f t="shared" si="25"/>
        <v>154.29999999999995</v>
      </c>
      <c r="N181" s="3">
        <v>-0.2</v>
      </c>
      <c r="O181" s="3">
        <f>O180+N181</f>
        <v>197.20000000000002</v>
      </c>
      <c r="P181" s="3">
        <v>141</v>
      </c>
      <c r="Q181" s="3">
        <v>1</v>
      </c>
      <c r="R181" s="7">
        <f t="shared" si="21"/>
        <v>0.5</v>
      </c>
      <c r="S181" s="7">
        <f t="shared" si="22"/>
        <v>-0.2</v>
      </c>
      <c r="T181" s="7">
        <f t="shared" si="29"/>
        <v>197.20000000000002</v>
      </c>
      <c r="U181" s="15" t="s">
        <v>16</v>
      </c>
      <c r="V181" s="3">
        <v>257.60000000000002</v>
      </c>
      <c r="X181" s="3">
        <f t="shared" si="26"/>
        <v>71633.2</v>
      </c>
      <c r="Y181" s="3">
        <f t="shared" si="28"/>
        <v>2671.0999999999995</v>
      </c>
      <c r="AA181" s="3">
        <v>9.0635758209727104</v>
      </c>
    </row>
    <row r="182" spans="1:27" s="3" customFormat="1" x14ac:dyDescent="0.25">
      <c r="A182" s="73"/>
      <c r="B182" s="8"/>
      <c r="C182" s="14">
        <v>41298</v>
      </c>
      <c r="D182" s="3">
        <v>3.5</v>
      </c>
      <c r="E182" s="3">
        <v>1.8</v>
      </c>
      <c r="F182" s="3">
        <v>6.3</v>
      </c>
      <c r="G182" s="3">
        <f t="shared" si="23"/>
        <v>1351.6</v>
      </c>
      <c r="H182" s="3">
        <f t="shared" si="27"/>
        <v>27.200000000000003</v>
      </c>
      <c r="I182" s="3">
        <v>32</v>
      </c>
      <c r="J182" s="3">
        <v>0.4</v>
      </c>
      <c r="K182" s="3">
        <f t="shared" si="24"/>
        <v>434.09999999999991</v>
      </c>
      <c r="L182" s="3">
        <v>0.5</v>
      </c>
      <c r="M182" s="3">
        <f t="shared" si="25"/>
        <v>154.79999999999995</v>
      </c>
      <c r="N182" s="3">
        <v>-9.9999999999999978E-2</v>
      </c>
      <c r="O182" s="3">
        <f>O181+N182</f>
        <v>197.10000000000002</v>
      </c>
      <c r="P182" s="3">
        <v>142</v>
      </c>
      <c r="Q182" s="3">
        <v>1</v>
      </c>
      <c r="R182" s="7">
        <f t="shared" si="21"/>
        <v>0.5</v>
      </c>
      <c r="S182" s="7">
        <f t="shared" si="22"/>
        <v>-9.9999999999999978E-2</v>
      </c>
      <c r="T182" s="7">
        <f t="shared" si="29"/>
        <v>197.10000000000002</v>
      </c>
      <c r="U182" s="20">
        <f>AVERAGE(T171:T220)</f>
        <v>194.01999999999995</v>
      </c>
      <c r="V182" s="3">
        <v>229.5</v>
      </c>
      <c r="X182" s="3">
        <f t="shared" si="26"/>
        <v>71862.7</v>
      </c>
      <c r="Y182" s="3">
        <f t="shared" si="28"/>
        <v>2900.5999999999995</v>
      </c>
      <c r="AA182" s="3">
        <v>9.1054046809047993</v>
      </c>
    </row>
    <row r="183" spans="1:27" s="3" customFormat="1" x14ac:dyDescent="0.25">
      <c r="A183" s="73"/>
      <c r="B183" s="8"/>
      <c r="C183" s="14">
        <v>41299</v>
      </c>
      <c r="D183" s="3">
        <v>1</v>
      </c>
      <c r="E183" s="3">
        <v>-2.2000000000000002</v>
      </c>
      <c r="F183" s="3">
        <v>6.9</v>
      </c>
      <c r="G183" s="3">
        <f t="shared" si="23"/>
        <v>1352.6</v>
      </c>
      <c r="H183" s="3">
        <f t="shared" si="27"/>
        <v>28.200000000000003</v>
      </c>
      <c r="I183" s="15" t="s">
        <v>17</v>
      </c>
      <c r="J183" s="3">
        <v>9</v>
      </c>
      <c r="K183" s="3">
        <f t="shared" si="24"/>
        <v>443.09999999999991</v>
      </c>
      <c r="L183" s="3">
        <v>0.7</v>
      </c>
      <c r="M183" s="3">
        <f t="shared" si="25"/>
        <v>155.49999999999994</v>
      </c>
      <c r="N183" s="3">
        <v>8.3000000000000007</v>
      </c>
      <c r="O183" s="3">
        <v>197.4</v>
      </c>
      <c r="P183" s="3">
        <v>143</v>
      </c>
      <c r="Q183" s="3">
        <v>1</v>
      </c>
      <c r="R183" s="7">
        <f t="shared" si="21"/>
        <v>0.7</v>
      </c>
      <c r="S183" s="7">
        <f t="shared" si="22"/>
        <v>8.3000000000000007</v>
      </c>
      <c r="T183" s="7">
        <f t="shared" si="29"/>
        <v>197.4</v>
      </c>
      <c r="U183" s="15" t="s">
        <v>19</v>
      </c>
      <c r="V183" s="3">
        <v>239.7</v>
      </c>
      <c r="X183" s="3">
        <f t="shared" si="26"/>
        <v>72102.399999999994</v>
      </c>
      <c r="Y183" s="3">
        <f t="shared" si="28"/>
        <v>3140.2999999999993</v>
      </c>
      <c r="AA183" s="3">
        <v>9.1480873659837592</v>
      </c>
    </row>
    <row r="184" spans="1:27" s="3" customFormat="1" x14ac:dyDescent="0.25">
      <c r="A184" s="73"/>
      <c r="B184" s="8">
        <v>8</v>
      </c>
      <c r="C184" s="14">
        <v>41300</v>
      </c>
      <c r="D184" s="3">
        <v>7.6</v>
      </c>
      <c r="E184" s="3">
        <v>1.2</v>
      </c>
      <c r="F184" s="3">
        <v>10</v>
      </c>
      <c r="G184" s="3">
        <f t="shared" si="23"/>
        <v>1360.1999999999998</v>
      </c>
      <c r="H184" s="3">
        <f t="shared" si="27"/>
        <v>35.800000000000004</v>
      </c>
      <c r="I184" s="3">
        <v>221.4</v>
      </c>
      <c r="J184" s="3">
        <v>4.9000000000000004</v>
      </c>
      <c r="K184" s="3">
        <f t="shared" si="24"/>
        <v>447.99999999999989</v>
      </c>
      <c r="L184" s="3">
        <v>0.4</v>
      </c>
      <c r="M184" s="3">
        <f t="shared" si="25"/>
        <v>155.89999999999995</v>
      </c>
      <c r="N184" s="3">
        <v>4.5</v>
      </c>
      <c r="O184" s="3">
        <v>197.4</v>
      </c>
      <c r="P184" s="3">
        <v>144</v>
      </c>
      <c r="Q184" s="3">
        <v>1</v>
      </c>
      <c r="R184" s="7">
        <f t="shared" si="21"/>
        <v>0.4</v>
      </c>
      <c r="S184" s="7">
        <f t="shared" si="22"/>
        <v>4.5</v>
      </c>
      <c r="T184" s="7">
        <f t="shared" si="29"/>
        <v>197.4</v>
      </c>
      <c r="U184" s="7">
        <v>18</v>
      </c>
      <c r="V184" s="3">
        <v>638.20000000000005</v>
      </c>
      <c r="X184" s="3">
        <f t="shared" si="26"/>
        <v>72740.599999999991</v>
      </c>
      <c r="Y184" s="3">
        <f t="shared" si="28"/>
        <v>3778.4999999999991</v>
      </c>
      <c r="AA184" s="3">
        <v>9.1915942531253005</v>
      </c>
    </row>
    <row r="185" spans="1:27" s="3" customFormat="1" x14ac:dyDescent="0.25">
      <c r="A185" s="73"/>
      <c r="B185" s="8"/>
      <c r="C185" s="14">
        <v>41301</v>
      </c>
      <c r="D185" s="3">
        <v>9.1999999999999993</v>
      </c>
      <c r="E185" s="3">
        <v>7.6</v>
      </c>
      <c r="F185" s="3">
        <v>11.7</v>
      </c>
      <c r="G185" s="3">
        <f t="shared" si="23"/>
        <v>1369.3999999999999</v>
      </c>
      <c r="H185" s="3">
        <f t="shared" si="27"/>
        <v>45</v>
      </c>
      <c r="J185" s="3">
        <v>3.8</v>
      </c>
      <c r="K185" s="3">
        <f t="shared" si="24"/>
        <v>451.7999999999999</v>
      </c>
      <c r="L185" s="3">
        <v>1.3</v>
      </c>
      <c r="M185" s="3">
        <f t="shared" si="25"/>
        <v>157.19999999999996</v>
      </c>
      <c r="N185" s="3">
        <v>2.5</v>
      </c>
      <c r="O185" s="3">
        <v>197.4</v>
      </c>
      <c r="P185" s="3">
        <v>145</v>
      </c>
      <c r="Q185" s="3">
        <v>1</v>
      </c>
      <c r="R185" s="7">
        <f t="shared" si="21"/>
        <v>1.3</v>
      </c>
      <c r="S185" s="7">
        <f t="shared" si="22"/>
        <v>2.5</v>
      </c>
      <c r="T185" s="7">
        <f t="shared" si="29"/>
        <v>197.4</v>
      </c>
      <c r="V185" s="3">
        <v>286.5</v>
      </c>
      <c r="X185" s="3">
        <f t="shared" si="26"/>
        <v>73027.099999999991</v>
      </c>
      <c r="Y185" s="3">
        <f t="shared" si="28"/>
        <v>4064.9999999999991</v>
      </c>
      <c r="AA185" s="3">
        <v>9.2358960503577805</v>
      </c>
    </row>
    <row r="186" spans="1:27" s="3" customFormat="1" x14ac:dyDescent="0.25">
      <c r="A186" s="73"/>
      <c r="B186" s="8"/>
      <c r="C186" s="14">
        <v>41302</v>
      </c>
      <c r="D186" s="3">
        <v>8.3000000000000007</v>
      </c>
      <c r="E186" s="3">
        <v>3.8</v>
      </c>
      <c r="F186" s="3">
        <v>11.3</v>
      </c>
      <c r="G186" s="3">
        <f t="shared" si="23"/>
        <v>1377.6999999999998</v>
      </c>
      <c r="H186" s="3">
        <f t="shared" si="27"/>
        <v>53.3</v>
      </c>
      <c r="J186" s="3">
        <v>2.7</v>
      </c>
      <c r="K186" s="3">
        <f t="shared" si="24"/>
        <v>454.49999999999989</v>
      </c>
      <c r="L186" s="3">
        <v>0.6</v>
      </c>
      <c r="M186" s="3">
        <f t="shared" si="25"/>
        <v>157.79999999999995</v>
      </c>
      <c r="N186" s="3">
        <v>2.1</v>
      </c>
      <c r="O186" s="3">
        <v>197.4</v>
      </c>
      <c r="P186" s="3">
        <v>146</v>
      </c>
      <c r="Q186" s="3">
        <v>1</v>
      </c>
      <c r="R186" s="7">
        <f t="shared" si="21"/>
        <v>0.6</v>
      </c>
      <c r="S186" s="7">
        <f t="shared" si="22"/>
        <v>2.1</v>
      </c>
      <c r="T186" s="7">
        <f t="shared" si="29"/>
        <v>197.4</v>
      </c>
      <c r="U186" s="7">
        <f>(U182*100)/197.4</f>
        <v>98.287740628166134</v>
      </c>
      <c r="V186" s="3">
        <v>622.1</v>
      </c>
      <c r="X186" s="3">
        <f t="shared" si="26"/>
        <v>73649.2</v>
      </c>
      <c r="Y186" s="3">
        <f t="shared" si="28"/>
        <v>4687.0999999999995</v>
      </c>
      <c r="AA186" s="3">
        <v>9.2809638426474006</v>
      </c>
    </row>
    <row r="187" spans="1:27" s="3" customFormat="1" x14ac:dyDescent="0.25">
      <c r="A187" s="73"/>
      <c r="B187" s="8"/>
      <c r="C187" s="14">
        <v>41303</v>
      </c>
      <c r="D187" s="3">
        <v>12.4</v>
      </c>
      <c r="E187" s="3">
        <v>10.9</v>
      </c>
      <c r="F187" s="3">
        <v>13.5</v>
      </c>
      <c r="G187" s="3">
        <f t="shared" si="23"/>
        <v>1390.1</v>
      </c>
      <c r="H187" s="3">
        <f t="shared" si="27"/>
        <v>65.7</v>
      </c>
      <c r="J187" s="3">
        <v>2.7</v>
      </c>
      <c r="K187" s="3">
        <f t="shared" si="24"/>
        <v>457.19999999999987</v>
      </c>
      <c r="L187" s="3">
        <v>0.5</v>
      </c>
      <c r="M187" s="3">
        <f t="shared" si="25"/>
        <v>158.29999999999995</v>
      </c>
      <c r="N187" s="3">
        <v>2.2000000000000002</v>
      </c>
      <c r="O187" s="3">
        <v>197.4</v>
      </c>
      <c r="P187" s="3">
        <v>147</v>
      </c>
      <c r="Q187" s="3">
        <v>1</v>
      </c>
      <c r="R187" s="7">
        <f t="shared" si="21"/>
        <v>0.5</v>
      </c>
      <c r="S187" s="7">
        <f t="shared" si="22"/>
        <v>2.2000000000000002</v>
      </c>
      <c r="T187" s="7">
        <f t="shared" si="29"/>
        <v>197.4</v>
      </c>
      <c r="V187" s="3">
        <v>141.4</v>
      </c>
      <c r="X187" s="3">
        <f t="shared" si="26"/>
        <v>73790.599999999991</v>
      </c>
      <c r="Y187" s="3">
        <f t="shared" si="28"/>
        <v>4828.4999999999991</v>
      </c>
      <c r="AA187" s="3">
        <v>9.3267691337885896</v>
      </c>
    </row>
    <row r="188" spans="1:27" s="3" customFormat="1" x14ac:dyDescent="0.25">
      <c r="A188" s="73"/>
      <c r="B188" s="8"/>
      <c r="C188" s="14">
        <v>41304</v>
      </c>
      <c r="D188" s="3">
        <v>11.2</v>
      </c>
      <c r="E188" s="3">
        <v>9.3000000000000007</v>
      </c>
      <c r="F188" s="3">
        <v>13.3</v>
      </c>
      <c r="G188" s="3">
        <f t="shared" si="23"/>
        <v>1401.3</v>
      </c>
      <c r="H188" s="3">
        <f t="shared" si="27"/>
        <v>76.900000000000006</v>
      </c>
      <c r="J188" s="3">
        <v>1.1000000000000001</v>
      </c>
      <c r="K188" s="3">
        <f t="shared" si="24"/>
        <v>458.2999999999999</v>
      </c>
      <c r="L188" s="3">
        <v>0.9</v>
      </c>
      <c r="M188" s="3">
        <f t="shared" si="25"/>
        <v>159.19999999999996</v>
      </c>
      <c r="N188" s="3">
        <v>0.20000000000000007</v>
      </c>
      <c r="O188" s="3">
        <v>197.4</v>
      </c>
      <c r="P188" s="3">
        <v>148</v>
      </c>
      <c r="Q188" s="3">
        <v>1</v>
      </c>
      <c r="R188" s="7">
        <f t="shared" si="21"/>
        <v>0.9</v>
      </c>
      <c r="S188" s="7">
        <f t="shared" si="22"/>
        <v>0.20000000000000007</v>
      </c>
      <c r="T188" s="7">
        <f t="shared" si="29"/>
        <v>197.4</v>
      </c>
      <c r="V188" s="3">
        <v>379.5</v>
      </c>
      <c r="X188" s="3">
        <f t="shared" si="26"/>
        <v>74170.099999999991</v>
      </c>
      <c r="Y188" s="3">
        <f t="shared" si="28"/>
        <v>5207.9999999999991</v>
      </c>
      <c r="AA188" s="3">
        <v>9.37328388441213</v>
      </c>
    </row>
    <row r="189" spans="1:27" s="3" customFormat="1" x14ac:dyDescent="0.25">
      <c r="A189" s="73"/>
      <c r="B189" s="8"/>
      <c r="C189" s="14">
        <v>41305</v>
      </c>
      <c r="D189" s="3">
        <v>10</v>
      </c>
      <c r="E189" s="3">
        <v>5.7</v>
      </c>
      <c r="F189" s="3">
        <v>13.2</v>
      </c>
      <c r="G189" s="3">
        <f t="shared" si="23"/>
        <v>1411.3</v>
      </c>
      <c r="H189" s="3">
        <f t="shared" si="27"/>
        <v>86.9</v>
      </c>
      <c r="J189" s="3">
        <v>5.9</v>
      </c>
      <c r="K189" s="3">
        <f t="shared" si="24"/>
        <v>464.19999999999987</v>
      </c>
      <c r="L189" s="3">
        <v>0.6</v>
      </c>
      <c r="M189" s="3">
        <f t="shared" si="25"/>
        <v>159.79999999999995</v>
      </c>
      <c r="N189" s="3">
        <v>5.3000000000000007</v>
      </c>
      <c r="O189" s="3">
        <v>197.4</v>
      </c>
      <c r="P189" s="3">
        <v>149</v>
      </c>
      <c r="Q189" s="3">
        <v>1</v>
      </c>
      <c r="R189" s="7">
        <f t="shared" si="21"/>
        <v>0.6</v>
      </c>
      <c r="S189" s="7">
        <f t="shared" si="22"/>
        <v>5.3000000000000007</v>
      </c>
      <c r="T189" s="7">
        <f t="shared" si="29"/>
        <v>197.4</v>
      </c>
      <c r="V189" s="3">
        <v>339.8</v>
      </c>
      <c r="X189" s="3">
        <f t="shared" si="26"/>
        <v>74509.899999999994</v>
      </c>
      <c r="Y189" s="3">
        <f t="shared" si="28"/>
        <v>5547.7999999999993</v>
      </c>
      <c r="AA189" s="3">
        <v>9.4204805461851908</v>
      </c>
    </row>
    <row r="190" spans="1:27" s="3" customFormat="1" x14ac:dyDescent="0.25">
      <c r="A190" s="73"/>
      <c r="B190" s="8"/>
      <c r="C190" s="14">
        <v>41306</v>
      </c>
      <c r="D190" s="3">
        <v>8.4</v>
      </c>
      <c r="E190" s="3">
        <v>7.1</v>
      </c>
      <c r="F190" s="3">
        <v>10.9</v>
      </c>
      <c r="G190" s="3">
        <f t="shared" si="23"/>
        <v>1419.7</v>
      </c>
      <c r="H190" s="3">
        <f t="shared" si="27"/>
        <v>95.300000000000011</v>
      </c>
      <c r="J190" s="3">
        <v>8.6999999999999993</v>
      </c>
      <c r="K190" s="3">
        <f t="shared" si="24"/>
        <v>472.89999999999986</v>
      </c>
      <c r="L190" s="3">
        <v>0.5</v>
      </c>
      <c r="M190" s="3">
        <f t="shared" si="25"/>
        <v>160.29999999999995</v>
      </c>
      <c r="N190" s="3">
        <v>8.1999999999999993</v>
      </c>
      <c r="O190" s="3">
        <v>197.4</v>
      </c>
      <c r="P190" s="3">
        <v>150</v>
      </c>
      <c r="Q190" s="3">
        <v>1</v>
      </c>
      <c r="R190" s="7">
        <f t="shared" si="21"/>
        <v>0.5</v>
      </c>
      <c r="S190" s="7">
        <f t="shared" si="22"/>
        <v>8.1999999999999993</v>
      </c>
      <c r="T190" s="7">
        <f t="shared" si="29"/>
        <v>197.4</v>
      </c>
      <c r="V190" s="3">
        <v>114.2</v>
      </c>
      <c r="X190" s="3">
        <f t="shared" si="26"/>
        <v>74624.099999999991</v>
      </c>
      <c r="Y190" s="3">
        <f t="shared" si="28"/>
        <v>5661.9999999999991</v>
      </c>
      <c r="AA190" s="3">
        <v>9.4683320922958405</v>
      </c>
    </row>
    <row r="191" spans="1:27" s="3" customFormat="1" x14ac:dyDescent="0.25">
      <c r="A191" s="73"/>
      <c r="B191" s="8">
        <v>9</v>
      </c>
      <c r="C191" s="14">
        <v>41307</v>
      </c>
      <c r="D191" s="3">
        <v>5.0999999999999996</v>
      </c>
      <c r="E191" s="3">
        <v>4.3</v>
      </c>
      <c r="F191" s="3">
        <v>6.9</v>
      </c>
      <c r="G191" s="3">
        <f t="shared" si="23"/>
        <v>1424.8</v>
      </c>
      <c r="H191" s="3">
        <f t="shared" si="27"/>
        <v>100.4</v>
      </c>
      <c r="J191" s="3">
        <v>0.2</v>
      </c>
      <c r="K191" s="3">
        <f t="shared" si="24"/>
        <v>473.09999999999985</v>
      </c>
      <c r="L191" s="3">
        <v>1.2</v>
      </c>
      <c r="M191" s="3">
        <f t="shared" si="25"/>
        <v>161.49999999999994</v>
      </c>
      <c r="N191" s="3">
        <v>-1</v>
      </c>
      <c r="O191" s="3">
        <f>O190+N191</f>
        <v>196.4</v>
      </c>
      <c r="P191" s="3">
        <v>151</v>
      </c>
      <c r="Q191" s="3">
        <v>1</v>
      </c>
      <c r="R191" s="7">
        <f t="shared" si="21"/>
        <v>1.2</v>
      </c>
      <c r="S191" s="7">
        <f t="shared" si="22"/>
        <v>-1</v>
      </c>
      <c r="T191" s="7">
        <f t="shared" si="29"/>
        <v>196.4</v>
      </c>
      <c r="V191" s="3">
        <v>707.1</v>
      </c>
      <c r="X191" s="3">
        <f t="shared" si="26"/>
        <v>75331.199999999997</v>
      </c>
      <c r="Y191" s="3">
        <f t="shared" si="28"/>
        <v>6369.0999999999995</v>
      </c>
      <c r="AA191" s="3">
        <v>9.5168120443305408</v>
      </c>
    </row>
    <row r="192" spans="1:27" s="3" customFormat="1" x14ac:dyDescent="0.25">
      <c r="A192" s="73"/>
      <c r="B192" s="8"/>
      <c r="C192" s="14">
        <v>41308</v>
      </c>
      <c r="D192" s="3">
        <v>5.2</v>
      </c>
      <c r="E192" s="3">
        <v>-0.5</v>
      </c>
      <c r="F192" s="3">
        <v>9.6</v>
      </c>
      <c r="G192" s="3">
        <f t="shared" si="23"/>
        <v>1430</v>
      </c>
      <c r="H192" s="3">
        <f t="shared" si="27"/>
        <v>105.60000000000001</v>
      </c>
      <c r="J192" s="3">
        <v>1.3</v>
      </c>
      <c r="K192" s="3">
        <f t="shared" si="24"/>
        <v>474.39999999999986</v>
      </c>
      <c r="L192" s="3">
        <v>0.4</v>
      </c>
      <c r="M192" s="3">
        <f t="shared" si="25"/>
        <v>161.89999999999995</v>
      </c>
      <c r="N192" s="3">
        <v>0.9</v>
      </c>
      <c r="O192" s="3">
        <f>O191+N192</f>
        <v>197.3</v>
      </c>
      <c r="P192" s="3">
        <v>152</v>
      </c>
      <c r="Q192" s="3">
        <v>1</v>
      </c>
      <c r="R192" s="7">
        <f t="shared" si="21"/>
        <v>0.4</v>
      </c>
      <c r="S192" s="7">
        <f t="shared" si="22"/>
        <v>0.9</v>
      </c>
      <c r="T192" s="7">
        <f t="shared" si="29"/>
        <v>197.3</v>
      </c>
      <c r="V192" s="3">
        <v>217.8</v>
      </c>
      <c r="X192" s="3">
        <f t="shared" si="26"/>
        <v>75549</v>
      </c>
      <c r="Y192" s="3">
        <f t="shared" si="28"/>
        <v>6586.9</v>
      </c>
      <c r="AA192" s="3">
        <v>9.5658944956672105</v>
      </c>
    </row>
    <row r="193" spans="1:27" s="3" customFormat="1" x14ac:dyDescent="0.25">
      <c r="A193" s="73"/>
      <c r="B193" s="8"/>
      <c r="C193" s="14">
        <v>41309</v>
      </c>
      <c r="D193" s="3">
        <v>9.6999999999999993</v>
      </c>
      <c r="E193" s="3">
        <v>8.6999999999999993</v>
      </c>
      <c r="F193" s="3">
        <v>12.4</v>
      </c>
      <c r="G193" s="3">
        <f t="shared" si="23"/>
        <v>1439.7</v>
      </c>
      <c r="H193" s="3">
        <f t="shared" si="27"/>
        <v>115.30000000000001</v>
      </c>
      <c r="J193" s="3">
        <v>0.5</v>
      </c>
      <c r="K193" s="3">
        <f t="shared" si="24"/>
        <v>474.89999999999986</v>
      </c>
      <c r="L193" s="3">
        <v>0.9</v>
      </c>
      <c r="M193" s="3">
        <f t="shared" si="25"/>
        <v>162.79999999999995</v>
      </c>
      <c r="N193" s="3">
        <v>-0.4</v>
      </c>
      <c r="O193" s="3">
        <f>O192+N193</f>
        <v>196.9</v>
      </c>
      <c r="P193" s="3">
        <v>153</v>
      </c>
      <c r="Q193" s="3">
        <v>1</v>
      </c>
      <c r="R193" s="7">
        <f t="shared" si="21"/>
        <v>0.9</v>
      </c>
      <c r="S193" s="7">
        <f t="shared" si="22"/>
        <v>-0.4</v>
      </c>
      <c r="T193" s="7">
        <f t="shared" si="29"/>
        <v>196.9</v>
      </c>
      <c r="V193" s="3">
        <v>312.89999999999998</v>
      </c>
      <c r="X193" s="3">
        <f t="shared" si="26"/>
        <v>75861.899999999994</v>
      </c>
      <c r="Y193" s="3">
        <f t="shared" si="28"/>
        <v>6899.7999999999993</v>
      </c>
      <c r="AA193" s="3">
        <v>9.6155541315168893</v>
      </c>
    </row>
    <row r="194" spans="1:27" s="3" customFormat="1" x14ac:dyDescent="0.25">
      <c r="A194" s="73"/>
      <c r="B194" s="8"/>
      <c r="C194" s="14">
        <v>41310</v>
      </c>
      <c r="D194" s="3">
        <v>5.9</v>
      </c>
      <c r="E194" s="3">
        <v>4.3</v>
      </c>
      <c r="F194" s="3">
        <v>7</v>
      </c>
      <c r="G194" s="3">
        <f t="shared" si="23"/>
        <v>1445.6000000000001</v>
      </c>
      <c r="H194" s="3">
        <f t="shared" si="27"/>
        <v>121.20000000000002</v>
      </c>
      <c r="J194" s="3">
        <v>8.1</v>
      </c>
      <c r="K194" s="3">
        <f t="shared" si="24"/>
        <v>482.99999999999989</v>
      </c>
      <c r="L194" s="3">
        <v>0.9</v>
      </c>
      <c r="M194" s="3">
        <f t="shared" si="25"/>
        <v>163.69999999999996</v>
      </c>
      <c r="N194" s="3">
        <v>7.1999999999999993</v>
      </c>
      <c r="O194" s="3">
        <v>197.4</v>
      </c>
      <c r="P194" s="3">
        <v>154</v>
      </c>
      <c r="Q194" s="3">
        <v>1</v>
      </c>
      <c r="R194" s="7">
        <f t="shared" si="21"/>
        <v>0.9</v>
      </c>
      <c r="S194" s="7">
        <f t="shared" si="22"/>
        <v>7.1999999999999993</v>
      </c>
      <c r="T194" s="7">
        <f t="shared" si="29"/>
        <v>197.4</v>
      </c>
      <c r="V194" s="3">
        <v>804.9</v>
      </c>
      <c r="X194" s="3">
        <f t="shared" si="26"/>
        <v>76666.799999999988</v>
      </c>
      <c r="Y194" s="3">
        <f t="shared" si="28"/>
        <v>7704.6999999999989</v>
      </c>
      <c r="AA194" s="3">
        <v>9.6657662457569504</v>
      </c>
    </row>
    <row r="195" spans="1:27" s="3" customFormat="1" x14ac:dyDescent="0.25">
      <c r="A195" s="73"/>
      <c r="B195" s="8"/>
      <c r="C195" s="14">
        <v>41311</v>
      </c>
      <c r="D195" s="3">
        <v>4.9000000000000004</v>
      </c>
      <c r="E195" s="3">
        <v>3.6</v>
      </c>
      <c r="F195" s="3">
        <v>5.9</v>
      </c>
      <c r="G195" s="3">
        <f t="shared" si="23"/>
        <v>1450.5000000000002</v>
      </c>
      <c r="H195" s="3">
        <f t="shared" si="27"/>
        <v>126.10000000000002</v>
      </c>
      <c r="J195" s="3">
        <v>3.7</v>
      </c>
      <c r="K195" s="3">
        <f t="shared" si="24"/>
        <v>486.69999999999987</v>
      </c>
      <c r="L195" s="3">
        <v>0.7</v>
      </c>
      <c r="M195" s="3">
        <f t="shared" si="25"/>
        <v>164.39999999999995</v>
      </c>
      <c r="N195" s="3">
        <v>3</v>
      </c>
      <c r="O195" s="3">
        <v>197.4</v>
      </c>
      <c r="P195" s="3">
        <v>155</v>
      </c>
      <c r="Q195" s="3">
        <v>1</v>
      </c>
      <c r="R195" s="7">
        <f t="shared" si="21"/>
        <v>0.7</v>
      </c>
      <c r="S195" s="7">
        <f t="shared" si="22"/>
        <v>3</v>
      </c>
      <c r="T195" s="7">
        <f t="shared" si="29"/>
        <v>197.4</v>
      </c>
      <c r="V195" s="3">
        <v>230.4</v>
      </c>
      <c r="X195" s="3">
        <f t="shared" si="26"/>
        <v>76897.199999999983</v>
      </c>
      <c r="Y195" s="3">
        <f t="shared" si="28"/>
        <v>7935.0999999999985</v>
      </c>
      <c r="AA195" s="3">
        <v>9.7165067547050707</v>
      </c>
    </row>
    <row r="196" spans="1:27" s="3" customFormat="1" x14ac:dyDescent="0.25">
      <c r="A196" s="73"/>
      <c r="B196" s="8"/>
      <c r="C196" s="14">
        <v>41312</v>
      </c>
      <c r="D196" s="3">
        <v>3.6</v>
      </c>
      <c r="E196" s="3">
        <v>0.2</v>
      </c>
      <c r="F196" s="3">
        <v>6.7</v>
      </c>
      <c r="G196" s="3">
        <f t="shared" si="23"/>
        <v>1454.1000000000001</v>
      </c>
      <c r="H196" s="3">
        <f t="shared" si="27"/>
        <v>129.70000000000002</v>
      </c>
      <c r="J196" s="3">
        <v>3.7</v>
      </c>
      <c r="K196" s="3">
        <f t="shared" si="24"/>
        <v>490.39999999999986</v>
      </c>
      <c r="L196" s="3">
        <v>0.7</v>
      </c>
      <c r="M196" s="3">
        <f t="shared" si="25"/>
        <v>165.09999999999994</v>
      </c>
      <c r="N196" s="3">
        <v>3</v>
      </c>
      <c r="O196" s="3">
        <v>197.4</v>
      </c>
      <c r="P196" s="3">
        <v>156</v>
      </c>
      <c r="Q196" s="3">
        <v>1</v>
      </c>
      <c r="R196" s="7">
        <f t="shared" si="21"/>
        <v>0.7</v>
      </c>
      <c r="S196" s="7">
        <f t="shared" si="22"/>
        <v>3</v>
      </c>
      <c r="T196" s="7">
        <f t="shared" si="29"/>
        <v>197.4</v>
      </c>
      <c r="V196" s="3">
        <v>259.39999999999998</v>
      </c>
      <c r="X196" s="3">
        <f t="shared" si="26"/>
        <v>77156.599999999977</v>
      </c>
      <c r="Y196" s="3">
        <f t="shared" si="28"/>
        <v>8194.4999999999982</v>
      </c>
      <c r="AA196" s="3">
        <v>9.7677522079885293</v>
      </c>
    </row>
    <row r="197" spans="1:27" s="3" customFormat="1" x14ac:dyDescent="0.25">
      <c r="A197" s="73"/>
      <c r="B197" s="8"/>
      <c r="C197" s="14">
        <v>41313</v>
      </c>
      <c r="D197" s="3">
        <v>4.4000000000000004</v>
      </c>
      <c r="E197" s="3">
        <v>3.1</v>
      </c>
      <c r="F197" s="3">
        <v>6.6</v>
      </c>
      <c r="G197" s="3">
        <f t="shared" si="23"/>
        <v>1458.5000000000002</v>
      </c>
      <c r="H197" s="3">
        <f t="shared" si="27"/>
        <v>134.10000000000002</v>
      </c>
      <c r="J197" s="3">
        <v>1.4</v>
      </c>
      <c r="K197" s="3">
        <f t="shared" si="24"/>
        <v>491.79999999999984</v>
      </c>
      <c r="L197" s="3">
        <v>0.7</v>
      </c>
      <c r="M197" s="3">
        <f t="shared" si="25"/>
        <v>165.79999999999993</v>
      </c>
      <c r="N197" s="3">
        <v>0.7</v>
      </c>
      <c r="O197" s="3">
        <v>197.4</v>
      </c>
      <c r="P197" s="3">
        <v>157</v>
      </c>
      <c r="Q197" s="3">
        <v>1</v>
      </c>
      <c r="R197" s="7">
        <f t="shared" si="21"/>
        <v>0.7</v>
      </c>
      <c r="S197" s="7">
        <f t="shared" si="22"/>
        <v>0.7</v>
      </c>
      <c r="T197" s="7">
        <f t="shared" si="29"/>
        <v>197.4</v>
      </c>
      <c r="V197" s="3">
        <v>474</v>
      </c>
      <c r="X197" s="3">
        <f t="shared" si="26"/>
        <v>77630.599999999977</v>
      </c>
      <c r="Y197" s="3">
        <f t="shared" si="28"/>
        <v>8668.4999999999982</v>
      </c>
      <c r="AA197" s="3">
        <v>9.8194797966666592</v>
      </c>
    </row>
    <row r="198" spans="1:27" s="3" customFormat="1" x14ac:dyDescent="0.25">
      <c r="A198" s="73"/>
      <c r="B198" s="8">
        <v>10</v>
      </c>
      <c r="C198" s="14">
        <v>41314</v>
      </c>
      <c r="D198" s="3">
        <v>5.0999999999999996</v>
      </c>
      <c r="E198" s="3">
        <v>3.2</v>
      </c>
      <c r="F198" s="3">
        <v>6.7</v>
      </c>
      <c r="G198" s="3">
        <f t="shared" si="23"/>
        <v>1463.6000000000001</v>
      </c>
      <c r="H198" s="3">
        <f t="shared" si="27"/>
        <v>139.20000000000002</v>
      </c>
      <c r="J198" s="3">
        <v>8.9</v>
      </c>
      <c r="K198" s="3">
        <f t="shared" si="24"/>
        <v>500.69999999999982</v>
      </c>
      <c r="L198" s="3">
        <v>0.2</v>
      </c>
      <c r="M198" s="3">
        <f t="shared" si="25"/>
        <v>165.99999999999991</v>
      </c>
      <c r="N198" s="3">
        <v>8.7000000000000011</v>
      </c>
      <c r="O198" s="3">
        <v>197.4</v>
      </c>
      <c r="P198" s="3">
        <v>158</v>
      </c>
      <c r="Q198" s="3">
        <v>1</v>
      </c>
      <c r="R198" s="7">
        <f t="shared" si="21"/>
        <v>0.2</v>
      </c>
      <c r="S198" s="7">
        <f t="shared" si="22"/>
        <v>8.7000000000000011</v>
      </c>
      <c r="T198" s="7">
        <f t="shared" si="29"/>
        <v>197.4</v>
      </c>
      <c r="V198" s="3">
        <v>158.19999999999999</v>
      </c>
      <c r="X198" s="3">
        <f t="shared" si="26"/>
        <v>77788.799999999974</v>
      </c>
      <c r="Y198" s="3">
        <f t="shared" si="28"/>
        <v>8826.6999999999989</v>
      </c>
      <c r="AA198" s="3">
        <v>9.87166735876594</v>
      </c>
    </row>
    <row r="199" spans="1:27" s="3" customFormat="1" x14ac:dyDescent="0.25">
      <c r="A199" s="73"/>
      <c r="B199" s="8"/>
      <c r="C199" s="14">
        <v>41315</v>
      </c>
      <c r="D199" s="3">
        <v>6.9</v>
      </c>
      <c r="E199" s="3">
        <v>5.8</v>
      </c>
      <c r="F199" s="3">
        <v>10</v>
      </c>
      <c r="G199" s="3">
        <f t="shared" si="23"/>
        <v>1470.5000000000002</v>
      </c>
      <c r="H199" s="3">
        <f t="shared" si="27"/>
        <v>146.10000000000002</v>
      </c>
      <c r="J199" s="3">
        <v>12.4</v>
      </c>
      <c r="K199" s="3">
        <f t="shared" si="24"/>
        <v>513.0999999999998</v>
      </c>
      <c r="L199" s="3">
        <v>0.6</v>
      </c>
      <c r="M199" s="3">
        <f t="shared" si="25"/>
        <v>166.59999999999991</v>
      </c>
      <c r="N199" s="3">
        <v>11.8</v>
      </c>
      <c r="O199" s="3">
        <v>197.4</v>
      </c>
      <c r="P199" s="3">
        <v>159</v>
      </c>
      <c r="Q199" s="3">
        <v>1</v>
      </c>
      <c r="R199" s="7">
        <f t="shared" si="21"/>
        <v>0.6</v>
      </c>
      <c r="S199" s="7">
        <f t="shared" si="22"/>
        <v>11.8</v>
      </c>
      <c r="T199" s="7">
        <f t="shared" si="29"/>
        <v>197.4</v>
      </c>
      <c r="V199" s="3">
        <v>160.19999999999999</v>
      </c>
      <c r="X199" s="3">
        <f t="shared" si="26"/>
        <v>77948.999999999971</v>
      </c>
      <c r="Y199" s="3">
        <f t="shared" si="28"/>
        <v>8986.9</v>
      </c>
      <c r="AA199" s="3">
        <v>9.9242933823874697</v>
      </c>
    </row>
    <row r="200" spans="1:27" s="3" customFormat="1" x14ac:dyDescent="0.25">
      <c r="A200" s="73"/>
      <c r="B200" s="8"/>
      <c r="C200" s="14">
        <v>41316</v>
      </c>
      <c r="D200" s="3">
        <v>4.5999999999999996</v>
      </c>
      <c r="E200" s="3">
        <v>1.1000000000000001</v>
      </c>
      <c r="F200" s="3">
        <v>8.1</v>
      </c>
      <c r="G200" s="3">
        <f t="shared" si="23"/>
        <v>1475.1000000000001</v>
      </c>
      <c r="H200" s="3">
        <f t="shared" si="27"/>
        <v>150.70000000000002</v>
      </c>
      <c r="J200" s="3">
        <v>0.2</v>
      </c>
      <c r="K200" s="3">
        <f t="shared" si="24"/>
        <v>513.29999999999984</v>
      </c>
      <c r="L200" s="3">
        <v>0.6</v>
      </c>
      <c r="M200" s="3">
        <f t="shared" si="25"/>
        <v>167.1999999999999</v>
      </c>
      <c r="N200" s="3">
        <v>-0.39999999999999997</v>
      </c>
      <c r="O200" s="3">
        <f>O199+N200</f>
        <v>197</v>
      </c>
      <c r="P200" s="3">
        <v>160</v>
      </c>
      <c r="Q200" s="3">
        <v>1</v>
      </c>
      <c r="R200" s="7">
        <f t="shared" si="21"/>
        <v>0.6</v>
      </c>
      <c r="S200" s="7">
        <f t="shared" si="22"/>
        <v>-0.39999999999999997</v>
      </c>
      <c r="T200" s="7">
        <f t="shared" si="29"/>
        <v>197</v>
      </c>
      <c r="V200" s="3">
        <v>464.5</v>
      </c>
      <c r="X200" s="3">
        <f t="shared" si="26"/>
        <v>78413.499999999971</v>
      </c>
      <c r="Y200" s="3">
        <f t="shared" si="28"/>
        <v>9451.4</v>
      </c>
      <c r="AA200" s="3">
        <v>9.9773370065455698</v>
      </c>
    </row>
    <row r="201" spans="1:27" s="3" customFormat="1" x14ac:dyDescent="0.25">
      <c r="A201" s="73"/>
      <c r="B201" s="8"/>
      <c r="C201" s="14">
        <v>41317</v>
      </c>
      <c r="D201" s="3">
        <v>4.3</v>
      </c>
      <c r="E201" s="3">
        <v>2.2000000000000002</v>
      </c>
      <c r="F201" s="3">
        <v>5.6</v>
      </c>
      <c r="G201" s="3">
        <f t="shared" si="23"/>
        <v>1479.4</v>
      </c>
      <c r="H201" s="3">
        <f t="shared" si="27"/>
        <v>155.00000000000003</v>
      </c>
      <c r="J201" s="3">
        <v>0.4</v>
      </c>
      <c r="K201" s="3">
        <f t="shared" si="24"/>
        <v>513.69999999999982</v>
      </c>
      <c r="L201" s="3">
        <v>0.3</v>
      </c>
      <c r="M201" s="3">
        <f t="shared" si="25"/>
        <v>167.49999999999991</v>
      </c>
      <c r="N201" s="3">
        <v>0.10000000000000003</v>
      </c>
      <c r="O201" s="3">
        <f>O200+N201</f>
        <v>197.1</v>
      </c>
      <c r="P201" s="3">
        <v>161</v>
      </c>
      <c r="Q201" s="3">
        <v>1</v>
      </c>
      <c r="R201" s="7">
        <f t="shared" si="21"/>
        <v>0.3</v>
      </c>
      <c r="S201" s="7">
        <f t="shared" si="22"/>
        <v>0.10000000000000003</v>
      </c>
      <c r="T201" s="7">
        <f t="shared" si="29"/>
        <v>197.1</v>
      </c>
      <c r="V201" s="3">
        <v>256.8</v>
      </c>
      <c r="X201" s="3">
        <f t="shared" si="26"/>
        <v>78670.299999999974</v>
      </c>
      <c r="Y201" s="3">
        <f t="shared" si="28"/>
        <v>9708.1999999999989</v>
      </c>
      <c r="AA201" s="3">
        <v>10.0307780198942</v>
      </c>
    </row>
    <row r="202" spans="1:27" s="3" customFormat="1" x14ac:dyDescent="0.25">
      <c r="A202" s="73"/>
      <c r="B202" s="16" t="s">
        <v>20</v>
      </c>
      <c r="C202" s="14">
        <v>41318</v>
      </c>
      <c r="D202" s="3">
        <v>4.3</v>
      </c>
      <c r="E202" s="3">
        <v>2.9</v>
      </c>
      <c r="F202" s="3">
        <v>7.9</v>
      </c>
      <c r="G202" s="3">
        <f t="shared" si="23"/>
        <v>1483.7</v>
      </c>
      <c r="H202" s="3">
        <f t="shared" si="27"/>
        <v>159.30000000000004</v>
      </c>
      <c r="J202" s="3">
        <v>1.3</v>
      </c>
      <c r="K202" s="3">
        <f t="shared" si="24"/>
        <v>514.99999999999977</v>
      </c>
      <c r="L202" s="3">
        <v>0.8</v>
      </c>
      <c r="M202" s="3">
        <f t="shared" si="25"/>
        <v>168.29999999999993</v>
      </c>
      <c r="N202" s="3">
        <v>0.5</v>
      </c>
      <c r="O202" s="3">
        <v>197.4</v>
      </c>
      <c r="P202" s="3">
        <v>162</v>
      </c>
      <c r="Q202" s="3">
        <v>1</v>
      </c>
      <c r="R202" s="7">
        <f t="shared" si="21"/>
        <v>0.8</v>
      </c>
      <c r="S202" s="7">
        <f t="shared" si="22"/>
        <v>0.5</v>
      </c>
      <c r="T202" s="7">
        <f t="shared" si="29"/>
        <v>197.4</v>
      </c>
      <c r="V202" s="3">
        <v>355.2</v>
      </c>
      <c r="X202" s="3">
        <f t="shared" si="26"/>
        <v>79025.499999999971</v>
      </c>
      <c r="Y202" s="3">
        <f t="shared" si="28"/>
        <v>10063.4</v>
      </c>
      <c r="AA202" s="3">
        <v>10.084596857494899</v>
      </c>
    </row>
    <row r="203" spans="1:27" s="3" customFormat="1" x14ac:dyDescent="0.25">
      <c r="A203" s="73"/>
      <c r="B203" s="4"/>
      <c r="C203" s="14">
        <v>41319</v>
      </c>
      <c r="D203" s="3">
        <v>8.1999999999999993</v>
      </c>
      <c r="E203" s="3">
        <v>4.5999999999999996</v>
      </c>
      <c r="F203" s="3">
        <v>12.4</v>
      </c>
      <c r="G203" s="3">
        <f t="shared" si="23"/>
        <v>1491.9</v>
      </c>
      <c r="H203" s="3">
        <f t="shared" si="27"/>
        <v>167.50000000000003</v>
      </c>
      <c r="J203" s="3">
        <v>1.1000000000000001</v>
      </c>
      <c r="K203" s="3">
        <f t="shared" si="24"/>
        <v>516.0999999999998</v>
      </c>
      <c r="L203" s="3">
        <v>1.4</v>
      </c>
      <c r="M203" s="3">
        <f t="shared" si="25"/>
        <v>169.69999999999993</v>
      </c>
      <c r="N203" s="3">
        <v>-0.29999999999999982</v>
      </c>
      <c r="O203" s="3">
        <f t="shared" ref="O203:O226" si="30">O202+N203</f>
        <v>197.1</v>
      </c>
      <c r="P203" s="3">
        <v>163</v>
      </c>
      <c r="Q203" s="3">
        <v>1</v>
      </c>
      <c r="R203" s="7">
        <f t="shared" si="21"/>
        <v>1.4</v>
      </c>
      <c r="S203" s="7">
        <f t="shared" si="22"/>
        <v>-0.29999999999999982</v>
      </c>
      <c r="T203" s="7">
        <f t="shared" si="29"/>
        <v>197.1</v>
      </c>
      <c r="V203" s="3">
        <v>837.9</v>
      </c>
      <c r="X203" s="3">
        <f t="shared" si="26"/>
        <v>79863.399999999965</v>
      </c>
      <c r="Y203" s="3">
        <f t="shared" si="28"/>
        <v>10901.3</v>
      </c>
      <c r="AA203" s="3">
        <v>10.138774595775301</v>
      </c>
    </row>
    <row r="204" spans="1:27" s="3" customFormat="1" x14ac:dyDescent="0.25">
      <c r="A204" s="73"/>
      <c r="B204" s="8"/>
      <c r="C204" s="14">
        <v>41320</v>
      </c>
      <c r="D204" s="3">
        <v>6.4</v>
      </c>
      <c r="E204" s="3">
        <v>1.7</v>
      </c>
      <c r="F204" s="3">
        <v>11.9</v>
      </c>
      <c r="G204" s="3">
        <f t="shared" si="23"/>
        <v>1498.3000000000002</v>
      </c>
      <c r="H204" s="3">
        <f t="shared" si="27"/>
        <v>173.90000000000003</v>
      </c>
      <c r="J204" s="3">
        <v>0.2</v>
      </c>
      <c r="K204" s="3">
        <f t="shared" si="24"/>
        <v>516.29999999999984</v>
      </c>
      <c r="L204" s="3">
        <v>0.9</v>
      </c>
      <c r="M204" s="3">
        <f t="shared" si="25"/>
        <v>170.59999999999994</v>
      </c>
      <c r="N204" s="3">
        <v>-0.7</v>
      </c>
      <c r="O204" s="3">
        <f t="shared" si="30"/>
        <v>196.4</v>
      </c>
      <c r="P204" s="3">
        <v>164</v>
      </c>
      <c r="Q204" s="3">
        <v>1</v>
      </c>
      <c r="R204" s="7">
        <f t="shared" si="21"/>
        <v>0.9</v>
      </c>
      <c r="S204" s="7">
        <f t="shared" si="22"/>
        <v>-0.7</v>
      </c>
      <c r="T204" s="7">
        <f t="shared" si="29"/>
        <v>196.4</v>
      </c>
      <c r="V204" s="3">
        <v>665.5</v>
      </c>
      <c r="X204" s="3">
        <f t="shared" si="26"/>
        <v>80528.899999999965</v>
      </c>
      <c r="Y204" s="3">
        <f t="shared" si="28"/>
        <v>11566.8</v>
      </c>
      <c r="AA204" s="3">
        <v>10.193292945824201</v>
      </c>
    </row>
    <row r="205" spans="1:27" s="3" customFormat="1" x14ac:dyDescent="0.25">
      <c r="A205" s="73"/>
      <c r="B205" s="8"/>
      <c r="C205" s="14">
        <v>41321</v>
      </c>
      <c r="D205" s="3">
        <v>4.7</v>
      </c>
      <c r="E205" s="3">
        <v>2.2000000000000002</v>
      </c>
      <c r="F205" s="3">
        <v>7.6</v>
      </c>
      <c r="G205" s="3">
        <f t="shared" si="23"/>
        <v>1503.0000000000002</v>
      </c>
      <c r="H205" s="3">
        <f t="shared" si="27"/>
        <v>178.60000000000002</v>
      </c>
      <c r="J205" s="3">
        <v>0</v>
      </c>
      <c r="K205" s="3">
        <f t="shared" si="24"/>
        <v>516.29999999999984</v>
      </c>
      <c r="L205" s="3">
        <v>0.5</v>
      </c>
      <c r="M205" s="3">
        <f t="shared" si="25"/>
        <v>171.09999999999994</v>
      </c>
      <c r="N205" s="3">
        <v>-0.5</v>
      </c>
      <c r="O205" s="3">
        <f t="shared" si="30"/>
        <v>195.9</v>
      </c>
      <c r="P205" s="3">
        <v>165</v>
      </c>
      <c r="Q205" s="3">
        <v>1</v>
      </c>
      <c r="R205" s="7">
        <f t="shared" si="21"/>
        <v>0.5</v>
      </c>
      <c r="S205" s="7">
        <f t="shared" si="22"/>
        <v>-0.5</v>
      </c>
      <c r="T205" s="7">
        <f t="shared" si="29"/>
        <v>195.9</v>
      </c>
      <c r="V205" s="3">
        <v>340.9</v>
      </c>
      <c r="X205" s="3">
        <f t="shared" si="26"/>
        <v>80869.799999999959</v>
      </c>
      <c r="Y205" s="3">
        <f t="shared" si="28"/>
        <v>11907.699999999999</v>
      </c>
      <c r="AA205" s="3">
        <v>10.248134245162101</v>
      </c>
    </row>
    <row r="206" spans="1:27" s="3" customFormat="1" x14ac:dyDescent="0.25">
      <c r="A206" s="73"/>
      <c r="B206" s="8"/>
      <c r="C206" s="14">
        <v>41322</v>
      </c>
      <c r="D206" s="3">
        <v>4.3</v>
      </c>
      <c r="E206" s="3">
        <v>2.7</v>
      </c>
      <c r="F206" s="3">
        <v>7.2</v>
      </c>
      <c r="G206" s="3">
        <f t="shared" si="23"/>
        <v>1507.3000000000002</v>
      </c>
      <c r="H206" s="3">
        <f t="shared" si="27"/>
        <v>182.90000000000003</v>
      </c>
      <c r="J206" s="3">
        <v>0</v>
      </c>
      <c r="K206" s="3">
        <f t="shared" si="24"/>
        <v>516.29999999999984</v>
      </c>
      <c r="L206" s="3">
        <v>0.9</v>
      </c>
      <c r="M206" s="3">
        <f t="shared" si="25"/>
        <v>171.99999999999994</v>
      </c>
      <c r="N206" s="3">
        <v>-0.9</v>
      </c>
      <c r="O206" s="3">
        <f t="shared" si="30"/>
        <v>195</v>
      </c>
      <c r="P206" s="3">
        <v>166</v>
      </c>
      <c r="Q206" s="3">
        <v>1</v>
      </c>
      <c r="R206" s="7">
        <f t="shared" si="21"/>
        <v>0.9</v>
      </c>
      <c r="S206" s="7">
        <f t="shared" si="22"/>
        <v>-0.9</v>
      </c>
      <c r="T206" s="7">
        <f t="shared" si="29"/>
        <v>195</v>
      </c>
      <c r="V206" s="3">
        <v>767.1</v>
      </c>
      <c r="X206" s="3">
        <f t="shared" si="26"/>
        <v>81636.899999999965</v>
      </c>
      <c r="Y206" s="3">
        <f t="shared" si="28"/>
        <v>12674.8</v>
      </c>
      <c r="AA206" s="3">
        <v>10.3032814481223</v>
      </c>
    </row>
    <row r="207" spans="1:27" s="3" customFormat="1" x14ac:dyDescent="0.25">
      <c r="A207" s="73"/>
      <c r="B207" s="8"/>
      <c r="C207" s="14">
        <v>41323</v>
      </c>
      <c r="D207" s="3">
        <v>4.4000000000000004</v>
      </c>
      <c r="E207" s="3">
        <v>1.6</v>
      </c>
      <c r="F207" s="3">
        <v>9</v>
      </c>
      <c r="G207" s="3">
        <f t="shared" si="23"/>
        <v>1511.7000000000003</v>
      </c>
      <c r="H207" s="3">
        <f t="shared" si="27"/>
        <v>187.30000000000004</v>
      </c>
      <c r="J207" s="3">
        <v>0</v>
      </c>
      <c r="K207" s="3">
        <f t="shared" si="24"/>
        <v>516.29999999999984</v>
      </c>
      <c r="L207" s="3">
        <v>1.5</v>
      </c>
      <c r="M207" s="3">
        <f t="shared" si="25"/>
        <v>173.49999999999994</v>
      </c>
      <c r="N207" s="3">
        <v>-1.5</v>
      </c>
      <c r="O207" s="3">
        <f t="shared" si="30"/>
        <v>193.5</v>
      </c>
      <c r="P207" s="3">
        <v>167</v>
      </c>
      <c r="Q207" s="3">
        <v>1</v>
      </c>
      <c r="R207" s="7">
        <f t="shared" si="21"/>
        <v>1.5</v>
      </c>
      <c r="S207" s="7">
        <f t="shared" si="22"/>
        <v>-1.5</v>
      </c>
      <c r="T207" s="7">
        <f t="shared" si="29"/>
        <v>193.5</v>
      </c>
      <c r="V207" s="3">
        <v>1257.7</v>
      </c>
      <c r="X207" s="3">
        <f t="shared" si="26"/>
        <v>82894.599999999962</v>
      </c>
      <c r="Y207" s="3">
        <f t="shared" si="28"/>
        <v>13932.5</v>
      </c>
      <c r="AA207" s="3">
        <v>10.358718114969401</v>
      </c>
    </row>
    <row r="208" spans="1:27" s="3" customFormat="1" x14ac:dyDescent="0.25">
      <c r="A208" s="73"/>
      <c r="B208" s="8"/>
      <c r="C208" s="14">
        <v>41324</v>
      </c>
      <c r="D208" s="3">
        <v>4.5</v>
      </c>
      <c r="E208" s="3">
        <v>0.4</v>
      </c>
      <c r="F208" s="3">
        <v>10.6</v>
      </c>
      <c r="G208" s="3">
        <f t="shared" si="23"/>
        <v>1516.2000000000003</v>
      </c>
      <c r="H208" s="3">
        <f t="shared" si="27"/>
        <v>191.80000000000004</v>
      </c>
      <c r="J208" s="3">
        <v>0</v>
      </c>
      <c r="K208" s="3">
        <f t="shared" si="24"/>
        <v>516.29999999999984</v>
      </c>
      <c r="L208" s="3">
        <v>1.5</v>
      </c>
      <c r="M208" s="3">
        <f t="shared" si="25"/>
        <v>174.99999999999994</v>
      </c>
      <c r="N208" s="3">
        <v>-1.5</v>
      </c>
      <c r="O208" s="3">
        <f t="shared" si="30"/>
        <v>192</v>
      </c>
      <c r="P208" s="3">
        <v>168</v>
      </c>
      <c r="Q208" s="3">
        <v>1</v>
      </c>
      <c r="R208" s="7">
        <f t="shared" si="21"/>
        <v>1.5</v>
      </c>
      <c r="S208" s="7">
        <f t="shared" si="22"/>
        <v>-1.5</v>
      </c>
      <c r="T208" s="7">
        <f t="shared" si="29"/>
        <v>192</v>
      </c>
      <c r="V208" s="3">
        <v>1195.0999999999999</v>
      </c>
      <c r="X208" s="3">
        <f t="shared" si="26"/>
        <v>84089.699999999968</v>
      </c>
      <c r="Y208" s="3">
        <f t="shared" si="28"/>
        <v>15127.6</v>
      </c>
      <c r="AA208" s="3">
        <v>10.4144283998791</v>
      </c>
    </row>
    <row r="209" spans="1:27" s="3" customFormat="1" x14ac:dyDescent="0.25">
      <c r="A209" s="73"/>
      <c r="B209" s="16" t="s">
        <v>21</v>
      </c>
      <c r="C209" s="14">
        <v>41325</v>
      </c>
      <c r="D209" s="3">
        <v>3.9</v>
      </c>
      <c r="E209" s="3">
        <v>-0.9</v>
      </c>
      <c r="F209" s="3">
        <v>10.4</v>
      </c>
      <c r="G209" s="3">
        <f t="shared" si="23"/>
        <v>1520.1000000000004</v>
      </c>
      <c r="H209" s="3">
        <f t="shared" si="27"/>
        <v>195.70000000000005</v>
      </c>
      <c r="J209" s="3">
        <v>0.1</v>
      </c>
      <c r="K209" s="3">
        <f t="shared" si="24"/>
        <v>516.39999999999986</v>
      </c>
      <c r="L209" s="3">
        <v>1.7</v>
      </c>
      <c r="M209" s="3">
        <f t="shared" si="25"/>
        <v>176.69999999999993</v>
      </c>
      <c r="N209" s="3">
        <v>-1.5999999999999999</v>
      </c>
      <c r="O209" s="3">
        <f t="shared" si="30"/>
        <v>190.4</v>
      </c>
      <c r="P209" s="3">
        <v>169</v>
      </c>
      <c r="Q209" s="3">
        <v>1</v>
      </c>
      <c r="R209" s="7">
        <f t="shared" si="21"/>
        <v>1.7</v>
      </c>
      <c r="S209" s="7">
        <f t="shared" si="22"/>
        <v>-1.5999999999999999</v>
      </c>
      <c r="T209" s="7">
        <f t="shared" si="29"/>
        <v>190.4</v>
      </c>
      <c r="V209" s="3">
        <v>1284.7</v>
      </c>
      <c r="X209" s="3">
        <f t="shared" si="26"/>
        <v>85374.399999999965</v>
      </c>
      <c r="Y209" s="3">
        <f t="shared" si="28"/>
        <v>16412.3</v>
      </c>
      <c r="AA209" s="3">
        <v>10.4703970378929</v>
      </c>
    </row>
    <row r="210" spans="1:27" s="3" customFormat="1" x14ac:dyDescent="0.25">
      <c r="A210" s="73"/>
      <c r="B210" s="8"/>
      <c r="C210" s="14">
        <v>41326</v>
      </c>
      <c r="D210" s="3">
        <v>1.3</v>
      </c>
      <c r="E210" s="3">
        <v>-0.4</v>
      </c>
      <c r="F210" s="3">
        <v>4.0999999999999996</v>
      </c>
      <c r="G210" s="3">
        <f t="shared" si="23"/>
        <v>1521.4000000000003</v>
      </c>
      <c r="H210" s="3">
        <f t="shared" si="27"/>
        <v>197.00000000000006</v>
      </c>
      <c r="J210" s="3">
        <v>0</v>
      </c>
      <c r="K210" s="3">
        <f t="shared" si="24"/>
        <v>516.39999999999986</v>
      </c>
      <c r="L210" s="3">
        <v>1.8</v>
      </c>
      <c r="M210" s="3">
        <f t="shared" si="25"/>
        <v>178.49999999999994</v>
      </c>
      <c r="N210" s="3">
        <v>-1.8</v>
      </c>
      <c r="O210" s="3">
        <f t="shared" si="30"/>
        <v>188.6</v>
      </c>
      <c r="P210" s="3">
        <v>170</v>
      </c>
      <c r="Q210" s="3">
        <v>1</v>
      </c>
      <c r="R210" s="7">
        <f t="shared" si="21"/>
        <v>1.8</v>
      </c>
      <c r="S210" s="7">
        <f t="shared" si="22"/>
        <v>-1.8</v>
      </c>
      <c r="T210" s="7">
        <f t="shared" si="29"/>
        <v>188.6</v>
      </c>
      <c r="V210" s="3">
        <v>1313.2</v>
      </c>
      <c r="X210" s="3">
        <f t="shared" si="26"/>
        <v>86687.599999999962</v>
      </c>
      <c r="Y210" s="3">
        <f t="shared" si="28"/>
        <v>17725.5</v>
      </c>
      <c r="AA210" s="3">
        <v>10.526609330957299</v>
      </c>
    </row>
    <row r="211" spans="1:27" s="3" customFormat="1" x14ac:dyDescent="0.25">
      <c r="A211" s="73"/>
      <c r="B211" s="8"/>
      <c r="C211" s="14">
        <v>41327</v>
      </c>
      <c r="D211" s="3">
        <v>-0.1</v>
      </c>
      <c r="E211" s="3">
        <v>-1.5</v>
      </c>
      <c r="F211" s="3">
        <v>2.5</v>
      </c>
      <c r="G211" s="3">
        <v>1521.4</v>
      </c>
      <c r="H211" s="3">
        <v>197</v>
      </c>
      <c r="J211" s="3">
        <v>0</v>
      </c>
      <c r="K211" s="3">
        <f t="shared" si="24"/>
        <v>516.39999999999986</v>
      </c>
      <c r="L211" s="3">
        <v>1.5</v>
      </c>
      <c r="M211" s="3">
        <f t="shared" si="25"/>
        <v>179.99999999999994</v>
      </c>
      <c r="N211" s="3">
        <v>-1.5</v>
      </c>
      <c r="O211" s="3">
        <f t="shared" si="30"/>
        <v>187.1</v>
      </c>
      <c r="P211" s="3">
        <v>171</v>
      </c>
      <c r="Q211" s="3">
        <v>1</v>
      </c>
      <c r="R211" s="7">
        <f t="shared" si="21"/>
        <v>1.5</v>
      </c>
      <c r="S211" s="7">
        <f t="shared" si="22"/>
        <v>-1.5</v>
      </c>
      <c r="T211" s="7">
        <f t="shared" si="29"/>
        <v>187.1</v>
      </c>
      <c r="V211" s="3">
        <v>821.6</v>
      </c>
      <c r="X211" s="3">
        <f t="shared" si="26"/>
        <v>87509.199999999968</v>
      </c>
      <c r="Y211" s="3">
        <f t="shared" si="28"/>
        <v>18547.099999999999</v>
      </c>
      <c r="AA211" s="3">
        <v>10.5830511331501</v>
      </c>
    </row>
    <row r="212" spans="1:27" s="3" customFormat="1" x14ac:dyDescent="0.25">
      <c r="A212" s="73"/>
      <c r="B212" s="8"/>
      <c r="C212" s="14">
        <v>41328</v>
      </c>
      <c r="D212" s="3">
        <v>-0.6</v>
      </c>
      <c r="E212" s="3">
        <v>-3.3</v>
      </c>
      <c r="F212" s="3">
        <v>1</v>
      </c>
      <c r="G212" s="3">
        <v>1521.4</v>
      </c>
      <c r="H212" s="3">
        <v>197</v>
      </c>
      <c r="J212" s="3">
        <v>0</v>
      </c>
      <c r="K212" s="3">
        <f t="shared" si="24"/>
        <v>516.39999999999986</v>
      </c>
      <c r="L212" s="3">
        <v>0.7</v>
      </c>
      <c r="M212" s="3">
        <f t="shared" si="25"/>
        <v>180.69999999999993</v>
      </c>
      <c r="N212" s="3">
        <v>-0.7</v>
      </c>
      <c r="O212" s="3">
        <f t="shared" si="30"/>
        <v>186.4</v>
      </c>
      <c r="P212" s="3">
        <v>172</v>
      </c>
      <c r="Q212" s="3">
        <v>1</v>
      </c>
      <c r="R212" s="7">
        <f t="shared" si="21"/>
        <v>0.7</v>
      </c>
      <c r="S212" s="7">
        <f t="shared" si="22"/>
        <v>-0.7</v>
      </c>
      <c r="T212" s="7">
        <f t="shared" si="29"/>
        <v>186.4</v>
      </c>
      <c r="V212" s="3">
        <v>373.3</v>
      </c>
      <c r="X212" s="3">
        <f t="shared" si="26"/>
        <v>87882.499999999971</v>
      </c>
      <c r="Y212" s="3">
        <f t="shared" si="28"/>
        <v>18920.399999999998</v>
      </c>
      <c r="AA212" s="3">
        <v>10.639708835189101</v>
      </c>
    </row>
    <row r="213" spans="1:27" s="3" customFormat="1" x14ac:dyDescent="0.25">
      <c r="A213" s="73"/>
      <c r="B213" s="8"/>
      <c r="C213" s="14">
        <v>41329</v>
      </c>
      <c r="D213" s="3">
        <v>2</v>
      </c>
      <c r="E213" s="3">
        <v>0.3</v>
      </c>
      <c r="F213" s="3">
        <v>3.9</v>
      </c>
      <c r="G213" s="3">
        <f t="shared" si="23"/>
        <v>1523.4</v>
      </c>
      <c r="H213" s="3">
        <f t="shared" si="27"/>
        <v>199</v>
      </c>
      <c r="J213" s="3">
        <v>0.3</v>
      </c>
      <c r="K213" s="3">
        <f t="shared" si="24"/>
        <v>516.69999999999982</v>
      </c>
      <c r="L213" s="3">
        <v>1</v>
      </c>
      <c r="M213" s="3">
        <f t="shared" si="25"/>
        <v>181.69999999999993</v>
      </c>
      <c r="N213" s="3">
        <v>-0.7</v>
      </c>
      <c r="O213" s="3">
        <f t="shared" si="30"/>
        <v>185.70000000000002</v>
      </c>
      <c r="P213" s="3">
        <v>173</v>
      </c>
      <c r="Q213" s="3">
        <v>1</v>
      </c>
      <c r="R213" s="7">
        <f t="shared" si="21"/>
        <v>1</v>
      </c>
      <c r="S213" s="7">
        <f t="shared" si="22"/>
        <v>-0.7</v>
      </c>
      <c r="T213" s="7">
        <f t="shared" si="29"/>
        <v>185.70000000000002</v>
      </c>
      <c r="V213" s="3">
        <v>448.2</v>
      </c>
      <c r="X213" s="3">
        <f t="shared" si="26"/>
        <v>88330.699999999968</v>
      </c>
      <c r="Y213" s="3">
        <f t="shared" si="28"/>
        <v>19368.599999999999</v>
      </c>
      <c r="AA213" s="3">
        <v>10.696569348312501</v>
      </c>
    </row>
    <row r="214" spans="1:27" s="3" customFormat="1" x14ac:dyDescent="0.25">
      <c r="A214" s="73"/>
      <c r="B214" s="8"/>
      <c r="C214" s="14">
        <v>41330</v>
      </c>
      <c r="D214" s="3">
        <v>3.7</v>
      </c>
      <c r="E214" s="3">
        <v>1.4</v>
      </c>
      <c r="F214" s="3">
        <v>5.7</v>
      </c>
      <c r="G214" s="3">
        <f t="shared" si="23"/>
        <v>1527.1000000000001</v>
      </c>
      <c r="H214" s="3">
        <f t="shared" si="27"/>
        <v>202.7</v>
      </c>
      <c r="J214" s="3">
        <v>0.8</v>
      </c>
      <c r="K214" s="3">
        <f t="shared" si="24"/>
        <v>517.49999999999977</v>
      </c>
      <c r="L214" s="3">
        <v>0.8</v>
      </c>
      <c r="M214" s="3">
        <f t="shared" si="25"/>
        <v>182.49999999999994</v>
      </c>
      <c r="N214" s="3">
        <v>0</v>
      </c>
      <c r="O214" s="3">
        <f t="shared" si="30"/>
        <v>185.70000000000002</v>
      </c>
      <c r="P214" s="3">
        <v>174</v>
      </c>
      <c r="Q214" s="3">
        <v>1</v>
      </c>
      <c r="R214" s="7">
        <f t="shared" si="21"/>
        <v>0.8</v>
      </c>
      <c r="S214" s="7">
        <f t="shared" si="22"/>
        <v>0</v>
      </c>
      <c r="T214" s="7">
        <f t="shared" si="29"/>
        <v>185.70000000000002</v>
      </c>
      <c r="V214" s="3">
        <v>315.8</v>
      </c>
      <c r="X214" s="3">
        <f t="shared" si="26"/>
        <v>88646.499999999971</v>
      </c>
      <c r="Y214" s="3">
        <f t="shared" si="28"/>
        <v>19684.399999999998</v>
      </c>
      <c r="AA214" s="3">
        <v>10.7536200876135</v>
      </c>
    </row>
    <row r="215" spans="1:27" s="3" customFormat="1" x14ac:dyDescent="0.25">
      <c r="A215" s="73"/>
      <c r="B215" s="8"/>
      <c r="C215" s="14">
        <v>41331</v>
      </c>
      <c r="D215" s="3">
        <v>3.4</v>
      </c>
      <c r="E215" s="3">
        <v>3.1</v>
      </c>
      <c r="F215" s="3">
        <v>3.8</v>
      </c>
      <c r="G215" s="3">
        <f t="shared" si="23"/>
        <v>1530.5000000000002</v>
      </c>
      <c r="H215" s="3">
        <f t="shared" si="27"/>
        <v>206.1</v>
      </c>
      <c r="J215" s="3">
        <v>0</v>
      </c>
      <c r="K215" s="3">
        <f t="shared" si="24"/>
        <v>517.49999999999977</v>
      </c>
      <c r="L215" s="3">
        <v>0.7</v>
      </c>
      <c r="M215" s="3">
        <f t="shared" si="25"/>
        <v>183.19999999999993</v>
      </c>
      <c r="N215" s="3">
        <v>-0.7</v>
      </c>
      <c r="O215" s="3">
        <f t="shared" si="30"/>
        <v>185.00000000000003</v>
      </c>
      <c r="P215" s="3">
        <v>175</v>
      </c>
      <c r="Q215" s="3">
        <v>1</v>
      </c>
      <c r="R215" s="7">
        <f t="shared" si="21"/>
        <v>0.7</v>
      </c>
      <c r="S215" s="7">
        <f t="shared" si="22"/>
        <v>-0.7</v>
      </c>
      <c r="T215" s="7">
        <f t="shared" si="29"/>
        <v>185.00000000000003</v>
      </c>
      <c r="V215" s="3">
        <v>306.39999999999998</v>
      </c>
      <c r="X215" s="3">
        <f t="shared" si="26"/>
        <v>88952.899999999965</v>
      </c>
      <c r="Y215" s="3">
        <f t="shared" si="28"/>
        <v>19990.8</v>
      </c>
      <c r="AA215" s="3">
        <v>10.810848954906399</v>
      </c>
    </row>
    <row r="216" spans="1:27" s="3" customFormat="1" x14ac:dyDescent="0.25">
      <c r="A216" s="73"/>
      <c r="B216" s="16" t="s">
        <v>22</v>
      </c>
      <c r="C216" s="14">
        <v>41332</v>
      </c>
      <c r="D216" s="3">
        <v>3.7</v>
      </c>
      <c r="E216" s="3">
        <v>2.4</v>
      </c>
      <c r="F216" s="3">
        <v>5.4</v>
      </c>
      <c r="G216" s="3">
        <f t="shared" si="23"/>
        <v>1534.2000000000003</v>
      </c>
      <c r="H216" s="3">
        <f t="shared" si="27"/>
        <v>209.79999999999998</v>
      </c>
      <c r="J216" s="3">
        <v>0</v>
      </c>
      <c r="K216" s="3">
        <f t="shared" si="24"/>
        <v>517.49999999999977</v>
      </c>
      <c r="L216" s="3">
        <v>1.1000000000000001</v>
      </c>
      <c r="M216" s="3">
        <f t="shared" si="25"/>
        <v>184.29999999999993</v>
      </c>
      <c r="N216" s="3">
        <v>-1.1000000000000001</v>
      </c>
      <c r="O216" s="3">
        <f t="shared" si="30"/>
        <v>183.90000000000003</v>
      </c>
      <c r="P216" s="3">
        <v>176</v>
      </c>
      <c r="Q216" s="3">
        <v>1</v>
      </c>
      <c r="R216" s="7">
        <f t="shared" si="21"/>
        <v>1.1000000000000001</v>
      </c>
      <c r="S216" s="7">
        <f t="shared" si="22"/>
        <v>-1.1000000000000001</v>
      </c>
      <c r="T216" s="7">
        <f t="shared" si="29"/>
        <v>183.90000000000003</v>
      </c>
      <c r="V216" s="3">
        <v>745.7</v>
      </c>
      <c r="X216" s="3">
        <f t="shared" si="26"/>
        <v>89698.599999999962</v>
      </c>
      <c r="Y216" s="3">
        <f t="shared" si="28"/>
        <v>20736.5</v>
      </c>
      <c r="AA216" s="3">
        <v>10.868244321193201</v>
      </c>
    </row>
    <row r="217" spans="1:27" s="3" customFormat="1" x14ac:dyDescent="0.25">
      <c r="A217" s="73"/>
      <c r="B217" s="8"/>
      <c r="C217" s="14">
        <v>41333</v>
      </c>
      <c r="D217" s="3">
        <v>3</v>
      </c>
      <c r="E217" s="3">
        <v>1.9</v>
      </c>
      <c r="F217" s="3">
        <v>4.0999999999999996</v>
      </c>
      <c r="G217" s="3">
        <f t="shared" si="23"/>
        <v>1537.2000000000003</v>
      </c>
      <c r="H217" s="3">
        <f t="shared" si="27"/>
        <v>212.79999999999998</v>
      </c>
      <c r="J217" s="3">
        <v>0</v>
      </c>
      <c r="K217" s="3">
        <f t="shared" si="24"/>
        <v>517.49999999999977</v>
      </c>
      <c r="L217" s="3">
        <v>0.4</v>
      </c>
      <c r="M217" s="3">
        <f t="shared" si="25"/>
        <v>184.69999999999993</v>
      </c>
      <c r="N217" s="3">
        <v>-0.4</v>
      </c>
      <c r="O217" s="3">
        <f t="shared" si="30"/>
        <v>183.50000000000003</v>
      </c>
      <c r="P217" s="3">
        <v>177</v>
      </c>
      <c r="Q217" s="3">
        <v>1</v>
      </c>
      <c r="R217" s="7">
        <f t="shared" si="21"/>
        <v>0.4</v>
      </c>
      <c r="S217" s="7">
        <f t="shared" si="22"/>
        <v>-0.4</v>
      </c>
      <c r="T217" s="7">
        <f t="shared" si="29"/>
        <v>183.50000000000003</v>
      </c>
      <c r="V217" s="3">
        <v>325.5</v>
      </c>
      <c r="X217" s="3">
        <f t="shared" si="26"/>
        <v>90024.099999999962</v>
      </c>
      <c r="Y217" s="3">
        <f t="shared" si="28"/>
        <v>21062</v>
      </c>
      <c r="AA217" s="3">
        <v>10.9257950087975</v>
      </c>
    </row>
    <row r="218" spans="1:27" s="3" customFormat="1" x14ac:dyDescent="0.25">
      <c r="A218" s="73"/>
      <c r="B218" s="8"/>
      <c r="C218" s="14">
        <v>41334</v>
      </c>
      <c r="D218" s="3">
        <v>3.1</v>
      </c>
      <c r="E218" s="3">
        <v>1.5</v>
      </c>
      <c r="F218" s="3">
        <v>4.3</v>
      </c>
      <c r="G218" s="3">
        <f t="shared" si="23"/>
        <v>1540.3000000000002</v>
      </c>
      <c r="H218" s="3">
        <f t="shared" si="27"/>
        <v>215.89999999999998</v>
      </c>
      <c r="J218" s="3">
        <v>0</v>
      </c>
      <c r="K218" s="3">
        <f t="shared" si="24"/>
        <v>517.49999999999977</v>
      </c>
      <c r="L218" s="3">
        <v>0.8</v>
      </c>
      <c r="M218" s="3">
        <f t="shared" si="25"/>
        <v>185.49999999999994</v>
      </c>
      <c r="N218" s="3">
        <v>-0.8</v>
      </c>
      <c r="O218" s="3">
        <f t="shared" si="30"/>
        <v>182.70000000000002</v>
      </c>
      <c r="P218" s="3">
        <v>178</v>
      </c>
      <c r="Q218" s="3">
        <v>1</v>
      </c>
      <c r="R218" s="7">
        <f t="shared" si="21"/>
        <v>0.8</v>
      </c>
      <c r="S218" s="7">
        <f t="shared" si="22"/>
        <v>-0.8</v>
      </c>
      <c r="T218" s="7">
        <f t="shared" si="29"/>
        <v>182.70000000000002</v>
      </c>
      <c r="V218" s="3">
        <v>424.6</v>
      </c>
      <c r="X218" s="3">
        <f t="shared" si="26"/>
        <v>90448.699999999968</v>
      </c>
      <c r="Y218" s="3">
        <f t="shared" si="28"/>
        <v>21486.6</v>
      </c>
      <c r="AA218" s="3">
        <v>10.9834902732216</v>
      </c>
    </row>
    <row r="219" spans="1:27" s="3" customFormat="1" x14ac:dyDescent="0.25">
      <c r="A219" s="73"/>
      <c r="B219" s="8"/>
      <c r="C219" s="14">
        <v>41335</v>
      </c>
      <c r="D219" s="3">
        <v>2.9</v>
      </c>
      <c r="E219" s="3">
        <v>2.5</v>
      </c>
      <c r="F219" s="3">
        <v>3.4</v>
      </c>
      <c r="G219" s="3">
        <f t="shared" si="23"/>
        <v>1543.2000000000003</v>
      </c>
      <c r="H219" s="3">
        <f t="shared" si="27"/>
        <v>218.79999999999998</v>
      </c>
      <c r="J219" s="3">
        <v>0</v>
      </c>
      <c r="K219" s="3">
        <f t="shared" si="24"/>
        <v>517.49999999999977</v>
      </c>
      <c r="L219" s="3">
        <v>0.9</v>
      </c>
      <c r="M219" s="3">
        <f t="shared" si="25"/>
        <v>186.39999999999995</v>
      </c>
      <c r="N219" s="3">
        <v>-0.9</v>
      </c>
      <c r="O219" s="3">
        <f t="shared" si="30"/>
        <v>181.8</v>
      </c>
      <c r="P219" s="3">
        <v>179</v>
      </c>
      <c r="Q219" s="3">
        <v>1</v>
      </c>
      <c r="R219" s="7">
        <f t="shared" si="21"/>
        <v>0.9</v>
      </c>
      <c r="S219" s="7">
        <f t="shared" si="22"/>
        <v>-0.9</v>
      </c>
      <c r="T219" s="7">
        <f t="shared" si="29"/>
        <v>181.8</v>
      </c>
      <c r="V219" s="3">
        <v>530.29999999999995</v>
      </c>
      <c r="X219" s="3">
        <f t="shared" si="26"/>
        <v>90978.999999999971</v>
      </c>
      <c r="Y219" s="3">
        <f t="shared" si="28"/>
        <v>22016.899999999998</v>
      </c>
      <c r="AA219" s="3">
        <v>11.0413197847836</v>
      </c>
    </row>
    <row r="220" spans="1:27" s="44" customFormat="1" ht="15.75" thickBot="1" x14ac:dyDescent="0.3">
      <c r="A220" s="73"/>
      <c r="B220" s="42"/>
      <c r="C220" s="67">
        <v>41336</v>
      </c>
      <c r="D220" s="44">
        <v>2.6</v>
      </c>
      <c r="E220" s="44">
        <v>1.2</v>
      </c>
      <c r="F220" s="44">
        <v>4.3</v>
      </c>
      <c r="G220" s="44">
        <f t="shared" si="23"/>
        <v>1545.8000000000002</v>
      </c>
      <c r="H220" s="44">
        <f t="shared" si="27"/>
        <v>221.39999999999998</v>
      </c>
      <c r="J220" s="44">
        <v>0</v>
      </c>
      <c r="K220" s="44">
        <f t="shared" si="24"/>
        <v>517.49999999999977</v>
      </c>
      <c r="L220" s="44">
        <v>0.9</v>
      </c>
      <c r="M220" s="44">
        <f t="shared" si="25"/>
        <v>187.29999999999995</v>
      </c>
      <c r="N220" s="44">
        <v>-0.9</v>
      </c>
      <c r="O220" s="44">
        <f t="shared" si="30"/>
        <v>180.9</v>
      </c>
      <c r="P220" s="44">
        <v>180</v>
      </c>
      <c r="Q220" s="44">
        <v>1</v>
      </c>
      <c r="R220" s="46">
        <f t="shared" si="21"/>
        <v>0.9</v>
      </c>
      <c r="S220" s="46">
        <f t="shared" si="22"/>
        <v>-0.9</v>
      </c>
      <c r="T220" s="46">
        <f t="shared" si="29"/>
        <v>180.9</v>
      </c>
      <c r="V220" s="44">
        <v>673.7</v>
      </c>
      <c r="W220" s="44">
        <f>(Y220/100)/I184</f>
        <v>1.0248690153568201</v>
      </c>
      <c r="X220" s="44">
        <f t="shared" si="26"/>
        <v>91652.699999999968</v>
      </c>
      <c r="Y220" s="44">
        <f t="shared" si="28"/>
        <v>22690.6</v>
      </c>
      <c r="AA220" s="44">
        <v>11.0992736100799</v>
      </c>
    </row>
    <row r="221" spans="1:27" s="3" customFormat="1" ht="15" customHeight="1" x14ac:dyDescent="0.25">
      <c r="A221" s="75" t="s">
        <v>23</v>
      </c>
      <c r="B221" s="8"/>
      <c r="C221" s="18">
        <v>41337</v>
      </c>
      <c r="D221" s="3">
        <v>5.8</v>
      </c>
      <c r="E221" s="3">
        <v>0.2</v>
      </c>
      <c r="F221" s="3">
        <v>9.6</v>
      </c>
      <c r="G221" s="3">
        <f t="shared" si="23"/>
        <v>1551.6000000000001</v>
      </c>
      <c r="H221" s="3">
        <v>5.8</v>
      </c>
      <c r="I221" s="19" t="s">
        <v>2</v>
      </c>
      <c r="J221" s="3">
        <v>0</v>
      </c>
      <c r="K221" s="3">
        <f t="shared" si="24"/>
        <v>517.49999999999977</v>
      </c>
      <c r="L221" s="3">
        <v>1.5</v>
      </c>
      <c r="M221" s="3">
        <f t="shared" si="25"/>
        <v>188.79999999999995</v>
      </c>
      <c r="N221" s="3">
        <v>-1.5</v>
      </c>
      <c r="O221" s="3">
        <f t="shared" si="30"/>
        <v>179.4</v>
      </c>
      <c r="P221" s="3">
        <v>181</v>
      </c>
      <c r="Q221" s="20">
        <f>1+((P221-180)/26)*(1.15-1)</f>
        <v>1.0057692307692307</v>
      </c>
      <c r="R221" s="7">
        <f t="shared" si="21"/>
        <v>1.5086538461538461</v>
      </c>
      <c r="S221" s="7">
        <f t="shared" si="22"/>
        <v>-1.5086538461538461</v>
      </c>
      <c r="T221" s="7">
        <f t="shared" si="29"/>
        <v>179.39134615384617</v>
      </c>
      <c r="U221" s="19" t="s">
        <v>6</v>
      </c>
      <c r="V221" s="3">
        <v>1366.8</v>
      </c>
      <c r="X221" s="3">
        <f t="shared" si="26"/>
        <v>93019.499999999971</v>
      </c>
      <c r="Y221" s="3">
        <v>1366.8</v>
      </c>
      <c r="Z221" s="19" t="s">
        <v>4</v>
      </c>
      <c r="AA221" s="3">
        <v>11.157342193318399</v>
      </c>
    </row>
    <row r="222" spans="1:27" s="3" customFormat="1" x14ac:dyDescent="0.25">
      <c r="A222" s="75"/>
      <c r="B222" s="8"/>
      <c r="C222" s="18">
        <v>41338</v>
      </c>
      <c r="D222" s="3">
        <v>10.3</v>
      </c>
      <c r="E222" s="3">
        <v>6.1</v>
      </c>
      <c r="F222" s="3">
        <v>15.2</v>
      </c>
      <c r="G222" s="3">
        <f t="shared" si="23"/>
        <v>1561.9</v>
      </c>
      <c r="H222" s="3">
        <f t="shared" si="27"/>
        <v>16.100000000000001</v>
      </c>
      <c r="I222" s="3">
        <f>MIN(E221:E246)</f>
        <v>-2.5</v>
      </c>
      <c r="J222" s="3">
        <v>0.1</v>
      </c>
      <c r="K222" s="3">
        <f t="shared" si="24"/>
        <v>517.5999999999998</v>
      </c>
      <c r="L222" s="3">
        <v>2.2000000000000002</v>
      </c>
      <c r="M222" s="3">
        <f t="shared" si="25"/>
        <v>190.99999999999994</v>
      </c>
      <c r="N222" s="3">
        <v>-2.1</v>
      </c>
      <c r="O222" s="3">
        <f t="shared" si="30"/>
        <v>177.3</v>
      </c>
      <c r="P222" s="3">
        <v>182</v>
      </c>
      <c r="Q222" s="20">
        <f t="shared" ref="Q222:Q246" si="31">1+((P222-180)/26)*(1.15-1)</f>
        <v>1.0115384615384615</v>
      </c>
      <c r="R222" s="7">
        <f t="shared" si="21"/>
        <v>2.2253846153846153</v>
      </c>
      <c r="S222" s="7">
        <f t="shared" si="22"/>
        <v>-2.1253846153846152</v>
      </c>
      <c r="T222" s="7">
        <f t="shared" si="29"/>
        <v>177.26596153846157</v>
      </c>
      <c r="U222" s="3">
        <v>0</v>
      </c>
      <c r="V222" s="3">
        <v>1062.3</v>
      </c>
      <c r="X222" s="3">
        <f t="shared" si="26"/>
        <v>94081.799999999974</v>
      </c>
      <c r="Y222" s="3">
        <f t="shared" si="28"/>
        <v>2429.1</v>
      </c>
      <c r="Z222" s="3">
        <v>18665.099999999999</v>
      </c>
      <c r="AA222" s="3">
        <v>11.215516337560899</v>
      </c>
    </row>
    <row r="223" spans="1:27" s="3" customFormat="1" x14ac:dyDescent="0.25">
      <c r="A223" s="75"/>
      <c r="B223" s="16" t="s">
        <v>24</v>
      </c>
      <c r="C223" s="18">
        <v>41339</v>
      </c>
      <c r="D223" s="3">
        <v>11.1</v>
      </c>
      <c r="E223" s="3">
        <v>8.4</v>
      </c>
      <c r="F223" s="3">
        <v>14</v>
      </c>
      <c r="G223" s="3">
        <f t="shared" si="23"/>
        <v>1573</v>
      </c>
      <c r="H223" s="3">
        <f t="shared" si="27"/>
        <v>27.200000000000003</v>
      </c>
      <c r="I223" s="19" t="s">
        <v>5</v>
      </c>
      <c r="J223" s="3">
        <v>1</v>
      </c>
      <c r="K223" s="3">
        <f t="shared" si="24"/>
        <v>518.5999999999998</v>
      </c>
      <c r="L223" s="3">
        <v>1.1000000000000001</v>
      </c>
      <c r="M223" s="3">
        <f t="shared" si="25"/>
        <v>192.09999999999994</v>
      </c>
      <c r="N223" s="3">
        <v>-0.10000000000000009</v>
      </c>
      <c r="O223" s="3">
        <f t="shared" si="30"/>
        <v>177.20000000000002</v>
      </c>
      <c r="P223" s="3">
        <v>183</v>
      </c>
      <c r="Q223" s="20">
        <f t="shared" si="31"/>
        <v>1.0173076923076922</v>
      </c>
      <c r="R223" s="7">
        <f t="shared" si="21"/>
        <v>1.1190384615384616</v>
      </c>
      <c r="S223" s="7">
        <f t="shared" si="22"/>
        <v>-0.11903846153846165</v>
      </c>
      <c r="T223" s="7">
        <f t="shared" si="29"/>
        <v>177.14692307692312</v>
      </c>
      <c r="U223" s="19" t="s">
        <v>9</v>
      </c>
      <c r="V223" s="3">
        <v>328.9</v>
      </c>
      <c r="X223" s="3">
        <f t="shared" si="26"/>
        <v>94410.699999999968</v>
      </c>
      <c r="Y223" s="3">
        <f t="shared" si="28"/>
        <v>2758</v>
      </c>
      <c r="Z223" s="19" t="s">
        <v>7</v>
      </c>
      <c r="AA223" s="3">
        <v>11.2737871859081</v>
      </c>
    </row>
    <row r="224" spans="1:27" s="3" customFormat="1" x14ac:dyDescent="0.25">
      <c r="A224" s="75"/>
      <c r="B224" s="8"/>
      <c r="C224" s="18">
        <v>41340</v>
      </c>
      <c r="D224" s="3">
        <v>12.1</v>
      </c>
      <c r="E224" s="3">
        <v>9.8000000000000007</v>
      </c>
      <c r="F224" s="3">
        <v>15.6</v>
      </c>
      <c r="G224" s="3">
        <f t="shared" si="23"/>
        <v>1585.1</v>
      </c>
      <c r="H224" s="3">
        <f t="shared" si="27"/>
        <v>39.300000000000004</v>
      </c>
      <c r="I224" s="3">
        <f>MAX(F221:F246)</f>
        <v>16.3</v>
      </c>
      <c r="J224" s="3">
        <v>14.4</v>
      </c>
      <c r="K224" s="3">
        <f t="shared" si="24"/>
        <v>532.99999999999977</v>
      </c>
      <c r="L224" s="3">
        <v>0.8</v>
      </c>
      <c r="M224" s="3">
        <f t="shared" si="25"/>
        <v>192.89999999999995</v>
      </c>
      <c r="N224" s="3">
        <v>13.6</v>
      </c>
      <c r="O224" s="3">
        <f t="shared" si="30"/>
        <v>190.8</v>
      </c>
      <c r="P224" s="3">
        <v>184</v>
      </c>
      <c r="Q224" s="20">
        <f t="shared" si="31"/>
        <v>1.023076923076923</v>
      </c>
      <c r="R224" s="7">
        <f t="shared" si="21"/>
        <v>0.81846153846153846</v>
      </c>
      <c r="S224" s="7">
        <f t="shared" si="22"/>
        <v>13.581538461538463</v>
      </c>
      <c r="T224" s="7">
        <f t="shared" si="29"/>
        <v>190.72846153846157</v>
      </c>
      <c r="U224" s="3">
        <v>0</v>
      </c>
      <c r="V224" s="3">
        <v>281.10000000000002</v>
      </c>
      <c r="X224" s="3">
        <f t="shared" si="26"/>
        <v>94691.799999999974</v>
      </c>
      <c r="Y224" s="3">
        <f t="shared" si="28"/>
        <v>3039.1</v>
      </c>
      <c r="Z224" s="3">
        <f>(Z222/100)/I234</f>
        <v>1.0979470588235294</v>
      </c>
      <c r="AA224" s="3">
        <v>11.332146202658601</v>
      </c>
    </row>
    <row r="225" spans="1:27" s="3" customFormat="1" x14ac:dyDescent="0.25">
      <c r="A225" s="75"/>
      <c r="B225" s="8"/>
      <c r="C225" s="18">
        <v>41341</v>
      </c>
      <c r="D225" s="3">
        <v>11.7</v>
      </c>
      <c r="E225" s="3">
        <v>9.5</v>
      </c>
      <c r="F225" s="3">
        <v>16.3</v>
      </c>
      <c r="G225" s="3">
        <f t="shared" si="23"/>
        <v>1596.8</v>
      </c>
      <c r="H225" s="3">
        <f t="shared" si="27"/>
        <v>51</v>
      </c>
      <c r="I225" s="19" t="s">
        <v>8</v>
      </c>
      <c r="J225" s="3">
        <v>0.6</v>
      </c>
      <c r="K225" s="3">
        <f t="shared" si="24"/>
        <v>533.5999999999998</v>
      </c>
      <c r="L225" s="3">
        <v>1.6</v>
      </c>
      <c r="M225" s="3">
        <f t="shared" si="25"/>
        <v>194.49999999999994</v>
      </c>
      <c r="N225" s="3">
        <v>-1</v>
      </c>
      <c r="O225" s="3">
        <f t="shared" si="30"/>
        <v>189.8</v>
      </c>
      <c r="P225" s="3">
        <v>185</v>
      </c>
      <c r="Q225" s="20">
        <f t="shared" si="31"/>
        <v>1.0288461538461537</v>
      </c>
      <c r="R225" s="7">
        <f t="shared" si="21"/>
        <v>1.6461538461538461</v>
      </c>
      <c r="S225" s="7">
        <f t="shared" si="22"/>
        <v>-1.046153846153846</v>
      </c>
      <c r="T225" s="7">
        <f t="shared" si="29"/>
        <v>189.68230769230772</v>
      </c>
      <c r="U225" s="19" t="s">
        <v>12</v>
      </c>
      <c r="V225" s="3">
        <v>717.5</v>
      </c>
      <c r="X225" s="3">
        <f t="shared" si="26"/>
        <v>95409.299999999974</v>
      </c>
      <c r="Y225" s="3">
        <f t="shared" si="28"/>
        <v>3756.6</v>
      </c>
      <c r="Z225" s="19" t="s">
        <v>10</v>
      </c>
      <c r="AA225" s="3">
        <v>11.390585154468599</v>
      </c>
    </row>
    <row r="226" spans="1:27" s="3" customFormat="1" x14ac:dyDescent="0.25">
      <c r="A226" s="75"/>
      <c r="B226" s="8"/>
      <c r="C226" s="18">
        <v>41342</v>
      </c>
      <c r="D226" s="3">
        <v>9.1999999999999993</v>
      </c>
      <c r="E226" s="3">
        <v>7.3</v>
      </c>
      <c r="F226" s="3">
        <v>12.2</v>
      </c>
      <c r="G226" s="3">
        <f t="shared" si="23"/>
        <v>1606</v>
      </c>
      <c r="H226" s="3">
        <f t="shared" si="27"/>
        <v>60.2</v>
      </c>
      <c r="I226" s="7">
        <f>AVERAGE(D221:D246)</f>
        <v>6.538461538461541</v>
      </c>
      <c r="J226" s="3">
        <v>0</v>
      </c>
      <c r="K226" s="3">
        <f t="shared" si="24"/>
        <v>533.5999999999998</v>
      </c>
      <c r="L226" s="3">
        <v>0.7</v>
      </c>
      <c r="M226" s="3">
        <f t="shared" si="25"/>
        <v>195.19999999999993</v>
      </c>
      <c r="N226" s="3">
        <v>-0.7</v>
      </c>
      <c r="O226" s="3">
        <f t="shared" si="30"/>
        <v>189.10000000000002</v>
      </c>
      <c r="P226" s="3">
        <v>186</v>
      </c>
      <c r="Q226" s="20">
        <f t="shared" si="31"/>
        <v>1.0346153846153845</v>
      </c>
      <c r="R226" s="7">
        <f t="shared" si="21"/>
        <v>0.72423076923076912</v>
      </c>
      <c r="S226" s="7">
        <f t="shared" si="22"/>
        <v>-0.72423076923076912</v>
      </c>
      <c r="T226" s="7">
        <f t="shared" si="29"/>
        <v>188.95807692307696</v>
      </c>
      <c r="U226" s="7">
        <f>MIN(T221:T246)</f>
        <v>177.14692307692312</v>
      </c>
      <c r="V226" s="3">
        <v>384.9</v>
      </c>
      <c r="X226" s="3">
        <f t="shared" si="26"/>
        <v>95794.199999999968</v>
      </c>
      <c r="Y226" s="3">
        <f t="shared" si="28"/>
        <v>4141.5</v>
      </c>
      <c r="Z226" s="3">
        <v>19</v>
      </c>
      <c r="AA226" s="3">
        <v>11.4490960915339</v>
      </c>
    </row>
    <row r="227" spans="1:27" s="3" customFormat="1" x14ac:dyDescent="0.25">
      <c r="A227" s="75"/>
      <c r="B227" s="8"/>
      <c r="C227" s="18">
        <v>41343</v>
      </c>
      <c r="D227" s="3">
        <v>9</v>
      </c>
      <c r="E227" s="3">
        <v>6.3</v>
      </c>
      <c r="F227" s="3">
        <v>12.8</v>
      </c>
      <c r="G227" s="3">
        <f t="shared" si="23"/>
        <v>1615</v>
      </c>
      <c r="H227" s="3">
        <f t="shared" si="27"/>
        <v>69.2</v>
      </c>
      <c r="I227" s="19" t="s">
        <v>11</v>
      </c>
      <c r="J227" s="3">
        <v>19.899999999999999</v>
      </c>
      <c r="K227" s="3">
        <f t="shared" si="24"/>
        <v>553.49999999999977</v>
      </c>
      <c r="L227" s="3">
        <v>0.5</v>
      </c>
      <c r="M227" s="3">
        <f t="shared" si="25"/>
        <v>195.69999999999993</v>
      </c>
      <c r="N227" s="3">
        <v>19.399999999999999</v>
      </c>
      <c r="O227" s="3">
        <v>197.4</v>
      </c>
      <c r="P227" s="3">
        <v>187</v>
      </c>
      <c r="Q227" s="20">
        <f t="shared" si="31"/>
        <v>1.0403846153846155</v>
      </c>
      <c r="R227" s="7">
        <f t="shared" si="21"/>
        <v>0.52019230769230773</v>
      </c>
      <c r="S227" s="7">
        <f t="shared" si="22"/>
        <v>19.37980769230769</v>
      </c>
      <c r="T227" s="7">
        <f t="shared" si="29"/>
        <v>197.4</v>
      </c>
      <c r="U227" s="19" t="s">
        <v>14</v>
      </c>
      <c r="V227" s="3">
        <v>215.8</v>
      </c>
      <c r="X227" s="3">
        <f t="shared" si="26"/>
        <v>96009.999999999971</v>
      </c>
      <c r="Y227" s="3">
        <f t="shared" si="28"/>
        <v>4357.3</v>
      </c>
      <c r="AA227" s="3">
        <v>11.507671328814601</v>
      </c>
    </row>
    <row r="228" spans="1:27" s="3" customFormat="1" x14ac:dyDescent="0.25">
      <c r="A228" s="75"/>
      <c r="B228" s="8"/>
      <c r="C228" s="18">
        <v>41344</v>
      </c>
      <c r="D228" s="3">
        <v>5.4</v>
      </c>
      <c r="E228" s="3">
        <v>1.4</v>
      </c>
      <c r="F228" s="3">
        <v>9.5</v>
      </c>
      <c r="G228" s="3">
        <f t="shared" si="23"/>
        <v>1620.4</v>
      </c>
      <c r="H228" s="3">
        <f t="shared" si="27"/>
        <v>74.600000000000009</v>
      </c>
      <c r="I228" s="3">
        <v>5</v>
      </c>
      <c r="J228" s="3">
        <v>2.5</v>
      </c>
      <c r="K228" s="3">
        <f t="shared" si="24"/>
        <v>555.99999999999977</v>
      </c>
      <c r="L228" s="3">
        <v>0.2</v>
      </c>
      <c r="M228" s="3">
        <f t="shared" si="25"/>
        <v>195.89999999999992</v>
      </c>
      <c r="N228" s="3">
        <v>2.2999999999999998</v>
      </c>
      <c r="O228" s="3">
        <v>197.4</v>
      </c>
      <c r="P228" s="3">
        <v>188</v>
      </c>
      <c r="Q228" s="20">
        <f t="shared" si="31"/>
        <v>1.0461538461538462</v>
      </c>
      <c r="R228" s="7">
        <f t="shared" si="21"/>
        <v>0.20923076923076925</v>
      </c>
      <c r="S228" s="7">
        <f t="shared" si="22"/>
        <v>2.2907692307692309</v>
      </c>
      <c r="T228" s="7">
        <f t="shared" si="29"/>
        <v>197.4</v>
      </c>
      <c r="U228" s="7">
        <f>MAX(T221:T246)</f>
        <v>197.4</v>
      </c>
      <c r="V228" s="3">
        <v>193.6</v>
      </c>
      <c r="X228" s="3">
        <f t="shared" si="26"/>
        <v>96203.599999999977</v>
      </c>
      <c r="Y228" s="3">
        <f t="shared" si="28"/>
        <v>4550.9000000000005</v>
      </c>
      <c r="AA228" s="3">
        <v>11.5663034273196</v>
      </c>
    </row>
    <row r="229" spans="1:27" s="3" customFormat="1" x14ac:dyDescent="0.25">
      <c r="A229" s="75"/>
      <c r="B229" s="8"/>
      <c r="C229" s="18">
        <v>41345</v>
      </c>
      <c r="D229" s="3">
        <v>0</v>
      </c>
      <c r="E229" s="3">
        <v>-1.2</v>
      </c>
      <c r="F229" s="3">
        <v>0.7</v>
      </c>
      <c r="G229" s="3">
        <f t="shared" si="23"/>
        <v>1620.4</v>
      </c>
      <c r="H229" s="3">
        <f t="shared" si="27"/>
        <v>74.600000000000009</v>
      </c>
      <c r="I229" s="19" t="s">
        <v>13</v>
      </c>
      <c r="J229" s="3">
        <v>0.8</v>
      </c>
      <c r="K229" s="3">
        <f t="shared" si="24"/>
        <v>556.79999999999973</v>
      </c>
      <c r="L229" s="3">
        <v>0.6</v>
      </c>
      <c r="M229" s="3">
        <f t="shared" si="25"/>
        <v>196.49999999999991</v>
      </c>
      <c r="N229" s="3">
        <v>0.20000000000000007</v>
      </c>
      <c r="O229" s="3">
        <v>197.4</v>
      </c>
      <c r="P229" s="3">
        <v>189</v>
      </c>
      <c r="Q229" s="20">
        <f t="shared" si="31"/>
        <v>1.051923076923077</v>
      </c>
      <c r="R229" s="7">
        <f t="shared" si="21"/>
        <v>0.63115384615384618</v>
      </c>
      <c r="S229" s="7">
        <f t="shared" si="22"/>
        <v>0.16884615384615387</v>
      </c>
      <c r="T229" s="7">
        <f t="shared" si="29"/>
        <v>197.4</v>
      </c>
      <c r="U229" s="19" t="s">
        <v>16</v>
      </c>
      <c r="V229" s="3">
        <v>387.7</v>
      </c>
      <c r="X229" s="3">
        <f t="shared" si="26"/>
        <v>96591.299999999974</v>
      </c>
      <c r="Y229" s="3">
        <f t="shared" si="28"/>
        <v>4938.6000000000004</v>
      </c>
      <c r="AA229" s="3">
        <v>11.6249851754635</v>
      </c>
    </row>
    <row r="230" spans="1:27" s="3" customFormat="1" x14ac:dyDescent="0.25">
      <c r="A230" s="75"/>
      <c r="B230" s="16" t="s">
        <v>25</v>
      </c>
      <c r="C230" s="18">
        <v>41346</v>
      </c>
      <c r="D230" s="3">
        <v>2.2000000000000002</v>
      </c>
      <c r="E230" s="3">
        <v>-0.2</v>
      </c>
      <c r="F230" s="3">
        <v>6</v>
      </c>
      <c r="G230" s="3">
        <f t="shared" si="23"/>
        <v>1622.6000000000001</v>
      </c>
      <c r="H230" s="3">
        <f t="shared" si="27"/>
        <v>76.800000000000011</v>
      </c>
      <c r="I230" s="3">
        <v>0</v>
      </c>
      <c r="J230" s="3">
        <v>0.1</v>
      </c>
      <c r="K230" s="3">
        <f t="shared" si="24"/>
        <v>556.89999999999975</v>
      </c>
      <c r="L230" s="3">
        <v>1</v>
      </c>
      <c r="M230" s="3">
        <f t="shared" si="25"/>
        <v>197.49999999999991</v>
      </c>
      <c r="N230" s="3">
        <v>-0.9</v>
      </c>
      <c r="O230" s="3">
        <f>O229+N230</f>
        <v>196.5</v>
      </c>
      <c r="P230" s="3">
        <v>190</v>
      </c>
      <c r="Q230" s="20">
        <f t="shared" si="31"/>
        <v>1.0576923076923077</v>
      </c>
      <c r="R230" s="7">
        <f t="shared" si="21"/>
        <v>1.0576923076923077</v>
      </c>
      <c r="S230" s="7">
        <f t="shared" si="22"/>
        <v>-0.95769230769230773</v>
      </c>
      <c r="T230" s="7">
        <f t="shared" si="29"/>
        <v>196.44230769230771</v>
      </c>
      <c r="U230" s="20">
        <f>AVERAGE(T221:T246)</f>
        <v>192.58314349112436</v>
      </c>
      <c r="V230" s="3">
        <v>796.4</v>
      </c>
      <c r="X230" s="3">
        <f t="shared" si="26"/>
        <v>97387.699999999968</v>
      </c>
      <c r="Y230" s="3">
        <f t="shared" si="28"/>
        <v>5735</v>
      </c>
      <c r="AA230" s="3">
        <v>11.6837095705081</v>
      </c>
    </row>
    <row r="231" spans="1:27" s="3" customFormat="1" x14ac:dyDescent="0.25">
      <c r="A231" s="75"/>
      <c r="B231" s="8"/>
      <c r="C231" s="18">
        <v>41347</v>
      </c>
      <c r="D231" s="3">
        <v>2.1</v>
      </c>
      <c r="E231" s="3">
        <v>-0.4</v>
      </c>
      <c r="F231" s="3">
        <v>7.1</v>
      </c>
      <c r="G231" s="3">
        <f t="shared" si="23"/>
        <v>1624.7</v>
      </c>
      <c r="H231" s="3">
        <f t="shared" si="27"/>
        <v>78.900000000000006</v>
      </c>
      <c r="I231" s="19" t="s">
        <v>15</v>
      </c>
      <c r="J231" s="3">
        <v>0.1</v>
      </c>
      <c r="K231" s="3">
        <f t="shared" si="24"/>
        <v>556.99999999999977</v>
      </c>
      <c r="L231" s="3">
        <v>1.4</v>
      </c>
      <c r="M231" s="3">
        <f t="shared" si="25"/>
        <v>198.89999999999992</v>
      </c>
      <c r="N231" s="3">
        <v>-1.2999999999999998</v>
      </c>
      <c r="O231" s="3">
        <f>O230+N231</f>
        <v>195.2</v>
      </c>
      <c r="P231" s="3">
        <v>191</v>
      </c>
      <c r="Q231" s="20">
        <f t="shared" si="31"/>
        <v>1.0634615384615385</v>
      </c>
      <c r="R231" s="7">
        <f t="shared" si="21"/>
        <v>1.4888461538461537</v>
      </c>
      <c r="S231" s="7">
        <f t="shared" si="22"/>
        <v>-1.3888461538461536</v>
      </c>
      <c r="T231" s="7">
        <f t="shared" si="29"/>
        <v>195.05346153846156</v>
      </c>
      <c r="V231" s="3">
        <v>1092.0999999999999</v>
      </c>
      <c r="X231" s="3">
        <f t="shared" si="26"/>
        <v>98479.799999999974</v>
      </c>
      <c r="Y231" s="3">
        <f t="shared" si="28"/>
        <v>6827.1</v>
      </c>
      <c r="AA231" s="3">
        <v>11.7424698000957</v>
      </c>
    </row>
    <row r="232" spans="1:27" s="3" customFormat="1" x14ac:dyDescent="0.25">
      <c r="A232" s="75"/>
      <c r="B232" s="8"/>
      <c r="C232" s="18">
        <v>41348</v>
      </c>
      <c r="D232" s="3">
        <v>4.2</v>
      </c>
      <c r="E232" s="3">
        <v>-2.5</v>
      </c>
      <c r="F232" s="3">
        <v>10.5</v>
      </c>
      <c r="G232" s="3">
        <f t="shared" si="23"/>
        <v>1628.9</v>
      </c>
      <c r="H232" s="3">
        <f t="shared" si="27"/>
        <v>83.100000000000009</v>
      </c>
      <c r="I232" s="3">
        <v>11</v>
      </c>
      <c r="J232" s="3">
        <v>2.8</v>
      </c>
      <c r="K232" s="3">
        <f t="shared" si="24"/>
        <v>559.79999999999973</v>
      </c>
      <c r="L232" s="3">
        <v>1.1000000000000001</v>
      </c>
      <c r="M232" s="3">
        <f t="shared" si="25"/>
        <v>199.99999999999991</v>
      </c>
      <c r="N232" s="3">
        <v>1.6999999999999997</v>
      </c>
      <c r="O232" s="3">
        <f>O231+N232</f>
        <v>196.89999999999998</v>
      </c>
      <c r="P232" s="3">
        <v>192</v>
      </c>
      <c r="Q232" s="20">
        <f t="shared" si="31"/>
        <v>1.0692307692307692</v>
      </c>
      <c r="R232" s="7">
        <f t="shared" si="21"/>
        <v>1.1761538461538463</v>
      </c>
      <c r="S232" s="7">
        <f t="shared" si="22"/>
        <v>1.6238461538461535</v>
      </c>
      <c r="T232" s="7">
        <f t="shared" si="29"/>
        <v>196.67730769230772</v>
      </c>
      <c r="U232" s="7">
        <f>(U230*100)/197.4</f>
        <v>97.559849792869485</v>
      </c>
      <c r="V232" s="3">
        <v>878.1</v>
      </c>
      <c r="X232" s="3">
        <f t="shared" si="26"/>
        <v>99357.89999999998</v>
      </c>
      <c r="Y232" s="3">
        <f t="shared" si="28"/>
        <v>7705.2000000000007</v>
      </c>
      <c r="AA232" s="3">
        <v>11.8012592238835</v>
      </c>
    </row>
    <row r="233" spans="1:27" s="3" customFormat="1" x14ac:dyDescent="0.25">
      <c r="A233" s="75"/>
      <c r="B233" s="8"/>
      <c r="C233" s="18">
        <v>41349</v>
      </c>
      <c r="D233" s="3">
        <v>6.3</v>
      </c>
      <c r="E233" s="3">
        <v>5.8</v>
      </c>
      <c r="F233" s="3">
        <v>7.9</v>
      </c>
      <c r="G233" s="3">
        <f t="shared" si="23"/>
        <v>1635.2</v>
      </c>
      <c r="H233" s="3">
        <f t="shared" si="27"/>
        <v>89.4</v>
      </c>
      <c r="I233" s="19" t="s">
        <v>17</v>
      </c>
      <c r="J233" s="3">
        <v>11.6</v>
      </c>
      <c r="K233" s="3">
        <f t="shared" si="24"/>
        <v>571.39999999999975</v>
      </c>
      <c r="L233" s="3">
        <v>0.9</v>
      </c>
      <c r="M233" s="3">
        <f t="shared" si="25"/>
        <v>200.89999999999992</v>
      </c>
      <c r="N233" s="3">
        <v>10.7</v>
      </c>
      <c r="O233" s="3">
        <v>197.4</v>
      </c>
      <c r="P233" s="3">
        <v>193</v>
      </c>
      <c r="Q233" s="20">
        <f t="shared" si="31"/>
        <v>1.075</v>
      </c>
      <c r="R233" s="7">
        <f t="shared" ref="R233:R296" si="32">Q233*L233</f>
        <v>0.96750000000000003</v>
      </c>
      <c r="S233" s="7">
        <f t="shared" ref="S233:S296" si="33">J233-R233</f>
        <v>10.6325</v>
      </c>
      <c r="T233" s="7">
        <f t="shared" si="29"/>
        <v>197.4</v>
      </c>
      <c r="V233" s="3">
        <v>363.7</v>
      </c>
      <c r="X233" s="3">
        <f t="shared" si="26"/>
        <v>99721.599999999977</v>
      </c>
      <c r="Y233" s="3">
        <f t="shared" si="28"/>
        <v>8068.9000000000005</v>
      </c>
      <c r="AA233" s="3">
        <v>11.8600713552808</v>
      </c>
    </row>
    <row r="234" spans="1:27" s="3" customFormat="1" x14ac:dyDescent="0.25">
      <c r="A234" s="75"/>
      <c r="B234" s="8"/>
      <c r="C234" s="18">
        <v>41350</v>
      </c>
      <c r="D234" s="3">
        <v>5.9</v>
      </c>
      <c r="E234" s="3">
        <v>3.8</v>
      </c>
      <c r="F234" s="3">
        <v>7.9</v>
      </c>
      <c r="G234" s="3">
        <f t="shared" si="23"/>
        <v>1641.1000000000001</v>
      </c>
      <c r="H234" s="3">
        <f t="shared" si="27"/>
        <v>95.300000000000011</v>
      </c>
      <c r="I234" s="3">
        <v>170</v>
      </c>
      <c r="J234" s="3">
        <v>3.1</v>
      </c>
      <c r="K234" s="3">
        <f t="shared" si="24"/>
        <v>574.49999999999977</v>
      </c>
      <c r="L234" s="3">
        <v>0.9</v>
      </c>
      <c r="M234" s="3">
        <f t="shared" si="25"/>
        <v>201.79999999999993</v>
      </c>
      <c r="N234" s="3">
        <v>2.2000000000000002</v>
      </c>
      <c r="O234" s="3">
        <v>197.4</v>
      </c>
      <c r="P234" s="3">
        <v>194</v>
      </c>
      <c r="Q234" s="20">
        <f t="shared" si="31"/>
        <v>1.0807692307692307</v>
      </c>
      <c r="R234" s="7">
        <f t="shared" si="32"/>
        <v>0.97269230769230763</v>
      </c>
      <c r="S234" s="7">
        <f t="shared" si="33"/>
        <v>2.1273076923076926</v>
      </c>
      <c r="T234" s="7">
        <f t="shared" si="29"/>
        <v>197.4</v>
      </c>
      <c r="U234" s="7"/>
      <c r="V234" s="3">
        <v>560.1</v>
      </c>
      <c r="X234" s="3">
        <f t="shared" si="26"/>
        <v>100281.69999999998</v>
      </c>
      <c r="Y234" s="3">
        <f t="shared" si="28"/>
        <v>8629</v>
      </c>
      <c r="AA234" s="3">
        <v>11.9188998432952</v>
      </c>
    </row>
    <row r="235" spans="1:27" s="3" customFormat="1" x14ac:dyDescent="0.25">
      <c r="A235" s="75"/>
      <c r="B235" s="8"/>
      <c r="C235" s="18">
        <v>41351</v>
      </c>
      <c r="D235" s="3">
        <v>5.5</v>
      </c>
      <c r="E235" s="3">
        <v>3.6</v>
      </c>
      <c r="F235" s="3">
        <v>8.9</v>
      </c>
      <c r="G235" s="3">
        <f t="shared" ref="G235:G298" si="34">G234+D235</f>
        <v>1646.6000000000001</v>
      </c>
      <c r="H235" s="3">
        <f t="shared" si="27"/>
        <v>100.80000000000001</v>
      </c>
      <c r="J235" s="3">
        <v>0.6</v>
      </c>
      <c r="K235" s="3">
        <f t="shared" ref="K235:K298" si="35">J235+K234</f>
        <v>575.0999999999998</v>
      </c>
      <c r="L235" s="3">
        <v>1.1000000000000001</v>
      </c>
      <c r="M235" s="3">
        <f t="shared" ref="M235:M298" si="36">M234+L235</f>
        <v>202.89999999999992</v>
      </c>
      <c r="N235" s="3">
        <v>-0.50000000000000011</v>
      </c>
      <c r="O235" s="3">
        <f>O234+N235</f>
        <v>196.9</v>
      </c>
      <c r="P235" s="3">
        <v>195</v>
      </c>
      <c r="Q235" s="20">
        <f t="shared" si="31"/>
        <v>1.0865384615384615</v>
      </c>
      <c r="R235" s="7">
        <f t="shared" si="32"/>
        <v>1.1951923076923077</v>
      </c>
      <c r="S235" s="7">
        <f t="shared" si="33"/>
        <v>-0.59519230769230769</v>
      </c>
      <c r="T235" s="7">
        <f t="shared" si="29"/>
        <v>196.80480769230769</v>
      </c>
      <c r="V235" s="3">
        <v>734.6</v>
      </c>
      <c r="X235" s="3">
        <f t="shared" ref="X235:X298" si="37">X234+V235</f>
        <v>101016.29999999999</v>
      </c>
      <c r="Y235" s="3">
        <f t="shared" si="28"/>
        <v>9363.6</v>
      </c>
      <c r="AA235" s="3">
        <v>11.9777384544863</v>
      </c>
    </row>
    <row r="236" spans="1:27" s="3" customFormat="1" x14ac:dyDescent="0.25">
      <c r="A236" s="75"/>
      <c r="B236" s="8"/>
      <c r="C236" s="18">
        <v>41352</v>
      </c>
      <c r="D236" s="3">
        <v>5.4</v>
      </c>
      <c r="E236" s="3">
        <v>1.5</v>
      </c>
      <c r="F236" s="3">
        <v>9</v>
      </c>
      <c r="G236" s="3">
        <f t="shared" si="34"/>
        <v>1652.0000000000002</v>
      </c>
      <c r="H236" s="3">
        <f t="shared" si="27"/>
        <v>106.20000000000002</v>
      </c>
      <c r="J236" s="3">
        <v>3.2</v>
      </c>
      <c r="K236" s="3">
        <f t="shared" si="35"/>
        <v>578.29999999999984</v>
      </c>
      <c r="L236" s="3">
        <v>0.9</v>
      </c>
      <c r="M236" s="3">
        <f t="shared" si="36"/>
        <v>203.79999999999993</v>
      </c>
      <c r="N236" s="3">
        <v>2.3000000000000003</v>
      </c>
      <c r="O236" s="3">
        <v>197.4</v>
      </c>
      <c r="P236" s="3">
        <v>196</v>
      </c>
      <c r="Q236" s="20">
        <f t="shared" si="31"/>
        <v>1.0923076923076922</v>
      </c>
      <c r="R236" s="7">
        <f t="shared" si="32"/>
        <v>0.98307692307692296</v>
      </c>
      <c r="S236" s="7">
        <f t="shared" si="33"/>
        <v>2.2169230769230772</v>
      </c>
      <c r="T236" s="7">
        <f t="shared" si="29"/>
        <v>197.4</v>
      </c>
      <c r="V236" s="3">
        <v>835.6</v>
      </c>
      <c r="X236" s="3">
        <f t="shared" si="37"/>
        <v>101851.9</v>
      </c>
      <c r="Y236" s="3">
        <f t="shared" si="28"/>
        <v>10199.200000000001</v>
      </c>
      <c r="AA236" s="3">
        <v>12.0365810550304</v>
      </c>
    </row>
    <row r="237" spans="1:27" s="3" customFormat="1" x14ac:dyDescent="0.25">
      <c r="A237" s="75"/>
      <c r="B237" s="16" t="s">
        <v>26</v>
      </c>
      <c r="C237" s="18">
        <v>41353</v>
      </c>
      <c r="D237" s="3">
        <v>6.9</v>
      </c>
      <c r="E237" s="3">
        <v>2.7</v>
      </c>
      <c r="F237" s="3">
        <v>10.7</v>
      </c>
      <c r="G237" s="3">
        <f t="shared" si="34"/>
        <v>1658.9000000000003</v>
      </c>
      <c r="H237" s="3">
        <f t="shared" ref="H237:H300" si="38">H236+D237</f>
        <v>113.10000000000002</v>
      </c>
      <c r="J237" s="3">
        <v>0.2</v>
      </c>
      <c r="K237" s="3">
        <f t="shared" si="35"/>
        <v>578.49999999999989</v>
      </c>
      <c r="L237" s="3">
        <v>1.4</v>
      </c>
      <c r="M237" s="3">
        <f t="shared" si="36"/>
        <v>205.19999999999993</v>
      </c>
      <c r="N237" s="3">
        <v>-1.2</v>
      </c>
      <c r="O237" s="3">
        <f>O236+N237</f>
        <v>196.20000000000002</v>
      </c>
      <c r="P237" s="3">
        <v>197</v>
      </c>
      <c r="Q237" s="20">
        <f t="shared" si="31"/>
        <v>1.098076923076923</v>
      </c>
      <c r="R237" s="7">
        <f t="shared" si="32"/>
        <v>1.537307692307692</v>
      </c>
      <c r="S237" s="7">
        <f t="shared" si="33"/>
        <v>-1.3373076923076921</v>
      </c>
      <c r="T237" s="7">
        <f t="shared" si="29"/>
        <v>196.06269230769232</v>
      </c>
      <c r="V237" s="3">
        <v>993.8</v>
      </c>
      <c r="X237" s="3">
        <f t="shared" si="37"/>
        <v>102845.7</v>
      </c>
      <c r="Y237" s="3">
        <f t="shared" ref="Y237:Y300" si="39">Y236+V237</f>
        <v>11193</v>
      </c>
      <c r="AA237" s="3">
        <v>12.095421592892601</v>
      </c>
    </row>
    <row r="238" spans="1:27" s="3" customFormat="1" x14ac:dyDescent="0.25">
      <c r="A238" s="75"/>
      <c r="B238" s="8"/>
      <c r="C238" s="18">
        <v>41354</v>
      </c>
      <c r="D238" s="3">
        <v>7.4</v>
      </c>
      <c r="E238" s="3">
        <v>5.5</v>
      </c>
      <c r="F238" s="3">
        <v>9.1</v>
      </c>
      <c r="G238" s="3">
        <f t="shared" si="34"/>
        <v>1666.3000000000004</v>
      </c>
      <c r="H238" s="3">
        <f t="shared" si="38"/>
        <v>120.50000000000003</v>
      </c>
      <c r="J238" s="3">
        <v>8.6</v>
      </c>
      <c r="K238" s="3">
        <f t="shared" si="35"/>
        <v>587.09999999999991</v>
      </c>
      <c r="L238" s="3">
        <v>0.7</v>
      </c>
      <c r="M238" s="3">
        <f t="shared" si="36"/>
        <v>205.89999999999992</v>
      </c>
      <c r="N238" s="3">
        <v>7.8999999999999995</v>
      </c>
      <c r="O238" s="3">
        <v>197.4</v>
      </c>
      <c r="P238" s="3">
        <v>198</v>
      </c>
      <c r="Q238" s="20">
        <f t="shared" si="31"/>
        <v>1.1038461538461537</v>
      </c>
      <c r="R238" s="7">
        <f t="shared" si="32"/>
        <v>0.77269230769230757</v>
      </c>
      <c r="S238" s="7">
        <f t="shared" si="33"/>
        <v>7.8273076923076923</v>
      </c>
      <c r="T238" s="7">
        <f t="shared" ref="T238:T301" si="40">MIN(197.4,T237+S238)</f>
        <v>197.4</v>
      </c>
      <c r="V238" s="3">
        <v>318.7</v>
      </c>
      <c r="X238" s="3">
        <f t="shared" si="37"/>
        <v>103164.4</v>
      </c>
      <c r="Y238" s="3">
        <f t="shared" si="39"/>
        <v>11511.7</v>
      </c>
      <c r="AA238" s="3">
        <v>12.1542540801066</v>
      </c>
    </row>
    <row r="239" spans="1:27" s="3" customFormat="1" x14ac:dyDescent="0.25">
      <c r="A239" s="75"/>
      <c r="B239" s="8"/>
      <c r="C239" s="18">
        <v>41355</v>
      </c>
      <c r="D239" s="3">
        <v>10.5</v>
      </c>
      <c r="E239" s="3">
        <v>7.1</v>
      </c>
      <c r="F239" s="3">
        <v>14.4</v>
      </c>
      <c r="G239" s="3">
        <f t="shared" si="34"/>
        <v>1676.8000000000004</v>
      </c>
      <c r="H239" s="3">
        <f t="shared" si="38"/>
        <v>131.00000000000003</v>
      </c>
      <c r="J239" s="3">
        <v>1.6</v>
      </c>
      <c r="K239" s="3">
        <f t="shared" si="35"/>
        <v>588.69999999999993</v>
      </c>
      <c r="L239" s="3">
        <v>1.7</v>
      </c>
      <c r="M239" s="3">
        <f t="shared" si="36"/>
        <v>207.59999999999991</v>
      </c>
      <c r="N239" s="3">
        <v>-9.9999999999999867E-2</v>
      </c>
      <c r="O239" s="3">
        <f t="shared" ref="O239:O256" si="41">O238+N239</f>
        <v>197.3</v>
      </c>
      <c r="P239" s="3">
        <v>199</v>
      </c>
      <c r="Q239" s="20">
        <f t="shared" si="31"/>
        <v>1.1096153846153844</v>
      </c>
      <c r="R239" s="7">
        <f t="shared" si="32"/>
        <v>1.8863461538461535</v>
      </c>
      <c r="S239" s="7">
        <f t="shared" si="33"/>
        <v>-0.28634615384615336</v>
      </c>
      <c r="T239" s="7">
        <f t="shared" si="40"/>
        <v>197.11365384615385</v>
      </c>
      <c r="V239" s="3">
        <v>854.9</v>
      </c>
      <c r="X239" s="3">
        <f t="shared" si="37"/>
        <v>104019.29999999999</v>
      </c>
      <c r="Y239" s="3">
        <f t="shared" si="39"/>
        <v>12366.6</v>
      </c>
      <c r="AA239" s="3">
        <v>12.2130725751594</v>
      </c>
    </row>
    <row r="240" spans="1:27" s="3" customFormat="1" x14ac:dyDescent="0.25">
      <c r="A240" s="75"/>
      <c r="B240" s="8"/>
      <c r="C240" s="18">
        <v>41356</v>
      </c>
      <c r="D240" s="3">
        <v>9.3000000000000007</v>
      </c>
      <c r="E240" s="3">
        <v>6.9</v>
      </c>
      <c r="F240" s="3">
        <v>11.4</v>
      </c>
      <c r="G240" s="3">
        <f t="shared" si="34"/>
        <v>1686.1000000000004</v>
      </c>
      <c r="H240" s="3">
        <f t="shared" si="38"/>
        <v>140.30000000000004</v>
      </c>
      <c r="J240" s="3">
        <v>0</v>
      </c>
      <c r="K240" s="3">
        <f t="shared" si="35"/>
        <v>588.69999999999993</v>
      </c>
      <c r="L240" s="3">
        <v>1.1000000000000001</v>
      </c>
      <c r="M240" s="3">
        <f t="shared" si="36"/>
        <v>208.6999999999999</v>
      </c>
      <c r="N240" s="3">
        <v>-1.1000000000000001</v>
      </c>
      <c r="O240" s="3">
        <f t="shared" si="41"/>
        <v>196.20000000000002</v>
      </c>
      <c r="P240" s="3">
        <v>200</v>
      </c>
      <c r="Q240" s="20">
        <f t="shared" si="31"/>
        <v>1.1153846153846154</v>
      </c>
      <c r="R240" s="7">
        <f t="shared" si="32"/>
        <v>1.226923076923077</v>
      </c>
      <c r="S240" s="7">
        <f t="shared" si="33"/>
        <v>-1.226923076923077</v>
      </c>
      <c r="T240" s="7">
        <f t="shared" si="40"/>
        <v>195.88673076923078</v>
      </c>
      <c r="V240" s="3">
        <v>904.4</v>
      </c>
      <c r="X240" s="3">
        <f t="shared" si="37"/>
        <v>104923.69999999998</v>
      </c>
      <c r="Y240" s="3">
        <f t="shared" si="39"/>
        <v>13271</v>
      </c>
      <c r="AA240" s="3">
        <v>12.2718711654767</v>
      </c>
    </row>
    <row r="241" spans="1:27" s="3" customFormat="1" x14ac:dyDescent="0.25">
      <c r="A241" s="75"/>
      <c r="B241" s="8"/>
      <c r="C241" s="18">
        <v>41357</v>
      </c>
      <c r="D241" s="3">
        <v>7.9</v>
      </c>
      <c r="E241" s="3">
        <v>5</v>
      </c>
      <c r="F241" s="3">
        <v>13</v>
      </c>
      <c r="G241" s="3">
        <f t="shared" si="34"/>
        <v>1694.0000000000005</v>
      </c>
      <c r="H241" s="3">
        <f t="shared" si="38"/>
        <v>148.20000000000005</v>
      </c>
      <c r="J241" s="3">
        <v>0</v>
      </c>
      <c r="K241" s="3">
        <f t="shared" si="35"/>
        <v>588.69999999999993</v>
      </c>
      <c r="L241" s="3">
        <v>1.9</v>
      </c>
      <c r="M241" s="3">
        <f t="shared" si="36"/>
        <v>210.59999999999991</v>
      </c>
      <c r="N241" s="3">
        <v>-1.9</v>
      </c>
      <c r="O241" s="3">
        <f t="shared" si="41"/>
        <v>194.3</v>
      </c>
      <c r="P241" s="3">
        <v>201</v>
      </c>
      <c r="Q241" s="20">
        <f t="shared" si="31"/>
        <v>1.1211538461538462</v>
      </c>
      <c r="R241" s="7">
        <f t="shared" si="32"/>
        <v>2.1301923076923077</v>
      </c>
      <c r="S241" s="7">
        <f t="shared" si="33"/>
        <v>-2.1301923076923077</v>
      </c>
      <c r="T241" s="7">
        <f t="shared" si="40"/>
        <v>193.75653846153847</v>
      </c>
      <c r="V241" s="3">
        <v>1286.5999999999999</v>
      </c>
      <c r="X241" s="3">
        <f t="shared" si="37"/>
        <v>106210.29999999999</v>
      </c>
      <c r="Y241" s="3">
        <f t="shared" si="39"/>
        <v>14557.6</v>
      </c>
      <c r="AA241" s="3">
        <v>12.3306439500082</v>
      </c>
    </row>
    <row r="242" spans="1:27" s="3" customFormat="1" x14ac:dyDescent="0.25">
      <c r="A242" s="75"/>
      <c r="B242" s="8"/>
      <c r="C242" s="18">
        <v>41358</v>
      </c>
      <c r="D242" s="3">
        <v>5.4</v>
      </c>
      <c r="E242" s="3">
        <v>4.4000000000000004</v>
      </c>
      <c r="F242" s="3">
        <v>7.1</v>
      </c>
      <c r="G242" s="3">
        <f t="shared" si="34"/>
        <v>1699.4000000000005</v>
      </c>
      <c r="H242" s="3">
        <f t="shared" si="38"/>
        <v>153.60000000000005</v>
      </c>
      <c r="J242" s="3">
        <v>0</v>
      </c>
      <c r="K242" s="3">
        <f t="shared" si="35"/>
        <v>588.69999999999993</v>
      </c>
      <c r="L242" s="3">
        <v>1</v>
      </c>
      <c r="M242" s="3">
        <f t="shared" si="36"/>
        <v>211.59999999999991</v>
      </c>
      <c r="N242" s="3">
        <v>-1</v>
      </c>
      <c r="O242" s="3">
        <f t="shared" si="41"/>
        <v>193.3</v>
      </c>
      <c r="P242" s="3">
        <v>202</v>
      </c>
      <c r="Q242" s="20">
        <f t="shared" si="31"/>
        <v>1.1269230769230769</v>
      </c>
      <c r="R242" s="7">
        <f t="shared" si="32"/>
        <v>1.1269230769230769</v>
      </c>
      <c r="S242" s="7">
        <f t="shared" si="33"/>
        <v>-1.1269230769230769</v>
      </c>
      <c r="T242" s="7">
        <f t="shared" si="40"/>
        <v>192.62961538461539</v>
      </c>
      <c r="V242" s="3">
        <v>673.6</v>
      </c>
      <c r="X242" s="3">
        <f t="shared" si="37"/>
        <v>106883.9</v>
      </c>
      <c r="Y242" s="3">
        <f t="shared" si="39"/>
        <v>15231.2</v>
      </c>
      <c r="AA242" s="3">
        <v>12.389385021906101</v>
      </c>
    </row>
    <row r="243" spans="1:27" s="3" customFormat="1" x14ac:dyDescent="0.25">
      <c r="A243" s="75"/>
      <c r="B243" s="8"/>
      <c r="C243" s="18">
        <v>41359</v>
      </c>
      <c r="D243" s="3">
        <v>5.5</v>
      </c>
      <c r="E243" s="3">
        <v>3.1</v>
      </c>
      <c r="F243" s="3">
        <v>7.4</v>
      </c>
      <c r="G243" s="3">
        <f t="shared" si="34"/>
        <v>1704.9000000000005</v>
      </c>
      <c r="H243" s="3">
        <f t="shared" si="38"/>
        <v>159.10000000000005</v>
      </c>
      <c r="J243" s="3">
        <v>0</v>
      </c>
      <c r="K243" s="3">
        <f t="shared" si="35"/>
        <v>588.69999999999993</v>
      </c>
      <c r="L243" s="3">
        <v>1</v>
      </c>
      <c r="M243" s="3">
        <f t="shared" si="36"/>
        <v>212.59999999999991</v>
      </c>
      <c r="N243" s="3">
        <v>-1</v>
      </c>
      <c r="O243" s="3">
        <f t="shared" si="41"/>
        <v>192.3</v>
      </c>
      <c r="P243" s="3">
        <v>203</v>
      </c>
      <c r="Q243" s="20">
        <f t="shared" si="31"/>
        <v>1.1326923076923077</v>
      </c>
      <c r="R243" s="7">
        <f t="shared" si="32"/>
        <v>1.1326923076923077</v>
      </c>
      <c r="S243" s="7">
        <f t="shared" si="33"/>
        <v>-1.1326923076923077</v>
      </c>
      <c r="T243" s="7">
        <f t="shared" si="40"/>
        <v>191.49692307692308</v>
      </c>
      <c r="V243" s="3">
        <v>744.7</v>
      </c>
      <c r="X243" s="3">
        <f t="shared" si="37"/>
        <v>107628.59999999999</v>
      </c>
      <c r="Y243" s="3">
        <f t="shared" si="39"/>
        <v>15975.900000000001</v>
      </c>
      <c r="AA243" s="3">
        <v>12.4480884512964</v>
      </c>
    </row>
    <row r="244" spans="1:27" s="3" customFormat="1" x14ac:dyDescent="0.25">
      <c r="A244" s="75"/>
      <c r="B244" s="16" t="s">
        <v>27</v>
      </c>
      <c r="C244" s="18">
        <v>41360</v>
      </c>
      <c r="D244" s="3">
        <v>4.5</v>
      </c>
      <c r="E244" s="3">
        <v>2.2999999999999998</v>
      </c>
      <c r="F244" s="3">
        <v>6.8</v>
      </c>
      <c r="G244" s="3">
        <f t="shared" si="34"/>
        <v>1709.4000000000005</v>
      </c>
      <c r="H244" s="3">
        <f t="shared" si="38"/>
        <v>163.60000000000005</v>
      </c>
      <c r="J244" s="3">
        <v>0</v>
      </c>
      <c r="K244" s="3">
        <f t="shared" si="35"/>
        <v>588.69999999999993</v>
      </c>
      <c r="L244" s="3">
        <v>1.1000000000000001</v>
      </c>
      <c r="M244" s="3">
        <f t="shared" si="36"/>
        <v>213.6999999999999</v>
      </c>
      <c r="N244" s="3">
        <v>-1.1000000000000001</v>
      </c>
      <c r="O244" s="3">
        <f t="shared" si="41"/>
        <v>191.20000000000002</v>
      </c>
      <c r="P244" s="3">
        <v>204</v>
      </c>
      <c r="Q244" s="20">
        <f t="shared" si="31"/>
        <v>1.1384615384615384</v>
      </c>
      <c r="R244" s="7">
        <f t="shared" si="32"/>
        <v>1.2523076923076923</v>
      </c>
      <c r="S244" s="7">
        <f t="shared" si="33"/>
        <v>-1.2523076923076923</v>
      </c>
      <c r="T244" s="7">
        <f t="shared" si="40"/>
        <v>190.2446153846154</v>
      </c>
      <c r="V244" s="3">
        <v>750.8</v>
      </c>
      <c r="W244" s="13"/>
      <c r="X244" s="3">
        <f t="shared" si="37"/>
        <v>108379.4</v>
      </c>
      <c r="Y244" s="3">
        <f t="shared" si="39"/>
        <v>16726.7</v>
      </c>
      <c r="AA244" s="3">
        <v>12.506748268137301</v>
      </c>
    </row>
    <row r="245" spans="1:27" s="3" customFormat="1" ht="15" customHeight="1" x14ac:dyDescent="0.25">
      <c r="A245" s="75"/>
      <c r="B245" s="8"/>
      <c r="C245" s="18">
        <v>41361</v>
      </c>
      <c r="D245" s="21">
        <v>3.3</v>
      </c>
      <c r="E245" s="21">
        <v>-0.1</v>
      </c>
      <c r="F245" s="3">
        <v>7.1</v>
      </c>
      <c r="G245" s="3">
        <f t="shared" si="34"/>
        <v>1712.7000000000005</v>
      </c>
      <c r="H245" s="3">
        <f t="shared" si="38"/>
        <v>166.90000000000006</v>
      </c>
      <c r="J245" s="3">
        <v>0</v>
      </c>
      <c r="K245" s="3">
        <f t="shared" si="35"/>
        <v>588.69999999999993</v>
      </c>
      <c r="L245" s="3">
        <v>1.8</v>
      </c>
      <c r="M245" s="3">
        <f t="shared" si="36"/>
        <v>215.49999999999991</v>
      </c>
      <c r="N245" s="21">
        <v>-1.8</v>
      </c>
      <c r="O245" s="3">
        <f t="shared" si="41"/>
        <v>189.4</v>
      </c>
      <c r="P245" s="3">
        <v>205</v>
      </c>
      <c r="Q245" s="20">
        <f t="shared" si="31"/>
        <v>1.1442307692307692</v>
      </c>
      <c r="R245" s="7">
        <f t="shared" si="32"/>
        <v>2.0596153846153844</v>
      </c>
      <c r="S245" s="7">
        <f t="shared" si="33"/>
        <v>-2.0596153846153844</v>
      </c>
      <c r="T245" s="7">
        <f t="shared" si="40"/>
        <v>188.185</v>
      </c>
      <c r="V245" s="3">
        <v>1380</v>
      </c>
      <c r="X245" s="3">
        <f t="shared" si="37"/>
        <v>109759.4</v>
      </c>
      <c r="Y245" s="3">
        <f t="shared" si="39"/>
        <v>18106.7</v>
      </c>
      <c r="AA245" s="3">
        <v>12.565358445162101</v>
      </c>
    </row>
    <row r="246" spans="1:27" s="44" customFormat="1" ht="15.75" thickBot="1" x14ac:dyDescent="0.3">
      <c r="A246" s="76"/>
      <c r="B246" s="42"/>
      <c r="C246" s="43">
        <v>41362</v>
      </c>
      <c r="D246" s="44">
        <v>3.1</v>
      </c>
      <c r="E246" s="44">
        <v>1.2</v>
      </c>
      <c r="F246" s="44">
        <v>4.9000000000000004</v>
      </c>
      <c r="G246" s="44">
        <f t="shared" si="34"/>
        <v>1715.8000000000004</v>
      </c>
      <c r="H246" s="44">
        <f t="shared" si="38"/>
        <v>170.00000000000006</v>
      </c>
      <c r="J246" s="44">
        <v>4.8</v>
      </c>
      <c r="K246" s="44">
        <f t="shared" si="35"/>
        <v>593.49999999999989</v>
      </c>
      <c r="L246" s="44">
        <v>1</v>
      </c>
      <c r="M246" s="44">
        <f t="shared" si="36"/>
        <v>216.49999999999991</v>
      </c>
      <c r="N246" s="44">
        <v>3.8</v>
      </c>
      <c r="O246" s="44">
        <f t="shared" si="41"/>
        <v>193.20000000000002</v>
      </c>
      <c r="P246" s="44">
        <v>206</v>
      </c>
      <c r="Q246" s="20">
        <f t="shared" si="31"/>
        <v>1.1499999999999999</v>
      </c>
      <c r="R246" s="46">
        <f t="shared" si="32"/>
        <v>1.1499999999999999</v>
      </c>
      <c r="S246" s="46">
        <f t="shared" si="33"/>
        <v>3.65</v>
      </c>
      <c r="T246" s="46">
        <f t="shared" si="40"/>
        <v>191.83500000000001</v>
      </c>
      <c r="V246" s="44">
        <v>558.4</v>
      </c>
      <c r="X246" s="44">
        <f t="shared" si="37"/>
        <v>110317.79999999999</v>
      </c>
      <c r="Y246" s="44">
        <f t="shared" si="39"/>
        <v>18665.100000000002</v>
      </c>
      <c r="AA246" s="44">
        <v>12.6239128809042</v>
      </c>
    </row>
    <row r="247" spans="1:27" s="50" customFormat="1" x14ac:dyDescent="0.25">
      <c r="A247" s="47" t="s">
        <v>28</v>
      </c>
      <c r="B247" s="48"/>
      <c r="C247" s="49">
        <v>41363</v>
      </c>
      <c r="D247" s="50">
        <v>2.8</v>
      </c>
      <c r="E247" s="50">
        <v>2.2999999999999998</v>
      </c>
      <c r="F247" s="50">
        <v>4.7</v>
      </c>
      <c r="G247" s="50">
        <f t="shared" si="34"/>
        <v>1718.6000000000004</v>
      </c>
      <c r="H247" s="50">
        <f>D247</f>
        <v>2.8</v>
      </c>
      <c r="I247" s="25" t="s">
        <v>2</v>
      </c>
      <c r="J247" s="50">
        <v>0.2</v>
      </c>
      <c r="K247" s="50">
        <f t="shared" si="35"/>
        <v>593.69999999999993</v>
      </c>
      <c r="L247" s="50">
        <v>1.1000000000000001</v>
      </c>
      <c r="M247" s="50">
        <f t="shared" si="36"/>
        <v>217.59999999999991</v>
      </c>
      <c r="N247" s="50">
        <v>-0.90000000000000013</v>
      </c>
      <c r="O247" s="50">
        <f t="shared" si="41"/>
        <v>192.3</v>
      </c>
      <c r="P247" s="50">
        <v>207</v>
      </c>
      <c r="Q247" s="51">
        <v>1.1499999999999999</v>
      </c>
      <c r="R247" s="52">
        <f t="shared" si="32"/>
        <v>1.2649999999999999</v>
      </c>
      <c r="S247" s="52">
        <f t="shared" si="33"/>
        <v>-1.0649999999999999</v>
      </c>
      <c r="T247" s="52">
        <f t="shared" si="40"/>
        <v>190.77</v>
      </c>
      <c r="U247" s="25" t="s">
        <v>6</v>
      </c>
      <c r="V247" s="50">
        <v>712.9</v>
      </c>
      <c r="X247" s="50">
        <f t="shared" si="37"/>
        <v>111030.69999999998</v>
      </c>
      <c r="Y247" s="50">
        <f>V247</f>
        <v>712.9</v>
      </c>
      <c r="Z247" s="25" t="s">
        <v>4</v>
      </c>
      <c r="AA247" s="50">
        <v>12.6824053828018</v>
      </c>
    </row>
    <row r="248" spans="1:27" s="3" customFormat="1" x14ac:dyDescent="0.25">
      <c r="A248" s="26"/>
      <c r="B248" s="4"/>
      <c r="C248" s="24">
        <v>41364</v>
      </c>
      <c r="D248" s="3">
        <v>3.1</v>
      </c>
      <c r="E248" s="3">
        <v>-1.2</v>
      </c>
      <c r="F248" s="3">
        <v>6.5</v>
      </c>
      <c r="G248" s="3">
        <f t="shared" si="34"/>
        <v>1721.7000000000003</v>
      </c>
      <c r="H248" s="50">
        <f t="shared" si="38"/>
        <v>5.9</v>
      </c>
      <c r="I248" s="3">
        <f>MIN(E247:E267)</f>
        <v>-1.2</v>
      </c>
      <c r="J248" s="3">
        <v>0</v>
      </c>
      <c r="K248" s="3">
        <f t="shared" si="35"/>
        <v>593.69999999999993</v>
      </c>
      <c r="L248" s="3">
        <v>1.4</v>
      </c>
      <c r="M248" s="3">
        <f t="shared" si="36"/>
        <v>218.99999999999991</v>
      </c>
      <c r="N248" s="3">
        <v>-1.4</v>
      </c>
      <c r="O248" s="3">
        <f t="shared" si="41"/>
        <v>190.9</v>
      </c>
      <c r="P248" s="3">
        <v>208</v>
      </c>
      <c r="Q248" s="3">
        <v>1.1499999999999999</v>
      </c>
      <c r="R248" s="7">
        <f t="shared" si="32"/>
        <v>1.6099999999999999</v>
      </c>
      <c r="S248" s="7">
        <f t="shared" si="33"/>
        <v>-1.6099999999999999</v>
      </c>
      <c r="T248" s="7">
        <f t="shared" si="40"/>
        <v>189.16</v>
      </c>
      <c r="U248" s="3">
        <v>0</v>
      </c>
      <c r="V248" s="3">
        <v>1323.9</v>
      </c>
      <c r="X248" s="3">
        <f t="shared" si="37"/>
        <v>112354.59999999998</v>
      </c>
      <c r="Y248" s="50">
        <f t="shared" si="39"/>
        <v>2036.8000000000002</v>
      </c>
      <c r="Z248" s="3">
        <v>25184.3</v>
      </c>
      <c r="AA248" s="3">
        <v>12.7408296503808</v>
      </c>
    </row>
    <row r="249" spans="1:27" s="3" customFormat="1" x14ac:dyDescent="0.25">
      <c r="A249" s="26"/>
      <c r="B249" s="4"/>
      <c r="C249" s="24">
        <v>41365</v>
      </c>
      <c r="D249" s="3">
        <v>4.5</v>
      </c>
      <c r="E249" s="3">
        <v>-0.2</v>
      </c>
      <c r="F249" s="3">
        <v>8.1</v>
      </c>
      <c r="G249" s="3">
        <f t="shared" si="34"/>
        <v>1726.2000000000003</v>
      </c>
      <c r="H249" s="50">
        <f t="shared" si="38"/>
        <v>10.4</v>
      </c>
      <c r="I249" s="25" t="s">
        <v>5</v>
      </c>
      <c r="J249" s="3">
        <v>0</v>
      </c>
      <c r="K249" s="3">
        <f t="shared" si="35"/>
        <v>593.69999999999993</v>
      </c>
      <c r="L249" s="3">
        <v>2.2999999999999998</v>
      </c>
      <c r="M249" s="3">
        <f t="shared" si="36"/>
        <v>221.29999999999993</v>
      </c>
      <c r="N249" s="3">
        <v>-2.2999999999999998</v>
      </c>
      <c r="O249" s="3">
        <f t="shared" si="41"/>
        <v>188.6</v>
      </c>
      <c r="P249" s="3">
        <v>209</v>
      </c>
      <c r="Q249" s="3">
        <v>1.1499999999999999</v>
      </c>
      <c r="R249" s="7">
        <f t="shared" si="32"/>
        <v>2.6449999999999996</v>
      </c>
      <c r="S249" s="7">
        <f t="shared" si="33"/>
        <v>-2.6449999999999996</v>
      </c>
      <c r="T249" s="7">
        <f t="shared" si="40"/>
        <v>186.51499999999999</v>
      </c>
      <c r="U249" s="25" t="s">
        <v>9</v>
      </c>
      <c r="V249" s="3">
        <v>1901.3</v>
      </c>
      <c r="X249" s="3">
        <f t="shared" si="37"/>
        <v>114255.89999999998</v>
      </c>
      <c r="Y249" s="50">
        <f t="shared" si="39"/>
        <v>3938.1000000000004</v>
      </c>
      <c r="Z249" s="25" t="s">
        <v>7</v>
      </c>
      <c r="AA249" s="3">
        <v>12.7991792585143</v>
      </c>
    </row>
    <row r="250" spans="1:27" s="3" customFormat="1" x14ac:dyDescent="0.25">
      <c r="A250" s="26"/>
      <c r="B250" s="4"/>
      <c r="C250" s="24">
        <v>41366</v>
      </c>
      <c r="D250" s="3">
        <v>4.8</v>
      </c>
      <c r="E250" s="3">
        <v>0.2</v>
      </c>
      <c r="F250" s="3">
        <v>10.3</v>
      </c>
      <c r="G250" s="3">
        <f t="shared" si="34"/>
        <v>1731.0000000000002</v>
      </c>
      <c r="H250" s="50">
        <f t="shared" si="38"/>
        <v>15.2</v>
      </c>
      <c r="I250" s="3">
        <f>MAX(F247:F267)</f>
        <v>22.8</v>
      </c>
      <c r="J250" s="3">
        <v>0</v>
      </c>
      <c r="K250" s="3">
        <f t="shared" si="35"/>
        <v>593.69999999999993</v>
      </c>
      <c r="L250" s="3">
        <v>1.9</v>
      </c>
      <c r="M250" s="3">
        <f t="shared" si="36"/>
        <v>223.19999999999993</v>
      </c>
      <c r="N250" s="3">
        <v>-1.9</v>
      </c>
      <c r="O250" s="3">
        <f t="shared" si="41"/>
        <v>186.7</v>
      </c>
      <c r="P250" s="3">
        <v>210</v>
      </c>
      <c r="Q250" s="3">
        <v>1.1499999999999999</v>
      </c>
      <c r="R250" s="7">
        <f t="shared" si="32"/>
        <v>2.1849999999999996</v>
      </c>
      <c r="S250" s="7">
        <f t="shared" si="33"/>
        <v>-2.1849999999999996</v>
      </c>
      <c r="T250" s="7">
        <f t="shared" si="40"/>
        <v>184.32999999999998</v>
      </c>
      <c r="U250" s="3">
        <v>0</v>
      </c>
      <c r="V250" s="3">
        <v>1345.4</v>
      </c>
      <c r="X250" s="3">
        <f t="shared" si="37"/>
        <v>115601.29999999997</v>
      </c>
      <c r="Y250" s="50">
        <f t="shared" si="39"/>
        <v>5283.5</v>
      </c>
      <c r="Z250" s="3">
        <f>(Z248/100)/I260</f>
        <v>1.4616540917005223</v>
      </c>
      <c r="AA250" s="3">
        <v>12.8574476407617</v>
      </c>
    </row>
    <row r="251" spans="1:27" s="3" customFormat="1" x14ac:dyDescent="0.25">
      <c r="A251" s="26"/>
      <c r="B251" s="4"/>
      <c r="C251" s="24">
        <v>41367</v>
      </c>
      <c r="D251" s="3">
        <v>3.9</v>
      </c>
      <c r="E251" s="3">
        <v>-0.3</v>
      </c>
      <c r="F251" s="3">
        <v>9.5</v>
      </c>
      <c r="G251" s="3">
        <f t="shared" si="34"/>
        <v>1734.9000000000003</v>
      </c>
      <c r="H251" s="50">
        <f t="shared" si="38"/>
        <v>19.099999999999998</v>
      </c>
      <c r="I251" s="25" t="s">
        <v>8</v>
      </c>
      <c r="J251" s="3">
        <v>0</v>
      </c>
      <c r="K251" s="3">
        <f t="shared" si="35"/>
        <v>593.69999999999993</v>
      </c>
      <c r="L251" s="3">
        <v>2.7</v>
      </c>
      <c r="M251" s="3">
        <f t="shared" si="36"/>
        <v>225.89999999999992</v>
      </c>
      <c r="N251" s="3">
        <v>-2.7</v>
      </c>
      <c r="O251" s="3">
        <f t="shared" si="41"/>
        <v>184</v>
      </c>
      <c r="P251" s="3">
        <v>211</v>
      </c>
      <c r="Q251" s="3">
        <v>1.1499999999999999</v>
      </c>
      <c r="R251" s="7">
        <f t="shared" si="32"/>
        <v>3.105</v>
      </c>
      <c r="S251" s="7">
        <f t="shared" si="33"/>
        <v>-3.105</v>
      </c>
      <c r="T251" s="7">
        <f t="shared" si="40"/>
        <v>181.22499999999999</v>
      </c>
      <c r="U251" s="25" t="s">
        <v>12</v>
      </c>
      <c r="V251" s="3">
        <v>1868.2</v>
      </c>
      <c r="X251" s="3">
        <f t="shared" si="37"/>
        <v>117469.49999999997</v>
      </c>
      <c r="Y251" s="50">
        <f t="shared" si="39"/>
        <v>7151.7</v>
      </c>
      <c r="Z251" s="25" t="s">
        <v>10</v>
      </c>
      <c r="AA251" s="3">
        <v>12.915628072785401</v>
      </c>
    </row>
    <row r="252" spans="1:27" s="3" customFormat="1" x14ac:dyDescent="0.25">
      <c r="A252" s="26"/>
      <c r="B252" s="4"/>
      <c r="C252" s="24">
        <v>41368</v>
      </c>
      <c r="D252" s="3">
        <v>3.2</v>
      </c>
      <c r="E252" s="3">
        <v>0.3</v>
      </c>
      <c r="F252" s="3">
        <v>7.6</v>
      </c>
      <c r="G252" s="3">
        <f t="shared" si="34"/>
        <v>1738.1000000000004</v>
      </c>
      <c r="H252" s="50">
        <f t="shared" si="38"/>
        <v>22.299999999999997</v>
      </c>
      <c r="I252" s="7">
        <f>AVERAGE(D247:D267)</f>
        <v>8.2047619047619058</v>
      </c>
      <c r="J252" s="3">
        <v>2.8</v>
      </c>
      <c r="K252" s="3">
        <f t="shared" si="35"/>
        <v>596.49999999999989</v>
      </c>
      <c r="L252" s="3">
        <v>1.6</v>
      </c>
      <c r="M252" s="3">
        <f t="shared" si="36"/>
        <v>227.49999999999991</v>
      </c>
      <c r="N252" s="3">
        <v>1.1999999999999997</v>
      </c>
      <c r="O252" s="3">
        <f t="shared" si="41"/>
        <v>185.2</v>
      </c>
      <c r="P252" s="3">
        <v>212</v>
      </c>
      <c r="Q252" s="3">
        <v>1.1499999999999999</v>
      </c>
      <c r="R252" s="7">
        <f t="shared" si="32"/>
        <v>1.8399999999999999</v>
      </c>
      <c r="S252" s="7">
        <f t="shared" si="33"/>
        <v>0.96</v>
      </c>
      <c r="T252" s="7">
        <f t="shared" si="40"/>
        <v>182.185</v>
      </c>
      <c r="U252" s="7">
        <f>MIN(T247:T267)</f>
        <v>177.01499999999999</v>
      </c>
      <c r="V252" s="3">
        <v>926</v>
      </c>
      <c r="X252" s="3">
        <f t="shared" si="37"/>
        <v>118395.49999999997</v>
      </c>
      <c r="Y252" s="50">
        <f t="shared" si="39"/>
        <v>8077.7</v>
      </c>
      <c r="Z252" s="3">
        <v>8</v>
      </c>
      <c r="AA252" s="3">
        <v>12.973713655852</v>
      </c>
    </row>
    <row r="253" spans="1:27" s="3" customFormat="1" x14ac:dyDescent="0.25">
      <c r="A253" s="26"/>
      <c r="B253" s="4"/>
      <c r="C253" s="24">
        <v>41369</v>
      </c>
      <c r="D253" s="3">
        <v>3.3</v>
      </c>
      <c r="E253" s="3">
        <v>2.6</v>
      </c>
      <c r="F253" s="3">
        <v>4</v>
      </c>
      <c r="G253" s="3">
        <f t="shared" si="34"/>
        <v>1741.4000000000003</v>
      </c>
      <c r="H253" s="50">
        <f t="shared" si="38"/>
        <v>25.599999999999998</v>
      </c>
      <c r="I253" s="25" t="s">
        <v>11</v>
      </c>
      <c r="J253" s="3">
        <v>3.9</v>
      </c>
      <c r="K253" s="3">
        <f t="shared" si="35"/>
        <v>600.39999999999986</v>
      </c>
      <c r="L253" s="3">
        <v>0.6</v>
      </c>
      <c r="M253" s="3">
        <f t="shared" si="36"/>
        <v>228.09999999999991</v>
      </c>
      <c r="N253" s="3">
        <v>3.3</v>
      </c>
      <c r="O253" s="3">
        <f t="shared" si="41"/>
        <v>188.5</v>
      </c>
      <c r="P253" s="3">
        <v>213</v>
      </c>
      <c r="Q253" s="3">
        <v>1.1499999999999999</v>
      </c>
      <c r="R253" s="7">
        <f t="shared" si="32"/>
        <v>0.69</v>
      </c>
      <c r="S253" s="7">
        <f t="shared" si="33"/>
        <v>3.21</v>
      </c>
      <c r="T253" s="7">
        <f t="shared" si="40"/>
        <v>185.39500000000001</v>
      </c>
      <c r="U253" s="25" t="s">
        <v>14</v>
      </c>
      <c r="V253" s="3">
        <v>396.8</v>
      </c>
      <c r="X253" s="3">
        <f t="shared" si="37"/>
        <v>118792.29999999997</v>
      </c>
      <c r="Y253" s="50">
        <f t="shared" si="39"/>
        <v>8474.5</v>
      </c>
      <c r="AA253" s="3">
        <v>13.0316973004188</v>
      </c>
    </row>
    <row r="254" spans="1:27" s="3" customFormat="1" x14ac:dyDescent="0.25">
      <c r="A254" s="26"/>
      <c r="B254" s="4"/>
      <c r="C254" s="24">
        <v>41370</v>
      </c>
      <c r="D254" s="3">
        <v>4.7</v>
      </c>
      <c r="E254" s="3">
        <v>3</v>
      </c>
      <c r="F254" s="3">
        <v>7.6</v>
      </c>
      <c r="G254" s="3">
        <f t="shared" si="34"/>
        <v>1746.1000000000004</v>
      </c>
      <c r="H254" s="50">
        <f t="shared" si="38"/>
        <v>30.299999999999997</v>
      </c>
      <c r="I254" s="3">
        <v>3</v>
      </c>
      <c r="J254" s="3">
        <v>0</v>
      </c>
      <c r="K254" s="3">
        <f t="shared" si="35"/>
        <v>600.39999999999986</v>
      </c>
      <c r="L254" s="3">
        <v>1.4</v>
      </c>
      <c r="M254" s="3">
        <f t="shared" si="36"/>
        <v>229.49999999999991</v>
      </c>
      <c r="N254" s="3">
        <v>-1.4</v>
      </c>
      <c r="O254" s="3">
        <f t="shared" si="41"/>
        <v>187.1</v>
      </c>
      <c r="P254" s="3">
        <v>214</v>
      </c>
      <c r="Q254" s="3">
        <v>1.1499999999999999</v>
      </c>
      <c r="R254" s="7">
        <f t="shared" si="32"/>
        <v>1.6099999999999999</v>
      </c>
      <c r="S254" s="7">
        <f t="shared" si="33"/>
        <v>-1.6099999999999999</v>
      </c>
      <c r="T254" s="7">
        <f t="shared" si="40"/>
        <v>183.785</v>
      </c>
      <c r="U254" s="7">
        <f>MAX(T247:T267)</f>
        <v>197.4</v>
      </c>
      <c r="V254" s="3">
        <v>676.8</v>
      </c>
      <c r="X254" s="3">
        <f t="shared" si="37"/>
        <v>119469.09999999998</v>
      </c>
      <c r="Y254" s="50">
        <f t="shared" si="39"/>
        <v>9151.2999999999993</v>
      </c>
      <c r="AA254" s="3">
        <v>13.0895717098142</v>
      </c>
    </row>
    <row r="255" spans="1:27" s="3" customFormat="1" x14ac:dyDescent="0.25">
      <c r="A255" s="26"/>
      <c r="B255" s="4"/>
      <c r="C255" s="24">
        <v>41371</v>
      </c>
      <c r="D255" s="3">
        <v>5</v>
      </c>
      <c r="E255" s="3">
        <v>1.4</v>
      </c>
      <c r="F255" s="3">
        <v>7.5</v>
      </c>
      <c r="G255" s="3">
        <f t="shared" si="34"/>
        <v>1751.1000000000004</v>
      </c>
      <c r="H255" s="50">
        <f t="shared" si="38"/>
        <v>35.299999999999997</v>
      </c>
      <c r="I255" s="25" t="s">
        <v>13</v>
      </c>
      <c r="J255" s="3">
        <v>0.2</v>
      </c>
      <c r="K255" s="3">
        <f t="shared" si="35"/>
        <v>600.59999999999991</v>
      </c>
      <c r="L255" s="3">
        <v>1</v>
      </c>
      <c r="M255" s="3">
        <f t="shared" si="36"/>
        <v>230.49999999999991</v>
      </c>
      <c r="N255" s="3">
        <v>-0.8</v>
      </c>
      <c r="O255" s="3">
        <f t="shared" si="41"/>
        <v>186.29999999999998</v>
      </c>
      <c r="P255" s="3">
        <v>215</v>
      </c>
      <c r="Q255" s="3">
        <v>1.1499999999999999</v>
      </c>
      <c r="R255" s="7">
        <f t="shared" si="32"/>
        <v>1.1499999999999999</v>
      </c>
      <c r="S255" s="7">
        <f t="shared" si="33"/>
        <v>-0.95</v>
      </c>
      <c r="T255" s="7">
        <f t="shared" si="40"/>
        <v>182.83500000000001</v>
      </c>
      <c r="U255" s="25" t="s">
        <v>16</v>
      </c>
      <c r="V255" s="3">
        <v>694.4</v>
      </c>
      <c r="X255" s="3">
        <f t="shared" si="37"/>
        <v>120163.49999999997</v>
      </c>
      <c r="Y255" s="50">
        <f t="shared" si="39"/>
        <v>9845.6999999999989</v>
      </c>
      <c r="AA255" s="3">
        <v>13.1473293640191</v>
      </c>
    </row>
    <row r="256" spans="1:27" s="3" customFormat="1" x14ac:dyDescent="0.25">
      <c r="A256" s="26"/>
      <c r="B256" s="4"/>
      <c r="C256" s="24">
        <v>41372</v>
      </c>
      <c r="D256" s="3">
        <v>8.1999999999999993</v>
      </c>
      <c r="E256" s="3">
        <v>4.5999999999999996</v>
      </c>
      <c r="F256" s="3">
        <v>13</v>
      </c>
      <c r="G256" s="3">
        <f t="shared" si="34"/>
        <v>1759.3000000000004</v>
      </c>
      <c r="H256" s="50">
        <f t="shared" si="38"/>
        <v>43.5</v>
      </c>
      <c r="I256" s="3">
        <v>0</v>
      </c>
      <c r="J256" s="3">
        <v>8.8000000000000007</v>
      </c>
      <c r="K256" s="3">
        <f t="shared" si="35"/>
        <v>609.39999999999986</v>
      </c>
      <c r="L256" s="3">
        <v>1.9</v>
      </c>
      <c r="M256" s="3">
        <f t="shared" si="36"/>
        <v>232.39999999999992</v>
      </c>
      <c r="N256" s="3">
        <v>6.9</v>
      </c>
      <c r="O256" s="3">
        <f t="shared" si="41"/>
        <v>193.2</v>
      </c>
      <c r="P256" s="3">
        <v>216</v>
      </c>
      <c r="Q256" s="3">
        <v>1.1499999999999999</v>
      </c>
      <c r="R256" s="7">
        <f t="shared" si="32"/>
        <v>2.1849999999999996</v>
      </c>
      <c r="S256" s="7">
        <f t="shared" si="33"/>
        <v>6.6150000000000011</v>
      </c>
      <c r="T256" s="7">
        <f t="shared" si="40"/>
        <v>189.45000000000002</v>
      </c>
      <c r="U256" s="20">
        <f>AVERAGE(T247:T267)</f>
        <v>187.94071428571428</v>
      </c>
      <c r="V256" s="3">
        <v>1147.7</v>
      </c>
      <c r="X256" s="3">
        <f t="shared" si="37"/>
        <v>121311.19999999997</v>
      </c>
      <c r="Y256" s="50">
        <f t="shared" si="39"/>
        <v>10993.4</v>
      </c>
      <c r="AA256" s="3">
        <v>13.204962503558599</v>
      </c>
    </row>
    <row r="257" spans="1:27" s="3" customFormat="1" x14ac:dyDescent="0.25">
      <c r="A257" s="26"/>
      <c r="B257" s="4"/>
      <c r="C257" s="24">
        <v>41373</v>
      </c>
      <c r="D257" s="3">
        <v>9.6</v>
      </c>
      <c r="E257" s="3">
        <v>6.5</v>
      </c>
      <c r="F257" s="3">
        <v>12.4</v>
      </c>
      <c r="G257" s="3">
        <f t="shared" si="34"/>
        <v>1768.9000000000003</v>
      </c>
      <c r="H257" s="50">
        <f t="shared" si="38"/>
        <v>53.1</v>
      </c>
      <c r="I257" s="25" t="s">
        <v>15</v>
      </c>
      <c r="J257" s="3">
        <v>5.5</v>
      </c>
      <c r="K257" s="3">
        <f t="shared" si="35"/>
        <v>614.89999999999986</v>
      </c>
      <c r="L257" s="3">
        <v>1.2</v>
      </c>
      <c r="M257" s="3">
        <f t="shared" si="36"/>
        <v>233.59999999999991</v>
      </c>
      <c r="N257" s="3">
        <v>4.3</v>
      </c>
      <c r="O257" s="3">
        <v>197.4</v>
      </c>
      <c r="P257" s="3">
        <v>217</v>
      </c>
      <c r="Q257" s="3">
        <v>1.1499999999999999</v>
      </c>
      <c r="R257" s="7">
        <f t="shared" si="32"/>
        <v>1.38</v>
      </c>
      <c r="S257" s="7">
        <f t="shared" si="33"/>
        <v>4.12</v>
      </c>
      <c r="T257" s="7">
        <f t="shared" si="40"/>
        <v>193.57000000000002</v>
      </c>
      <c r="V257" s="3">
        <v>782.7</v>
      </c>
      <c r="X257" s="3">
        <f t="shared" si="37"/>
        <v>122093.89999999997</v>
      </c>
      <c r="Y257" s="50">
        <f t="shared" si="39"/>
        <v>11776.1</v>
      </c>
      <c r="AA257" s="3">
        <v>13.2624631135172</v>
      </c>
    </row>
    <row r="258" spans="1:27" s="3" customFormat="1" x14ac:dyDescent="0.25">
      <c r="A258" s="23"/>
      <c r="B258" s="4"/>
      <c r="C258" s="24">
        <v>41374</v>
      </c>
      <c r="D258" s="3">
        <v>9.6</v>
      </c>
      <c r="E258" s="3">
        <v>6</v>
      </c>
      <c r="F258" s="3">
        <v>11.8</v>
      </c>
      <c r="G258" s="3">
        <f t="shared" si="34"/>
        <v>1778.5000000000002</v>
      </c>
      <c r="H258" s="50">
        <f t="shared" si="38"/>
        <v>62.7</v>
      </c>
      <c r="I258" s="3">
        <v>8</v>
      </c>
      <c r="J258" s="3">
        <v>11.9</v>
      </c>
      <c r="K258" s="3">
        <f t="shared" si="35"/>
        <v>626.79999999999984</v>
      </c>
      <c r="L258" s="3">
        <v>0.6</v>
      </c>
      <c r="M258" s="3">
        <f t="shared" si="36"/>
        <v>234.1999999999999</v>
      </c>
      <c r="N258" s="3">
        <v>11.3</v>
      </c>
      <c r="O258" s="3">
        <v>197.4</v>
      </c>
      <c r="P258" s="3">
        <v>218</v>
      </c>
      <c r="Q258" s="3">
        <v>1.1499999999999999</v>
      </c>
      <c r="R258" s="7">
        <f t="shared" si="32"/>
        <v>0.69</v>
      </c>
      <c r="S258" s="7">
        <f t="shared" si="33"/>
        <v>11.21</v>
      </c>
      <c r="T258" s="7">
        <f t="shared" si="40"/>
        <v>197.4</v>
      </c>
      <c r="U258" s="7">
        <f>(U256*100)/197.4</f>
        <v>95.208061948183527</v>
      </c>
      <c r="V258" s="3">
        <v>479.6</v>
      </c>
      <c r="X258" s="3">
        <f t="shared" si="37"/>
        <v>122573.49999999997</v>
      </c>
      <c r="Y258" s="50">
        <f t="shared" si="39"/>
        <v>12255.7</v>
      </c>
      <c r="AA258" s="3">
        <v>13.319822907690501</v>
      </c>
    </row>
    <row r="259" spans="1:27" s="3" customFormat="1" x14ac:dyDescent="0.25">
      <c r="A259" s="26"/>
      <c r="B259" s="4"/>
      <c r="C259" s="24">
        <v>41375</v>
      </c>
      <c r="D259" s="3">
        <v>11.5</v>
      </c>
      <c r="E259" s="3">
        <v>9.5</v>
      </c>
      <c r="F259" s="3">
        <v>13</v>
      </c>
      <c r="G259" s="3">
        <f t="shared" si="34"/>
        <v>1790.0000000000002</v>
      </c>
      <c r="H259" s="50">
        <f t="shared" si="38"/>
        <v>74.2</v>
      </c>
      <c r="I259" s="25" t="s">
        <v>17</v>
      </c>
      <c r="J259" s="3">
        <v>6.7</v>
      </c>
      <c r="K259" s="3">
        <f t="shared" si="35"/>
        <v>633.49999999999989</v>
      </c>
      <c r="L259" s="3">
        <v>1.7</v>
      </c>
      <c r="M259" s="3">
        <f t="shared" si="36"/>
        <v>235.89999999999989</v>
      </c>
      <c r="N259" s="3">
        <v>5</v>
      </c>
      <c r="O259" s="3">
        <v>197.4</v>
      </c>
      <c r="P259" s="3">
        <v>219</v>
      </c>
      <c r="Q259" s="3">
        <v>1.1499999999999999</v>
      </c>
      <c r="R259" s="7">
        <f t="shared" si="32"/>
        <v>1.9549999999999998</v>
      </c>
      <c r="S259" s="7">
        <f t="shared" si="33"/>
        <v>4.7450000000000001</v>
      </c>
      <c r="T259" s="7">
        <f t="shared" si="40"/>
        <v>197.4</v>
      </c>
      <c r="V259" s="3">
        <v>1033.4000000000001</v>
      </c>
      <c r="X259" s="3">
        <f t="shared" si="37"/>
        <v>123606.89999999997</v>
      </c>
      <c r="Y259" s="50">
        <f t="shared" si="39"/>
        <v>13289.1</v>
      </c>
      <c r="AA259" s="3">
        <v>13.3770333128915</v>
      </c>
    </row>
    <row r="260" spans="1:27" s="3" customFormat="1" x14ac:dyDescent="0.25">
      <c r="A260" s="26"/>
      <c r="B260" s="4"/>
      <c r="C260" s="24">
        <v>41376</v>
      </c>
      <c r="D260" s="3">
        <v>11.3</v>
      </c>
      <c r="E260" s="3">
        <v>10.1</v>
      </c>
      <c r="F260" s="3">
        <v>14.8</v>
      </c>
      <c r="G260" s="3">
        <f t="shared" si="34"/>
        <v>1801.3000000000002</v>
      </c>
      <c r="H260" s="50">
        <f t="shared" si="38"/>
        <v>85.5</v>
      </c>
      <c r="I260" s="3">
        <v>172.3</v>
      </c>
      <c r="J260" s="3">
        <v>1.7</v>
      </c>
      <c r="K260" s="3">
        <f t="shared" si="35"/>
        <v>635.19999999999993</v>
      </c>
      <c r="L260" s="3">
        <v>2.9</v>
      </c>
      <c r="M260" s="3">
        <f t="shared" si="36"/>
        <v>238.7999999999999</v>
      </c>
      <c r="N260" s="3">
        <v>-1.2</v>
      </c>
      <c r="O260" s="3">
        <f t="shared" ref="O260:O323" si="42">O259+N260</f>
        <v>196.20000000000002</v>
      </c>
      <c r="P260" s="3">
        <v>220</v>
      </c>
      <c r="Q260" s="3">
        <v>1.1499999999999999</v>
      </c>
      <c r="R260" s="7">
        <f t="shared" si="32"/>
        <v>3.3349999999999995</v>
      </c>
      <c r="S260" s="7">
        <f t="shared" si="33"/>
        <v>-1.6349999999999996</v>
      </c>
      <c r="T260" s="7">
        <f t="shared" si="40"/>
        <v>195.76500000000001</v>
      </c>
      <c r="V260" s="3">
        <v>1334.9</v>
      </c>
      <c r="X260" s="3">
        <f t="shared" si="37"/>
        <v>124941.79999999996</v>
      </c>
      <c r="Y260" s="50">
        <f t="shared" si="39"/>
        <v>14624</v>
      </c>
      <c r="AA260" s="3">
        <v>13.4340854534294</v>
      </c>
    </row>
    <row r="261" spans="1:27" s="3" customFormat="1" x14ac:dyDescent="0.25">
      <c r="A261" s="26"/>
      <c r="B261" s="4"/>
      <c r="C261" s="24">
        <v>41377</v>
      </c>
      <c r="D261" s="3">
        <v>11</v>
      </c>
      <c r="E261" s="3">
        <v>6.5</v>
      </c>
      <c r="F261" s="3">
        <v>13.9</v>
      </c>
      <c r="G261" s="3">
        <f t="shared" si="34"/>
        <v>1812.3000000000002</v>
      </c>
      <c r="H261" s="50">
        <f t="shared" si="38"/>
        <v>96.5</v>
      </c>
      <c r="J261" s="3">
        <v>1</v>
      </c>
      <c r="K261" s="3">
        <f t="shared" si="35"/>
        <v>636.19999999999993</v>
      </c>
      <c r="L261" s="3">
        <v>0.7</v>
      </c>
      <c r="M261" s="3">
        <f t="shared" si="36"/>
        <v>239.49999999999989</v>
      </c>
      <c r="N261" s="3">
        <v>0.30000000000000004</v>
      </c>
      <c r="O261" s="3">
        <f t="shared" si="42"/>
        <v>196.50000000000003</v>
      </c>
      <c r="P261" s="3">
        <v>221</v>
      </c>
      <c r="Q261" s="3">
        <v>1.1499999999999999</v>
      </c>
      <c r="R261" s="7">
        <f t="shared" si="32"/>
        <v>0.80499999999999994</v>
      </c>
      <c r="S261" s="7">
        <f t="shared" si="33"/>
        <v>0.19500000000000006</v>
      </c>
      <c r="T261" s="7">
        <f t="shared" si="40"/>
        <v>195.96</v>
      </c>
      <c r="V261" s="3">
        <v>555.20000000000005</v>
      </c>
      <c r="X261" s="3">
        <f t="shared" si="37"/>
        <v>125496.99999999996</v>
      </c>
      <c r="Y261" s="50">
        <f t="shared" si="39"/>
        <v>15179.2</v>
      </c>
      <c r="AA261" s="3">
        <v>13.490970135784</v>
      </c>
    </row>
    <row r="262" spans="1:27" s="3" customFormat="1" x14ac:dyDescent="0.25">
      <c r="A262" s="26"/>
      <c r="B262" s="4"/>
      <c r="C262" s="24">
        <v>41378</v>
      </c>
      <c r="D262" s="3">
        <v>14.9</v>
      </c>
      <c r="E262" s="3">
        <v>10.7</v>
      </c>
      <c r="F262" s="3">
        <v>21.4</v>
      </c>
      <c r="G262" s="3">
        <f t="shared" si="34"/>
        <v>1827.2000000000003</v>
      </c>
      <c r="H262" s="50">
        <f t="shared" si="38"/>
        <v>111.4</v>
      </c>
      <c r="J262" s="3">
        <v>1.5</v>
      </c>
      <c r="K262" s="3">
        <f t="shared" si="35"/>
        <v>637.69999999999993</v>
      </c>
      <c r="L262" s="3">
        <v>4.0999999999999996</v>
      </c>
      <c r="M262" s="3">
        <f t="shared" si="36"/>
        <v>243.59999999999988</v>
      </c>
      <c r="N262" s="3">
        <v>-2.5999999999999996</v>
      </c>
      <c r="O262" s="3">
        <f t="shared" si="42"/>
        <v>193.90000000000003</v>
      </c>
      <c r="P262" s="3">
        <v>222</v>
      </c>
      <c r="Q262" s="3">
        <v>1.1499999999999999</v>
      </c>
      <c r="R262" s="7">
        <f t="shared" si="32"/>
        <v>4.714999999999999</v>
      </c>
      <c r="S262" s="7">
        <f t="shared" si="33"/>
        <v>-3.214999999999999</v>
      </c>
      <c r="T262" s="7">
        <f t="shared" si="40"/>
        <v>192.745</v>
      </c>
      <c r="V262" s="3">
        <v>2062.1999999999998</v>
      </c>
      <c r="X262" s="3">
        <f t="shared" si="37"/>
        <v>127559.19999999995</v>
      </c>
      <c r="Y262" s="50">
        <f t="shared" si="39"/>
        <v>17241.400000000001</v>
      </c>
      <c r="AA262" s="3">
        <v>13.547677833501201</v>
      </c>
    </row>
    <row r="263" spans="1:27" s="3" customFormat="1" x14ac:dyDescent="0.25">
      <c r="A263" s="26"/>
      <c r="B263" s="4"/>
      <c r="C263" s="24">
        <v>41379</v>
      </c>
      <c r="D263" s="3">
        <v>13.4</v>
      </c>
      <c r="E263" s="3">
        <v>10.9</v>
      </c>
      <c r="F263" s="3">
        <v>16.399999999999999</v>
      </c>
      <c r="G263" s="3">
        <f t="shared" si="34"/>
        <v>1840.6000000000004</v>
      </c>
      <c r="H263" s="50">
        <f t="shared" si="38"/>
        <v>124.80000000000001</v>
      </c>
      <c r="J263" s="3">
        <v>0</v>
      </c>
      <c r="K263" s="3">
        <f t="shared" si="35"/>
        <v>637.69999999999993</v>
      </c>
      <c r="L263" s="3">
        <v>3.1</v>
      </c>
      <c r="M263" s="3">
        <f t="shared" si="36"/>
        <v>246.69999999999987</v>
      </c>
      <c r="N263" s="3">
        <v>-3.1</v>
      </c>
      <c r="O263" s="3">
        <f t="shared" si="42"/>
        <v>190.80000000000004</v>
      </c>
      <c r="P263" s="3">
        <v>223</v>
      </c>
      <c r="Q263" s="3">
        <v>1.1499999999999999</v>
      </c>
      <c r="R263" s="7">
        <f t="shared" si="32"/>
        <v>3.5649999999999999</v>
      </c>
      <c r="S263" s="7">
        <f t="shared" si="33"/>
        <v>-3.5649999999999999</v>
      </c>
      <c r="T263" s="7">
        <f t="shared" si="40"/>
        <v>189.18</v>
      </c>
      <c r="V263" s="3">
        <v>1859.9</v>
      </c>
      <c r="X263" s="3">
        <f t="shared" si="37"/>
        <v>129419.09999999995</v>
      </c>
      <c r="Y263" s="50">
        <f t="shared" si="39"/>
        <v>19101.300000000003</v>
      </c>
      <c r="AA263" s="3">
        <v>13.6041986723355</v>
      </c>
    </row>
    <row r="264" spans="1:27" s="3" customFormat="1" x14ac:dyDescent="0.25">
      <c r="A264" s="26"/>
      <c r="B264" s="4"/>
      <c r="C264" s="24">
        <v>41380</v>
      </c>
      <c r="D264" s="3">
        <v>12.7</v>
      </c>
      <c r="E264" s="3">
        <v>10.7</v>
      </c>
      <c r="F264" s="3">
        <v>14.4</v>
      </c>
      <c r="G264" s="3">
        <f t="shared" si="34"/>
        <v>1853.3000000000004</v>
      </c>
      <c r="H264" s="50">
        <f t="shared" si="38"/>
        <v>137.5</v>
      </c>
      <c r="J264" s="3">
        <v>0</v>
      </c>
      <c r="K264" s="3">
        <f t="shared" si="35"/>
        <v>637.69999999999993</v>
      </c>
      <c r="L264" s="3">
        <v>1</v>
      </c>
      <c r="M264" s="3">
        <f t="shared" si="36"/>
        <v>247.69999999999987</v>
      </c>
      <c r="N264" s="3">
        <v>-1</v>
      </c>
      <c r="O264" s="3">
        <f t="shared" si="42"/>
        <v>189.80000000000004</v>
      </c>
      <c r="P264" s="3">
        <v>224</v>
      </c>
      <c r="Q264" s="3">
        <v>1.1499999999999999</v>
      </c>
      <c r="R264" s="7">
        <f t="shared" si="32"/>
        <v>1.1499999999999999</v>
      </c>
      <c r="S264" s="7">
        <f t="shared" si="33"/>
        <v>-1.1499999999999999</v>
      </c>
      <c r="T264" s="7">
        <f t="shared" si="40"/>
        <v>188.03</v>
      </c>
      <c r="V264" s="3">
        <v>586.29999999999995</v>
      </c>
      <c r="X264" s="3">
        <f t="shared" si="37"/>
        <v>130005.39999999995</v>
      </c>
      <c r="Y264" s="50">
        <f t="shared" si="39"/>
        <v>19687.600000000002</v>
      </c>
      <c r="AA264" s="3">
        <v>13.660522415674199</v>
      </c>
    </row>
    <row r="265" spans="1:27" s="3" customFormat="1" x14ac:dyDescent="0.25">
      <c r="A265" s="26"/>
      <c r="B265" s="4"/>
      <c r="C265" s="24">
        <v>41381</v>
      </c>
      <c r="D265" s="3">
        <v>15</v>
      </c>
      <c r="E265" s="3">
        <v>9.3000000000000007</v>
      </c>
      <c r="F265" s="3">
        <v>22.8</v>
      </c>
      <c r="G265" s="3">
        <f t="shared" si="34"/>
        <v>1868.3000000000004</v>
      </c>
      <c r="H265" s="50">
        <f t="shared" si="38"/>
        <v>152.5</v>
      </c>
      <c r="J265" s="3">
        <v>0</v>
      </c>
      <c r="K265" s="3">
        <f t="shared" si="35"/>
        <v>637.69999999999993</v>
      </c>
      <c r="L265" s="3">
        <v>3.8</v>
      </c>
      <c r="M265" s="3">
        <f t="shared" si="36"/>
        <v>251.49999999999989</v>
      </c>
      <c r="N265" s="21">
        <v>-3.8</v>
      </c>
      <c r="O265" s="3">
        <f t="shared" si="42"/>
        <v>186.00000000000003</v>
      </c>
      <c r="P265" s="3">
        <v>225</v>
      </c>
      <c r="Q265" s="3">
        <v>1.1499999999999999</v>
      </c>
      <c r="R265" s="7">
        <f t="shared" si="32"/>
        <v>4.3699999999999992</v>
      </c>
      <c r="S265" s="7">
        <f t="shared" si="33"/>
        <v>-4.3699999999999992</v>
      </c>
      <c r="T265" s="7">
        <f t="shared" si="40"/>
        <v>183.66</v>
      </c>
      <c r="V265" s="3">
        <v>1898.5</v>
      </c>
      <c r="W265" s="13"/>
      <c r="X265" s="3">
        <f t="shared" si="37"/>
        <v>131903.89999999997</v>
      </c>
      <c r="Y265" s="50">
        <f t="shared" si="39"/>
        <v>21586.100000000002</v>
      </c>
      <c r="AA265" s="3">
        <v>13.7166384502749</v>
      </c>
    </row>
    <row r="266" spans="1:27" s="3" customFormat="1" ht="15" customHeight="1" x14ac:dyDescent="0.25">
      <c r="A266" s="26"/>
      <c r="B266" s="4"/>
      <c r="C266" s="24">
        <v>41382</v>
      </c>
      <c r="D266" s="3">
        <v>11.3</v>
      </c>
      <c r="E266" s="3">
        <v>9.3000000000000007</v>
      </c>
      <c r="F266" s="3">
        <v>15.3</v>
      </c>
      <c r="G266" s="3">
        <f t="shared" si="34"/>
        <v>1879.6000000000004</v>
      </c>
      <c r="H266" s="50">
        <f t="shared" si="38"/>
        <v>163.80000000000001</v>
      </c>
      <c r="J266" s="3">
        <v>0.4</v>
      </c>
      <c r="K266" s="3">
        <f t="shared" si="35"/>
        <v>638.09999999999991</v>
      </c>
      <c r="L266" s="3">
        <v>3.2</v>
      </c>
      <c r="M266" s="3">
        <f t="shared" si="36"/>
        <v>254.69999999999987</v>
      </c>
      <c r="N266" s="3">
        <v>-2.8000000000000003</v>
      </c>
      <c r="O266" s="3">
        <f t="shared" si="42"/>
        <v>183.20000000000002</v>
      </c>
      <c r="P266" s="3">
        <v>226</v>
      </c>
      <c r="Q266" s="3">
        <v>1.1499999999999999</v>
      </c>
      <c r="R266" s="7">
        <f t="shared" si="32"/>
        <v>3.6799999999999997</v>
      </c>
      <c r="S266" s="7">
        <f t="shared" si="33"/>
        <v>-3.28</v>
      </c>
      <c r="T266" s="7">
        <f t="shared" si="40"/>
        <v>180.38</v>
      </c>
      <c r="U266" s="13"/>
      <c r="V266" s="3">
        <v>1740.8</v>
      </c>
      <c r="X266" s="3">
        <f t="shared" si="37"/>
        <v>133644.69999999995</v>
      </c>
      <c r="Y266" s="50">
        <f t="shared" si="39"/>
        <v>23326.9</v>
      </c>
      <c r="AA266" s="3">
        <v>13.772535772356401</v>
      </c>
    </row>
    <row r="267" spans="1:27" s="44" customFormat="1" ht="15.75" thickBot="1" x14ac:dyDescent="0.3">
      <c r="A267" s="53" t="s">
        <v>30</v>
      </c>
      <c r="B267" s="54"/>
      <c r="C267" s="55">
        <v>41383</v>
      </c>
      <c r="D267" s="44">
        <v>8.5</v>
      </c>
      <c r="E267" s="44">
        <v>4</v>
      </c>
      <c r="F267" s="44">
        <v>14.4</v>
      </c>
      <c r="G267" s="44">
        <f t="shared" si="34"/>
        <v>1888.1000000000004</v>
      </c>
      <c r="H267" s="44">
        <f t="shared" si="38"/>
        <v>172.3</v>
      </c>
      <c r="J267" s="44">
        <v>0.2</v>
      </c>
      <c r="K267" s="44">
        <f t="shared" si="35"/>
        <v>638.29999999999995</v>
      </c>
      <c r="L267" s="44">
        <v>3.1</v>
      </c>
      <c r="M267" s="44">
        <f t="shared" si="36"/>
        <v>257.7999999999999</v>
      </c>
      <c r="N267" s="44">
        <v>-2.9</v>
      </c>
      <c r="O267" s="44">
        <f t="shared" si="42"/>
        <v>180.3</v>
      </c>
      <c r="P267" s="44">
        <v>227</v>
      </c>
      <c r="Q267" s="44">
        <v>1.1499999999999999</v>
      </c>
      <c r="R267" s="46">
        <f t="shared" si="32"/>
        <v>3.5649999999999999</v>
      </c>
      <c r="S267" s="46">
        <f t="shared" si="33"/>
        <v>-3.3649999999999998</v>
      </c>
      <c r="T267" s="46">
        <f t="shared" si="40"/>
        <v>177.01499999999999</v>
      </c>
      <c r="V267" s="44">
        <v>1857.4</v>
      </c>
      <c r="X267" s="44">
        <f t="shared" si="37"/>
        <v>135502.09999999995</v>
      </c>
      <c r="Y267" s="44">
        <f t="shared" si="39"/>
        <v>25184.300000000003</v>
      </c>
      <c r="AA267" s="44">
        <v>13.828202974085199</v>
      </c>
    </row>
    <row r="268" spans="1:27" s="50" customFormat="1" x14ac:dyDescent="0.25">
      <c r="A268" s="27"/>
      <c r="B268" s="56"/>
      <c r="C268" s="57">
        <v>41384</v>
      </c>
      <c r="D268" s="50">
        <v>7.6</v>
      </c>
      <c r="E268" s="50">
        <v>2.5</v>
      </c>
      <c r="F268" s="50">
        <v>15.4</v>
      </c>
      <c r="G268" s="50">
        <f t="shared" si="34"/>
        <v>1895.7000000000003</v>
      </c>
      <c r="H268" s="50">
        <f>D268</f>
        <v>7.6</v>
      </c>
      <c r="I268" s="29" t="s">
        <v>2</v>
      </c>
      <c r="J268" s="50">
        <v>0</v>
      </c>
      <c r="K268" s="50">
        <f t="shared" si="35"/>
        <v>638.29999999999995</v>
      </c>
      <c r="L268" s="50">
        <v>3.7</v>
      </c>
      <c r="M268" s="50">
        <f t="shared" si="36"/>
        <v>261.49999999999989</v>
      </c>
      <c r="N268" s="50">
        <v>-3.7</v>
      </c>
      <c r="O268" s="50">
        <f t="shared" si="42"/>
        <v>176.60000000000002</v>
      </c>
      <c r="P268" s="50">
        <v>228</v>
      </c>
      <c r="Q268" s="50">
        <v>1.1499999999999999</v>
      </c>
      <c r="R268" s="52">
        <f t="shared" si="32"/>
        <v>4.2549999999999999</v>
      </c>
      <c r="S268" s="52">
        <f t="shared" si="33"/>
        <v>-4.2549999999999999</v>
      </c>
      <c r="T268" s="52">
        <f t="shared" si="40"/>
        <v>172.76</v>
      </c>
      <c r="U268" s="29" t="s">
        <v>6</v>
      </c>
      <c r="V268" s="50">
        <v>2402.8000000000002</v>
      </c>
      <c r="X268" s="50">
        <f t="shared" si="37"/>
        <v>137904.89999999994</v>
      </c>
      <c r="Y268" s="50">
        <f>V268</f>
        <v>2402.8000000000002</v>
      </c>
      <c r="Z268" s="29" t="s">
        <v>4</v>
      </c>
      <c r="AA268" s="50">
        <v>13.8836282305015</v>
      </c>
    </row>
    <row r="269" spans="1:27" s="3" customFormat="1" x14ac:dyDescent="0.25">
      <c r="A269" s="27"/>
      <c r="B269" s="8"/>
      <c r="C269" s="28">
        <v>41385</v>
      </c>
      <c r="D269" s="3">
        <v>7.4</v>
      </c>
      <c r="E269" s="3">
        <v>0.4</v>
      </c>
      <c r="F269" s="3">
        <v>14.2</v>
      </c>
      <c r="G269" s="3">
        <f t="shared" si="34"/>
        <v>1903.1000000000004</v>
      </c>
      <c r="H269" s="50">
        <f t="shared" si="38"/>
        <v>15</v>
      </c>
      <c r="I269" s="3">
        <f>MIN(E268:E295)</f>
        <v>0.4</v>
      </c>
      <c r="J269" s="3">
        <v>0</v>
      </c>
      <c r="K269" s="3">
        <f t="shared" si="35"/>
        <v>638.29999999999995</v>
      </c>
      <c r="L269" s="3">
        <v>3</v>
      </c>
      <c r="M269" s="3">
        <f t="shared" si="36"/>
        <v>264.49999999999989</v>
      </c>
      <c r="N269" s="3">
        <v>-3</v>
      </c>
      <c r="O269" s="3">
        <f t="shared" si="42"/>
        <v>173.60000000000002</v>
      </c>
      <c r="P269" s="3">
        <v>229</v>
      </c>
      <c r="Q269" s="3">
        <v>1.1499999999999999</v>
      </c>
      <c r="R269" s="7">
        <f t="shared" si="32"/>
        <v>3.4499999999999997</v>
      </c>
      <c r="S269" s="7">
        <f t="shared" si="33"/>
        <v>-3.4499999999999997</v>
      </c>
      <c r="T269" s="7">
        <f t="shared" si="40"/>
        <v>169.31</v>
      </c>
      <c r="U269" s="3">
        <v>0</v>
      </c>
      <c r="V269" s="3">
        <v>2072.3000000000002</v>
      </c>
      <c r="X269" s="3">
        <f t="shared" si="37"/>
        <v>139977.19999999992</v>
      </c>
      <c r="Y269" s="50">
        <f t="shared" si="39"/>
        <v>4475.1000000000004</v>
      </c>
      <c r="Z269" s="3">
        <v>41572.199999999997</v>
      </c>
      <c r="AA269" s="3">
        <v>13.938799286936201</v>
      </c>
    </row>
    <row r="270" spans="1:27" s="3" customFormat="1" x14ac:dyDescent="0.25">
      <c r="A270" s="27"/>
      <c r="B270" s="8"/>
      <c r="C270" s="28">
        <v>41386</v>
      </c>
      <c r="D270" s="3">
        <v>10.7</v>
      </c>
      <c r="E270" s="3">
        <v>5.4</v>
      </c>
      <c r="F270" s="3">
        <v>14.4</v>
      </c>
      <c r="G270" s="3">
        <f t="shared" si="34"/>
        <v>1913.8000000000004</v>
      </c>
      <c r="H270" s="50">
        <f t="shared" si="38"/>
        <v>25.7</v>
      </c>
      <c r="I270" s="29" t="s">
        <v>5</v>
      </c>
      <c r="J270" s="3">
        <v>0</v>
      </c>
      <c r="K270" s="3">
        <f t="shared" si="35"/>
        <v>638.29999999999995</v>
      </c>
      <c r="L270" s="3">
        <v>2.1</v>
      </c>
      <c r="M270" s="3">
        <f t="shared" si="36"/>
        <v>266.59999999999991</v>
      </c>
      <c r="N270" s="3">
        <v>-2.1</v>
      </c>
      <c r="O270" s="3">
        <f t="shared" si="42"/>
        <v>171.50000000000003</v>
      </c>
      <c r="P270" s="3">
        <v>230</v>
      </c>
      <c r="Q270" s="3">
        <v>1.1499999999999999</v>
      </c>
      <c r="R270" s="7">
        <f t="shared" si="32"/>
        <v>2.415</v>
      </c>
      <c r="S270" s="7">
        <f t="shared" si="33"/>
        <v>-2.415</v>
      </c>
      <c r="T270" s="7">
        <f t="shared" si="40"/>
        <v>166.89500000000001</v>
      </c>
      <c r="U270" s="29" t="s">
        <v>9</v>
      </c>
      <c r="V270" s="3">
        <v>1539.6</v>
      </c>
      <c r="X270" s="3">
        <f t="shared" si="37"/>
        <v>141516.79999999993</v>
      </c>
      <c r="Y270" s="50">
        <f t="shared" si="39"/>
        <v>6014.7000000000007</v>
      </c>
      <c r="Z270" s="29" t="s">
        <v>7</v>
      </c>
      <c r="AA270" s="3">
        <v>13.9937034469721</v>
      </c>
    </row>
    <row r="271" spans="1:27" s="3" customFormat="1" x14ac:dyDescent="0.25">
      <c r="A271" s="27"/>
      <c r="B271" s="8"/>
      <c r="C271" s="28">
        <v>41387</v>
      </c>
      <c r="D271" s="3">
        <v>12.5</v>
      </c>
      <c r="E271" s="3">
        <v>10.7</v>
      </c>
      <c r="F271" s="3">
        <v>15.8</v>
      </c>
      <c r="G271" s="3">
        <f t="shared" si="34"/>
        <v>1926.3000000000004</v>
      </c>
      <c r="H271" s="50">
        <f t="shared" si="38"/>
        <v>38.200000000000003</v>
      </c>
      <c r="I271" s="3">
        <f>MAX(F268:F295)</f>
        <v>23.6</v>
      </c>
      <c r="J271" s="3">
        <v>0</v>
      </c>
      <c r="K271" s="3">
        <f t="shared" si="35"/>
        <v>638.29999999999995</v>
      </c>
      <c r="L271" s="3">
        <v>1.5</v>
      </c>
      <c r="M271" s="3">
        <f t="shared" si="36"/>
        <v>268.09999999999991</v>
      </c>
      <c r="N271" s="3">
        <v>-1.5</v>
      </c>
      <c r="O271" s="3">
        <f t="shared" si="42"/>
        <v>170.00000000000003</v>
      </c>
      <c r="P271" s="3">
        <v>231</v>
      </c>
      <c r="Q271" s="3">
        <v>1.1499999999999999</v>
      </c>
      <c r="R271" s="7">
        <f t="shared" si="32"/>
        <v>1.7249999999999999</v>
      </c>
      <c r="S271" s="7">
        <f t="shared" si="33"/>
        <v>-1.7249999999999999</v>
      </c>
      <c r="T271" s="7">
        <f t="shared" si="40"/>
        <v>165.17000000000002</v>
      </c>
      <c r="U271" s="3">
        <v>0</v>
      </c>
      <c r="V271" s="3">
        <v>738.6</v>
      </c>
      <c r="X271" s="3">
        <f t="shared" si="37"/>
        <v>142255.39999999994</v>
      </c>
      <c r="Y271" s="50">
        <f t="shared" si="39"/>
        <v>6753.3000000000011</v>
      </c>
      <c r="Z271" s="3">
        <f>(Z269/100)/I281</f>
        <v>1.3384481648422406</v>
      </c>
      <c r="AA271" s="3">
        <v>14.0483275610059</v>
      </c>
    </row>
    <row r="272" spans="1:27" s="3" customFormat="1" x14ac:dyDescent="0.25">
      <c r="A272" s="27"/>
      <c r="B272" s="8"/>
      <c r="C272" s="28">
        <v>41388</v>
      </c>
      <c r="D272" s="3">
        <v>14</v>
      </c>
      <c r="E272" s="3">
        <v>7.1</v>
      </c>
      <c r="F272" s="3">
        <v>20.5</v>
      </c>
      <c r="G272" s="3">
        <f t="shared" si="34"/>
        <v>1940.3000000000004</v>
      </c>
      <c r="H272" s="50">
        <f t="shared" si="38"/>
        <v>52.2</v>
      </c>
      <c r="I272" s="29" t="s">
        <v>8</v>
      </c>
      <c r="J272" s="3">
        <v>0</v>
      </c>
      <c r="K272" s="3">
        <f t="shared" si="35"/>
        <v>638.29999999999995</v>
      </c>
      <c r="L272" s="3">
        <v>3.7</v>
      </c>
      <c r="M272" s="3">
        <f t="shared" si="36"/>
        <v>271.7999999999999</v>
      </c>
      <c r="N272" s="3">
        <v>-3.7</v>
      </c>
      <c r="O272" s="3">
        <f t="shared" si="42"/>
        <v>166.30000000000004</v>
      </c>
      <c r="P272" s="3">
        <v>232</v>
      </c>
      <c r="Q272" s="3">
        <v>1.1499999999999999</v>
      </c>
      <c r="R272" s="7">
        <f t="shared" si="32"/>
        <v>4.2549999999999999</v>
      </c>
      <c r="S272" s="7">
        <f t="shared" si="33"/>
        <v>-4.2549999999999999</v>
      </c>
      <c r="T272" s="7">
        <f t="shared" si="40"/>
        <v>160.91500000000002</v>
      </c>
      <c r="U272" s="29" t="s">
        <v>12</v>
      </c>
      <c r="V272" s="3">
        <v>2194.4</v>
      </c>
      <c r="X272" s="3">
        <f t="shared" si="37"/>
        <v>144449.79999999993</v>
      </c>
      <c r="Y272" s="50">
        <f t="shared" si="39"/>
        <v>8947.7000000000007</v>
      </c>
      <c r="Z272" s="29" t="s">
        <v>10</v>
      </c>
      <c r="AA272" s="3">
        <v>14.102658015474701</v>
      </c>
    </row>
    <row r="273" spans="1:27" s="3" customFormat="1" x14ac:dyDescent="0.25">
      <c r="A273" s="27"/>
      <c r="B273" s="8"/>
      <c r="C273" s="28">
        <v>41389</v>
      </c>
      <c r="D273" s="3">
        <v>15.9</v>
      </c>
      <c r="E273" s="3">
        <v>8.4</v>
      </c>
      <c r="F273" s="3">
        <v>23.6</v>
      </c>
      <c r="G273" s="3">
        <f t="shared" si="34"/>
        <v>1956.2000000000005</v>
      </c>
      <c r="H273" s="50">
        <f t="shared" si="38"/>
        <v>68.100000000000009</v>
      </c>
      <c r="I273" s="7">
        <f>AVERAGE(D268:D295)</f>
        <v>11.092857142857145</v>
      </c>
      <c r="J273" s="3">
        <v>0</v>
      </c>
      <c r="K273" s="3">
        <f t="shared" si="35"/>
        <v>638.29999999999995</v>
      </c>
      <c r="L273" s="3">
        <v>4.5999999999999996</v>
      </c>
      <c r="M273" s="3">
        <f t="shared" si="36"/>
        <v>276.39999999999992</v>
      </c>
      <c r="N273" s="3">
        <v>-4.5999999999999996</v>
      </c>
      <c r="O273" s="3">
        <f t="shared" si="42"/>
        <v>161.70000000000005</v>
      </c>
      <c r="P273" s="3">
        <v>233</v>
      </c>
      <c r="Q273" s="3">
        <v>1.1499999999999999</v>
      </c>
      <c r="R273" s="7">
        <f t="shared" si="32"/>
        <v>5.2899999999999991</v>
      </c>
      <c r="S273" s="7">
        <f t="shared" si="33"/>
        <v>-5.2899999999999991</v>
      </c>
      <c r="T273" s="7">
        <f t="shared" si="40"/>
        <v>155.62500000000003</v>
      </c>
      <c r="U273" s="7">
        <f>MIN(T268:T295)</f>
        <v>120.13500000000002</v>
      </c>
      <c r="V273" s="3">
        <v>2146.1</v>
      </c>
      <c r="X273" s="3">
        <f t="shared" si="37"/>
        <v>146595.89999999994</v>
      </c>
      <c r="Y273" s="50">
        <f t="shared" si="39"/>
        <v>11093.800000000001</v>
      </c>
      <c r="Z273" s="3">
        <v>8</v>
      </c>
      <c r="AA273" s="3">
        <v>14.156680722811201</v>
      </c>
    </row>
    <row r="274" spans="1:27" s="3" customFormat="1" x14ac:dyDescent="0.25">
      <c r="A274" s="27"/>
      <c r="B274" s="8"/>
      <c r="C274" s="28">
        <v>41390</v>
      </c>
      <c r="D274" s="3">
        <v>8.9</v>
      </c>
      <c r="E274" s="3">
        <v>8.5</v>
      </c>
      <c r="F274" s="3">
        <v>10.9</v>
      </c>
      <c r="G274" s="3">
        <f t="shared" si="34"/>
        <v>1965.1000000000006</v>
      </c>
      <c r="H274" s="50">
        <f t="shared" si="38"/>
        <v>77.000000000000014</v>
      </c>
      <c r="I274" s="29" t="s">
        <v>11</v>
      </c>
      <c r="J274" s="3">
        <v>0</v>
      </c>
      <c r="K274" s="3">
        <f t="shared" si="35"/>
        <v>638.29999999999995</v>
      </c>
      <c r="L274" s="3">
        <v>1.8</v>
      </c>
      <c r="M274" s="3">
        <f t="shared" si="36"/>
        <v>278.19999999999993</v>
      </c>
      <c r="N274" s="3">
        <v>-1.8</v>
      </c>
      <c r="O274" s="3">
        <f t="shared" si="42"/>
        <v>159.90000000000003</v>
      </c>
      <c r="P274" s="3">
        <v>234</v>
      </c>
      <c r="Q274" s="3">
        <v>1.1499999999999999</v>
      </c>
      <c r="R274" s="7">
        <f t="shared" si="32"/>
        <v>2.0699999999999998</v>
      </c>
      <c r="S274" s="7">
        <f t="shared" si="33"/>
        <v>-2.0699999999999998</v>
      </c>
      <c r="T274" s="7">
        <f t="shared" si="40"/>
        <v>153.55500000000004</v>
      </c>
      <c r="U274" s="29" t="s">
        <v>14</v>
      </c>
      <c r="V274" s="3">
        <v>1044.7</v>
      </c>
      <c r="X274" s="3">
        <f t="shared" si="37"/>
        <v>147640.59999999995</v>
      </c>
      <c r="Y274" s="50">
        <f t="shared" si="39"/>
        <v>12138.500000000002</v>
      </c>
      <c r="AA274" s="3">
        <v>14.210381112199199</v>
      </c>
    </row>
    <row r="275" spans="1:27" s="3" customFormat="1" x14ac:dyDescent="0.25">
      <c r="A275" s="27"/>
      <c r="B275" s="8"/>
      <c r="C275" s="28">
        <v>41391</v>
      </c>
      <c r="D275" s="3">
        <v>6.7</v>
      </c>
      <c r="E275" s="3">
        <v>2.8</v>
      </c>
      <c r="F275" s="3">
        <v>12.1</v>
      </c>
      <c r="G275" s="3">
        <f t="shared" si="34"/>
        <v>1971.8000000000006</v>
      </c>
      <c r="H275" s="50">
        <f t="shared" si="38"/>
        <v>83.700000000000017</v>
      </c>
      <c r="I275" s="3">
        <v>0</v>
      </c>
      <c r="J275" s="3">
        <v>1</v>
      </c>
      <c r="K275" s="3">
        <f t="shared" si="35"/>
        <v>639.29999999999995</v>
      </c>
      <c r="L275" s="3">
        <v>2.9</v>
      </c>
      <c r="M275" s="3">
        <f t="shared" si="36"/>
        <v>281.09999999999991</v>
      </c>
      <c r="N275" s="3">
        <v>-1.9</v>
      </c>
      <c r="O275" s="3">
        <f t="shared" si="42"/>
        <v>158.00000000000003</v>
      </c>
      <c r="P275" s="3">
        <v>235</v>
      </c>
      <c r="Q275" s="3">
        <v>1.1499999999999999</v>
      </c>
      <c r="R275" s="7">
        <f t="shared" si="32"/>
        <v>3.3349999999999995</v>
      </c>
      <c r="S275" s="7">
        <f t="shared" si="33"/>
        <v>-2.3349999999999995</v>
      </c>
      <c r="T275" s="7">
        <f t="shared" si="40"/>
        <v>151.22000000000003</v>
      </c>
      <c r="U275" s="7">
        <f>MAX(T268:T295)</f>
        <v>172.76</v>
      </c>
      <c r="V275" s="3">
        <v>2001.2</v>
      </c>
      <c r="X275" s="3">
        <f t="shared" si="37"/>
        <v>149641.79999999996</v>
      </c>
      <c r="Y275" s="50">
        <f t="shared" si="39"/>
        <v>14139.700000000003</v>
      </c>
      <c r="AA275" s="3">
        <v>14.2637441212025</v>
      </c>
    </row>
    <row r="276" spans="1:27" s="3" customFormat="1" x14ac:dyDescent="0.25">
      <c r="A276" s="27"/>
      <c r="B276" s="8"/>
      <c r="C276" s="28">
        <v>41392</v>
      </c>
      <c r="D276" s="3">
        <v>7.9</v>
      </c>
      <c r="E276" s="3">
        <v>3.7</v>
      </c>
      <c r="F276" s="3">
        <v>13</v>
      </c>
      <c r="G276" s="3">
        <f t="shared" si="34"/>
        <v>1979.7000000000007</v>
      </c>
      <c r="H276" s="50">
        <f t="shared" si="38"/>
        <v>91.600000000000023</v>
      </c>
      <c r="I276" s="29" t="s">
        <v>13</v>
      </c>
      <c r="J276" s="3">
        <v>0</v>
      </c>
      <c r="K276" s="3">
        <f t="shared" si="35"/>
        <v>639.29999999999995</v>
      </c>
      <c r="L276" s="3">
        <v>2.9</v>
      </c>
      <c r="M276" s="3">
        <f t="shared" si="36"/>
        <v>283.99999999999989</v>
      </c>
      <c r="N276" s="3">
        <v>-2.9</v>
      </c>
      <c r="O276" s="3">
        <f t="shared" si="42"/>
        <v>155.10000000000002</v>
      </c>
      <c r="P276" s="3">
        <v>236</v>
      </c>
      <c r="Q276" s="3">
        <v>1.1499999999999999</v>
      </c>
      <c r="R276" s="7">
        <f t="shared" si="32"/>
        <v>3.3349999999999995</v>
      </c>
      <c r="S276" s="7">
        <f t="shared" si="33"/>
        <v>-3.3349999999999995</v>
      </c>
      <c r="T276" s="7">
        <f t="shared" si="40"/>
        <v>147.88500000000002</v>
      </c>
      <c r="U276" s="29" t="s">
        <v>16</v>
      </c>
      <c r="V276" s="3">
        <v>1693.8</v>
      </c>
      <c r="X276" s="3">
        <f t="shared" si="37"/>
        <v>151335.59999999995</v>
      </c>
      <c r="Y276" s="50">
        <f t="shared" si="39"/>
        <v>15833.500000000002</v>
      </c>
      <c r="AA276" s="3">
        <v>14.316754188346501</v>
      </c>
    </row>
    <row r="277" spans="1:27" s="3" customFormat="1" x14ac:dyDescent="0.25">
      <c r="A277" s="27"/>
      <c r="B277" s="8"/>
      <c r="C277" s="28">
        <v>41393</v>
      </c>
      <c r="D277" s="3">
        <v>8.1</v>
      </c>
      <c r="E277" s="3">
        <v>1.6</v>
      </c>
      <c r="F277" s="3">
        <v>12.5</v>
      </c>
      <c r="G277" s="3">
        <f t="shared" si="34"/>
        <v>1987.8000000000006</v>
      </c>
      <c r="H277" s="50">
        <f t="shared" si="38"/>
        <v>99.700000000000017</v>
      </c>
      <c r="I277" s="3">
        <v>0</v>
      </c>
      <c r="J277" s="3">
        <v>0</v>
      </c>
      <c r="K277" s="3">
        <f t="shared" si="35"/>
        <v>639.29999999999995</v>
      </c>
      <c r="L277" s="3">
        <v>1.9</v>
      </c>
      <c r="M277" s="3">
        <f t="shared" si="36"/>
        <v>285.89999999999986</v>
      </c>
      <c r="N277" s="3">
        <v>-1.9</v>
      </c>
      <c r="O277" s="3">
        <f t="shared" si="42"/>
        <v>153.20000000000002</v>
      </c>
      <c r="P277" s="3">
        <v>237</v>
      </c>
      <c r="Q277" s="3">
        <v>1.1499999999999999</v>
      </c>
      <c r="R277" s="7">
        <f t="shared" si="32"/>
        <v>2.1849999999999996</v>
      </c>
      <c r="S277" s="7">
        <f t="shared" si="33"/>
        <v>-2.1849999999999996</v>
      </c>
      <c r="T277" s="7">
        <f t="shared" si="40"/>
        <v>145.70000000000002</v>
      </c>
      <c r="U277" s="20">
        <f>AVERAGE(T268:T295)</f>
        <v>143.31767857142862</v>
      </c>
      <c r="V277" s="3">
        <v>1150.5</v>
      </c>
      <c r="X277" s="3">
        <f t="shared" si="37"/>
        <v>152486.09999999995</v>
      </c>
      <c r="Y277" s="50">
        <f t="shared" si="39"/>
        <v>16984</v>
      </c>
      <c r="AA277" s="3">
        <v>14.3693952467345</v>
      </c>
    </row>
    <row r="278" spans="1:27" s="3" customFormat="1" x14ac:dyDescent="0.25">
      <c r="A278" s="27"/>
      <c r="B278" s="8"/>
      <c r="C278" s="28">
        <v>41394</v>
      </c>
      <c r="D278" s="3">
        <v>11.5</v>
      </c>
      <c r="E278" s="3">
        <v>6.3</v>
      </c>
      <c r="F278" s="3">
        <v>16.899999999999999</v>
      </c>
      <c r="G278" s="3">
        <f t="shared" si="34"/>
        <v>1999.3000000000006</v>
      </c>
      <c r="H278" s="50">
        <f t="shared" si="38"/>
        <v>111.20000000000002</v>
      </c>
      <c r="I278" s="29" t="s">
        <v>15</v>
      </c>
      <c r="J278" s="3">
        <v>0</v>
      </c>
      <c r="K278" s="3">
        <f t="shared" si="35"/>
        <v>639.29999999999995</v>
      </c>
      <c r="L278" s="3">
        <v>4.0999999999999996</v>
      </c>
      <c r="M278" s="3">
        <f t="shared" si="36"/>
        <v>289.99999999999989</v>
      </c>
      <c r="N278" s="3">
        <v>-4.0999999999999996</v>
      </c>
      <c r="O278" s="3">
        <f t="shared" si="42"/>
        <v>149.10000000000002</v>
      </c>
      <c r="P278" s="3">
        <v>238</v>
      </c>
      <c r="Q278" s="3">
        <v>1.1499999999999999</v>
      </c>
      <c r="R278" s="7">
        <f t="shared" si="32"/>
        <v>4.714999999999999</v>
      </c>
      <c r="S278" s="7">
        <f t="shared" si="33"/>
        <v>-4.714999999999999</v>
      </c>
      <c r="T278" s="7">
        <f t="shared" si="40"/>
        <v>140.98500000000001</v>
      </c>
      <c r="V278" s="3">
        <v>2062.4</v>
      </c>
      <c r="X278" s="3">
        <f t="shared" si="37"/>
        <v>154548.49999999994</v>
      </c>
      <c r="Y278" s="50">
        <f t="shared" si="39"/>
        <v>19046.400000000001</v>
      </c>
      <c r="AA278" s="3">
        <v>14.421650718784701</v>
      </c>
    </row>
    <row r="279" spans="1:27" s="3" customFormat="1" x14ac:dyDescent="0.25">
      <c r="A279" s="27"/>
      <c r="B279" s="8"/>
      <c r="C279" s="28">
        <v>41395</v>
      </c>
      <c r="D279" s="3">
        <v>9.8000000000000007</v>
      </c>
      <c r="E279" s="3">
        <v>8</v>
      </c>
      <c r="F279" s="3">
        <v>13.2</v>
      </c>
      <c r="G279" s="3">
        <f t="shared" si="34"/>
        <v>2009.1000000000006</v>
      </c>
      <c r="H279" s="50">
        <f t="shared" si="38"/>
        <v>121.00000000000001</v>
      </c>
      <c r="I279" s="3">
        <v>6</v>
      </c>
      <c r="J279" s="3">
        <v>12.3</v>
      </c>
      <c r="K279" s="3">
        <f t="shared" si="35"/>
        <v>651.59999999999991</v>
      </c>
      <c r="L279" s="3">
        <v>1.7</v>
      </c>
      <c r="M279" s="3">
        <f t="shared" si="36"/>
        <v>291.69999999999987</v>
      </c>
      <c r="N279" s="3">
        <v>10.600000000000001</v>
      </c>
      <c r="O279" s="3">
        <f t="shared" si="42"/>
        <v>159.70000000000002</v>
      </c>
      <c r="P279" s="3">
        <v>239</v>
      </c>
      <c r="Q279" s="3">
        <v>1.1499999999999999</v>
      </c>
      <c r="R279" s="7">
        <f t="shared" si="32"/>
        <v>1.9549999999999998</v>
      </c>
      <c r="S279" s="7">
        <f t="shared" si="33"/>
        <v>10.345000000000001</v>
      </c>
      <c r="T279" s="7">
        <f t="shared" si="40"/>
        <v>151.33000000000001</v>
      </c>
      <c r="U279" s="7">
        <f>(U277*100)/197.4</f>
        <v>72.602674048342763</v>
      </c>
      <c r="V279" s="3">
        <v>629.4</v>
      </c>
      <c r="X279" s="3">
        <f t="shared" si="37"/>
        <v>155177.89999999994</v>
      </c>
      <c r="Y279" s="50">
        <f t="shared" si="39"/>
        <v>19675.800000000003</v>
      </c>
      <c r="AA279" s="3">
        <v>14.4735035121777</v>
      </c>
    </row>
    <row r="280" spans="1:27" s="3" customFormat="1" x14ac:dyDescent="0.25">
      <c r="A280" s="27"/>
      <c r="B280" s="8"/>
      <c r="C280" s="28">
        <v>41396</v>
      </c>
      <c r="D280" s="3">
        <v>9.1</v>
      </c>
      <c r="E280" s="3">
        <v>8.1</v>
      </c>
      <c r="F280" s="3">
        <v>10.199999999999999</v>
      </c>
      <c r="G280" s="3">
        <f t="shared" si="34"/>
        <v>2018.2000000000005</v>
      </c>
      <c r="H280" s="50">
        <f t="shared" si="38"/>
        <v>130.10000000000002</v>
      </c>
      <c r="I280" s="29" t="s">
        <v>17</v>
      </c>
      <c r="J280" s="3">
        <v>0</v>
      </c>
      <c r="K280" s="3">
        <f t="shared" si="35"/>
        <v>651.59999999999991</v>
      </c>
      <c r="L280" s="3">
        <v>0.8</v>
      </c>
      <c r="M280" s="3">
        <f t="shared" si="36"/>
        <v>292.49999999999989</v>
      </c>
      <c r="N280" s="3">
        <v>-0.8</v>
      </c>
      <c r="O280" s="3">
        <f t="shared" si="42"/>
        <v>158.9</v>
      </c>
      <c r="P280" s="3">
        <v>240</v>
      </c>
      <c r="Q280" s="3">
        <v>1.1499999999999999</v>
      </c>
      <c r="R280" s="7">
        <f t="shared" si="32"/>
        <v>0.91999999999999993</v>
      </c>
      <c r="S280" s="7">
        <f t="shared" si="33"/>
        <v>-0.91999999999999993</v>
      </c>
      <c r="T280" s="7">
        <f t="shared" si="40"/>
        <v>150.41000000000003</v>
      </c>
      <c r="V280" s="3">
        <v>573.5</v>
      </c>
      <c r="X280" s="3">
        <f t="shared" si="37"/>
        <v>155751.39999999994</v>
      </c>
      <c r="Y280" s="50">
        <f t="shared" si="39"/>
        <v>20249.300000000003</v>
      </c>
      <c r="AA280" s="3">
        <v>14.5249360171082</v>
      </c>
    </row>
    <row r="281" spans="1:27" s="3" customFormat="1" x14ac:dyDescent="0.25">
      <c r="A281" s="27"/>
      <c r="B281" s="8"/>
      <c r="C281" s="28">
        <v>41397</v>
      </c>
      <c r="D281" s="3">
        <v>11.1</v>
      </c>
      <c r="E281" s="3">
        <v>6</v>
      </c>
      <c r="F281" s="3">
        <v>17.899999999999999</v>
      </c>
      <c r="G281" s="3">
        <f t="shared" si="34"/>
        <v>2029.3000000000004</v>
      </c>
      <c r="H281" s="50">
        <f t="shared" si="38"/>
        <v>141.20000000000002</v>
      </c>
      <c r="I281" s="3">
        <v>310.60000000000002</v>
      </c>
      <c r="J281" s="3">
        <v>0</v>
      </c>
      <c r="K281" s="3">
        <f t="shared" si="35"/>
        <v>651.59999999999991</v>
      </c>
      <c r="L281" s="3">
        <v>3.8</v>
      </c>
      <c r="M281" s="3">
        <f t="shared" si="36"/>
        <v>296.2999999999999</v>
      </c>
      <c r="N281" s="3">
        <v>-3.8</v>
      </c>
      <c r="O281" s="3">
        <f t="shared" si="42"/>
        <v>155.1</v>
      </c>
      <c r="P281" s="3">
        <v>241</v>
      </c>
      <c r="Q281" s="3">
        <v>1.1499999999999999</v>
      </c>
      <c r="R281" s="7">
        <f t="shared" si="32"/>
        <v>4.3699999999999992</v>
      </c>
      <c r="S281" s="7">
        <f t="shared" si="33"/>
        <v>-4.3699999999999992</v>
      </c>
      <c r="T281" s="7">
        <f t="shared" si="40"/>
        <v>146.04000000000002</v>
      </c>
      <c r="V281" s="3">
        <v>2349.8000000000002</v>
      </c>
      <c r="X281" s="3">
        <f t="shared" si="37"/>
        <v>158101.19999999992</v>
      </c>
      <c r="Y281" s="50">
        <f t="shared" si="39"/>
        <v>22599.100000000002</v>
      </c>
      <c r="AA281" s="3">
        <v>14.575930104935701</v>
      </c>
    </row>
    <row r="282" spans="1:27" s="3" customFormat="1" x14ac:dyDescent="0.25">
      <c r="A282" s="27"/>
      <c r="B282" s="8"/>
      <c r="C282" s="28">
        <v>41398</v>
      </c>
      <c r="D282" s="3">
        <v>11.2</v>
      </c>
      <c r="E282" s="3">
        <v>4.5999999999999996</v>
      </c>
      <c r="F282" s="3">
        <v>16.8</v>
      </c>
      <c r="G282" s="3">
        <f t="shared" si="34"/>
        <v>2040.5000000000005</v>
      </c>
      <c r="H282" s="50">
        <f t="shared" si="38"/>
        <v>152.4</v>
      </c>
      <c r="J282" s="3">
        <v>0</v>
      </c>
      <c r="K282" s="3">
        <f t="shared" si="35"/>
        <v>651.59999999999991</v>
      </c>
      <c r="L282" s="3">
        <v>2.8</v>
      </c>
      <c r="M282" s="3">
        <f t="shared" si="36"/>
        <v>299.09999999999991</v>
      </c>
      <c r="N282" s="3">
        <v>-2.8</v>
      </c>
      <c r="O282" s="3">
        <f t="shared" si="42"/>
        <v>152.29999999999998</v>
      </c>
      <c r="P282" s="3">
        <v>242</v>
      </c>
      <c r="Q282" s="3">
        <v>1.1499999999999999</v>
      </c>
      <c r="R282" s="7">
        <f t="shared" si="32"/>
        <v>3.2199999999999998</v>
      </c>
      <c r="S282" s="7">
        <f t="shared" si="33"/>
        <v>-3.2199999999999998</v>
      </c>
      <c r="T282" s="7">
        <f t="shared" si="40"/>
        <v>142.82000000000002</v>
      </c>
      <c r="V282" s="3">
        <v>1969.3</v>
      </c>
      <c r="X282" s="3">
        <f t="shared" si="37"/>
        <v>160070.49999999991</v>
      </c>
      <c r="Y282" s="50">
        <f t="shared" si="39"/>
        <v>24568.400000000001</v>
      </c>
      <c r="AA282" s="3">
        <v>14.6264671283348</v>
      </c>
    </row>
    <row r="283" spans="1:27" s="3" customFormat="1" x14ac:dyDescent="0.25">
      <c r="A283" s="27"/>
      <c r="B283" s="8"/>
      <c r="C283" s="28">
        <v>41399</v>
      </c>
      <c r="D283" s="3">
        <v>14.2</v>
      </c>
      <c r="E283" s="3">
        <v>9.1</v>
      </c>
      <c r="F283" s="3">
        <v>18.899999999999999</v>
      </c>
      <c r="G283" s="3">
        <f t="shared" si="34"/>
        <v>2054.7000000000003</v>
      </c>
      <c r="H283" s="50">
        <f t="shared" si="38"/>
        <v>166.6</v>
      </c>
      <c r="J283" s="3">
        <v>0</v>
      </c>
      <c r="K283" s="3">
        <f t="shared" si="35"/>
        <v>651.59999999999991</v>
      </c>
      <c r="L283" s="3">
        <v>1.4</v>
      </c>
      <c r="M283" s="3">
        <f t="shared" si="36"/>
        <v>300.49999999999989</v>
      </c>
      <c r="N283" s="3">
        <v>-1.4</v>
      </c>
      <c r="O283" s="3">
        <f t="shared" si="42"/>
        <v>150.89999999999998</v>
      </c>
      <c r="P283" s="3">
        <v>243</v>
      </c>
      <c r="Q283" s="3">
        <v>1.1499999999999999</v>
      </c>
      <c r="R283" s="7">
        <f t="shared" si="32"/>
        <v>1.6099999999999999</v>
      </c>
      <c r="S283" s="7">
        <f t="shared" si="33"/>
        <v>-1.6099999999999999</v>
      </c>
      <c r="T283" s="7">
        <f t="shared" si="40"/>
        <v>141.21</v>
      </c>
      <c r="V283" s="3">
        <v>877</v>
      </c>
      <c r="X283" s="3">
        <f t="shared" si="37"/>
        <v>160947.49999999991</v>
      </c>
      <c r="Y283" s="50">
        <f t="shared" si="39"/>
        <v>25445.4</v>
      </c>
      <c r="AA283" s="3">
        <v>14.676527923044199</v>
      </c>
    </row>
    <row r="284" spans="1:27" s="3" customFormat="1" x14ac:dyDescent="0.25">
      <c r="A284" s="27"/>
      <c r="B284" s="8"/>
      <c r="C284" s="28">
        <v>41400</v>
      </c>
      <c r="D284" s="3">
        <v>15</v>
      </c>
      <c r="E284" s="3">
        <v>8.5</v>
      </c>
      <c r="F284" s="3">
        <v>21.9</v>
      </c>
      <c r="G284" s="3">
        <f t="shared" si="34"/>
        <v>2069.7000000000003</v>
      </c>
      <c r="H284" s="50">
        <f t="shared" si="38"/>
        <v>181.6</v>
      </c>
      <c r="J284" s="3">
        <v>0</v>
      </c>
      <c r="K284" s="3">
        <f t="shared" si="35"/>
        <v>651.59999999999991</v>
      </c>
      <c r="L284" s="3">
        <v>3.5</v>
      </c>
      <c r="M284" s="3">
        <f t="shared" si="36"/>
        <v>303.99999999999989</v>
      </c>
      <c r="N284" s="3">
        <v>-3.5</v>
      </c>
      <c r="O284" s="3">
        <f t="shared" si="42"/>
        <v>147.39999999999998</v>
      </c>
      <c r="P284" s="3">
        <v>244</v>
      </c>
      <c r="Q284" s="3">
        <v>1.1499999999999999</v>
      </c>
      <c r="R284" s="7">
        <f t="shared" si="32"/>
        <v>4.0249999999999995</v>
      </c>
      <c r="S284" s="7">
        <f t="shared" si="33"/>
        <v>-4.0249999999999995</v>
      </c>
      <c r="T284" s="7">
        <f t="shared" si="40"/>
        <v>137.185</v>
      </c>
      <c r="V284" s="3">
        <v>2021.1</v>
      </c>
      <c r="X284" s="3">
        <f t="shared" si="37"/>
        <v>162968.59999999992</v>
      </c>
      <c r="Y284" s="50">
        <f t="shared" si="39"/>
        <v>27466.5</v>
      </c>
      <c r="AA284" s="3">
        <v>14.7260928113191</v>
      </c>
    </row>
    <row r="285" spans="1:27" s="3" customFormat="1" x14ac:dyDescent="0.25">
      <c r="A285" s="27"/>
      <c r="B285" s="8"/>
      <c r="C285" s="28">
        <v>41401</v>
      </c>
      <c r="D285" s="3">
        <v>16.3</v>
      </c>
      <c r="E285" s="3">
        <v>11.5</v>
      </c>
      <c r="F285" s="3">
        <v>22.6</v>
      </c>
      <c r="G285" s="3">
        <f t="shared" si="34"/>
        <v>2086.0000000000005</v>
      </c>
      <c r="H285" s="50">
        <f t="shared" si="38"/>
        <v>197.9</v>
      </c>
      <c r="J285" s="3">
        <v>4.0999999999999996</v>
      </c>
      <c r="K285" s="3">
        <f t="shared" si="35"/>
        <v>655.69999999999993</v>
      </c>
      <c r="L285" s="3">
        <v>3</v>
      </c>
      <c r="M285" s="3">
        <f t="shared" si="36"/>
        <v>306.99999999999989</v>
      </c>
      <c r="N285" s="3">
        <v>1.0999999999999996</v>
      </c>
      <c r="O285" s="3">
        <f t="shared" si="42"/>
        <v>148.49999999999997</v>
      </c>
      <c r="P285" s="3">
        <v>245</v>
      </c>
      <c r="Q285" s="3">
        <v>1.1499999999999999</v>
      </c>
      <c r="R285" s="7">
        <f t="shared" si="32"/>
        <v>3.4499999999999997</v>
      </c>
      <c r="S285" s="7">
        <f t="shared" si="33"/>
        <v>0.64999999999999991</v>
      </c>
      <c r="T285" s="7">
        <f t="shared" si="40"/>
        <v>137.83500000000001</v>
      </c>
      <c r="V285" s="3">
        <v>1449.7</v>
      </c>
      <c r="X285" s="3">
        <f t="shared" si="37"/>
        <v>164418.29999999993</v>
      </c>
      <c r="Y285" s="50">
        <f t="shared" si="39"/>
        <v>28916.2</v>
      </c>
      <c r="AA285" s="3">
        <v>14.7751416071881</v>
      </c>
    </row>
    <row r="286" spans="1:27" s="3" customFormat="1" x14ac:dyDescent="0.25">
      <c r="A286" s="27"/>
      <c r="B286" s="8"/>
      <c r="C286" s="28">
        <v>41402</v>
      </c>
      <c r="D286" s="3">
        <v>13.8</v>
      </c>
      <c r="E286" s="3">
        <v>13.6</v>
      </c>
      <c r="F286" s="3">
        <v>16.5</v>
      </c>
      <c r="G286" s="3">
        <f t="shared" si="34"/>
        <v>2099.8000000000006</v>
      </c>
      <c r="H286" s="50">
        <f t="shared" si="38"/>
        <v>211.70000000000002</v>
      </c>
      <c r="J286" s="3">
        <v>0.1</v>
      </c>
      <c r="K286" s="3">
        <f t="shared" si="35"/>
        <v>655.8</v>
      </c>
      <c r="L286" s="3">
        <v>1.6</v>
      </c>
      <c r="M286" s="3">
        <f t="shared" si="36"/>
        <v>308.59999999999991</v>
      </c>
      <c r="N286" s="3">
        <v>-1.5</v>
      </c>
      <c r="O286" s="3">
        <f t="shared" si="42"/>
        <v>146.99999999999997</v>
      </c>
      <c r="P286" s="3">
        <v>246</v>
      </c>
      <c r="Q286" s="3">
        <v>1.1499999999999999</v>
      </c>
      <c r="R286" s="7">
        <f t="shared" si="32"/>
        <v>1.8399999999999999</v>
      </c>
      <c r="S286" s="7">
        <f t="shared" si="33"/>
        <v>-1.7399999999999998</v>
      </c>
      <c r="T286" s="7">
        <f t="shared" si="40"/>
        <v>136.095</v>
      </c>
      <c r="V286" s="3">
        <v>596.5</v>
      </c>
      <c r="X286" s="3">
        <f t="shared" si="37"/>
        <v>165014.79999999993</v>
      </c>
      <c r="Y286" s="50">
        <f t="shared" si="39"/>
        <v>29512.7</v>
      </c>
      <c r="AA286" s="3">
        <v>14.823653623621601</v>
      </c>
    </row>
    <row r="287" spans="1:27" s="3" customFormat="1" x14ac:dyDescent="0.25">
      <c r="A287" s="27"/>
      <c r="B287" s="8"/>
      <c r="C287" s="28">
        <v>41403</v>
      </c>
      <c r="D287" s="3">
        <v>11.3</v>
      </c>
      <c r="E287" s="3">
        <v>7.6</v>
      </c>
      <c r="F287" s="3">
        <v>15.3</v>
      </c>
      <c r="G287" s="3">
        <f t="shared" si="34"/>
        <v>2111.1000000000008</v>
      </c>
      <c r="H287" s="50">
        <f t="shared" si="38"/>
        <v>223.00000000000003</v>
      </c>
      <c r="J287" s="3">
        <v>0</v>
      </c>
      <c r="K287" s="3">
        <f t="shared" si="35"/>
        <v>655.8</v>
      </c>
      <c r="L287" s="3">
        <v>3.3</v>
      </c>
      <c r="M287" s="3">
        <f t="shared" si="36"/>
        <v>311.89999999999992</v>
      </c>
      <c r="N287" s="3">
        <v>-3.3</v>
      </c>
      <c r="O287" s="3">
        <f t="shared" si="42"/>
        <v>143.69999999999996</v>
      </c>
      <c r="P287" s="3">
        <v>247</v>
      </c>
      <c r="Q287" s="3">
        <v>1.1499999999999999</v>
      </c>
      <c r="R287" s="7">
        <f t="shared" si="32"/>
        <v>3.7949999999999995</v>
      </c>
      <c r="S287" s="7">
        <f t="shared" si="33"/>
        <v>-3.7949999999999995</v>
      </c>
      <c r="T287" s="7">
        <f t="shared" si="40"/>
        <v>132.30000000000001</v>
      </c>
      <c r="V287" s="3">
        <v>1801.7</v>
      </c>
      <c r="X287" s="3">
        <f t="shared" si="37"/>
        <v>166816.49999999994</v>
      </c>
      <c r="Y287" s="50">
        <f t="shared" si="39"/>
        <v>31314.400000000001</v>
      </c>
      <c r="AA287" s="3">
        <v>14.8716076817126</v>
      </c>
    </row>
    <row r="288" spans="1:27" s="3" customFormat="1" x14ac:dyDescent="0.25">
      <c r="A288" s="27"/>
      <c r="B288" s="8"/>
      <c r="C288" s="28">
        <v>41404</v>
      </c>
      <c r="D288" s="3">
        <v>12.2</v>
      </c>
      <c r="E288" s="3">
        <v>9.9</v>
      </c>
      <c r="F288" s="3">
        <v>14.4</v>
      </c>
      <c r="G288" s="3">
        <f t="shared" si="34"/>
        <v>2123.3000000000006</v>
      </c>
      <c r="H288" s="50">
        <f t="shared" si="38"/>
        <v>235.20000000000002</v>
      </c>
      <c r="J288" s="3">
        <v>1</v>
      </c>
      <c r="K288" s="3">
        <f t="shared" si="35"/>
        <v>656.8</v>
      </c>
      <c r="L288" s="3">
        <v>1.5</v>
      </c>
      <c r="M288" s="3">
        <f t="shared" si="36"/>
        <v>313.39999999999992</v>
      </c>
      <c r="N288" s="3">
        <v>-0.5</v>
      </c>
      <c r="O288" s="3">
        <f t="shared" si="42"/>
        <v>143.19999999999996</v>
      </c>
      <c r="P288" s="3">
        <v>248</v>
      </c>
      <c r="Q288" s="3">
        <v>1.1499999999999999</v>
      </c>
      <c r="R288" s="7">
        <f t="shared" si="32"/>
        <v>1.7249999999999999</v>
      </c>
      <c r="S288" s="7">
        <f t="shared" si="33"/>
        <v>-0.72499999999999987</v>
      </c>
      <c r="T288" s="7">
        <f t="shared" si="40"/>
        <v>131.57500000000002</v>
      </c>
      <c r="V288" s="3">
        <v>745.6</v>
      </c>
      <c r="X288" s="3">
        <f t="shared" si="37"/>
        <v>167562.09999999995</v>
      </c>
      <c r="Y288" s="50">
        <f t="shared" si="39"/>
        <v>32060</v>
      </c>
      <c r="AA288" s="3">
        <v>14.9189821219744</v>
      </c>
    </row>
    <row r="289" spans="1:27" s="3" customFormat="1" x14ac:dyDescent="0.25">
      <c r="A289" s="27"/>
      <c r="B289" s="8"/>
      <c r="C289" s="28">
        <v>41405</v>
      </c>
      <c r="D289" s="3">
        <v>11.6</v>
      </c>
      <c r="E289" s="3">
        <v>9.9</v>
      </c>
      <c r="F289" s="3">
        <v>14.8</v>
      </c>
      <c r="G289" s="3">
        <f t="shared" si="34"/>
        <v>2134.9000000000005</v>
      </c>
      <c r="H289" s="50">
        <f t="shared" si="38"/>
        <v>246.8</v>
      </c>
      <c r="J289" s="3">
        <v>0.6</v>
      </c>
      <c r="K289" s="3">
        <f t="shared" si="35"/>
        <v>657.4</v>
      </c>
      <c r="L289" s="3">
        <v>3.3</v>
      </c>
      <c r="M289" s="3">
        <f t="shared" si="36"/>
        <v>316.69999999999993</v>
      </c>
      <c r="N289" s="3">
        <v>-2.6999999999999997</v>
      </c>
      <c r="O289" s="3">
        <f t="shared" si="42"/>
        <v>140.49999999999997</v>
      </c>
      <c r="P289" s="3">
        <v>249</v>
      </c>
      <c r="Q289" s="3">
        <v>1.1499999999999999</v>
      </c>
      <c r="R289" s="7">
        <f t="shared" si="32"/>
        <v>3.7949999999999995</v>
      </c>
      <c r="S289" s="7">
        <f t="shared" si="33"/>
        <v>-3.1949999999999994</v>
      </c>
      <c r="T289" s="7">
        <f t="shared" si="40"/>
        <v>128.38000000000002</v>
      </c>
      <c r="V289" s="3">
        <v>2014.8</v>
      </c>
      <c r="X289" s="3">
        <f t="shared" si="37"/>
        <v>169576.89999999994</v>
      </c>
      <c r="Y289" s="50">
        <f t="shared" si="39"/>
        <v>34074.800000000003</v>
      </c>
      <c r="AA289" s="3">
        <v>14.9657548178534</v>
      </c>
    </row>
    <row r="290" spans="1:27" s="3" customFormat="1" x14ac:dyDescent="0.25">
      <c r="A290" s="27"/>
      <c r="B290" s="8"/>
      <c r="C290" s="28">
        <v>41406</v>
      </c>
      <c r="D290" s="3">
        <v>11.5</v>
      </c>
      <c r="E290" s="3">
        <v>8.1999999999999993</v>
      </c>
      <c r="F290" s="3">
        <v>13.7</v>
      </c>
      <c r="G290" s="3">
        <f t="shared" si="34"/>
        <v>2146.4000000000005</v>
      </c>
      <c r="H290" s="50">
        <f t="shared" si="38"/>
        <v>258.3</v>
      </c>
      <c r="J290" s="3">
        <v>0</v>
      </c>
      <c r="K290" s="3">
        <f t="shared" si="35"/>
        <v>657.4</v>
      </c>
      <c r="L290" s="3">
        <v>1.7</v>
      </c>
      <c r="M290" s="3">
        <f t="shared" si="36"/>
        <v>318.39999999999992</v>
      </c>
      <c r="N290" s="3">
        <v>-1.7</v>
      </c>
      <c r="O290" s="3">
        <f t="shared" si="42"/>
        <v>138.79999999999998</v>
      </c>
      <c r="P290" s="3">
        <v>250</v>
      </c>
      <c r="Q290" s="3">
        <v>1.1499999999999999</v>
      </c>
      <c r="R290" s="7">
        <f t="shared" si="32"/>
        <v>1.9549999999999998</v>
      </c>
      <c r="S290" s="7">
        <f t="shared" si="33"/>
        <v>-1.9549999999999998</v>
      </c>
      <c r="T290" s="7">
        <f t="shared" si="40"/>
        <v>126.42500000000003</v>
      </c>
      <c r="V290" s="3">
        <v>935</v>
      </c>
      <c r="X290" s="3">
        <f t="shared" si="37"/>
        <v>170511.89999999994</v>
      </c>
      <c r="Y290" s="50">
        <f t="shared" si="39"/>
        <v>35009.800000000003</v>
      </c>
      <c r="AA290" s="3">
        <v>15.011903191555099</v>
      </c>
    </row>
    <row r="291" spans="1:27" s="3" customFormat="1" x14ac:dyDescent="0.25">
      <c r="A291" s="27"/>
      <c r="B291" s="8"/>
      <c r="C291" s="28">
        <v>41407</v>
      </c>
      <c r="D291" s="3">
        <v>13.1</v>
      </c>
      <c r="E291" s="3">
        <v>11.5</v>
      </c>
      <c r="F291" s="3">
        <v>16.3</v>
      </c>
      <c r="G291" s="3">
        <f t="shared" si="34"/>
        <v>2159.5000000000005</v>
      </c>
      <c r="H291" s="50">
        <f t="shared" si="38"/>
        <v>271.40000000000003</v>
      </c>
      <c r="J291" s="3">
        <v>0</v>
      </c>
      <c r="K291" s="3">
        <f t="shared" si="35"/>
        <v>657.4</v>
      </c>
      <c r="L291" s="3">
        <v>1.9</v>
      </c>
      <c r="M291" s="3">
        <f t="shared" si="36"/>
        <v>320.2999999999999</v>
      </c>
      <c r="N291" s="3">
        <v>-1.9</v>
      </c>
      <c r="O291" s="3">
        <f t="shared" si="42"/>
        <v>136.89999999999998</v>
      </c>
      <c r="P291" s="3">
        <v>251</v>
      </c>
      <c r="Q291" s="3">
        <v>1.1499999999999999</v>
      </c>
      <c r="R291" s="7">
        <f t="shared" si="32"/>
        <v>2.1849999999999996</v>
      </c>
      <c r="S291" s="7">
        <f t="shared" si="33"/>
        <v>-2.1849999999999996</v>
      </c>
      <c r="T291" s="7">
        <f t="shared" si="40"/>
        <v>124.24000000000002</v>
      </c>
      <c r="V291" s="3">
        <v>641.70000000000005</v>
      </c>
      <c r="X291" s="3">
        <f t="shared" si="37"/>
        <v>171153.59999999995</v>
      </c>
      <c r="Y291" s="50">
        <f t="shared" si="39"/>
        <v>35651.5</v>
      </c>
      <c r="AA291" s="3">
        <v>15.0574042322748</v>
      </c>
    </row>
    <row r="292" spans="1:27" s="3" customFormat="1" x14ac:dyDescent="0.25">
      <c r="A292" s="27"/>
      <c r="B292" s="8"/>
      <c r="C292" s="28">
        <v>41408</v>
      </c>
      <c r="D292" s="3">
        <v>9.9</v>
      </c>
      <c r="E292" s="3">
        <v>8.3000000000000007</v>
      </c>
      <c r="F292" s="3">
        <v>11.6</v>
      </c>
      <c r="G292" s="3">
        <f t="shared" si="34"/>
        <v>2169.4000000000005</v>
      </c>
      <c r="H292" s="50">
        <f t="shared" si="38"/>
        <v>281.3</v>
      </c>
      <c r="J292" s="3">
        <v>4</v>
      </c>
      <c r="K292" s="3">
        <f t="shared" si="35"/>
        <v>661.4</v>
      </c>
      <c r="L292" s="3">
        <v>1.4</v>
      </c>
      <c r="M292" s="3">
        <f t="shared" si="36"/>
        <v>321.69999999999987</v>
      </c>
      <c r="N292" s="3">
        <v>2.6</v>
      </c>
      <c r="O292" s="3">
        <f t="shared" si="42"/>
        <v>139.49999999999997</v>
      </c>
      <c r="P292" s="3">
        <v>252</v>
      </c>
      <c r="Q292" s="3">
        <v>1.1499999999999999</v>
      </c>
      <c r="R292" s="7">
        <f t="shared" si="32"/>
        <v>1.6099999999999999</v>
      </c>
      <c r="S292" s="7">
        <f t="shared" si="33"/>
        <v>2.39</v>
      </c>
      <c r="T292" s="7">
        <f t="shared" si="40"/>
        <v>126.63000000000002</v>
      </c>
      <c r="V292" s="3">
        <v>747.6</v>
      </c>
      <c r="W292" s="13"/>
      <c r="X292" s="3">
        <f t="shared" si="37"/>
        <v>171901.19999999995</v>
      </c>
      <c r="Y292" s="50">
        <f t="shared" si="39"/>
        <v>36399.1</v>
      </c>
      <c r="AA292" s="3">
        <v>15.1022345169196</v>
      </c>
    </row>
    <row r="293" spans="1:27" s="3" customFormat="1" ht="15" customHeight="1" x14ac:dyDescent="0.25">
      <c r="A293" s="27"/>
      <c r="B293" s="8"/>
      <c r="C293" s="28">
        <v>41409</v>
      </c>
      <c r="D293" s="3">
        <v>8.6</v>
      </c>
      <c r="E293" s="3">
        <v>6.4</v>
      </c>
      <c r="F293" s="3">
        <v>10.6</v>
      </c>
      <c r="G293" s="3">
        <f t="shared" si="34"/>
        <v>2178.0000000000005</v>
      </c>
      <c r="H293" s="50">
        <f t="shared" si="38"/>
        <v>289.90000000000003</v>
      </c>
      <c r="J293" s="3">
        <v>1.2</v>
      </c>
      <c r="K293" s="3">
        <f t="shared" si="35"/>
        <v>662.6</v>
      </c>
      <c r="L293" s="3">
        <v>1.9</v>
      </c>
      <c r="M293" s="3">
        <f t="shared" si="36"/>
        <v>323.59999999999985</v>
      </c>
      <c r="N293" s="3">
        <v>-0.7</v>
      </c>
      <c r="O293" s="3">
        <f t="shared" si="42"/>
        <v>138.79999999999998</v>
      </c>
      <c r="P293" s="3">
        <v>253</v>
      </c>
      <c r="Q293" s="3">
        <v>1.1499999999999999</v>
      </c>
      <c r="R293" s="7">
        <f t="shared" si="32"/>
        <v>2.1849999999999996</v>
      </c>
      <c r="S293" s="7">
        <f t="shared" si="33"/>
        <v>-0.98499999999999965</v>
      </c>
      <c r="T293" s="7">
        <f t="shared" si="40"/>
        <v>125.64500000000002</v>
      </c>
      <c r="U293" s="22"/>
      <c r="V293" s="3">
        <v>1496.3</v>
      </c>
      <c r="X293" s="3">
        <f t="shared" si="37"/>
        <v>173397.49999999994</v>
      </c>
      <c r="Y293" s="50">
        <f t="shared" si="39"/>
        <v>37895.4</v>
      </c>
      <c r="AA293" s="3">
        <v>15.1463702334015</v>
      </c>
    </row>
    <row r="294" spans="1:27" s="3" customFormat="1" x14ac:dyDescent="0.25">
      <c r="A294" s="27"/>
      <c r="B294" s="8"/>
      <c r="C294" s="28">
        <v>41410</v>
      </c>
      <c r="D294" s="3">
        <v>9.6</v>
      </c>
      <c r="E294" s="3">
        <v>5.6</v>
      </c>
      <c r="F294" s="3">
        <v>13.5</v>
      </c>
      <c r="G294" s="3">
        <f t="shared" si="34"/>
        <v>2187.6000000000004</v>
      </c>
      <c r="H294" s="50">
        <f t="shared" si="38"/>
        <v>299.50000000000006</v>
      </c>
      <c r="J294" s="3">
        <v>0.7</v>
      </c>
      <c r="K294" s="3">
        <f t="shared" si="35"/>
        <v>663.30000000000007</v>
      </c>
      <c r="L294" s="3">
        <v>1.5</v>
      </c>
      <c r="M294" s="3">
        <f t="shared" si="36"/>
        <v>325.09999999999985</v>
      </c>
      <c r="N294" s="3">
        <v>-0.8</v>
      </c>
      <c r="O294" s="3">
        <f t="shared" si="42"/>
        <v>137.99999999999997</v>
      </c>
      <c r="P294" s="3">
        <v>254</v>
      </c>
      <c r="Q294" s="3">
        <v>1.1499999999999999</v>
      </c>
      <c r="R294" s="7">
        <f t="shared" si="32"/>
        <v>1.7249999999999999</v>
      </c>
      <c r="S294" s="7">
        <f t="shared" si="33"/>
        <v>-1.0249999999999999</v>
      </c>
      <c r="T294" s="7">
        <f t="shared" si="40"/>
        <v>124.62000000000002</v>
      </c>
      <c r="V294" s="3">
        <v>997.6</v>
      </c>
      <c r="X294" s="3">
        <f t="shared" si="37"/>
        <v>174395.09999999995</v>
      </c>
      <c r="Y294" s="50">
        <f t="shared" si="39"/>
        <v>38893</v>
      </c>
      <c r="AA294" s="3">
        <v>15.1897872065722</v>
      </c>
    </row>
    <row r="295" spans="1:27" s="44" customFormat="1" ht="15.75" thickBot="1" x14ac:dyDescent="0.3">
      <c r="A295" s="58"/>
      <c r="B295" s="42">
        <v>300</v>
      </c>
      <c r="C295" s="59">
        <v>41411</v>
      </c>
      <c r="D295" s="44">
        <v>11.1</v>
      </c>
      <c r="E295" s="44">
        <v>5.7</v>
      </c>
      <c r="F295" s="44">
        <v>16.2</v>
      </c>
      <c r="G295" s="44">
        <f t="shared" si="34"/>
        <v>2198.7000000000003</v>
      </c>
      <c r="H295" s="44">
        <f t="shared" si="38"/>
        <v>310.60000000000008</v>
      </c>
      <c r="J295" s="44">
        <v>0</v>
      </c>
      <c r="K295" s="44">
        <f t="shared" si="35"/>
        <v>663.30000000000007</v>
      </c>
      <c r="L295" s="44">
        <v>3.9</v>
      </c>
      <c r="M295" s="44">
        <f t="shared" si="36"/>
        <v>328.99999999999983</v>
      </c>
      <c r="N295" s="44">
        <v>-3.9</v>
      </c>
      <c r="O295" s="44">
        <f t="shared" si="42"/>
        <v>134.09999999999997</v>
      </c>
      <c r="P295" s="44">
        <v>255</v>
      </c>
      <c r="Q295" s="45">
        <v>1.1499999999999999</v>
      </c>
      <c r="R295" s="46">
        <f t="shared" si="32"/>
        <v>4.4849999999999994</v>
      </c>
      <c r="S295" s="46">
        <f t="shared" si="33"/>
        <v>-4.4849999999999994</v>
      </c>
      <c r="T295" s="46">
        <f t="shared" si="40"/>
        <v>120.13500000000002</v>
      </c>
      <c r="V295" s="44">
        <v>2679.2</v>
      </c>
      <c r="X295" s="44">
        <f t="shared" si="37"/>
        <v>177074.29999999996</v>
      </c>
      <c r="Y295" s="44">
        <f t="shared" si="39"/>
        <v>41572.199999999997</v>
      </c>
      <c r="AA295" s="44">
        <v>15.2324609268607</v>
      </c>
    </row>
    <row r="296" spans="1:27" s="3" customFormat="1" x14ac:dyDescent="0.25">
      <c r="A296" s="30"/>
      <c r="B296" s="8"/>
      <c r="C296" s="31">
        <v>41412</v>
      </c>
      <c r="D296" s="3">
        <v>11.3</v>
      </c>
      <c r="E296" s="3">
        <v>7.7</v>
      </c>
      <c r="F296" s="3">
        <v>15.6</v>
      </c>
      <c r="G296" s="3">
        <f t="shared" si="34"/>
        <v>2210.0000000000005</v>
      </c>
      <c r="H296" s="50">
        <f>D296</f>
        <v>11.3</v>
      </c>
      <c r="I296" s="32" t="s">
        <v>2</v>
      </c>
      <c r="J296" s="3">
        <v>7.3</v>
      </c>
      <c r="K296" s="3">
        <f t="shared" si="35"/>
        <v>670.6</v>
      </c>
      <c r="L296" s="3">
        <v>2.2999999999999998</v>
      </c>
      <c r="M296" s="3">
        <f t="shared" si="36"/>
        <v>331.29999999999984</v>
      </c>
      <c r="N296" s="3">
        <v>5</v>
      </c>
      <c r="O296" s="3">
        <f t="shared" si="42"/>
        <v>139.09999999999997</v>
      </c>
      <c r="P296" s="3">
        <v>256</v>
      </c>
      <c r="Q296" s="20">
        <f>1.15+((P296-255)/59)*(0.35-1.15)</f>
        <v>1.1364406779661016</v>
      </c>
      <c r="R296" s="7">
        <f t="shared" si="32"/>
        <v>2.6138135593220335</v>
      </c>
      <c r="S296" s="7">
        <f t="shared" si="33"/>
        <v>4.6861864406779663</v>
      </c>
      <c r="T296" s="7">
        <f t="shared" si="40"/>
        <v>124.82118644067799</v>
      </c>
      <c r="U296" s="32" t="s">
        <v>3</v>
      </c>
      <c r="V296" s="3">
        <v>1126.7</v>
      </c>
      <c r="X296" s="3">
        <f t="shared" si="37"/>
        <v>178200.99999999997</v>
      </c>
      <c r="Y296" s="50">
        <f>V296</f>
        <v>1126.7</v>
      </c>
      <c r="Z296" s="32" t="s">
        <v>4</v>
      </c>
      <c r="AA296" s="3">
        <v>15.274366581663999</v>
      </c>
    </row>
    <row r="297" spans="1:27" s="3" customFormat="1" x14ac:dyDescent="0.25">
      <c r="A297" s="30"/>
      <c r="B297" s="8"/>
      <c r="C297" s="31">
        <v>41413</v>
      </c>
      <c r="D297" s="3">
        <v>10.5</v>
      </c>
      <c r="E297" s="3">
        <v>9.6</v>
      </c>
      <c r="F297" s="3">
        <v>11.4</v>
      </c>
      <c r="G297" s="3">
        <f t="shared" si="34"/>
        <v>2220.5000000000005</v>
      </c>
      <c r="H297" s="50">
        <f t="shared" si="38"/>
        <v>21.8</v>
      </c>
      <c r="I297" s="3">
        <f>MIN(E296:E319)</f>
        <v>4.4000000000000004</v>
      </c>
      <c r="J297" s="3">
        <v>5.8</v>
      </c>
      <c r="K297" s="3">
        <f t="shared" si="35"/>
        <v>676.4</v>
      </c>
      <c r="L297" s="3">
        <v>0.6</v>
      </c>
      <c r="M297" s="3">
        <f t="shared" si="36"/>
        <v>331.89999999999986</v>
      </c>
      <c r="N297" s="3">
        <v>5.2</v>
      </c>
      <c r="O297" s="3">
        <f t="shared" si="42"/>
        <v>144.29999999999995</v>
      </c>
      <c r="P297" s="3">
        <v>257</v>
      </c>
      <c r="Q297" s="20">
        <f t="shared" ref="Q297:Q354" si="43">1.15+((P297-255)/59)*(0.35-1.15)</f>
        <v>1.1228813559322033</v>
      </c>
      <c r="R297" s="7">
        <f t="shared" ref="R297:R354" si="44">Q297*L297</f>
        <v>0.6737288135593219</v>
      </c>
      <c r="S297" s="7">
        <f t="shared" ref="S297:S354" si="45">J297-R297</f>
        <v>5.126271186440678</v>
      </c>
      <c r="T297" s="7">
        <f t="shared" si="40"/>
        <v>129.94745762711867</v>
      </c>
      <c r="U297" s="3">
        <v>15</v>
      </c>
      <c r="V297" s="3">
        <v>413</v>
      </c>
      <c r="X297" s="3">
        <f t="shared" si="37"/>
        <v>178613.99999999997</v>
      </c>
      <c r="Y297" s="50">
        <f t="shared" si="39"/>
        <v>1539.7</v>
      </c>
      <c r="Z297" s="3">
        <v>36257.5</v>
      </c>
      <c r="AA297" s="3">
        <v>15.315479089526701</v>
      </c>
    </row>
    <row r="298" spans="1:27" s="3" customFormat="1" x14ac:dyDescent="0.25">
      <c r="A298" s="30"/>
      <c r="B298" s="8"/>
      <c r="C298" s="31">
        <v>41414</v>
      </c>
      <c r="D298" s="3">
        <v>11.4</v>
      </c>
      <c r="E298" s="3">
        <v>10.1</v>
      </c>
      <c r="F298" s="3">
        <v>12.5</v>
      </c>
      <c r="G298" s="3">
        <f t="shared" si="34"/>
        <v>2231.9000000000005</v>
      </c>
      <c r="H298" s="50">
        <f t="shared" si="38"/>
        <v>33.200000000000003</v>
      </c>
      <c r="I298" s="32" t="s">
        <v>5</v>
      </c>
      <c r="J298" s="3">
        <v>1.3</v>
      </c>
      <c r="K298" s="3">
        <f t="shared" si="35"/>
        <v>677.69999999999993</v>
      </c>
      <c r="L298" s="3">
        <v>1</v>
      </c>
      <c r="M298" s="3">
        <f t="shared" si="36"/>
        <v>332.89999999999986</v>
      </c>
      <c r="N298" s="3">
        <v>0.30000000000000004</v>
      </c>
      <c r="O298" s="3">
        <f t="shared" si="42"/>
        <v>144.59999999999997</v>
      </c>
      <c r="P298" s="3">
        <v>258</v>
      </c>
      <c r="Q298" s="20">
        <f t="shared" si="43"/>
        <v>1.109322033898305</v>
      </c>
      <c r="R298" s="7">
        <f t="shared" si="44"/>
        <v>1.109322033898305</v>
      </c>
      <c r="S298" s="7">
        <f t="shared" si="45"/>
        <v>0.19067796610169507</v>
      </c>
      <c r="T298" s="7">
        <f t="shared" si="40"/>
        <v>130.13813559322037</v>
      </c>
      <c r="U298" s="32" t="s">
        <v>6</v>
      </c>
      <c r="V298" s="3">
        <v>638.6</v>
      </c>
      <c r="X298" s="3">
        <f t="shared" si="37"/>
        <v>179252.59999999998</v>
      </c>
      <c r="Y298" s="50">
        <f t="shared" si="39"/>
        <v>2178.3000000000002</v>
      </c>
      <c r="Z298" s="32" t="s">
        <v>7</v>
      </c>
      <c r="AA298" s="3">
        <v>15.355773137132701</v>
      </c>
    </row>
    <row r="299" spans="1:27" s="3" customFormat="1" x14ac:dyDescent="0.25">
      <c r="A299" s="30"/>
      <c r="B299" s="8"/>
      <c r="C299" s="31">
        <v>41415</v>
      </c>
      <c r="D299" s="3">
        <v>13.6</v>
      </c>
      <c r="E299" s="3">
        <v>11.8</v>
      </c>
      <c r="F299" s="3">
        <v>17.2</v>
      </c>
      <c r="G299" s="3">
        <f t="shared" ref="G299:G354" si="46">G298+D299</f>
        <v>2245.5000000000005</v>
      </c>
      <c r="H299" s="50">
        <f t="shared" si="38"/>
        <v>46.800000000000004</v>
      </c>
      <c r="I299" s="3">
        <f>MAX(F296:F319)</f>
        <v>27.8</v>
      </c>
      <c r="J299" s="3">
        <v>0.1</v>
      </c>
      <c r="K299" s="3">
        <f t="shared" ref="K299:K354" si="47">J299+K298</f>
        <v>677.8</v>
      </c>
      <c r="L299" s="3">
        <v>1.6</v>
      </c>
      <c r="M299" s="3">
        <f t="shared" ref="M299:M354" si="48">M298+L299</f>
        <v>334.49999999999989</v>
      </c>
      <c r="N299" s="3">
        <v>-1.5</v>
      </c>
      <c r="O299" s="3">
        <f t="shared" si="42"/>
        <v>143.09999999999997</v>
      </c>
      <c r="P299" s="3">
        <v>259</v>
      </c>
      <c r="Q299" s="20">
        <f t="shared" si="43"/>
        <v>1.0957627118644067</v>
      </c>
      <c r="R299" s="7">
        <f t="shared" si="44"/>
        <v>1.7532203389830507</v>
      </c>
      <c r="S299" s="7">
        <f t="shared" si="45"/>
        <v>-1.6532203389830507</v>
      </c>
      <c r="T299" s="7">
        <f t="shared" si="40"/>
        <v>128.48491525423731</v>
      </c>
      <c r="U299" s="3">
        <v>0</v>
      </c>
      <c r="V299" s="3">
        <v>637.4</v>
      </c>
      <c r="X299" s="3">
        <f t="shared" ref="X299:X354" si="49">X298+V299</f>
        <v>179889.99999999997</v>
      </c>
      <c r="Y299" s="50">
        <f t="shared" si="39"/>
        <v>2815.7000000000003</v>
      </c>
      <c r="Z299" s="3">
        <f>(Z297/100)/I309</f>
        <v>1.1513972689742775</v>
      </c>
      <c r="AA299" s="3">
        <v>15.3952232191133</v>
      </c>
    </row>
    <row r="300" spans="1:27" s="3" customFormat="1" x14ac:dyDescent="0.25">
      <c r="A300" s="30"/>
      <c r="B300" s="8"/>
      <c r="C300" s="31">
        <v>41416</v>
      </c>
      <c r="D300" s="3">
        <v>12.5</v>
      </c>
      <c r="E300" s="3">
        <v>10.8</v>
      </c>
      <c r="F300" s="3">
        <v>15.1</v>
      </c>
      <c r="G300" s="3">
        <f t="shared" si="46"/>
        <v>2258.0000000000005</v>
      </c>
      <c r="H300" s="50">
        <f t="shared" si="38"/>
        <v>59.300000000000004</v>
      </c>
      <c r="I300" s="32" t="s">
        <v>8</v>
      </c>
      <c r="J300" s="3">
        <v>0</v>
      </c>
      <c r="K300" s="3">
        <f t="shared" si="47"/>
        <v>677.8</v>
      </c>
      <c r="L300" s="3">
        <v>1.8</v>
      </c>
      <c r="M300" s="3">
        <f t="shared" si="48"/>
        <v>336.2999999999999</v>
      </c>
      <c r="N300" s="3">
        <v>-1.8</v>
      </c>
      <c r="O300" s="3">
        <f t="shared" si="42"/>
        <v>141.29999999999995</v>
      </c>
      <c r="P300" s="3">
        <v>260</v>
      </c>
      <c r="Q300" s="20">
        <f t="shared" si="43"/>
        <v>1.0822033898305083</v>
      </c>
      <c r="R300" s="7">
        <f t="shared" si="44"/>
        <v>1.947966101694915</v>
      </c>
      <c r="S300" s="7">
        <f t="shared" si="45"/>
        <v>-1.947966101694915</v>
      </c>
      <c r="T300" s="7">
        <f t="shared" si="40"/>
        <v>126.53694915254239</v>
      </c>
      <c r="U300" s="32" t="s">
        <v>9</v>
      </c>
      <c r="V300" s="3">
        <v>1060.0999999999999</v>
      </c>
      <c r="X300" s="3">
        <f t="shared" si="49"/>
        <v>180950.09999999998</v>
      </c>
      <c r="Y300" s="50">
        <f t="shared" si="39"/>
        <v>3875.8</v>
      </c>
      <c r="Z300" s="32" t="s">
        <v>10</v>
      </c>
      <c r="AA300" s="3">
        <v>15.433803680661301</v>
      </c>
    </row>
    <row r="301" spans="1:27" s="3" customFormat="1" x14ac:dyDescent="0.25">
      <c r="A301" s="30"/>
      <c r="B301" s="8"/>
      <c r="C301" s="31">
        <v>41417</v>
      </c>
      <c r="D301" s="3">
        <v>9.8000000000000007</v>
      </c>
      <c r="E301" s="3">
        <v>8.1</v>
      </c>
      <c r="F301" s="3">
        <v>12.8</v>
      </c>
      <c r="G301" s="3">
        <f t="shared" si="46"/>
        <v>2267.8000000000006</v>
      </c>
      <c r="H301" s="50">
        <f t="shared" ref="H301:H354" si="50">H300+D301</f>
        <v>69.100000000000009</v>
      </c>
      <c r="I301" s="3">
        <f>AVERAGE(D296:D319)</f>
        <v>13.120833333333332</v>
      </c>
      <c r="J301" s="3">
        <v>2.4</v>
      </c>
      <c r="K301" s="3">
        <f t="shared" si="47"/>
        <v>680.19999999999993</v>
      </c>
      <c r="L301" s="3">
        <v>3.8</v>
      </c>
      <c r="M301" s="3">
        <f t="shared" si="48"/>
        <v>340.09999999999991</v>
      </c>
      <c r="N301" s="3">
        <v>-1.4</v>
      </c>
      <c r="O301" s="3">
        <f t="shared" si="42"/>
        <v>139.89999999999995</v>
      </c>
      <c r="P301" s="3">
        <v>261</v>
      </c>
      <c r="Q301" s="20">
        <f t="shared" si="43"/>
        <v>1.06864406779661</v>
      </c>
      <c r="R301" s="7">
        <f t="shared" si="44"/>
        <v>4.0608474576271183</v>
      </c>
      <c r="S301" s="7">
        <f t="shared" si="45"/>
        <v>-1.6608474576271184</v>
      </c>
      <c r="T301" s="7">
        <f t="shared" si="40"/>
        <v>124.87610169491528</v>
      </c>
      <c r="U301" s="3">
        <v>0</v>
      </c>
      <c r="V301" s="3">
        <v>2409.3000000000002</v>
      </c>
      <c r="X301" s="3">
        <f t="shared" si="49"/>
        <v>183359.39999999997</v>
      </c>
      <c r="Y301" s="50">
        <f t="shared" ref="Y301:Y354" si="51">Y300+V301</f>
        <v>6285.1</v>
      </c>
      <c r="Z301" s="3">
        <v>5</v>
      </c>
      <c r="AA301" s="3">
        <v>15.471488762918799</v>
      </c>
    </row>
    <row r="302" spans="1:27" s="3" customFormat="1" x14ac:dyDescent="0.25">
      <c r="A302" s="30"/>
      <c r="B302" s="8"/>
      <c r="C302" s="31">
        <v>41418</v>
      </c>
      <c r="D302" s="3">
        <v>8.5</v>
      </c>
      <c r="E302" s="3">
        <v>5.2</v>
      </c>
      <c r="F302" s="3">
        <v>10.199999999999999</v>
      </c>
      <c r="G302" s="3">
        <f t="shared" si="46"/>
        <v>2276.3000000000006</v>
      </c>
      <c r="H302" s="50">
        <f t="shared" si="50"/>
        <v>77.600000000000009</v>
      </c>
      <c r="I302" s="32" t="s">
        <v>11</v>
      </c>
      <c r="J302" s="3">
        <v>2.7</v>
      </c>
      <c r="K302" s="3">
        <f t="shared" si="47"/>
        <v>682.9</v>
      </c>
      <c r="L302" s="3">
        <v>1.8</v>
      </c>
      <c r="M302" s="3">
        <f t="shared" si="48"/>
        <v>341.89999999999992</v>
      </c>
      <c r="N302" s="3">
        <v>0.90000000000000013</v>
      </c>
      <c r="O302" s="3">
        <f t="shared" si="42"/>
        <v>140.79999999999995</v>
      </c>
      <c r="P302" s="3">
        <v>262</v>
      </c>
      <c r="Q302" s="20">
        <f t="shared" si="43"/>
        <v>1.0550847457627117</v>
      </c>
      <c r="R302" s="7">
        <f t="shared" si="44"/>
        <v>1.8991525423728812</v>
      </c>
      <c r="S302" s="7">
        <f t="shared" si="45"/>
        <v>0.80084745762711895</v>
      </c>
      <c r="T302" s="7">
        <f t="shared" ref="T302:T354" si="52">MIN(197.4,T301+S302)</f>
        <v>125.67694915254239</v>
      </c>
      <c r="U302" s="32" t="s">
        <v>12</v>
      </c>
      <c r="V302" s="3">
        <v>1471.4</v>
      </c>
      <c r="X302" s="3">
        <f t="shared" si="49"/>
        <v>184830.79999999996</v>
      </c>
      <c r="Y302" s="50">
        <f t="shared" si="51"/>
        <v>7756.5</v>
      </c>
      <c r="AA302" s="3">
        <v>15.508252651086901</v>
      </c>
    </row>
    <row r="303" spans="1:27" s="3" customFormat="1" x14ac:dyDescent="0.25">
      <c r="A303" s="30"/>
      <c r="B303" s="8"/>
      <c r="C303" s="31">
        <v>41419</v>
      </c>
      <c r="D303" s="3">
        <v>10.199999999999999</v>
      </c>
      <c r="E303" s="3">
        <v>7.9</v>
      </c>
      <c r="F303" s="3">
        <v>13.7</v>
      </c>
      <c r="G303" s="3">
        <f t="shared" si="46"/>
        <v>2286.5000000000005</v>
      </c>
      <c r="H303" s="50">
        <f t="shared" si="50"/>
        <v>87.800000000000011</v>
      </c>
      <c r="I303" s="3">
        <v>0</v>
      </c>
      <c r="J303" s="3">
        <v>0</v>
      </c>
      <c r="K303" s="3">
        <f t="shared" si="47"/>
        <v>682.9</v>
      </c>
      <c r="L303" s="3">
        <v>3.4</v>
      </c>
      <c r="M303" s="3">
        <f t="shared" si="48"/>
        <v>345.2999999999999</v>
      </c>
      <c r="N303" s="3">
        <v>-3.4</v>
      </c>
      <c r="O303" s="3">
        <f t="shared" si="42"/>
        <v>137.39999999999995</v>
      </c>
      <c r="P303" s="3">
        <v>263</v>
      </c>
      <c r="Q303" s="20">
        <f t="shared" si="43"/>
        <v>1.0415254237288134</v>
      </c>
      <c r="R303" s="7">
        <f t="shared" si="44"/>
        <v>3.5411864406779654</v>
      </c>
      <c r="S303" s="7">
        <f t="shared" si="45"/>
        <v>-3.5411864406779654</v>
      </c>
      <c r="T303" s="7">
        <f t="shared" si="52"/>
        <v>122.13576271186443</v>
      </c>
      <c r="U303" s="7">
        <f>MIN(T296:T319)</f>
        <v>120.28542372881358</v>
      </c>
      <c r="V303" s="3">
        <v>2253.1</v>
      </c>
      <c r="X303" s="3">
        <f t="shared" si="49"/>
        <v>187083.89999999997</v>
      </c>
      <c r="Y303" s="50">
        <f t="shared" si="51"/>
        <v>10009.6</v>
      </c>
      <c r="AA303" s="3">
        <v>15.544069525182699</v>
      </c>
    </row>
    <row r="304" spans="1:27" s="3" customFormat="1" x14ac:dyDescent="0.25">
      <c r="A304" s="30"/>
      <c r="B304" s="8"/>
      <c r="C304" s="31">
        <v>41420</v>
      </c>
      <c r="D304" s="3">
        <v>10.8</v>
      </c>
      <c r="E304" s="3">
        <v>4.4000000000000004</v>
      </c>
      <c r="F304" s="3">
        <v>17.3</v>
      </c>
      <c r="G304" s="3">
        <f t="shared" si="46"/>
        <v>2297.3000000000006</v>
      </c>
      <c r="H304" s="50">
        <f t="shared" si="50"/>
        <v>98.600000000000009</v>
      </c>
      <c r="I304" s="32" t="s">
        <v>13</v>
      </c>
      <c r="J304" s="3">
        <v>0</v>
      </c>
      <c r="K304" s="3">
        <f t="shared" si="47"/>
        <v>682.9</v>
      </c>
      <c r="L304" s="3">
        <v>1.8</v>
      </c>
      <c r="M304" s="3">
        <f t="shared" si="48"/>
        <v>347.09999999999991</v>
      </c>
      <c r="N304" s="3">
        <v>-1.8</v>
      </c>
      <c r="O304" s="3">
        <f t="shared" si="42"/>
        <v>135.59999999999994</v>
      </c>
      <c r="P304" s="3">
        <v>264</v>
      </c>
      <c r="Q304" s="20">
        <f t="shared" si="43"/>
        <v>1.0279661016949151</v>
      </c>
      <c r="R304" s="7">
        <f t="shared" si="44"/>
        <v>1.8503389830508472</v>
      </c>
      <c r="S304" s="7">
        <f t="shared" si="45"/>
        <v>-1.8503389830508472</v>
      </c>
      <c r="T304" s="7">
        <f t="shared" si="52"/>
        <v>120.28542372881358</v>
      </c>
      <c r="U304" s="32" t="s">
        <v>14</v>
      </c>
      <c r="V304" s="3">
        <v>1162.7</v>
      </c>
      <c r="X304" s="3">
        <f t="shared" si="49"/>
        <v>188246.59999999998</v>
      </c>
      <c r="Y304" s="50">
        <f t="shared" si="51"/>
        <v>11172.300000000001</v>
      </c>
      <c r="AA304" s="3">
        <v>15.578913613345801</v>
      </c>
    </row>
    <row r="305" spans="1:27" s="3" customFormat="1" x14ac:dyDescent="0.25">
      <c r="A305" s="30"/>
      <c r="B305" s="8"/>
      <c r="C305" s="31">
        <v>41421</v>
      </c>
      <c r="D305" s="3">
        <v>12.8</v>
      </c>
      <c r="E305" s="3">
        <v>6.6</v>
      </c>
      <c r="F305" s="3">
        <v>18.600000000000001</v>
      </c>
      <c r="G305" s="3">
        <f t="shared" si="46"/>
        <v>2310.1000000000008</v>
      </c>
      <c r="H305" s="50">
        <f t="shared" si="50"/>
        <v>111.4</v>
      </c>
      <c r="I305" s="3">
        <v>2</v>
      </c>
      <c r="J305" s="3">
        <v>15.1</v>
      </c>
      <c r="K305" s="3">
        <f t="shared" si="47"/>
        <v>698</v>
      </c>
      <c r="L305" s="3">
        <v>3</v>
      </c>
      <c r="M305" s="3">
        <f t="shared" si="48"/>
        <v>350.09999999999991</v>
      </c>
      <c r="N305" s="3">
        <v>12.1</v>
      </c>
      <c r="O305" s="3">
        <f t="shared" si="42"/>
        <v>147.69999999999993</v>
      </c>
      <c r="P305" s="3">
        <v>265</v>
      </c>
      <c r="Q305" s="20">
        <f t="shared" si="43"/>
        <v>1.0144067796610168</v>
      </c>
      <c r="R305" s="7">
        <f t="shared" si="44"/>
        <v>3.0432203389830503</v>
      </c>
      <c r="S305" s="7">
        <f t="shared" si="45"/>
        <v>12.05677966101695</v>
      </c>
      <c r="T305" s="7">
        <f t="shared" si="52"/>
        <v>132.34220338983053</v>
      </c>
      <c r="U305" s="7">
        <f>MAX(T296:T319)</f>
        <v>144.58101694915257</v>
      </c>
      <c r="V305" s="3">
        <v>1520.9</v>
      </c>
      <c r="X305" s="3">
        <f t="shared" si="49"/>
        <v>189767.49999999997</v>
      </c>
      <c r="Y305" s="50">
        <f t="shared" si="51"/>
        <v>12693.2</v>
      </c>
      <c r="AA305" s="3">
        <v>15.612759247572299</v>
      </c>
    </row>
    <row r="306" spans="1:27" s="3" customFormat="1" x14ac:dyDescent="0.25">
      <c r="A306" s="30"/>
      <c r="B306" s="8"/>
      <c r="C306" s="31">
        <v>41422</v>
      </c>
      <c r="D306" s="3">
        <v>9.3000000000000007</v>
      </c>
      <c r="E306" s="3">
        <v>7.7</v>
      </c>
      <c r="F306" s="3">
        <v>10.5</v>
      </c>
      <c r="G306" s="3">
        <f t="shared" si="46"/>
        <v>2319.400000000001</v>
      </c>
      <c r="H306" s="50">
        <f t="shared" si="50"/>
        <v>120.7</v>
      </c>
      <c r="I306" s="32" t="s">
        <v>15</v>
      </c>
      <c r="J306" s="3">
        <v>9</v>
      </c>
      <c r="K306" s="3">
        <f t="shared" si="47"/>
        <v>707</v>
      </c>
      <c r="L306" s="3">
        <v>1.6</v>
      </c>
      <c r="M306" s="3">
        <f t="shared" si="48"/>
        <v>351.69999999999993</v>
      </c>
      <c r="N306" s="3">
        <v>7.4</v>
      </c>
      <c r="O306" s="3">
        <f t="shared" si="42"/>
        <v>155.09999999999994</v>
      </c>
      <c r="P306" s="3">
        <v>266</v>
      </c>
      <c r="Q306" s="20">
        <f t="shared" si="43"/>
        <v>1.0008474576271187</v>
      </c>
      <c r="R306" s="7">
        <f t="shared" si="44"/>
        <v>1.6013559322033899</v>
      </c>
      <c r="S306" s="7">
        <f t="shared" si="45"/>
        <v>7.3986440677966101</v>
      </c>
      <c r="T306" s="7">
        <f t="shared" si="52"/>
        <v>139.74084745762713</v>
      </c>
      <c r="U306" s="32" t="s">
        <v>16</v>
      </c>
      <c r="V306" s="3">
        <v>1079.2</v>
      </c>
      <c r="X306" s="3">
        <f t="shared" si="49"/>
        <v>190846.69999999998</v>
      </c>
      <c r="Y306" s="50">
        <f t="shared" si="51"/>
        <v>13772.400000000001</v>
      </c>
      <c r="AA306" s="3">
        <v>15.6455809217266</v>
      </c>
    </row>
    <row r="307" spans="1:27" s="3" customFormat="1" x14ac:dyDescent="0.25">
      <c r="A307" s="30"/>
      <c r="B307" s="8"/>
      <c r="C307" s="31">
        <v>41423</v>
      </c>
      <c r="D307" s="3">
        <v>10.7</v>
      </c>
      <c r="E307" s="3">
        <v>6.6</v>
      </c>
      <c r="F307" s="3">
        <v>13.5</v>
      </c>
      <c r="G307" s="3">
        <f t="shared" si="46"/>
        <v>2330.1000000000008</v>
      </c>
      <c r="H307" s="50">
        <f t="shared" si="50"/>
        <v>131.4</v>
      </c>
      <c r="I307" s="3">
        <v>1</v>
      </c>
      <c r="J307" s="3">
        <v>0.6</v>
      </c>
      <c r="K307" s="3">
        <f t="shared" si="47"/>
        <v>707.6</v>
      </c>
      <c r="L307" s="3">
        <v>1.3</v>
      </c>
      <c r="M307" s="3">
        <f t="shared" si="48"/>
        <v>352.99999999999994</v>
      </c>
      <c r="N307" s="3">
        <v>-0.70000000000000007</v>
      </c>
      <c r="O307" s="3">
        <f t="shared" si="42"/>
        <v>154.39999999999995</v>
      </c>
      <c r="P307" s="3">
        <v>267</v>
      </c>
      <c r="Q307" s="20">
        <f t="shared" si="43"/>
        <v>0.98728813559322026</v>
      </c>
      <c r="R307" s="7">
        <f t="shared" si="44"/>
        <v>1.2834745762711863</v>
      </c>
      <c r="S307" s="7">
        <f t="shared" si="45"/>
        <v>-0.68347457627118635</v>
      </c>
      <c r="T307" s="7">
        <f t="shared" si="52"/>
        <v>139.05737288135595</v>
      </c>
      <c r="U307" s="20">
        <f>AVERAGE(T296:T319)</f>
        <v>131.50269774011301</v>
      </c>
      <c r="V307" s="3">
        <v>941.7</v>
      </c>
      <c r="X307" s="3">
        <f t="shared" si="49"/>
        <v>191788.4</v>
      </c>
      <c r="Y307" s="50">
        <f t="shared" si="51"/>
        <v>14714.100000000002</v>
      </c>
      <c r="AA307" s="3">
        <v>15.677353351658899</v>
      </c>
    </row>
    <row r="308" spans="1:27" s="3" customFormat="1" x14ac:dyDescent="0.25">
      <c r="A308" s="30"/>
      <c r="B308" s="8"/>
      <c r="C308" s="31">
        <v>41424</v>
      </c>
      <c r="D308" s="3">
        <v>12.5</v>
      </c>
      <c r="E308" s="3">
        <v>10.3</v>
      </c>
      <c r="F308" s="3">
        <v>14</v>
      </c>
      <c r="G308" s="3">
        <f t="shared" si="46"/>
        <v>2342.6000000000008</v>
      </c>
      <c r="H308" s="50">
        <f t="shared" si="50"/>
        <v>143.9</v>
      </c>
      <c r="I308" s="32" t="s">
        <v>17</v>
      </c>
      <c r="J308" s="3">
        <v>6.4</v>
      </c>
      <c r="K308" s="3">
        <f t="shared" si="47"/>
        <v>714</v>
      </c>
      <c r="L308" s="3">
        <v>0.9</v>
      </c>
      <c r="M308" s="3">
        <f t="shared" si="48"/>
        <v>353.89999999999992</v>
      </c>
      <c r="N308" s="3">
        <v>5.5</v>
      </c>
      <c r="O308" s="3">
        <f t="shared" si="42"/>
        <v>159.89999999999995</v>
      </c>
      <c r="P308" s="3">
        <v>268</v>
      </c>
      <c r="Q308" s="20">
        <f t="shared" si="43"/>
        <v>0.97372881355932195</v>
      </c>
      <c r="R308" s="7">
        <f t="shared" si="44"/>
        <v>0.87635593220338981</v>
      </c>
      <c r="S308" s="7">
        <f t="shared" si="45"/>
        <v>5.5236440677966101</v>
      </c>
      <c r="T308" s="7">
        <f t="shared" si="52"/>
        <v>144.58101694915257</v>
      </c>
      <c r="V308" s="3">
        <v>649.79999999999995</v>
      </c>
      <c r="X308" s="3">
        <f t="shared" si="49"/>
        <v>192438.19999999998</v>
      </c>
      <c r="Y308" s="50">
        <f t="shared" si="51"/>
        <v>15363.900000000001</v>
      </c>
      <c r="AA308" s="3">
        <v>15.7080515372264</v>
      </c>
    </row>
    <row r="309" spans="1:27" s="3" customFormat="1" x14ac:dyDescent="0.25">
      <c r="A309" s="30"/>
      <c r="B309" s="8"/>
      <c r="C309" s="31">
        <v>41425</v>
      </c>
      <c r="D309" s="3">
        <v>14.1</v>
      </c>
      <c r="E309" s="3">
        <v>11.4</v>
      </c>
      <c r="F309" s="3">
        <v>17.2</v>
      </c>
      <c r="G309" s="3">
        <f t="shared" si="46"/>
        <v>2356.7000000000007</v>
      </c>
      <c r="H309" s="50">
        <f t="shared" si="50"/>
        <v>158</v>
      </c>
      <c r="I309" s="3">
        <v>314.89999999999998</v>
      </c>
      <c r="J309" s="3">
        <v>0</v>
      </c>
      <c r="K309" s="3">
        <f t="shared" si="47"/>
        <v>714</v>
      </c>
      <c r="L309" s="3">
        <v>2.2000000000000002</v>
      </c>
      <c r="M309" s="3">
        <f t="shared" si="48"/>
        <v>356.09999999999991</v>
      </c>
      <c r="N309" s="3">
        <v>-2.2000000000000002</v>
      </c>
      <c r="O309" s="3">
        <f t="shared" si="42"/>
        <v>157.69999999999996</v>
      </c>
      <c r="P309" s="3">
        <v>269</v>
      </c>
      <c r="Q309" s="20">
        <f t="shared" si="43"/>
        <v>0.96016949152542364</v>
      </c>
      <c r="R309" s="7">
        <f t="shared" si="44"/>
        <v>2.1123728813559324</v>
      </c>
      <c r="S309" s="7">
        <f t="shared" si="45"/>
        <v>-2.1123728813559324</v>
      </c>
      <c r="T309" s="7">
        <f t="shared" si="52"/>
        <v>142.46864406779665</v>
      </c>
      <c r="U309" s="7">
        <f>(U307*100)/197.4</f>
        <v>66.617374741698583</v>
      </c>
      <c r="V309" s="3">
        <v>1169.9000000000001</v>
      </c>
      <c r="X309" s="3">
        <f t="shared" si="49"/>
        <v>193608.09999999998</v>
      </c>
      <c r="Y309" s="50">
        <f t="shared" si="51"/>
        <v>16533.800000000003</v>
      </c>
      <c r="AA309" s="3">
        <v>15.7376508259911</v>
      </c>
    </row>
    <row r="310" spans="1:27" s="3" customFormat="1" x14ac:dyDescent="0.25">
      <c r="A310" s="30"/>
      <c r="B310" s="8"/>
      <c r="C310" s="31">
        <v>41426</v>
      </c>
      <c r="D310" s="3">
        <v>13.4</v>
      </c>
      <c r="E310" s="3">
        <v>10.4</v>
      </c>
      <c r="F310" s="3">
        <v>17.8</v>
      </c>
      <c r="G310" s="3">
        <f t="shared" si="46"/>
        <v>2370.1000000000008</v>
      </c>
      <c r="H310" s="50">
        <f t="shared" si="50"/>
        <v>171.4</v>
      </c>
      <c r="J310" s="3">
        <v>0</v>
      </c>
      <c r="K310" s="3">
        <f t="shared" si="47"/>
        <v>714</v>
      </c>
      <c r="L310" s="3">
        <v>2.7</v>
      </c>
      <c r="M310" s="3">
        <f t="shared" si="48"/>
        <v>358.7999999999999</v>
      </c>
      <c r="N310" s="3">
        <v>-2.7</v>
      </c>
      <c r="O310" s="3">
        <f t="shared" si="42"/>
        <v>154.99999999999997</v>
      </c>
      <c r="P310" s="3">
        <v>270</v>
      </c>
      <c r="Q310" s="20">
        <f t="shared" si="43"/>
        <v>0.94661016949152532</v>
      </c>
      <c r="R310" s="7">
        <f t="shared" si="44"/>
        <v>2.5558474576271184</v>
      </c>
      <c r="S310" s="7">
        <f t="shared" si="45"/>
        <v>-2.5558474576271184</v>
      </c>
      <c r="T310" s="7">
        <f t="shared" si="52"/>
        <v>139.91279661016952</v>
      </c>
      <c r="V310" s="3">
        <v>1503.3</v>
      </c>
      <c r="X310" s="3">
        <f t="shared" si="49"/>
        <v>195111.39999999997</v>
      </c>
      <c r="Y310" s="50">
        <f t="shared" si="51"/>
        <v>18037.100000000002</v>
      </c>
      <c r="AA310" s="3">
        <v>15.7661269783405</v>
      </c>
    </row>
    <row r="311" spans="1:27" s="3" customFormat="1" x14ac:dyDescent="0.25">
      <c r="A311" s="30"/>
      <c r="B311" s="8"/>
      <c r="C311" s="31">
        <v>41427</v>
      </c>
      <c r="D311" s="3">
        <v>13.3</v>
      </c>
      <c r="E311" s="3">
        <v>8.3000000000000007</v>
      </c>
      <c r="F311" s="3">
        <v>17.5</v>
      </c>
      <c r="G311" s="3">
        <f t="shared" si="46"/>
        <v>2383.400000000001</v>
      </c>
      <c r="H311" s="50">
        <f t="shared" si="50"/>
        <v>184.70000000000002</v>
      </c>
      <c r="J311" s="3">
        <v>0</v>
      </c>
      <c r="K311" s="3">
        <f t="shared" si="47"/>
        <v>714</v>
      </c>
      <c r="L311" s="3">
        <v>3</v>
      </c>
      <c r="M311" s="3">
        <f t="shared" si="48"/>
        <v>361.7999999999999</v>
      </c>
      <c r="N311" s="3">
        <v>-3</v>
      </c>
      <c r="O311" s="3">
        <f t="shared" si="42"/>
        <v>151.99999999999997</v>
      </c>
      <c r="P311" s="3">
        <v>271</v>
      </c>
      <c r="Q311" s="20">
        <f t="shared" si="43"/>
        <v>0.93305084745762701</v>
      </c>
      <c r="R311" s="7">
        <f t="shared" si="44"/>
        <v>2.7991525423728811</v>
      </c>
      <c r="S311" s="7">
        <f t="shared" si="45"/>
        <v>-2.7991525423728811</v>
      </c>
      <c r="T311" s="7">
        <f t="shared" si="52"/>
        <v>137.11364406779663</v>
      </c>
      <c r="V311" s="3">
        <v>1993.2</v>
      </c>
      <c r="X311" s="3">
        <f t="shared" si="49"/>
        <v>197104.59999999998</v>
      </c>
      <c r="Y311" s="50">
        <f t="shared" si="51"/>
        <v>20030.300000000003</v>
      </c>
      <c r="AA311" s="3">
        <v>15.793456233751099</v>
      </c>
    </row>
    <row r="312" spans="1:27" s="3" customFormat="1" x14ac:dyDescent="0.25">
      <c r="A312" s="30"/>
      <c r="B312" s="8"/>
      <c r="C312" s="31">
        <v>41428</v>
      </c>
      <c r="D312" s="3">
        <v>14.1</v>
      </c>
      <c r="E312" s="3">
        <v>9.6</v>
      </c>
      <c r="F312" s="3">
        <v>18.100000000000001</v>
      </c>
      <c r="G312" s="3">
        <f t="shared" si="46"/>
        <v>2397.5000000000009</v>
      </c>
      <c r="H312" s="50">
        <f t="shared" si="50"/>
        <v>198.8</v>
      </c>
      <c r="J312" s="3">
        <v>0</v>
      </c>
      <c r="K312" s="3">
        <f t="shared" si="47"/>
        <v>714</v>
      </c>
      <c r="L312" s="3">
        <v>5.0999999999999996</v>
      </c>
      <c r="M312" s="3">
        <f t="shared" si="48"/>
        <v>366.89999999999992</v>
      </c>
      <c r="N312" s="3">
        <v>-5.0999999999999996</v>
      </c>
      <c r="O312" s="3">
        <f t="shared" si="42"/>
        <v>146.89999999999998</v>
      </c>
      <c r="P312" s="3">
        <v>272</v>
      </c>
      <c r="Q312" s="20">
        <f t="shared" si="43"/>
        <v>0.9194915254237287</v>
      </c>
      <c r="R312" s="7">
        <f t="shared" si="44"/>
        <v>4.6894067796610157</v>
      </c>
      <c r="S312" s="7">
        <f t="shared" si="45"/>
        <v>-4.6894067796610157</v>
      </c>
      <c r="T312" s="7">
        <f t="shared" si="52"/>
        <v>132.4242372881356</v>
      </c>
      <c r="V312" s="3">
        <v>3209.4</v>
      </c>
      <c r="X312" s="3">
        <f t="shared" si="49"/>
        <v>200313.99999999997</v>
      </c>
      <c r="Y312" s="50">
        <f t="shared" si="51"/>
        <v>23239.700000000004</v>
      </c>
      <c r="AA312" s="3">
        <v>15.819615377891401</v>
      </c>
    </row>
    <row r="313" spans="1:27" s="3" customFormat="1" x14ac:dyDescent="0.25">
      <c r="A313" s="30"/>
      <c r="B313" s="8"/>
      <c r="C313" s="31">
        <v>41429</v>
      </c>
      <c r="D313" s="3">
        <v>14</v>
      </c>
      <c r="E313" s="3">
        <v>9.1</v>
      </c>
      <c r="F313" s="3">
        <v>18.399999999999999</v>
      </c>
      <c r="G313" s="3">
        <f t="shared" si="46"/>
        <v>2411.5000000000009</v>
      </c>
      <c r="H313" s="50">
        <f t="shared" si="50"/>
        <v>212.8</v>
      </c>
      <c r="J313" s="3">
        <v>0</v>
      </c>
      <c r="K313" s="3">
        <f t="shared" si="47"/>
        <v>714</v>
      </c>
      <c r="L313" s="3">
        <v>3.9</v>
      </c>
      <c r="M313" s="3">
        <f t="shared" si="48"/>
        <v>370.7999999999999</v>
      </c>
      <c r="N313" s="3">
        <v>-3.9</v>
      </c>
      <c r="O313" s="3">
        <f t="shared" si="42"/>
        <v>142.99999999999997</v>
      </c>
      <c r="P313" s="3">
        <v>273</v>
      </c>
      <c r="Q313" s="20">
        <f t="shared" si="43"/>
        <v>0.90593220338983049</v>
      </c>
      <c r="R313" s="7">
        <f t="shared" si="44"/>
        <v>3.5331355932203388</v>
      </c>
      <c r="S313" s="7">
        <f t="shared" si="45"/>
        <v>-3.5331355932203388</v>
      </c>
      <c r="T313" s="7">
        <f t="shared" si="52"/>
        <v>128.89110169491525</v>
      </c>
      <c r="V313" s="3">
        <v>2458</v>
      </c>
      <c r="X313" s="3">
        <f t="shared" si="49"/>
        <v>202771.99999999997</v>
      </c>
      <c r="Y313" s="50">
        <f t="shared" si="51"/>
        <v>25697.700000000004</v>
      </c>
      <c r="AA313" s="3">
        <v>15.8445818102358</v>
      </c>
    </row>
    <row r="314" spans="1:27" s="3" customFormat="1" x14ac:dyDescent="0.25">
      <c r="A314" s="30"/>
      <c r="B314" s="8"/>
      <c r="C314" s="31">
        <v>41430</v>
      </c>
      <c r="D314" s="3">
        <v>16.600000000000001</v>
      </c>
      <c r="E314" s="3">
        <v>10.6</v>
      </c>
      <c r="F314" s="3">
        <v>22.7</v>
      </c>
      <c r="G314" s="3">
        <f t="shared" si="46"/>
        <v>2428.1000000000008</v>
      </c>
      <c r="H314" s="50">
        <f t="shared" si="50"/>
        <v>229.4</v>
      </c>
      <c r="J314" s="3">
        <v>0</v>
      </c>
      <c r="K314" s="3">
        <f t="shared" si="47"/>
        <v>714</v>
      </c>
      <c r="L314" s="3">
        <v>4.7</v>
      </c>
      <c r="M314" s="3">
        <f t="shared" si="48"/>
        <v>375.49999999999989</v>
      </c>
      <c r="N314" s="3">
        <v>-4.7</v>
      </c>
      <c r="O314" s="3">
        <f t="shared" si="42"/>
        <v>138.29999999999998</v>
      </c>
      <c r="P314" s="3">
        <v>274</v>
      </c>
      <c r="Q314" s="20">
        <f t="shared" si="43"/>
        <v>0.89237288135593218</v>
      </c>
      <c r="R314" s="7">
        <f t="shared" si="44"/>
        <v>4.1941525423728816</v>
      </c>
      <c r="S314" s="7">
        <f t="shared" si="45"/>
        <v>-4.1941525423728816</v>
      </c>
      <c r="T314" s="7">
        <f t="shared" si="52"/>
        <v>124.69694915254237</v>
      </c>
      <c r="V314" s="3">
        <v>2660.7</v>
      </c>
      <c r="X314" s="3">
        <f t="shared" si="49"/>
        <v>205432.69999999998</v>
      </c>
      <c r="Y314" s="50">
        <f t="shared" si="51"/>
        <v>28358.400000000005</v>
      </c>
      <c r="AA314" s="3">
        <v>15.868333611840001</v>
      </c>
    </row>
    <row r="315" spans="1:27" s="3" customFormat="1" x14ac:dyDescent="0.25">
      <c r="A315" s="30"/>
      <c r="B315" s="8"/>
      <c r="C315" s="31">
        <v>41431</v>
      </c>
      <c r="D315" s="3">
        <v>20.3</v>
      </c>
      <c r="E315" s="3">
        <v>12.8</v>
      </c>
      <c r="F315" s="3">
        <v>25.6</v>
      </c>
      <c r="G315" s="3">
        <f t="shared" si="46"/>
        <v>2448.400000000001</v>
      </c>
      <c r="H315" s="50">
        <f t="shared" si="50"/>
        <v>249.70000000000002</v>
      </c>
      <c r="J315" s="3">
        <v>0</v>
      </c>
      <c r="K315" s="3">
        <f t="shared" si="47"/>
        <v>714</v>
      </c>
      <c r="L315" s="3">
        <v>4</v>
      </c>
      <c r="M315" s="3">
        <f t="shared" si="48"/>
        <v>379.49999999999989</v>
      </c>
      <c r="N315" s="3">
        <v>-4</v>
      </c>
      <c r="O315" s="3">
        <f t="shared" si="42"/>
        <v>134.29999999999998</v>
      </c>
      <c r="P315" s="3">
        <v>275</v>
      </c>
      <c r="Q315" s="20">
        <f t="shared" si="43"/>
        <v>0.87881355932203387</v>
      </c>
      <c r="R315" s="7">
        <f t="shared" si="44"/>
        <v>3.5152542372881355</v>
      </c>
      <c r="S315" s="7">
        <f t="shared" si="45"/>
        <v>-3.5152542372881355</v>
      </c>
      <c r="T315" s="7">
        <f t="shared" si="52"/>
        <v>121.18169491525424</v>
      </c>
      <c r="V315" s="3">
        <v>2188.8000000000002</v>
      </c>
      <c r="X315" s="3">
        <f t="shared" si="49"/>
        <v>207621.49999999997</v>
      </c>
      <c r="Y315" s="50">
        <f t="shared" si="51"/>
        <v>30547.200000000004</v>
      </c>
      <c r="AA315" s="3">
        <v>15.8908496129102</v>
      </c>
    </row>
    <row r="316" spans="1:27" s="3" customFormat="1" x14ac:dyDescent="0.25">
      <c r="A316" s="30"/>
      <c r="B316" s="8"/>
      <c r="C316" s="31">
        <v>41432</v>
      </c>
      <c r="D316" s="3">
        <v>19.3</v>
      </c>
      <c r="E316" s="3">
        <v>15.9</v>
      </c>
      <c r="F316" s="3">
        <v>27.8</v>
      </c>
      <c r="G316" s="3">
        <f t="shared" si="46"/>
        <v>2467.7000000000012</v>
      </c>
      <c r="H316" s="50">
        <f t="shared" si="50"/>
        <v>269</v>
      </c>
      <c r="J316" s="3">
        <v>21.2</v>
      </c>
      <c r="K316" s="3">
        <f t="shared" si="47"/>
        <v>735.2</v>
      </c>
      <c r="L316" s="3">
        <v>5.3</v>
      </c>
      <c r="M316" s="3">
        <f t="shared" si="48"/>
        <v>384.7999999999999</v>
      </c>
      <c r="N316" s="3">
        <v>15.899999999999999</v>
      </c>
      <c r="O316" s="3">
        <f t="shared" si="42"/>
        <v>150.19999999999999</v>
      </c>
      <c r="P316" s="3">
        <v>276</v>
      </c>
      <c r="Q316" s="20">
        <f t="shared" si="43"/>
        <v>0.86525423728813555</v>
      </c>
      <c r="R316" s="7">
        <f t="shared" si="44"/>
        <v>4.5858474576271187</v>
      </c>
      <c r="S316" s="7">
        <f t="shared" si="45"/>
        <v>16.614152542372882</v>
      </c>
      <c r="T316" s="7">
        <f t="shared" si="52"/>
        <v>137.79584745762713</v>
      </c>
      <c r="V316" s="3">
        <v>2337.5</v>
      </c>
      <c r="X316" s="3">
        <f t="shared" si="49"/>
        <v>209958.99999999997</v>
      </c>
      <c r="Y316" s="50">
        <f t="shared" si="51"/>
        <v>32884.700000000004</v>
      </c>
      <c r="AA316" s="3">
        <v>15.9121094597803</v>
      </c>
    </row>
    <row r="317" spans="1:27" s="3" customFormat="1" x14ac:dyDescent="0.25">
      <c r="A317" s="30"/>
      <c r="B317" s="8"/>
      <c r="C317" s="31">
        <v>41433</v>
      </c>
      <c r="D317" s="3">
        <v>17.399999999999999</v>
      </c>
      <c r="E317" s="3">
        <v>14.6</v>
      </c>
      <c r="F317" s="3">
        <v>24.1</v>
      </c>
      <c r="G317" s="3">
        <f t="shared" si="46"/>
        <v>2485.1000000000013</v>
      </c>
      <c r="H317" s="50">
        <f t="shared" si="50"/>
        <v>286.39999999999998</v>
      </c>
      <c r="J317" s="3">
        <v>0.3</v>
      </c>
      <c r="K317" s="3">
        <f t="shared" si="47"/>
        <v>735.5</v>
      </c>
      <c r="L317" s="3">
        <v>3.7</v>
      </c>
      <c r="M317" s="3">
        <f t="shared" si="48"/>
        <v>388.49999999999989</v>
      </c>
      <c r="N317" s="3">
        <v>-3.4000000000000004</v>
      </c>
      <c r="O317" s="3">
        <f t="shared" si="42"/>
        <v>146.79999999999998</v>
      </c>
      <c r="P317" s="3">
        <v>277</v>
      </c>
      <c r="Q317" s="20">
        <f t="shared" si="43"/>
        <v>0.85169491525423724</v>
      </c>
      <c r="R317" s="7">
        <f t="shared" si="44"/>
        <v>3.1512711864406779</v>
      </c>
      <c r="S317" s="7">
        <f t="shared" si="45"/>
        <v>-2.8512711864406781</v>
      </c>
      <c r="T317" s="7">
        <f t="shared" si="52"/>
        <v>134.94457627118646</v>
      </c>
      <c r="V317" s="3">
        <v>1771.2</v>
      </c>
      <c r="W317" s="13"/>
      <c r="X317" s="3">
        <f t="shared" si="49"/>
        <v>211730.19999999998</v>
      </c>
      <c r="Y317" s="50">
        <f t="shared" si="51"/>
        <v>34655.9</v>
      </c>
      <c r="AA317" s="3">
        <v>15.932093680898401</v>
      </c>
    </row>
    <row r="318" spans="1:27" s="3" customFormat="1" ht="15" customHeight="1" x14ac:dyDescent="0.25">
      <c r="A318" s="30"/>
      <c r="B318" s="8"/>
      <c r="C318" s="31">
        <v>41434</v>
      </c>
      <c r="D318" s="3">
        <v>13.4</v>
      </c>
      <c r="E318" s="3">
        <v>12.3</v>
      </c>
      <c r="F318" s="3">
        <v>14.7</v>
      </c>
      <c r="G318" s="3">
        <f t="shared" si="46"/>
        <v>2498.5000000000014</v>
      </c>
      <c r="H318" s="50">
        <f t="shared" si="50"/>
        <v>299.79999999999995</v>
      </c>
      <c r="J318" s="3">
        <v>0</v>
      </c>
      <c r="K318" s="3">
        <f t="shared" si="47"/>
        <v>735.5</v>
      </c>
      <c r="L318" s="3">
        <v>1.2</v>
      </c>
      <c r="M318" s="3">
        <f t="shared" si="48"/>
        <v>389.69999999999987</v>
      </c>
      <c r="N318" s="3">
        <v>-1.2</v>
      </c>
      <c r="O318" s="3">
        <f t="shared" si="42"/>
        <v>145.6</v>
      </c>
      <c r="P318" s="3">
        <v>278</v>
      </c>
      <c r="Q318" s="20">
        <f t="shared" si="43"/>
        <v>0.83813559322033893</v>
      </c>
      <c r="R318" s="7">
        <f t="shared" si="44"/>
        <v>1.0057627118644066</v>
      </c>
      <c r="S318" s="7">
        <f t="shared" si="45"/>
        <v>-1.0057627118644066</v>
      </c>
      <c r="T318" s="7">
        <f t="shared" si="52"/>
        <v>133.93881355932206</v>
      </c>
      <c r="U318" s="22"/>
      <c r="V318" s="3">
        <v>686.6</v>
      </c>
      <c r="X318" s="3">
        <f t="shared" si="49"/>
        <v>212416.8</v>
      </c>
      <c r="Y318" s="50">
        <f t="shared" si="51"/>
        <v>35342.5</v>
      </c>
      <c r="AA318" s="3">
        <v>15.950783751414001</v>
      </c>
    </row>
    <row r="319" spans="1:27" s="44" customFormat="1" ht="15.75" thickBot="1" x14ac:dyDescent="0.3">
      <c r="A319" s="63"/>
      <c r="B319" s="42">
        <v>600</v>
      </c>
      <c r="C319" s="64">
        <v>41435</v>
      </c>
      <c r="D319" s="44">
        <v>15.1</v>
      </c>
      <c r="E319" s="44">
        <v>12.5</v>
      </c>
      <c r="F319" s="44">
        <v>18.2</v>
      </c>
      <c r="G319" s="44">
        <f t="shared" si="46"/>
        <v>2513.6000000000013</v>
      </c>
      <c r="H319" s="44">
        <f t="shared" si="50"/>
        <v>314.89999999999998</v>
      </c>
      <c r="J319" s="44">
        <v>1.7</v>
      </c>
      <c r="K319" s="44">
        <f t="shared" si="47"/>
        <v>737.2</v>
      </c>
      <c r="L319" s="44">
        <v>1.9</v>
      </c>
      <c r="M319" s="44">
        <f t="shared" si="48"/>
        <v>391.59999999999985</v>
      </c>
      <c r="N319" s="44">
        <v>-0.19999999999999996</v>
      </c>
      <c r="O319" s="44">
        <f t="shared" si="42"/>
        <v>145.4</v>
      </c>
      <c r="P319" s="44">
        <v>279</v>
      </c>
      <c r="Q319" s="45">
        <f t="shared" si="43"/>
        <v>0.82457627118644061</v>
      </c>
      <c r="R319" s="46">
        <f t="shared" si="44"/>
        <v>1.5666949152542371</v>
      </c>
      <c r="S319" s="46">
        <f t="shared" si="45"/>
        <v>0.13330508474576286</v>
      </c>
      <c r="T319" s="46">
        <f t="shared" si="52"/>
        <v>134.07211864406781</v>
      </c>
      <c r="V319" s="44">
        <v>915</v>
      </c>
      <c r="X319" s="44">
        <f t="shared" si="49"/>
        <v>213331.8</v>
      </c>
      <c r="Y319" s="44">
        <f t="shared" si="51"/>
        <v>36257.5</v>
      </c>
      <c r="AA319" s="44">
        <v>15.968162155951299</v>
      </c>
    </row>
    <row r="320" spans="1:27" s="3" customFormat="1" x14ac:dyDescent="0.25">
      <c r="A320" s="33"/>
      <c r="B320" s="8"/>
      <c r="C320" s="34">
        <v>41436</v>
      </c>
      <c r="D320" s="3">
        <v>15.7</v>
      </c>
      <c r="E320" s="3">
        <v>14.2</v>
      </c>
      <c r="F320" s="3">
        <v>17.100000000000001</v>
      </c>
      <c r="G320" s="3">
        <f t="shared" si="46"/>
        <v>2529.3000000000011</v>
      </c>
      <c r="H320" s="50">
        <f>D320</f>
        <v>15.7</v>
      </c>
      <c r="I320" s="35" t="s">
        <v>2</v>
      </c>
      <c r="J320" s="3">
        <v>0.7</v>
      </c>
      <c r="K320" s="3">
        <f t="shared" si="47"/>
        <v>737.90000000000009</v>
      </c>
      <c r="L320" s="3">
        <v>0.9</v>
      </c>
      <c r="M320" s="3">
        <f t="shared" si="48"/>
        <v>392.49999999999983</v>
      </c>
      <c r="N320" s="3">
        <v>-0.20000000000000007</v>
      </c>
      <c r="O320" s="3">
        <f t="shared" si="42"/>
        <v>145.20000000000002</v>
      </c>
      <c r="P320" s="3">
        <v>280</v>
      </c>
      <c r="Q320" s="20">
        <f t="shared" si="43"/>
        <v>0.8110169491525423</v>
      </c>
      <c r="R320" s="7">
        <f t="shared" si="44"/>
        <v>0.72991525423728809</v>
      </c>
      <c r="S320" s="20">
        <f t="shared" si="45"/>
        <v>-2.9915254237288136E-2</v>
      </c>
      <c r="T320" s="7">
        <f t="shared" si="52"/>
        <v>134.04220338983052</v>
      </c>
      <c r="U320" s="35" t="s">
        <v>3</v>
      </c>
      <c r="V320" s="3">
        <v>455.8</v>
      </c>
      <c r="X320" s="3">
        <f t="shared" si="49"/>
        <v>213787.59999999998</v>
      </c>
      <c r="Y320" s="50">
        <f>V320</f>
        <v>455.8</v>
      </c>
      <c r="Z320" s="35" t="s">
        <v>4</v>
      </c>
      <c r="AA320" s="3">
        <v>15.984212449150601</v>
      </c>
    </row>
    <row r="321" spans="1:27" s="3" customFormat="1" x14ac:dyDescent="0.25">
      <c r="A321" s="33"/>
      <c r="B321" s="8"/>
      <c r="C321" s="34">
        <v>41437</v>
      </c>
      <c r="D321" s="3">
        <v>16.8</v>
      </c>
      <c r="E321" s="3">
        <v>15.5</v>
      </c>
      <c r="F321" s="3">
        <v>18.600000000000001</v>
      </c>
      <c r="G321" s="3">
        <f t="shared" si="46"/>
        <v>2546.1000000000013</v>
      </c>
      <c r="H321" s="50">
        <f t="shared" si="50"/>
        <v>32.5</v>
      </c>
      <c r="I321" s="3">
        <f>MIN(E320:E345)</f>
        <v>7.9</v>
      </c>
      <c r="J321" s="3">
        <v>1.8</v>
      </c>
      <c r="K321" s="3">
        <f t="shared" si="47"/>
        <v>739.7</v>
      </c>
      <c r="L321" s="3">
        <v>1.2</v>
      </c>
      <c r="M321" s="3">
        <f t="shared" si="48"/>
        <v>393.69999999999982</v>
      </c>
      <c r="N321" s="3">
        <v>0.60000000000000009</v>
      </c>
      <c r="O321" s="3">
        <f t="shared" si="42"/>
        <v>145.80000000000001</v>
      </c>
      <c r="P321" s="3">
        <v>281</v>
      </c>
      <c r="Q321" s="20">
        <f t="shared" si="43"/>
        <v>0.79745762711864399</v>
      </c>
      <c r="R321" s="7">
        <f t="shared" si="44"/>
        <v>0.95694915254237278</v>
      </c>
      <c r="S321" s="7">
        <f t="shared" si="45"/>
        <v>0.84305084745762726</v>
      </c>
      <c r="T321" s="7">
        <f t="shared" si="52"/>
        <v>134.88525423728814</v>
      </c>
      <c r="V321" s="3">
        <v>524.20000000000005</v>
      </c>
      <c r="X321" s="3">
        <f t="shared" si="49"/>
        <v>214311.8</v>
      </c>
      <c r="Y321" s="50">
        <f t="shared" si="51"/>
        <v>980</v>
      </c>
      <c r="Z321" s="3">
        <v>31916.800000000003</v>
      </c>
      <c r="AA321" s="3">
        <v>15.9989193135647</v>
      </c>
    </row>
    <row r="322" spans="1:27" s="3" customFormat="1" x14ac:dyDescent="0.25">
      <c r="A322" s="33"/>
      <c r="B322" s="8"/>
      <c r="C322" s="34">
        <v>41438</v>
      </c>
      <c r="D322" s="3">
        <v>14.9</v>
      </c>
      <c r="E322" s="3">
        <v>13.9</v>
      </c>
      <c r="F322" s="3">
        <v>18.399999999999999</v>
      </c>
      <c r="G322" s="3">
        <f t="shared" si="46"/>
        <v>2561.0000000000014</v>
      </c>
      <c r="H322" s="50">
        <f t="shared" si="50"/>
        <v>47.4</v>
      </c>
      <c r="I322" s="35" t="s">
        <v>5</v>
      </c>
      <c r="J322" s="3">
        <v>0.8</v>
      </c>
      <c r="K322" s="3">
        <f t="shared" si="47"/>
        <v>740.5</v>
      </c>
      <c r="L322" s="3">
        <v>2.4</v>
      </c>
      <c r="M322" s="3">
        <f t="shared" si="48"/>
        <v>396.0999999999998</v>
      </c>
      <c r="N322" s="3">
        <v>-1.5999999999999999</v>
      </c>
      <c r="O322" s="3">
        <f t="shared" si="42"/>
        <v>144.20000000000002</v>
      </c>
      <c r="P322" s="3">
        <v>282</v>
      </c>
      <c r="Q322" s="20">
        <f t="shared" si="43"/>
        <v>0.78389830508474567</v>
      </c>
      <c r="R322" s="7">
        <f t="shared" si="44"/>
        <v>1.8813559322033895</v>
      </c>
      <c r="S322" s="7">
        <f t="shared" si="45"/>
        <v>-1.0813559322033894</v>
      </c>
      <c r="T322" s="7">
        <f t="shared" si="52"/>
        <v>133.80389830508474</v>
      </c>
      <c r="U322" s="35" t="s">
        <v>6</v>
      </c>
      <c r="V322" s="3">
        <v>1177.0999999999999</v>
      </c>
      <c r="X322" s="3">
        <f t="shared" si="49"/>
        <v>215488.9</v>
      </c>
      <c r="Y322" s="50">
        <f t="shared" si="51"/>
        <v>2157.1</v>
      </c>
      <c r="Z322" s="35" t="s">
        <v>7</v>
      </c>
      <c r="AA322" s="3">
        <v>16.012268614500002</v>
      </c>
    </row>
    <row r="323" spans="1:27" s="3" customFormat="1" x14ac:dyDescent="0.25">
      <c r="A323" s="33"/>
      <c r="B323" s="8"/>
      <c r="C323" s="34">
        <v>41439</v>
      </c>
      <c r="D323" s="3">
        <v>15</v>
      </c>
      <c r="E323" s="3">
        <v>9.9</v>
      </c>
      <c r="F323" s="3">
        <v>20.2</v>
      </c>
      <c r="G323" s="3">
        <f t="shared" si="46"/>
        <v>2576.0000000000014</v>
      </c>
      <c r="H323" s="50">
        <f t="shared" si="50"/>
        <v>62.4</v>
      </c>
      <c r="I323" s="3">
        <f>MAX(F320:F345)</f>
        <v>24.9</v>
      </c>
      <c r="J323" s="3">
        <v>0.3</v>
      </c>
      <c r="K323" s="3">
        <f t="shared" si="47"/>
        <v>740.8</v>
      </c>
      <c r="L323" s="3">
        <v>2.9</v>
      </c>
      <c r="M323" s="3">
        <f t="shared" si="48"/>
        <v>398.99999999999977</v>
      </c>
      <c r="N323" s="3">
        <v>-2.6</v>
      </c>
      <c r="O323" s="3">
        <f t="shared" si="42"/>
        <v>141.60000000000002</v>
      </c>
      <c r="P323" s="3">
        <v>283</v>
      </c>
      <c r="Q323" s="20">
        <f t="shared" si="43"/>
        <v>0.77033898305084736</v>
      </c>
      <c r="R323" s="7">
        <f t="shared" si="44"/>
        <v>2.2339830508474572</v>
      </c>
      <c r="S323" s="7">
        <f t="shared" si="45"/>
        <v>-1.9339830508474571</v>
      </c>
      <c r="T323" s="7">
        <f t="shared" si="52"/>
        <v>131.8699152542373</v>
      </c>
      <c r="U323" s="3">
        <v>0</v>
      </c>
      <c r="V323" s="3">
        <v>1511.9</v>
      </c>
      <c r="X323" s="3">
        <f t="shared" si="49"/>
        <v>217000.8</v>
      </c>
      <c r="Y323" s="50">
        <f t="shared" si="51"/>
        <v>3669</v>
      </c>
      <c r="Z323" s="3">
        <f>(Z321/100)/I333</f>
        <v>0.76557447829215641</v>
      </c>
      <c r="AA323" s="3">
        <v>16.024247451408399</v>
      </c>
    </row>
    <row r="324" spans="1:27" s="3" customFormat="1" x14ac:dyDescent="0.25">
      <c r="A324" s="33"/>
      <c r="B324" s="8"/>
      <c r="C324" s="34">
        <v>41440</v>
      </c>
      <c r="D324" s="3">
        <v>14.7</v>
      </c>
      <c r="E324" s="3">
        <v>11.9</v>
      </c>
      <c r="F324" s="3">
        <v>17.3</v>
      </c>
      <c r="G324" s="3">
        <f t="shared" si="46"/>
        <v>2590.7000000000012</v>
      </c>
      <c r="H324" s="50">
        <f t="shared" si="50"/>
        <v>77.099999999999994</v>
      </c>
      <c r="I324" s="35" t="s">
        <v>8</v>
      </c>
      <c r="J324" s="3">
        <v>0</v>
      </c>
      <c r="K324" s="3">
        <f t="shared" si="47"/>
        <v>740.8</v>
      </c>
      <c r="L324" s="3">
        <v>3.2</v>
      </c>
      <c r="M324" s="3">
        <f t="shared" si="48"/>
        <v>402.19999999999976</v>
      </c>
      <c r="N324" s="3">
        <v>-3.2</v>
      </c>
      <c r="O324" s="3">
        <f t="shared" ref="O324:O354" si="53">O323+N324</f>
        <v>138.40000000000003</v>
      </c>
      <c r="P324" s="3">
        <v>284</v>
      </c>
      <c r="Q324" s="20">
        <f t="shared" si="43"/>
        <v>0.75677966101694905</v>
      </c>
      <c r="R324" s="7">
        <f t="shared" si="44"/>
        <v>2.4216949152542373</v>
      </c>
      <c r="S324" s="7">
        <f t="shared" si="45"/>
        <v>-2.4216949152542373</v>
      </c>
      <c r="T324" s="7">
        <f t="shared" si="52"/>
        <v>129.44822033898305</v>
      </c>
      <c r="U324" s="35" t="s">
        <v>9</v>
      </c>
      <c r="V324" s="3">
        <v>1936.7</v>
      </c>
      <c r="X324" s="3">
        <f t="shared" si="49"/>
        <v>218937.5</v>
      </c>
      <c r="Y324" s="50">
        <f t="shared" si="51"/>
        <v>5605.7</v>
      </c>
      <c r="Z324" s="35" t="s">
        <v>10</v>
      </c>
      <c r="AA324" s="3">
        <v>16.034844205448401</v>
      </c>
    </row>
    <row r="325" spans="1:27" s="3" customFormat="1" x14ac:dyDescent="0.25">
      <c r="A325" s="33"/>
      <c r="B325" s="8"/>
      <c r="C325" s="34">
        <v>41441</v>
      </c>
      <c r="D325" s="3">
        <v>16.2</v>
      </c>
      <c r="E325" s="3">
        <v>11.8</v>
      </c>
      <c r="F325" s="3">
        <v>19.899999999999999</v>
      </c>
      <c r="G325" s="3">
        <f t="shared" si="46"/>
        <v>2606.900000000001</v>
      </c>
      <c r="H325" s="50">
        <f t="shared" si="50"/>
        <v>93.3</v>
      </c>
      <c r="I325" s="7">
        <f>AVERAGE(D320:D345)</f>
        <v>16.034615384615385</v>
      </c>
      <c r="J325" s="3">
        <v>6.7</v>
      </c>
      <c r="K325" s="3">
        <f t="shared" si="47"/>
        <v>747.5</v>
      </c>
      <c r="L325" s="3">
        <v>1.5</v>
      </c>
      <c r="M325" s="3">
        <f t="shared" si="48"/>
        <v>403.69999999999976</v>
      </c>
      <c r="N325" s="3">
        <v>5.2</v>
      </c>
      <c r="O325" s="3">
        <f t="shared" si="53"/>
        <v>143.60000000000002</v>
      </c>
      <c r="P325" s="3">
        <v>285</v>
      </c>
      <c r="Q325" s="20">
        <f t="shared" si="43"/>
        <v>0.74322033898305073</v>
      </c>
      <c r="R325" s="7">
        <f t="shared" si="44"/>
        <v>1.1148305084745762</v>
      </c>
      <c r="S325" s="7">
        <f t="shared" si="45"/>
        <v>5.5851694915254235</v>
      </c>
      <c r="T325" s="7">
        <f t="shared" si="52"/>
        <v>135.03338983050847</v>
      </c>
      <c r="U325" s="3">
        <v>0</v>
      </c>
      <c r="V325" s="3">
        <v>1026.2</v>
      </c>
      <c r="X325" s="3">
        <f t="shared" si="49"/>
        <v>219963.7</v>
      </c>
      <c r="Y325" s="50">
        <f t="shared" si="51"/>
        <v>6631.9</v>
      </c>
      <c r="Z325" s="3">
        <v>9</v>
      </c>
      <c r="AA325" s="3">
        <v>16.0440485828574</v>
      </c>
    </row>
    <row r="326" spans="1:27" s="3" customFormat="1" x14ac:dyDescent="0.25">
      <c r="A326" s="33"/>
      <c r="B326" s="8"/>
      <c r="C326" s="34">
        <v>41442</v>
      </c>
      <c r="D326" s="3">
        <v>18.899999999999999</v>
      </c>
      <c r="E326" s="3">
        <v>15</v>
      </c>
      <c r="F326" s="3">
        <v>24.5</v>
      </c>
      <c r="G326" s="3">
        <f t="shared" si="46"/>
        <v>2625.8000000000011</v>
      </c>
      <c r="H326" s="50">
        <f t="shared" si="50"/>
        <v>112.19999999999999</v>
      </c>
      <c r="I326" s="35" t="s">
        <v>11</v>
      </c>
      <c r="J326" s="3">
        <v>0.6</v>
      </c>
      <c r="K326" s="3">
        <f t="shared" si="47"/>
        <v>748.1</v>
      </c>
      <c r="L326" s="3">
        <v>1.5</v>
      </c>
      <c r="M326" s="3">
        <f t="shared" si="48"/>
        <v>405.19999999999976</v>
      </c>
      <c r="N326" s="3">
        <v>-0.9</v>
      </c>
      <c r="O326" s="3">
        <f t="shared" si="53"/>
        <v>142.70000000000002</v>
      </c>
      <c r="P326" s="3">
        <v>286</v>
      </c>
      <c r="Q326" s="20">
        <f t="shared" si="43"/>
        <v>0.72966101694915242</v>
      </c>
      <c r="R326" s="7">
        <f t="shared" si="44"/>
        <v>1.0944915254237286</v>
      </c>
      <c r="S326" s="7">
        <f t="shared" si="45"/>
        <v>-0.49449152542372865</v>
      </c>
      <c r="T326" s="7">
        <f t="shared" si="52"/>
        <v>134.53889830508473</v>
      </c>
      <c r="U326" s="35" t="s">
        <v>12</v>
      </c>
      <c r="V326" s="3">
        <v>772.9</v>
      </c>
      <c r="X326" s="3">
        <f t="shared" si="49"/>
        <v>220736.6</v>
      </c>
      <c r="Y326" s="50">
        <f t="shared" si="51"/>
        <v>7404.7999999999993</v>
      </c>
      <c r="AA326" s="3">
        <v>16.051851653800099</v>
      </c>
    </row>
    <row r="327" spans="1:27" s="3" customFormat="1" x14ac:dyDescent="0.25">
      <c r="A327" s="33"/>
      <c r="B327" s="8"/>
      <c r="C327" s="34">
        <v>41443</v>
      </c>
      <c r="D327" s="3">
        <v>16.2</v>
      </c>
      <c r="E327" s="3">
        <v>12.7</v>
      </c>
      <c r="F327" s="3">
        <v>19.8</v>
      </c>
      <c r="G327" s="3">
        <f t="shared" si="46"/>
        <v>2642.0000000000009</v>
      </c>
      <c r="H327" s="50">
        <f t="shared" si="50"/>
        <v>128.39999999999998</v>
      </c>
      <c r="I327" s="3">
        <v>0</v>
      </c>
      <c r="J327" s="3">
        <v>0.6</v>
      </c>
      <c r="K327" s="3">
        <f t="shared" si="47"/>
        <v>748.7</v>
      </c>
      <c r="L327" s="3">
        <v>1.5</v>
      </c>
      <c r="M327" s="3">
        <f t="shared" si="48"/>
        <v>406.69999999999976</v>
      </c>
      <c r="N327" s="3">
        <v>-0.9</v>
      </c>
      <c r="O327" s="3">
        <f t="shared" si="53"/>
        <v>141.80000000000001</v>
      </c>
      <c r="P327" s="3">
        <v>287</v>
      </c>
      <c r="Q327" s="20">
        <f t="shared" si="43"/>
        <v>0.71610169491525411</v>
      </c>
      <c r="R327" s="7">
        <f t="shared" si="44"/>
        <v>1.074152542372881</v>
      </c>
      <c r="S327" s="7">
        <f t="shared" si="45"/>
        <v>-0.47415254237288107</v>
      </c>
      <c r="T327" s="7">
        <f t="shared" si="52"/>
        <v>134.06474576271185</v>
      </c>
      <c r="U327" s="7">
        <f>MAX(T320:T345)</f>
        <v>135.03338983050847</v>
      </c>
      <c r="V327" s="3">
        <v>977.3</v>
      </c>
      <c r="X327" s="3">
        <f t="shared" si="49"/>
        <v>221713.9</v>
      </c>
      <c r="Y327" s="50">
        <f t="shared" si="51"/>
        <v>8382.0999999999985</v>
      </c>
      <c r="AA327" s="3">
        <v>16.0582458863922</v>
      </c>
    </row>
    <row r="328" spans="1:27" s="3" customFormat="1" x14ac:dyDescent="0.25">
      <c r="A328" s="33"/>
      <c r="B328" s="8"/>
      <c r="C328" s="34">
        <v>41444</v>
      </c>
      <c r="D328" s="3">
        <v>16.3</v>
      </c>
      <c r="E328" s="3">
        <v>14.5</v>
      </c>
      <c r="F328" s="3">
        <v>19.600000000000001</v>
      </c>
      <c r="G328" s="3">
        <f t="shared" si="46"/>
        <v>2658.3000000000011</v>
      </c>
      <c r="H328" s="50">
        <f t="shared" si="50"/>
        <v>144.69999999999999</v>
      </c>
      <c r="I328" s="35" t="s">
        <v>13</v>
      </c>
      <c r="J328" s="3">
        <v>0.9</v>
      </c>
      <c r="K328" s="3">
        <f t="shared" si="47"/>
        <v>749.6</v>
      </c>
      <c r="L328" s="3">
        <v>2.2000000000000002</v>
      </c>
      <c r="M328" s="3">
        <f t="shared" si="48"/>
        <v>408.89999999999975</v>
      </c>
      <c r="N328" s="3">
        <v>-1.3000000000000003</v>
      </c>
      <c r="O328" s="3">
        <f t="shared" si="53"/>
        <v>140.5</v>
      </c>
      <c r="P328" s="3">
        <v>288</v>
      </c>
      <c r="Q328" s="20">
        <f t="shared" si="43"/>
        <v>0.7025423728813559</v>
      </c>
      <c r="R328" s="7">
        <f t="shared" si="44"/>
        <v>1.5455932203389831</v>
      </c>
      <c r="S328" s="7">
        <f t="shared" si="45"/>
        <v>-0.64559322033898303</v>
      </c>
      <c r="T328" s="7">
        <f t="shared" si="52"/>
        <v>133.41915254237287</v>
      </c>
      <c r="U328" s="35" t="s">
        <v>14</v>
      </c>
      <c r="V328" s="3">
        <v>1055.8</v>
      </c>
      <c r="X328" s="3">
        <f t="shared" si="49"/>
        <v>222769.69999999998</v>
      </c>
      <c r="Y328" s="50">
        <f t="shared" si="51"/>
        <v>9437.8999999999978</v>
      </c>
      <c r="AA328" s="3">
        <v>16.063225175626499</v>
      </c>
    </row>
    <row r="329" spans="1:27" s="3" customFormat="1" x14ac:dyDescent="0.25">
      <c r="A329" s="33"/>
      <c r="B329" s="8"/>
      <c r="C329" s="34">
        <v>41445</v>
      </c>
      <c r="D329" s="3">
        <v>15.8</v>
      </c>
      <c r="E329" s="3">
        <v>10.7</v>
      </c>
      <c r="F329" s="3">
        <v>19.8</v>
      </c>
      <c r="G329" s="3">
        <f t="shared" si="46"/>
        <v>2674.1000000000013</v>
      </c>
      <c r="H329" s="50">
        <f t="shared" si="50"/>
        <v>160.5</v>
      </c>
      <c r="I329" s="3">
        <v>0</v>
      </c>
      <c r="J329" s="3">
        <v>0.2</v>
      </c>
      <c r="K329" s="3">
        <f t="shared" si="47"/>
        <v>749.80000000000007</v>
      </c>
      <c r="L329" s="3">
        <v>1.8</v>
      </c>
      <c r="M329" s="3">
        <f t="shared" si="48"/>
        <v>410.69999999999976</v>
      </c>
      <c r="N329" s="3">
        <v>-1.6</v>
      </c>
      <c r="O329" s="3">
        <f t="shared" si="53"/>
        <v>138.9</v>
      </c>
      <c r="P329" s="3">
        <v>289</v>
      </c>
      <c r="Q329" s="20">
        <f t="shared" si="43"/>
        <v>0.68898305084745748</v>
      </c>
      <c r="R329" s="7">
        <f t="shared" si="44"/>
        <v>1.2401694915254236</v>
      </c>
      <c r="S329" s="7">
        <f t="shared" si="45"/>
        <v>-1.0401694915254236</v>
      </c>
      <c r="T329" s="7">
        <f t="shared" si="52"/>
        <v>132.37898305084744</v>
      </c>
      <c r="U329" s="7">
        <f>MIN(T320:T345)</f>
        <v>120.03864406779658</v>
      </c>
      <c r="V329" s="3">
        <v>940.2</v>
      </c>
      <c r="X329" s="3">
        <f t="shared" si="49"/>
        <v>223709.9</v>
      </c>
      <c r="Y329" s="50">
        <f t="shared" si="51"/>
        <v>10378.099999999999</v>
      </c>
      <c r="AA329" s="3">
        <v>16.066784866973201</v>
      </c>
    </row>
    <row r="330" spans="1:27" s="3" customFormat="1" x14ac:dyDescent="0.25">
      <c r="A330" s="33"/>
      <c r="B330" s="8"/>
      <c r="C330" s="34">
        <v>41446</v>
      </c>
      <c r="D330" s="3">
        <v>15.5</v>
      </c>
      <c r="E330" s="3">
        <v>13.5</v>
      </c>
      <c r="F330" s="3">
        <v>18</v>
      </c>
      <c r="G330" s="3">
        <f t="shared" si="46"/>
        <v>2689.6000000000013</v>
      </c>
      <c r="H330" s="50">
        <f t="shared" si="50"/>
        <v>176</v>
      </c>
      <c r="I330" s="35" t="s">
        <v>15</v>
      </c>
      <c r="J330" s="3">
        <v>1.8</v>
      </c>
      <c r="K330" s="3">
        <f t="shared" si="47"/>
        <v>751.6</v>
      </c>
      <c r="L330" s="3">
        <v>1.6</v>
      </c>
      <c r="M330" s="3">
        <f t="shared" si="48"/>
        <v>412.29999999999978</v>
      </c>
      <c r="N330" s="3">
        <v>0.19999999999999996</v>
      </c>
      <c r="O330" s="3">
        <f t="shared" si="53"/>
        <v>139.1</v>
      </c>
      <c r="P330" s="3">
        <v>290</v>
      </c>
      <c r="Q330" s="20">
        <f t="shared" si="43"/>
        <v>0.67542372881355928</v>
      </c>
      <c r="R330" s="7">
        <f t="shared" si="44"/>
        <v>1.080677966101695</v>
      </c>
      <c r="S330" s="7">
        <f t="shared" si="45"/>
        <v>0.71932203389830507</v>
      </c>
      <c r="T330" s="7">
        <f t="shared" si="52"/>
        <v>133.09830508474573</v>
      </c>
      <c r="U330" s="35" t="s">
        <v>16</v>
      </c>
      <c r="V330" s="3">
        <v>773.1</v>
      </c>
      <c r="X330" s="3">
        <f t="shared" si="49"/>
        <v>224483</v>
      </c>
      <c r="Y330" s="50">
        <f t="shared" si="51"/>
        <v>11151.199999999999</v>
      </c>
      <c r="AA330" s="3">
        <v>16.068921774459099</v>
      </c>
    </row>
    <row r="331" spans="1:27" s="3" customFormat="1" x14ac:dyDescent="0.25">
      <c r="A331" s="33"/>
      <c r="B331" s="8"/>
      <c r="C331" s="34">
        <v>41447</v>
      </c>
      <c r="D331" s="3">
        <v>15.2</v>
      </c>
      <c r="E331" s="3">
        <v>12.9</v>
      </c>
      <c r="F331" s="3">
        <v>18.100000000000001</v>
      </c>
      <c r="G331" s="3">
        <f t="shared" si="46"/>
        <v>2704.8000000000011</v>
      </c>
      <c r="H331" s="50">
        <f t="shared" si="50"/>
        <v>191.2</v>
      </c>
      <c r="I331" s="3">
        <v>0</v>
      </c>
      <c r="J331" s="3">
        <v>0.6</v>
      </c>
      <c r="K331" s="3">
        <f t="shared" si="47"/>
        <v>752.2</v>
      </c>
      <c r="L331" s="3">
        <v>1.4</v>
      </c>
      <c r="M331" s="3">
        <f t="shared" si="48"/>
        <v>413.69999999999976</v>
      </c>
      <c r="N331" s="3">
        <v>-0.79999999999999993</v>
      </c>
      <c r="O331" s="3">
        <f t="shared" si="53"/>
        <v>138.29999999999998</v>
      </c>
      <c r="P331" s="3">
        <v>291</v>
      </c>
      <c r="Q331" s="20">
        <f t="shared" si="43"/>
        <v>0.66186440677966096</v>
      </c>
      <c r="R331" s="7">
        <f t="shared" si="44"/>
        <v>0.9266101694915253</v>
      </c>
      <c r="S331" s="7">
        <f t="shared" si="45"/>
        <v>-0.32661016949152533</v>
      </c>
      <c r="T331" s="7">
        <f t="shared" si="52"/>
        <v>132.77169491525422</v>
      </c>
      <c r="U331" s="20">
        <f>AVERAGE(T320:T345)</f>
        <v>128.64773142112125</v>
      </c>
      <c r="V331" s="3">
        <v>608.5</v>
      </c>
      <c r="X331" s="3">
        <f t="shared" si="49"/>
        <v>225091.5</v>
      </c>
      <c r="Y331" s="50">
        <f t="shared" si="51"/>
        <v>11759.699999999999</v>
      </c>
      <c r="AA331" s="3">
        <v>16.069634193082901</v>
      </c>
    </row>
    <row r="332" spans="1:27" s="3" customFormat="1" x14ac:dyDescent="0.25">
      <c r="A332" s="33"/>
      <c r="B332" s="8"/>
      <c r="C332" s="34">
        <v>41448</v>
      </c>
      <c r="D332" s="3">
        <v>14</v>
      </c>
      <c r="E332" s="3">
        <v>12.6</v>
      </c>
      <c r="F332" s="3">
        <v>15.7</v>
      </c>
      <c r="G332" s="3">
        <f t="shared" si="46"/>
        <v>2718.8000000000011</v>
      </c>
      <c r="H332" s="50">
        <f t="shared" si="50"/>
        <v>205.2</v>
      </c>
      <c r="I332" s="35" t="s">
        <v>17</v>
      </c>
      <c r="J332" s="3">
        <v>2.2000000000000002</v>
      </c>
      <c r="K332" s="3">
        <f t="shared" si="47"/>
        <v>754.40000000000009</v>
      </c>
      <c r="L332" s="3">
        <v>2.4</v>
      </c>
      <c r="M332" s="3">
        <f t="shared" si="48"/>
        <v>416.09999999999974</v>
      </c>
      <c r="N332" s="3">
        <v>-0.19999999999999973</v>
      </c>
      <c r="O332" s="3">
        <f t="shared" si="53"/>
        <v>138.1</v>
      </c>
      <c r="P332" s="3">
        <v>292</v>
      </c>
      <c r="Q332" s="20">
        <f t="shared" si="43"/>
        <v>0.64830508474576265</v>
      </c>
      <c r="R332" s="7">
        <f t="shared" si="44"/>
        <v>1.5559322033898304</v>
      </c>
      <c r="S332" s="7">
        <f t="shared" si="45"/>
        <v>0.64406779661016977</v>
      </c>
      <c r="T332" s="7">
        <f t="shared" si="52"/>
        <v>133.41576271186437</v>
      </c>
      <c r="V332" s="3">
        <v>1268.5999999999999</v>
      </c>
      <c r="X332" s="3">
        <f t="shared" si="49"/>
        <v>226360.1</v>
      </c>
      <c r="Y332" s="50">
        <f t="shared" si="51"/>
        <v>13028.3</v>
      </c>
      <c r="AA332" s="3">
        <v>16.068921905460201</v>
      </c>
    </row>
    <row r="333" spans="1:27" s="3" customFormat="1" x14ac:dyDescent="0.25">
      <c r="A333" s="33"/>
      <c r="B333" s="8"/>
      <c r="C333" s="34">
        <v>41449</v>
      </c>
      <c r="D333" s="3">
        <v>13.5</v>
      </c>
      <c r="E333" s="3">
        <v>11.2</v>
      </c>
      <c r="F333" s="3">
        <v>17.8</v>
      </c>
      <c r="G333" s="3">
        <f t="shared" si="46"/>
        <v>2732.3000000000011</v>
      </c>
      <c r="H333" s="50">
        <f t="shared" si="50"/>
        <v>218.7</v>
      </c>
      <c r="I333" s="3">
        <v>416.9</v>
      </c>
      <c r="J333" s="3">
        <v>0</v>
      </c>
      <c r="K333" s="3">
        <f t="shared" si="47"/>
        <v>754.40000000000009</v>
      </c>
      <c r="L333" s="3">
        <v>4.4000000000000004</v>
      </c>
      <c r="M333" s="3">
        <f t="shared" si="48"/>
        <v>420.49999999999972</v>
      </c>
      <c r="N333" s="3">
        <v>-4.4000000000000004</v>
      </c>
      <c r="O333" s="3">
        <f t="shared" si="53"/>
        <v>133.69999999999999</v>
      </c>
      <c r="P333" s="3">
        <v>293</v>
      </c>
      <c r="Q333" s="20">
        <f t="shared" si="43"/>
        <v>0.63474576271186445</v>
      </c>
      <c r="R333" s="7">
        <f t="shared" si="44"/>
        <v>2.7928813559322037</v>
      </c>
      <c r="S333" s="7">
        <f t="shared" si="45"/>
        <v>-2.7928813559322037</v>
      </c>
      <c r="T333" s="7">
        <f t="shared" si="52"/>
        <v>130.62288135593218</v>
      </c>
      <c r="U333" s="7">
        <f>(U331*100)/197.4</f>
        <v>65.171089878987459</v>
      </c>
      <c r="V333" s="3">
        <v>2578.8000000000002</v>
      </c>
      <c r="X333" s="3">
        <f t="shared" si="49"/>
        <v>228938.9</v>
      </c>
      <c r="Y333" s="50">
        <f t="shared" si="51"/>
        <v>15607.099999999999</v>
      </c>
      <c r="AA333" s="3">
        <v>16.0667861826471</v>
      </c>
    </row>
    <row r="334" spans="1:27" s="3" customFormat="1" x14ac:dyDescent="0.25">
      <c r="A334" s="33"/>
      <c r="B334" s="8"/>
      <c r="C334" s="34">
        <v>41450</v>
      </c>
      <c r="D334" s="3">
        <v>13.5</v>
      </c>
      <c r="E334" s="3">
        <v>7.9</v>
      </c>
      <c r="F334" s="3">
        <v>18.3</v>
      </c>
      <c r="G334" s="3">
        <f t="shared" si="46"/>
        <v>2745.8000000000011</v>
      </c>
      <c r="H334" s="50">
        <f t="shared" si="50"/>
        <v>232.2</v>
      </c>
      <c r="J334" s="3">
        <v>0</v>
      </c>
      <c r="K334" s="3">
        <f t="shared" si="47"/>
        <v>754.40000000000009</v>
      </c>
      <c r="L334" s="3">
        <v>3.2</v>
      </c>
      <c r="M334" s="3">
        <f t="shared" si="48"/>
        <v>423.6999999999997</v>
      </c>
      <c r="N334" s="3">
        <v>-3.2</v>
      </c>
      <c r="O334" s="3">
        <f t="shared" si="53"/>
        <v>130.5</v>
      </c>
      <c r="P334" s="3">
        <v>294</v>
      </c>
      <c r="Q334" s="20">
        <f t="shared" si="43"/>
        <v>0.62118644067796602</v>
      </c>
      <c r="R334" s="7">
        <f t="shared" si="44"/>
        <v>1.9877966101694913</v>
      </c>
      <c r="S334" s="7">
        <f t="shared" si="45"/>
        <v>-1.9877966101694913</v>
      </c>
      <c r="T334" s="7">
        <f t="shared" si="52"/>
        <v>128.6350847457627</v>
      </c>
      <c r="V334" s="3">
        <v>1972.4</v>
      </c>
      <c r="X334" s="3">
        <f t="shared" si="49"/>
        <v>230911.3</v>
      </c>
      <c r="Y334" s="50">
        <f t="shared" si="51"/>
        <v>17579.5</v>
      </c>
      <c r="AA334" s="3">
        <v>16.063229779132801</v>
      </c>
    </row>
    <row r="335" spans="1:27" s="3" customFormat="1" x14ac:dyDescent="0.25">
      <c r="A335" s="33"/>
      <c r="B335" s="8"/>
      <c r="C335" s="34">
        <v>41451</v>
      </c>
      <c r="D335" s="3">
        <v>14.5</v>
      </c>
      <c r="E335" s="3">
        <v>9</v>
      </c>
      <c r="F335" s="3">
        <v>19.7</v>
      </c>
      <c r="G335" s="3">
        <f t="shared" si="46"/>
        <v>2760.3000000000011</v>
      </c>
      <c r="H335" s="50">
        <f t="shared" si="50"/>
        <v>246.7</v>
      </c>
      <c r="J335" s="3">
        <v>0</v>
      </c>
      <c r="K335" s="3">
        <f t="shared" si="47"/>
        <v>754.40000000000009</v>
      </c>
      <c r="L335" s="3">
        <v>3.3</v>
      </c>
      <c r="M335" s="3">
        <f t="shared" si="48"/>
        <v>426.99999999999972</v>
      </c>
      <c r="N335" s="3">
        <v>-3.3</v>
      </c>
      <c r="O335" s="3">
        <f t="shared" si="53"/>
        <v>127.2</v>
      </c>
      <c r="P335" s="3">
        <v>295</v>
      </c>
      <c r="Q335" s="20">
        <f t="shared" si="43"/>
        <v>0.60762711864406782</v>
      </c>
      <c r="R335" s="7">
        <f t="shared" si="44"/>
        <v>2.0051694915254239</v>
      </c>
      <c r="S335" s="7">
        <f t="shared" si="45"/>
        <v>-2.0051694915254239</v>
      </c>
      <c r="T335" s="7">
        <f t="shared" si="52"/>
        <v>126.62991525423728</v>
      </c>
      <c r="V335" s="3">
        <v>1984.9</v>
      </c>
      <c r="X335" s="3">
        <f t="shared" si="49"/>
        <v>232896.19999999998</v>
      </c>
      <c r="Y335" s="50">
        <f t="shared" si="51"/>
        <v>19564.400000000001</v>
      </c>
      <c r="AA335" s="3">
        <v>16.058256922043999</v>
      </c>
    </row>
    <row r="336" spans="1:27" s="3" customFormat="1" x14ac:dyDescent="0.25">
      <c r="A336" s="33"/>
      <c r="B336" s="8"/>
      <c r="C336" s="34">
        <v>41452</v>
      </c>
      <c r="D336" s="3">
        <v>15.4</v>
      </c>
      <c r="E336" s="3">
        <v>9.9</v>
      </c>
      <c r="F336" s="3">
        <v>20</v>
      </c>
      <c r="G336" s="3">
        <f t="shared" si="46"/>
        <v>2775.7000000000012</v>
      </c>
      <c r="H336" s="50">
        <f t="shared" si="50"/>
        <v>262.09999999999997</v>
      </c>
      <c r="J336" s="3">
        <v>0.2</v>
      </c>
      <c r="K336" s="3">
        <f t="shared" si="47"/>
        <v>754.60000000000014</v>
      </c>
      <c r="L336" s="3">
        <v>3.5</v>
      </c>
      <c r="M336" s="3">
        <f t="shared" si="48"/>
        <v>430.49999999999972</v>
      </c>
      <c r="N336" s="3">
        <v>-3.3</v>
      </c>
      <c r="O336" s="3">
        <f t="shared" si="53"/>
        <v>123.9</v>
      </c>
      <c r="P336" s="3">
        <v>296</v>
      </c>
      <c r="Q336" s="20">
        <f t="shared" si="43"/>
        <v>0.5940677966101694</v>
      </c>
      <c r="R336" s="7">
        <f t="shared" si="44"/>
        <v>2.0792372881355927</v>
      </c>
      <c r="S336" s="7">
        <f t="shared" si="45"/>
        <v>-1.8792372881355928</v>
      </c>
      <c r="T336" s="7">
        <f t="shared" si="52"/>
        <v>124.75067796610168</v>
      </c>
      <c r="V336" s="3">
        <v>1978.5</v>
      </c>
      <c r="X336" s="3">
        <f t="shared" si="49"/>
        <v>234874.69999999998</v>
      </c>
      <c r="Y336" s="50">
        <f t="shared" si="51"/>
        <v>21542.9</v>
      </c>
      <c r="AA336" s="3">
        <v>16.051873294648299</v>
      </c>
    </row>
    <row r="337" spans="1:27" s="3" customFormat="1" x14ac:dyDescent="0.25">
      <c r="A337" s="33"/>
      <c r="B337" s="8"/>
      <c r="C337" s="34">
        <v>41453</v>
      </c>
      <c r="D337" s="3">
        <v>17.399999999999999</v>
      </c>
      <c r="E337" s="3">
        <v>14.5</v>
      </c>
      <c r="F337" s="3">
        <v>22.5</v>
      </c>
      <c r="G337" s="3">
        <f t="shared" si="46"/>
        <v>2793.1000000000013</v>
      </c>
      <c r="H337" s="50">
        <f t="shared" si="50"/>
        <v>279.49999999999994</v>
      </c>
      <c r="J337" s="3">
        <v>0.1</v>
      </c>
      <c r="K337" s="3">
        <f t="shared" si="47"/>
        <v>754.70000000000016</v>
      </c>
      <c r="L337" s="3">
        <v>2</v>
      </c>
      <c r="M337" s="3">
        <f t="shared" si="48"/>
        <v>432.49999999999972</v>
      </c>
      <c r="N337" s="3">
        <v>-1.9</v>
      </c>
      <c r="O337" s="3">
        <f t="shared" si="53"/>
        <v>122</v>
      </c>
      <c r="P337" s="3">
        <v>297</v>
      </c>
      <c r="Q337" s="20">
        <f t="shared" si="43"/>
        <v>0.58050847457627119</v>
      </c>
      <c r="R337" s="7">
        <f t="shared" si="44"/>
        <v>1.1610169491525424</v>
      </c>
      <c r="S337" s="7">
        <f t="shared" si="45"/>
        <v>-1.0610169491525423</v>
      </c>
      <c r="T337" s="7">
        <f t="shared" si="52"/>
        <v>123.68966101694913</v>
      </c>
      <c r="V337" s="3">
        <v>832.9</v>
      </c>
      <c r="X337" s="3">
        <f t="shared" si="49"/>
        <v>235707.59999999998</v>
      </c>
      <c r="Y337" s="50">
        <f t="shared" si="51"/>
        <v>22375.800000000003</v>
      </c>
      <c r="AA337" s="3">
        <v>16.044086014292098</v>
      </c>
    </row>
    <row r="338" spans="1:27" s="3" customFormat="1" x14ac:dyDescent="0.25">
      <c r="A338" s="33"/>
      <c r="B338" s="8"/>
      <c r="C338" s="34">
        <v>41454</v>
      </c>
      <c r="D338" s="3">
        <v>16.2</v>
      </c>
      <c r="E338" s="3">
        <v>12.7</v>
      </c>
      <c r="F338" s="3">
        <v>19.600000000000001</v>
      </c>
      <c r="G338" s="3">
        <f t="shared" si="46"/>
        <v>2809.3000000000011</v>
      </c>
      <c r="H338" s="50">
        <f t="shared" si="50"/>
        <v>295.69999999999993</v>
      </c>
      <c r="J338" s="3">
        <v>0</v>
      </c>
      <c r="K338" s="3">
        <f t="shared" si="47"/>
        <v>754.70000000000016</v>
      </c>
      <c r="L338" s="3">
        <v>1.8</v>
      </c>
      <c r="M338" s="3">
        <f t="shared" si="48"/>
        <v>434.29999999999973</v>
      </c>
      <c r="N338" s="3">
        <v>-1.8</v>
      </c>
      <c r="O338" s="3">
        <f t="shared" si="53"/>
        <v>120.2</v>
      </c>
      <c r="P338" s="3">
        <v>298</v>
      </c>
      <c r="Q338" s="20">
        <f t="shared" si="43"/>
        <v>0.56694915254237288</v>
      </c>
      <c r="R338" s="7">
        <f t="shared" si="44"/>
        <v>1.0205084745762711</v>
      </c>
      <c r="S338" s="7">
        <f t="shared" si="45"/>
        <v>-1.0205084745762711</v>
      </c>
      <c r="T338" s="7">
        <f t="shared" si="52"/>
        <v>122.66915254237286</v>
      </c>
      <c r="V338" s="3">
        <v>774.2</v>
      </c>
      <c r="X338" s="3">
        <f t="shared" si="49"/>
        <v>236481.8</v>
      </c>
      <c r="Y338" s="50">
        <f t="shared" si="51"/>
        <v>23150.000000000004</v>
      </c>
      <c r="AA338" s="3">
        <v>16.034903604951001</v>
      </c>
    </row>
    <row r="339" spans="1:27" s="3" customFormat="1" x14ac:dyDescent="0.25">
      <c r="A339" s="33"/>
      <c r="B339" s="8"/>
      <c r="C339" s="34">
        <v>41455</v>
      </c>
      <c r="D339" s="3">
        <v>17.8</v>
      </c>
      <c r="E339" s="3">
        <v>13.7</v>
      </c>
      <c r="F339" s="3">
        <v>24.3</v>
      </c>
      <c r="G339" s="3">
        <f t="shared" si="46"/>
        <v>2827.1000000000013</v>
      </c>
      <c r="H339" s="50">
        <f t="shared" si="50"/>
        <v>313.49999999999994</v>
      </c>
      <c r="J339" s="3">
        <v>0</v>
      </c>
      <c r="K339" s="3">
        <f t="shared" si="47"/>
        <v>754.70000000000016</v>
      </c>
      <c r="L339" s="3">
        <v>2.9</v>
      </c>
      <c r="M339" s="3">
        <f t="shared" si="48"/>
        <v>437.1999999999997</v>
      </c>
      <c r="N339" s="3">
        <v>-2.9</v>
      </c>
      <c r="O339" s="3">
        <f t="shared" si="53"/>
        <v>117.3</v>
      </c>
      <c r="P339" s="3">
        <v>299</v>
      </c>
      <c r="Q339" s="20">
        <f t="shared" si="43"/>
        <v>0.55338983050847457</v>
      </c>
      <c r="R339" s="7">
        <f t="shared" si="44"/>
        <v>1.6048305084745762</v>
      </c>
      <c r="S339" s="7">
        <f t="shared" si="45"/>
        <v>-1.6048305084745762</v>
      </c>
      <c r="T339" s="7">
        <f t="shared" si="52"/>
        <v>121.06432203389828</v>
      </c>
      <c r="V339" s="3">
        <v>1460.6</v>
      </c>
      <c r="X339" s="3">
        <f t="shared" si="49"/>
        <v>237942.39999999999</v>
      </c>
      <c r="Y339" s="50">
        <f t="shared" si="51"/>
        <v>24610.600000000002</v>
      </c>
      <c r="AA339" s="3">
        <v>16.024335964614099</v>
      </c>
    </row>
    <row r="340" spans="1:27" s="3" customFormat="1" x14ac:dyDescent="0.25">
      <c r="A340" s="33"/>
      <c r="B340" s="8"/>
      <c r="C340" s="34">
        <v>41456</v>
      </c>
      <c r="D340" s="3">
        <v>15.8</v>
      </c>
      <c r="E340" s="3">
        <v>12.8</v>
      </c>
      <c r="F340" s="3">
        <v>20.5</v>
      </c>
      <c r="G340" s="3">
        <f t="shared" si="46"/>
        <v>2842.9000000000015</v>
      </c>
      <c r="H340" s="50">
        <f t="shared" si="50"/>
        <v>329.29999999999995</v>
      </c>
      <c r="J340" s="3">
        <v>0</v>
      </c>
      <c r="K340" s="3">
        <f t="shared" si="47"/>
        <v>754.70000000000016</v>
      </c>
      <c r="L340" s="3">
        <v>1.9</v>
      </c>
      <c r="M340" s="3">
        <f t="shared" si="48"/>
        <v>439.09999999999968</v>
      </c>
      <c r="N340" s="3">
        <v>-1.9</v>
      </c>
      <c r="O340" s="3">
        <f t="shared" si="53"/>
        <v>115.39999999999999</v>
      </c>
      <c r="P340" s="3">
        <v>300</v>
      </c>
      <c r="Q340" s="20">
        <f t="shared" si="43"/>
        <v>0.53983050847457625</v>
      </c>
      <c r="R340" s="7">
        <f t="shared" si="44"/>
        <v>1.0256779661016948</v>
      </c>
      <c r="S340" s="7">
        <f t="shared" si="45"/>
        <v>-1.0256779661016948</v>
      </c>
      <c r="T340" s="7">
        <f t="shared" si="52"/>
        <v>120.03864406779658</v>
      </c>
      <c r="V340" s="3">
        <v>1072.2</v>
      </c>
      <c r="X340" s="3">
        <f t="shared" si="49"/>
        <v>239014.6</v>
      </c>
      <c r="Y340" s="50">
        <f t="shared" si="51"/>
        <v>25682.800000000003</v>
      </c>
      <c r="AA340" s="3">
        <v>16.012394327759999</v>
      </c>
    </row>
    <row r="341" spans="1:27" s="3" customFormat="1" x14ac:dyDescent="0.25">
      <c r="A341" s="33"/>
      <c r="B341" s="8"/>
      <c r="C341" s="34">
        <v>41457</v>
      </c>
      <c r="D341" s="3">
        <v>15.4</v>
      </c>
      <c r="E341" s="3">
        <v>11.4</v>
      </c>
      <c r="F341" s="3">
        <v>21.4</v>
      </c>
      <c r="G341" s="3">
        <f t="shared" si="46"/>
        <v>2858.3000000000015</v>
      </c>
      <c r="H341" s="50">
        <f t="shared" si="50"/>
        <v>344.69999999999993</v>
      </c>
      <c r="J341" s="3">
        <v>6.1</v>
      </c>
      <c r="K341" s="3">
        <f t="shared" si="47"/>
        <v>760.80000000000018</v>
      </c>
      <c r="L341" s="3">
        <v>3.6</v>
      </c>
      <c r="M341" s="3">
        <f t="shared" si="48"/>
        <v>442.6999999999997</v>
      </c>
      <c r="N341" s="3">
        <v>2.4999999999999996</v>
      </c>
      <c r="O341" s="3">
        <f t="shared" si="53"/>
        <v>117.89999999999999</v>
      </c>
      <c r="P341" s="3">
        <v>301</v>
      </c>
      <c r="Q341" s="20">
        <f t="shared" si="43"/>
        <v>0.52627118644067794</v>
      </c>
      <c r="R341" s="7">
        <f t="shared" si="44"/>
        <v>1.8945762711864407</v>
      </c>
      <c r="S341" s="7">
        <f t="shared" si="45"/>
        <v>4.2054237288135585</v>
      </c>
      <c r="T341" s="7">
        <f t="shared" si="52"/>
        <v>124.24406779661014</v>
      </c>
      <c r="V341" s="3">
        <v>1912.3</v>
      </c>
      <c r="X341" s="3">
        <f t="shared" si="49"/>
        <v>240926.9</v>
      </c>
      <c r="Y341" s="50">
        <f t="shared" si="51"/>
        <v>27595.100000000002</v>
      </c>
      <c r="AA341" s="3">
        <v>15.9990912232204</v>
      </c>
    </row>
    <row r="342" spans="1:27" s="3" customFormat="1" x14ac:dyDescent="0.25">
      <c r="A342" s="33"/>
      <c r="B342" s="8"/>
      <c r="C342" s="34">
        <v>41458</v>
      </c>
      <c r="D342" s="3">
        <v>16.7</v>
      </c>
      <c r="E342" s="3">
        <v>15.1</v>
      </c>
      <c r="F342" s="3">
        <v>19.3</v>
      </c>
      <c r="G342" s="3">
        <f t="shared" si="46"/>
        <v>2875.0000000000014</v>
      </c>
      <c r="H342" s="50">
        <f t="shared" si="50"/>
        <v>361.39999999999992</v>
      </c>
      <c r="J342" s="3">
        <v>0.5</v>
      </c>
      <c r="K342" s="3">
        <f t="shared" si="47"/>
        <v>761.30000000000018</v>
      </c>
      <c r="L342" s="3">
        <v>1.6</v>
      </c>
      <c r="M342" s="3">
        <f t="shared" si="48"/>
        <v>444.29999999999973</v>
      </c>
      <c r="N342" s="3">
        <v>-1.1000000000000001</v>
      </c>
      <c r="O342" s="3">
        <f t="shared" si="53"/>
        <v>116.8</v>
      </c>
      <c r="P342" s="3">
        <v>302</v>
      </c>
      <c r="Q342" s="20">
        <f t="shared" si="43"/>
        <v>0.51271186440677963</v>
      </c>
      <c r="R342" s="7">
        <f t="shared" si="44"/>
        <v>0.8203389830508474</v>
      </c>
      <c r="S342" s="7">
        <f t="shared" si="45"/>
        <v>-0.3203389830508474</v>
      </c>
      <c r="T342" s="7">
        <f t="shared" si="52"/>
        <v>123.92372881355929</v>
      </c>
      <c r="V342" s="3">
        <v>773.5</v>
      </c>
      <c r="X342" s="3">
        <f t="shared" si="49"/>
        <v>241700.4</v>
      </c>
      <c r="Y342" s="50">
        <f t="shared" si="51"/>
        <v>28368.600000000002</v>
      </c>
      <c r="AA342" s="3">
        <v>15.984440427755599</v>
      </c>
    </row>
    <row r="343" spans="1:27" s="3" customFormat="1" x14ac:dyDescent="0.25">
      <c r="A343" s="33"/>
      <c r="B343" s="8"/>
      <c r="C343" s="34">
        <v>41459</v>
      </c>
      <c r="D343" s="3">
        <v>18.100000000000001</v>
      </c>
      <c r="E343" s="3">
        <v>12</v>
      </c>
      <c r="F343" s="3">
        <v>22.7</v>
      </c>
      <c r="G343" s="3">
        <f t="shared" si="46"/>
        <v>2893.1000000000013</v>
      </c>
      <c r="H343" s="50">
        <f t="shared" si="50"/>
        <v>379.49999999999994</v>
      </c>
      <c r="J343" s="3">
        <v>0</v>
      </c>
      <c r="K343" s="3">
        <f t="shared" si="47"/>
        <v>761.30000000000018</v>
      </c>
      <c r="L343" s="3">
        <v>1.1000000000000001</v>
      </c>
      <c r="M343" s="3">
        <f t="shared" si="48"/>
        <v>445.39999999999975</v>
      </c>
      <c r="N343" s="3">
        <v>-1.1000000000000001</v>
      </c>
      <c r="O343" s="3">
        <f t="shared" si="53"/>
        <v>115.7</v>
      </c>
      <c r="P343" s="3">
        <v>303</v>
      </c>
      <c r="Q343" s="20">
        <f t="shared" si="43"/>
        <v>0.49915254237288131</v>
      </c>
      <c r="R343" s="7">
        <f t="shared" si="44"/>
        <v>0.54906779661016947</v>
      </c>
      <c r="S343" s="7">
        <f t="shared" si="45"/>
        <v>-0.54906779661016947</v>
      </c>
      <c r="T343" s="7">
        <f t="shared" si="52"/>
        <v>123.37466101694912</v>
      </c>
      <c r="V343" s="3">
        <v>611.9</v>
      </c>
      <c r="W343" s="13"/>
      <c r="X343" s="3">
        <f t="shared" si="49"/>
        <v>242312.3</v>
      </c>
      <c r="Y343" s="50">
        <f t="shared" si="51"/>
        <v>28980.500000000004</v>
      </c>
      <c r="AA343" s="3">
        <v>15.968456915694301</v>
      </c>
    </row>
    <row r="344" spans="1:27" s="3" customFormat="1" ht="15" customHeight="1" x14ac:dyDescent="0.25">
      <c r="A344" s="33"/>
      <c r="B344" s="36"/>
      <c r="C344" s="34">
        <v>41460</v>
      </c>
      <c r="D344" s="3">
        <v>18.100000000000001</v>
      </c>
      <c r="E344" s="3">
        <v>15.4</v>
      </c>
      <c r="F344" s="3">
        <v>22.3</v>
      </c>
      <c r="G344" s="3">
        <f t="shared" si="46"/>
        <v>2911.2000000000012</v>
      </c>
      <c r="H344" s="50">
        <f t="shared" si="50"/>
        <v>397.59999999999997</v>
      </c>
      <c r="J344" s="3">
        <v>0</v>
      </c>
      <c r="K344" s="3">
        <f t="shared" si="47"/>
        <v>761.30000000000018</v>
      </c>
      <c r="L344" s="3">
        <v>2.7</v>
      </c>
      <c r="M344" s="3">
        <f t="shared" si="48"/>
        <v>448.09999999999974</v>
      </c>
      <c r="N344" s="3">
        <v>-2.7</v>
      </c>
      <c r="O344" s="3">
        <f t="shared" si="53"/>
        <v>113</v>
      </c>
      <c r="P344" s="3">
        <v>304</v>
      </c>
      <c r="Q344" s="20">
        <f t="shared" si="43"/>
        <v>0.485593220338983</v>
      </c>
      <c r="R344" s="7">
        <f t="shared" si="44"/>
        <v>1.3111016949152541</v>
      </c>
      <c r="S344" s="7">
        <f t="shared" si="45"/>
        <v>-1.3111016949152541</v>
      </c>
      <c r="T344" s="7">
        <f t="shared" si="52"/>
        <v>122.06355932203387</v>
      </c>
      <c r="V344" s="3">
        <v>1140</v>
      </c>
      <c r="X344" s="3">
        <f t="shared" si="49"/>
        <v>243452.3</v>
      </c>
      <c r="Y344" s="50">
        <f t="shared" si="51"/>
        <v>30120.500000000004</v>
      </c>
      <c r="AA344" s="3">
        <v>15.9511568050136</v>
      </c>
    </row>
    <row r="345" spans="1:27" s="44" customFormat="1" ht="15.75" thickBot="1" x14ac:dyDescent="0.3">
      <c r="A345" s="61"/>
      <c r="B345" s="62">
        <v>1000</v>
      </c>
      <c r="C345" s="60">
        <v>41461</v>
      </c>
      <c r="D345" s="44">
        <v>19.3</v>
      </c>
      <c r="E345" s="44">
        <v>12.9</v>
      </c>
      <c r="F345" s="44">
        <v>24.9</v>
      </c>
      <c r="G345" s="44">
        <f t="shared" si="46"/>
        <v>2930.5000000000014</v>
      </c>
      <c r="H345" s="44">
        <f t="shared" si="50"/>
        <v>416.9</v>
      </c>
      <c r="J345" s="44">
        <v>0</v>
      </c>
      <c r="K345" s="44">
        <f t="shared" si="47"/>
        <v>761.30000000000018</v>
      </c>
      <c r="L345" s="44">
        <v>3.6</v>
      </c>
      <c r="M345" s="44">
        <f t="shared" si="48"/>
        <v>451.69999999999976</v>
      </c>
      <c r="N345" s="44">
        <v>-3.6</v>
      </c>
      <c r="O345" s="44">
        <f t="shared" si="53"/>
        <v>109.4</v>
      </c>
      <c r="P345" s="44">
        <v>305</v>
      </c>
      <c r="Q345" s="45">
        <f t="shared" si="43"/>
        <v>0.4720338983050848</v>
      </c>
      <c r="R345" s="46">
        <f t="shared" si="44"/>
        <v>1.6993220338983053</v>
      </c>
      <c r="S345" s="46">
        <f t="shared" si="45"/>
        <v>-1.6993220338983053</v>
      </c>
      <c r="T345" s="46">
        <f t="shared" si="52"/>
        <v>120.36423728813556</v>
      </c>
      <c r="V345" s="44">
        <v>1796.3</v>
      </c>
      <c r="X345" s="44">
        <f t="shared" si="49"/>
        <v>245248.59999999998</v>
      </c>
      <c r="Y345" s="44">
        <f t="shared" si="51"/>
        <v>31916.800000000003</v>
      </c>
      <c r="AA345" s="44">
        <v>15.932557300249201</v>
      </c>
    </row>
    <row r="346" spans="1:27" s="3" customFormat="1" x14ac:dyDescent="0.25">
      <c r="A346" s="37"/>
      <c r="B346" s="36"/>
      <c r="C346" s="5">
        <v>41462</v>
      </c>
      <c r="D346" s="3">
        <v>21.7</v>
      </c>
      <c r="E346" s="3">
        <v>14.4</v>
      </c>
      <c r="F346" s="3">
        <v>29</v>
      </c>
      <c r="G346" s="3">
        <f t="shared" si="46"/>
        <v>2952.2000000000012</v>
      </c>
      <c r="H346" s="50">
        <f t="shared" si="50"/>
        <v>438.59999999999997</v>
      </c>
      <c r="J346" s="3">
        <v>0</v>
      </c>
      <c r="K346" s="3">
        <f t="shared" si="47"/>
        <v>761.30000000000018</v>
      </c>
      <c r="L346" s="3">
        <v>4.5</v>
      </c>
      <c r="M346" s="3">
        <f t="shared" si="48"/>
        <v>456.19999999999976</v>
      </c>
      <c r="N346" s="3">
        <v>-4.5</v>
      </c>
      <c r="O346" s="3">
        <f t="shared" si="53"/>
        <v>104.9</v>
      </c>
      <c r="P346" s="3">
        <v>306</v>
      </c>
      <c r="Q346" s="20">
        <f t="shared" si="43"/>
        <v>0.45847457627118637</v>
      </c>
      <c r="R346" s="7">
        <f t="shared" si="44"/>
        <v>2.0631355932203386</v>
      </c>
      <c r="S346" s="7">
        <f t="shared" si="45"/>
        <v>-2.0631355932203386</v>
      </c>
      <c r="T346" s="7">
        <f t="shared" si="52"/>
        <v>118.30110169491522</v>
      </c>
      <c r="V346" s="3">
        <v>2107.6</v>
      </c>
      <c r="X346" s="3">
        <f t="shared" si="49"/>
        <v>247356.19999999998</v>
      </c>
      <c r="Y346" s="50">
        <f t="shared" si="51"/>
        <v>34024.400000000001</v>
      </c>
      <c r="AA346" s="3">
        <v>15.9126766326445</v>
      </c>
    </row>
    <row r="347" spans="1:27" s="3" customFormat="1" x14ac:dyDescent="0.25">
      <c r="A347" s="37"/>
      <c r="B347" s="36"/>
      <c r="C347" s="5">
        <v>41463</v>
      </c>
      <c r="D347" s="3">
        <v>23.2</v>
      </c>
      <c r="E347" s="3">
        <v>17</v>
      </c>
      <c r="F347" s="3">
        <v>30</v>
      </c>
      <c r="G347" s="3">
        <f t="shared" si="46"/>
        <v>2975.400000000001</v>
      </c>
      <c r="H347" s="50">
        <f t="shared" si="50"/>
        <v>461.79999999999995</v>
      </c>
      <c r="J347" s="3">
        <v>0</v>
      </c>
      <c r="K347" s="3">
        <f t="shared" si="47"/>
        <v>761.30000000000018</v>
      </c>
      <c r="L347" s="3">
        <v>7.1</v>
      </c>
      <c r="M347" s="3">
        <f t="shared" si="48"/>
        <v>463.29999999999978</v>
      </c>
      <c r="N347" s="3">
        <v>-7.1</v>
      </c>
      <c r="O347" s="3">
        <f t="shared" si="53"/>
        <v>97.800000000000011</v>
      </c>
      <c r="P347" s="3">
        <v>307</v>
      </c>
      <c r="Q347" s="20">
        <f t="shared" si="43"/>
        <v>0.44491525423728817</v>
      </c>
      <c r="R347" s="7">
        <f t="shared" si="44"/>
        <v>3.1588983050847457</v>
      </c>
      <c r="S347" s="7">
        <f t="shared" si="45"/>
        <v>-3.1588983050847457</v>
      </c>
      <c r="T347" s="7">
        <f t="shared" si="52"/>
        <v>115.14220338983047</v>
      </c>
      <c r="V347" s="3">
        <v>3191.7</v>
      </c>
      <c r="X347" s="3">
        <f t="shared" si="49"/>
        <v>250547.9</v>
      </c>
      <c r="Y347" s="50">
        <f t="shared" si="51"/>
        <v>37216.1</v>
      </c>
      <c r="AA347" s="3">
        <v>15.8915339979484</v>
      </c>
    </row>
    <row r="348" spans="1:27" s="3" customFormat="1" x14ac:dyDescent="0.25">
      <c r="A348" s="37"/>
      <c r="B348" s="36"/>
      <c r="C348" s="5">
        <v>41464</v>
      </c>
      <c r="D348" s="3">
        <v>22.7</v>
      </c>
      <c r="E348" s="3">
        <v>15.8</v>
      </c>
      <c r="F348" s="3">
        <v>29.8</v>
      </c>
      <c r="G348" s="3">
        <f t="shared" si="46"/>
        <v>2998.1000000000008</v>
      </c>
      <c r="H348" s="50">
        <f t="shared" si="50"/>
        <v>484.49999999999994</v>
      </c>
      <c r="J348" s="3">
        <v>0</v>
      </c>
      <c r="K348" s="3">
        <f t="shared" si="47"/>
        <v>761.30000000000018</v>
      </c>
      <c r="L348" s="3">
        <v>6.3</v>
      </c>
      <c r="M348" s="3">
        <f t="shared" si="48"/>
        <v>469.5999999999998</v>
      </c>
      <c r="N348" s="3">
        <v>-6.3</v>
      </c>
      <c r="O348" s="3">
        <f t="shared" si="53"/>
        <v>91.500000000000014</v>
      </c>
      <c r="P348" s="3">
        <v>308</v>
      </c>
      <c r="Q348" s="20">
        <f t="shared" si="43"/>
        <v>0.43135593220338975</v>
      </c>
      <c r="R348" s="7">
        <f t="shared" si="44"/>
        <v>2.7175423728813555</v>
      </c>
      <c r="S348" s="7">
        <f t="shared" si="45"/>
        <v>-2.7175423728813555</v>
      </c>
      <c r="T348" s="7">
        <f t="shared" si="52"/>
        <v>112.42466101694912</v>
      </c>
      <c r="V348" s="3">
        <v>2859.9</v>
      </c>
      <c r="X348" s="3">
        <f t="shared" si="49"/>
        <v>253407.8</v>
      </c>
      <c r="Y348" s="50">
        <f t="shared" si="51"/>
        <v>40076</v>
      </c>
      <c r="AA348" s="3">
        <v>15.869149492282199</v>
      </c>
    </row>
    <row r="349" spans="1:27" s="3" customFormat="1" x14ac:dyDescent="0.25">
      <c r="A349" s="37"/>
      <c r="B349" s="36"/>
      <c r="C349" s="5">
        <v>41465</v>
      </c>
      <c r="D349" s="3">
        <v>21.3</v>
      </c>
      <c r="E349" s="3">
        <v>15.6</v>
      </c>
      <c r="F349" s="3">
        <v>28.6</v>
      </c>
      <c r="G349" s="3">
        <f t="shared" si="46"/>
        <v>3019.400000000001</v>
      </c>
      <c r="H349" s="50">
        <f t="shared" si="50"/>
        <v>505.79999999999995</v>
      </c>
      <c r="J349" s="3">
        <v>0</v>
      </c>
      <c r="K349" s="3">
        <f t="shared" si="47"/>
        <v>761.30000000000018</v>
      </c>
      <c r="L349" s="3">
        <v>6.6</v>
      </c>
      <c r="M349" s="3">
        <f t="shared" si="48"/>
        <v>476.19999999999982</v>
      </c>
      <c r="N349" s="3">
        <v>-6.6</v>
      </c>
      <c r="O349" s="3">
        <f t="shared" si="53"/>
        <v>84.90000000000002</v>
      </c>
      <c r="P349" s="3">
        <v>309</v>
      </c>
      <c r="Q349" s="20">
        <f t="shared" si="43"/>
        <v>0.41779661016949154</v>
      </c>
      <c r="R349" s="7">
        <f t="shared" si="44"/>
        <v>2.7574576271186442</v>
      </c>
      <c r="S349" s="7">
        <f t="shared" si="45"/>
        <v>-2.7574576271186442</v>
      </c>
      <c r="T349" s="7">
        <f t="shared" si="52"/>
        <v>109.66720338983048</v>
      </c>
      <c r="V349" s="3">
        <v>3141</v>
      </c>
      <c r="X349" s="3">
        <f t="shared" si="49"/>
        <v>256548.8</v>
      </c>
      <c r="Y349" s="50">
        <f t="shared" si="51"/>
        <v>43217</v>
      </c>
      <c r="AA349" s="3">
        <v>15.845544046489801</v>
      </c>
    </row>
    <row r="350" spans="1:27" s="3" customFormat="1" x14ac:dyDescent="0.25">
      <c r="A350" s="37"/>
      <c r="B350" s="36"/>
      <c r="C350" s="5">
        <v>41466</v>
      </c>
      <c r="D350" s="3">
        <v>18.7</v>
      </c>
      <c r="E350" s="3">
        <v>14.7</v>
      </c>
      <c r="F350" s="3">
        <v>23.7</v>
      </c>
      <c r="G350" s="3">
        <f t="shared" si="46"/>
        <v>3038.1000000000008</v>
      </c>
      <c r="H350" s="50">
        <f t="shared" si="50"/>
        <v>524.5</v>
      </c>
      <c r="J350" s="3">
        <v>0</v>
      </c>
      <c r="K350" s="3">
        <f t="shared" si="47"/>
        <v>761.30000000000018</v>
      </c>
      <c r="L350" s="3">
        <v>4.9000000000000004</v>
      </c>
      <c r="M350" s="3">
        <f t="shared" si="48"/>
        <v>481.0999999999998</v>
      </c>
      <c r="N350" s="3">
        <v>-4.9000000000000004</v>
      </c>
      <c r="O350" s="3">
        <f t="shared" si="53"/>
        <v>80.000000000000014</v>
      </c>
      <c r="P350" s="3">
        <v>310</v>
      </c>
      <c r="Q350" s="20">
        <f t="shared" si="43"/>
        <v>0.40423728813559323</v>
      </c>
      <c r="R350" s="7">
        <f t="shared" si="44"/>
        <v>1.9807627118644069</v>
      </c>
      <c r="S350" s="7">
        <f t="shared" si="45"/>
        <v>-1.9807627118644069</v>
      </c>
      <c r="T350" s="7">
        <f t="shared" si="52"/>
        <v>107.68644067796608</v>
      </c>
      <c r="V350" s="3">
        <v>2362.8000000000002</v>
      </c>
      <c r="X350" s="3">
        <f t="shared" si="49"/>
        <v>258911.59999999998</v>
      </c>
      <c r="Y350" s="50">
        <f t="shared" si="51"/>
        <v>45579.8</v>
      </c>
      <c r="AA350" s="3">
        <v>15.8207393593835</v>
      </c>
    </row>
    <row r="351" spans="1:27" s="3" customFormat="1" x14ac:dyDescent="0.25">
      <c r="A351" s="37"/>
      <c r="B351" s="36"/>
      <c r="C351" s="5">
        <v>41467</v>
      </c>
      <c r="D351" s="3">
        <v>19.899999999999999</v>
      </c>
      <c r="E351" s="3">
        <v>13.8</v>
      </c>
      <c r="F351" s="3">
        <v>25.9</v>
      </c>
      <c r="G351" s="3">
        <f t="shared" si="46"/>
        <v>3058.0000000000009</v>
      </c>
      <c r="H351" s="50">
        <f t="shared" si="50"/>
        <v>544.4</v>
      </c>
      <c r="J351" s="3">
        <v>0</v>
      </c>
      <c r="K351" s="3">
        <f t="shared" si="47"/>
        <v>761.30000000000018</v>
      </c>
      <c r="L351" s="3">
        <v>6.1</v>
      </c>
      <c r="M351" s="3">
        <f t="shared" si="48"/>
        <v>487.19999999999982</v>
      </c>
      <c r="N351" s="3">
        <v>-6.1</v>
      </c>
      <c r="O351" s="3">
        <f t="shared" si="53"/>
        <v>73.90000000000002</v>
      </c>
      <c r="P351" s="3">
        <v>311</v>
      </c>
      <c r="Q351" s="20">
        <f t="shared" si="43"/>
        <v>0.39067796610169492</v>
      </c>
      <c r="R351" s="7">
        <f t="shared" si="44"/>
        <v>2.3831355932203389</v>
      </c>
      <c r="S351" s="7">
        <f t="shared" si="45"/>
        <v>-2.3831355932203389</v>
      </c>
      <c r="T351" s="7">
        <f t="shared" si="52"/>
        <v>105.30330508474573</v>
      </c>
      <c r="V351" s="3">
        <v>3063.3</v>
      </c>
      <c r="X351" s="3">
        <f t="shared" si="49"/>
        <v>261974.89999999997</v>
      </c>
      <c r="Y351" s="50">
        <f t="shared" si="51"/>
        <v>48643.100000000006</v>
      </c>
      <c r="AA351" s="3">
        <v>15.7947578302865</v>
      </c>
    </row>
    <row r="352" spans="1:27" s="3" customFormat="1" x14ac:dyDescent="0.25">
      <c r="A352" s="37"/>
      <c r="B352" s="36"/>
      <c r="C352" s="5">
        <v>41468</v>
      </c>
      <c r="D352" s="3">
        <v>21</v>
      </c>
      <c r="E352" s="3">
        <v>14.6</v>
      </c>
      <c r="F352" s="3">
        <v>26.7</v>
      </c>
      <c r="G352" s="3">
        <f t="shared" si="46"/>
        <v>3079.0000000000009</v>
      </c>
      <c r="H352" s="50">
        <f t="shared" si="50"/>
        <v>565.4</v>
      </c>
      <c r="J352" s="3">
        <v>0</v>
      </c>
      <c r="K352" s="3">
        <f t="shared" si="47"/>
        <v>761.30000000000018</v>
      </c>
      <c r="L352" s="3">
        <v>6.2</v>
      </c>
      <c r="M352" s="3">
        <f t="shared" si="48"/>
        <v>493.39999999999981</v>
      </c>
      <c r="N352" s="3">
        <v>-6.2</v>
      </c>
      <c r="O352" s="3">
        <f t="shared" si="53"/>
        <v>67.700000000000017</v>
      </c>
      <c r="P352" s="3">
        <v>312</v>
      </c>
      <c r="Q352" s="20">
        <f t="shared" si="43"/>
        <v>0.3771186440677966</v>
      </c>
      <c r="R352" s="7">
        <f t="shared" si="44"/>
        <v>2.3381355932203389</v>
      </c>
      <c r="S352" s="7">
        <f t="shared" si="45"/>
        <v>-2.3381355932203389</v>
      </c>
      <c r="T352" s="7">
        <f t="shared" si="52"/>
        <v>102.96516949152539</v>
      </c>
      <c r="V352" s="3">
        <v>3026.1</v>
      </c>
      <c r="X352" s="3">
        <f t="shared" si="49"/>
        <v>265000.99999999994</v>
      </c>
      <c r="Y352" s="50">
        <f t="shared" si="51"/>
        <v>51669.200000000004</v>
      </c>
      <c r="AA352" s="3">
        <v>15.7676224912632</v>
      </c>
    </row>
    <row r="353" spans="1:27" s="3" customFormat="1" x14ac:dyDescent="0.25">
      <c r="A353" s="37"/>
      <c r="B353" s="36"/>
      <c r="C353" s="5">
        <v>41469</v>
      </c>
      <c r="D353" s="3">
        <v>22.3</v>
      </c>
      <c r="E353" s="3">
        <v>16.600000000000001</v>
      </c>
      <c r="F353" s="3">
        <v>29.8</v>
      </c>
      <c r="G353" s="3">
        <f t="shared" si="46"/>
        <v>3101.3000000000011</v>
      </c>
      <c r="H353" s="50">
        <f t="shared" si="50"/>
        <v>587.69999999999993</v>
      </c>
      <c r="J353" s="3">
        <v>0</v>
      </c>
      <c r="K353" s="3">
        <f t="shared" si="47"/>
        <v>761.30000000000018</v>
      </c>
      <c r="L353" s="3">
        <v>7</v>
      </c>
      <c r="M353" s="3">
        <f t="shared" si="48"/>
        <v>500.39999999999981</v>
      </c>
      <c r="N353" s="3">
        <v>-7</v>
      </c>
      <c r="O353" s="3">
        <f t="shared" si="53"/>
        <v>60.700000000000017</v>
      </c>
      <c r="P353" s="3">
        <v>313</v>
      </c>
      <c r="Q353" s="20">
        <f t="shared" si="43"/>
        <v>0.36355932203389829</v>
      </c>
      <c r="R353" s="7">
        <f t="shared" si="44"/>
        <v>2.5449152542372881</v>
      </c>
      <c r="S353" s="7">
        <f t="shared" si="45"/>
        <v>-2.5449152542372881</v>
      </c>
      <c r="T353" s="7">
        <f t="shared" si="52"/>
        <v>100.42025423728811</v>
      </c>
      <c r="V353" s="3">
        <v>3107.5</v>
      </c>
      <c r="X353" s="3">
        <f t="shared" si="49"/>
        <v>268108.49999999994</v>
      </c>
      <c r="Y353" s="50">
        <f t="shared" si="51"/>
        <v>54776.700000000004</v>
      </c>
      <c r="AA353" s="3">
        <v>15.7393569394096</v>
      </c>
    </row>
    <row r="354" spans="1:27" s="3" customFormat="1" x14ac:dyDescent="0.25">
      <c r="A354" s="37"/>
      <c r="B354" s="36"/>
      <c r="C354" s="38">
        <v>41470</v>
      </c>
      <c r="D354" s="3">
        <v>21.6</v>
      </c>
      <c r="E354" s="3">
        <v>14.2</v>
      </c>
      <c r="F354" s="3">
        <v>30.3</v>
      </c>
      <c r="G354" s="3">
        <f t="shared" si="46"/>
        <v>3122.900000000001</v>
      </c>
      <c r="H354" s="50">
        <f t="shared" si="50"/>
        <v>609.29999999999995</v>
      </c>
      <c r="J354" s="3">
        <v>0</v>
      </c>
      <c r="K354" s="3">
        <f t="shared" si="47"/>
        <v>761.30000000000018</v>
      </c>
      <c r="L354" s="3">
        <v>6.7</v>
      </c>
      <c r="M354" s="3">
        <f t="shared" si="48"/>
        <v>507.0999999999998</v>
      </c>
      <c r="N354" s="3">
        <v>-6.7</v>
      </c>
      <c r="O354" s="3">
        <f t="shared" si="53"/>
        <v>54.000000000000014</v>
      </c>
      <c r="P354" s="3">
        <v>314</v>
      </c>
      <c r="Q354" s="20">
        <f t="shared" si="43"/>
        <v>0.35</v>
      </c>
      <c r="R354" s="7">
        <f t="shared" si="44"/>
        <v>2.3449999999999998</v>
      </c>
      <c r="S354" s="7">
        <f t="shared" si="45"/>
        <v>-2.3449999999999998</v>
      </c>
      <c r="T354" s="7">
        <f t="shared" si="52"/>
        <v>98.075254237288107</v>
      </c>
      <c r="V354" s="3">
        <v>2976.5</v>
      </c>
      <c r="X354" s="3">
        <f t="shared" si="49"/>
        <v>271084.99999999994</v>
      </c>
      <c r="Y354" s="50">
        <f t="shared" si="51"/>
        <v>57753.200000000004</v>
      </c>
      <c r="AA354" s="3">
        <v>15.7099852695598</v>
      </c>
    </row>
    <row r="355" spans="1:27" s="3" customFormat="1" x14ac:dyDescent="0.25">
      <c r="A355" s="74" t="s">
        <v>31</v>
      </c>
      <c r="B355" s="74"/>
      <c r="C355" s="74"/>
      <c r="D355" s="74"/>
      <c r="E355" s="74"/>
      <c r="F355" s="74"/>
      <c r="G355" s="74"/>
      <c r="H355" s="74"/>
      <c r="I355" s="74"/>
      <c r="J355" s="74"/>
      <c r="K355" s="74"/>
      <c r="L355" s="74"/>
      <c r="M355" s="74"/>
      <c r="N355" s="74"/>
      <c r="O355" s="74"/>
      <c r="P355" s="74"/>
      <c r="Q355" s="74"/>
      <c r="R355" s="74"/>
      <c r="S355" s="74"/>
      <c r="T355" s="74"/>
      <c r="U355" s="74"/>
      <c r="V355" s="74"/>
      <c r="W355" s="74"/>
      <c r="X355" s="74"/>
      <c r="Y355" s="74"/>
      <c r="Z355" s="74"/>
    </row>
  </sheetData>
  <mergeCells count="11">
    <mergeCell ref="D1:I2"/>
    <mergeCell ref="J1:U2"/>
    <mergeCell ref="V1:Z2"/>
    <mergeCell ref="P3:T3"/>
    <mergeCell ref="G4:H4"/>
    <mergeCell ref="X4:Y4"/>
    <mergeCell ref="A40:Z40"/>
    <mergeCell ref="A41:A170"/>
    <mergeCell ref="A171:A220"/>
    <mergeCell ref="A355:Z355"/>
    <mergeCell ref="A221:A246"/>
  </mergeCells>
  <conditionalFormatting sqref="T1:T4">
    <cfRule type="cellIs" dxfId="10" priority="1" operator="equal">
      <formula>0</formula>
    </cfRule>
    <cfRule type="cellIs" dxfId="9" priority="2" operator="lessThanOrEqual">
      <formula>65.8</formula>
    </cfRule>
  </conditionalFormatting>
  <conditionalFormatting sqref="D41:F354 I54 I50 I52 I48 I178 I180 I182 I184 I228 I230 I232 I234 I254 I258 I256 I260 I281 I279 I277 I275 I297 I299 I303 I305 I307 I309 I333 I331 I329 I327 D5:F39">
    <cfRule type="cellIs" dxfId="8" priority="9" operator="between">
      <formula>25</formula>
      <formula>40</formula>
    </cfRule>
    <cfRule type="cellIs" dxfId="7" priority="10" operator="between">
      <formula>0</formula>
      <formula>5</formula>
    </cfRule>
    <cfRule type="cellIs" dxfId="6" priority="11" operator="between">
      <formula>0</formula>
      <formula>-50</formula>
    </cfRule>
  </conditionalFormatting>
  <conditionalFormatting sqref="N41:N354 N5:N39">
    <cfRule type="cellIs" dxfId="5" priority="8" operator="between">
      <formula>0</formula>
      <formula>-40</formula>
    </cfRule>
  </conditionalFormatting>
  <conditionalFormatting sqref="V5:V355">
    <cfRule type="cellIs" dxfId="4" priority="7" operator="between">
      <formula>899.999</formula>
      <formula>0</formula>
    </cfRule>
  </conditionalFormatting>
  <conditionalFormatting sqref="S41:S354">
    <cfRule type="cellIs" dxfId="3" priority="6" operator="lessThanOrEqual">
      <formula>0</formula>
    </cfRule>
  </conditionalFormatting>
  <conditionalFormatting sqref="T5:T355">
    <cfRule type="cellIs" dxfId="2" priority="4" operator="equal">
      <formula>0</formula>
    </cfRule>
    <cfRule type="cellIs" dxfId="1" priority="5" operator="lessThanOrEqual">
      <formula>65.8</formula>
    </cfRule>
  </conditionalFormatting>
  <conditionalFormatting sqref="V1:V4">
    <cfRule type="cellIs" dxfId="0" priority="3" operator="between">
      <formula>899.999</formula>
      <formula>0</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2</vt:i4>
      </vt:variant>
    </vt:vector>
  </HeadingPairs>
  <TitlesOfParts>
    <vt:vector size="2" baseType="lpstr">
      <vt:lpstr>N+</vt:lpstr>
      <vt:lpstr>N-</vt:lpstr>
    </vt:vector>
  </TitlesOfParts>
  <Company>INRA - RENNES</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adminigepp</dc:creator>
  <cp:lastModifiedBy>adminigepp</cp:lastModifiedBy>
  <dcterms:created xsi:type="dcterms:W3CDTF">2019-11-18T14:15:01Z</dcterms:created>
  <dcterms:modified xsi:type="dcterms:W3CDTF">2019-11-26T10:28:17Z</dcterms:modified>
</cp:coreProperties>
</file>