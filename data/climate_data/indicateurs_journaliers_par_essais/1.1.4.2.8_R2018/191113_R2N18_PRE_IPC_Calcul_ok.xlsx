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R2N18PRE" sheetId="1" r:id="rId1"/>
  </sheets>
  <calcPr calcId="162913"/>
</workbook>
</file>

<file path=xl/calcChain.xml><?xml version="1.0" encoding="utf-8"?>
<calcChain xmlns="http://schemas.openxmlformats.org/spreadsheetml/2006/main">
  <c r="AA207" i="1" l="1"/>
  <c r="L328" i="1" l="1"/>
  <c r="L326" i="1"/>
  <c r="L324" i="1"/>
  <c r="L310" i="1"/>
  <c r="L308" i="1"/>
  <c r="L306" i="1"/>
  <c r="L289" i="1"/>
  <c r="L287" i="1"/>
  <c r="L285" i="1"/>
  <c r="L266" i="1"/>
  <c r="L264" i="1"/>
  <c r="L226" i="1"/>
  <c r="L224" i="1"/>
  <c r="L222" i="1"/>
  <c r="L129" i="1"/>
  <c r="L127" i="1"/>
  <c r="L125" i="1"/>
  <c r="L34" i="1"/>
  <c r="L32" i="1"/>
  <c r="L30" i="1"/>
  <c r="Z324" i="1"/>
  <c r="Z306" i="1"/>
  <c r="Z285" i="1"/>
  <c r="Z264" i="1"/>
  <c r="L268" i="1"/>
  <c r="Z222" i="1"/>
  <c r="Z125" i="1"/>
  <c r="Z30" i="1"/>
  <c r="X303" i="1"/>
  <c r="X321" i="1"/>
  <c r="X344" i="1"/>
  <c r="K344" i="1"/>
  <c r="K321" i="1"/>
  <c r="K303" i="1"/>
  <c r="R304" i="1"/>
  <c r="S304" i="1" s="1"/>
  <c r="T304" i="1" s="1"/>
  <c r="R305" i="1"/>
  <c r="R306" i="1"/>
  <c r="S306" i="1" s="1"/>
  <c r="T306" i="1" s="1"/>
  <c r="R307" i="1"/>
  <c r="R308" i="1"/>
  <c r="R309" i="1"/>
  <c r="R310" i="1"/>
  <c r="R311" i="1"/>
  <c r="S311" i="1" s="1"/>
  <c r="T311" i="1" s="1"/>
  <c r="R312" i="1"/>
  <c r="R313" i="1"/>
  <c r="R314" i="1"/>
  <c r="S314" i="1" s="1"/>
  <c r="T314" i="1" s="1"/>
  <c r="R315" i="1"/>
  <c r="R316" i="1"/>
  <c r="R317" i="1"/>
  <c r="R318" i="1"/>
  <c r="R319" i="1"/>
  <c r="S319" i="1" s="1"/>
  <c r="T319" i="1" s="1"/>
  <c r="R320" i="1"/>
  <c r="S320" i="1" s="1"/>
  <c r="T320" i="1" s="1"/>
  <c r="R321" i="1"/>
  <c r="R322" i="1"/>
  <c r="S322" i="1" s="1"/>
  <c r="T322" i="1" s="1"/>
  <c r="R323" i="1"/>
  <c r="R324" i="1"/>
  <c r="R325" i="1"/>
  <c r="R326" i="1"/>
  <c r="R327" i="1"/>
  <c r="S327" i="1" s="1"/>
  <c r="T327" i="1" s="1"/>
  <c r="R328" i="1"/>
  <c r="S328" i="1" s="1"/>
  <c r="T328" i="1" s="1"/>
  <c r="R329" i="1"/>
  <c r="R330" i="1"/>
  <c r="S330" i="1" s="1"/>
  <c r="T330" i="1" s="1"/>
  <c r="R331" i="1"/>
  <c r="R332" i="1"/>
  <c r="R333" i="1"/>
  <c r="R334" i="1"/>
  <c r="R335" i="1"/>
  <c r="S335" i="1" s="1"/>
  <c r="T335" i="1" s="1"/>
  <c r="R336" i="1"/>
  <c r="S336" i="1" s="1"/>
  <c r="T336" i="1" s="1"/>
  <c r="R337" i="1"/>
  <c r="R338" i="1"/>
  <c r="S338" i="1" s="1"/>
  <c r="T338" i="1" s="1"/>
  <c r="R339" i="1"/>
  <c r="R340" i="1"/>
  <c r="R341" i="1"/>
  <c r="R342" i="1"/>
  <c r="R343" i="1"/>
  <c r="S343" i="1" s="1"/>
  <c r="T343" i="1" s="1"/>
  <c r="R344" i="1"/>
  <c r="R345" i="1"/>
  <c r="R346" i="1"/>
  <c r="S346" i="1" s="1"/>
  <c r="T346" i="1" s="1"/>
  <c r="R347" i="1"/>
  <c r="R348" i="1"/>
  <c r="R349" i="1"/>
  <c r="R350" i="1"/>
  <c r="R351" i="1"/>
  <c r="S351" i="1" s="1"/>
  <c r="T351" i="1" s="1"/>
  <c r="R352" i="1"/>
  <c r="S352" i="1" s="1"/>
  <c r="T352" i="1" s="1"/>
  <c r="R353" i="1"/>
  <c r="R354" i="1"/>
  <c r="S354" i="1" s="1"/>
  <c r="T354" i="1" s="1"/>
  <c r="R355" i="1"/>
  <c r="R356" i="1"/>
  <c r="R357" i="1"/>
  <c r="R358" i="1"/>
  <c r="R359" i="1"/>
  <c r="S359" i="1" s="1"/>
  <c r="T359" i="1" s="1"/>
  <c r="R360" i="1"/>
  <c r="S360" i="1" s="1"/>
  <c r="T360" i="1" s="1"/>
  <c r="R303" i="1"/>
  <c r="S303" i="1" s="1"/>
  <c r="T303" i="1" s="1"/>
  <c r="X282" i="1"/>
  <c r="K282" i="1"/>
  <c r="S281" i="1"/>
  <c r="T281" i="1" s="1"/>
  <c r="X261" i="1"/>
  <c r="K261" i="1"/>
  <c r="X219" i="1"/>
  <c r="K219" i="1"/>
  <c r="R220" i="1"/>
  <c r="R221" i="1"/>
  <c r="R222" i="1"/>
  <c r="R223" i="1"/>
  <c r="R224" i="1"/>
  <c r="R225" i="1"/>
  <c r="S225" i="1" s="1"/>
  <c r="T225" i="1" s="1"/>
  <c r="R226" i="1"/>
  <c r="S226" i="1" s="1"/>
  <c r="T226" i="1" s="1"/>
  <c r="R227" i="1"/>
  <c r="S227" i="1" s="1"/>
  <c r="T227" i="1" s="1"/>
  <c r="R228" i="1"/>
  <c r="R229" i="1"/>
  <c r="R230" i="1"/>
  <c r="R231" i="1"/>
  <c r="R232" i="1"/>
  <c r="R233" i="1"/>
  <c r="S233" i="1" s="1"/>
  <c r="T233" i="1" s="1"/>
  <c r="R234" i="1"/>
  <c r="S234" i="1" s="1"/>
  <c r="T234" i="1" s="1"/>
  <c r="R235" i="1"/>
  <c r="S235" i="1" s="1"/>
  <c r="T235" i="1" s="1"/>
  <c r="R236" i="1"/>
  <c r="R237" i="1"/>
  <c r="R238" i="1"/>
  <c r="R239" i="1"/>
  <c r="R240" i="1"/>
  <c r="R241" i="1"/>
  <c r="R242" i="1"/>
  <c r="S242" i="1" s="1"/>
  <c r="T242" i="1" s="1"/>
  <c r="R243" i="1"/>
  <c r="S243" i="1" s="1"/>
  <c r="T243" i="1" s="1"/>
  <c r="R244" i="1"/>
  <c r="R245" i="1"/>
  <c r="R246" i="1"/>
  <c r="R247" i="1"/>
  <c r="R248" i="1"/>
  <c r="R249" i="1"/>
  <c r="R250" i="1"/>
  <c r="R251" i="1"/>
  <c r="S251" i="1" s="1"/>
  <c r="T251" i="1" s="1"/>
  <c r="R252" i="1"/>
  <c r="R253" i="1"/>
  <c r="R254" i="1"/>
  <c r="R255" i="1"/>
  <c r="R256" i="1"/>
  <c r="R257" i="1"/>
  <c r="S257" i="1" s="1"/>
  <c r="T257" i="1" s="1"/>
  <c r="R258" i="1"/>
  <c r="S258" i="1" s="1"/>
  <c r="T258" i="1" s="1"/>
  <c r="R259" i="1"/>
  <c r="S259" i="1" s="1"/>
  <c r="T259" i="1" s="1"/>
  <c r="R260" i="1"/>
  <c r="R219" i="1"/>
  <c r="S219" i="1" s="1"/>
  <c r="T219" i="1" s="1"/>
  <c r="X122" i="1"/>
  <c r="K122" i="1"/>
  <c r="P10" i="1"/>
  <c r="P11" i="1" s="1"/>
  <c r="P12" i="1" s="1"/>
  <c r="P13" i="1" s="1"/>
  <c r="P14" i="1" s="1"/>
  <c r="R36" i="1"/>
  <c r="S36" i="1" s="1"/>
  <c r="T36" i="1" s="1"/>
  <c r="R37" i="1"/>
  <c r="R38" i="1"/>
  <c r="R39" i="1"/>
  <c r="R40" i="1"/>
  <c r="S40" i="1" s="1"/>
  <c r="T40" i="1" s="1"/>
  <c r="R41" i="1"/>
  <c r="S41" i="1" s="1"/>
  <c r="T41" i="1" s="1"/>
  <c r="R42" i="1"/>
  <c r="S42" i="1" s="1"/>
  <c r="T42" i="1" s="1"/>
  <c r="R43" i="1"/>
  <c r="S43" i="1" s="1"/>
  <c r="T43" i="1" s="1"/>
  <c r="R44" i="1"/>
  <c r="S44" i="1" s="1"/>
  <c r="T44" i="1" s="1"/>
  <c r="R45" i="1"/>
  <c r="R46" i="1"/>
  <c r="R47" i="1"/>
  <c r="R48" i="1"/>
  <c r="S48" i="1" s="1"/>
  <c r="T48" i="1" s="1"/>
  <c r="R49" i="1"/>
  <c r="R50" i="1"/>
  <c r="S50" i="1" s="1"/>
  <c r="T50" i="1" s="1"/>
  <c r="R51" i="1"/>
  <c r="S51" i="1" s="1"/>
  <c r="T51" i="1" s="1"/>
  <c r="R52" i="1"/>
  <c r="S52" i="1" s="1"/>
  <c r="T52" i="1" s="1"/>
  <c r="R53" i="1"/>
  <c r="R54" i="1"/>
  <c r="R55" i="1"/>
  <c r="R56" i="1"/>
  <c r="S56" i="1" s="1"/>
  <c r="T56" i="1" s="1"/>
  <c r="R57" i="1"/>
  <c r="S57" i="1" s="1"/>
  <c r="T57" i="1" s="1"/>
  <c r="R58" i="1"/>
  <c r="S58" i="1" s="1"/>
  <c r="T58" i="1" s="1"/>
  <c r="R59" i="1"/>
  <c r="S59" i="1" s="1"/>
  <c r="T59" i="1" s="1"/>
  <c r="R60" i="1"/>
  <c r="S60" i="1" s="1"/>
  <c r="T60" i="1" s="1"/>
  <c r="R61" i="1"/>
  <c r="R62" i="1"/>
  <c r="R63" i="1"/>
  <c r="R64" i="1"/>
  <c r="S64" i="1" s="1"/>
  <c r="T64" i="1" s="1"/>
  <c r="R65" i="1"/>
  <c r="R66" i="1"/>
  <c r="S66" i="1" s="1"/>
  <c r="T66" i="1" s="1"/>
  <c r="R67" i="1"/>
  <c r="S67" i="1" s="1"/>
  <c r="T67" i="1" s="1"/>
  <c r="R68" i="1"/>
  <c r="S68" i="1" s="1"/>
  <c r="T68" i="1" s="1"/>
  <c r="R69" i="1"/>
  <c r="R70" i="1"/>
  <c r="R71" i="1"/>
  <c r="R72" i="1"/>
  <c r="S72" i="1" s="1"/>
  <c r="T72" i="1" s="1"/>
  <c r="R73" i="1"/>
  <c r="S73" i="1" s="1"/>
  <c r="T73" i="1" s="1"/>
  <c r="R74" i="1"/>
  <c r="S74" i="1" s="1"/>
  <c r="T74" i="1" s="1"/>
  <c r="R75" i="1"/>
  <c r="S75" i="1" s="1"/>
  <c r="T75" i="1" s="1"/>
  <c r="R76" i="1"/>
  <c r="S76" i="1" s="1"/>
  <c r="T76" i="1" s="1"/>
  <c r="R77" i="1"/>
  <c r="R78" i="1"/>
  <c r="R79" i="1"/>
  <c r="R80" i="1"/>
  <c r="S80" i="1" s="1"/>
  <c r="T80" i="1" s="1"/>
  <c r="R81" i="1"/>
  <c r="R82" i="1"/>
  <c r="S82" i="1" s="1"/>
  <c r="T82" i="1" s="1"/>
  <c r="R83" i="1"/>
  <c r="S83" i="1" s="1"/>
  <c r="T83" i="1" s="1"/>
  <c r="R84" i="1"/>
  <c r="S84" i="1" s="1"/>
  <c r="T84" i="1" s="1"/>
  <c r="R85" i="1"/>
  <c r="R86" i="1"/>
  <c r="R87" i="1"/>
  <c r="R88" i="1"/>
  <c r="S88" i="1" s="1"/>
  <c r="T88" i="1" s="1"/>
  <c r="R89" i="1"/>
  <c r="S89" i="1" s="1"/>
  <c r="T89" i="1" s="1"/>
  <c r="R90" i="1"/>
  <c r="S90" i="1" s="1"/>
  <c r="T90" i="1" s="1"/>
  <c r="R91" i="1"/>
  <c r="S91" i="1" s="1"/>
  <c r="T91" i="1" s="1"/>
  <c r="R92" i="1"/>
  <c r="S92" i="1" s="1"/>
  <c r="T92" i="1" s="1"/>
  <c r="R93" i="1"/>
  <c r="R94" i="1"/>
  <c r="R95" i="1"/>
  <c r="R96" i="1"/>
  <c r="S96" i="1" s="1"/>
  <c r="T96" i="1" s="1"/>
  <c r="R97" i="1"/>
  <c r="R98" i="1"/>
  <c r="S98" i="1" s="1"/>
  <c r="T98" i="1" s="1"/>
  <c r="R99" i="1"/>
  <c r="S99" i="1" s="1"/>
  <c r="T99" i="1" s="1"/>
  <c r="R100" i="1"/>
  <c r="S100" i="1" s="1"/>
  <c r="T100" i="1" s="1"/>
  <c r="R101" i="1"/>
  <c r="R102" i="1"/>
  <c r="R103" i="1"/>
  <c r="R104" i="1"/>
  <c r="S104" i="1" s="1"/>
  <c r="T104" i="1" s="1"/>
  <c r="R105" i="1"/>
  <c r="S105" i="1" s="1"/>
  <c r="T105" i="1" s="1"/>
  <c r="R106" i="1"/>
  <c r="S106" i="1" s="1"/>
  <c r="T106" i="1" s="1"/>
  <c r="R107" i="1"/>
  <c r="S107" i="1" s="1"/>
  <c r="T107" i="1" s="1"/>
  <c r="R108" i="1"/>
  <c r="S108" i="1" s="1"/>
  <c r="T108" i="1" s="1"/>
  <c r="R109" i="1"/>
  <c r="R110" i="1"/>
  <c r="R111" i="1"/>
  <c r="R112" i="1"/>
  <c r="S112" i="1" s="1"/>
  <c r="T112" i="1" s="1"/>
  <c r="R113" i="1"/>
  <c r="R114" i="1"/>
  <c r="S114" i="1" s="1"/>
  <c r="T114" i="1" s="1"/>
  <c r="R115" i="1"/>
  <c r="S115" i="1" s="1"/>
  <c r="T115" i="1" s="1"/>
  <c r="R116" i="1"/>
  <c r="S116" i="1" s="1"/>
  <c r="T116" i="1" s="1"/>
  <c r="R117" i="1"/>
  <c r="R118" i="1"/>
  <c r="R119" i="1"/>
  <c r="R120" i="1"/>
  <c r="S120" i="1" s="1"/>
  <c r="T120" i="1" s="1"/>
  <c r="R121" i="1"/>
  <c r="S121" i="1" s="1"/>
  <c r="T121" i="1" s="1"/>
  <c r="R35" i="1"/>
  <c r="S35" i="1" s="1"/>
  <c r="T35" i="1" s="1"/>
  <c r="K27" i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3" i="1" s="1"/>
  <c r="K124" i="1" s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10" i="1" s="1"/>
  <c r="K217" i="1" s="1"/>
  <c r="K218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J27" i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10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R1" i="1"/>
  <c r="T139" i="1"/>
  <c r="T147" i="1"/>
  <c r="T366" i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7" i="1"/>
  <c r="T37" i="1" s="1"/>
  <c r="S38" i="1"/>
  <c r="T38" i="1" s="1"/>
  <c r="S39" i="1"/>
  <c r="T39" i="1" s="1"/>
  <c r="S45" i="1"/>
  <c r="T45" i="1" s="1"/>
  <c r="S46" i="1"/>
  <c r="T46" i="1" s="1"/>
  <c r="S47" i="1"/>
  <c r="T47" i="1" s="1"/>
  <c r="S49" i="1"/>
  <c r="T49" i="1" s="1"/>
  <c r="S53" i="1"/>
  <c r="T53" i="1" s="1"/>
  <c r="S54" i="1"/>
  <c r="T54" i="1" s="1"/>
  <c r="S55" i="1"/>
  <c r="T55" i="1" s="1"/>
  <c r="S61" i="1"/>
  <c r="T61" i="1" s="1"/>
  <c r="S62" i="1"/>
  <c r="T62" i="1" s="1"/>
  <c r="S63" i="1"/>
  <c r="T63" i="1" s="1"/>
  <c r="S65" i="1"/>
  <c r="T65" i="1" s="1"/>
  <c r="S69" i="1"/>
  <c r="T69" i="1" s="1"/>
  <c r="S70" i="1"/>
  <c r="T70" i="1" s="1"/>
  <c r="S71" i="1"/>
  <c r="T71" i="1" s="1"/>
  <c r="S77" i="1"/>
  <c r="T77" i="1" s="1"/>
  <c r="S78" i="1"/>
  <c r="T78" i="1" s="1"/>
  <c r="S79" i="1"/>
  <c r="T79" i="1" s="1"/>
  <c r="S81" i="1"/>
  <c r="T81" i="1" s="1"/>
  <c r="S85" i="1"/>
  <c r="T85" i="1" s="1"/>
  <c r="S86" i="1"/>
  <c r="T86" i="1" s="1"/>
  <c r="S87" i="1"/>
  <c r="T87" i="1" s="1"/>
  <c r="S93" i="1"/>
  <c r="T93" i="1" s="1"/>
  <c r="S94" i="1"/>
  <c r="T94" i="1" s="1"/>
  <c r="S95" i="1"/>
  <c r="T95" i="1" s="1"/>
  <c r="S97" i="1"/>
  <c r="T97" i="1" s="1"/>
  <c r="S101" i="1"/>
  <c r="T101" i="1" s="1"/>
  <c r="S102" i="1"/>
  <c r="T102" i="1" s="1"/>
  <c r="S103" i="1"/>
  <c r="T103" i="1" s="1"/>
  <c r="S109" i="1"/>
  <c r="T109" i="1" s="1"/>
  <c r="S110" i="1"/>
  <c r="T110" i="1" s="1"/>
  <c r="S111" i="1"/>
  <c r="T111" i="1" s="1"/>
  <c r="S113" i="1"/>
  <c r="T113" i="1" s="1"/>
  <c r="S117" i="1"/>
  <c r="T117" i="1" s="1"/>
  <c r="S118" i="1"/>
  <c r="T118" i="1" s="1"/>
  <c r="S119" i="1"/>
  <c r="T119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20" i="1"/>
  <c r="T220" i="1" s="1"/>
  <c r="S221" i="1"/>
  <c r="T221" i="1" s="1"/>
  <c r="S222" i="1"/>
  <c r="T222" i="1" s="1"/>
  <c r="S223" i="1"/>
  <c r="T223" i="1" s="1"/>
  <c r="S224" i="1"/>
  <c r="T224" i="1" s="1"/>
  <c r="S228" i="1"/>
  <c r="T228" i="1" s="1"/>
  <c r="S229" i="1"/>
  <c r="T229" i="1" s="1"/>
  <c r="S230" i="1"/>
  <c r="T230" i="1" s="1"/>
  <c r="S231" i="1"/>
  <c r="T231" i="1" s="1"/>
  <c r="S232" i="1"/>
  <c r="T232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2" i="1"/>
  <c r="T252" i="1" s="1"/>
  <c r="S253" i="1"/>
  <c r="T253" i="1" s="1"/>
  <c r="S254" i="1"/>
  <c r="T254" i="1" s="1"/>
  <c r="S255" i="1"/>
  <c r="T255" i="1" s="1"/>
  <c r="S256" i="1"/>
  <c r="T256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5" i="1"/>
  <c r="T305" i="1" s="1"/>
  <c r="S307" i="1"/>
  <c r="T307" i="1" s="1"/>
  <c r="S308" i="1"/>
  <c r="T308" i="1" s="1"/>
  <c r="S309" i="1"/>
  <c r="T309" i="1" s="1"/>
  <c r="S310" i="1"/>
  <c r="T310" i="1" s="1"/>
  <c r="S312" i="1"/>
  <c r="T312" i="1" s="1"/>
  <c r="S313" i="1"/>
  <c r="T313" i="1" s="1"/>
  <c r="S315" i="1"/>
  <c r="T315" i="1" s="1"/>
  <c r="S316" i="1"/>
  <c r="T316" i="1" s="1"/>
  <c r="S317" i="1"/>
  <c r="T317" i="1" s="1"/>
  <c r="S318" i="1"/>
  <c r="T318" i="1" s="1"/>
  <c r="S321" i="1"/>
  <c r="T321" i="1" s="1"/>
  <c r="S323" i="1"/>
  <c r="T323" i="1" s="1"/>
  <c r="S324" i="1"/>
  <c r="T324" i="1" s="1"/>
  <c r="S325" i="1"/>
  <c r="T325" i="1" s="1"/>
  <c r="S326" i="1"/>
  <c r="T326" i="1" s="1"/>
  <c r="S329" i="1"/>
  <c r="T329" i="1" s="1"/>
  <c r="S331" i="1"/>
  <c r="T331" i="1" s="1"/>
  <c r="S332" i="1"/>
  <c r="T332" i="1" s="1"/>
  <c r="S333" i="1"/>
  <c r="T333" i="1" s="1"/>
  <c r="S334" i="1"/>
  <c r="T334" i="1" s="1"/>
  <c r="S337" i="1"/>
  <c r="T337" i="1" s="1"/>
  <c r="S339" i="1"/>
  <c r="T339" i="1" s="1"/>
  <c r="S340" i="1"/>
  <c r="T340" i="1" s="1"/>
  <c r="S341" i="1"/>
  <c r="T341" i="1" s="1"/>
  <c r="S342" i="1"/>
  <c r="T342" i="1" s="1"/>
  <c r="S344" i="1"/>
  <c r="T344" i="1" s="1"/>
  <c r="S345" i="1"/>
  <c r="T345" i="1" s="1"/>
  <c r="S347" i="1"/>
  <c r="T347" i="1" s="1"/>
  <c r="S348" i="1"/>
  <c r="T348" i="1" s="1"/>
  <c r="S349" i="1"/>
  <c r="T349" i="1" s="1"/>
  <c r="S350" i="1"/>
  <c r="T350" i="1" s="1"/>
  <c r="S353" i="1"/>
  <c r="T353" i="1" s="1"/>
  <c r="S355" i="1"/>
  <c r="T355" i="1" s="1"/>
  <c r="S356" i="1"/>
  <c r="T356" i="1" s="1"/>
  <c r="S357" i="1"/>
  <c r="T357" i="1" s="1"/>
  <c r="S358" i="1"/>
  <c r="T358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S367" i="1"/>
  <c r="T367" i="1" s="1"/>
  <c r="S4" i="1"/>
  <c r="T4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P4" i="1" s="1"/>
  <c r="P5" i="1" s="1"/>
  <c r="P15" i="1" l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U27" i="1" s="1"/>
  <c r="U28" i="1" s="1"/>
  <c r="U29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X123" i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U123" i="1" l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V36" i="1"/>
  <c r="V38" i="1" s="1"/>
  <c r="V34" i="1"/>
  <c r="V32" i="1"/>
  <c r="U220" i="1" l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V129" i="1"/>
  <c r="V131" i="1"/>
  <c r="V133" i="1" s="1"/>
  <c r="V127" i="1"/>
  <c r="U262" i="1" l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V226" i="1"/>
  <c r="V228" i="1"/>
  <c r="V230" i="1" s="1"/>
  <c r="V224" i="1"/>
  <c r="V270" i="1" l="1"/>
  <c r="V272" i="1" s="1"/>
  <c r="V268" i="1"/>
  <c r="V266" i="1"/>
  <c r="U283" i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V289" i="1" l="1"/>
  <c r="U304" i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V291" i="1"/>
  <c r="V293" i="1" s="1"/>
  <c r="V287" i="1"/>
  <c r="V308" i="1" l="1"/>
  <c r="V310" i="1"/>
  <c r="V312" i="1"/>
  <c r="V314" i="1" s="1"/>
  <c r="U322" i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6" i="1" s="1"/>
  <c r="U357" i="1" s="1"/>
  <c r="U358" i="1" s="1"/>
  <c r="U361" i="1" s="1"/>
  <c r="U362" i="1" s="1"/>
  <c r="U363" i="1" s="1"/>
  <c r="U364" i="1" s="1"/>
  <c r="U365" i="1" s="1"/>
  <c r="U366" i="1" s="1"/>
  <c r="U367" i="1" s="1"/>
  <c r="V328" i="1" l="1"/>
  <c r="V330" i="1"/>
  <c r="V332" i="1" s="1"/>
  <c r="V326" i="1"/>
</calcChain>
</file>

<file path=xl/sharedStrings.xml><?xml version="1.0" encoding="utf-8"?>
<sst xmlns="http://schemas.openxmlformats.org/spreadsheetml/2006/main" count="158" uniqueCount="65">
  <si>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</si>
  <si>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</si>
  <si>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</si>
  <si>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</si>
  <si>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</si>
  <si>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</si>
  <si>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</si>
  <si>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</si>
  <si>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</si>
  <si>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</si>
  <si>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</si>
  <si>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PERIODE</t>
  </si>
  <si>
    <t>GDD/P</t>
  </si>
  <si>
    <t>GDD/CUMUL</t>
  </si>
  <si>
    <t>IPC</t>
  </si>
  <si>
    <t>TEMPERATURE</t>
  </si>
  <si>
    <t>P-ETP</t>
  </si>
  <si>
    <t>RU INIT</t>
  </si>
  <si>
    <t>i</t>
  </si>
  <si>
    <t>kc</t>
  </si>
  <si>
    <t>ETM</t>
  </si>
  <si>
    <t>P-ETM</t>
  </si>
  <si>
    <t>WSCi</t>
  </si>
  <si>
    <t>SSI/P</t>
  </si>
  <si>
    <t>Photopériode</t>
  </si>
  <si>
    <t>WATER</t>
  </si>
  <si>
    <t>SOLAR</t>
  </si>
  <si>
    <t>RU</t>
  </si>
  <si>
    <t>1/3</t>
  </si>
  <si>
    <t>Semis</t>
  </si>
  <si>
    <t>levée</t>
  </si>
  <si>
    <t>H</t>
  </si>
  <si>
    <t>FH</t>
  </si>
  <si>
    <t>FIN FLO</t>
  </si>
  <si>
    <t>S</t>
  </si>
  <si>
    <t>F</t>
  </si>
  <si>
    <t>récolte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</si>
  <si>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</si>
  <si>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</si>
  <si>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</si>
  <si>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</si>
  <si>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</si>
  <si>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</si>
  <si>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</si>
  <si>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</si>
  <si>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</si>
  <si>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</si>
  <si>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</si>
  <si>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</si>
  <si>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</si>
  <si>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</si>
  <si>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</si>
  <si>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</si>
  <si>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P1000</t>
  </si>
  <si>
    <t>P600</t>
  </si>
  <si>
    <t>P300</t>
  </si>
  <si>
    <t>FLOWERING</t>
  </si>
  <si>
    <t>BOLTING</t>
  </si>
  <si>
    <t>CLIMATIC WINTER</t>
  </si>
  <si>
    <t>FALL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</si>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</sst>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3">
    <xf numFmtId="0" fontId="0" fillId="0" borderId="0" xfId="0"/>
    <xf numFmtId="0" fontId="16" fillId="0" borderId="0" xfId="0" applyFont="1"/>
    <xf numFmtId="0" fontId="16" fillId="0" borderId="0" xfId="0" quotePrefix="1" applyFont="1"/>
    <xf numFmtId="14" fontId="0" fillId="0" borderId="0" xfId="0" applyNumberForma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Border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Border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Border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Border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Border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Border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Border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0" fillId="40" borderId="0" xfId="0" applyFill="1"/>
    <xf numFmtId="0" fontId="0" fillId="41" borderId="0" xfId="0" applyFill="1"/>
    <xf numFmtId="14" fontId="0" fillId="41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7" tint="-0.499984740745262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7"/>
  <sheetViews>
    <sheetView tabSelected="1" zoomScale="90" zoomScaleNormal="90" workbookViewId="0">
      <pane xSplit="6" ySplit="3" topLeftCell="J185" activePane="bottomRight" state="frozen"/>
      <selection pane="topRight" activeCell="G1" sqref="G1"/>
      <selection pane="bottomLeft" activeCell="A4" sqref="A4"/>
      <selection pane="bottomRight" activeCell="AA207" sqref="AA207"/>
    </sheetView>
  </sheetViews>
  <sheetFormatPr baseColWidth="10" defaultRowHeight="15" x14ac:dyDescent="0.25"/>
  <sheetData>
    <row r="1" spans="1:26" s="1" customFormat="1" x14ac:dyDescent="0.25">
      <c r="O1" s="1" t="s">
        <v>27</v>
      </c>
      <c r="P1" s="1">
        <v>153.6</v>
      </c>
      <c r="Q1" s="2" t="s">
        <v>28</v>
      </c>
      <c r="R1" s="1">
        <f>P1/3</f>
        <v>51.199999999999996</v>
      </c>
    </row>
    <row r="2" spans="1:26" s="1" customFormat="1" x14ac:dyDescent="0.25">
      <c r="G2" s="27" t="s">
        <v>15</v>
      </c>
      <c r="H2" s="27"/>
      <c r="I2" s="27"/>
      <c r="J2" s="27"/>
      <c r="K2" s="27"/>
      <c r="L2" s="27"/>
      <c r="M2" s="27" t="s">
        <v>25</v>
      </c>
      <c r="N2" s="27"/>
      <c r="O2" s="27"/>
      <c r="P2" s="27"/>
      <c r="Q2" s="27"/>
      <c r="R2" s="27"/>
      <c r="S2" s="27"/>
      <c r="T2" s="27"/>
      <c r="U2" s="27"/>
      <c r="V2" s="27"/>
      <c r="W2" s="28" t="s">
        <v>26</v>
      </c>
      <c r="X2" s="28"/>
      <c r="Y2" s="28"/>
      <c r="Z2" s="28"/>
    </row>
    <row r="3" spans="1:26" s="1" customFormat="1" x14ac:dyDescent="0.25">
      <c r="A3" s="1" t="s">
        <v>0</v>
      </c>
      <c r="B3" s="1" t="s">
        <v>1</v>
      </c>
      <c r="C3" s="1" t="s">
        <v>2</v>
      </c>
      <c r="D3" s="1" t="s">
        <v>9</v>
      </c>
      <c r="E3" s="1" t="s">
        <v>10</v>
      </c>
      <c r="F3" s="1" t="s">
        <v>11</v>
      </c>
      <c r="G3" s="1" t="s">
        <v>4</v>
      </c>
      <c r="H3" s="1" t="s">
        <v>7</v>
      </c>
      <c r="I3" s="1" t="s">
        <v>8</v>
      </c>
      <c r="J3" s="1" t="s">
        <v>13</v>
      </c>
      <c r="K3" s="1" t="s">
        <v>12</v>
      </c>
      <c r="L3" s="1" t="s">
        <v>14</v>
      </c>
      <c r="M3" s="1" t="s">
        <v>3</v>
      </c>
      <c r="N3" s="1" t="s">
        <v>6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14</v>
      </c>
      <c r="W3" s="1" t="s">
        <v>5</v>
      </c>
      <c r="X3" s="1" t="s">
        <v>23</v>
      </c>
      <c r="Y3" s="1" t="s">
        <v>24</v>
      </c>
      <c r="Z3" s="1" t="s">
        <v>14</v>
      </c>
    </row>
    <row r="4" spans="1:26" x14ac:dyDescent="0.25">
      <c r="A4">
        <v>6360</v>
      </c>
      <c r="B4">
        <v>26330</v>
      </c>
      <c r="C4" s="3">
        <v>42949</v>
      </c>
      <c r="G4">
        <v>17.3</v>
      </c>
      <c r="H4">
        <v>15.4</v>
      </c>
      <c r="I4">
        <v>19.2</v>
      </c>
      <c r="M4">
        <v>3.7</v>
      </c>
      <c r="N4">
        <v>1.9</v>
      </c>
      <c r="O4">
        <f>M4-N4</f>
        <v>1.8000000000000003</v>
      </c>
      <c r="P4">
        <f>O4</f>
        <v>1.8000000000000003</v>
      </c>
      <c r="S4">
        <f>R4*N4</f>
        <v>0</v>
      </c>
      <c r="T4">
        <f>M4-S4</f>
        <v>3.7</v>
      </c>
      <c r="W4">
        <v>855.6</v>
      </c>
    </row>
    <row r="5" spans="1:26" x14ac:dyDescent="0.25">
      <c r="A5">
        <v>6360</v>
      </c>
      <c r="B5">
        <v>26330</v>
      </c>
      <c r="C5" s="3">
        <v>42950</v>
      </c>
      <c r="G5">
        <v>18.7</v>
      </c>
      <c r="H5">
        <v>16.399999999999999</v>
      </c>
      <c r="I5">
        <v>20.8</v>
      </c>
      <c r="M5">
        <v>1.5</v>
      </c>
      <c r="N5">
        <v>2.7</v>
      </c>
      <c r="O5">
        <f t="shared" ref="O5:O68" si="0">M5-N5</f>
        <v>-1.2000000000000002</v>
      </c>
      <c r="P5">
        <f>P4+O5</f>
        <v>0.60000000000000009</v>
      </c>
      <c r="S5">
        <f t="shared" ref="S5:S68" si="1">R5*N5</f>
        <v>0</v>
      </c>
      <c r="T5">
        <f t="shared" ref="T5:T68" si="2">M5-S5</f>
        <v>1.5</v>
      </c>
      <c r="W5">
        <v>770.2</v>
      </c>
    </row>
    <row r="6" spans="1:26" x14ac:dyDescent="0.25">
      <c r="A6">
        <v>6360</v>
      </c>
      <c r="B6">
        <v>26330</v>
      </c>
      <c r="C6" s="3">
        <v>42951</v>
      </c>
      <c r="G6">
        <v>19</v>
      </c>
      <c r="H6">
        <v>16.399999999999999</v>
      </c>
      <c r="I6">
        <v>22.3</v>
      </c>
      <c r="M6">
        <v>0.1</v>
      </c>
      <c r="N6">
        <v>4.0999999999999996</v>
      </c>
      <c r="O6">
        <f t="shared" si="0"/>
        <v>-3.9999999999999996</v>
      </c>
      <c r="P6">
        <v>0</v>
      </c>
      <c r="S6">
        <f t="shared" si="1"/>
        <v>0</v>
      </c>
      <c r="T6">
        <f t="shared" si="2"/>
        <v>0.1</v>
      </c>
      <c r="W6">
        <v>1432.3</v>
      </c>
    </row>
    <row r="7" spans="1:26" x14ac:dyDescent="0.25">
      <c r="A7">
        <v>6360</v>
      </c>
      <c r="B7">
        <v>26330</v>
      </c>
      <c r="C7" s="3">
        <v>42952</v>
      </c>
      <c r="G7">
        <v>16.899999999999999</v>
      </c>
      <c r="H7">
        <v>15.8</v>
      </c>
      <c r="I7">
        <v>20.2</v>
      </c>
      <c r="M7">
        <v>0.6</v>
      </c>
      <c r="N7">
        <v>2.8</v>
      </c>
      <c r="O7">
        <f t="shared" si="0"/>
        <v>-2.1999999999999997</v>
      </c>
      <c r="P7">
        <v>0</v>
      </c>
      <c r="S7">
        <f t="shared" si="1"/>
        <v>0</v>
      </c>
      <c r="T7">
        <f t="shared" si="2"/>
        <v>0.6</v>
      </c>
      <c r="W7">
        <v>1201.8</v>
      </c>
    </row>
    <row r="8" spans="1:26" x14ac:dyDescent="0.25">
      <c r="A8">
        <v>6360</v>
      </c>
      <c r="B8">
        <v>26330</v>
      </c>
      <c r="C8" s="3">
        <v>42953</v>
      </c>
      <c r="G8">
        <v>16.100000000000001</v>
      </c>
      <c r="H8">
        <v>11.9</v>
      </c>
      <c r="I8">
        <v>21.6</v>
      </c>
      <c r="M8">
        <v>0</v>
      </c>
      <c r="N8">
        <v>3.4</v>
      </c>
      <c r="O8">
        <f t="shared" si="0"/>
        <v>-3.4</v>
      </c>
      <c r="P8">
        <v>0</v>
      </c>
      <c r="S8">
        <f t="shared" si="1"/>
        <v>0</v>
      </c>
      <c r="T8">
        <f t="shared" si="2"/>
        <v>0</v>
      </c>
      <c r="W8">
        <v>1310.3</v>
      </c>
    </row>
    <row r="9" spans="1:26" x14ac:dyDescent="0.25">
      <c r="A9">
        <v>6360</v>
      </c>
      <c r="B9">
        <v>26330</v>
      </c>
      <c r="C9" s="3">
        <v>42954</v>
      </c>
      <c r="G9">
        <v>16.5</v>
      </c>
      <c r="H9">
        <v>10.8</v>
      </c>
      <c r="I9">
        <v>21.8</v>
      </c>
      <c r="M9">
        <v>0</v>
      </c>
      <c r="N9">
        <v>4.0999999999999996</v>
      </c>
      <c r="O9">
        <f t="shared" si="0"/>
        <v>-4.0999999999999996</v>
      </c>
      <c r="P9">
        <v>0</v>
      </c>
      <c r="S9">
        <f t="shared" si="1"/>
        <v>0</v>
      </c>
      <c r="T9">
        <f t="shared" si="2"/>
        <v>0</v>
      </c>
      <c r="W9">
        <v>2269.1</v>
      </c>
    </row>
    <row r="10" spans="1:26" x14ac:dyDescent="0.25">
      <c r="A10">
        <v>6360</v>
      </c>
      <c r="B10">
        <v>26330</v>
      </c>
      <c r="C10" s="3">
        <v>42955</v>
      </c>
      <c r="G10">
        <v>15.5</v>
      </c>
      <c r="H10">
        <v>12.7</v>
      </c>
      <c r="I10">
        <v>19</v>
      </c>
      <c r="M10">
        <v>3.7</v>
      </c>
      <c r="N10">
        <v>1.6</v>
      </c>
      <c r="O10">
        <f t="shared" si="0"/>
        <v>2.1</v>
      </c>
      <c r="P10">
        <f t="shared" ref="P10:P26" si="3">P9+O10</f>
        <v>2.1</v>
      </c>
      <c r="S10">
        <f t="shared" si="1"/>
        <v>0</v>
      </c>
      <c r="T10">
        <f t="shared" si="2"/>
        <v>3.7</v>
      </c>
      <c r="W10">
        <v>860</v>
      </c>
    </row>
    <row r="11" spans="1:26" x14ac:dyDescent="0.25">
      <c r="A11">
        <v>6360</v>
      </c>
      <c r="B11">
        <v>26330</v>
      </c>
      <c r="C11" s="3">
        <v>42956</v>
      </c>
      <c r="G11">
        <v>15.8</v>
      </c>
      <c r="H11">
        <v>13.1</v>
      </c>
      <c r="I11">
        <v>18.7</v>
      </c>
      <c r="M11">
        <v>7</v>
      </c>
      <c r="N11">
        <v>3.2</v>
      </c>
      <c r="O11">
        <f t="shared" si="0"/>
        <v>3.8</v>
      </c>
      <c r="P11">
        <f t="shared" si="3"/>
        <v>5.9</v>
      </c>
      <c r="S11">
        <f t="shared" si="1"/>
        <v>0</v>
      </c>
      <c r="T11">
        <f t="shared" si="2"/>
        <v>7</v>
      </c>
      <c r="W11">
        <v>1846</v>
      </c>
    </row>
    <row r="12" spans="1:26" x14ac:dyDescent="0.25">
      <c r="A12">
        <v>6360</v>
      </c>
      <c r="B12">
        <v>26330</v>
      </c>
      <c r="C12" s="3">
        <v>42957</v>
      </c>
      <c r="G12">
        <v>15.3</v>
      </c>
      <c r="H12">
        <v>13.2</v>
      </c>
      <c r="I12">
        <v>17.7</v>
      </c>
      <c r="M12">
        <v>7.9</v>
      </c>
      <c r="N12">
        <v>1.1000000000000001</v>
      </c>
      <c r="O12">
        <f t="shared" si="0"/>
        <v>6.8000000000000007</v>
      </c>
      <c r="P12">
        <f t="shared" si="3"/>
        <v>12.700000000000001</v>
      </c>
      <c r="S12">
        <f t="shared" si="1"/>
        <v>0</v>
      </c>
      <c r="T12">
        <f t="shared" si="2"/>
        <v>7.9</v>
      </c>
      <c r="W12">
        <v>618.4</v>
      </c>
    </row>
    <row r="13" spans="1:26" x14ac:dyDescent="0.25">
      <c r="A13">
        <v>6360</v>
      </c>
      <c r="B13">
        <v>26330</v>
      </c>
      <c r="C13" s="3">
        <v>42958</v>
      </c>
      <c r="G13">
        <v>16.899999999999999</v>
      </c>
      <c r="H13">
        <v>14.1</v>
      </c>
      <c r="I13">
        <v>20.5</v>
      </c>
      <c r="M13">
        <v>1.3</v>
      </c>
      <c r="N13">
        <v>3.3</v>
      </c>
      <c r="O13">
        <f t="shared" si="0"/>
        <v>-1.9999999999999998</v>
      </c>
      <c r="P13">
        <f t="shared" si="3"/>
        <v>10.700000000000001</v>
      </c>
      <c r="S13">
        <f t="shared" si="1"/>
        <v>0</v>
      </c>
      <c r="T13">
        <f t="shared" si="2"/>
        <v>1.3</v>
      </c>
      <c r="W13">
        <v>1418</v>
      </c>
    </row>
    <row r="14" spans="1:26" x14ac:dyDescent="0.25">
      <c r="A14">
        <v>6360</v>
      </c>
      <c r="B14">
        <v>26330</v>
      </c>
      <c r="C14" s="3">
        <v>42959</v>
      </c>
      <c r="G14">
        <v>18</v>
      </c>
      <c r="H14">
        <v>16.3</v>
      </c>
      <c r="I14">
        <v>20.7</v>
      </c>
      <c r="M14">
        <v>0.8</v>
      </c>
      <c r="N14">
        <v>2</v>
      </c>
      <c r="O14">
        <f t="shared" si="0"/>
        <v>-1.2</v>
      </c>
      <c r="P14">
        <f t="shared" si="3"/>
        <v>9.5000000000000018</v>
      </c>
      <c r="S14">
        <f t="shared" si="1"/>
        <v>0</v>
      </c>
      <c r="T14">
        <f t="shared" si="2"/>
        <v>0.8</v>
      </c>
      <c r="W14">
        <v>654.6</v>
      </c>
    </row>
    <row r="15" spans="1:26" x14ac:dyDescent="0.25">
      <c r="A15">
        <v>6360</v>
      </c>
      <c r="B15">
        <v>26330</v>
      </c>
      <c r="C15" s="3">
        <v>42960</v>
      </c>
      <c r="G15">
        <v>16.899999999999999</v>
      </c>
      <c r="H15">
        <v>14.7</v>
      </c>
      <c r="I15">
        <v>19.8</v>
      </c>
      <c r="M15">
        <v>0</v>
      </c>
      <c r="N15">
        <v>2.6</v>
      </c>
      <c r="O15">
        <f t="shared" si="0"/>
        <v>-2.6</v>
      </c>
      <c r="P15">
        <f t="shared" si="3"/>
        <v>6.9000000000000021</v>
      </c>
      <c r="S15">
        <f t="shared" si="1"/>
        <v>0</v>
      </c>
      <c r="T15">
        <f t="shared" si="2"/>
        <v>0</v>
      </c>
      <c r="W15">
        <v>1275.5</v>
      </c>
    </row>
    <row r="16" spans="1:26" x14ac:dyDescent="0.25">
      <c r="A16">
        <v>6360</v>
      </c>
      <c r="B16">
        <v>26330</v>
      </c>
      <c r="C16" s="3">
        <v>42961</v>
      </c>
      <c r="G16">
        <v>19</v>
      </c>
      <c r="H16">
        <v>13</v>
      </c>
      <c r="I16">
        <v>24.2</v>
      </c>
      <c r="M16">
        <v>8.5</v>
      </c>
      <c r="N16">
        <v>1.9</v>
      </c>
      <c r="O16">
        <f t="shared" si="0"/>
        <v>6.6</v>
      </c>
      <c r="P16">
        <f t="shared" si="3"/>
        <v>13.500000000000002</v>
      </c>
      <c r="S16">
        <f t="shared" si="1"/>
        <v>0</v>
      </c>
      <c r="T16">
        <f t="shared" si="2"/>
        <v>8.5</v>
      </c>
      <c r="W16">
        <v>951.4</v>
      </c>
    </row>
    <row r="17" spans="1:26" x14ac:dyDescent="0.25">
      <c r="A17">
        <v>6360</v>
      </c>
      <c r="B17">
        <v>26330</v>
      </c>
      <c r="C17" s="3">
        <v>42962</v>
      </c>
      <c r="G17">
        <v>18.2</v>
      </c>
      <c r="H17">
        <v>15.3</v>
      </c>
      <c r="I17">
        <v>21.1</v>
      </c>
      <c r="M17">
        <v>2.4</v>
      </c>
      <c r="N17">
        <v>2</v>
      </c>
      <c r="O17">
        <f t="shared" si="0"/>
        <v>0.39999999999999991</v>
      </c>
      <c r="P17">
        <f t="shared" si="3"/>
        <v>13.900000000000002</v>
      </c>
      <c r="S17">
        <f t="shared" si="1"/>
        <v>0</v>
      </c>
      <c r="T17">
        <f t="shared" si="2"/>
        <v>2.4</v>
      </c>
      <c r="W17">
        <v>887.3</v>
      </c>
    </row>
    <row r="18" spans="1:26" x14ac:dyDescent="0.25">
      <c r="A18">
        <v>6360</v>
      </c>
      <c r="B18">
        <v>26330</v>
      </c>
      <c r="C18" s="3">
        <v>42963</v>
      </c>
      <c r="G18">
        <v>18.3</v>
      </c>
      <c r="H18">
        <v>13.6</v>
      </c>
      <c r="I18">
        <v>22.7</v>
      </c>
      <c r="M18">
        <v>0.6</v>
      </c>
      <c r="N18">
        <v>3.5</v>
      </c>
      <c r="O18">
        <f t="shared" si="0"/>
        <v>-2.9</v>
      </c>
      <c r="P18">
        <f t="shared" si="3"/>
        <v>11.000000000000002</v>
      </c>
      <c r="S18">
        <f t="shared" si="1"/>
        <v>0</v>
      </c>
      <c r="T18">
        <f t="shared" si="2"/>
        <v>0.6</v>
      </c>
      <c r="W18">
        <v>1840</v>
      </c>
    </row>
    <row r="19" spans="1:26" x14ac:dyDescent="0.25">
      <c r="A19">
        <v>6360</v>
      </c>
      <c r="B19">
        <v>26330</v>
      </c>
      <c r="C19" s="3">
        <v>42964</v>
      </c>
      <c r="G19">
        <v>18.600000000000001</v>
      </c>
      <c r="H19">
        <v>17.5</v>
      </c>
      <c r="I19">
        <v>20</v>
      </c>
      <c r="M19">
        <v>4.0999999999999996</v>
      </c>
      <c r="N19">
        <v>1.7</v>
      </c>
      <c r="O19">
        <f t="shared" si="0"/>
        <v>2.3999999999999995</v>
      </c>
      <c r="P19">
        <f t="shared" si="3"/>
        <v>13.400000000000002</v>
      </c>
      <c r="S19">
        <f t="shared" si="1"/>
        <v>0</v>
      </c>
      <c r="T19">
        <f t="shared" si="2"/>
        <v>4.0999999999999996</v>
      </c>
      <c r="W19">
        <v>477.4</v>
      </c>
    </row>
    <row r="20" spans="1:26" x14ac:dyDescent="0.25">
      <c r="A20">
        <v>6360</v>
      </c>
      <c r="B20">
        <v>26330</v>
      </c>
      <c r="C20" s="3">
        <v>42965</v>
      </c>
      <c r="G20">
        <v>17.2</v>
      </c>
      <c r="H20">
        <v>15.8</v>
      </c>
      <c r="I20">
        <v>20</v>
      </c>
      <c r="M20">
        <v>6</v>
      </c>
      <c r="N20">
        <v>2.7</v>
      </c>
      <c r="O20">
        <f t="shared" si="0"/>
        <v>3.3</v>
      </c>
      <c r="P20">
        <f t="shared" si="3"/>
        <v>16.700000000000003</v>
      </c>
      <c r="S20">
        <f t="shared" si="1"/>
        <v>0</v>
      </c>
      <c r="T20">
        <f t="shared" si="2"/>
        <v>6</v>
      </c>
      <c r="W20">
        <v>1120.4000000000001</v>
      </c>
    </row>
    <row r="21" spans="1:26" x14ac:dyDescent="0.25">
      <c r="A21">
        <v>6360</v>
      </c>
      <c r="B21">
        <v>26330</v>
      </c>
      <c r="C21" s="3">
        <v>42966</v>
      </c>
      <c r="G21">
        <v>16.3</v>
      </c>
      <c r="H21">
        <v>13.4</v>
      </c>
      <c r="I21">
        <v>19.7</v>
      </c>
      <c r="M21">
        <v>0.2</v>
      </c>
      <c r="N21">
        <v>3.7</v>
      </c>
      <c r="O21">
        <f t="shared" si="0"/>
        <v>-3.5</v>
      </c>
      <c r="P21">
        <f t="shared" si="3"/>
        <v>13.200000000000003</v>
      </c>
      <c r="S21">
        <f t="shared" si="1"/>
        <v>0</v>
      </c>
      <c r="T21">
        <f t="shared" si="2"/>
        <v>0.2</v>
      </c>
      <c r="W21">
        <v>1695.2</v>
      </c>
    </row>
    <row r="22" spans="1:26" x14ac:dyDescent="0.25">
      <c r="A22">
        <v>6360</v>
      </c>
      <c r="B22">
        <v>26330</v>
      </c>
      <c r="C22" s="3">
        <v>42967</v>
      </c>
      <c r="G22">
        <v>16.100000000000001</v>
      </c>
      <c r="H22">
        <v>12.3</v>
      </c>
      <c r="I22">
        <v>20.100000000000001</v>
      </c>
      <c r="M22">
        <v>2.4</v>
      </c>
      <c r="N22">
        <v>3.8</v>
      </c>
      <c r="O22">
        <f t="shared" si="0"/>
        <v>-1.4</v>
      </c>
      <c r="P22">
        <f t="shared" si="3"/>
        <v>11.800000000000002</v>
      </c>
      <c r="S22">
        <f t="shared" si="1"/>
        <v>0</v>
      </c>
      <c r="T22">
        <f t="shared" si="2"/>
        <v>2.4</v>
      </c>
      <c r="W22">
        <v>1849</v>
      </c>
    </row>
    <row r="23" spans="1:26" x14ac:dyDescent="0.25">
      <c r="A23">
        <v>6360</v>
      </c>
      <c r="B23">
        <v>26330</v>
      </c>
      <c r="C23" s="3">
        <v>42968</v>
      </c>
      <c r="G23">
        <v>16.5</v>
      </c>
      <c r="H23">
        <v>13.8</v>
      </c>
      <c r="I23">
        <v>18.3</v>
      </c>
      <c r="M23">
        <v>0.4</v>
      </c>
      <c r="N23">
        <v>0.8</v>
      </c>
      <c r="O23">
        <f t="shared" si="0"/>
        <v>-0.4</v>
      </c>
      <c r="P23">
        <f t="shared" si="3"/>
        <v>11.400000000000002</v>
      </c>
      <c r="S23">
        <f t="shared" si="1"/>
        <v>0</v>
      </c>
      <c r="T23">
        <f t="shared" si="2"/>
        <v>0.4</v>
      </c>
      <c r="W23">
        <v>325.2</v>
      </c>
    </row>
    <row r="24" spans="1:26" x14ac:dyDescent="0.25">
      <c r="A24">
        <v>6360</v>
      </c>
      <c r="B24">
        <v>26330</v>
      </c>
      <c r="C24" s="3">
        <v>42969</v>
      </c>
      <c r="G24">
        <v>18.7</v>
      </c>
      <c r="H24">
        <v>16</v>
      </c>
      <c r="I24">
        <v>21.6</v>
      </c>
      <c r="M24">
        <v>0</v>
      </c>
      <c r="N24">
        <v>1.5</v>
      </c>
      <c r="O24">
        <f t="shared" si="0"/>
        <v>-1.5</v>
      </c>
      <c r="P24">
        <f t="shared" si="3"/>
        <v>9.9000000000000021</v>
      </c>
      <c r="S24">
        <f t="shared" si="1"/>
        <v>0</v>
      </c>
      <c r="T24">
        <f t="shared" si="2"/>
        <v>0</v>
      </c>
      <c r="W24">
        <v>650</v>
      </c>
    </row>
    <row r="25" spans="1:26" x14ac:dyDescent="0.25">
      <c r="A25">
        <v>6360</v>
      </c>
      <c r="B25">
        <v>26330</v>
      </c>
      <c r="C25" s="3">
        <v>42970</v>
      </c>
      <c r="G25">
        <v>19.7</v>
      </c>
      <c r="H25">
        <v>16.3</v>
      </c>
      <c r="I25">
        <v>27.3</v>
      </c>
      <c r="M25">
        <v>0</v>
      </c>
      <c r="N25">
        <v>3.8</v>
      </c>
      <c r="O25">
        <f t="shared" si="0"/>
        <v>-3.8</v>
      </c>
      <c r="P25">
        <f t="shared" si="3"/>
        <v>6.1000000000000023</v>
      </c>
      <c r="S25">
        <f t="shared" si="1"/>
        <v>0</v>
      </c>
      <c r="T25">
        <f t="shared" si="2"/>
        <v>0</v>
      </c>
      <c r="W25">
        <v>1220.3</v>
      </c>
    </row>
    <row r="26" spans="1:26" s="4" customFormat="1" ht="15.75" thickBot="1" x14ac:dyDescent="0.3">
      <c r="A26" s="4">
        <v>6360</v>
      </c>
      <c r="B26" s="4">
        <v>26330</v>
      </c>
      <c r="C26" s="5">
        <v>42971</v>
      </c>
      <c r="G26" s="4">
        <v>17.899999999999999</v>
      </c>
      <c r="H26" s="4">
        <v>15.9</v>
      </c>
      <c r="I26" s="4">
        <v>21.8</v>
      </c>
      <c r="M26" s="4">
        <v>0</v>
      </c>
      <c r="N26" s="4">
        <v>2.2000000000000002</v>
      </c>
      <c r="O26" s="4">
        <f t="shared" si="0"/>
        <v>-2.2000000000000002</v>
      </c>
      <c r="P26" s="6">
        <f t="shared" si="3"/>
        <v>3.9000000000000021</v>
      </c>
      <c r="S26" s="4">
        <f t="shared" si="1"/>
        <v>0</v>
      </c>
      <c r="T26" s="4">
        <f t="shared" si="2"/>
        <v>0</v>
      </c>
      <c r="W26" s="4">
        <v>715.7</v>
      </c>
    </row>
    <row r="27" spans="1:26" x14ac:dyDescent="0.25">
      <c r="A27">
        <v>6360</v>
      </c>
      <c r="B27">
        <v>26330</v>
      </c>
      <c r="C27" s="3">
        <v>42972</v>
      </c>
      <c r="D27" t="s">
        <v>29</v>
      </c>
      <c r="F27" s="47" t="s">
        <v>59</v>
      </c>
      <c r="G27">
        <v>17.899999999999999</v>
      </c>
      <c r="H27">
        <v>12.9</v>
      </c>
      <c r="I27">
        <v>23.4</v>
      </c>
      <c r="J27">
        <f>G27</f>
        <v>17.899999999999999</v>
      </c>
      <c r="K27">
        <f>G27</f>
        <v>17.899999999999999</v>
      </c>
      <c r="L27" s="7" t="s">
        <v>37</v>
      </c>
      <c r="M27">
        <v>0.2</v>
      </c>
      <c r="N27">
        <v>3.3</v>
      </c>
      <c r="O27">
        <f t="shared" si="0"/>
        <v>-3.0999999999999996</v>
      </c>
      <c r="Q27">
        <v>1</v>
      </c>
      <c r="R27">
        <v>0.35</v>
      </c>
      <c r="S27">
        <f t="shared" si="1"/>
        <v>1.1549999999999998</v>
      </c>
      <c r="T27">
        <f t="shared" si="2"/>
        <v>-0.95499999999999985</v>
      </c>
      <c r="U27">
        <f>P26+T27</f>
        <v>2.9450000000000021</v>
      </c>
      <c r="V27" s="11" t="s">
        <v>44</v>
      </c>
      <c r="W27">
        <v>1516.1</v>
      </c>
      <c r="X27">
        <f>W27</f>
        <v>1516.1</v>
      </c>
      <c r="Y27">
        <v>13.713458274771227</v>
      </c>
      <c r="Z27" s="11" t="s">
        <v>49</v>
      </c>
    </row>
    <row r="28" spans="1:26" x14ac:dyDescent="0.25">
      <c r="A28">
        <v>6360</v>
      </c>
      <c r="B28">
        <v>26330</v>
      </c>
      <c r="C28" s="3">
        <v>42973</v>
      </c>
      <c r="F28" s="48"/>
      <c r="G28">
        <v>19.3</v>
      </c>
      <c r="H28">
        <v>15</v>
      </c>
      <c r="I28">
        <v>24.8</v>
      </c>
      <c r="J28">
        <f>J27+G28</f>
        <v>37.200000000000003</v>
      </c>
      <c r="K28">
        <f>K27+G28</f>
        <v>37.200000000000003</v>
      </c>
      <c r="L28" s="8">
        <v>1188.9000000000001</v>
      </c>
      <c r="M28">
        <v>0</v>
      </c>
      <c r="N28">
        <v>3.2</v>
      </c>
      <c r="O28">
        <f t="shared" si="0"/>
        <v>-3.2</v>
      </c>
      <c r="Q28">
        <v>2</v>
      </c>
      <c r="R28">
        <v>0.35</v>
      </c>
      <c r="S28">
        <f t="shared" si="1"/>
        <v>1.1199999999999999</v>
      </c>
      <c r="T28">
        <f t="shared" si="2"/>
        <v>-1.1199999999999999</v>
      </c>
      <c r="U28">
        <f>MIN(T28+U27,153.6)</f>
        <v>1.8250000000000022</v>
      </c>
      <c r="V28">
        <v>1</v>
      </c>
      <c r="W28">
        <v>1485.3</v>
      </c>
      <c r="X28">
        <f>X27+W28</f>
        <v>3001.3999999999996</v>
      </c>
      <c r="Y28">
        <v>13.650842798888288</v>
      </c>
      <c r="Z28">
        <v>58732.7</v>
      </c>
    </row>
    <row r="29" spans="1:26" x14ac:dyDescent="0.25">
      <c r="A29">
        <v>6360</v>
      </c>
      <c r="B29">
        <v>26330</v>
      </c>
      <c r="C29" s="3">
        <v>42974</v>
      </c>
      <c r="F29" s="48"/>
      <c r="G29">
        <v>18.899999999999999</v>
      </c>
      <c r="H29">
        <v>13.9</v>
      </c>
      <c r="I29">
        <v>24.6</v>
      </c>
      <c r="J29">
        <f t="shared" ref="J29:J92" si="4">J28+G29</f>
        <v>56.1</v>
      </c>
      <c r="K29">
        <f t="shared" ref="K29:K92" si="5">K28+G29</f>
        <v>56.1</v>
      </c>
      <c r="L29" s="7" t="s">
        <v>38</v>
      </c>
      <c r="M29">
        <v>0.2</v>
      </c>
      <c r="N29">
        <v>3.7</v>
      </c>
      <c r="O29">
        <f t="shared" si="0"/>
        <v>-3.5</v>
      </c>
      <c r="Q29">
        <v>3</v>
      </c>
      <c r="R29">
        <v>0.35</v>
      </c>
      <c r="S29">
        <f t="shared" si="1"/>
        <v>1.2949999999999999</v>
      </c>
      <c r="T29">
        <f t="shared" si="2"/>
        <v>-1.095</v>
      </c>
      <c r="U29">
        <f t="shared" ref="U29:U92" si="6">MIN(T29+U28,153.6)</f>
        <v>0.7300000000000022</v>
      </c>
      <c r="V29" s="11" t="s">
        <v>45</v>
      </c>
      <c r="W29">
        <v>1738.4</v>
      </c>
      <c r="X29">
        <f t="shared" ref="X29:X92" si="7">X28+W29</f>
        <v>4739.7999999999993</v>
      </c>
      <c r="Y29">
        <v>13.587973925471836</v>
      </c>
      <c r="Z29" s="11" t="s">
        <v>50</v>
      </c>
    </row>
    <row r="30" spans="1:26" x14ac:dyDescent="0.25">
      <c r="A30">
        <v>6360</v>
      </c>
      <c r="B30">
        <v>26330</v>
      </c>
      <c r="C30" s="3">
        <v>42975</v>
      </c>
      <c r="F30" s="48"/>
      <c r="G30">
        <v>20.6</v>
      </c>
      <c r="H30">
        <v>13.5</v>
      </c>
      <c r="I30">
        <v>27</v>
      </c>
      <c r="J30">
        <f t="shared" si="4"/>
        <v>76.7</v>
      </c>
      <c r="K30">
        <f t="shared" si="5"/>
        <v>76.7</v>
      </c>
      <c r="L30" s="9">
        <f>AVERAGE(G27:G121)</f>
        <v>12.514736842105268</v>
      </c>
      <c r="M30">
        <v>0</v>
      </c>
      <c r="N30">
        <v>3.3</v>
      </c>
      <c r="O30">
        <f t="shared" si="0"/>
        <v>-3.3</v>
      </c>
      <c r="Q30">
        <v>4</v>
      </c>
      <c r="R30">
        <v>0.35</v>
      </c>
      <c r="S30">
        <f t="shared" si="1"/>
        <v>1.1549999999999998</v>
      </c>
      <c r="T30">
        <f t="shared" si="2"/>
        <v>-1.1549999999999998</v>
      </c>
      <c r="U30">
        <v>0</v>
      </c>
      <c r="V30">
        <v>13</v>
      </c>
      <c r="W30">
        <v>1660.1</v>
      </c>
      <c r="X30">
        <f t="shared" si="7"/>
        <v>6399.9</v>
      </c>
      <c r="Y30">
        <v>13.524865014900151</v>
      </c>
      <c r="Z30">
        <f>(Z28/100)/L28</f>
        <v>0.49400874758179825</v>
      </c>
    </row>
    <row r="31" spans="1:26" x14ac:dyDescent="0.25">
      <c r="A31">
        <v>6360</v>
      </c>
      <c r="B31">
        <v>26330</v>
      </c>
      <c r="C31" s="3">
        <v>42976</v>
      </c>
      <c r="F31" s="48"/>
      <c r="G31">
        <v>22.8</v>
      </c>
      <c r="H31">
        <v>17.100000000000001</v>
      </c>
      <c r="I31">
        <v>30.3</v>
      </c>
      <c r="J31">
        <f t="shared" si="4"/>
        <v>99.5</v>
      </c>
      <c r="K31">
        <f t="shared" si="5"/>
        <v>99.5</v>
      </c>
      <c r="L31" s="7" t="s">
        <v>39</v>
      </c>
      <c r="M31">
        <v>18.2</v>
      </c>
      <c r="N31">
        <v>4.2</v>
      </c>
      <c r="O31">
        <f t="shared" si="0"/>
        <v>14</v>
      </c>
      <c r="Q31">
        <v>5</v>
      </c>
      <c r="R31">
        <v>0.35</v>
      </c>
      <c r="S31">
        <f t="shared" si="1"/>
        <v>1.47</v>
      </c>
      <c r="T31">
        <f t="shared" si="2"/>
        <v>16.73</v>
      </c>
      <c r="U31">
        <f t="shared" si="6"/>
        <v>16.73</v>
      </c>
      <c r="V31" s="11" t="s">
        <v>46</v>
      </c>
      <c r="W31">
        <v>1558.9</v>
      </c>
      <c r="X31">
        <f t="shared" si="7"/>
        <v>7958.7999999999993</v>
      </c>
      <c r="Y31">
        <v>13.461529027142733</v>
      </c>
      <c r="Z31" s="11" t="s">
        <v>51</v>
      </c>
    </row>
    <row r="32" spans="1:26" x14ac:dyDescent="0.25">
      <c r="A32">
        <v>6360</v>
      </c>
      <c r="B32">
        <v>26330</v>
      </c>
      <c r="C32" s="3">
        <v>42977</v>
      </c>
      <c r="F32" s="48"/>
      <c r="G32">
        <v>16.5</v>
      </c>
      <c r="H32">
        <v>13.9</v>
      </c>
      <c r="I32">
        <v>18.7</v>
      </c>
      <c r="J32">
        <f t="shared" si="4"/>
        <v>116</v>
      </c>
      <c r="K32">
        <f t="shared" si="5"/>
        <v>116</v>
      </c>
      <c r="L32" s="10">
        <f>MIN(H27:H121)</f>
        <v>-1.2</v>
      </c>
      <c r="M32">
        <v>14.5</v>
      </c>
      <c r="N32">
        <v>0.5</v>
      </c>
      <c r="O32">
        <f t="shared" si="0"/>
        <v>14</v>
      </c>
      <c r="Q32">
        <v>6</v>
      </c>
      <c r="R32">
        <v>0.35</v>
      </c>
      <c r="S32">
        <f t="shared" si="1"/>
        <v>0.17499999999999999</v>
      </c>
      <c r="T32">
        <f t="shared" si="2"/>
        <v>14.324999999999999</v>
      </c>
      <c r="U32">
        <f t="shared" si="6"/>
        <v>31.055</v>
      </c>
      <c r="V32" s="12">
        <f>MIN(U27:U121)</f>
        <v>0</v>
      </c>
      <c r="W32">
        <v>202.6</v>
      </c>
      <c r="X32">
        <f t="shared" si="7"/>
        <v>8161.4</v>
      </c>
      <c r="Y32">
        <v>13.397978535612864</v>
      </c>
      <c r="Z32">
        <v>75</v>
      </c>
    </row>
    <row r="33" spans="1:25" x14ac:dyDescent="0.25">
      <c r="A33">
        <v>6360</v>
      </c>
      <c r="B33">
        <v>26330</v>
      </c>
      <c r="C33" s="3">
        <v>42978</v>
      </c>
      <c r="F33" s="48"/>
      <c r="G33">
        <v>14.8</v>
      </c>
      <c r="H33">
        <v>12</v>
      </c>
      <c r="I33">
        <v>18.600000000000001</v>
      </c>
      <c r="J33">
        <f t="shared" si="4"/>
        <v>130.80000000000001</v>
      </c>
      <c r="K33">
        <f t="shared" si="5"/>
        <v>130.80000000000001</v>
      </c>
      <c r="L33" s="7" t="s">
        <v>40</v>
      </c>
      <c r="M33">
        <v>2.5</v>
      </c>
      <c r="N33">
        <v>3.2</v>
      </c>
      <c r="O33">
        <f t="shared" si="0"/>
        <v>-0.70000000000000018</v>
      </c>
      <c r="Q33">
        <v>7</v>
      </c>
      <c r="R33">
        <v>0.35</v>
      </c>
      <c r="S33">
        <f t="shared" si="1"/>
        <v>1.1199999999999999</v>
      </c>
      <c r="T33">
        <f t="shared" si="2"/>
        <v>1.3800000000000001</v>
      </c>
      <c r="U33">
        <f t="shared" si="6"/>
        <v>32.435000000000002</v>
      </c>
      <c r="V33" s="11" t="s">
        <v>47</v>
      </c>
      <c r="W33">
        <v>1681</v>
      </c>
      <c r="X33">
        <f t="shared" si="7"/>
        <v>9842.4</v>
      </c>
      <c r="Y33">
        <v>13.334225741440846</v>
      </c>
    </row>
    <row r="34" spans="1:25" x14ac:dyDescent="0.25">
      <c r="A34">
        <v>6360</v>
      </c>
      <c r="B34">
        <v>26330</v>
      </c>
      <c r="C34" s="3">
        <v>42979</v>
      </c>
      <c r="D34" t="s">
        <v>30</v>
      </c>
      <c r="F34" s="48"/>
      <c r="G34">
        <v>14.2</v>
      </c>
      <c r="H34">
        <v>10.9</v>
      </c>
      <c r="I34">
        <v>17.7</v>
      </c>
      <c r="J34">
        <f t="shared" si="4"/>
        <v>145</v>
      </c>
      <c r="K34">
        <f t="shared" si="5"/>
        <v>145</v>
      </c>
      <c r="L34" s="8">
        <f>MAX(I27:I121)</f>
        <v>30.3</v>
      </c>
      <c r="M34">
        <v>7</v>
      </c>
      <c r="N34">
        <v>2.7</v>
      </c>
      <c r="O34">
        <f t="shared" si="0"/>
        <v>4.3</v>
      </c>
      <c r="Q34" s="1">
        <v>8</v>
      </c>
      <c r="R34">
        <v>0.35</v>
      </c>
      <c r="S34">
        <f t="shared" si="1"/>
        <v>0.94499999999999995</v>
      </c>
      <c r="T34">
        <f t="shared" si="2"/>
        <v>6.0549999999999997</v>
      </c>
      <c r="U34">
        <f t="shared" si="6"/>
        <v>38.49</v>
      </c>
      <c r="V34" s="12">
        <f>MAX(U27:U121)</f>
        <v>134.01603448275861</v>
      </c>
      <c r="W34">
        <v>1613.7</v>
      </c>
      <c r="X34">
        <f t="shared" si="7"/>
        <v>11456.1</v>
      </c>
      <c r="Y34">
        <v>13.270282488126588</v>
      </c>
    </row>
    <row r="35" spans="1:25" x14ac:dyDescent="0.25">
      <c r="A35">
        <v>6360</v>
      </c>
      <c r="B35">
        <v>26330</v>
      </c>
      <c r="C35" s="3">
        <v>42980</v>
      </c>
      <c r="F35" s="48"/>
      <c r="G35">
        <v>14.3</v>
      </c>
      <c r="H35">
        <v>11.5</v>
      </c>
      <c r="I35">
        <v>17.600000000000001</v>
      </c>
      <c r="J35">
        <f t="shared" si="4"/>
        <v>159.30000000000001</v>
      </c>
      <c r="K35">
        <f t="shared" si="5"/>
        <v>159.30000000000001</v>
      </c>
      <c r="L35" s="7" t="s">
        <v>41</v>
      </c>
      <c r="M35">
        <v>1</v>
      </c>
      <c r="N35">
        <v>2.6</v>
      </c>
      <c r="O35">
        <f t="shared" si="0"/>
        <v>-1.6</v>
      </c>
      <c r="Q35">
        <v>9</v>
      </c>
      <c r="R35">
        <f>0.35+((Q35-8)/87)*(1-0.35)</f>
        <v>0.35747126436781607</v>
      </c>
      <c r="S35">
        <f t="shared" si="1"/>
        <v>0.92942528735632179</v>
      </c>
      <c r="T35">
        <f t="shared" si="2"/>
        <v>7.0574712643678206E-2</v>
      </c>
      <c r="U35">
        <f t="shared" si="6"/>
        <v>38.560574712643678</v>
      </c>
      <c r="V35" s="11" t="s">
        <v>48</v>
      </c>
      <c r="W35">
        <v>1478.2</v>
      </c>
      <c r="X35">
        <f t="shared" si="7"/>
        <v>12934.300000000001</v>
      </c>
      <c r="Y35">
        <v>13.206160276533275</v>
      </c>
    </row>
    <row r="36" spans="1:25" x14ac:dyDescent="0.25">
      <c r="A36">
        <v>6360</v>
      </c>
      <c r="B36">
        <v>26330</v>
      </c>
      <c r="C36" s="3">
        <v>42981</v>
      </c>
      <c r="F36" s="48"/>
      <c r="G36">
        <v>14.8</v>
      </c>
      <c r="H36">
        <v>9.1999999999999993</v>
      </c>
      <c r="I36">
        <v>19.600000000000001</v>
      </c>
      <c r="J36">
        <f t="shared" si="4"/>
        <v>174.10000000000002</v>
      </c>
      <c r="K36">
        <f t="shared" si="5"/>
        <v>174.10000000000002</v>
      </c>
      <c r="L36" s="8">
        <v>2</v>
      </c>
      <c r="M36">
        <v>0.6</v>
      </c>
      <c r="N36">
        <v>2</v>
      </c>
      <c r="O36">
        <f t="shared" si="0"/>
        <v>-1.4</v>
      </c>
      <c r="Q36">
        <v>10</v>
      </c>
      <c r="R36">
        <f t="shared" ref="R36:R99" si="8">0.35+((Q36-8)/87)*(1-0.35)</f>
        <v>0.36494252873563215</v>
      </c>
      <c r="S36">
        <f t="shared" si="1"/>
        <v>0.72988505747126431</v>
      </c>
      <c r="T36">
        <f t="shared" si="2"/>
        <v>-0.12988505747126433</v>
      </c>
      <c r="U36">
        <f t="shared" si="6"/>
        <v>38.430689655172415</v>
      </c>
      <c r="V36" s="12">
        <f>AVERAGE(U27:U121)</f>
        <v>88.997232909860855</v>
      </c>
      <c r="W36">
        <v>894.6</v>
      </c>
      <c r="X36">
        <f t="shared" si="7"/>
        <v>13828.900000000001</v>
      </c>
      <c r="Y36">
        <v>13.141870280186795</v>
      </c>
    </row>
    <row r="37" spans="1:25" x14ac:dyDescent="0.25">
      <c r="A37">
        <v>6360</v>
      </c>
      <c r="B37">
        <v>26330</v>
      </c>
      <c r="C37" s="3">
        <v>42982</v>
      </c>
      <c r="F37" s="48"/>
      <c r="G37">
        <v>16.600000000000001</v>
      </c>
      <c r="H37">
        <v>14.1</v>
      </c>
      <c r="I37">
        <v>18.8</v>
      </c>
      <c r="J37">
        <f t="shared" si="4"/>
        <v>190.70000000000002</v>
      </c>
      <c r="K37">
        <f t="shared" si="5"/>
        <v>190.70000000000002</v>
      </c>
      <c r="L37" s="7" t="s">
        <v>42</v>
      </c>
      <c r="M37">
        <v>0.6</v>
      </c>
      <c r="N37">
        <v>0.9</v>
      </c>
      <c r="O37">
        <f t="shared" si="0"/>
        <v>-0.30000000000000004</v>
      </c>
      <c r="Q37">
        <v>11</v>
      </c>
      <c r="R37">
        <f t="shared" si="8"/>
        <v>0.37241379310344824</v>
      </c>
      <c r="S37">
        <f t="shared" si="1"/>
        <v>0.33517241379310342</v>
      </c>
      <c r="T37">
        <f t="shared" si="2"/>
        <v>0.26482758620689656</v>
      </c>
      <c r="U37">
        <f t="shared" si="6"/>
        <v>38.695517241379314</v>
      </c>
      <c r="W37">
        <v>298.7</v>
      </c>
      <c r="X37">
        <f t="shared" si="7"/>
        <v>14127.600000000002</v>
      </c>
      <c r="Y37">
        <v>13.077423360848423</v>
      </c>
    </row>
    <row r="38" spans="1:25" x14ac:dyDescent="0.25">
      <c r="A38">
        <v>6360</v>
      </c>
      <c r="B38">
        <v>26330</v>
      </c>
      <c r="C38" s="3">
        <v>42983</v>
      </c>
      <c r="F38" s="48"/>
      <c r="G38">
        <v>18.5</v>
      </c>
      <c r="H38">
        <v>16.600000000000001</v>
      </c>
      <c r="I38">
        <v>20.5</v>
      </c>
      <c r="J38">
        <f t="shared" si="4"/>
        <v>209.20000000000002</v>
      </c>
      <c r="K38">
        <f t="shared" si="5"/>
        <v>209.20000000000002</v>
      </c>
      <c r="L38" s="8">
        <v>11</v>
      </c>
      <c r="M38">
        <v>1.2</v>
      </c>
      <c r="N38">
        <v>1.6</v>
      </c>
      <c r="O38">
        <f t="shared" si="0"/>
        <v>-0.40000000000000013</v>
      </c>
      <c r="Q38">
        <v>12</v>
      </c>
      <c r="R38">
        <f t="shared" si="8"/>
        <v>0.37988505747126433</v>
      </c>
      <c r="S38">
        <f t="shared" si="1"/>
        <v>0.60781609195402297</v>
      </c>
      <c r="T38">
        <f t="shared" si="2"/>
        <v>0.59218390804597698</v>
      </c>
      <c r="U38">
        <f t="shared" si="6"/>
        <v>39.287701149425288</v>
      </c>
      <c r="V38" s="13">
        <f>(V36*100)/153.6</f>
        <v>57.940906842357329</v>
      </c>
      <c r="W38">
        <v>768.6</v>
      </c>
      <c r="X38">
        <f t="shared" si="7"/>
        <v>14896.200000000003</v>
      </c>
      <c r="Y38">
        <v>13.012830084330957</v>
      </c>
    </row>
    <row r="39" spans="1:25" x14ac:dyDescent="0.25">
      <c r="A39">
        <v>6360</v>
      </c>
      <c r="B39">
        <v>26330</v>
      </c>
      <c r="C39" s="3">
        <v>42984</v>
      </c>
      <c r="F39" s="48"/>
      <c r="G39">
        <v>15.8</v>
      </c>
      <c r="H39">
        <v>13.4</v>
      </c>
      <c r="I39">
        <v>18.399999999999999</v>
      </c>
      <c r="J39">
        <f t="shared" si="4"/>
        <v>225.00000000000003</v>
      </c>
      <c r="K39">
        <f t="shared" si="5"/>
        <v>225.00000000000003</v>
      </c>
      <c r="L39" s="7" t="s">
        <v>43</v>
      </c>
      <c r="M39">
        <v>0</v>
      </c>
      <c r="N39">
        <v>2.4</v>
      </c>
      <c r="O39">
        <f t="shared" si="0"/>
        <v>-2.4</v>
      </c>
      <c r="Q39">
        <v>13</v>
      </c>
      <c r="R39">
        <f t="shared" si="8"/>
        <v>0.38735632183908042</v>
      </c>
      <c r="S39">
        <f t="shared" si="1"/>
        <v>0.92965517241379292</v>
      </c>
      <c r="T39">
        <f t="shared" si="2"/>
        <v>-0.92965517241379292</v>
      </c>
      <c r="U39">
        <f t="shared" si="6"/>
        <v>38.358045977011493</v>
      </c>
      <c r="W39">
        <v>1119.2</v>
      </c>
      <c r="X39">
        <f t="shared" si="7"/>
        <v>16015.400000000003</v>
      </c>
      <c r="Y39">
        <v>12.94810073653103</v>
      </c>
    </row>
    <row r="40" spans="1:25" x14ac:dyDescent="0.25">
      <c r="A40">
        <v>6360</v>
      </c>
      <c r="B40">
        <v>26330</v>
      </c>
      <c r="C40" s="3">
        <v>42985</v>
      </c>
      <c r="F40" s="48"/>
      <c r="G40">
        <v>15.4</v>
      </c>
      <c r="H40">
        <v>12.5</v>
      </c>
      <c r="I40">
        <v>18.100000000000001</v>
      </c>
      <c r="J40">
        <f t="shared" si="4"/>
        <v>240.40000000000003</v>
      </c>
      <c r="K40">
        <f t="shared" si="5"/>
        <v>240.40000000000003</v>
      </c>
      <c r="L40" s="8">
        <v>1</v>
      </c>
      <c r="M40">
        <v>2.6</v>
      </c>
      <c r="N40">
        <v>1.4</v>
      </c>
      <c r="O40">
        <f t="shared" si="0"/>
        <v>1.2000000000000002</v>
      </c>
      <c r="Q40">
        <v>14</v>
      </c>
      <c r="R40">
        <f t="shared" si="8"/>
        <v>0.39482758620689651</v>
      </c>
      <c r="S40">
        <f t="shared" si="1"/>
        <v>0.55275862068965509</v>
      </c>
      <c r="T40">
        <f t="shared" si="2"/>
        <v>2.047241379310345</v>
      </c>
      <c r="U40">
        <f t="shared" si="6"/>
        <v>40.405287356321836</v>
      </c>
      <c r="W40">
        <v>330</v>
      </c>
      <c r="X40">
        <f t="shared" si="7"/>
        <v>16345.400000000003</v>
      </c>
      <c r="Y40">
        <v>12.883245339652678</v>
      </c>
    </row>
    <row r="41" spans="1:25" x14ac:dyDescent="0.25">
      <c r="A41">
        <v>6360</v>
      </c>
      <c r="B41">
        <v>26330</v>
      </c>
      <c r="C41" s="3">
        <v>42986</v>
      </c>
      <c r="F41" s="48"/>
      <c r="G41">
        <v>15.1</v>
      </c>
      <c r="H41">
        <v>14.9</v>
      </c>
      <c r="I41">
        <v>16.8</v>
      </c>
      <c r="J41">
        <f t="shared" si="4"/>
        <v>255.50000000000003</v>
      </c>
      <c r="K41">
        <f t="shared" si="5"/>
        <v>255.50000000000003</v>
      </c>
      <c r="M41">
        <v>12.5</v>
      </c>
      <c r="N41">
        <v>1.3</v>
      </c>
      <c r="O41">
        <f t="shared" si="0"/>
        <v>11.2</v>
      </c>
      <c r="Q41">
        <v>15</v>
      </c>
      <c r="R41">
        <f t="shared" si="8"/>
        <v>0.4022988505747126</v>
      </c>
      <c r="S41">
        <f t="shared" si="1"/>
        <v>0.52298850574712641</v>
      </c>
      <c r="T41">
        <f t="shared" si="2"/>
        <v>11.977011494252874</v>
      </c>
      <c r="U41">
        <f t="shared" si="6"/>
        <v>52.382298850574713</v>
      </c>
      <c r="W41">
        <v>347.7</v>
      </c>
      <c r="X41">
        <f t="shared" si="7"/>
        <v>16693.100000000002</v>
      </c>
      <c r="Y41">
        <v>12.818273668599584</v>
      </c>
    </row>
    <row r="42" spans="1:25" x14ac:dyDescent="0.25">
      <c r="A42">
        <v>6360</v>
      </c>
      <c r="B42">
        <v>26330</v>
      </c>
      <c r="C42" s="3">
        <v>42987</v>
      </c>
      <c r="F42" s="48"/>
      <c r="G42">
        <v>14.2</v>
      </c>
      <c r="H42">
        <v>12.6</v>
      </c>
      <c r="I42">
        <v>17.600000000000001</v>
      </c>
      <c r="J42">
        <f t="shared" si="4"/>
        <v>269.70000000000005</v>
      </c>
      <c r="K42">
        <f t="shared" si="5"/>
        <v>269.70000000000005</v>
      </c>
      <c r="M42">
        <v>0.2</v>
      </c>
      <c r="N42">
        <v>2.4</v>
      </c>
      <c r="O42">
        <f t="shared" si="0"/>
        <v>-2.1999999999999997</v>
      </c>
      <c r="Q42">
        <v>16</v>
      </c>
      <c r="R42">
        <f t="shared" si="8"/>
        <v>0.40977011494252868</v>
      </c>
      <c r="S42">
        <f t="shared" si="1"/>
        <v>0.98344827586206884</v>
      </c>
      <c r="T42">
        <f t="shared" si="2"/>
        <v>-0.78344827586206889</v>
      </c>
      <c r="U42">
        <f t="shared" si="6"/>
        <v>51.598850574712642</v>
      </c>
      <c r="W42">
        <v>1190.9000000000001</v>
      </c>
      <c r="X42">
        <f t="shared" si="7"/>
        <v>17884.000000000004</v>
      </c>
      <c r="Y42">
        <v>12.753195267515421</v>
      </c>
    </row>
    <row r="43" spans="1:25" x14ac:dyDescent="0.25">
      <c r="A43">
        <v>6360</v>
      </c>
      <c r="B43">
        <v>26330</v>
      </c>
      <c r="C43" s="3">
        <v>42988</v>
      </c>
      <c r="F43" s="48"/>
      <c r="G43">
        <v>13.9</v>
      </c>
      <c r="H43">
        <v>9.4</v>
      </c>
      <c r="I43">
        <v>17.600000000000001</v>
      </c>
      <c r="J43">
        <f t="shared" si="4"/>
        <v>283.60000000000002</v>
      </c>
      <c r="K43">
        <f t="shared" si="5"/>
        <v>283.60000000000002</v>
      </c>
      <c r="M43">
        <v>3</v>
      </c>
      <c r="N43">
        <v>1.9</v>
      </c>
      <c r="O43">
        <f t="shared" si="0"/>
        <v>1.1000000000000001</v>
      </c>
      <c r="Q43">
        <v>17</v>
      </c>
      <c r="R43">
        <f t="shared" si="8"/>
        <v>0.41724137931034477</v>
      </c>
      <c r="S43">
        <f t="shared" si="1"/>
        <v>0.79275862068965508</v>
      </c>
      <c r="T43">
        <f t="shared" si="2"/>
        <v>2.2072413793103447</v>
      </c>
      <c r="U43">
        <f t="shared" si="6"/>
        <v>53.806091954022989</v>
      </c>
      <c r="W43">
        <v>1021.8</v>
      </c>
      <c r="X43">
        <f t="shared" si="7"/>
        <v>18905.800000000003</v>
      </c>
      <c r="Y43">
        <v>12.688019466453742</v>
      </c>
    </row>
    <row r="44" spans="1:25" x14ac:dyDescent="0.25">
      <c r="A44">
        <v>6360</v>
      </c>
      <c r="B44">
        <v>26330</v>
      </c>
      <c r="C44" s="3">
        <v>42989</v>
      </c>
      <c r="F44" s="48"/>
      <c r="G44">
        <v>13.6</v>
      </c>
      <c r="H44">
        <v>12.1</v>
      </c>
      <c r="I44">
        <v>15</v>
      </c>
      <c r="J44">
        <f t="shared" si="4"/>
        <v>297.20000000000005</v>
      </c>
      <c r="K44">
        <f t="shared" si="5"/>
        <v>297.20000000000005</v>
      </c>
      <c r="M44">
        <v>12.4</v>
      </c>
      <c r="N44">
        <v>0.9</v>
      </c>
      <c r="O44">
        <f t="shared" si="0"/>
        <v>11.5</v>
      </c>
      <c r="Q44">
        <v>18</v>
      </c>
      <c r="R44">
        <f t="shared" si="8"/>
        <v>0.42471264367816092</v>
      </c>
      <c r="S44">
        <f t="shared" si="1"/>
        <v>0.38224137931034485</v>
      </c>
      <c r="T44">
        <f t="shared" si="2"/>
        <v>12.017758620689655</v>
      </c>
      <c r="U44">
        <f t="shared" si="6"/>
        <v>65.823850574712651</v>
      </c>
      <c r="W44">
        <v>240.2</v>
      </c>
      <c r="X44">
        <f t="shared" si="7"/>
        <v>19146.000000000004</v>
      </c>
      <c r="Y44">
        <v>12.622755398160656</v>
      </c>
    </row>
    <row r="45" spans="1:25" x14ac:dyDescent="0.25">
      <c r="A45">
        <v>6360</v>
      </c>
      <c r="B45">
        <v>26330</v>
      </c>
      <c r="C45" s="3">
        <v>42990</v>
      </c>
      <c r="F45" s="48"/>
      <c r="G45">
        <v>14.2</v>
      </c>
      <c r="H45">
        <v>11.6</v>
      </c>
      <c r="I45">
        <v>17.7</v>
      </c>
      <c r="J45">
        <f t="shared" si="4"/>
        <v>311.40000000000003</v>
      </c>
      <c r="K45">
        <f t="shared" si="5"/>
        <v>311.40000000000003</v>
      </c>
      <c r="M45">
        <v>1.3</v>
      </c>
      <c r="N45">
        <v>2.9</v>
      </c>
      <c r="O45">
        <f t="shared" si="0"/>
        <v>-1.5999999999999999</v>
      </c>
      <c r="Q45">
        <v>19</v>
      </c>
      <c r="R45">
        <f t="shared" si="8"/>
        <v>0.43218390804597701</v>
      </c>
      <c r="S45">
        <f t="shared" si="1"/>
        <v>1.2533333333333332</v>
      </c>
      <c r="T45">
        <f t="shared" si="2"/>
        <v>4.6666666666666856E-2</v>
      </c>
      <c r="U45">
        <f t="shared" si="6"/>
        <v>65.870517241379318</v>
      </c>
      <c r="W45">
        <v>1400.1</v>
      </c>
      <c r="X45">
        <f t="shared" si="7"/>
        <v>20546.100000000002</v>
      </c>
      <c r="Y45">
        <v>12.557412014955219</v>
      </c>
    </row>
    <row r="46" spans="1:25" x14ac:dyDescent="0.25">
      <c r="A46">
        <v>6360</v>
      </c>
      <c r="B46">
        <v>26330</v>
      </c>
      <c r="C46" s="3">
        <v>42991</v>
      </c>
      <c r="F46" s="48"/>
      <c r="G46">
        <v>14.8</v>
      </c>
      <c r="H46">
        <v>12.5</v>
      </c>
      <c r="I46">
        <v>17.399999999999999</v>
      </c>
      <c r="J46">
        <f t="shared" si="4"/>
        <v>326.20000000000005</v>
      </c>
      <c r="K46">
        <f t="shared" si="5"/>
        <v>326.20000000000005</v>
      </c>
      <c r="M46">
        <v>6.3</v>
      </c>
      <c r="N46">
        <v>2.4</v>
      </c>
      <c r="O46">
        <f t="shared" si="0"/>
        <v>3.9</v>
      </c>
      <c r="Q46">
        <v>20</v>
      </c>
      <c r="R46">
        <f t="shared" si="8"/>
        <v>0.43965517241379309</v>
      </c>
      <c r="S46">
        <f t="shared" si="1"/>
        <v>1.0551724137931033</v>
      </c>
      <c r="T46">
        <f t="shared" si="2"/>
        <v>5.2448275862068963</v>
      </c>
      <c r="U46">
        <f t="shared" si="6"/>
        <v>71.115344827586213</v>
      </c>
      <c r="W46">
        <v>921.2</v>
      </c>
      <c r="X46">
        <f t="shared" si="7"/>
        <v>21467.300000000003</v>
      </c>
      <c r="Y46">
        <v>12.491998105693973</v>
      </c>
    </row>
    <row r="47" spans="1:25" x14ac:dyDescent="0.25">
      <c r="A47">
        <v>6360</v>
      </c>
      <c r="B47">
        <v>26330</v>
      </c>
      <c r="C47" s="3">
        <v>42992</v>
      </c>
      <c r="F47" s="48"/>
      <c r="G47">
        <v>12.2</v>
      </c>
      <c r="H47">
        <v>10.1</v>
      </c>
      <c r="I47">
        <v>14.2</v>
      </c>
      <c r="J47">
        <f t="shared" si="4"/>
        <v>338.40000000000003</v>
      </c>
      <c r="K47">
        <f t="shared" si="5"/>
        <v>338.40000000000003</v>
      </c>
      <c r="M47">
        <v>0.8</v>
      </c>
      <c r="N47">
        <v>0.9</v>
      </c>
      <c r="O47">
        <f t="shared" si="0"/>
        <v>-9.9999999999999978E-2</v>
      </c>
      <c r="Q47">
        <v>21</v>
      </c>
      <c r="R47">
        <f t="shared" si="8"/>
        <v>0.44712643678160918</v>
      </c>
      <c r="S47">
        <f t="shared" si="1"/>
        <v>0.40241379310344827</v>
      </c>
      <c r="T47">
        <f t="shared" si="2"/>
        <v>0.39758620689655177</v>
      </c>
      <c r="U47">
        <f t="shared" si="6"/>
        <v>71.512931034482762</v>
      </c>
      <c r="W47">
        <v>543.4</v>
      </c>
      <c r="X47">
        <f t="shared" si="7"/>
        <v>22010.700000000004</v>
      </c>
      <c r="Y47">
        <v>12.426522312807492</v>
      </c>
    </row>
    <row r="48" spans="1:25" x14ac:dyDescent="0.25">
      <c r="A48">
        <v>6360</v>
      </c>
      <c r="B48">
        <v>26330</v>
      </c>
      <c r="C48" s="3">
        <v>42993</v>
      </c>
      <c r="F48" s="48"/>
      <c r="G48">
        <v>11.7</v>
      </c>
      <c r="H48">
        <v>9.1</v>
      </c>
      <c r="I48">
        <v>15.2</v>
      </c>
      <c r="J48">
        <f t="shared" si="4"/>
        <v>350.1</v>
      </c>
      <c r="K48">
        <f t="shared" si="5"/>
        <v>350.1</v>
      </c>
      <c r="M48">
        <v>0.2</v>
      </c>
      <c r="N48">
        <v>2.1</v>
      </c>
      <c r="O48">
        <f t="shared" si="0"/>
        <v>-1.9000000000000001</v>
      </c>
      <c r="Q48">
        <v>22</v>
      </c>
      <c r="R48">
        <f t="shared" si="8"/>
        <v>0.45459770114942527</v>
      </c>
      <c r="S48">
        <f t="shared" si="1"/>
        <v>0.95465517241379316</v>
      </c>
      <c r="T48">
        <f t="shared" si="2"/>
        <v>-0.7546551724137931</v>
      </c>
      <c r="U48">
        <f t="shared" si="6"/>
        <v>70.75827586206897</v>
      </c>
      <c r="W48">
        <v>1294.5</v>
      </c>
      <c r="X48">
        <f t="shared" si="7"/>
        <v>23305.200000000004</v>
      </c>
      <c r="Y48">
        <v>12.360993149398009</v>
      </c>
    </row>
    <row r="49" spans="1:25" x14ac:dyDescent="0.25">
      <c r="A49">
        <v>6360</v>
      </c>
      <c r="B49">
        <v>26330</v>
      </c>
      <c r="C49" s="3">
        <v>42994</v>
      </c>
      <c r="F49" s="48"/>
      <c r="G49">
        <v>10.6</v>
      </c>
      <c r="H49">
        <v>8</v>
      </c>
      <c r="I49">
        <v>13.6</v>
      </c>
      <c r="J49">
        <f t="shared" si="4"/>
        <v>360.70000000000005</v>
      </c>
      <c r="K49">
        <f t="shared" si="5"/>
        <v>360.70000000000005</v>
      </c>
      <c r="M49">
        <v>3.4</v>
      </c>
      <c r="N49">
        <v>0.6</v>
      </c>
      <c r="O49">
        <f t="shared" si="0"/>
        <v>2.8</v>
      </c>
      <c r="Q49">
        <v>23</v>
      </c>
      <c r="R49">
        <f t="shared" si="8"/>
        <v>0.46206896551724136</v>
      </c>
      <c r="S49">
        <f t="shared" si="1"/>
        <v>0.27724137931034482</v>
      </c>
      <c r="T49">
        <f t="shared" si="2"/>
        <v>3.1227586206896549</v>
      </c>
      <c r="U49">
        <f t="shared" si="6"/>
        <v>73.881034482758622</v>
      </c>
      <c r="W49">
        <v>304.39999999999998</v>
      </c>
      <c r="X49">
        <f t="shared" si="7"/>
        <v>23609.600000000006</v>
      </c>
      <c r="Y49">
        <v>12.295419016388358</v>
      </c>
    </row>
    <row r="50" spans="1:25" x14ac:dyDescent="0.25">
      <c r="A50">
        <v>6360</v>
      </c>
      <c r="B50">
        <v>26330</v>
      </c>
      <c r="C50" s="3">
        <v>42995</v>
      </c>
      <c r="F50" s="48"/>
      <c r="G50">
        <v>11.3</v>
      </c>
      <c r="H50">
        <v>5.9</v>
      </c>
      <c r="I50">
        <v>16.399999999999999</v>
      </c>
      <c r="J50">
        <f t="shared" si="4"/>
        <v>372.00000000000006</v>
      </c>
      <c r="K50">
        <f t="shared" si="5"/>
        <v>372.00000000000006</v>
      </c>
      <c r="M50">
        <v>11.3</v>
      </c>
      <c r="N50">
        <v>1.7</v>
      </c>
      <c r="O50">
        <f t="shared" si="0"/>
        <v>9.6000000000000014</v>
      </c>
      <c r="Q50">
        <v>24</v>
      </c>
      <c r="R50">
        <f t="shared" si="8"/>
        <v>0.46954022988505745</v>
      </c>
      <c r="S50">
        <f t="shared" si="1"/>
        <v>0.79821839080459767</v>
      </c>
      <c r="T50">
        <f t="shared" si="2"/>
        <v>10.501781609195403</v>
      </c>
      <c r="U50">
        <f t="shared" si="6"/>
        <v>84.382816091954027</v>
      </c>
      <c r="W50">
        <v>1031.0999999999999</v>
      </c>
      <c r="X50">
        <f t="shared" si="7"/>
        <v>24640.700000000004</v>
      </c>
      <c r="Y50">
        <v>12.229808219713407</v>
      </c>
    </row>
    <row r="51" spans="1:25" x14ac:dyDescent="0.25">
      <c r="A51">
        <v>6360</v>
      </c>
      <c r="B51">
        <v>26330</v>
      </c>
      <c r="C51" s="3">
        <v>42996</v>
      </c>
      <c r="F51" s="48"/>
      <c r="G51">
        <v>11.3</v>
      </c>
      <c r="H51">
        <v>10</v>
      </c>
      <c r="I51">
        <v>12.8</v>
      </c>
      <c r="J51">
        <f t="shared" si="4"/>
        <v>383.30000000000007</v>
      </c>
      <c r="K51">
        <f t="shared" si="5"/>
        <v>383.30000000000007</v>
      </c>
      <c r="M51">
        <v>19.899999999999999</v>
      </c>
      <c r="N51">
        <v>1</v>
      </c>
      <c r="O51">
        <f t="shared" si="0"/>
        <v>18.899999999999999</v>
      </c>
      <c r="Q51">
        <v>25</v>
      </c>
      <c r="R51">
        <f t="shared" si="8"/>
        <v>0.47701149425287359</v>
      </c>
      <c r="S51">
        <f t="shared" si="1"/>
        <v>0.47701149425287359</v>
      </c>
      <c r="T51">
        <f t="shared" si="2"/>
        <v>19.422988505747124</v>
      </c>
      <c r="U51">
        <f t="shared" si="6"/>
        <v>103.80580459770115</v>
      </c>
      <c r="W51">
        <v>374.2</v>
      </c>
      <c r="X51">
        <f t="shared" si="7"/>
        <v>25014.900000000005</v>
      </c>
      <c r="Y51">
        <v>12.164168987546029</v>
      </c>
    </row>
    <row r="52" spans="1:25" x14ac:dyDescent="0.25">
      <c r="A52">
        <v>6360</v>
      </c>
      <c r="B52">
        <v>26330</v>
      </c>
      <c r="C52" s="3">
        <v>42997</v>
      </c>
      <c r="F52" s="48"/>
      <c r="G52">
        <v>12.3</v>
      </c>
      <c r="H52">
        <v>9.9</v>
      </c>
      <c r="I52">
        <v>15.8</v>
      </c>
      <c r="J52">
        <f t="shared" si="4"/>
        <v>395.60000000000008</v>
      </c>
      <c r="K52">
        <f t="shared" si="5"/>
        <v>395.60000000000008</v>
      </c>
      <c r="M52">
        <v>0.4</v>
      </c>
      <c r="N52">
        <v>1.3</v>
      </c>
      <c r="O52">
        <f t="shared" si="0"/>
        <v>-0.9</v>
      </c>
      <c r="Q52">
        <v>26</v>
      </c>
      <c r="R52">
        <f t="shared" si="8"/>
        <v>0.48448275862068962</v>
      </c>
      <c r="S52">
        <f t="shared" si="1"/>
        <v>0.62982758620689649</v>
      </c>
      <c r="T52">
        <f t="shared" si="2"/>
        <v>-0.22982758620689647</v>
      </c>
      <c r="U52">
        <f t="shared" si="6"/>
        <v>103.57597701149426</v>
      </c>
      <c r="W52">
        <v>668.9</v>
      </c>
      <c r="X52">
        <f t="shared" si="7"/>
        <v>25683.800000000007</v>
      </c>
      <c r="Y52">
        <v>12.098509487550343</v>
      </c>
    </row>
    <row r="53" spans="1:25" x14ac:dyDescent="0.25">
      <c r="A53">
        <v>6360</v>
      </c>
      <c r="B53">
        <v>26330</v>
      </c>
      <c r="C53" s="3">
        <v>42998</v>
      </c>
      <c r="F53" s="48"/>
      <c r="G53">
        <v>12.7</v>
      </c>
      <c r="H53">
        <v>8.9</v>
      </c>
      <c r="I53">
        <v>17</v>
      </c>
      <c r="J53">
        <f t="shared" si="4"/>
        <v>408.30000000000007</v>
      </c>
      <c r="K53">
        <f t="shared" si="5"/>
        <v>408.30000000000007</v>
      </c>
      <c r="M53">
        <v>0.1</v>
      </c>
      <c r="N53">
        <v>1.1000000000000001</v>
      </c>
      <c r="O53">
        <f t="shared" si="0"/>
        <v>-1</v>
      </c>
      <c r="Q53">
        <v>27</v>
      </c>
      <c r="R53">
        <f t="shared" si="8"/>
        <v>0.49195402298850577</v>
      </c>
      <c r="S53">
        <f t="shared" si="1"/>
        <v>0.54114942528735643</v>
      </c>
      <c r="T53">
        <f t="shared" si="2"/>
        <v>-0.44114942528735646</v>
      </c>
      <c r="U53">
        <f t="shared" si="6"/>
        <v>103.13482758620691</v>
      </c>
      <c r="W53">
        <v>457.8</v>
      </c>
      <c r="X53">
        <f t="shared" si="7"/>
        <v>26141.600000000006</v>
      </c>
      <c r="Y53">
        <v>12.032837844155587</v>
      </c>
    </row>
    <row r="54" spans="1:25" x14ac:dyDescent="0.25">
      <c r="A54">
        <v>6360</v>
      </c>
      <c r="B54">
        <v>26330</v>
      </c>
      <c r="C54" s="3">
        <v>42999</v>
      </c>
      <c r="F54" s="48"/>
      <c r="G54">
        <v>14.1</v>
      </c>
      <c r="H54">
        <v>9.6999999999999993</v>
      </c>
      <c r="I54">
        <v>19</v>
      </c>
      <c r="J54">
        <f t="shared" si="4"/>
        <v>422.40000000000009</v>
      </c>
      <c r="K54">
        <f t="shared" si="5"/>
        <v>422.40000000000009</v>
      </c>
      <c r="M54">
        <v>0.7</v>
      </c>
      <c r="N54">
        <v>2.6</v>
      </c>
      <c r="O54">
        <f t="shared" si="0"/>
        <v>-1.9000000000000001</v>
      </c>
      <c r="Q54">
        <v>28</v>
      </c>
      <c r="R54">
        <f t="shared" si="8"/>
        <v>0.49942528735632186</v>
      </c>
      <c r="S54">
        <f t="shared" si="1"/>
        <v>1.298505747126437</v>
      </c>
      <c r="T54">
        <f t="shared" si="2"/>
        <v>-0.598505747126437</v>
      </c>
      <c r="U54">
        <f t="shared" si="6"/>
        <v>102.53632183908047</v>
      </c>
      <c r="W54">
        <v>1263.9000000000001</v>
      </c>
      <c r="X54">
        <f t="shared" si="7"/>
        <v>27405.500000000007</v>
      </c>
      <c r="Y54">
        <v>11.967162155844413</v>
      </c>
    </row>
    <row r="55" spans="1:25" x14ac:dyDescent="0.25">
      <c r="A55">
        <v>6360</v>
      </c>
      <c r="B55">
        <v>26330</v>
      </c>
      <c r="C55" s="3">
        <v>43000</v>
      </c>
      <c r="F55" s="48"/>
      <c r="G55">
        <v>14.4</v>
      </c>
      <c r="H55">
        <v>12.8</v>
      </c>
      <c r="I55">
        <v>18.899999999999999</v>
      </c>
      <c r="J55">
        <f t="shared" si="4"/>
        <v>436.80000000000007</v>
      </c>
      <c r="K55">
        <f t="shared" si="5"/>
        <v>436.80000000000007</v>
      </c>
      <c r="M55">
        <v>0.2</v>
      </c>
      <c r="N55">
        <v>1.5</v>
      </c>
      <c r="O55">
        <f t="shared" si="0"/>
        <v>-1.3</v>
      </c>
      <c r="Q55">
        <v>29</v>
      </c>
      <c r="R55">
        <f t="shared" si="8"/>
        <v>0.50689655172413794</v>
      </c>
      <c r="S55">
        <f t="shared" si="1"/>
        <v>0.76034482758620692</v>
      </c>
      <c r="T55">
        <f t="shared" si="2"/>
        <v>-0.56034482758620685</v>
      </c>
      <c r="U55">
        <f t="shared" si="6"/>
        <v>101.97597701149427</v>
      </c>
      <c r="W55">
        <v>616.9</v>
      </c>
      <c r="X55">
        <f t="shared" si="7"/>
        <v>28022.400000000009</v>
      </c>
      <c r="Y55">
        <v>11.901490512449659</v>
      </c>
    </row>
    <row r="56" spans="1:25" x14ac:dyDescent="0.25">
      <c r="A56">
        <v>6360</v>
      </c>
      <c r="B56">
        <v>26330</v>
      </c>
      <c r="C56" s="3">
        <v>43001</v>
      </c>
      <c r="F56" s="48"/>
      <c r="G56">
        <v>12.7</v>
      </c>
      <c r="H56">
        <v>7.1</v>
      </c>
      <c r="I56">
        <v>17.899999999999999</v>
      </c>
      <c r="J56">
        <f t="shared" si="4"/>
        <v>449.50000000000006</v>
      </c>
      <c r="K56">
        <f t="shared" si="5"/>
        <v>449.50000000000006</v>
      </c>
      <c r="M56">
        <v>0</v>
      </c>
      <c r="N56">
        <v>1.7</v>
      </c>
      <c r="O56">
        <f t="shared" si="0"/>
        <v>-1.7</v>
      </c>
      <c r="Q56">
        <v>30</v>
      </c>
      <c r="R56">
        <f t="shared" si="8"/>
        <v>0.51436781609195403</v>
      </c>
      <c r="S56">
        <f t="shared" si="1"/>
        <v>0.87442528735632186</v>
      </c>
      <c r="T56">
        <f t="shared" si="2"/>
        <v>-0.87442528735632186</v>
      </c>
      <c r="U56">
        <f t="shared" si="6"/>
        <v>101.10155172413795</v>
      </c>
      <c r="W56">
        <v>967</v>
      </c>
      <c r="X56">
        <f t="shared" si="7"/>
        <v>28989.400000000009</v>
      </c>
      <c r="Y56">
        <v>11.835831012453971</v>
      </c>
    </row>
    <row r="57" spans="1:25" x14ac:dyDescent="0.25">
      <c r="A57">
        <v>6360</v>
      </c>
      <c r="B57">
        <v>26330</v>
      </c>
      <c r="C57" s="3">
        <v>43002</v>
      </c>
      <c r="F57" s="48"/>
      <c r="G57">
        <v>14.2</v>
      </c>
      <c r="H57">
        <v>9</v>
      </c>
      <c r="I57">
        <v>19.899999999999999</v>
      </c>
      <c r="J57">
        <f t="shared" si="4"/>
        <v>463.70000000000005</v>
      </c>
      <c r="K57">
        <f t="shared" si="5"/>
        <v>463.70000000000005</v>
      </c>
      <c r="M57">
        <v>0</v>
      </c>
      <c r="N57">
        <v>2.2999999999999998</v>
      </c>
      <c r="O57">
        <f t="shared" si="0"/>
        <v>-2.2999999999999998</v>
      </c>
      <c r="Q57">
        <v>31</v>
      </c>
      <c r="R57">
        <f t="shared" si="8"/>
        <v>0.52183908045977012</v>
      </c>
      <c r="S57">
        <f t="shared" si="1"/>
        <v>1.2002298850574711</v>
      </c>
      <c r="T57">
        <f t="shared" si="2"/>
        <v>-1.2002298850574711</v>
      </c>
      <c r="U57">
        <f t="shared" si="6"/>
        <v>99.901321839080481</v>
      </c>
      <c r="W57">
        <v>1062</v>
      </c>
      <c r="X57">
        <f t="shared" si="7"/>
        <v>30051.400000000009</v>
      </c>
      <c r="Y57">
        <v>11.770191780286591</v>
      </c>
    </row>
    <row r="58" spans="1:25" x14ac:dyDescent="0.25">
      <c r="A58">
        <v>6360</v>
      </c>
      <c r="B58">
        <v>26330</v>
      </c>
      <c r="C58" s="3">
        <v>43003</v>
      </c>
      <c r="F58" s="48"/>
      <c r="G58">
        <v>15.2</v>
      </c>
      <c r="H58">
        <v>11.7</v>
      </c>
      <c r="I58">
        <v>19.399999999999999</v>
      </c>
      <c r="J58">
        <f t="shared" si="4"/>
        <v>478.90000000000003</v>
      </c>
      <c r="K58">
        <f t="shared" si="5"/>
        <v>478.90000000000003</v>
      </c>
      <c r="M58">
        <v>0.3</v>
      </c>
      <c r="N58">
        <v>1.8</v>
      </c>
      <c r="O58">
        <f t="shared" si="0"/>
        <v>-1.5</v>
      </c>
      <c r="Q58">
        <v>32</v>
      </c>
      <c r="R58">
        <f t="shared" si="8"/>
        <v>0.52931034482758621</v>
      </c>
      <c r="S58">
        <f t="shared" si="1"/>
        <v>0.95275862068965522</v>
      </c>
      <c r="T58">
        <f t="shared" si="2"/>
        <v>-0.65275862068965518</v>
      </c>
      <c r="U58">
        <f t="shared" si="6"/>
        <v>99.248563218390828</v>
      </c>
      <c r="W58">
        <v>930.6</v>
      </c>
      <c r="X58">
        <f t="shared" si="7"/>
        <v>30982.000000000007</v>
      </c>
      <c r="Y58">
        <v>11.704580983611642</v>
      </c>
    </row>
    <row r="59" spans="1:25" x14ac:dyDescent="0.25">
      <c r="A59">
        <v>6360</v>
      </c>
      <c r="B59">
        <v>26330</v>
      </c>
      <c r="C59" s="3">
        <v>43004</v>
      </c>
      <c r="F59" s="48"/>
      <c r="G59">
        <v>14.3</v>
      </c>
      <c r="H59">
        <v>11.7</v>
      </c>
      <c r="I59">
        <v>18.7</v>
      </c>
      <c r="J59">
        <f t="shared" si="4"/>
        <v>493.20000000000005</v>
      </c>
      <c r="K59">
        <f t="shared" si="5"/>
        <v>493.20000000000005</v>
      </c>
      <c r="M59">
        <v>0.4</v>
      </c>
      <c r="N59">
        <v>1.8</v>
      </c>
      <c r="O59">
        <f t="shared" si="0"/>
        <v>-1.4</v>
      </c>
      <c r="Q59">
        <v>33</v>
      </c>
      <c r="R59">
        <f t="shared" si="8"/>
        <v>0.5367816091954023</v>
      </c>
      <c r="S59">
        <f t="shared" si="1"/>
        <v>0.9662068965517242</v>
      </c>
      <c r="T59">
        <f t="shared" si="2"/>
        <v>-0.56620689655172418</v>
      </c>
      <c r="U59">
        <f t="shared" si="6"/>
        <v>98.682356321839109</v>
      </c>
      <c r="W59">
        <v>923.5</v>
      </c>
      <c r="X59">
        <f t="shared" si="7"/>
        <v>31905.500000000007</v>
      </c>
      <c r="Y59">
        <v>11.639006850601991</v>
      </c>
    </row>
    <row r="60" spans="1:25" x14ac:dyDescent="0.25">
      <c r="A60">
        <v>6360</v>
      </c>
      <c r="B60">
        <v>26330</v>
      </c>
      <c r="C60" s="3">
        <v>43005</v>
      </c>
      <c r="F60" s="48"/>
      <c r="G60">
        <v>15.2</v>
      </c>
      <c r="H60">
        <v>10.6</v>
      </c>
      <c r="I60">
        <v>20</v>
      </c>
      <c r="J60">
        <f t="shared" si="4"/>
        <v>508.40000000000003</v>
      </c>
      <c r="K60">
        <f t="shared" si="5"/>
        <v>508.40000000000003</v>
      </c>
      <c r="M60">
        <v>3.8</v>
      </c>
      <c r="N60">
        <v>1.5</v>
      </c>
      <c r="O60">
        <f t="shared" si="0"/>
        <v>2.2999999999999998</v>
      </c>
      <c r="Q60">
        <v>34</v>
      </c>
      <c r="R60">
        <f t="shared" si="8"/>
        <v>0.54425287356321839</v>
      </c>
      <c r="S60">
        <f t="shared" si="1"/>
        <v>0.81637931034482758</v>
      </c>
      <c r="T60">
        <f t="shared" si="2"/>
        <v>2.9836206896551722</v>
      </c>
      <c r="U60">
        <f t="shared" si="6"/>
        <v>101.66597701149428</v>
      </c>
      <c r="W60">
        <v>842</v>
      </c>
      <c r="X60">
        <f t="shared" si="7"/>
        <v>32747.500000000007</v>
      </c>
      <c r="Y60">
        <v>11.57347768719251</v>
      </c>
    </row>
    <row r="61" spans="1:25" x14ac:dyDescent="0.25">
      <c r="A61">
        <v>6360</v>
      </c>
      <c r="B61">
        <v>26330</v>
      </c>
      <c r="C61" s="3">
        <v>43006</v>
      </c>
      <c r="F61" s="48"/>
      <c r="G61">
        <v>16</v>
      </c>
      <c r="H61">
        <v>15.1</v>
      </c>
      <c r="I61">
        <v>17.899999999999999</v>
      </c>
      <c r="J61">
        <f t="shared" si="4"/>
        <v>524.40000000000009</v>
      </c>
      <c r="K61">
        <f t="shared" si="5"/>
        <v>524.40000000000009</v>
      </c>
      <c r="M61">
        <v>0.3</v>
      </c>
      <c r="N61">
        <v>1</v>
      </c>
      <c r="O61">
        <f t="shared" si="0"/>
        <v>-0.7</v>
      </c>
      <c r="Q61">
        <v>35</v>
      </c>
      <c r="R61">
        <f t="shared" si="8"/>
        <v>0.55172413793103448</v>
      </c>
      <c r="S61">
        <f t="shared" si="1"/>
        <v>0.55172413793103448</v>
      </c>
      <c r="T61">
        <f t="shared" si="2"/>
        <v>-0.25172413793103449</v>
      </c>
      <c r="U61">
        <f t="shared" si="6"/>
        <v>101.41425287356324</v>
      </c>
      <c r="W61">
        <v>328</v>
      </c>
      <c r="X61">
        <f t="shared" si="7"/>
        <v>33075.500000000007</v>
      </c>
      <c r="Y61">
        <v>11.508001894306025</v>
      </c>
    </row>
    <row r="62" spans="1:25" x14ac:dyDescent="0.25">
      <c r="A62">
        <v>6360</v>
      </c>
      <c r="B62">
        <v>26330</v>
      </c>
      <c r="C62" s="3">
        <v>43007</v>
      </c>
      <c r="F62" s="48"/>
      <c r="G62">
        <v>17.100000000000001</v>
      </c>
      <c r="H62">
        <v>13.9</v>
      </c>
      <c r="I62">
        <v>22.1</v>
      </c>
      <c r="J62">
        <f t="shared" si="4"/>
        <v>541.50000000000011</v>
      </c>
      <c r="K62">
        <f t="shared" si="5"/>
        <v>541.50000000000011</v>
      </c>
      <c r="M62">
        <v>0.4</v>
      </c>
      <c r="N62">
        <v>1.5</v>
      </c>
      <c r="O62">
        <f t="shared" si="0"/>
        <v>-1.1000000000000001</v>
      </c>
      <c r="Q62">
        <v>36</v>
      </c>
      <c r="R62">
        <f t="shared" si="8"/>
        <v>0.55919540229885056</v>
      </c>
      <c r="S62">
        <f t="shared" si="1"/>
        <v>0.83879310344827585</v>
      </c>
      <c r="T62">
        <f t="shared" si="2"/>
        <v>-0.43879310344827582</v>
      </c>
      <c r="U62">
        <f t="shared" si="6"/>
        <v>100.97545977011497</v>
      </c>
      <c r="W62">
        <v>367.1</v>
      </c>
      <c r="X62">
        <f t="shared" si="7"/>
        <v>33442.600000000006</v>
      </c>
      <c r="Y62">
        <v>11.442587985044781</v>
      </c>
    </row>
    <row r="63" spans="1:25" x14ac:dyDescent="0.25">
      <c r="A63">
        <v>6360</v>
      </c>
      <c r="B63">
        <v>26330</v>
      </c>
      <c r="C63" s="3">
        <v>43008</v>
      </c>
      <c r="F63" s="48"/>
      <c r="G63">
        <v>14.5</v>
      </c>
      <c r="H63">
        <v>13.1</v>
      </c>
      <c r="I63">
        <v>16.899999999999999</v>
      </c>
      <c r="J63">
        <f t="shared" si="4"/>
        <v>556.00000000000011</v>
      </c>
      <c r="K63">
        <f t="shared" si="5"/>
        <v>556.00000000000011</v>
      </c>
      <c r="M63">
        <v>0.1</v>
      </c>
      <c r="N63">
        <v>1.9</v>
      </c>
      <c r="O63">
        <f t="shared" si="0"/>
        <v>-1.7999999999999998</v>
      </c>
      <c r="Q63">
        <v>37</v>
      </c>
      <c r="R63">
        <f t="shared" si="8"/>
        <v>0.56666666666666665</v>
      </c>
      <c r="S63">
        <f t="shared" si="1"/>
        <v>1.0766666666666667</v>
      </c>
      <c r="T63">
        <f t="shared" si="2"/>
        <v>-0.97666666666666668</v>
      </c>
      <c r="U63">
        <f t="shared" si="6"/>
        <v>99.998793103448293</v>
      </c>
      <c r="W63">
        <v>866.6</v>
      </c>
      <c r="X63">
        <f t="shared" si="7"/>
        <v>34309.200000000004</v>
      </c>
      <c r="Y63">
        <v>11.377244601839346</v>
      </c>
    </row>
    <row r="64" spans="1:25" x14ac:dyDescent="0.25">
      <c r="A64">
        <v>6360</v>
      </c>
      <c r="B64">
        <v>26330</v>
      </c>
      <c r="C64" s="3">
        <v>43009</v>
      </c>
      <c r="F64" s="48"/>
      <c r="G64">
        <v>15.2</v>
      </c>
      <c r="H64">
        <v>12.9</v>
      </c>
      <c r="I64">
        <v>16.600000000000001</v>
      </c>
      <c r="J64">
        <f t="shared" si="4"/>
        <v>571.20000000000016</v>
      </c>
      <c r="K64">
        <f t="shared" si="5"/>
        <v>571.20000000000016</v>
      </c>
      <c r="M64">
        <v>0.2</v>
      </c>
      <c r="N64">
        <v>1.1000000000000001</v>
      </c>
      <c r="O64">
        <f t="shared" si="0"/>
        <v>-0.90000000000000013</v>
      </c>
      <c r="Q64">
        <v>38</v>
      </c>
      <c r="R64">
        <f t="shared" si="8"/>
        <v>0.57413793103448274</v>
      </c>
      <c r="S64">
        <f t="shared" si="1"/>
        <v>0.63155172413793104</v>
      </c>
      <c r="T64">
        <f t="shared" si="2"/>
        <v>-0.43155172413793103</v>
      </c>
      <c r="U64">
        <f t="shared" si="6"/>
        <v>99.56724137931036</v>
      </c>
      <c r="W64">
        <v>271.2</v>
      </c>
      <c r="X64">
        <f t="shared" si="7"/>
        <v>34580.400000000001</v>
      </c>
      <c r="Y64">
        <v>11.311980533546258</v>
      </c>
    </row>
    <row r="65" spans="1:25" x14ac:dyDescent="0.25">
      <c r="A65">
        <v>6360</v>
      </c>
      <c r="B65">
        <v>26330</v>
      </c>
      <c r="C65" s="3">
        <v>43010</v>
      </c>
      <c r="F65" s="48"/>
      <c r="G65">
        <v>15.7</v>
      </c>
      <c r="H65">
        <v>14.7</v>
      </c>
      <c r="I65">
        <v>18</v>
      </c>
      <c r="J65">
        <f t="shared" si="4"/>
        <v>586.9000000000002</v>
      </c>
      <c r="K65">
        <f t="shared" si="5"/>
        <v>586.9000000000002</v>
      </c>
      <c r="M65">
        <v>5.6</v>
      </c>
      <c r="N65">
        <v>2</v>
      </c>
      <c r="O65">
        <f t="shared" si="0"/>
        <v>3.5999999999999996</v>
      </c>
      <c r="Q65">
        <v>39</v>
      </c>
      <c r="R65">
        <f t="shared" si="8"/>
        <v>0.58160919540229883</v>
      </c>
      <c r="S65">
        <f t="shared" si="1"/>
        <v>1.1632183908045977</v>
      </c>
      <c r="T65">
        <f t="shared" si="2"/>
        <v>4.4367816091954015</v>
      </c>
      <c r="U65">
        <f t="shared" si="6"/>
        <v>104.00402298850577</v>
      </c>
      <c r="W65">
        <v>405.2</v>
      </c>
      <c r="X65">
        <f t="shared" si="7"/>
        <v>34985.599999999999</v>
      </c>
      <c r="Y65">
        <v>11.246804732484577</v>
      </c>
    </row>
    <row r="66" spans="1:25" x14ac:dyDescent="0.25">
      <c r="A66">
        <v>6360</v>
      </c>
      <c r="B66">
        <v>26330</v>
      </c>
      <c r="C66" s="3">
        <v>43011</v>
      </c>
      <c r="F66" s="48"/>
      <c r="G66">
        <v>12.3</v>
      </c>
      <c r="H66">
        <v>10.3</v>
      </c>
      <c r="I66">
        <v>15</v>
      </c>
      <c r="J66">
        <f t="shared" si="4"/>
        <v>599.20000000000016</v>
      </c>
      <c r="K66">
        <f t="shared" si="5"/>
        <v>599.20000000000016</v>
      </c>
      <c r="M66">
        <v>0</v>
      </c>
      <c r="N66">
        <v>1.7</v>
      </c>
      <c r="O66">
        <f t="shared" si="0"/>
        <v>-1.7</v>
      </c>
      <c r="Q66">
        <v>40</v>
      </c>
      <c r="R66">
        <f t="shared" si="8"/>
        <v>0.58908045977011492</v>
      </c>
      <c r="S66">
        <f t="shared" si="1"/>
        <v>1.0014367816091954</v>
      </c>
      <c r="T66">
        <f t="shared" si="2"/>
        <v>-1.0014367816091954</v>
      </c>
      <c r="U66">
        <f t="shared" si="6"/>
        <v>103.00258620689657</v>
      </c>
      <c r="W66">
        <v>893.5</v>
      </c>
      <c r="X66">
        <f t="shared" si="7"/>
        <v>35879.1</v>
      </c>
      <c r="Y66">
        <v>11.181726331400416</v>
      </c>
    </row>
    <row r="67" spans="1:25" x14ac:dyDescent="0.25">
      <c r="A67">
        <v>6360</v>
      </c>
      <c r="B67">
        <v>26330</v>
      </c>
      <c r="C67" s="3">
        <v>43012</v>
      </c>
      <c r="F67" s="48"/>
      <c r="G67">
        <v>13.2</v>
      </c>
      <c r="H67">
        <v>10.7</v>
      </c>
      <c r="I67">
        <v>15.2</v>
      </c>
      <c r="J67">
        <f t="shared" si="4"/>
        <v>612.4000000000002</v>
      </c>
      <c r="K67">
        <f t="shared" si="5"/>
        <v>612.4000000000002</v>
      </c>
      <c r="M67">
        <v>0.1</v>
      </c>
      <c r="N67">
        <v>1.9</v>
      </c>
      <c r="O67">
        <f t="shared" si="0"/>
        <v>-1.7999999999999998</v>
      </c>
      <c r="Q67">
        <v>41</v>
      </c>
      <c r="R67">
        <f t="shared" si="8"/>
        <v>0.59655172413793101</v>
      </c>
      <c r="S67">
        <f t="shared" si="1"/>
        <v>1.1334482758620688</v>
      </c>
      <c r="T67">
        <f t="shared" si="2"/>
        <v>-1.0334482758620687</v>
      </c>
      <c r="U67">
        <f t="shared" si="6"/>
        <v>101.9691379310345</v>
      </c>
      <c r="W67">
        <v>772</v>
      </c>
      <c r="X67">
        <f t="shared" si="7"/>
        <v>36651.1</v>
      </c>
      <c r="Y67">
        <v>11.116754660347324</v>
      </c>
    </row>
    <row r="68" spans="1:25" x14ac:dyDescent="0.25">
      <c r="A68">
        <v>6360</v>
      </c>
      <c r="B68">
        <v>26330</v>
      </c>
      <c r="C68" s="3">
        <v>43013</v>
      </c>
      <c r="F68" s="48"/>
      <c r="G68">
        <v>13.2</v>
      </c>
      <c r="H68">
        <v>12.2</v>
      </c>
      <c r="I68">
        <v>14.7</v>
      </c>
      <c r="J68">
        <f t="shared" si="4"/>
        <v>625.60000000000025</v>
      </c>
      <c r="K68">
        <f t="shared" si="5"/>
        <v>625.60000000000025</v>
      </c>
      <c r="M68">
        <v>0.8</v>
      </c>
      <c r="N68">
        <v>1.8</v>
      </c>
      <c r="O68">
        <f t="shared" si="0"/>
        <v>-1</v>
      </c>
      <c r="Q68">
        <v>42</v>
      </c>
      <c r="R68">
        <f t="shared" si="8"/>
        <v>0.60402298850574709</v>
      </c>
      <c r="S68">
        <f t="shared" si="1"/>
        <v>1.0872413793103448</v>
      </c>
      <c r="T68">
        <f t="shared" si="2"/>
        <v>-0.28724137931034477</v>
      </c>
      <c r="U68">
        <f t="shared" si="6"/>
        <v>101.68189655172415</v>
      </c>
      <c r="W68">
        <v>636.1</v>
      </c>
      <c r="X68">
        <f t="shared" si="7"/>
        <v>37287.199999999997</v>
      </c>
      <c r="Y68">
        <v>11.05189926346897</v>
      </c>
    </row>
    <row r="69" spans="1:25" x14ac:dyDescent="0.25">
      <c r="A69">
        <v>6360</v>
      </c>
      <c r="B69">
        <v>26330</v>
      </c>
      <c r="C69" s="3">
        <v>43014</v>
      </c>
      <c r="F69" s="48"/>
      <c r="G69">
        <v>10.9</v>
      </c>
      <c r="H69">
        <v>9.4</v>
      </c>
      <c r="I69">
        <v>14.4</v>
      </c>
      <c r="J69">
        <f t="shared" si="4"/>
        <v>636.50000000000023</v>
      </c>
      <c r="K69">
        <f t="shared" si="5"/>
        <v>636.50000000000023</v>
      </c>
      <c r="M69">
        <v>0</v>
      </c>
      <c r="N69">
        <v>1.7</v>
      </c>
      <c r="O69">
        <f t="shared" ref="O69:O132" si="9">M69-N69</f>
        <v>-1.7</v>
      </c>
      <c r="Q69">
        <v>43</v>
      </c>
      <c r="R69">
        <f t="shared" si="8"/>
        <v>0.61149425287356318</v>
      </c>
      <c r="S69">
        <f t="shared" ref="S69:S132" si="10">R69*N69</f>
        <v>1.0395402298850573</v>
      </c>
      <c r="T69">
        <f t="shared" ref="T69:T132" si="11">M69-S69</f>
        <v>-1.0395402298850573</v>
      </c>
      <c r="U69">
        <f t="shared" si="6"/>
        <v>100.64235632183909</v>
      </c>
      <c r="W69">
        <v>685.7</v>
      </c>
      <c r="X69">
        <f t="shared" si="7"/>
        <v>37972.899999999994</v>
      </c>
      <c r="Y69">
        <v>10.987169915669041</v>
      </c>
    </row>
    <row r="70" spans="1:25" x14ac:dyDescent="0.25">
      <c r="A70">
        <v>6360</v>
      </c>
      <c r="B70">
        <v>26330</v>
      </c>
      <c r="C70" s="3">
        <v>43015</v>
      </c>
      <c r="F70" s="48"/>
      <c r="G70">
        <v>12.3</v>
      </c>
      <c r="H70">
        <v>8.5</v>
      </c>
      <c r="I70">
        <v>14.7</v>
      </c>
      <c r="J70">
        <f t="shared" si="4"/>
        <v>648.80000000000018</v>
      </c>
      <c r="K70">
        <f t="shared" si="5"/>
        <v>648.80000000000018</v>
      </c>
      <c r="M70">
        <v>4.5999999999999996</v>
      </c>
      <c r="N70">
        <v>0.8</v>
      </c>
      <c r="O70">
        <f t="shared" si="9"/>
        <v>3.8</v>
      </c>
      <c r="Q70">
        <v>44</v>
      </c>
      <c r="R70">
        <f t="shared" si="8"/>
        <v>0.61896551724137927</v>
      </c>
      <c r="S70">
        <f t="shared" si="10"/>
        <v>0.49517241379310345</v>
      </c>
      <c r="T70">
        <f t="shared" si="11"/>
        <v>4.1048275862068966</v>
      </c>
      <c r="U70">
        <f t="shared" si="6"/>
        <v>104.74718390804598</v>
      </c>
      <c r="W70">
        <v>333</v>
      </c>
      <c r="X70">
        <f t="shared" si="7"/>
        <v>38305.899999999994</v>
      </c>
      <c r="Y70">
        <v>10.922576639151577</v>
      </c>
    </row>
    <row r="71" spans="1:25" x14ac:dyDescent="0.25">
      <c r="A71">
        <v>6360</v>
      </c>
      <c r="B71">
        <v>26330</v>
      </c>
      <c r="C71" s="3">
        <v>43016</v>
      </c>
      <c r="F71" s="48"/>
      <c r="G71">
        <v>13.2</v>
      </c>
      <c r="H71">
        <v>12.4</v>
      </c>
      <c r="I71">
        <v>15.2</v>
      </c>
      <c r="J71">
        <f t="shared" si="4"/>
        <v>662.00000000000023</v>
      </c>
      <c r="K71">
        <f t="shared" si="5"/>
        <v>662.00000000000023</v>
      </c>
      <c r="M71">
        <v>0</v>
      </c>
      <c r="N71">
        <v>1.4</v>
      </c>
      <c r="O71">
        <f t="shared" si="9"/>
        <v>-1.4</v>
      </c>
      <c r="Q71">
        <v>45</v>
      </c>
      <c r="R71">
        <f t="shared" si="8"/>
        <v>0.62643678160919536</v>
      </c>
      <c r="S71">
        <f t="shared" si="10"/>
        <v>0.87701149425287339</v>
      </c>
      <c r="T71">
        <f t="shared" si="11"/>
        <v>-0.87701149425287339</v>
      </c>
      <c r="U71">
        <f t="shared" si="6"/>
        <v>103.87017241379311</v>
      </c>
      <c r="W71">
        <v>783.3</v>
      </c>
      <c r="X71">
        <f t="shared" si="7"/>
        <v>39089.199999999997</v>
      </c>
      <c r="Y71">
        <v>10.858129719813208</v>
      </c>
    </row>
    <row r="72" spans="1:25" x14ac:dyDescent="0.25">
      <c r="A72">
        <v>6360</v>
      </c>
      <c r="B72">
        <v>26330</v>
      </c>
      <c r="C72" s="3">
        <v>43017</v>
      </c>
      <c r="F72" s="48"/>
      <c r="G72">
        <v>13.3</v>
      </c>
      <c r="H72">
        <v>8.3000000000000007</v>
      </c>
      <c r="I72">
        <v>17.600000000000001</v>
      </c>
      <c r="J72">
        <f t="shared" si="4"/>
        <v>675.30000000000018</v>
      </c>
      <c r="K72">
        <f t="shared" si="5"/>
        <v>675.30000000000018</v>
      </c>
      <c r="M72">
        <v>0</v>
      </c>
      <c r="N72">
        <v>1.7</v>
      </c>
      <c r="O72">
        <f t="shared" si="9"/>
        <v>-1.7</v>
      </c>
      <c r="Q72">
        <v>46</v>
      </c>
      <c r="R72">
        <f t="shared" si="8"/>
        <v>0.63390804597701145</v>
      </c>
      <c r="S72">
        <f t="shared" si="10"/>
        <v>1.0776436781609193</v>
      </c>
      <c r="T72">
        <f t="shared" si="11"/>
        <v>-1.0776436781609193</v>
      </c>
      <c r="U72">
        <f t="shared" si="6"/>
        <v>102.79252873563219</v>
      </c>
      <c r="W72">
        <v>879.1</v>
      </c>
      <c r="X72">
        <f t="shared" si="7"/>
        <v>39968.299999999996</v>
      </c>
      <c r="Y72">
        <v>10.793839723466727</v>
      </c>
    </row>
    <row r="73" spans="1:25" x14ac:dyDescent="0.25">
      <c r="A73">
        <v>6360</v>
      </c>
      <c r="B73">
        <v>26330</v>
      </c>
      <c r="C73" s="3">
        <v>43018</v>
      </c>
      <c r="F73" s="48"/>
      <c r="G73">
        <v>14.3</v>
      </c>
      <c r="H73">
        <v>11.7</v>
      </c>
      <c r="I73">
        <v>17.3</v>
      </c>
      <c r="J73">
        <f t="shared" si="4"/>
        <v>689.60000000000014</v>
      </c>
      <c r="K73">
        <f t="shared" si="5"/>
        <v>689.60000000000014</v>
      </c>
      <c r="M73">
        <v>0</v>
      </c>
      <c r="N73">
        <v>1.2</v>
      </c>
      <c r="O73">
        <f t="shared" si="9"/>
        <v>-1.2</v>
      </c>
      <c r="Q73">
        <v>47</v>
      </c>
      <c r="R73">
        <f t="shared" si="8"/>
        <v>0.64137931034482754</v>
      </c>
      <c r="S73">
        <f t="shared" si="10"/>
        <v>0.769655172413793</v>
      </c>
      <c r="T73">
        <f t="shared" si="11"/>
        <v>-0.769655172413793</v>
      </c>
      <c r="U73">
        <f t="shared" si="6"/>
        <v>102.0228735632184</v>
      </c>
      <c r="W73">
        <v>378.6</v>
      </c>
      <c r="X73">
        <f t="shared" si="7"/>
        <v>40346.899999999994</v>
      </c>
      <c r="Y73">
        <v>10.729717511873412</v>
      </c>
    </row>
    <row r="74" spans="1:25" x14ac:dyDescent="0.25">
      <c r="A74">
        <v>6360</v>
      </c>
      <c r="B74">
        <v>26330</v>
      </c>
      <c r="C74" s="3">
        <v>43019</v>
      </c>
      <c r="F74" s="48"/>
      <c r="G74">
        <v>14.8</v>
      </c>
      <c r="H74">
        <v>13.3</v>
      </c>
      <c r="I74">
        <v>15.6</v>
      </c>
      <c r="J74">
        <f t="shared" si="4"/>
        <v>704.40000000000009</v>
      </c>
      <c r="K74">
        <f t="shared" si="5"/>
        <v>704.40000000000009</v>
      </c>
      <c r="M74">
        <v>0.2</v>
      </c>
      <c r="N74">
        <v>1.5</v>
      </c>
      <c r="O74">
        <f t="shared" si="9"/>
        <v>-1.3</v>
      </c>
      <c r="Q74">
        <v>48</v>
      </c>
      <c r="R74">
        <f t="shared" si="8"/>
        <v>0.64885057471264362</v>
      </c>
      <c r="S74">
        <f t="shared" si="10"/>
        <v>0.97327586206896544</v>
      </c>
      <c r="T74">
        <f t="shared" si="11"/>
        <v>-0.77327586206896548</v>
      </c>
      <c r="U74">
        <f t="shared" si="6"/>
        <v>101.24959770114943</v>
      </c>
      <c r="W74">
        <v>318.10000000000002</v>
      </c>
      <c r="X74">
        <f t="shared" si="7"/>
        <v>40664.999999999993</v>
      </c>
      <c r="Y74">
        <v>10.665774258559154</v>
      </c>
    </row>
    <row r="75" spans="1:25" x14ac:dyDescent="0.25">
      <c r="A75">
        <v>6360</v>
      </c>
      <c r="B75">
        <v>26330</v>
      </c>
      <c r="C75" s="3">
        <v>43020</v>
      </c>
      <c r="F75" s="48"/>
      <c r="G75">
        <v>13.6</v>
      </c>
      <c r="H75">
        <v>10.4</v>
      </c>
      <c r="I75">
        <v>17.100000000000001</v>
      </c>
      <c r="J75">
        <f t="shared" si="4"/>
        <v>718.00000000000011</v>
      </c>
      <c r="K75">
        <f t="shared" si="5"/>
        <v>718.00000000000011</v>
      </c>
      <c r="M75">
        <v>0.3</v>
      </c>
      <c r="N75">
        <v>1.7</v>
      </c>
      <c r="O75">
        <f t="shared" si="9"/>
        <v>-1.4</v>
      </c>
      <c r="Q75">
        <v>49</v>
      </c>
      <c r="R75">
        <f t="shared" si="8"/>
        <v>0.65632183908045971</v>
      </c>
      <c r="S75">
        <f t="shared" si="10"/>
        <v>1.1157471264367815</v>
      </c>
      <c r="T75">
        <f t="shared" si="11"/>
        <v>-0.81574712643678149</v>
      </c>
      <c r="U75">
        <f t="shared" si="6"/>
        <v>100.43385057471265</v>
      </c>
      <c r="W75">
        <v>726.9</v>
      </c>
      <c r="X75">
        <f t="shared" si="7"/>
        <v>41391.899999999994</v>
      </c>
      <c r="Y75">
        <v>10.602021464387137</v>
      </c>
    </row>
    <row r="76" spans="1:25" x14ac:dyDescent="0.25">
      <c r="A76">
        <v>6360</v>
      </c>
      <c r="B76">
        <v>26330</v>
      </c>
      <c r="C76" s="3">
        <v>43021</v>
      </c>
      <c r="F76" s="48"/>
      <c r="G76">
        <v>15.5</v>
      </c>
      <c r="H76">
        <v>12.5</v>
      </c>
      <c r="I76">
        <v>17.899999999999999</v>
      </c>
      <c r="J76">
        <f t="shared" si="4"/>
        <v>733.50000000000011</v>
      </c>
      <c r="K76">
        <f t="shared" si="5"/>
        <v>733.50000000000011</v>
      </c>
      <c r="M76">
        <v>0</v>
      </c>
      <c r="N76">
        <v>0.9</v>
      </c>
      <c r="O76">
        <f t="shared" si="9"/>
        <v>-0.9</v>
      </c>
      <c r="Q76">
        <v>50</v>
      </c>
      <c r="R76">
        <f t="shared" si="8"/>
        <v>0.6637931034482758</v>
      </c>
      <c r="S76">
        <f t="shared" si="10"/>
        <v>0.59741379310344822</v>
      </c>
      <c r="T76">
        <f t="shared" si="11"/>
        <v>-0.59741379310344822</v>
      </c>
      <c r="U76">
        <f t="shared" si="6"/>
        <v>99.836436781609208</v>
      </c>
      <c r="W76">
        <v>252.6</v>
      </c>
      <c r="X76">
        <f t="shared" si="7"/>
        <v>41644.499999999993</v>
      </c>
      <c r="Y76">
        <v>10.538470972857267</v>
      </c>
    </row>
    <row r="77" spans="1:25" x14ac:dyDescent="0.25">
      <c r="A77">
        <v>6360</v>
      </c>
      <c r="B77">
        <v>26330</v>
      </c>
      <c r="C77" s="3">
        <v>43022</v>
      </c>
      <c r="F77" s="48"/>
      <c r="G77">
        <v>15.1</v>
      </c>
      <c r="H77">
        <v>10.6</v>
      </c>
      <c r="I77">
        <v>20.2</v>
      </c>
      <c r="J77">
        <f t="shared" si="4"/>
        <v>748.60000000000014</v>
      </c>
      <c r="K77">
        <f t="shared" si="5"/>
        <v>748.60000000000014</v>
      </c>
      <c r="M77">
        <v>0.1</v>
      </c>
      <c r="N77">
        <v>1.8</v>
      </c>
      <c r="O77">
        <f t="shared" si="9"/>
        <v>-1.7</v>
      </c>
      <c r="Q77">
        <v>51</v>
      </c>
      <c r="R77">
        <f t="shared" si="8"/>
        <v>0.67126436781609189</v>
      </c>
      <c r="S77">
        <f t="shared" si="10"/>
        <v>1.2082758620689655</v>
      </c>
      <c r="T77">
        <f t="shared" si="11"/>
        <v>-1.1082758620689654</v>
      </c>
      <c r="U77">
        <f t="shared" si="6"/>
        <v>98.728160919540244</v>
      </c>
      <c r="W77">
        <v>792.6</v>
      </c>
      <c r="X77">
        <f t="shared" si="7"/>
        <v>42437.099999999991</v>
      </c>
      <c r="Y77">
        <v>10.475134985099848</v>
      </c>
    </row>
    <row r="78" spans="1:25" x14ac:dyDescent="0.25">
      <c r="A78">
        <v>6360</v>
      </c>
      <c r="B78">
        <v>26330</v>
      </c>
      <c r="C78" s="3">
        <v>43023</v>
      </c>
      <c r="F78" s="48"/>
      <c r="G78">
        <v>16.899999999999999</v>
      </c>
      <c r="H78">
        <v>11.1</v>
      </c>
      <c r="I78">
        <v>22.3</v>
      </c>
      <c r="J78">
        <f t="shared" si="4"/>
        <v>765.50000000000011</v>
      </c>
      <c r="K78">
        <f t="shared" si="5"/>
        <v>765.50000000000011</v>
      </c>
      <c r="M78">
        <v>0.2</v>
      </c>
      <c r="N78">
        <v>2.2000000000000002</v>
      </c>
      <c r="O78">
        <f t="shared" si="9"/>
        <v>-2</v>
      </c>
      <c r="Q78">
        <v>52</v>
      </c>
      <c r="R78">
        <f t="shared" si="8"/>
        <v>0.67873563218390809</v>
      </c>
      <c r="S78">
        <f t="shared" si="10"/>
        <v>1.493218390804598</v>
      </c>
      <c r="T78">
        <f t="shared" si="11"/>
        <v>-1.293218390804598</v>
      </c>
      <c r="U78">
        <f t="shared" si="6"/>
        <v>97.434942528735647</v>
      </c>
      <c r="W78">
        <v>872.7</v>
      </c>
      <c r="X78">
        <f t="shared" si="7"/>
        <v>43309.799999999988</v>
      </c>
      <c r="Y78">
        <v>10.412026074528162</v>
      </c>
    </row>
    <row r="79" spans="1:25" x14ac:dyDescent="0.25">
      <c r="A79">
        <v>6360</v>
      </c>
      <c r="B79">
        <v>26330</v>
      </c>
      <c r="C79" s="3">
        <v>43024</v>
      </c>
      <c r="F79" s="48"/>
      <c r="G79">
        <v>18.8</v>
      </c>
      <c r="H79">
        <v>15.4</v>
      </c>
      <c r="I79">
        <v>24.1</v>
      </c>
      <c r="J79">
        <f t="shared" si="4"/>
        <v>784.30000000000007</v>
      </c>
      <c r="K79">
        <f t="shared" si="5"/>
        <v>784.30000000000007</v>
      </c>
      <c r="M79">
        <v>0</v>
      </c>
      <c r="N79">
        <v>2.6</v>
      </c>
      <c r="O79">
        <f t="shared" si="9"/>
        <v>-2.6</v>
      </c>
      <c r="Q79">
        <v>53</v>
      </c>
      <c r="R79">
        <f t="shared" si="8"/>
        <v>0.68620689655172418</v>
      </c>
      <c r="S79">
        <f t="shared" si="10"/>
        <v>1.7841379310344829</v>
      </c>
      <c r="T79">
        <f t="shared" si="11"/>
        <v>-1.7841379310344829</v>
      </c>
      <c r="U79">
        <f t="shared" si="6"/>
        <v>95.650804597701168</v>
      </c>
      <c r="W79">
        <v>809.7</v>
      </c>
      <c r="X79">
        <f t="shared" si="7"/>
        <v>44119.499999999985</v>
      </c>
      <c r="Y79">
        <v>10.349157201111714</v>
      </c>
    </row>
    <row r="80" spans="1:25" x14ac:dyDescent="0.25">
      <c r="A80">
        <v>6360</v>
      </c>
      <c r="B80">
        <v>26330</v>
      </c>
      <c r="C80" s="3">
        <v>43025</v>
      </c>
      <c r="F80" s="48"/>
      <c r="G80">
        <v>13.7</v>
      </c>
      <c r="H80">
        <v>11.8</v>
      </c>
      <c r="I80">
        <v>16.5</v>
      </c>
      <c r="J80">
        <f t="shared" si="4"/>
        <v>798.00000000000011</v>
      </c>
      <c r="K80">
        <f t="shared" si="5"/>
        <v>798.00000000000011</v>
      </c>
      <c r="M80">
        <v>0</v>
      </c>
      <c r="N80">
        <v>1.3</v>
      </c>
      <c r="O80">
        <f t="shared" si="9"/>
        <v>-1.3</v>
      </c>
      <c r="Q80">
        <v>54</v>
      </c>
      <c r="R80">
        <f t="shared" si="8"/>
        <v>0.69367816091954015</v>
      </c>
      <c r="S80">
        <f t="shared" si="10"/>
        <v>0.90178160919540218</v>
      </c>
      <c r="T80">
        <f t="shared" si="11"/>
        <v>-0.90178160919540218</v>
      </c>
      <c r="U80">
        <f t="shared" si="6"/>
        <v>94.749022988505772</v>
      </c>
      <c r="W80">
        <v>510.5</v>
      </c>
      <c r="X80">
        <f t="shared" si="7"/>
        <v>44629.999999999985</v>
      </c>
      <c r="Y80">
        <v>10.286541725228771</v>
      </c>
    </row>
    <row r="81" spans="1:25" x14ac:dyDescent="0.25">
      <c r="A81">
        <v>6360</v>
      </c>
      <c r="B81">
        <v>26330</v>
      </c>
      <c r="C81" s="3">
        <v>43026</v>
      </c>
      <c r="F81" s="48"/>
      <c r="G81">
        <v>13.7</v>
      </c>
      <c r="H81">
        <v>11.5</v>
      </c>
      <c r="I81">
        <v>15.5</v>
      </c>
      <c r="J81">
        <f t="shared" si="4"/>
        <v>811.70000000000016</v>
      </c>
      <c r="K81">
        <f t="shared" si="5"/>
        <v>811.70000000000016</v>
      </c>
      <c r="M81">
        <v>0.2</v>
      </c>
      <c r="N81">
        <v>0.5</v>
      </c>
      <c r="O81">
        <f t="shared" si="9"/>
        <v>-0.3</v>
      </c>
      <c r="Q81">
        <v>55</v>
      </c>
      <c r="R81">
        <f t="shared" si="8"/>
        <v>0.70114942528735624</v>
      </c>
      <c r="S81">
        <f t="shared" si="10"/>
        <v>0.35057471264367812</v>
      </c>
      <c r="T81">
        <f t="shared" si="11"/>
        <v>-0.15057471264367811</v>
      </c>
      <c r="U81">
        <f t="shared" si="6"/>
        <v>94.598448275862097</v>
      </c>
      <c r="W81">
        <v>195.6</v>
      </c>
      <c r="X81">
        <f t="shared" si="7"/>
        <v>44825.599999999984</v>
      </c>
      <c r="Y81">
        <v>10.224193421053661</v>
      </c>
    </row>
    <row r="82" spans="1:25" x14ac:dyDescent="0.25">
      <c r="A82">
        <v>6360</v>
      </c>
      <c r="B82">
        <v>26330</v>
      </c>
      <c r="C82" s="3">
        <v>43027</v>
      </c>
      <c r="F82" s="48"/>
      <c r="G82">
        <v>15.9</v>
      </c>
      <c r="H82">
        <v>11.1</v>
      </c>
      <c r="I82">
        <v>20.3</v>
      </c>
      <c r="J82">
        <f t="shared" si="4"/>
        <v>827.60000000000014</v>
      </c>
      <c r="K82">
        <f t="shared" si="5"/>
        <v>827.60000000000014</v>
      </c>
      <c r="M82">
        <v>2.1</v>
      </c>
      <c r="N82">
        <v>1.7</v>
      </c>
      <c r="O82">
        <f t="shared" si="9"/>
        <v>0.40000000000000013</v>
      </c>
      <c r="Q82">
        <v>56</v>
      </c>
      <c r="R82">
        <f t="shared" si="8"/>
        <v>0.70862068965517233</v>
      </c>
      <c r="S82">
        <f t="shared" si="10"/>
        <v>1.2046551724137928</v>
      </c>
      <c r="T82">
        <f t="shared" si="11"/>
        <v>0.89534482758620726</v>
      </c>
      <c r="U82">
        <f t="shared" si="6"/>
        <v>95.493793103448297</v>
      </c>
      <c r="W82">
        <v>650.70000000000005</v>
      </c>
      <c r="X82">
        <f t="shared" si="7"/>
        <v>45476.299999999981</v>
      </c>
      <c r="Y82">
        <v>10.162126489430882</v>
      </c>
    </row>
    <row r="83" spans="1:25" x14ac:dyDescent="0.25">
      <c r="A83">
        <v>6360</v>
      </c>
      <c r="B83">
        <v>26330</v>
      </c>
      <c r="C83" s="3">
        <v>43028</v>
      </c>
      <c r="F83" s="48"/>
      <c r="G83">
        <v>12.9</v>
      </c>
      <c r="H83">
        <v>12.1</v>
      </c>
      <c r="I83">
        <v>14.4</v>
      </c>
      <c r="J83">
        <f t="shared" si="4"/>
        <v>840.50000000000011</v>
      </c>
      <c r="K83">
        <f t="shared" si="5"/>
        <v>840.50000000000011</v>
      </c>
      <c r="M83">
        <v>1.4</v>
      </c>
      <c r="N83">
        <v>1.7</v>
      </c>
      <c r="O83">
        <f t="shared" si="9"/>
        <v>-0.30000000000000004</v>
      </c>
      <c r="Q83">
        <v>57</v>
      </c>
      <c r="R83">
        <f t="shared" si="8"/>
        <v>0.71609195402298842</v>
      </c>
      <c r="S83">
        <f t="shared" si="10"/>
        <v>1.2173563218390804</v>
      </c>
      <c r="T83">
        <f t="shared" si="11"/>
        <v>0.18264367816091953</v>
      </c>
      <c r="U83">
        <f t="shared" si="6"/>
        <v>95.676436781609212</v>
      </c>
      <c r="W83">
        <v>274.3</v>
      </c>
      <c r="X83">
        <f t="shared" si="7"/>
        <v>45750.599999999984</v>
      </c>
      <c r="Y83">
        <v>10.100355570184782</v>
      </c>
    </row>
    <row r="84" spans="1:25" x14ac:dyDescent="0.25">
      <c r="A84">
        <v>6360</v>
      </c>
      <c r="B84">
        <v>26330</v>
      </c>
      <c r="C84" s="3">
        <v>43029</v>
      </c>
      <c r="F84" s="48"/>
      <c r="G84">
        <v>13</v>
      </c>
      <c r="H84">
        <v>10.8</v>
      </c>
      <c r="I84">
        <v>16.5</v>
      </c>
      <c r="J84">
        <f t="shared" si="4"/>
        <v>853.50000000000011</v>
      </c>
      <c r="K84">
        <f t="shared" si="5"/>
        <v>853.50000000000011</v>
      </c>
      <c r="M84">
        <v>11.4</v>
      </c>
      <c r="N84">
        <v>2.2000000000000002</v>
      </c>
      <c r="O84">
        <f t="shared" si="9"/>
        <v>9.1999999999999993</v>
      </c>
      <c r="Q84">
        <v>58</v>
      </c>
      <c r="R84">
        <f t="shared" si="8"/>
        <v>0.72356321839080451</v>
      </c>
      <c r="S84">
        <f t="shared" si="10"/>
        <v>1.59183908045977</v>
      </c>
      <c r="T84">
        <f t="shared" si="11"/>
        <v>9.8081609195402297</v>
      </c>
      <c r="U84">
        <f t="shared" si="6"/>
        <v>105.48459770114944</v>
      </c>
      <c r="W84">
        <v>496.8</v>
      </c>
      <c r="X84">
        <f t="shared" si="7"/>
        <v>46247.399999999987</v>
      </c>
      <c r="Y84">
        <v>10.038895753809939</v>
      </c>
    </row>
    <row r="85" spans="1:25" x14ac:dyDescent="0.25">
      <c r="A85">
        <v>6360</v>
      </c>
      <c r="B85">
        <v>26330</v>
      </c>
      <c r="C85" s="3">
        <v>43030</v>
      </c>
      <c r="F85" s="48"/>
      <c r="G85">
        <v>10.9</v>
      </c>
      <c r="H85">
        <v>10.3</v>
      </c>
      <c r="I85">
        <v>12.4</v>
      </c>
      <c r="J85">
        <f t="shared" si="4"/>
        <v>864.40000000000009</v>
      </c>
      <c r="K85">
        <f t="shared" si="5"/>
        <v>864.40000000000009</v>
      </c>
      <c r="M85">
        <v>0.1</v>
      </c>
      <c r="N85">
        <v>1.6</v>
      </c>
      <c r="O85">
        <f t="shared" si="9"/>
        <v>-1.5</v>
      </c>
      <c r="Q85">
        <v>59</v>
      </c>
      <c r="R85">
        <f t="shared" si="8"/>
        <v>0.7310344827586206</v>
      </c>
      <c r="S85">
        <f t="shared" si="10"/>
        <v>1.1696551724137929</v>
      </c>
      <c r="T85">
        <f t="shared" si="11"/>
        <v>-1.0696551724137928</v>
      </c>
      <c r="U85">
        <f t="shared" si="6"/>
        <v>104.41494252873565</v>
      </c>
      <c r="W85">
        <v>475.7</v>
      </c>
      <c r="X85">
        <f t="shared" si="7"/>
        <v>46723.099999999984</v>
      </c>
      <c r="Y85">
        <v>9.9777625924837992</v>
      </c>
    </row>
    <row r="86" spans="1:25" x14ac:dyDescent="0.25">
      <c r="A86">
        <v>6360</v>
      </c>
      <c r="B86">
        <v>26330</v>
      </c>
      <c r="C86" s="3">
        <v>43031</v>
      </c>
      <c r="F86" s="48"/>
      <c r="G86">
        <v>12.4</v>
      </c>
      <c r="H86">
        <v>8.9</v>
      </c>
      <c r="I86">
        <v>14.8</v>
      </c>
      <c r="J86">
        <f t="shared" si="4"/>
        <v>876.80000000000007</v>
      </c>
      <c r="K86">
        <f t="shared" si="5"/>
        <v>876.80000000000007</v>
      </c>
      <c r="M86">
        <v>0.5</v>
      </c>
      <c r="N86">
        <v>0.5</v>
      </c>
      <c r="O86">
        <f t="shared" si="9"/>
        <v>0</v>
      </c>
      <c r="Q86">
        <v>60</v>
      </c>
      <c r="R86">
        <f t="shared" si="8"/>
        <v>0.7385057471264368</v>
      </c>
      <c r="S86">
        <f t="shared" si="10"/>
        <v>0.3692528735632184</v>
      </c>
      <c r="T86">
        <f t="shared" si="11"/>
        <v>0.1307471264367816</v>
      </c>
      <c r="U86">
        <f t="shared" si="6"/>
        <v>104.54568965517244</v>
      </c>
      <c r="W86">
        <v>194.8</v>
      </c>
      <c r="X86">
        <f t="shared" si="7"/>
        <v>46917.899999999987</v>
      </c>
      <c r="Y86">
        <v>9.9169721103395183</v>
      </c>
    </row>
    <row r="87" spans="1:25" x14ac:dyDescent="0.25">
      <c r="A87">
        <v>6360</v>
      </c>
      <c r="B87">
        <v>26330</v>
      </c>
      <c r="C87" s="3">
        <v>43032</v>
      </c>
      <c r="F87" s="48"/>
      <c r="G87">
        <v>16.100000000000001</v>
      </c>
      <c r="H87">
        <v>13.8</v>
      </c>
      <c r="I87">
        <v>17.399999999999999</v>
      </c>
      <c r="J87">
        <f t="shared" si="4"/>
        <v>892.90000000000009</v>
      </c>
      <c r="K87">
        <f t="shared" si="5"/>
        <v>892.90000000000009</v>
      </c>
      <c r="M87">
        <v>0</v>
      </c>
      <c r="N87">
        <v>0.5</v>
      </c>
      <c r="O87">
        <f t="shared" si="9"/>
        <v>-0.5</v>
      </c>
      <c r="Q87">
        <v>61</v>
      </c>
      <c r="R87">
        <f t="shared" si="8"/>
        <v>0.74597701149425288</v>
      </c>
      <c r="S87">
        <f t="shared" si="10"/>
        <v>0.37298850574712644</v>
      </c>
      <c r="T87">
        <f t="shared" si="11"/>
        <v>-0.37298850574712644</v>
      </c>
      <c r="U87">
        <f t="shared" si="6"/>
        <v>104.17270114942531</v>
      </c>
      <c r="W87">
        <v>146.80000000000001</v>
      </c>
      <c r="X87">
        <f t="shared" si="7"/>
        <v>47064.69999999999</v>
      </c>
      <c r="Y87">
        <v>9.8565408129332148</v>
      </c>
    </row>
    <row r="88" spans="1:25" x14ac:dyDescent="0.25">
      <c r="A88">
        <v>6360</v>
      </c>
      <c r="B88">
        <v>26330</v>
      </c>
      <c r="C88" s="3">
        <v>43033</v>
      </c>
      <c r="F88" s="48"/>
      <c r="G88">
        <v>15.3</v>
      </c>
      <c r="H88">
        <v>14.3</v>
      </c>
      <c r="I88">
        <v>16.5</v>
      </c>
      <c r="J88">
        <f t="shared" si="4"/>
        <v>908.2</v>
      </c>
      <c r="K88">
        <f t="shared" si="5"/>
        <v>908.2</v>
      </c>
      <c r="M88">
        <v>0.2</v>
      </c>
      <c r="N88">
        <v>0.8</v>
      </c>
      <c r="O88">
        <f t="shared" si="9"/>
        <v>-0.60000000000000009</v>
      </c>
      <c r="Q88">
        <v>62</v>
      </c>
      <c r="R88">
        <f t="shared" si="8"/>
        <v>0.75344827586206897</v>
      </c>
      <c r="S88">
        <f t="shared" si="10"/>
        <v>0.60275862068965524</v>
      </c>
      <c r="T88">
        <f t="shared" si="11"/>
        <v>-0.40275862068965523</v>
      </c>
      <c r="U88">
        <f t="shared" si="6"/>
        <v>103.76994252873565</v>
      </c>
      <c r="W88">
        <v>248.2</v>
      </c>
      <c r="X88">
        <f t="shared" si="7"/>
        <v>47312.899999999987</v>
      </c>
      <c r="Y88">
        <v>9.7964856958361413</v>
      </c>
    </row>
    <row r="89" spans="1:25" x14ac:dyDescent="0.25">
      <c r="A89">
        <v>6360</v>
      </c>
      <c r="B89">
        <v>26330</v>
      </c>
      <c r="C89" s="3">
        <v>43034</v>
      </c>
      <c r="F89" s="48"/>
      <c r="G89">
        <v>15.2</v>
      </c>
      <c r="H89">
        <v>14.3</v>
      </c>
      <c r="I89">
        <v>17.100000000000001</v>
      </c>
      <c r="J89">
        <f t="shared" si="4"/>
        <v>923.40000000000009</v>
      </c>
      <c r="K89">
        <f t="shared" si="5"/>
        <v>923.40000000000009</v>
      </c>
      <c r="M89">
        <v>0.5</v>
      </c>
      <c r="N89">
        <v>0.8</v>
      </c>
      <c r="O89">
        <f t="shared" si="9"/>
        <v>-0.30000000000000004</v>
      </c>
      <c r="Q89">
        <v>63</v>
      </c>
      <c r="R89">
        <f t="shared" si="8"/>
        <v>0.76091954022988506</v>
      </c>
      <c r="S89">
        <f t="shared" si="10"/>
        <v>0.60873563218390814</v>
      </c>
      <c r="T89">
        <f t="shared" si="11"/>
        <v>-0.10873563218390814</v>
      </c>
      <c r="U89">
        <f t="shared" si="6"/>
        <v>103.66120689655175</v>
      </c>
      <c r="W89">
        <v>253.2</v>
      </c>
      <c r="X89">
        <f t="shared" si="7"/>
        <v>47566.099999999984</v>
      </c>
      <c r="Y89">
        <v>9.7368242522786304</v>
      </c>
    </row>
    <row r="90" spans="1:25" x14ac:dyDescent="0.25">
      <c r="A90">
        <v>6360</v>
      </c>
      <c r="B90">
        <v>26330</v>
      </c>
      <c r="C90" s="3">
        <v>43035</v>
      </c>
      <c r="F90" s="48"/>
      <c r="G90">
        <v>11.6</v>
      </c>
      <c r="H90">
        <v>10.6</v>
      </c>
      <c r="I90">
        <v>14.2</v>
      </c>
      <c r="J90">
        <f t="shared" si="4"/>
        <v>935.00000000000011</v>
      </c>
      <c r="K90">
        <f t="shared" si="5"/>
        <v>935.00000000000011</v>
      </c>
      <c r="M90">
        <v>0.2</v>
      </c>
      <c r="N90">
        <v>1.4</v>
      </c>
      <c r="O90">
        <f t="shared" si="9"/>
        <v>-1.2</v>
      </c>
      <c r="Q90">
        <v>64</v>
      </c>
      <c r="R90">
        <f t="shared" si="8"/>
        <v>0.76839080459770115</v>
      </c>
      <c r="S90">
        <f t="shared" si="10"/>
        <v>1.0757471264367815</v>
      </c>
      <c r="T90">
        <f t="shared" si="11"/>
        <v>-0.87574712643678154</v>
      </c>
      <c r="U90">
        <f t="shared" si="6"/>
        <v>102.78545977011497</v>
      </c>
      <c r="W90">
        <v>603.79999999999995</v>
      </c>
      <c r="X90">
        <f t="shared" si="7"/>
        <v>48169.899999999987</v>
      </c>
      <c r="Y90">
        <v>9.6775744797689338</v>
      </c>
    </row>
    <row r="91" spans="1:25" x14ac:dyDescent="0.25">
      <c r="A91">
        <v>6360</v>
      </c>
      <c r="B91">
        <v>26330</v>
      </c>
      <c r="C91" s="3">
        <v>43036</v>
      </c>
      <c r="F91" s="48"/>
      <c r="G91">
        <v>11.3</v>
      </c>
      <c r="H91">
        <v>7</v>
      </c>
      <c r="I91">
        <v>13.8</v>
      </c>
      <c r="J91">
        <f t="shared" si="4"/>
        <v>946.30000000000007</v>
      </c>
      <c r="K91">
        <f t="shared" si="5"/>
        <v>946.30000000000007</v>
      </c>
      <c r="M91">
        <v>0.1</v>
      </c>
      <c r="N91">
        <v>1.4</v>
      </c>
      <c r="O91">
        <f t="shared" si="9"/>
        <v>-1.2999999999999998</v>
      </c>
      <c r="Q91">
        <v>65</v>
      </c>
      <c r="R91">
        <f t="shared" si="8"/>
        <v>0.77586206896551724</v>
      </c>
      <c r="S91">
        <f t="shared" si="10"/>
        <v>1.086206896551724</v>
      </c>
      <c r="T91">
        <f t="shared" si="11"/>
        <v>-0.986206896551724</v>
      </c>
      <c r="U91">
        <f t="shared" si="6"/>
        <v>101.79925287356325</v>
      </c>
      <c r="W91">
        <v>633.9</v>
      </c>
      <c r="X91">
        <f t="shared" si="7"/>
        <v>48803.799999999988</v>
      </c>
      <c r="Y91">
        <v>9.6187548856066503</v>
      </c>
    </row>
    <row r="92" spans="1:25" x14ac:dyDescent="0.25">
      <c r="A92">
        <v>6360</v>
      </c>
      <c r="B92">
        <v>26330</v>
      </c>
      <c r="C92" s="3">
        <v>43037</v>
      </c>
      <c r="F92" s="48"/>
      <c r="G92">
        <v>11.2</v>
      </c>
      <c r="H92">
        <v>8.6</v>
      </c>
      <c r="I92">
        <v>13.3</v>
      </c>
      <c r="J92">
        <f t="shared" si="4"/>
        <v>957.50000000000011</v>
      </c>
      <c r="K92">
        <f t="shared" si="5"/>
        <v>957.50000000000011</v>
      </c>
      <c r="M92">
        <v>2.9</v>
      </c>
      <c r="N92">
        <v>1.2</v>
      </c>
      <c r="O92">
        <f t="shared" si="9"/>
        <v>1.7</v>
      </c>
      <c r="Q92">
        <v>66</v>
      </c>
      <c r="R92">
        <f t="shared" si="8"/>
        <v>0.78333333333333333</v>
      </c>
      <c r="S92">
        <f t="shared" si="10"/>
        <v>0.94</v>
      </c>
      <c r="T92">
        <f t="shared" si="11"/>
        <v>1.96</v>
      </c>
      <c r="U92">
        <f t="shared" si="6"/>
        <v>103.75925287356324</v>
      </c>
      <c r="W92">
        <v>508.7</v>
      </c>
      <c r="X92">
        <f t="shared" si="7"/>
        <v>49312.499999999985</v>
      </c>
      <c r="Y92">
        <v>9.5603844912068467</v>
      </c>
    </row>
    <row r="93" spans="1:25" x14ac:dyDescent="0.25">
      <c r="A93">
        <v>6360</v>
      </c>
      <c r="B93">
        <v>26330</v>
      </c>
      <c r="C93" s="3">
        <v>43038</v>
      </c>
      <c r="F93" s="48"/>
      <c r="G93">
        <v>8.6999999999999993</v>
      </c>
      <c r="H93">
        <v>7.6</v>
      </c>
      <c r="I93">
        <v>11.3</v>
      </c>
      <c r="J93">
        <f t="shared" ref="J93:J156" si="12">J92+G93</f>
        <v>966.20000000000016</v>
      </c>
      <c r="K93">
        <f t="shared" ref="K93:K156" si="13">K92+G93</f>
        <v>966.20000000000016</v>
      </c>
      <c r="M93">
        <v>0.4</v>
      </c>
      <c r="N93">
        <v>0.8</v>
      </c>
      <c r="O93">
        <f t="shared" si="9"/>
        <v>-0.4</v>
      </c>
      <c r="Q93">
        <v>67</v>
      </c>
      <c r="R93">
        <f t="shared" si="8"/>
        <v>0.7908045977011493</v>
      </c>
      <c r="S93">
        <f t="shared" si="10"/>
        <v>0.63264367816091949</v>
      </c>
      <c r="T93">
        <f t="shared" si="11"/>
        <v>-0.23264367816091946</v>
      </c>
      <c r="U93">
        <f t="shared" ref="U93:U156" si="14">MIN(T93+U92,153.6)</f>
        <v>103.52660919540232</v>
      </c>
      <c r="W93">
        <v>412</v>
      </c>
      <c r="X93">
        <f t="shared" ref="X93:X156" si="15">X92+W93</f>
        <v>49724.499999999985</v>
      </c>
      <c r="Y93">
        <v>9.5024828351478376</v>
      </c>
    </row>
    <row r="94" spans="1:25" x14ac:dyDescent="0.25">
      <c r="A94">
        <v>6360</v>
      </c>
      <c r="B94">
        <v>26330</v>
      </c>
      <c r="C94" s="3">
        <v>43039</v>
      </c>
      <c r="F94" s="48"/>
      <c r="G94">
        <v>8.5</v>
      </c>
      <c r="H94">
        <v>5</v>
      </c>
      <c r="I94">
        <v>11.5</v>
      </c>
      <c r="J94">
        <f t="shared" si="12"/>
        <v>974.70000000000016</v>
      </c>
      <c r="K94">
        <f t="shared" si="13"/>
        <v>974.70000000000016</v>
      </c>
      <c r="M94">
        <v>0</v>
      </c>
      <c r="N94">
        <v>1</v>
      </c>
      <c r="O94">
        <f t="shared" si="9"/>
        <v>-1</v>
      </c>
      <c r="Q94">
        <v>68</v>
      </c>
      <c r="R94">
        <f t="shared" si="8"/>
        <v>0.79827586206896561</v>
      </c>
      <c r="S94">
        <f t="shared" si="10"/>
        <v>0.79827586206896561</v>
      </c>
      <c r="T94">
        <f t="shared" si="11"/>
        <v>-0.79827586206896561</v>
      </c>
      <c r="U94">
        <f t="shared" si="14"/>
        <v>102.72833333333335</v>
      </c>
      <c r="W94">
        <v>528.1</v>
      </c>
      <c r="X94">
        <f t="shared" si="15"/>
        <v>50252.599999999984</v>
      </c>
      <c r="Y94">
        <v>9.4450699748524229</v>
      </c>
    </row>
    <row r="95" spans="1:25" x14ac:dyDescent="0.25">
      <c r="A95">
        <v>6360</v>
      </c>
      <c r="B95">
        <v>26330</v>
      </c>
      <c r="C95" s="3">
        <v>43040</v>
      </c>
      <c r="F95" s="48"/>
      <c r="G95">
        <v>9.4</v>
      </c>
      <c r="H95">
        <v>5.7</v>
      </c>
      <c r="I95">
        <v>13.7</v>
      </c>
      <c r="J95">
        <f t="shared" si="12"/>
        <v>984.10000000000014</v>
      </c>
      <c r="K95">
        <f t="shared" si="13"/>
        <v>984.10000000000014</v>
      </c>
      <c r="M95">
        <v>0</v>
      </c>
      <c r="N95">
        <v>1.4</v>
      </c>
      <c r="O95">
        <f t="shared" si="9"/>
        <v>-1.4</v>
      </c>
      <c r="Q95">
        <v>69</v>
      </c>
      <c r="R95">
        <f t="shared" si="8"/>
        <v>0.8057471264367817</v>
      </c>
      <c r="S95">
        <f t="shared" si="10"/>
        <v>1.1280459770114943</v>
      </c>
      <c r="T95">
        <f t="shared" si="11"/>
        <v>-1.1280459770114943</v>
      </c>
      <c r="U95">
        <f t="shared" si="14"/>
        <v>101.60028735632186</v>
      </c>
      <c r="W95">
        <v>654.20000000000005</v>
      </c>
      <c r="X95">
        <f t="shared" si="15"/>
        <v>50906.799999999981</v>
      </c>
      <c r="Y95">
        <v>9.3881664868097392</v>
      </c>
    </row>
    <row r="96" spans="1:25" x14ac:dyDescent="0.25">
      <c r="A96">
        <v>6360</v>
      </c>
      <c r="B96">
        <v>26330</v>
      </c>
      <c r="C96" s="3">
        <v>43041</v>
      </c>
      <c r="F96" s="48"/>
      <c r="G96">
        <v>9</v>
      </c>
      <c r="H96">
        <v>5.7</v>
      </c>
      <c r="I96">
        <v>13.4</v>
      </c>
      <c r="J96">
        <f t="shared" si="12"/>
        <v>993.10000000000014</v>
      </c>
      <c r="K96">
        <f t="shared" si="13"/>
        <v>993.10000000000014</v>
      </c>
      <c r="M96">
        <v>0.2</v>
      </c>
      <c r="N96">
        <v>1.3</v>
      </c>
      <c r="O96">
        <f t="shared" si="9"/>
        <v>-1.1000000000000001</v>
      </c>
      <c r="Q96">
        <v>70</v>
      </c>
      <c r="R96">
        <f t="shared" si="8"/>
        <v>0.81321839080459768</v>
      </c>
      <c r="S96">
        <f t="shared" si="10"/>
        <v>1.0571839080459771</v>
      </c>
      <c r="T96">
        <f t="shared" si="11"/>
        <v>-0.85718390804597711</v>
      </c>
      <c r="U96">
        <f t="shared" si="14"/>
        <v>100.74310344827587</v>
      </c>
      <c r="W96">
        <v>621.79999999999995</v>
      </c>
      <c r="X96">
        <f t="shared" si="15"/>
        <v>51528.599999999984</v>
      </c>
      <c r="Y96">
        <v>9.3317934652422903</v>
      </c>
    </row>
    <row r="97" spans="1:25" x14ac:dyDescent="0.25">
      <c r="A97">
        <v>6360</v>
      </c>
      <c r="B97">
        <v>26330</v>
      </c>
      <c r="C97" s="3">
        <v>43042</v>
      </c>
      <c r="F97" s="48"/>
      <c r="G97">
        <v>8.1</v>
      </c>
      <c r="H97">
        <v>2.9</v>
      </c>
      <c r="I97">
        <v>11</v>
      </c>
      <c r="J97">
        <f t="shared" si="12"/>
        <v>1001.2000000000002</v>
      </c>
      <c r="K97">
        <f t="shared" si="13"/>
        <v>1001.2000000000002</v>
      </c>
      <c r="M97">
        <v>0.2</v>
      </c>
      <c r="N97">
        <v>0.3</v>
      </c>
      <c r="O97">
        <f t="shared" si="9"/>
        <v>-9.9999999999999978E-2</v>
      </c>
      <c r="Q97">
        <v>71</v>
      </c>
      <c r="R97">
        <f t="shared" si="8"/>
        <v>0.82068965517241377</v>
      </c>
      <c r="S97">
        <f t="shared" si="10"/>
        <v>0.24620689655172412</v>
      </c>
      <c r="T97">
        <f t="shared" si="11"/>
        <v>-4.6206896551724108E-2</v>
      </c>
      <c r="U97">
        <f t="shared" si="14"/>
        <v>100.69689655172415</v>
      </c>
      <c r="W97">
        <v>206.5</v>
      </c>
      <c r="X97">
        <f t="shared" si="15"/>
        <v>51735.099999999984</v>
      </c>
      <c r="Y97">
        <v>9.2759725191208116</v>
      </c>
    </row>
    <row r="98" spans="1:25" x14ac:dyDescent="0.25">
      <c r="A98">
        <v>6360</v>
      </c>
      <c r="B98">
        <v>26330</v>
      </c>
      <c r="C98" s="3">
        <v>43043</v>
      </c>
      <c r="F98" s="48"/>
      <c r="G98">
        <v>10.9</v>
      </c>
      <c r="H98">
        <v>9.3000000000000007</v>
      </c>
      <c r="I98">
        <v>12.5</v>
      </c>
      <c r="J98">
        <f t="shared" si="12"/>
        <v>1012.1000000000001</v>
      </c>
      <c r="K98">
        <f t="shared" si="13"/>
        <v>1012.1000000000001</v>
      </c>
      <c r="M98">
        <v>2.1</v>
      </c>
      <c r="N98">
        <v>0.5</v>
      </c>
      <c r="O98">
        <f t="shared" si="9"/>
        <v>1.6</v>
      </c>
      <c r="Q98">
        <v>72</v>
      </c>
      <c r="R98">
        <f t="shared" si="8"/>
        <v>0.82816091954022986</v>
      </c>
      <c r="S98">
        <f t="shared" si="10"/>
        <v>0.41408045977011493</v>
      </c>
      <c r="T98">
        <f t="shared" si="11"/>
        <v>1.6859195402298852</v>
      </c>
      <c r="U98">
        <f t="shared" si="14"/>
        <v>102.38281609195404</v>
      </c>
      <c r="W98">
        <v>128.1</v>
      </c>
      <c r="X98">
        <f t="shared" si="15"/>
        <v>51863.199999999983</v>
      </c>
      <c r="Y98">
        <v>9.2207257674279841</v>
      </c>
    </row>
    <row r="99" spans="1:25" x14ac:dyDescent="0.25">
      <c r="A99">
        <v>6360</v>
      </c>
      <c r="B99">
        <v>26330</v>
      </c>
      <c r="C99" s="3">
        <v>43044</v>
      </c>
      <c r="F99" s="48"/>
      <c r="G99">
        <v>7.3</v>
      </c>
      <c r="H99">
        <v>5.6</v>
      </c>
      <c r="I99">
        <v>9.1</v>
      </c>
      <c r="J99">
        <f t="shared" si="12"/>
        <v>1019.4000000000001</v>
      </c>
      <c r="K99">
        <f t="shared" si="13"/>
        <v>1019.4000000000001</v>
      </c>
      <c r="M99">
        <v>1.3</v>
      </c>
      <c r="N99">
        <v>1.1000000000000001</v>
      </c>
      <c r="O99">
        <f t="shared" si="9"/>
        <v>0.19999999999999996</v>
      </c>
      <c r="Q99">
        <v>73</v>
      </c>
      <c r="R99">
        <f t="shared" si="8"/>
        <v>0.83563218390804594</v>
      </c>
      <c r="S99">
        <f t="shared" si="10"/>
        <v>0.91919540229885066</v>
      </c>
      <c r="T99">
        <f t="shared" si="11"/>
        <v>0.38080459770114938</v>
      </c>
      <c r="U99">
        <f t="shared" si="14"/>
        <v>102.76362068965518</v>
      </c>
      <c r="W99">
        <v>724.7</v>
      </c>
      <c r="X99">
        <f t="shared" si="15"/>
        <v>52587.89999999998</v>
      </c>
      <c r="Y99">
        <v>9.1660758325710496</v>
      </c>
    </row>
    <row r="100" spans="1:25" x14ac:dyDescent="0.25">
      <c r="A100">
        <v>6360</v>
      </c>
      <c r="B100">
        <v>26330</v>
      </c>
      <c r="C100" s="3">
        <v>43045</v>
      </c>
      <c r="F100" s="48"/>
      <c r="G100">
        <v>6</v>
      </c>
      <c r="H100">
        <v>4.5</v>
      </c>
      <c r="I100">
        <v>10.6</v>
      </c>
      <c r="J100">
        <f t="shared" si="12"/>
        <v>1025.4000000000001</v>
      </c>
      <c r="K100">
        <f t="shared" si="13"/>
        <v>1025.4000000000001</v>
      </c>
      <c r="M100">
        <v>0</v>
      </c>
      <c r="N100">
        <v>1.3</v>
      </c>
      <c r="O100">
        <f t="shared" si="9"/>
        <v>-1.3</v>
      </c>
      <c r="Q100">
        <v>74</v>
      </c>
      <c r="R100">
        <f t="shared" ref="R100:R121" si="16">0.35+((Q100-8)/87)*(1-0.35)</f>
        <v>0.84310344827586203</v>
      </c>
      <c r="S100">
        <f t="shared" si="10"/>
        <v>1.0960344827586206</v>
      </c>
      <c r="T100">
        <f t="shared" si="11"/>
        <v>-1.0960344827586206</v>
      </c>
      <c r="U100">
        <f t="shared" si="14"/>
        <v>101.66758620689656</v>
      </c>
      <c r="W100">
        <v>616.6</v>
      </c>
      <c r="X100">
        <f t="shared" si="15"/>
        <v>53204.499999999978</v>
      </c>
      <c r="Y100">
        <v>9.1120458318429165</v>
      </c>
    </row>
    <row r="101" spans="1:25" x14ac:dyDescent="0.25">
      <c r="A101">
        <v>6360</v>
      </c>
      <c r="B101">
        <v>26330</v>
      </c>
      <c r="C101" s="3">
        <v>43046</v>
      </c>
      <c r="F101" s="48"/>
      <c r="G101">
        <v>3.3</v>
      </c>
      <c r="H101">
        <v>-1.2</v>
      </c>
      <c r="I101">
        <v>9.3000000000000007</v>
      </c>
      <c r="J101">
        <f t="shared" si="12"/>
        <v>1028.7</v>
      </c>
      <c r="K101">
        <f t="shared" si="13"/>
        <v>1028.7</v>
      </c>
      <c r="M101">
        <v>0.2</v>
      </c>
      <c r="N101">
        <v>1.3</v>
      </c>
      <c r="O101">
        <f t="shared" si="9"/>
        <v>-1.1000000000000001</v>
      </c>
      <c r="Q101">
        <v>75</v>
      </c>
      <c r="R101">
        <f t="shared" si="16"/>
        <v>0.85057471264367812</v>
      </c>
      <c r="S101">
        <f t="shared" si="10"/>
        <v>1.1057471264367815</v>
      </c>
      <c r="T101">
        <f t="shared" si="11"/>
        <v>-0.90574712643678157</v>
      </c>
      <c r="U101">
        <f t="shared" si="14"/>
        <v>100.76183908045978</v>
      </c>
      <c r="W101">
        <v>780.8</v>
      </c>
      <c r="X101">
        <f t="shared" si="15"/>
        <v>53985.299999999981</v>
      </c>
      <c r="Y101">
        <v>9.0586593668317921</v>
      </c>
    </row>
    <row r="102" spans="1:25" x14ac:dyDescent="0.25">
      <c r="A102">
        <v>6360</v>
      </c>
      <c r="B102">
        <v>26330</v>
      </c>
      <c r="C102" s="3">
        <v>43047</v>
      </c>
      <c r="F102" s="48"/>
      <c r="G102">
        <v>5.0999999999999996</v>
      </c>
      <c r="H102">
        <v>1.3</v>
      </c>
      <c r="I102">
        <v>7.5</v>
      </c>
      <c r="J102">
        <f t="shared" si="12"/>
        <v>1033.8</v>
      </c>
      <c r="K102">
        <f t="shared" si="13"/>
        <v>1033.8</v>
      </c>
      <c r="M102">
        <v>0.5</v>
      </c>
      <c r="N102">
        <v>0.4</v>
      </c>
      <c r="O102">
        <f t="shared" si="9"/>
        <v>9.9999999999999978E-2</v>
      </c>
      <c r="Q102">
        <v>76</v>
      </c>
      <c r="R102">
        <f t="shared" si="16"/>
        <v>0.85804597701149432</v>
      </c>
      <c r="S102">
        <f t="shared" si="10"/>
        <v>0.34321839080459776</v>
      </c>
      <c r="T102">
        <f t="shared" si="11"/>
        <v>0.15678160919540224</v>
      </c>
      <c r="U102">
        <f t="shared" si="14"/>
        <v>100.91862068965519</v>
      </c>
      <c r="W102">
        <v>182.7</v>
      </c>
      <c r="X102">
        <f t="shared" si="15"/>
        <v>54167.999999999978</v>
      </c>
      <c r="Y102">
        <v>9.0059405106803805</v>
      </c>
    </row>
    <row r="103" spans="1:25" x14ac:dyDescent="0.25">
      <c r="A103">
        <v>6360</v>
      </c>
      <c r="B103">
        <v>26330</v>
      </c>
      <c r="C103" s="3">
        <v>43048</v>
      </c>
      <c r="E103" t="s">
        <v>34</v>
      </c>
      <c r="F103" s="48"/>
      <c r="G103">
        <v>8.9</v>
      </c>
      <c r="H103">
        <v>6</v>
      </c>
      <c r="I103">
        <v>10.3</v>
      </c>
      <c r="J103">
        <f t="shared" si="12"/>
        <v>1042.7</v>
      </c>
      <c r="K103">
        <f t="shared" si="13"/>
        <v>1042.7</v>
      </c>
      <c r="M103">
        <v>0.7</v>
      </c>
      <c r="N103">
        <v>0.6</v>
      </c>
      <c r="O103">
        <f t="shared" si="9"/>
        <v>9.9999999999999978E-2</v>
      </c>
      <c r="Q103">
        <v>77</v>
      </c>
      <c r="R103">
        <f t="shared" si="16"/>
        <v>0.86551724137931041</v>
      </c>
      <c r="S103">
        <f t="shared" si="10"/>
        <v>0.5193103448275862</v>
      </c>
      <c r="T103">
        <f t="shared" si="11"/>
        <v>0.18068965517241375</v>
      </c>
      <c r="U103">
        <f t="shared" si="14"/>
        <v>101.0993103448276</v>
      </c>
      <c r="W103">
        <v>170</v>
      </c>
      <c r="X103">
        <f t="shared" si="15"/>
        <v>54337.999999999978</v>
      </c>
      <c r="Y103">
        <v>8.9539137930978558</v>
      </c>
    </row>
    <row r="104" spans="1:25" x14ac:dyDescent="0.25">
      <c r="A104">
        <v>6360</v>
      </c>
      <c r="B104">
        <v>26330</v>
      </c>
      <c r="C104" s="3">
        <v>43049</v>
      </c>
      <c r="F104" s="48"/>
      <c r="G104">
        <v>9.6999999999999993</v>
      </c>
      <c r="H104">
        <v>8.6</v>
      </c>
      <c r="I104">
        <v>11.5</v>
      </c>
      <c r="J104">
        <f t="shared" si="12"/>
        <v>1052.4000000000001</v>
      </c>
      <c r="K104">
        <f t="shared" si="13"/>
        <v>1052.4000000000001</v>
      </c>
      <c r="M104">
        <v>3.8</v>
      </c>
      <c r="N104">
        <v>1.2</v>
      </c>
      <c r="O104">
        <f t="shared" si="9"/>
        <v>2.5999999999999996</v>
      </c>
      <c r="Q104">
        <v>78</v>
      </c>
      <c r="R104">
        <f t="shared" si="16"/>
        <v>0.8729885057471265</v>
      </c>
      <c r="S104">
        <f t="shared" si="10"/>
        <v>1.0475862068965518</v>
      </c>
      <c r="T104">
        <f t="shared" si="11"/>
        <v>2.752413793103448</v>
      </c>
      <c r="U104">
        <f t="shared" si="14"/>
        <v>103.85172413793104</v>
      </c>
      <c r="W104">
        <v>264.3</v>
      </c>
      <c r="X104">
        <f t="shared" si="15"/>
        <v>54602.299999999981</v>
      </c>
      <c r="Y104">
        <v>8.9026041830307179</v>
      </c>
    </row>
    <row r="105" spans="1:25" x14ac:dyDescent="0.25">
      <c r="A105">
        <v>6360</v>
      </c>
      <c r="B105">
        <v>26330</v>
      </c>
      <c r="C105" s="3">
        <v>43050</v>
      </c>
      <c r="F105" s="48"/>
      <c r="G105">
        <v>8.4</v>
      </c>
      <c r="H105">
        <v>7</v>
      </c>
      <c r="I105">
        <v>10.3</v>
      </c>
      <c r="J105">
        <f t="shared" si="12"/>
        <v>1060.8000000000002</v>
      </c>
      <c r="K105">
        <f t="shared" si="13"/>
        <v>1060.8000000000002</v>
      </c>
      <c r="M105">
        <v>3.2</v>
      </c>
      <c r="N105">
        <v>0.4</v>
      </c>
      <c r="O105">
        <f t="shared" si="9"/>
        <v>2.8000000000000003</v>
      </c>
      <c r="Q105">
        <v>79</v>
      </c>
      <c r="R105">
        <f t="shared" si="16"/>
        <v>0.88045977011494247</v>
      </c>
      <c r="S105">
        <f t="shared" si="10"/>
        <v>0.35218390804597699</v>
      </c>
      <c r="T105">
        <f t="shared" si="11"/>
        <v>2.847816091954023</v>
      </c>
      <c r="U105">
        <f t="shared" si="14"/>
        <v>106.69954022988506</v>
      </c>
      <c r="W105">
        <v>97.1</v>
      </c>
      <c r="X105">
        <f t="shared" si="15"/>
        <v>54699.39999999998</v>
      </c>
      <c r="Y105">
        <v>8.8520370689028525</v>
      </c>
    </row>
    <row r="106" spans="1:25" x14ac:dyDescent="0.25">
      <c r="A106">
        <v>6360</v>
      </c>
      <c r="B106">
        <v>26330</v>
      </c>
      <c r="C106" s="3">
        <v>43051</v>
      </c>
      <c r="F106" s="48"/>
      <c r="G106">
        <v>7.4</v>
      </c>
      <c r="H106">
        <v>6.7</v>
      </c>
      <c r="I106">
        <v>8.1999999999999993</v>
      </c>
      <c r="J106">
        <f t="shared" si="12"/>
        <v>1068.2000000000003</v>
      </c>
      <c r="K106">
        <f t="shared" si="13"/>
        <v>1068.2000000000003</v>
      </c>
      <c r="M106">
        <v>5</v>
      </c>
      <c r="N106">
        <v>1</v>
      </c>
      <c r="O106">
        <f t="shared" si="9"/>
        <v>4</v>
      </c>
      <c r="Q106">
        <v>80</v>
      </c>
      <c r="R106">
        <f t="shared" si="16"/>
        <v>0.88793103448275856</v>
      </c>
      <c r="S106">
        <f t="shared" si="10"/>
        <v>0.88793103448275856</v>
      </c>
      <c r="T106">
        <f t="shared" si="11"/>
        <v>4.1120689655172411</v>
      </c>
      <c r="U106">
        <f t="shared" si="14"/>
        <v>110.8116091954023</v>
      </c>
      <c r="W106">
        <v>344.2</v>
      </c>
      <c r="X106">
        <f t="shared" si="15"/>
        <v>55043.599999999977</v>
      </c>
      <c r="Y106">
        <v>8.8022382363403313</v>
      </c>
    </row>
    <row r="107" spans="1:25" x14ac:dyDescent="0.25">
      <c r="A107">
        <v>6360</v>
      </c>
      <c r="B107">
        <v>26330</v>
      </c>
      <c r="C107" s="3">
        <v>43052</v>
      </c>
      <c r="F107" s="48"/>
      <c r="G107">
        <v>6.9</v>
      </c>
      <c r="H107">
        <v>6.7</v>
      </c>
      <c r="I107">
        <v>8.5</v>
      </c>
      <c r="J107">
        <f t="shared" si="12"/>
        <v>1075.1000000000004</v>
      </c>
      <c r="K107">
        <f t="shared" si="13"/>
        <v>1075.1000000000004</v>
      </c>
      <c r="M107">
        <v>2.5</v>
      </c>
      <c r="N107">
        <v>1</v>
      </c>
      <c r="O107">
        <f t="shared" si="9"/>
        <v>1.5</v>
      </c>
      <c r="Q107">
        <v>81</v>
      </c>
      <c r="R107">
        <f t="shared" si="16"/>
        <v>0.89540229885057465</v>
      </c>
      <c r="S107">
        <f t="shared" si="10"/>
        <v>0.89540229885057465</v>
      </c>
      <c r="T107">
        <f t="shared" si="11"/>
        <v>1.6045977011494252</v>
      </c>
      <c r="U107">
        <f t="shared" si="14"/>
        <v>112.41620689655173</v>
      </c>
      <c r="W107">
        <v>351.7</v>
      </c>
      <c r="X107">
        <f t="shared" si="15"/>
        <v>55395.299999999974</v>
      </c>
      <c r="Y107">
        <v>8.7532338433031018</v>
      </c>
    </row>
    <row r="108" spans="1:25" x14ac:dyDescent="0.25">
      <c r="A108">
        <v>6360</v>
      </c>
      <c r="B108">
        <v>26330</v>
      </c>
      <c r="C108" s="3">
        <v>43053</v>
      </c>
      <c r="F108" s="48"/>
      <c r="G108">
        <v>7.4</v>
      </c>
      <c r="H108">
        <v>3.8</v>
      </c>
      <c r="I108">
        <v>9.6</v>
      </c>
      <c r="J108">
        <f t="shared" si="12"/>
        <v>1082.5000000000005</v>
      </c>
      <c r="K108">
        <f t="shared" si="13"/>
        <v>1082.5000000000005</v>
      </c>
      <c r="M108">
        <v>0.2</v>
      </c>
      <c r="N108">
        <v>0.5</v>
      </c>
      <c r="O108">
        <f t="shared" si="9"/>
        <v>-0.3</v>
      </c>
      <c r="Q108">
        <v>82</v>
      </c>
      <c r="R108">
        <f t="shared" si="16"/>
        <v>0.90287356321839074</v>
      </c>
      <c r="S108">
        <f t="shared" si="10"/>
        <v>0.45143678160919537</v>
      </c>
      <c r="T108">
        <f t="shared" si="11"/>
        <v>-0.25143678160919536</v>
      </c>
      <c r="U108">
        <f t="shared" si="14"/>
        <v>112.16477011494253</v>
      </c>
      <c r="W108">
        <v>263.7</v>
      </c>
      <c r="X108">
        <f t="shared" si="15"/>
        <v>55658.999999999971</v>
      </c>
      <c r="Y108">
        <v>8.7050503925536162</v>
      </c>
    </row>
    <row r="109" spans="1:25" x14ac:dyDescent="0.25">
      <c r="A109">
        <v>6360</v>
      </c>
      <c r="B109">
        <v>26330</v>
      </c>
      <c r="C109" s="3">
        <v>43054</v>
      </c>
      <c r="F109" s="48"/>
      <c r="G109">
        <v>10.3</v>
      </c>
      <c r="H109">
        <v>9.1</v>
      </c>
      <c r="I109">
        <v>11.9</v>
      </c>
      <c r="J109">
        <f t="shared" si="12"/>
        <v>1092.8000000000004</v>
      </c>
      <c r="K109">
        <f t="shared" si="13"/>
        <v>1092.8000000000004</v>
      </c>
      <c r="M109">
        <v>0.2</v>
      </c>
      <c r="N109">
        <v>0.4</v>
      </c>
      <c r="O109">
        <f t="shared" si="9"/>
        <v>-0.2</v>
      </c>
      <c r="Q109">
        <v>83</v>
      </c>
      <c r="R109">
        <f t="shared" si="16"/>
        <v>0.91034482758620683</v>
      </c>
      <c r="S109">
        <f t="shared" si="10"/>
        <v>0.36413793103448278</v>
      </c>
      <c r="T109">
        <f t="shared" si="11"/>
        <v>-0.16413793103448276</v>
      </c>
      <c r="U109">
        <f t="shared" si="14"/>
        <v>112.00063218390804</v>
      </c>
      <c r="W109">
        <v>101.2</v>
      </c>
      <c r="X109">
        <f t="shared" si="15"/>
        <v>55760.199999999968</v>
      </c>
      <c r="Y109">
        <v>8.6577147014017584</v>
      </c>
    </row>
    <row r="110" spans="1:25" x14ac:dyDescent="0.25">
      <c r="A110">
        <v>6360</v>
      </c>
      <c r="B110">
        <v>26330</v>
      </c>
      <c r="C110" s="3">
        <v>43055</v>
      </c>
      <c r="F110" s="48"/>
      <c r="G110">
        <v>10</v>
      </c>
      <c r="H110">
        <v>9.3000000000000007</v>
      </c>
      <c r="I110">
        <v>11.1</v>
      </c>
      <c r="J110">
        <f t="shared" si="12"/>
        <v>1102.8000000000004</v>
      </c>
      <c r="K110">
        <f t="shared" si="13"/>
        <v>1102.8000000000004</v>
      </c>
      <c r="M110">
        <v>0.3</v>
      </c>
      <c r="N110">
        <v>0.3</v>
      </c>
      <c r="O110">
        <f t="shared" si="9"/>
        <v>0</v>
      </c>
      <c r="Q110">
        <v>84</v>
      </c>
      <c r="R110">
        <f t="shared" si="16"/>
        <v>0.91781609195402303</v>
      </c>
      <c r="S110">
        <f t="shared" si="10"/>
        <v>0.27534482758620688</v>
      </c>
      <c r="T110">
        <f t="shared" si="11"/>
        <v>2.4655172413793114E-2</v>
      </c>
      <c r="U110">
        <f t="shared" si="14"/>
        <v>112.02528735632183</v>
      </c>
      <c r="W110">
        <v>74.5</v>
      </c>
      <c r="X110">
        <f t="shared" si="15"/>
        <v>55834.699999999968</v>
      </c>
      <c r="Y110">
        <v>8.6112538686764175</v>
      </c>
    </row>
    <row r="111" spans="1:25" x14ac:dyDescent="0.25">
      <c r="A111">
        <v>6360</v>
      </c>
      <c r="B111">
        <v>26330</v>
      </c>
      <c r="C111" s="3">
        <v>43056</v>
      </c>
      <c r="F111" s="48"/>
      <c r="G111">
        <v>7.3</v>
      </c>
      <c r="H111">
        <v>5.9</v>
      </c>
      <c r="I111">
        <v>10.8</v>
      </c>
      <c r="J111">
        <f t="shared" si="12"/>
        <v>1110.1000000000004</v>
      </c>
      <c r="K111">
        <f t="shared" si="13"/>
        <v>1110.1000000000004</v>
      </c>
      <c r="M111">
        <v>0.1</v>
      </c>
      <c r="N111">
        <v>0.9</v>
      </c>
      <c r="O111">
        <f t="shared" si="9"/>
        <v>-0.8</v>
      </c>
      <c r="Q111">
        <v>85</v>
      </c>
      <c r="R111">
        <f t="shared" si="16"/>
        <v>0.92528735632183912</v>
      </c>
      <c r="S111">
        <f t="shared" si="10"/>
        <v>0.83275862068965523</v>
      </c>
      <c r="T111">
        <f t="shared" si="11"/>
        <v>-0.73275862068965525</v>
      </c>
      <c r="U111">
        <f t="shared" si="14"/>
        <v>111.29252873563217</v>
      </c>
      <c r="W111">
        <v>287.5</v>
      </c>
      <c r="X111">
        <f t="shared" si="15"/>
        <v>56122.199999999968</v>
      </c>
      <c r="Y111">
        <v>8.5656952388863292</v>
      </c>
    </row>
    <row r="112" spans="1:25" x14ac:dyDescent="0.25">
      <c r="A112">
        <v>6360</v>
      </c>
      <c r="B112">
        <v>26330</v>
      </c>
      <c r="C112" s="3">
        <v>43057</v>
      </c>
      <c r="F112" s="48"/>
      <c r="G112">
        <v>6.4</v>
      </c>
      <c r="H112">
        <v>2.5</v>
      </c>
      <c r="I112">
        <v>9.8000000000000007</v>
      </c>
      <c r="J112">
        <f t="shared" si="12"/>
        <v>1116.5000000000005</v>
      </c>
      <c r="K112">
        <f t="shared" si="13"/>
        <v>1116.5000000000005</v>
      </c>
      <c r="M112">
        <v>2.2999999999999998</v>
      </c>
      <c r="N112">
        <v>0.7</v>
      </c>
      <c r="O112">
        <f t="shared" si="9"/>
        <v>1.5999999999999999</v>
      </c>
      <c r="Q112">
        <v>86</v>
      </c>
      <c r="R112">
        <f t="shared" si="16"/>
        <v>0.9327586206896552</v>
      </c>
      <c r="S112">
        <f t="shared" si="10"/>
        <v>0.65293103448275858</v>
      </c>
      <c r="T112">
        <f t="shared" si="11"/>
        <v>1.6470689655172412</v>
      </c>
      <c r="U112">
        <f t="shared" si="14"/>
        <v>112.93959770114941</v>
      </c>
      <c r="W112">
        <v>213.1</v>
      </c>
      <c r="X112">
        <f t="shared" si="15"/>
        <v>56335.299999999967</v>
      </c>
      <c r="Y112">
        <v>8.5210663635469803</v>
      </c>
    </row>
    <row r="113" spans="1:26" x14ac:dyDescent="0.25">
      <c r="A113">
        <v>6360</v>
      </c>
      <c r="B113">
        <v>26330</v>
      </c>
      <c r="C113" s="3">
        <v>43058</v>
      </c>
      <c r="E113">
        <v>1</v>
      </c>
      <c r="F113" s="48"/>
      <c r="G113">
        <v>5</v>
      </c>
      <c r="H113">
        <v>3.9</v>
      </c>
      <c r="I113">
        <v>7.9</v>
      </c>
      <c r="J113">
        <f t="shared" si="12"/>
        <v>1121.5000000000005</v>
      </c>
      <c r="K113">
        <f t="shared" si="13"/>
        <v>1121.5000000000005</v>
      </c>
      <c r="M113">
        <v>0</v>
      </c>
      <c r="N113">
        <v>1</v>
      </c>
      <c r="O113">
        <f t="shared" si="9"/>
        <v>-1</v>
      </c>
      <c r="Q113">
        <v>87</v>
      </c>
      <c r="R113">
        <f t="shared" si="16"/>
        <v>0.94022988505747129</v>
      </c>
      <c r="S113">
        <f t="shared" si="10"/>
        <v>0.94022988505747129</v>
      </c>
      <c r="T113">
        <f t="shared" si="11"/>
        <v>-0.94022988505747129</v>
      </c>
      <c r="U113">
        <f t="shared" si="14"/>
        <v>111.99936781609193</v>
      </c>
      <c r="W113">
        <v>468.6</v>
      </c>
      <c r="X113">
        <f t="shared" si="15"/>
        <v>56803.899999999965</v>
      </c>
      <c r="Y113">
        <v>8.4773949596659524</v>
      </c>
    </row>
    <row r="114" spans="1:26" x14ac:dyDescent="0.25">
      <c r="A114">
        <v>6360</v>
      </c>
      <c r="B114">
        <v>26330</v>
      </c>
      <c r="C114" s="3">
        <v>43059</v>
      </c>
      <c r="F114" s="48"/>
      <c r="G114">
        <v>8.4</v>
      </c>
      <c r="H114">
        <v>2.2999999999999998</v>
      </c>
      <c r="I114">
        <v>12.4</v>
      </c>
      <c r="J114">
        <f t="shared" si="12"/>
        <v>1129.9000000000005</v>
      </c>
      <c r="K114">
        <f t="shared" si="13"/>
        <v>1129.9000000000005</v>
      </c>
      <c r="M114">
        <v>4.8</v>
      </c>
      <c r="N114">
        <v>0.2</v>
      </c>
      <c r="O114">
        <f t="shared" si="9"/>
        <v>4.5999999999999996</v>
      </c>
      <c r="Q114">
        <v>88</v>
      </c>
      <c r="R114">
        <f t="shared" si="16"/>
        <v>0.94770114942528738</v>
      </c>
      <c r="S114">
        <f t="shared" si="10"/>
        <v>0.18954022988505748</v>
      </c>
      <c r="T114">
        <f t="shared" si="11"/>
        <v>4.6104597701149421</v>
      </c>
      <c r="U114">
        <f t="shared" si="14"/>
        <v>116.60982758620688</v>
      </c>
      <c r="W114">
        <v>111.9</v>
      </c>
      <c r="X114">
        <f t="shared" si="15"/>
        <v>56915.799999999967</v>
      </c>
      <c r="Y114">
        <v>8.434708865396507</v>
      </c>
    </row>
    <row r="115" spans="1:26" x14ac:dyDescent="0.25">
      <c r="A115">
        <v>6360</v>
      </c>
      <c r="B115">
        <v>26330</v>
      </c>
      <c r="C115" s="3">
        <v>43060</v>
      </c>
      <c r="F115" s="48"/>
      <c r="G115">
        <v>12</v>
      </c>
      <c r="H115">
        <v>11.6</v>
      </c>
      <c r="I115">
        <v>12.1</v>
      </c>
      <c r="J115">
        <f t="shared" si="12"/>
        <v>1141.9000000000005</v>
      </c>
      <c r="K115">
        <f t="shared" si="13"/>
        <v>1141.9000000000005</v>
      </c>
      <c r="M115">
        <v>0</v>
      </c>
      <c r="N115">
        <v>0.9</v>
      </c>
      <c r="O115">
        <f t="shared" si="9"/>
        <v>-0.9</v>
      </c>
      <c r="Q115">
        <v>89</v>
      </c>
      <c r="R115">
        <f t="shared" si="16"/>
        <v>0.95517241379310347</v>
      </c>
      <c r="S115">
        <f t="shared" si="10"/>
        <v>0.85965517241379319</v>
      </c>
      <c r="T115">
        <f t="shared" si="11"/>
        <v>-0.85965517241379319</v>
      </c>
      <c r="U115">
        <f t="shared" si="14"/>
        <v>115.75017241379308</v>
      </c>
      <c r="W115">
        <v>135.9</v>
      </c>
      <c r="X115">
        <f t="shared" si="15"/>
        <v>57051.699999999968</v>
      </c>
      <c r="Y115">
        <v>8.39303599288802</v>
      </c>
    </row>
    <row r="116" spans="1:26" x14ac:dyDescent="0.25">
      <c r="A116">
        <v>6360</v>
      </c>
      <c r="B116">
        <v>26330</v>
      </c>
      <c r="C116" s="3">
        <v>43061</v>
      </c>
      <c r="F116" s="48"/>
      <c r="G116">
        <v>11.8</v>
      </c>
      <c r="H116">
        <v>10.7</v>
      </c>
      <c r="I116">
        <v>13.6</v>
      </c>
      <c r="J116">
        <f t="shared" si="12"/>
        <v>1153.7000000000005</v>
      </c>
      <c r="K116">
        <f t="shared" si="13"/>
        <v>1153.7000000000005</v>
      </c>
      <c r="M116">
        <v>0.1</v>
      </c>
      <c r="N116">
        <v>2.1</v>
      </c>
      <c r="O116">
        <f t="shared" si="9"/>
        <v>-2</v>
      </c>
      <c r="Q116">
        <v>90</v>
      </c>
      <c r="R116">
        <f t="shared" si="16"/>
        <v>0.96264367816091956</v>
      </c>
      <c r="S116">
        <f t="shared" si="10"/>
        <v>2.021551724137931</v>
      </c>
      <c r="T116">
        <f t="shared" si="11"/>
        <v>-1.921551724137931</v>
      </c>
      <c r="U116">
        <f t="shared" si="14"/>
        <v>113.82862068965515</v>
      </c>
      <c r="W116">
        <v>430.6</v>
      </c>
      <c r="X116">
        <f t="shared" si="15"/>
        <v>57482.299999999967</v>
      </c>
      <c r="Y116">
        <v>8.3524042783825632</v>
      </c>
    </row>
    <row r="117" spans="1:26" x14ac:dyDescent="0.25">
      <c r="A117">
        <v>6360</v>
      </c>
      <c r="B117">
        <v>26330</v>
      </c>
      <c r="C117" s="3">
        <v>43062</v>
      </c>
      <c r="F117" s="48"/>
      <c r="G117">
        <v>11.1</v>
      </c>
      <c r="H117">
        <v>8.4</v>
      </c>
      <c r="I117">
        <v>13.5</v>
      </c>
      <c r="J117">
        <f t="shared" si="12"/>
        <v>1164.8000000000004</v>
      </c>
      <c r="K117">
        <f t="shared" si="13"/>
        <v>1164.8000000000004</v>
      </c>
      <c r="M117">
        <v>4</v>
      </c>
      <c r="N117">
        <v>1.7</v>
      </c>
      <c r="O117">
        <f t="shared" si="9"/>
        <v>2.2999999999999998</v>
      </c>
      <c r="Q117">
        <v>91</v>
      </c>
      <c r="R117">
        <f t="shared" si="16"/>
        <v>0.97011494252873565</v>
      </c>
      <c r="S117">
        <f t="shared" si="10"/>
        <v>1.6491954022988506</v>
      </c>
      <c r="T117">
        <f t="shared" si="11"/>
        <v>2.3508045977011491</v>
      </c>
      <c r="U117">
        <f t="shared" si="14"/>
        <v>116.17942528735631</v>
      </c>
      <c r="W117">
        <v>293.5</v>
      </c>
      <c r="X117">
        <f t="shared" si="15"/>
        <v>57775.799999999967</v>
      </c>
      <c r="Y117">
        <v>8.3128416296287391</v>
      </c>
    </row>
    <row r="118" spans="1:26" x14ac:dyDescent="0.25">
      <c r="A118">
        <v>6360</v>
      </c>
      <c r="B118">
        <v>26330</v>
      </c>
      <c r="C118" s="3">
        <v>43063</v>
      </c>
      <c r="F118" s="48"/>
      <c r="G118">
        <v>7.6</v>
      </c>
      <c r="H118">
        <v>7</v>
      </c>
      <c r="I118">
        <v>10.6</v>
      </c>
      <c r="J118">
        <f t="shared" si="12"/>
        <v>1172.4000000000003</v>
      </c>
      <c r="K118">
        <f t="shared" si="13"/>
        <v>1172.4000000000003</v>
      </c>
      <c r="M118">
        <v>6.1</v>
      </c>
      <c r="N118">
        <v>0.8</v>
      </c>
      <c r="O118">
        <f t="shared" si="9"/>
        <v>5.3</v>
      </c>
      <c r="Q118">
        <v>92</v>
      </c>
      <c r="R118">
        <f t="shared" si="16"/>
        <v>0.97758620689655173</v>
      </c>
      <c r="S118">
        <f t="shared" si="10"/>
        <v>0.78206896551724148</v>
      </c>
      <c r="T118">
        <f t="shared" si="11"/>
        <v>5.3179310344827577</v>
      </c>
      <c r="U118">
        <f t="shared" si="14"/>
        <v>121.49735632183906</v>
      </c>
      <c r="W118">
        <v>418.8</v>
      </c>
      <c r="X118">
        <f t="shared" si="15"/>
        <v>58194.599999999969</v>
      </c>
      <c r="Y118">
        <v>8.2743758707075106</v>
      </c>
    </row>
    <row r="119" spans="1:26" x14ac:dyDescent="0.25">
      <c r="A119">
        <v>6360</v>
      </c>
      <c r="B119">
        <v>26330</v>
      </c>
      <c r="C119" s="3">
        <v>43064</v>
      </c>
      <c r="E119">
        <v>2</v>
      </c>
      <c r="F119" s="48"/>
      <c r="G119">
        <v>4.4000000000000004</v>
      </c>
      <c r="H119">
        <v>3.5</v>
      </c>
      <c r="I119">
        <v>6</v>
      </c>
      <c r="J119">
        <f t="shared" si="12"/>
        <v>1176.8000000000004</v>
      </c>
      <c r="K119">
        <f t="shared" si="13"/>
        <v>1176.8000000000004</v>
      </c>
      <c r="M119">
        <v>0</v>
      </c>
      <c r="N119">
        <v>0.7</v>
      </c>
      <c r="O119">
        <f t="shared" si="9"/>
        <v>-0.7</v>
      </c>
      <c r="Q119">
        <v>93</v>
      </c>
      <c r="R119">
        <f t="shared" si="16"/>
        <v>0.98505747126436782</v>
      </c>
      <c r="S119">
        <f t="shared" si="10"/>
        <v>0.68954022988505748</v>
      </c>
      <c r="T119">
        <f t="shared" si="11"/>
        <v>-0.68954022988505748</v>
      </c>
      <c r="U119">
        <f t="shared" si="14"/>
        <v>120.80781609195401</v>
      </c>
      <c r="W119">
        <v>239.6</v>
      </c>
      <c r="X119">
        <f t="shared" si="15"/>
        <v>58434.199999999968</v>
      </c>
      <c r="Y119">
        <v>8.2370346843892062</v>
      </c>
    </row>
    <row r="120" spans="1:26" x14ac:dyDescent="0.25">
      <c r="A120">
        <v>6360</v>
      </c>
      <c r="B120">
        <v>26330</v>
      </c>
      <c r="C120" s="3">
        <v>43065</v>
      </c>
      <c r="E120">
        <v>3</v>
      </c>
      <c r="F120" s="48"/>
      <c r="G120">
        <v>4.2</v>
      </c>
      <c r="H120">
        <v>2.6</v>
      </c>
      <c r="I120">
        <v>7.3</v>
      </c>
      <c r="J120">
        <f t="shared" si="12"/>
        <v>1181.0000000000005</v>
      </c>
      <c r="K120">
        <f t="shared" si="13"/>
        <v>1181.0000000000005</v>
      </c>
      <c r="M120">
        <v>1.6</v>
      </c>
      <c r="N120">
        <v>1.1000000000000001</v>
      </c>
      <c r="O120">
        <f t="shared" si="9"/>
        <v>0.5</v>
      </c>
      <c r="Q120">
        <v>94</v>
      </c>
      <c r="R120">
        <f t="shared" si="16"/>
        <v>0.99252873563218391</v>
      </c>
      <c r="S120">
        <f t="shared" si="10"/>
        <v>1.0917816091954025</v>
      </c>
      <c r="T120">
        <f t="shared" si="11"/>
        <v>0.50821839080459763</v>
      </c>
      <c r="U120">
        <f t="shared" si="14"/>
        <v>121.31603448275861</v>
      </c>
      <c r="W120">
        <v>216.9</v>
      </c>
      <c r="X120">
        <f t="shared" si="15"/>
        <v>58651.099999999969</v>
      </c>
      <c r="Y120">
        <v>8.2008455521666637</v>
      </c>
    </row>
    <row r="121" spans="1:26" s="4" customFormat="1" ht="15.75" thickBot="1" x14ac:dyDescent="0.3">
      <c r="A121" s="4">
        <v>6360</v>
      </c>
      <c r="B121" s="4">
        <v>26330</v>
      </c>
      <c r="C121" s="5">
        <v>43066</v>
      </c>
      <c r="F121" s="49"/>
      <c r="G121" s="4">
        <v>7.9</v>
      </c>
      <c r="H121" s="4">
        <v>2.7</v>
      </c>
      <c r="I121" s="4">
        <v>9.9</v>
      </c>
      <c r="J121" s="4">
        <f t="shared" si="12"/>
        <v>1188.9000000000005</v>
      </c>
      <c r="K121" s="4">
        <f t="shared" si="13"/>
        <v>1188.9000000000005</v>
      </c>
      <c r="M121" s="4">
        <v>12.8</v>
      </c>
      <c r="N121" s="4">
        <v>0.1</v>
      </c>
      <c r="O121" s="4">
        <f t="shared" si="9"/>
        <v>12.700000000000001</v>
      </c>
      <c r="Q121" s="4">
        <v>95</v>
      </c>
      <c r="R121" s="4">
        <f t="shared" si="16"/>
        <v>1</v>
      </c>
      <c r="S121" s="4">
        <f t="shared" si="10"/>
        <v>0.1</v>
      </c>
      <c r="T121" s="4">
        <f t="shared" si="11"/>
        <v>12.700000000000001</v>
      </c>
      <c r="U121" s="4">
        <f t="shared" si="14"/>
        <v>134.01603448275861</v>
      </c>
      <c r="W121" s="4">
        <v>81.599999999999994</v>
      </c>
      <c r="X121" s="4">
        <f t="shared" si="15"/>
        <v>58732.699999999968</v>
      </c>
      <c r="Y121" s="4">
        <v>8.1658356921360422</v>
      </c>
    </row>
    <row r="122" spans="1:26" x14ac:dyDescent="0.25">
      <c r="A122">
        <v>6360</v>
      </c>
      <c r="B122">
        <v>26330</v>
      </c>
      <c r="C122" s="3">
        <v>43067</v>
      </c>
      <c r="D122" t="s">
        <v>31</v>
      </c>
      <c r="E122">
        <v>4</v>
      </c>
      <c r="F122" s="44" t="s">
        <v>58</v>
      </c>
      <c r="G122">
        <v>4.8</v>
      </c>
      <c r="H122">
        <v>3.9</v>
      </c>
      <c r="I122">
        <v>6.3</v>
      </c>
      <c r="J122">
        <f t="shared" si="12"/>
        <v>1193.7000000000005</v>
      </c>
      <c r="K122">
        <f>G122</f>
        <v>4.8</v>
      </c>
      <c r="L122" s="14" t="s">
        <v>37</v>
      </c>
      <c r="M122">
        <v>5.0999999999999996</v>
      </c>
      <c r="N122">
        <v>0.5</v>
      </c>
      <c r="O122">
        <f t="shared" si="9"/>
        <v>4.5999999999999996</v>
      </c>
      <c r="Q122">
        <v>96</v>
      </c>
      <c r="R122">
        <v>1</v>
      </c>
      <c r="S122">
        <f t="shared" si="10"/>
        <v>0.5</v>
      </c>
      <c r="T122">
        <f t="shared" si="11"/>
        <v>4.5999999999999996</v>
      </c>
      <c r="U122">
        <f t="shared" si="14"/>
        <v>138.61603448275861</v>
      </c>
      <c r="V122" s="15" t="s">
        <v>44</v>
      </c>
      <c r="W122">
        <v>151.69999999999999</v>
      </c>
      <c r="X122">
        <f>W122</f>
        <v>151.69999999999999</v>
      </c>
      <c r="Y122">
        <v>8.1320319949238495</v>
      </c>
      <c r="Z122" s="15" t="s">
        <v>49</v>
      </c>
    </row>
    <row r="123" spans="1:26" x14ac:dyDescent="0.25">
      <c r="A123">
        <v>6360</v>
      </c>
      <c r="B123">
        <v>26330</v>
      </c>
      <c r="C123" s="3">
        <v>43068</v>
      </c>
      <c r="E123">
        <v>5</v>
      </c>
      <c r="F123" s="45"/>
      <c r="G123">
        <v>4.4000000000000004</v>
      </c>
      <c r="H123">
        <v>2.6</v>
      </c>
      <c r="I123">
        <v>6.2</v>
      </c>
      <c r="J123">
        <f t="shared" si="12"/>
        <v>1198.1000000000006</v>
      </c>
      <c r="K123">
        <f t="shared" si="13"/>
        <v>9.1999999999999993</v>
      </c>
      <c r="L123" s="8">
        <v>443.7</v>
      </c>
      <c r="M123">
        <v>11.4</v>
      </c>
      <c r="N123">
        <v>0.5</v>
      </c>
      <c r="O123">
        <f t="shared" si="9"/>
        <v>10.9</v>
      </c>
      <c r="Q123">
        <v>97</v>
      </c>
      <c r="R123">
        <v>1</v>
      </c>
      <c r="S123">
        <f t="shared" si="10"/>
        <v>0.5</v>
      </c>
      <c r="T123">
        <f t="shared" si="11"/>
        <v>10.9</v>
      </c>
      <c r="U123">
        <f t="shared" si="14"/>
        <v>149.51603448275861</v>
      </c>
      <c r="V123">
        <v>0</v>
      </c>
      <c r="W123">
        <v>181</v>
      </c>
      <c r="X123">
        <f t="shared" si="15"/>
        <v>332.7</v>
      </c>
      <c r="Y123">
        <v>8.0994609578861265</v>
      </c>
      <c r="Z123">
        <v>31608.799999999999</v>
      </c>
    </row>
    <row r="124" spans="1:26" x14ac:dyDescent="0.25">
      <c r="A124">
        <v>6360</v>
      </c>
      <c r="B124">
        <v>26330</v>
      </c>
      <c r="C124" s="3">
        <v>43069</v>
      </c>
      <c r="E124">
        <v>6</v>
      </c>
      <c r="F124" s="45"/>
      <c r="G124">
        <v>3</v>
      </c>
      <c r="H124">
        <v>2.7</v>
      </c>
      <c r="I124">
        <v>3.3</v>
      </c>
      <c r="J124">
        <f t="shared" si="12"/>
        <v>1201.1000000000006</v>
      </c>
      <c r="K124">
        <f t="shared" si="13"/>
        <v>12.2</v>
      </c>
      <c r="L124" s="14" t="s">
        <v>38</v>
      </c>
      <c r="M124">
        <v>2.4</v>
      </c>
      <c r="N124">
        <v>0.5</v>
      </c>
      <c r="O124">
        <f t="shared" si="9"/>
        <v>1.9</v>
      </c>
      <c r="Q124">
        <v>98</v>
      </c>
      <c r="R124">
        <v>1</v>
      </c>
      <c r="S124">
        <f t="shared" si="10"/>
        <v>0.5</v>
      </c>
      <c r="T124">
        <f t="shared" si="11"/>
        <v>1.9</v>
      </c>
      <c r="U124">
        <f t="shared" si="14"/>
        <v>151.41603448275862</v>
      </c>
      <c r="V124" s="15" t="s">
        <v>45</v>
      </c>
      <c r="W124">
        <v>55.5</v>
      </c>
      <c r="X124">
        <f t="shared" si="15"/>
        <v>388.2</v>
      </c>
      <c r="Y124">
        <v>8.0681486178330886</v>
      </c>
      <c r="Z124" s="15" t="s">
        <v>50</v>
      </c>
    </row>
    <row r="125" spans="1:26" x14ac:dyDescent="0.25">
      <c r="A125">
        <v>6360</v>
      </c>
      <c r="B125">
        <v>26330</v>
      </c>
      <c r="C125" s="3">
        <v>43070</v>
      </c>
      <c r="E125">
        <v>7</v>
      </c>
      <c r="F125" s="45"/>
      <c r="G125">
        <v>2.2000000000000002</v>
      </c>
      <c r="H125">
        <v>0.5</v>
      </c>
      <c r="I125">
        <v>4</v>
      </c>
      <c r="J125">
        <f t="shared" si="12"/>
        <v>1203.3000000000006</v>
      </c>
      <c r="K125">
        <f t="shared" si="13"/>
        <v>14.399999999999999</v>
      </c>
      <c r="L125" s="9">
        <f>AVERAGE(G122:G218)</f>
        <v>4.391752577319588</v>
      </c>
      <c r="M125">
        <v>0.5</v>
      </c>
      <c r="N125">
        <v>0.5</v>
      </c>
      <c r="O125">
        <f t="shared" si="9"/>
        <v>0</v>
      </c>
      <c r="Q125">
        <v>99</v>
      </c>
      <c r="R125">
        <v>1</v>
      </c>
      <c r="S125">
        <f t="shared" si="10"/>
        <v>0.5</v>
      </c>
      <c r="T125">
        <f t="shared" si="11"/>
        <v>0</v>
      </c>
      <c r="U125">
        <f t="shared" si="14"/>
        <v>151.41603448275862</v>
      </c>
      <c r="V125">
        <v>0</v>
      </c>
      <c r="W125">
        <v>423.2</v>
      </c>
      <c r="X125">
        <f t="shared" si="15"/>
        <v>811.4</v>
      </c>
      <c r="Y125">
        <v>8.0381204825592398</v>
      </c>
      <c r="Z125">
        <f>(Z123/100)/L123</f>
        <v>0.71239125535271575</v>
      </c>
    </row>
    <row r="126" spans="1:26" x14ac:dyDescent="0.25">
      <c r="A126">
        <v>6360</v>
      </c>
      <c r="B126">
        <v>26330</v>
      </c>
      <c r="C126" s="3">
        <v>43071</v>
      </c>
      <c r="E126">
        <v>8</v>
      </c>
      <c r="F126" s="45"/>
      <c r="G126">
        <v>-0.1</v>
      </c>
      <c r="H126">
        <v>-0.4</v>
      </c>
      <c r="I126">
        <v>1.3</v>
      </c>
      <c r="J126">
        <v>1203.3</v>
      </c>
      <c r="K126">
        <v>14.4</v>
      </c>
      <c r="L126" s="14" t="s">
        <v>39</v>
      </c>
      <c r="M126">
        <v>0.1</v>
      </c>
      <c r="N126">
        <v>0.3</v>
      </c>
      <c r="O126">
        <f t="shared" si="9"/>
        <v>-0.19999999999999998</v>
      </c>
      <c r="Q126">
        <v>100</v>
      </c>
      <c r="R126">
        <v>1</v>
      </c>
      <c r="S126">
        <f t="shared" si="10"/>
        <v>0.3</v>
      </c>
      <c r="T126">
        <f t="shared" si="11"/>
        <v>-0.19999999999999998</v>
      </c>
      <c r="U126">
        <f t="shared" si="14"/>
        <v>151.21603448275863</v>
      </c>
      <c r="V126" s="15" t="s">
        <v>46</v>
      </c>
      <c r="W126">
        <v>103.9</v>
      </c>
      <c r="X126">
        <f t="shared" si="15"/>
        <v>915.3</v>
      </c>
      <c r="Y126">
        <v>8.0094014614851528</v>
      </c>
      <c r="Z126" s="15" t="s">
        <v>51</v>
      </c>
    </row>
    <row r="127" spans="1:26" x14ac:dyDescent="0.25">
      <c r="A127">
        <v>6360</v>
      </c>
      <c r="B127">
        <v>26330</v>
      </c>
      <c r="C127" s="3">
        <v>43072</v>
      </c>
      <c r="E127">
        <v>9</v>
      </c>
      <c r="F127" s="45"/>
      <c r="G127">
        <v>4</v>
      </c>
      <c r="H127">
        <v>-1</v>
      </c>
      <c r="I127">
        <v>6.4</v>
      </c>
      <c r="J127">
        <f t="shared" si="12"/>
        <v>1207.3</v>
      </c>
      <c r="K127">
        <f t="shared" si="13"/>
        <v>18.399999999999999</v>
      </c>
      <c r="L127" s="10">
        <f>MIN(H122:H218)</f>
        <v>-7.4</v>
      </c>
      <c r="M127">
        <v>0.6</v>
      </c>
      <c r="N127">
        <v>0.2</v>
      </c>
      <c r="O127">
        <f t="shared" si="9"/>
        <v>0.39999999999999997</v>
      </c>
      <c r="Q127">
        <v>101</v>
      </c>
      <c r="R127">
        <v>1</v>
      </c>
      <c r="S127">
        <f t="shared" si="10"/>
        <v>0.2</v>
      </c>
      <c r="T127">
        <f t="shared" si="11"/>
        <v>0.39999999999999997</v>
      </c>
      <c r="U127">
        <f t="shared" si="14"/>
        <v>151.61603448275864</v>
      </c>
      <c r="V127" s="12">
        <f>MIN(U122:U218)</f>
        <v>135.29999999999998</v>
      </c>
      <c r="W127">
        <v>92.6</v>
      </c>
      <c r="X127">
        <f t="shared" si="15"/>
        <v>1007.9</v>
      </c>
      <c r="Y127">
        <v>7.9820157957417326</v>
      </c>
      <c r="Z127">
        <v>89</v>
      </c>
    </row>
    <row r="128" spans="1:26" x14ac:dyDescent="0.25">
      <c r="A128">
        <v>6360</v>
      </c>
      <c r="B128">
        <v>26330</v>
      </c>
      <c r="C128" s="3">
        <v>43073</v>
      </c>
      <c r="F128" s="45"/>
      <c r="G128">
        <v>5.3</v>
      </c>
      <c r="H128">
        <v>3.7</v>
      </c>
      <c r="I128">
        <v>6.9</v>
      </c>
      <c r="J128">
        <f t="shared" si="12"/>
        <v>1212.5999999999999</v>
      </c>
      <c r="K128">
        <f t="shared" si="13"/>
        <v>23.7</v>
      </c>
      <c r="L128" s="14" t="s">
        <v>40</v>
      </c>
      <c r="M128">
        <v>0</v>
      </c>
      <c r="N128">
        <v>0.5</v>
      </c>
      <c r="O128">
        <f t="shared" si="9"/>
        <v>-0.5</v>
      </c>
      <c r="Q128">
        <v>102</v>
      </c>
      <c r="R128">
        <v>1</v>
      </c>
      <c r="S128">
        <f t="shared" si="10"/>
        <v>0.5</v>
      </c>
      <c r="T128">
        <f t="shared" si="11"/>
        <v>-0.5</v>
      </c>
      <c r="U128">
        <f t="shared" si="14"/>
        <v>151.11603448275864</v>
      </c>
      <c r="V128" s="15" t="s">
        <v>47</v>
      </c>
      <c r="W128">
        <v>183.8</v>
      </c>
      <c r="X128">
        <f t="shared" si="15"/>
        <v>1191.7</v>
      </c>
      <c r="Y128">
        <v>7.9559869880508387</v>
      </c>
      <c r="Z128" t="s">
        <v>52</v>
      </c>
    </row>
    <row r="129" spans="1:26" x14ac:dyDescent="0.25">
      <c r="A129">
        <v>6360</v>
      </c>
      <c r="B129">
        <v>26330</v>
      </c>
      <c r="C129" s="3">
        <v>43074</v>
      </c>
      <c r="F129" s="45"/>
      <c r="G129">
        <v>6.9</v>
      </c>
      <c r="H129">
        <v>4.7</v>
      </c>
      <c r="I129">
        <v>8.1</v>
      </c>
      <c r="J129">
        <f t="shared" si="12"/>
        <v>1219.5</v>
      </c>
      <c r="K129">
        <f t="shared" si="13"/>
        <v>30.6</v>
      </c>
      <c r="L129" s="8">
        <f>MAX(I122:I218)</f>
        <v>13.7</v>
      </c>
      <c r="M129">
        <v>0.1</v>
      </c>
      <c r="N129">
        <v>0.6</v>
      </c>
      <c r="O129">
        <f t="shared" si="9"/>
        <v>-0.5</v>
      </c>
      <c r="Q129">
        <v>103</v>
      </c>
      <c r="R129">
        <v>1</v>
      </c>
      <c r="S129">
        <f t="shared" si="10"/>
        <v>0.6</v>
      </c>
      <c r="T129">
        <f t="shared" si="11"/>
        <v>-0.5</v>
      </c>
      <c r="U129">
        <f t="shared" si="14"/>
        <v>150.61603448275864</v>
      </c>
      <c r="V129" s="12">
        <f>MAX(U122:U218)</f>
        <v>153.6</v>
      </c>
      <c r="W129">
        <v>124.9</v>
      </c>
      <c r="X129">
        <f t="shared" si="15"/>
        <v>1316.6000000000001</v>
      </c>
      <c r="Y129">
        <v>7.9313377327770436</v>
      </c>
      <c r="Z129">
        <v>31</v>
      </c>
    </row>
    <row r="130" spans="1:26" x14ac:dyDescent="0.25">
      <c r="A130">
        <v>6360</v>
      </c>
      <c r="B130">
        <v>26330</v>
      </c>
      <c r="C130" s="3">
        <v>43075</v>
      </c>
      <c r="F130" s="45"/>
      <c r="G130">
        <v>6.9</v>
      </c>
      <c r="H130">
        <v>6.1</v>
      </c>
      <c r="I130">
        <v>8</v>
      </c>
      <c r="J130">
        <f t="shared" si="12"/>
        <v>1226.4000000000001</v>
      </c>
      <c r="K130">
        <f t="shared" si="13"/>
        <v>37.5</v>
      </c>
      <c r="L130" s="14" t="s">
        <v>41</v>
      </c>
      <c r="M130">
        <v>0.1</v>
      </c>
      <c r="N130">
        <v>0.8</v>
      </c>
      <c r="O130">
        <f t="shared" si="9"/>
        <v>-0.70000000000000007</v>
      </c>
      <c r="Q130">
        <v>104</v>
      </c>
      <c r="R130">
        <v>1</v>
      </c>
      <c r="S130">
        <f t="shared" si="10"/>
        <v>0.8</v>
      </c>
      <c r="T130">
        <f t="shared" si="11"/>
        <v>-0.70000000000000007</v>
      </c>
      <c r="U130">
        <f t="shared" si="14"/>
        <v>149.91603448275865</v>
      </c>
      <c r="V130" s="15" t="s">
        <v>48</v>
      </c>
      <c r="W130">
        <v>59.4</v>
      </c>
      <c r="X130">
        <f t="shared" si="15"/>
        <v>1376.0000000000002</v>
      </c>
      <c r="Y130">
        <v>7.9080898465434402</v>
      </c>
    </row>
    <row r="131" spans="1:26" x14ac:dyDescent="0.25">
      <c r="A131">
        <v>6360</v>
      </c>
      <c r="B131">
        <v>26330</v>
      </c>
      <c r="C131" s="3">
        <v>43076</v>
      </c>
      <c r="F131" s="45"/>
      <c r="G131">
        <v>5.7</v>
      </c>
      <c r="H131">
        <v>4.4000000000000004</v>
      </c>
      <c r="I131">
        <v>6.7</v>
      </c>
      <c r="J131">
        <f t="shared" si="12"/>
        <v>1232.1000000000001</v>
      </c>
      <c r="K131">
        <f t="shared" si="13"/>
        <v>43.2</v>
      </c>
      <c r="L131" s="8">
        <v>0</v>
      </c>
      <c r="M131">
        <v>3.2</v>
      </c>
      <c r="N131">
        <v>0.8</v>
      </c>
      <c r="O131">
        <f t="shared" si="9"/>
        <v>2.4000000000000004</v>
      </c>
      <c r="Q131">
        <v>105</v>
      </c>
      <c r="R131">
        <v>1</v>
      </c>
      <c r="S131">
        <f t="shared" si="10"/>
        <v>0.8</v>
      </c>
      <c r="T131">
        <f t="shared" si="11"/>
        <v>2.4000000000000004</v>
      </c>
      <c r="U131">
        <f t="shared" si="14"/>
        <v>152.31603448275865</v>
      </c>
      <c r="V131" s="12">
        <f>AVERAGE(U122:U218)</f>
        <v>150.64115890508359</v>
      </c>
      <c r="W131">
        <v>202.9</v>
      </c>
      <c r="X131">
        <f t="shared" si="15"/>
        <v>1578.9000000000003</v>
      </c>
      <c r="Y131">
        <v>7.886264199819669</v>
      </c>
    </row>
    <row r="132" spans="1:26" x14ac:dyDescent="0.25">
      <c r="A132">
        <v>6360</v>
      </c>
      <c r="B132">
        <v>26330</v>
      </c>
      <c r="C132" s="3">
        <v>43077</v>
      </c>
      <c r="E132">
        <v>10</v>
      </c>
      <c r="F132" s="45"/>
      <c r="G132">
        <v>2.9</v>
      </c>
      <c r="H132">
        <v>2</v>
      </c>
      <c r="I132">
        <v>4.7</v>
      </c>
      <c r="J132">
        <f t="shared" si="12"/>
        <v>1235.0000000000002</v>
      </c>
      <c r="K132">
        <f t="shared" si="13"/>
        <v>46.1</v>
      </c>
      <c r="L132" s="14" t="s">
        <v>42</v>
      </c>
      <c r="M132">
        <v>0</v>
      </c>
      <c r="N132">
        <v>1.2</v>
      </c>
      <c r="O132">
        <f t="shared" si="9"/>
        <v>-1.2</v>
      </c>
      <c r="Q132">
        <v>106</v>
      </c>
      <c r="R132">
        <v>1</v>
      </c>
      <c r="S132">
        <f t="shared" si="10"/>
        <v>1.2</v>
      </c>
      <c r="T132">
        <f t="shared" si="11"/>
        <v>-1.2</v>
      </c>
      <c r="U132">
        <f t="shared" si="14"/>
        <v>151.11603448275866</v>
      </c>
      <c r="W132">
        <v>126.1</v>
      </c>
      <c r="X132">
        <f t="shared" si="15"/>
        <v>1705.0000000000002</v>
      </c>
      <c r="Y132">
        <v>7.8658806499019125</v>
      </c>
    </row>
    <row r="133" spans="1:26" x14ac:dyDescent="0.25">
      <c r="A133">
        <v>6360</v>
      </c>
      <c r="B133">
        <v>26330</v>
      </c>
      <c r="C133" s="3">
        <v>43078</v>
      </c>
      <c r="E133">
        <v>11</v>
      </c>
      <c r="F133" s="45"/>
      <c r="G133">
        <v>1.4</v>
      </c>
      <c r="H133">
        <v>0.2</v>
      </c>
      <c r="I133">
        <v>3.3</v>
      </c>
      <c r="J133">
        <f t="shared" si="12"/>
        <v>1236.4000000000003</v>
      </c>
      <c r="K133">
        <f t="shared" si="13"/>
        <v>47.5</v>
      </c>
      <c r="L133" s="8">
        <v>56</v>
      </c>
      <c r="M133">
        <v>1.5</v>
      </c>
      <c r="N133">
        <v>0.7</v>
      </c>
      <c r="O133">
        <f t="shared" ref="O133:O196" si="17">M133-N133</f>
        <v>0.8</v>
      </c>
      <c r="Q133">
        <v>107</v>
      </c>
      <c r="R133">
        <v>1</v>
      </c>
      <c r="S133">
        <f t="shared" ref="S133:S196" si="18">R133*N133</f>
        <v>0.7</v>
      </c>
      <c r="T133">
        <f t="shared" ref="T133:T196" si="19">M133-S133</f>
        <v>0.8</v>
      </c>
      <c r="U133">
        <f t="shared" si="14"/>
        <v>151.91603448275868</v>
      </c>
      <c r="V133" s="13">
        <f>(V131*100)/153.6</f>
        <v>98.073671162163805</v>
      </c>
      <c r="W133">
        <v>451</v>
      </c>
      <c r="X133">
        <f t="shared" si="15"/>
        <v>2156</v>
      </c>
      <c r="Y133">
        <v>7.8469579757123844</v>
      </c>
    </row>
    <row r="134" spans="1:26" x14ac:dyDescent="0.25">
      <c r="A134">
        <v>6360</v>
      </c>
      <c r="B134">
        <v>26330</v>
      </c>
      <c r="C134" s="3">
        <v>43079</v>
      </c>
      <c r="E134">
        <v>12</v>
      </c>
      <c r="F134" s="45"/>
      <c r="G134">
        <v>3.7</v>
      </c>
      <c r="H134">
        <v>1.1000000000000001</v>
      </c>
      <c r="I134">
        <v>7.4</v>
      </c>
      <c r="J134">
        <f t="shared" si="12"/>
        <v>1240.1000000000004</v>
      </c>
      <c r="K134">
        <f t="shared" si="13"/>
        <v>51.2</v>
      </c>
      <c r="L134" s="14" t="s">
        <v>43</v>
      </c>
      <c r="M134">
        <v>13.3</v>
      </c>
      <c r="N134">
        <v>0.9</v>
      </c>
      <c r="O134">
        <f t="shared" si="17"/>
        <v>12.4</v>
      </c>
      <c r="Q134">
        <v>108</v>
      </c>
      <c r="R134">
        <v>1</v>
      </c>
      <c r="S134">
        <f t="shared" si="18"/>
        <v>0.9</v>
      </c>
      <c r="T134">
        <f t="shared" si="19"/>
        <v>12.4</v>
      </c>
      <c r="U134">
        <f t="shared" si="14"/>
        <v>153.6</v>
      </c>
      <c r="W134">
        <v>93.8</v>
      </c>
      <c r="X134">
        <f t="shared" si="15"/>
        <v>2249.8000000000002</v>
      </c>
      <c r="Y134">
        <v>7.8295138148493519</v>
      </c>
    </row>
    <row r="135" spans="1:26" x14ac:dyDescent="0.25">
      <c r="A135">
        <v>6360</v>
      </c>
      <c r="B135">
        <v>26330</v>
      </c>
      <c r="C135" s="3">
        <v>43080</v>
      </c>
      <c r="E135">
        <v>13</v>
      </c>
      <c r="F135" s="45"/>
      <c r="G135">
        <v>1.8</v>
      </c>
      <c r="H135">
        <v>0.4</v>
      </c>
      <c r="I135">
        <v>2.6</v>
      </c>
      <c r="J135">
        <f t="shared" si="12"/>
        <v>1241.9000000000003</v>
      </c>
      <c r="K135">
        <f t="shared" si="13"/>
        <v>53</v>
      </c>
      <c r="L135" s="8">
        <v>18</v>
      </c>
      <c r="M135">
        <v>19.100000000000001</v>
      </c>
      <c r="N135">
        <v>0.2</v>
      </c>
      <c r="O135">
        <f t="shared" si="17"/>
        <v>18.900000000000002</v>
      </c>
      <c r="Q135">
        <v>109</v>
      </c>
      <c r="R135">
        <v>1</v>
      </c>
      <c r="S135">
        <f t="shared" si="18"/>
        <v>0.2</v>
      </c>
      <c r="T135">
        <f t="shared" si="19"/>
        <v>18.900000000000002</v>
      </c>
      <c r="U135">
        <f t="shared" si="14"/>
        <v>153.6</v>
      </c>
      <c r="W135">
        <v>54.2</v>
      </c>
      <c r="X135">
        <f t="shared" si="15"/>
        <v>2304</v>
      </c>
      <c r="Y135">
        <v>7.8135646033176824</v>
      </c>
    </row>
    <row r="136" spans="1:26" x14ac:dyDescent="0.25">
      <c r="A136">
        <v>6360</v>
      </c>
      <c r="B136">
        <v>26330</v>
      </c>
      <c r="C136" s="3">
        <v>43081</v>
      </c>
      <c r="E136">
        <v>14</v>
      </c>
      <c r="F136" s="45"/>
      <c r="G136">
        <v>2.2000000000000002</v>
      </c>
      <c r="H136">
        <v>1</v>
      </c>
      <c r="I136">
        <v>4.2</v>
      </c>
      <c r="J136">
        <f t="shared" si="12"/>
        <v>1244.1000000000004</v>
      </c>
      <c r="K136">
        <f t="shared" si="13"/>
        <v>55.2</v>
      </c>
      <c r="M136">
        <v>2.4</v>
      </c>
      <c r="N136">
        <v>0.6</v>
      </c>
      <c r="O136">
        <f t="shared" si="17"/>
        <v>1.7999999999999998</v>
      </c>
      <c r="Q136">
        <v>110</v>
      </c>
      <c r="R136">
        <v>1</v>
      </c>
      <c r="S136">
        <f t="shared" si="18"/>
        <v>0.6</v>
      </c>
      <c r="T136">
        <f t="shared" si="19"/>
        <v>1.7999999999999998</v>
      </c>
      <c r="U136">
        <f t="shared" si="14"/>
        <v>153.6</v>
      </c>
      <c r="W136">
        <v>180.7</v>
      </c>
      <c r="X136">
        <f t="shared" si="15"/>
        <v>2484.6999999999998</v>
      </c>
      <c r="Y136">
        <v>7.7991255183639918</v>
      </c>
    </row>
    <row r="137" spans="1:26" x14ac:dyDescent="0.25">
      <c r="A137">
        <v>6360</v>
      </c>
      <c r="B137">
        <v>26330</v>
      </c>
      <c r="C137" s="3">
        <v>43082</v>
      </c>
      <c r="F137" s="45"/>
      <c r="G137">
        <v>6</v>
      </c>
      <c r="H137">
        <v>1.2</v>
      </c>
      <c r="I137">
        <v>8.5</v>
      </c>
      <c r="J137">
        <f t="shared" si="12"/>
        <v>1250.1000000000004</v>
      </c>
      <c r="K137">
        <f t="shared" si="13"/>
        <v>61.2</v>
      </c>
      <c r="M137">
        <v>13.2</v>
      </c>
      <c r="N137">
        <v>0.2</v>
      </c>
      <c r="O137">
        <f t="shared" si="17"/>
        <v>13</v>
      </c>
      <c r="Q137">
        <v>111</v>
      </c>
      <c r="R137">
        <v>1</v>
      </c>
      <c r="S137">
        <f t="shared" si="18"/>
        <v>0.2</v>
      </c>
      <c r="T137">
        <f t="shared" si="19"/>
        <v>13</v>
      </c>
      <c r="U137">
        <f t="shared" si="14"/>
        <v>153.6</v>
      </c>
      <c r="W137">
        <v>65</v>
      </c>
      <c r="X137">
        <f t="shared" si="15"/>
        <v>2549.6999999999998</v>
      </c>
      <c r="Y137">
        <v>7.7862104248298403</v>
      </c>
    </row>
    <row r="138" spans="1:26" x14ac:dyDescent="0.25">
      <c r="A138">
        <v>6360</v>
      </c>
      <c r="B138">
        <v>26330</v>
      </c>
      <c r="C138" s="3">
        <v>43083</v>
      </c>
      <c r="E138">
        <v>15</v>
      </c>
      <c r="F138" s="45"/>
      <c r="G138">
        <v>4.0999999999999996</v>
      </c>
      <c r="H138">
        <v>2.8</v>
      </c>
      <c r="I138">
        <v>5.6</v>
      </c>
      <c r="J138">
        <f t="shared" si="12"/>
        <v>1254.2000000000003</v>
      </c>
      <c r="K138">
        <f t="shared" si="13"/>
        <v>65.3</v>
      </c>
      <c r="M138">
        <v>3.9</v>
      </c>
      <c r="N138">
        <v>0.7</v>
      </c>
      <c r="O138">
        <f t="shared" si="17"/>
        <v>3.2</v>
      </c>
      <c r="Q138">
        <v>112</v>
      </c>
      <c r="R138">
        <v>1</v>
      </c>
      <c r="S138">
        <f t="shared" si="18"/>
        <v>0.7</v>
      </c>
      <c r="T138">
        <f t="shared" si="19"/>
        <v>3.2</v>
      </c>
      <c r="U138">
        <f t="shared" si="14"/>
        <v>153.6</v>
      </c>
      <c r="W138">
        <v>161.30000000000001</v>
      </c>
      <c r="X138">
        <f t="shared" si="15"/>
        <v>2711</v>
      </c>
      <c r="Y138">
        <v>7.7748318254204767</v>
      </c>
    </row>
    <row r="139" spans="1:26" x14ac:dyDescent="0.25">
      <c r="A139">
        <v>6360</v>
      </c>
      <c r="B139">
        <v>26330</v>
      </c>
      <c r="C139" s="3">
        <v>43084</v>
      </c>
      <c r="E139">
        <v>16</v>
      </c>
      <c r="F139" s="45"/>
      <c r="G139">
        <v>3.6</v>
      </c>
      <c r="H139">
        <v>1.7</v>
      </c>
      <c r="I139">
        <v>4.9000000000000004</v>
      </c>
      <c r="J139">
        <f t="shared" si="12"/>
        <v>1257.8000000000002</v>
      </c>
      <c r="K139">
        <f t="shared" si="13"/>
        <v>68.899999999999991</v>
      </c>
      <c r="M139">
        <v>9.3000000000000007</v>
      </c>
      <c r="N139">
        <v>0.3</v>
      </c>
      <c r="O139">
        <f t="shared" si="17"/>
        <v>9</v>
      </c>
      <c r="Q139">
        <v>113</v>
      </c>
      <c r="R139">
        <v>1</v>
      </c>
      <c r="S139">
        <f t="shared" si="18"/>
        <v>0.3</v>
      </c>
      <c r="T139">
        <f t="shared" si="19"/>
        <v>9</v>
      </c>
      <c r="U139">
        <f t="shared" si="14"/>
        <v>153.6</v>
      </c>
      <c r="W139">
        <v>96.9</v>
      </c>
      <c r="X139">
        <f t="shared" si="15"/>
        <v>2807.9</v>
      </c>
      <c r="Y139">
        <v>7.7650008152658954</v>
      </c>
    </row>
    <row r="140" spans="1:26" x14ac:dyDescent="0.25">
      <c r="A140">
        <v>6360</v>
      </c>
      <c r="B140">
        <v>26330</v>
      </c>
      <c r="C140" s="3">
        <v>43085</v>
      </c>
      <c r="E140">
        <v>17</v>
      </c>
      <c r="F140" s="45"/>
      <c r="G140">
        <v>3.4</v>
      </c>
      <c r="H140">
        <v>1.2</v>
      </c>
      <c r="I140">
        <v>4.8</v>
      </c>
      <c r="J140">
        <f t="shared" si="12"/>
        <v>1261.2000000000003</v>
      </c>
      <c r="K140">
        <f t="shared" si="13"/>
        <v>72.3</v>
      </c>
      <c r="M140">
        <v>0</v>
      </c>
      <c r="N140">
        <v>0.4</v>
      </c>
      <c r="O140">
        <f t="shared" si="17"/>
        <v>-0.4</v>
      </c>
      <c r="Q140">
        <v>114</v>
      </c>
      <c r="R140">
        <v>1</v>
      </c>
      <c r="S140">
        <f t="shared" si="18"/>
        <v>0.4</v>
      </c>
      <c r="T140">
        <f t="shared" si="19"/>
        <v>-0.4</v>
      </c>
      <c r="U140">
        <f t="shared" si="14"/>
        <v>153.19999999999999</v>
      </c>
      <c r="W140">
        <v>128.69999999999999</v>
      </c>
      <c r="X140">
        <f t="shared" si="15"/>
        <v>2936.6</v>
      </c>
      <c r="Y140">
        <v>7.7567270411252149</v>
      </c>
    </row>
    <row r="141" spans="1:26" x14ac:dyDescent="0.25">
      <c r="A141">
        <v>6360</v>
      </c>
      <c r="B141">
        <v>26330</v>
      </c>
      <c r="C141" s="3">
        <v>43086</v>
      </c>
      <c r="E141">
        <v>18</v>
      </c>
      <c r="F141" s="45"/>
      <c r="G141">
        <v>3.6</v>
      </c>
      <c r="H141">
        <v>0.6</v>
      </c>
      <c r="I141">
        <v>8.6</v>
      </c>
      <c r="J141">
        <f t="shared" si="12"/>
        <v>1264.8000000000002</v>
      </c>
      <c r="K141">
        <f t="shared" si="13"/>
        <v>75.899999999999991</v>
      </c>
      <c r="M141">
        <v>2.1</v>
      </c>
      <c r="N141">
        <v>0.8</v>
      </c>
      <c r="O141">
        <f t="shared" si="17"/>
        <v>1.3</v>
      </c>
      <c r="Q141">
        <v>115</v>
      </c>
      <c r="R141">
        <v>1</v>
      </c>
      <c r="S141">
        <f t="shared" si="18"/>
        <v>0.8</v>
      </c>
      <c r="T141">
        <f t="shared" si="19"/>
        <v>1.3</v>
      </c>
      <c r="U141">
        <f t="shared" si="14"/>
        <v>153.6</v>
      </c>
      <c r="W141">
        <v>377.1</v>
      </c>
      <c r="X141">
        <f t="shared" si="15"/>
        <v>3313.7</v>
      </c>
      <c r="Y141">
        <v>7.7500186655550829</v>
      </c>
    </row>
    <row r="142" spans="1:26" x14ac:dyDescent="0.25">
      <c r="A142">
        <v>6360</v>
      </c>
      <c r="B142">
        <v>26330</v>
      </c>
      <c r="C142" s="3">
        <v>43087</v>
      </c>
      <c r="F142" s="45"/>
      <c r="G142">
        <v>6.6</v>
      </c>
      <c r="H142">
        <v>4.8</v>
      </c>
      <c r="I142">
        <v>8.4</v>
      </c>
      <c r="J142">
        <f t="shared" si="12"/>
        <v>1271.4000000000001</v>
      </c>
      <c r="K142">
        <f t="shared" si="13"/>
        <v>82.499999999999986</v>
      </c>
      <c r="M142">
        <v>0</v>
      </c>
      <c r="N142">
        <v>0.7</v>
      </c>
      <c r="O142">
        <f t="shared" si="17"/>
        <v>-0.7</v>
      </c>
      <c r="Q142">
        <v>116</v>
      </c>
      <c r="R142">
        <v>1</v>
      </c>
      <c r="S142">
        <f t="shared" si="18"/>
        <v>0.7</v>
      </c>
      <c r="T142">
        <f t="shared" si="19"/>
        <v>-0.7</v>
      </c>
      <c r="U142">
        <f t="shared" si="14"/>
        <v>152.9</v>
      </c>
      <c r="W142">
        <v>281.2</v>
      </c>
      <c r="X142">
        <f t="shared" si="15"/>
        <v>3594.8999999999996</v>
      </c>
      <c r="Y142">
        <v>7.7448823363278922</v>
      </c>
    </row>
    <row r="143" spans="1:26" x14ac:dyDescent="0.25">
      <c r="A143">
        <v>6360</v>
      </c>
      <c r="B143">
        <v>26330</v>
      </c>
      <c r="C143" s="3">
        <v>43088</v>
      </c>
      <c r="E143">
        <v>19</v>
      </c>
      <c r="F143" s="45"/>
      <c r="G143">
        <v>4.5</v>
      </c>
      <c r="H143">
        <v>2</v>
      </c>
      <c r="I143">
        <v>7.3</v>
      </c>
      <c r="J143">
        <f t="shared" si="12"/>
        <v>1275.9000000000001</v>
      </c>
      <c r="K143">
        <f t="shared" si="13"/>
        <v>86.999999999999986</v>
      </c>
      <c r="M143">
        <v>0</v>
      </c>
      <c r="N143">
        <v>0.6</v>
      </c>
      <c r="O143">
        <f t="shared" si="17"/>
        <v>-0.6</v>
      </c>
      <c r="Q143">
        <v>117</v>
      </c>
      <c r="R143">
        <v>1</v>
      </c>
      <c r="S143">
        <f t="shared" si="18"/>
        <v>0.6</v>
      </c>
      <c r="T143">
        <f t="shared" si="19"/>
        <v>-0.6</v>
      </c>
      <c r="U143">
        <f t="shared" si="14"/>
        <v>152.30000000000001</v>
      </c>
      <c r="W143">
        <v>251.3</v>
      </c>
      <c r="X143">
        <f t="shared" si="15"/>
        <v>3846.2</v>
      </c>
      <c r="Y143">
        <v>7.7413231613469184</v>
      </c>
    </row>
    <row r="144" spans="1:26" x14ac:dyDescent="0.25">
      <c r="A144">
        <v>6360</v>
      </c>
      <c r="B144">
        <v>26330</v>
      </c>
      <c r="C144" s="3">
        <v>43089</v>
      </c>
      <c r="F144" s="45"/>
      <c r="G144">
        <v>8</v>
      </c>
      <c r="H144">
        <v>4.5999999999999996</v>
      </c>
      <c r="I144">
        <v>9.1999999999999993</v>
      </c>
      <c r="J144">
        <f t="shared" si="12"/>
        <v>1283.9000000000001</v>
      </c>
      <c r="K144">
        <f t="shared" si="13"/>
        <v>94.999999999999986</v>
      </c>
      <c r="M144">
        <v>0.5</v>
      </c>
      <c r="N144">
        <v>0.2</v>
      </c>
      <c r="O144">
        <f t="shared" si="17"/>
        <v>0.3</v>
      </c>
      <c r="Q144">
        <v>118</v>
      </c>
      <c r="R144">
        <v>1</v>
      </c>
      <c r="S144">
        <f t="shared" si="18"/>
        <v>0.2</v>
      </c>
      <c r="T144">
        <f t="shared" si="19"/>
        <v>0.3</v>
      </c>
      <c r="U144">
        <f t="shared" si="14"/>
        <v>152.60000000000002</v>
      </c>
      <c r="W144">
        <v>87.3</v>
      </c>
      <c r="X144">
        <f t="shared" si="15"/>
        <v>3933.5</v>
      </c>
      <c r="Y144">
        <v>7.7393446892631399</v>
      </c>
    </row>
    <row r="145" spans="1:25" x14ac:dyDescent="0.25">
      <c r="A145">
        <v>6360</v>
      </c>
      <c r="B145">
        <v>26330</v>
      </c>
      <c r="C145" s="3">
        <v>43090</v>
      </c>
      <c r="F145" s="45"/>
      <c r="G145">
        <v>9.9</v>
      </c>
      <c r="H145">
        <v>8.1999999999999993</v>
      </c>
      <c r="I145">
        <v>10.6</v>
      </c>
      <c r="J145">
        <f t="shared" si="12"/>
        <v>1293.8000000000002</v>
      </c>
      <c r="K145">
        <f t="shared" si="13"/>
        <v>104.89999999999999</v>
      </c>
      <c r="M145">
        <v>0.7</v>
      </c>
      <c r="N145">
        <v>0.3</v>
      </c>
      <c r="O145">
        <f t="shared" si="17"/>
        <v>0.39999999999999997</v>
      </c>
      <c r="Q145">
        <v>119</v>
      </c>
      <c r="R145">
        <v>1</v>
      </c>
      <c r="S145">
        <f t="shared" si="18"/>
        <v>0.3</v>
      </c>
      <c r="T145">
        <f t="shared" si="19"/>
        <v>0.39999999999999997</v>
      </c>
      <c r="U145">
        <f t="shared" si="14"/>
        <v>153.00000000000003</v>
      </c>
      <c r="W145">
        <v>54.8</v>
      </c>
      <c r="X145">
        <f t="shared" si="15"/>
        <v>3988.3</v>
      </c>
      <c r="Y145">
        <v>7.7389488959532482</v>
      </c>
    </row>
    <row r="146" spans="1:25" x14ac:dyDescent="0.25">
      <c r="A146">
        <v>6360</v>
      </c>
      <c r="B146">
        <v>26330</v>
      </c>
      <c r="C146" s="3">
        <v>43091</v>
      </c>
      <c r="F146" s="45"/>
      <c r="G146">
        <v>9.3000000000000007</v>
      </c>
      <c r="H146">
        <v>9</v>
      </c>
      <c r="I146">
        <v>9.9</v>
      </c>
      <c r="J146">
        <f t="shared" si="12"/>
        <v>1303.1000000000001</v>
      </c>
      <c r="K146">
        <f t="shared" si="13"/>
        <v>114.19999999999999</v>
      </c>
      <c r="M146">
        <v>0.2</v>
      </c>
      <c r="N146">
        <v>0.4</v>
      </c>
      <c r="O146">
        <f t="shared" si="17"/>
        <v>-0.2</v>
      </c>
      <c r="Q146">
        <v>120</v>
      </c>
      <c r="R146">
        <v>1</v>
      </c>
      <c r="S146">
        <f t="shared" si="18"/>
        <v>0.4</v>
      </c>
      <c r="T146">
        <f t="shared" si="19"/>
        <v>-0.2</v>
      </c>
      <c r="U146">
        <f t="shared" si="14"/>
        <v>152.80000000000004</v>
      </c>
      <c r="W146">
        <v>63.1</v>
      </c>
      <c r="X146">
        <f t="shared" si="15"/>
        <v>4051.4</v>
      </c>
      <c r="Y146">
        <v>7.7401361769708545</v>
      </c>
    </row>
    <row r="147" spans="1:25" x14ac:dyDescent="0.25">
      <c r="A147">
        <v>6360</v>
      </c>
      <c r="B147">
        <v>26330</v>
      </c>
      <c r="C147" s="3">
        <v>43092</v>
      </c>
      <c r="F147" s="45"/>
      <c r="G147">
        <v>9.8000000000000007</v>
      </c>
      <c r="H147">
        <v>8.6</v>
      </c>
      <c r="I147">
        <v>10.4</v>
      </c>
      <c r="J147">
        <f t="shared" si="12"/>
        <v>1312.9</v>
      </c>
      <c r="K147">
        <f t="shared" si="13"/>
        <v>123.99999999999999</v>
      </c>
      <c r="M147">
        <v>0.2</v>
      </c>
      <c r="N147">
        <v>0.5</v>
      </c>
      <c r="O147">
        <f t="shared" si="17"/>
        <v>-0.3</v>
      </c>
      <c r="Q147">
        <v>121</v>
      </c>
      <c r="R147">
        <v>1</v>
      </c>
      <c r="S147">
        <f t="shared" si="18"/>
        <v>0.5</v>
      </c>
      <c r="T147">
        <f t="shared" si="19"/>
        <v>-0.3</v>
      </c>
      <c r="U147">
        <f t="shared" si="14"/>
        <v>152.50000000000003</v>
      </c>
      <c r="W147">
        <v>41.7</v>
      </c>
      <c r="X147">
        <f t="shared" si="15"/>
        <v>4093.1</v>
      </c>
      <c r="Y147">
        <v>7.7429053460335604</v>
      </c>
    </row>
    <row r="148" spans="1:25" x14ac:dyDescent="0.25">
      <c r="A148">
        <v>6360</v>
      </c>
      <c r="B148">
        <v>26330</v>
      </c>
      <c r="C148" s="3">
        <v>43093</v>
      </c>
      <c r="F148" s="45"/>
      <c r="G148">
        <v>9.4</v>
      </c>
      <c r="H148">
        <v>8.4</v>
      </c>
      <c r="I148">
        <v>9.9</v>
      </c>
      <c r="J148">
        <f t="shared" si="12"/>
        <v>1322.3000000000002</v>
      </c>
      <c r="K148">
        <f t="shared" si="13"/>
        <v>133.39999999999998</v>
      </c>
      <c r="M148">
        <v>0.1</v>
      </c>
      <c r="N148">
        <v>0.6</v>
      </c>
      <c r="O148">
        <f t="shared" si="17"/>
        <v>-0.5</v>
      </c>
      <c r="Q148">
        <v>122</v>
      </c>
      <c r="R148">
        <v>1</v>
      </c>
      <c r="S148">
        <f t="shared" si="18"/>
        <v>0.6</v>
      </c>
      <c r="T148">
        <f t="shared" si="19"/>
        <v>-0.5</v>
      </c>
      <c r="U148">
        <f t="shared" si="14"/>
        <v>152.00000000000003</v>
      </c>
      <c r="W148">
        <v>69.3</v>
      </c>
      <c r="X148">
        <f t="shared" si="15"/>
        <v>4162.3999999999996</v>
      </c>
      <c r="Y148">
        <v>7.7472536395585552</v>
      </c>
    </row>
    <row r="149" spans="1:25" x14ac:dyDescent="0.25">
      <c r="A149">
        <v>6360</v>
      </c>
      <c r="B149">
        <v>26330</v>
      </c>
      <c r="C149" s="3">
        <v>43094</v>
      </c>
      <c r="F149" s="45"/>
      <c r="G149">
        <v>7.4</v>
      </c>
      <c r="H149">
        <v>6.7</v>
      </c>
      <c r="I149">
        <v>8.1999999999999993</v>
      </c>
      <c r="J149">
        <f t="shared" si="12"/>
        <v>1329.7000000000003</v>
      </c>
      <c r="K149">
        <f t="shared" si="13"/>
        <v>140.79999999999998</v>
      </c>
      <c r="M149">
        <v>1</v>
      </c>
      <c r="N149">
        <v>0.9</v>
      </c>
      <c r="O149">
        <f t="shared" si="17"/>
        <v>9.9999999999999978E-2</v>
      </c>
      <c r="Q149">
        <v>123</v>
      </c>
      <c r="R149">
        <v>1</v>
      </c>
      <c r="S149">
        <f t="shared" si="18"/>
        <v>0.9</v>
      </c>
      <c r="T149">
        <f t="shared" si="19"/>
        <v>9.9999999999999978E-2</v>
      </c>
      <c r="U149">
        <f t="shared" si="14"/>
        <v>152.10000000000002</v>
      </c>
      <c r="W149">
        <v>95.6</v>
      </c>
      <c r="X149">
        <f t="shared" si="15"/>
        <v>4258</v>
      </c>
      <c r="Y149">
        <v>7.753176727208948</v>
      </c>
    </row>
    <row r="150" spans="1:25" x14ac:dyDescent="0.25">
      <c r="A150">
        <v>6360</v>
      </c>
      <c r="B150">
        <v>26330</v>
      </c>
      <c r="C150" s="3">
        <v>43095</v>
      </c>
      <c r="F150" s="45"/>
      <c r="G150">
        <v>6.1</v>
      </c>
      <c r="H150">
        <v>5.3</v>
      </c>
      <c r="I150">
        <v>6.7</v>
      </c>
      <c r="J150">
        <f t="shared" si="12"/>
        <v>1335.8000000000002</v>
      </c>
      <c r="K150">
        <f t="shared" si="13"/>
        <v>146.89999999999998</v>
      </c>
      <c r="M150">
        <v>5</v>
      </c>
      <c r="N150">
        <v>0.9</v>
      </c>
      <c r="O150">
        <f t="shared" si="17"/>
        <v>4.0999999999999996</v>
      </c>
      <c r="Q150">
        <v>124</v>
      </c>
      <c r="R150">
        <v>1</v>
      </c>
      <c r="S150">
        <f t="shared" si="18"/>
        <v>0.9</v>
      </c>
      <c r="T150">
        <f t="shared" si="19"/>
        <v>4.0999999999999996</v>
      </c>
      <c r="U150">
        <f t="shared" si="14"/>
        <v>153.6</v>
      </c>
      <c r="W150">
        <v>159.69999999999999</v>
      </c>
      <c r="X150">
        <f t="shared" si="15"/>
        <v>4417.7</v>
      </c>
      <c r="Y150">
        <v>7.7606687283633713</v>
      </c>
    </row>
    <row r="151" spans="1:25" x14ac:dyDescent="0.25">
      <c r="A151">
        <v>6360</v>
      </c>
      <c r="B151">
        <v>26330</v>
      </c>
      <c r="C151" s="3">
        <v>43096</v>
      </c>
      <c r="F151" s="45"/>
      <c r="G151">
        <v>5.4</v>
      </c>
      <c r="H151">
        <v>4.7</v>
      </c>
      <c r="I151">
        <v>6.7</v>
      </c>
      <c r="J151">
        <f t="shared" si="12"/>
        <v>1341.2000000000003</v>
      </c>
      <c r="K151">
        <f t="shared" si="13"/>
        <v>152.29999999999998</v>
      </c>
      <c r="M151">
        <v>4.5999999999999996</v>
      </c>
      <c r="N151">
        <v>0.8</v>
      </c>
      <c r="O151">
        <f t="shared" si="17"/>
        <v>3.8</v>
      </c>
      <c r="Q151">
        <v>125</v>
      </c>
      <c r="R151">
        <v>1</v>
      </c>
      <c r="S151">
        <f t="shared" si="18"/>
        <v>0.8</v>
      </c>
      <c r="T151">
        <f t="shared" si="19"/>
        <v>3.8</v>
      </c>
      <c r="U151">
        <f t="shared" si="14"/>
        <v>153.6</v>
      </c>
      <c r="W151">
        <v>90.3</v>
      </c>
      <c r="X151">
        <f t="shared" si="15"/>
        <v>4508</v>
      </c>
      <c r="Y151">
        <v>7.7697222343728249</v>
      </c>
    </row>
    <row r="152" spans="1:25" x14ac:dyDescent="0.25">
      <c r="A152">
        <v>6360</v>
      </c>
      <c r="B152">
        <v>26330</v>
      </c>
      <c r="C152" s="3">
        <v>43097</v>
      </c>
      <c r="E152">
        <v>20</v>
      </c>
      <c r="F152" s="45"/>
      <c r="G152">
        <v>2.4</v>
      </c>
      <c r="H152">
        <v>1.1000000000000001</v>
      </c>
      <c r="I152">
        <v>4.7</v>
      </c>
      <c r="J152">
        <f t="shared" si="12"/>
        <v>1343.6000000000004</v>
      </c>
      <c r="K152">
        <f t="shared" si="13"/>
        <v>154.69999999999999</v>
      </c>
      <c r="M152">
        <v>0.1</v>
      </c>
      <c r="N152">
        <v>0.9</v>
      </c>
      <c r="O152">
        <f t="shared" si="17"/>
        <v>-0.8</v>
      </c>
      <c r="Q152">
        <v>126</v>
      </c>
      <c r="R152">
        <v>1</v>
      </c>
      <c r="S152">
        <f t="shared" si="18"/>
        <v>0.9</v>
      </c>
      <c r="T152">
        <f t="shared" si="19"/>
        <v>-0.8</v>
      </c>
      <c r="U152">
        <f t="shared" si="14"/>
        <v>152.79999999999998</v>
      </c>
      <c r="W152">
        <v>396.4</v>
      </c>
      <c r="X152">
        <f t="shared" si="15"/>
        <v>4904.3999999999996</v>
      </c>
      <c r="Y152">
        <v>7.7803283364223272</v>
      </c>
    </row>
    <row r="153" spans="1:25" x14ac:dyDescent="0.25">
      <c r="A153">
        <v>6360</v>
      </c>
      <c r="B153">
        <v>26330</v>
      </c>
      <c r="C153" s="3">
        <v>43098</v>
      </c>
      <c r="E153">
        <v>21</v>
      </c>
      <c r="F153" s="45"/>
      <c r="G153">
        <v>3.7</v>
      </c>
      <c r="H153">
        <v>0.3</v>
      </c>
      <c r="I153">
        <v>8.8000000000000007</v>
      </c>
      <c r="J153">
        <f t="shared" si="12"/>
        <v>1347.3000000000004</v>
      </c>
      <c r="K153">
        <f t="shared" si="13"/>
        <v>158.39999999999998</v>
      </c>
      <c r="M153">
        <v>3.3</v>
      </c>
      <c r="N153">
        <v>1</v>
      </c>
      <c r="O153">
        <f t="shared" si="17"/>
        <v>2.2999999999999998</v>
      </c>
      <c r="Q153">
        <v>127</v>
      </c>
      <c r="R153">
        <v>1</v>
      </c>
      <c r="S153">
        <f t="shared" si="18"/>
        <v>1</v>
      </c>
      <c r="T153">
        <f t="shared" si="19"/>
        <v>2.2999999999999998</v>
      </c>
      <c r="U153">
        <f t="shared" si="14"/>
        <v>153.6</v>
      </c>
      <c r="W153">
        <v>81.099999999999994</v>
      </c>
      <c r="X153">
        <f t="shared" si="15"/>
        <v>4985.5</v>
      </c>
      <c r="Y153">
        <v>7.7924766587709922</v>
      </c>
    </row>
    <row r="154" spans="1:25" x14ac:dyDescent="0.25">
      <c r="A154">
        <v>6360</v>
      </c>
      <c r="B154">
        <v>26330</v>
      </c>
      <c r="C154" s="3">
        <v>43099</v>
      </c>
      <c r="F154" s="45"/>
      <c r="G154">
        <v>11</v>
      </c>
      <c r="H154">
        <v>5.0999999999999996</v>
      </c>
      <c r="I154">
        <v>13.3</v>
      </c>
      <c r="J154">
        <f t="shared" si="12"/>
        <v>1358.3000000000004</v>
      </c>
      <c r="K154">
        <f t="shared" si="13"/>
        <v>169.39999999999998</v>
      </c>
      <c r="M154">
        <v>3.7</v>
      </c>
      <c r="N154">
        <v>0.4</v>
      </c>
      <c r="O154">
        <f t="shared" si="17"/>
        <v>3.3000000000000003</v>
      </c>
      <c r="Q154">
        <v>128</v>
      </c>
      <c r="R154">
        <v>1</v>
      </c>
      <c r="S154">
        <f t="shared" si="18"/>
        <v>0.4</v>
      </c>
      <c r="T154">
        <f t="shared" si="19"/>
        <v>3.3000000000000003</v>
      </c>
      <c r="U154">
        <f t="shared" si="14"/>
        <v>153.6</v>
      </c>
      <c r="W154">
        <v>85.5</v>
      </c>
      <c r="X154">
        <f t="shared" si="15"/>
        <v>5071</v>
      </c>
      <c r="Y154">
        <v>7.8061553971036455</v>
      </c>
    </row>
    <row r="155" spans="1:25" x14ac:dyDescent="0.25">
      <c r="A155">
        <v>6360</v>
      </c>
      <c r="B155">
        <v>26330</v>
      </c>
      <c r="C155" s="3">
        <v>43100</v>
      </c>
      <c r="F155" s="45"/>
      <c r="G155">
        <v>10.9</v>
      </c>
      <c r="H155">
        <v>10.1</v>
      </c>
      <c r="I155">
        <v>12</v>
      </c>
      <c r="J155">
        <f t="shared" si="12"/>
        <v>1369.2000000000005</v>
      </c>
      <c r="K155">
        <f t="shared" si="13"/>
        <v>180.29999999999998</v>
      </c>
      <c r="M155">
        <v>10.9</v>
      </c>
      <c r="N155">
        <v>0.9</v>
      </c>
      <c r="O155">
        <f t="shared" si="17"/>
        <v>10</v>
      </c>
      <c r="Q155">
        <v>129</v>
      </c>
      <c r="R155">
        <v>1</v>
      </c>
      <c r="S155">
        <f t="shared" si="18"/>
        <v>0.9</v>
      </c>
      <c r="T155">
        <f t="shared" si="19"/>
        <v>10</v>
      </c>
      <c r="U155">
        <f t="shared" si="14"/>
        <v>153.6</v>
      </c>
      <c r="W155">
        <v>78.099999999999994</v>
      </c>
      <c r="X155">
        <f t="shared" si="15"/>
        <v>5149.1000000000004</v>
      </c>
      <c r="Y155">
        <v>7.8213513616901968</v>
      </c>
    </row>
    <row r="156" spans="1:25" x14ac:dyDescent="0.25">
      <c r="A156">
        <v>6360</v>
      </c>
      <c r="B156">
        <v>26330</v>
      </c>
      <c r="C156" s="3">
        <v>43101</v>
      </c>
      <c r="F156" s="45"/>
      <c r="G156">
        <v>6.8</v>
      </c>
      <c r="H156">
        <v>6</v>
      </c>
      <c r="I156">
        <v>8</v>
      </c>
      <c r="J156">
        <f t="shared" si="12"/>
        <v>1376.0000000000005</v>
      </c>
      <c r="K156">
        <f t="shared" si="13"/>
        <v>187.1</v>
      </c>
      <c r="M156">
        <v>6.8</v>
      </c>
      <c r="N156">
        <v>1.1000000000000001</v>
      </c>
      <c r="O156">
        <f t="shared" si="17"/>
        <v>5.6999999999999993</v>
      </c>
      <c r="Q156">
        <v>130</v>
      </c>
      <c r="R156">
        <v>1</v>
      </c>
      <c r="S156">
        <f t="shared" si="18"/>
        <v>1.1000000000000001</v>
      </c>
      <c r="T156">
        <f t="shared" si="19"/>
        <v>5.6999999999999993</v>
      </c>
      <c r="U156">
        <f t="shared" si="14"/>
        <v>153.6</v>
      </c>
      <c r="W156">
        <v>95.6</v>
      </c>
      <c r="X156">
        <f t="shared" si="15"/>
        <v>5244.7000000000007</v>
      </c>
      <c r="Y156">
        <v>7.838050025016325</v>
      </c>
    </row>
    <row r="157" spans="1:25" x14ac:dyDescent="0.25">
      <c r="A157">
        <v>6360</v>
      </c>
      <c r="B157">
        <v>26330</v>
      </c>
      <c r="C157" s="3">
        <v>43102</v>
      </c>
      <c r="F157" s="45"/>
      <c r="G157">
        <v>7.7</v>
      </c>
      <c r="H157">
        <v>5.8</v>
      </c>
      <c r="I157">
        <v>10.9</v>
      </c>
      <c r="J157">
        <f t="shared" ref="J157:J220" si="20">J156+G157</f>
        <v>1383.7000000000005</v>
      </c>
      <c r="K157">
        <f t="shared" ref="K157:K220" si="21">K156+G157</f>
        <v>194.79999999999998</v>
      </c>
      <c r="M157">
        <v>7.2</v>
      </c>
      <c r="N157">
        <v>1.2</v>
      </c>
      <c r="O157">
        <f t="shared" si="17"/>
        <v>6</v>
      </c>
      <c r="Q157">
        <v>131</v>
      </c>
      <c r="R157">
        <v>1</v>
      </c>
      <c r="S157">
        <f t="shared" si="18"/>
        <v>1.2</v>
      </c>
      <c r="T157">
        <f t="shared" si="19"/>
        <v>6</v>
      </c>
      <c r="U157">
        <f t="shared" ref="U157:U220" si="22">MIN(T157+U156,153.6)</f>
        <v>153.6</v>
      </c>
      <c r="W157">
        <v>168.4</v>
      </c>
      <c r="X157">
        <f t="shared" ref="X157:X220" si="23">X156+W157</f>
        <v>5413.1</v>
      </c>
      <c r="Y157">
        <v>7.8562355735210305</v>
      </c>
    </row>
    <row r="158" spans="1:25" x14ac:dyDescent="0.25">
      <c r="A158">
        <v>6360</v>
      </c>
      <c r="B158">
        <v>26330</v>
      </c>
      <c r="C158" s="3">
        <v>43103</v>
      </c>
      <c r="F158" s="45"/>
      <c r="G158">
        <v>8.9</v>
      </c>
      <c r="H158">
        <v>8</v>
      </c>
      <c r="I158">
        <v>9.3000000000000007</v>
      </c>
      <c r="J158">
        <f t="shared" si="20"/>
        <v>1392.6000000000006</v>
      </c>
      <c r="K158">
        <f t="shared" si="21"/>
        <v>203.7</v>
      </c>
      <c r="M158">
        <v>1.8</v>
      </c>
      <c r="N158">
        <v>1.7</v>
      </c>
      <c r="O158">
        <f t="shared" si="17"/>
        <v>0.10000000000000009</v>
      </c>
      <c r="Q158">
        <v>132</v>
      </c>
      <c r="R158">
        <v>1</v>
      </c>
      <c r="S158">
        <f t="shared" si="18"/>
        <v>1.7</v>
      </c>
      <c r="T158">
        <f t="shared" si="19"/>
        <v>0.10000000000000009</v>
      </c>
      <c r="U158">
        <f t="shared" si="22"/>
        <v>153.6</v>
      </c>
      <c r="W158">
        <v>138.80000000000001</v>
      </c>
      <c r="X158">
        <f t="shared" si="23"/>
        <v>5551.9000000000005</v>
      </c>
      <c r="Y158">
        <v>7.8758909630532754</v>
      </c>
    </row>
    <row r="159" spans="1:25" x14ac:dyDescent="0.25">
      <c r="A159">
        <v>6360</v>
      </c>
      <c r="B159">
        <v>26330</v>
      </c>
      <c r="C159" s="3">
        <v>43104</v>
      </c>
      <c r="F159" s="45"/>
      <c r="G159">
        <v>9.8000000000000007</v>
      </c>
      <c r="H159">
        <v>8</v>
      </c>
      <c r="I159">
        <v>12.9</v>
      </c>
      <c r="J159">
        <f t="shared" si="20"/>
        <v>1402.4000000000005</v>
      </c>
      <c r="K159">
        <f t="shared" si="21"/>
        <v>213.5</v>
      </c>
      <c r="M159">
        <v>12.4</v>
      </c>
      <c r="N159">
        <v>1.4</v>
      </c>
      <c r="O159">
        <f t="shared" si="17"/>
        <v>11</v>
      </c>
      <c r="Q159">
        <v>133</v>
      </c>
      <c r="R159">
        <v>1</v>
      </c>
      <c r="S159">
        <f t="shared" si="18"/>
        <v>1.4</v>
      </c>
      <c r="T159">
        <f t="shared" si="19"/>
        <v>11</v>
      </c>
      <c r="U159">
        <f t="shared" si="22"/>
        <v>153.6</v>
      </c>
      <c r="W159">
        <v>50.4</v>
      </c>
      <c r="X159">
        <f t="shared" si="23"/>
        <v>5602.3</v>
      </c>
      <c r="Y159">
        <v>7.8969979776415569</v>
      </c>
    </row>
    <row r="160" spans="1:25" x14ac:dyDescent="0.25">
      <c r="A160">
        <v>6360</v>
      </c>
      <c r="B160">
        <v>26330</v>
      </c>
      <c r="C160" s="3">
        <v>43105</v>
      </c>
      <c r="F160" s="45"/>
      <c r="G160">
        <v>7.7</v>
      </c>
      <c r="H160">
        <v>6.2</v>
      </c>
      <c r="I160">
        <v>9.4</v>
      </c>
      <c r="J160">
        <f t="shared" si="20"/>
        <v>1410.1000000000006</v>
      </c>
      <c r="K160">
        <f t="shared" si="21"/>
        <v>221.2</v>
      </c>
      <c r="M160">
        <v>1.2</v>
      </c>
      <c r="N160">
        <v>0.9</v>
      </c>
      <c r="O160">
        <f t="shared" si="17"/>
        <v>0.29999999999999993</v>
      </c>
      <c r="Q160">
        <v>134</v>
      </c>
      <c r="R160">
        <v>1</v>
      </c>
      <c r="S160">
        <f t="shared" si="18"/>
        <v>0.9</v>
      </c>
      <c r="T160">
        <f t="shared" si="19"/>
        <v>0.29999999999999993</v>
      </c>
      <c r="U160">
        <f t="shared" si="22"/>
        <v>153.6</v>
      </c>
      <c r="W160">
        <v>184.8</v>
      </c>
      <c r="X160">
        <f t="shared" si="23"/>
        <v>5787.1</v>
      </c>
      <c r="Y160">
        <v>7.9195372911571678</v>
      </c>
    </row>
    <row r="161" spans="1:25" x14ac:dyDescent="0.25">
      <c r="A161">
        <v>6360</v>
      </c>
      <c r="B161">
        <v>26330</v>
      </c>
      <c r="C161" s="3">
        <v>43106</v>
      </c>
      <c r="F161" s="45"/>
      <c r="G161">
        <v>5.3</v>
      </c>
      <c r="H161">
        <v>4.3</v>
      </c>
      <c r="I161">
        <v>6.4</v>
      </c>
      <c r="J161">
        <f t="shared" si="20"/>
        <v>1415.4000000000005</v>
      </c>
      <c r="K161">
        <f t="shared" si="21"/>
        <v>226.5</v>
      </c>
      <c r="M161">
        <v>0</v>
      </c>
      <c r="N161">
        <v>0.4</v>
      </c>
      <c r="O161">
        <f t="shared" si="17"/>
        <v>-0.4</v>
      </c>
      <c r="Q161">
        <v>135</v>
      </c>
      <c r="R161">
        <v>1</v>
      </c>
      <c r="S161">
        <f t="shared" si="18"/>
        <v>0.4</v>
      </c>
      <c r="T161">
        <f t="shared" si="19"/>
        <v>-0.4</v>
      </c>
      <c r="U161">
        <f t="shared" si="22"/>
        <v>153.19999999999999</v>
      </c>
      <c r="W161">
        <v>75.2</v>
      </c>
      <c r="X161">
        <f t="shared" si="23"/>
        <v>5862.3</v>
      </c>
      <c r="Y161">
        <v>7.9434885314433297</v>
      </c>
    </row>
    <row r="162" spans="1:25" x14ac:dyDescent="0.25">
      <c r="A162">
        <v>6360</v>
      </c>
      <c r="B162">
        <v>26330</v>
      </c>
      <c r="C162" s="3">
        <v>43107</v>
      </c>
      <c r="E162">
        <v>22</v>
      </c>
      <c r="F162" s="45"/>
      <c r="G162">
        <v>2.7</v>
      </c>
      <c r="H162">
        <v>2.2000000000000002</v>
      </c>
      <c r="I162">
        <v>2.9</v>
      </c>
      <c r="J162">
        <f t="shared" si="20"/>
        <v>1418.1000000000006</v>
      </c>
      <c r="K162">
        <f t="shared" si="21"/>
        <v>229.2</v>
      </c>
      <c r="M162">
        <v>0.1</v>
      </c>
      <c r="N162">
        <v>0.7</v>
      </c>
      <c r="O162">
        <f t="shared" si="17"/>
        <v>-0.6</v>
      </c>
      <c r="Q162">
        <v>136</v>
      </c>
      <c r="R162">
        <v>1</v>
      </c>
      <c r="S162">
        <f t="shared" si="18"/>
        <v>0.7</v>
      </c>
      <c r="T162">
        <f t="shared" si="19"/>
        <v>-0.6</v>
      </c>
      <c r="U162">
        <f t="shared" si="22"/>
        <v>152.6</v>
      </c>
      <c r="W162">
        <v>74.3</v>
      </c>
      <c r="X162">
        <f t="shared" si="23"/>
        <v>5936.6</v>
      </c>
      <c r="Y162">
        <v>7.9688303464792263</v>
      </c>
    </row>
    <row r="163" spans="1:25" x14ac:dyDescent="0.25">
      <c r="A163">
        <v>6360</v>
      </c>
      <c r="B163">
        <v>26330</v>
      </c>
      <c r="C163" s="3">
        <v>43108</v>
      </c>
      <c r="E163">
        <v>23</v>
      </c>
      <c r="F163" s="45"/>
      <c r="G163">
        <v>2.7</v>
      </c>
      <c r="H163">
        <v>1.6</v>
      </c>
      <c r="I163">
        <v>3.9</v>
      </c>
      <c r="J163">
        <f t="shared" si="20"/>
        <v>1420.8000000000006</v>
      </c>
      <c r="K163">
        <f t="shared" si="21"/>
        <v>231.89999999999998</v>
      </c>
      <c r="M163">
        <v>0</v>
      </c>
      <c r="N163">
        <v>0.5</v>
      </c>
      <c r="O163">
        <f t="shared" si="17"/>
        <v>-0.5</v>
      </c>
      <c r="Q163">
        <v>137</v>
      </c>
      <c r="R163">
        <v>1</v>
      </c>
      <c r="S163">
        <f t="shared" si="18"/>
        <v>0.5</v>
      </c>
      <c r="T163">
        <f t="shared" si="19"/>
        <v>-0.5</v>
      </c>
      <c r="U163">
        <f t="shared" si="22"/>
        <v>152.1</v>
      </c>
      <c r="W163">
        <v>152.5</v>
      </c>
      <c r="X163">
        <f t="shared" si="23"/>
        <v>6089.1</v>
      </c>
      <c r="Y163">
        <v>7.995540472149048</v>
      </c>
    </row>
    <row r="164" spans="1:25" x14ac:dyDescent="0.25">
      <c r="A164">
        <v>6360</v>
      </c>
      <c r="B164">
        <v>26330</v>
      </c>
      <c r="C164" s="3">
        <v>43109</v>
      </c>
      <c r="E164">
        <v>24</v>
      </c>
      <c r="F164" s="45"/>
      <c r="G164">
        <v>3.3</v>
      </c>
      <c r="H164">
        <v>0.2</v>
      </c>
      <c r="I164">
        <v>7.2</v>
      </c>
      <c r="J164">
        <f t="shared" si="20"/>
        <v>1424.1000000000006</v>
      </c>
      <c r="K164">
        <f t="shared" si="21"/>
        <v>235.2</v>
      </c>
      <c r="M164">
        <v>1.3</v>
      </c>
      <c r="N164">
        <v>0.4</v>
      </c>
      <c r="O164">
        <f t="shared" si="17"/>
        <v>0.9</v>
      </c>
      <c r="Q164">
        <v>138</v>
      </c>
      <c r="R164">
        <v>1</v>
      </c>
      <c r="S164">
        <f t="shared" si="18"/>
        <v>0.4</v>
      </c>
      <c r="T164">
        <f t="shared" si="19"/>
        <v>0.9</v>
      </c>
      <c r="U164">
        <f t="shared" si="22"/>
        <v>153</v>
      </c>
      <c r="W164">
        <v>129.6</v>
      </c>
      <c r="X164">
        <f t="shared" si="23"/>
        <v>6218.7000000000007</v>
      </c>
      <c r="Y164">
        <v>8.0235958011918971</v>
      </c>
    </row>
    <row r="165" spans="1:25" x14ac:dyDescent="0.25">
      <c r="A165">
        <v>6360</v>
      </c>
      <c r="B165">
        <v>26330</v>
      </c>
      <c r="C165" s="3">
        <v>43110</v>
      </c>
      <c r="F165" s="45"/>
      <c r="G165">
        <v>6.8</v>
      </c>
      <c r="H165">
        <v>5.2</v>
      </c>
      <c r="I165">
        <v>8.6999999999999993</v>
      </c>
      <c r="J165">
        <f t="shared" si="20"/>
        <v>1430.9000000000005</v>
      </c>
      <c r="K165">
        <f t="shared" si="21"/>
        <v>242</v>
      </c>
      <c r="M165">
        <v>0.9</v>
      </c>
      <c r="N165">
        <v>0.5</v>
      </c>
      <c r="O165">
        <f t="shared" si="17"/>
        <v>0.4</v>
      </c>
      <c r="Q165">
        <v>139</v>
      </c>
      <c r="R165">
        <v>1</v>
      </c>
      <c r="S165">
        <f t="shared" si="18"/>
        <v>0.5</v>
      </c>
      <c r="T165">
        <f t="shared" si="19"/>
        <v>0.4</v>
      </c>
      <c r="U165">
        <f t="shared" si="22"/>
        <v>153.4</v>
      </c>
      <c r="W165">
        <v>147.4</v>
      </c>
      <c r="X165">
        <f t="shared" si="23"/>
        <v>6366.1</v>
      </c>
      <c r="Y165">
        <v>8.0529724529181497</v>
      </c>
    </row>
    <row r="166" spans="1:25" x14ac:dyDescent="0.25">
      <c r="A166">
        <v>6360</v>
      </c>
      <c r="B166">
        <v>26330</v>
      </c>
      <c r="C166" s="3">
        <v>43111</v>
      </c>
      <c r="E166">
        <v>25</v>
      </c>
      <c r="F166" s="45"/>
      <c r="G166">
        <v>3</v>
      </c>
      <c r="H166">
        <v>2</v>
      </c>
      <c r="I166">
        <v>4.9000000000000004</v>
      </c>
      <c r="J166">
        <f t="shared" si="20"/>
        <v>1433.9000000000005</v>
      </c>
      <c r="K166">
        <f t="shared" si="21"/>
        <v>245</v>
      </c>
      <c r="M166">
        <v>0</v>
      </c>
      <c r="N166">
        <v>0.4</v>
      </c>
      <c r="O166">
        <f t="shared" si="17"/>
        <v>-0.4</v>
      </c>
      <c r="Q166">
        <v>140</v>
      </c>
      <c r="R166">
        <v>1</v>
      </c>
      <c r="S166">
        <f t="shared" si="18"/>
        <v>0.4</v>
      </c>
      <c r="T166">
        <f t="shared" si="19"/>
        <v>-0.4</v>
      </c>
      <c r="U166">
        <f t="shared" si="22"/>
        <v>153</v>
      </c>
      <c r="W166">
        <v>81.599999999999994</v>
      </c>
      <c r="X166">
        <f t="shared" si="23"/>
        <v>6447.7000000000007</v>
      </c>
      <c r="Y166">
        <v>8.0836458432913254</v>
      </c>
    </row>
    <row r="167" spans="1:25" x14ac:dyDescent="0.25">
      <c r="A167">
        <v>6360</v>
      </c>
      <c r="B167">
        <v>26330</v>
      </c>
      <c r="C167" s="3">
        <v>43112</v>
      </c>
      <c r="F167" s="45"/>
      <c r="G167">
        <v>5.3</v>
      </c>
      <c r="H167">
        <v>3.5</v>
      </c>
      <c r="I167">
        <v>6.4</v>
      </c>
      <c r="J167">
        <f t="shared" si="20"/>
        <v>1439.2000000000005</v>
      </c>
      <c r="K167">
        <f t="shared" si="21"/>
        <v>250.3</v>
      </c>
      <c r="M167">
        <v>0.5</v>
      </c>
      <c r="N167">
        <v>0.3</v>
      </c>
      <c r="O167">
        <f t="shared" si="17"/>
        <v>0.2</v>
      </c>
      <c r="Q167">
        <v>141</v>
      </c>
      <c r="R167">
        <v>1</v>
      </c>
      <c r="S167">
        <f t="shared" si="18"/>
        <v>0.3</v>
      </c>
      <c r="T167">
        <f t="shared" si="19"/>
        <v>0.2</v>
      </c>
      <c r="U167">
        <f t="shared" si="22"/>
        <v>153.19999999999999</v>
      </c>
      <c r="W167">
        <v>94.3</v>
      </c>
      <c r="X167">
        <f t="shared" si="23"/>
        <v>6542.0000000000009</v>
      </c>
      <c r="Y167">
        <v>8.1155907549912278</v>
      </c>
    </row>
    <row r="168" spans="1:25" x14ac:dyDescent="0.25">
      <c r="A168">
        <v>6360</v>
      </c>
      <c r="B168">
        <v>26330</v>
      </c>
      <c r="C168" s="3">
        <v>43113</v>
      </c>
      <c r="E168">
        <v>26</v>
      </c>
      <c r="F168" s="45"/>
      <c r="G168">
        <v>3.7</v>
      </c>
      <c r="H168">
        <v>3.2</v>
      </c>
      <c r="I168">
        <v>4.5</v>
      </c>
      <c r="J168">
        <f t="shared" si="20"/>
        <v>1442.9000000000005</v>
      </c>
      <c r="K168">
        <f t="shared" si="21"/>
        <v>254</v>
      </c>
      <c r="M168">
        <v>0</v>
      </c>
      <c r="N168">
        <v>0.3</v>
      </c>
      <c r="O168">
        <f t="shared" si="17"/>
        <v>-0.3</v>
      </c>
      <c r="Q168">
        <v>142</v>
      </c>
      <c r="R168">
        <v>1</v>
      </c>
      <c r="S168">
        <f t="shared" si="18"/>
        <v>0.3</v>
      </c>
      <c r="T168">
        <f t="shared" si="19"/>
        <v>-0.3</v>
      </c>
      <c r="U168">
        <f t="shared" si="22"/>
        <v>152.89999999999998</v>
      </c>
      <c r="W168">
        <v>90.8</v>
      </c>
      <c r="X168">
        <f t="shared" si="23"/>
        <v>6632.8000000000011</v>
      </c>
      <c r="Y168">
        <v>8.1487814070937734</v>
      </c>
    </row>
    <row r="169" spans="1:25" x14ac:dyDescent="0.25">
      <c r="A169">
        <v>6360</v>
      </c>
      <c r="B169">
        <v>26330</v>
      </c>
      <c r="C169" s="3">
        <v>43114</v>
      </c>
      <c r="E169">
        <v>27</v>
      </c>
      <c r="F169" s="45"/>
      <c r="G169">
        <v>2.4</v>
      </c>
      <c r="H169">
        <v>0.5</v>
      </c>
      <c r="I169">
        <v>3.8</v>
      </c>
      <c r="J169">
        <f t="shared" si="20"/>
        <v>1445.3000000000006</v>
      </c>
      <c r="K169">
        <f t="shared" si="21"/>
        <v>256.39999999999998</v>
      </c>
      <c r="M169">
        <v>0</v>
      </c>
      <c r="N169">
        <v>0.5</v>
      </c>
      <c r="O169">
        <f t="shared" si="17"/>
        <v>-0.5</v>
      </c>
      <c r="Q169">
        <v>143</v>
      </c>
      <c r="R169">
        <v>1</v>
      </c>
      <c r="S169">
        <f t="shared" si="18"/>
        <v>0.5</v>
      </c>
      <c r="T169">
        <f t="shared" si="19"/>
        <v>-0.5</v>
      </c>
      <c r="U169">
        <f t="shared" si="22"/>
        <v>152.39999999999998</v>
      </c>
      <c r="W169">
        <v>177.1</v>
      </c>
      <c r="X169">
        <f t="shared" si="23"/>
        <v>6809.9000000000015</v>
      </c>
      <c r="Y169">
        <v>8.1831915240248794</v>
      </c>
    </row>
    <row r="170" spans="1:25" x14ac:dyDescent="0.25">
      <c r="A170">
        <v>6360</v>
      </c>
      <c r="B170">
        <v>26330</v>
      </c>
      <c r="C170" s="3">
        <v>43115</v>
      </c>
      <c r="F170" s="45"/>
      <c r="G170">
        <v>6.2</v>
      </c>
      <c r="H170">
        <v>1.4</v>
      </c>
      <c r="I170">
        <v>9.5</v>
      </c>
      <c r="J170">
        <f t="shared" si="20"/>
        <v>1451.5000000000007</v>
      </c>
      <c r="K170">
        <f t="shared" si="21"/>
        <v>262.59999999999997</v>
      </c>
      <c r="M170">
        <v>6.3</v>
      </c>
      <c r="N170">
        <v>0.4</v>
      </c>
      <c r="O170">
        <f t="shared" si="17"/>
        <v>5.8999999999999995</v>
      </c>
      <c r="Q170">
        <v>144</v>
      </c>
      <c r="R170">
        <v>1</v>
      </c>
      <c r="S170">
        <f t="shared" si="18"/>
        <v>0.4</v>
      </c>
      <c r="T170">
        <f t="shared" si="19"/>
        <v>5.8999999999999995</v>
      </c>
      <c r="U170">
        <f t="shared" si="22"/>
        <v>153.6</v>
      </c>
      <c r="W170">
        <v>122.8</v>
      </c>
      <c r="X170">
        <f t="shared" si="23"/>
        <v>6932.7000000000016</v>
      </c>
      <c r="Y170">
        <v>8.2187944034697562</v>
      </c>
    </row>
    <row r="171" spans="1:25" x14ac:dyDescent="0.25">
      <c r="A171">
        <v>6360</v>
      </c>
      <c r="B171">
        <v>26330</v>
      </c>
      <c r="C171" s="3">
        <v>43116</v>
      </c>
      <c r="F171" s="45"/>
      <c r="G171">
        <v>6.9</v>
      </c>
      <c r="H171">
        <v>6.1</v>
      </c>
      <c r="I171">
        <v>8</v>
      </c>
      <c r="J171">
        <f t="shared" si="20"/>
        <v>1458.4000000000008</v>
      </c>
      <c r="K171">
        <f t="shared" si="21"/>
        <v>269.49999999999994</v>
      </c>
      <c r="M171">
        <v>0.4</v>
      </c>
      <c r="N171">
        <v>1.7</v>
      </c>
      <c r="O171">
        <f t="shared" si="17"/>
        <v>-1.2999999999999998</v>
      </c>
      <c r="Q171">
        <v>145</v>
      </c>
      <c r="R171">
        <v>1</v>
      </c>
      <c r="S171">
        <f t="shared" si="18"/>
        <v>1.7</v>
      </c>
      <c r="T171">
        <f t="shared" si="19"/>
        <v>-1.2999999999999998</v>
      </c>
      <c r="U171">
        <f t="shared" si="22"/>
        <v>152.29999999999998</v>
      </c>
      <c r="W171">
        <v>484.3</v>
      </c>
      <c r="X171">
        <f t="shared" si="23"/>
        <v>7417.0000000000018</v>
      </c>
      <c r="Y171">
        <v>8.255562982944344</v>
      </c>
    </row>
    <row r="172" spans="1:25" x14ac:dyDescent="0.25">
      <c r="A172">
        <v>6360</v>
      </c>
      <c r="B172">
        <v>26330</v>
      </c>
      <c r="C172" s="3">
        <v>43117</v>
      </c>
      <c r="F172" s="45"/>
      <c r="G172">
        <v>5.3</v>
      </c>
      <c r="H172">
        <v>3.4</v>
      </c>
      <c r="I172">
        <v>11.3</v>
      </c>
      <c r="J172">
        <f t="shared" si="20"/>
        <v>1463.7000000000007</v>
      </c>
      <c r="K172">
        <f t="shared" si="21"/>
        <v>274.79999999999995</v>
      </c>
      <c r="M172">
        <v>2.5</v>
      </c>
      <c r="N172">
        <v>2.4</v>
      </c>
      <c r="O172">
        <f t="shared" si="17"/>
        <v>0.10000000000000009</v>
      </c>
      <c r="Q172">
        <v>146</v>
      </c>
      <c r="R172">
        <v>1</v>
      </c>
      <c r="S172">
        <f t="shared" si="18"/>
        <v>2.4</v>
      </c>
      <c r="T172">
        <f t="shared" si="19"/>
        <v>0.10000000000000009</v>
      </c>
      <c r="U172">
        <f t="shared" si="22"/>
        <v>152.39999999999998</v>
      </c>
      <c r="W172">
        <v>316.39999999999998</v>
      </c>
      <c r="X172">
        <f t="shared" si="23"/>
        <v>7733.4000000000015</v>
      </c>
      <c r="Y172">
        <v>8.2934699047621567</v>
      </c>
    </row>
    <row r="173" spans="1:25" x14ac:dyDescent="0.25">
      <c r="A173">
        <v>6360</v>
      </c>
      <c r="B173">
        <v>26330</v>
      </c>
      <c r="C173" s="3">
        <v>43118</v>
      </c>
      <c r="F173" s="45"/>
      <c r="G173">
        <v>8.1</v>
      </c>
      <c r="H173">
        <v>5.4</v>
      </c>
      <c r="I173">
        <v>10.9</v>
      </c>
      <c r="J173">
        <f t="shared" si="20"/>
        <v>1471.8000000000006</v>
      </c>
      <c r="K173">
        <f t="shared" si="21"/>
        <v>282.89999999999998</v>
      </c>
      <c r="M173">
        <v>0.7</v>
      </c>
      <c r="N173">
        <v>1.6</v>
      </c>
      <c r="O173">
        <f t="shared" si="17"/>
        <v>-0.90000000000000013</v>
      </c>
      <c r="Q173">
        <v>147</v>
      </c>
      <c r="R173">
        <v>1</v>
      </c>
      <c r="S173">
        <f t="shared" si="18"/>
        <v>1.6</v>
      </c>
      <c r="T173">
        <f t="shared" si="19"/>
        <v>-0.90000000000000013</v>
      </c>
      <c r="U173">
        <f t="shared" si="22"/>
        <v>151.49999999999997</v>
      </c>
      <c r="W173">
        <v>275.89999999999998</v>
      </c>
      <c r="X173">
        <f t="shared" si="23"/>
        <v>8009.3000000000011</v>
      </c>
      <c r="Y173">
        <v>8.3324875791569024</v>
      </c>
    </row>
    <row r="174" spans="1:25" x14ac:dyDescent="0.25">
      <c r="A174">
        <v>6360</v>
      </c>
      <c r="B174">
        <v>26330</v>
      </c>
      <c r="C174" s="3">
        <v>43119</v>
      </c>
      <c r="E174">
        <v>28</v>
      </c>
      <c r="F174" s="45"/>
      <c r="G174">
        <v>4</v>
      </c>
      <c r="H174">
        <v>2.2000000000000002</v>
      </c>
      <c r="I174">
        <v>6.5</v>
      </c>
      <c r="J174">
        <f t="shared" si="20"/>
        <v>1475.8000000000006</v>
      </c>
      <c r="K174">
        <f t="shared" si="21"/>
        <v>286.89999999999998</v>
      </c>
      <c r="M174">
        <v>1.2</v>
      </c>
      <c r="N174">
        <v>1</v>
      </c>
      <c r="O174">
        <f t="shared" si="17"/>
        <v>0.19999999999999996</v>
      </c>
      <c r="Q174">
        <v>148</v>
      </c>
      <c r="R174">
        <v>1</v>
      </c>
      <c r="S174">
        <f t="shared" si="18"/>
        <v>1</v>
      </c>
      <c r="T174">
        <f t="shared" si="19"/>
        <v>0.19999999999999996</v>
      </c>
      <c r="U174">
        <f t="shared" si="22"/>
        <v>151.69999999999996</v>
      </c>
      <c r="W174">
        <v>549.1</v>
      </c>
      <c r="X174">
        <f t="shared" si="23"/>
        <v>8558.4000000000015</v>
      </c>
      <c r="Y174">
        <v>8.3725882453486129</v>
      </c>
    </row>
    <row r="175" spans="1:25" x14ac:dyDescent="0.25">
      <c r="A175">
        <v>6360</v>
      </c>
      <c r="B175">
        <v>26330</v>
      </c>
      <c r="C175" s="3">
        <v>43120</v>
      </c>
      <c r="E175">
        <v>29</v>
      </c>
      <c r="F175" s="45"/>
      <c r="G175">
        <v>4</v>
      </c>
      <c r="H175">
        <v>3.2</v>
      </c>
      <c r="I175">
        <v>4.5999999999999996</v>
      </c>
      <c r="J175">
        <f t="shared" si="20"/>
        <v>1479.8000000000006</v>
      </c>
      <c r="K175">
        <f t="shared" si="21"/>
        <v>290.89999999999998</v>
      </c>
      <c r="M175">
        <v>5.5</v>
      </c>
      <c r="N175">
        <v>0.4</v>
      </c>
      <c r="O175">
        <f t="shared" si="17"/>
        <v>5.0999999999999996</v>
      </c>
      <c r="Q175">
        <v>149</v>
      </c>
      <c r="R175">
        <v>1</v>
      </c>
      <c r="S175">
        <f t="shared" si="18"/>
        <v>0.4</v>
      </c>
      <c r="T175">
        <f t="shared" si="19"/>
        <v>5.0999999999999996</v>
      </c>
      <c r="U175">
        <f t="shared" si="22"/>
        <v>153.6</v>
      </c>
      <c r="W175">
        <v>126.8</v>
      </c>
      <c r="X175">
        <f t="shared" si="23"/>
        <v>8685.2000000000007</v>
      </c>
      <c r="Y175">
        <v>8.4137440303683366</v>
      </c>
    </row>
    <row r="176" spans="1:25" x14ac:dyDescent="0.25">
      <c r="A176">
        <v>6360</v>
      </c>
      <c r="B176">
        <v>26330</v>
      </c>
      <c r="C176" s="3">
        <v>43121</v>
      </c>
      <c r="E176">
        <v>30</v>
      </c>
      <c r="F176" s="45"/>
      <c r="G176">
        <v>3.8</v>
      </c>
      <c r="H176">
        <v>2.1</v>
      </c>
      <c r="I176">
        <v>9.8000000000000007</v>
      </c>
      <c r="J176">
        <f t="shared" si="20"/>
        <v>1483.6000000000006</v>
      </c>
      <c r="K176">
        <f t="shared" si="21"/>
        <v>294.7</v>
      </c>
      <c r="M176">
        <v>10.199999999999999</v>
      </c>
      <c r="N176">
        <v>1.1000000000000001</v>
      </c>
      <c r="O176">
        <f t="shared" si="17"/>
        <v>9.1</v>
      </c>
      <c r="Q176">
        <v>150</v>
      </c>
      <c r="R176">
        <v>1</v>
      </c>
      <c r="S176">
        <f t="shared" si="18"/>
        <v>1.1000000000000001</v>
      </c>
      <c r="T176">
        <f t="shared" si="19"/>
        <v>9.1</v>
      </c>
      <c r="U176">
        <f t="shared" si="22"/>
        <v>153.6</v>
      </c>
      <c r="W176">
        <v>70.599999999999994</v>
      </c>
      <c r="X176">
        <f t="shared" si="23"/>
        <v>8755.8000000000011</v>
      </c>
      <c r="Y176">
        <v>8.4559270054832218</v>
      </c>
    </row>
    <row r="177" spans="1:25" x14ac:dyDescent="0.25">
      <c r="A177">
        <v>6360</v>
      </c>
      <c r="B177">
        <v>26330</v>
      </c>
      <c r="C177" s="3">
        <v>43122</v>
      </c>
      <c r="F177" s="45"/>
      <c r="G177">
        <v>8.9</v>
      </c>
      <c r="H177">
        <v>3.4</v>
      </c>
      <c r="I177">
        <v>9.8000000000000007</v>
      </c>
      <c r="J177">
        <f t="shared" si="20"/>
        <v>1492.5000000000007</v>
      </c>
      <c r="K177">
        <f t="shared" si="21"/>
        <v>303.59999999999997</v>
      </c>
      <c r="M177">
        <v>0</v>
      </c>
      <c r="N177">
        <v>0.1</v>
      </c>
      <c r="O177">
        <f t="shared" si="17"/>
        <v>-0.1</v>
      </c>
      <c r="Q177">
        <v>151</v>
      </c>
      <c r="R177">
        <v>1</v>
      </c>
      <c r="S177">
        <f t="shared" si="18"/>
        <v>0.1</v>
      </c>
      <c r="T177">
        <f t="shared" si="19"/>
        <v>-0.1</v>
      </c>
      <c r="U177">
        <f t="shared" si="22"/>
        <v>153.5</v>
      </c>
      <c r="W177">
        <v>364.6</v>
      </c>
      <c r="X177">
        <f t="shared" si="23"/>
        <v>9120.4000000000015</v>
      </c>
      <c r="Y177">
        <v>8.4991092400900037</v>
      </c>
    </row>
    <row r="178" spans="1:25" x14ac:dyDescent="0.25">
      <c r="A178">
        <v>6360</v>
      </c>
      <c r="B178">
        <v>26330</v>
      </c>
      <c r="C178" s="3">
        <v>43123</v>
      </c>
      <c r="F178" s="45"/>
      <c r="G178">
        <v>9.3000000000000007</v>
      </c>
      <c r="H178">
        <v>7.3</v>
      </c>
      <c r="I178">
        <v>12.5</v>
      </c>
      <c r="J178">
        <f t="shared" si="20"/>
        <v>1501.8000000000006</v>
      </c>
      <c r="K178">
        <f t="shared" si="21"/>
        <v>312.89999999999998</v>
      </c>
      <c r="M178">
        <v>1.5</v>
      </c>
      <c r="N178">
        <v>0.9</v>
      </c>
      <c r="O178">
        <f t="shared" si="17"/>
        <v>0.6</v>
      </c>
      <c r="Q178">
        <v>152</v>
      </c>
      <c r="R178">
        <v>1</v>
      </c>
      <c r="S178">
        <f t="shared" si="18"/>
        <v>0.9</v>
      </c>
      <c r="T178">
        <f t="shared" si="19"/>
        <v>0.6</v>
      </c>
      <c r="U178">
        <f t="shared" si="22"/>
        <v>153.6</v>
      </c>
      <c r="W178">
        <v>67.400000000000006</v>
      </c>
      <c r="X178">
        <f t="shared" si="23"/>
        <v>9187.8000000000011</v>
      </c>
      <c r="Y178">
        <v>8.54326285297015</v>
      </c>
    </row>
    <row r="179" spans="1:25" x14ac:dyDescent="0.25">
      <c r="A179">
        <v>6360</v>
      </c>
      <c r="B179">
        <v>26330</v>
      </c>
      <c r="C179" s="3">
        <v>43124</v>
      </c>
      <c r="F179" s="45"/>
      <c r="G179">
        <v>12</v>
      </c>
      <c r="H179">
        <v>10.7</v>
      </c>
      <c r="I179">
        <v>13.7</v>
      </c>
      <c r="J179">
        <f t="shared" si="20"/>
        <v>1513.8000000000006</v>
      </c>
      <c r="K179">
        <f t="shared" si="21"/>
        <v>324.89999999999998</v>
      </c>
      <c r="M179">
        <v>3.8</v>
      </c>
      <c r="N179">
        <v>1.2</v>
      </c>
      <c r="O179">
        <f t="shared" si="17"/>
        <v>2.5999999999999996</v>
      </c>
      <c r="Q179">
        <v>153</v>
      </c>
      <c r="R179">
        <v>1</v>
      </c>
      <c r="S179">
        <f t="shared" si="18"/>
        <v>1.2</v>
      </c>
      <c r="T179">
        <f t="shared" si="19"/>
        <v>2.5999999999999996</v>
      </c>
      <c r="U179">
        <f t="shared" si="22"/>
        <v>153.6</v>
      </c>
      <c r="W179">
        <v>181.3</v>
      </c>
      <c r="X179">
        <f t="shared" si="23"/>
        <v>9369.1</v>
      </c>
      <c r="Y179">
        <v>8.5883600608238382</v>
      </c>
    </row>
    <row r="180" spans="1:25" x14ac:dyDescent="0.25">
      <c r="A180">
        <v>6360</v>
      </c>
      <c r="B180">
        <v>26330</v>
      </c>
      <c r="C180" s="3">
        <v>43125</v>
      </c>
      <c r="F180" s="45"/>
      <c r="G180">
        <v>7.4</v>
      </c>
      <c r="H180">
        <v>7.1</v>
      </c>
      <c r="I180">
        <v>9</v>
      </c>
      <c r="J180">
        <f t="shared" si="20"/>
        <v>1521.2000000000007</v>
      </c>
      <c r="K180">
        <f t="shared" si="21"/>
        <v>332.29999999999995</v>
      </c>
      <c r="M180">
        <v>0</v>
      </c>
      <c r="N180">
        <v>0.8</v>
      </c>
      <c r="O180">
        <f t="shared" si="17"/>
        <v>-0.8</v>
      </c>
      <c r="Q180">
        <v>154</v>
      </c>
      <c r="R180">
        <v>1</v>
      </c>
      <c r="S180">
        <f t="shared" si="18"/>
        <v>0.8</v>
      </c>
      <c r="T180">
        <f t="shared" si="19"/>
        <v>-0.8</v>
      </c>
      <c r="U180">
        <f t="shared" si="22"/>
        <v>152.79999999999998</v>
      </c>
      <c r="W180">
        <v>244.3</v>
      </c>
      <c r="X180">
        <f t="shared" si="23"/>
        <v>9613.4</v>
      </c>
      <c r="Y180">
        <v>8.6343732240227702</v>
      </c>
    </row>
    <row r="181" spans="1:25" x14ac:dyDescent="0.25">
      <c r="A181">
        <v>6360</v>
      </c>
      <c r="B181">
        <v>26330</v>
      </c>
      <c r="C181" s="3">
        <v>43126</v>
      </c>
      <c r="F181" s="45"/>
      <c r="G181">
        <v>5.4</v>
      </c>
      <c r="H181">
        <v>3.2</v>
      </c>
      <c r="I181">
        <v>8.1999999999999993</v>
      </c>
      <c r="J181">
        <f t="shared" si="20"/>
        <v>1526.6000000000008</v>
      </c>
      <c r="K181">
        <f t="shared" si="21"/>
        <v>337.69999999999993</v>
      </c>
      <c r="M181">
        <v>0</v>
      </c>
      <c r="N181">
        <v>0.6</v>
      </c>
      <c r="O181">
        <f t="shared" si="17"/>
        <v>-0.6</v>
      </c>
      <c r="Q181">
        <v>155</v>
      </c>
      <c r="R181">
        <v>1</v>
      </c>
      <c r="S181">
        <f t="shared" si="18"/>
        <v>0.6</v>
      </c>
      <c r="T181">
        <f t="shared" si="19"/>
        <v>-0.6</v>
      </c>
      <c r="U181">
        <f t="shared" si="22"/>
        <v>152.19999999999999</v>
      </c>
      <c r="W181">
        <v>166.5</v>
      </c>
      <c r="X181">
        <f t="shared" si="23"/>
        <v>9779.9</v>
      </c>
      <c r="Y181">
        <v>8.6812748895430865</v>
      </c>
    </row>
    <row r="182" spans="1:25" x14ac:dyDescent="0.25">
      <c r="A182">
        <v>6360</v>
      </c>
      <c r="B182">
        <v>26330</v>
      </c>
      <c r="C182" s="3">
        <v>43127</v>
      </c>
      <c r="F182" s="45"/>
      <c r="G182">
        <v>5.3</v>
      </c>
      <c r="H182">
        <v>2.7</v>
      </c>
      <c r="I182">
        <v>10.1</v>
      </c>
      <c r="J182">
        <f t="shared" si="20"/>
        <v>1531.9000000000008</v>
      </c>
      <c r="K182">
        <f t="shared" si="21"/>
        <v>342.99999999999994</v>
      </c>
      <c r="M182">
        <v>0.6</v>
      </c>
      <c r="N182">
        <v>1.1000000000000001</v>
      </c>
      <c r="O182">
        <f t="shared" si="17"/>
        <v>-0.50000000000000011</v>
      </c>
      <c r="Q182">
        <v>156</v>
      </c>
      <c r="R182">
        <v>1</v>
      </c>
      <c r="S182">
        <f t="shared" si="18"/>
        <v>1.1000000000000001</v>
      </c>
      <c r="T182">
        <f t="shared" si="19"/>
        <v>-0.50000000000000011</v>
      </c>
      <c r="U182">
        <f t="shared" si="22"/>
        <v>151.69999999999999</v>
      </c>
      <c r="W182">
        <v>242.2</v>
      </c>
      <c r="X182">
        <f t="shared" si="23"/>
        <v>10022.1</v>
      </c>
      <c r="Y182">
        <v>8.7290378310593262</v>
      </c>
    </row>
    <row r="183" spans="1:25" x14ac:dyDescent="0.25">
      <c r="A183">
        <v>6360</v>
      </c>
      <c r="B183">
        <v>26330</v>
      </c>
      <c r="C183" s="3">
        <v>43128</v>
      </c>
      <c r="F183" s="45"/>
      <c r="G183">
        <v>10.3</v>
      </c>
      <c r="H183">
        <v>6.5</v>
      </c>
      <c r="I183">
        <v>10.9</v>
      </c>
      <c r="J183">
        <f t="shared" si="20"/>
        <v>1542.2000000000007</v>
      </c>
      <c r="K183">
        <f t="shared" si="21"/>
        <v>353.29999999999995</v>
      </c>
      <c r="M183">
        <v>0</v>
      </c>
      <c r="N183">
        <v>0.1</v>
      </c>
      <c r="O183">
        <f t="shared" si="17"/>
        <v>-0.1</v>
      </c>
      <c r="Q183">
        <v>157</v>
      </c>
      <c r="R183">
        <v>1</v>
      </c>
      <c r="S183">
        <f t="shared" si="18"/>
        <v>0.1</v>
      </c>
      <c r="T183">
        <f t="shared" si="19"/>
        <v>-0.1</v>
      </c>
      <c r="U183">
        <f t="shared" si="22"/>
        <v>151.6</v>
      </c>
      <c r="W183">
        <v>90.9</v>
      </c>
      <c r="X183">
        <f t="shared" si="23"/>
        <v>10113</v>
      </c>
      <c r="Y183">
        <v>8.777635086198595</v>
      </c>
    </row>
    <row r="184" spans="1:25" x14ac:dyDescent="0.25">
      <c r="A184">
        <v>6360</v>
      </c>
      <c r="B184">
        <v>26330</v>
      </c>
      <c r="C184" s="3">
        <v>43129</v>
      </c>
      <c r="F184" s="45"/>
      <c r="G184">
        <v>9.6</v>
      </c>
      <c r="H184">
        <v>9.9</v>
      </c>
      <c r="I184">
        <v>10.8</v>
      </c>
      <c r="J184">
        <f t="shared" si="20"/>
        <v>1551.8000000000006</v>
      </c>
      <c r="K184">
        <f t="shared" si="21"/>
        <v>362.9</v>
      </c>
      <c r="M184">
        <v>0.2</v>
      </c>
      <c r="N184">
        <v>1.4</v>
      </c>
      <c r="O184">
        <f t="shared" si="17"/>
        <v>-1.2</v>
      </c>
      <c r="Q184">
        <v>158</v>
      </c>
      <c r="R184">
        <v>1</v>
      </c>
      <c r="S184">
        <f t="shared" si="18"/>
        <v>1.4</v>
      </c>
      <c r="T184">
        <f t="shared" si="19"/>
        <v>-1.2</v>
      </c>
      <c r="U184">
        <f t="shared" si="22"/>
        <v>150.4</v>
      </c>
      <c r="W184">
        <v>128.6</v>
      </c>
      <c r="X184">
        <f t="shared" si="23"/>
        <v>10241.6</v>
      </c>
      <c r="Y184">
        <v>8.8270399909705297</v>
      </c>
    </row>
    <row r="185" spans="1:25" x14ac:dyDescent="0.25">
      <c r="A185">
        <v>6360</v>
      </c>
      <c r="B185">
        <v>26330</v>
      </c>
      <c r="C185" s="3">
        <v>43130</v>
      </c>
      <c r="F185" s="45"/>
      <c r="G185">
        <v>6.1</v>
      </c>
      <c r="H185">
        <v>2</v>
      </c>
      <c r="I185">
        <v>9.5</v>
      </c>
      <c r="J185">
        <f t="shared" si="20"/>
        <v>1557.9000000000005</v>
      </c>
      <c r="K185">
        <f t="shared" si="21"/>
        <v>369</v>
      </c>
      <c r="M185">
        <v>1.1000000000000001</v>
      </c>
      <c r="N185">
        <v>0.9</v>
      </c>
      <c r="O185">
        <f t="shared" si="17"/>
        <v>0.20000000000000007</v>
      </c>
      <c r="Q185">
        <v>159</v>
      </c>
      <c r="R185">
        <v>1</v>
      </c>
      <c r="S185">
        <f t="shared" si="18"/>
        <v>0.9</v>
      </c>
      <c r="T185">
        <f t="shared" si="19"/>
        <v>0.20000000000000007</v>
      </c>
      <c r="U185">
        <f t="shared" si="22"/>
        <v>150.6</v>
      </c>
      <c r="W185">
        <v>623.4</v>
      </c>
      <c r="X185">
        <f t="shared" si="23"/>
        <v>10865</v>
      </c>
      <c r="Y185">
        <v>8.8772262114035883</v>
      </c>
    </row>
    <row r="186" spans="1:25" x14ac:dyDescent="0.25">
      <c r="A186">
        <v>6360</v>
      </c>
      <c r="B186">
        <v>26330</v>
      </c>
      <c r="C186" s="3">
        <v>43131</v>
      </c>
      <c r="F186" s="45"/>
      <c r="G186">
        <v>7.4</v>
      </c>
      <c r="H186">
        <v>6.2</v>
      </c>
      <c r="I186">
        <v>9.3000000000000007</v>
      </c>
      <c r="J186">
        <f t="shared" si="20"/>
        <v>1565.3000000000006</v>
      </c>
      <c r="K186">
        <f t="shared" si="21"/>
        <v>376.4</v>
      </c>
      <c r="M186">
        <v>7.7</v>
      </c>
      <c r="N186">
        <v>0.9</v>
      </c>
      <c r="O186">
        <f t="shared" si="17"/>
        <v>6.8</v>
      </c>
      <c r="Q186">
        <v>160</v>
      </c>
      <c r="R186">
        <v>1</v>
      </c>
      <c r="S186">
        <f t="shared" si="18"/>
        <v>0.9</v>
      </c>
      <c r="T186">
        <f t="shared" si="19"/>
        <v>6.8</v>
      </c>
      <c r="U186">
        <f t="shared" si="22"/>
        <v>153.6</v>
      </c>
      <c r="W186">
        <v>185</v>
      </c>
      <c r="X186">
        <f t="shared" si="23"/>
        <v>11050</v>
      </c>
      <c r="Y186">
        <v>8.9281677724313138</v>
      </c>
    </row>
    <row r="187" spans="1:25" x14ac:dyDescent="0.25">
      <c r="A187">
        <v>6360</v>
      </c>
      <c r="B187">
        <v>26330</v>
      </c>
      <c r="C187" s="3">
        <v>43132</v>
      </c>
      <c r="D187" t="s">
        <v>35</v>
      </c>
      <c r="E187">
        <v>31</v>
      </c>
      <c r="F187" s="45"/>
      <c r="G187">
        <v>4.0999999999999996</v>
      </c>
      <c r="H187">
        <v>2.6</v>
      </c>
      <c r="I187">
        <v>5.7</v>
      </c>
      <c r="J187">
        <f t="shared" si="20"/>
        <v>1569.4000000000005</v>
      </c>
      <c r="K187">
        <f t="shared" si="21"/>
        <v>380.5</v>
      </c>
      <c r="M187">
        <v>5.3</v>
      </c>
      <c r="N187">
        <v>0.8</v>
      </c>
      <c r="O187">
        <f t="shared" si="17"/>
        <v>4.5</v>
      </c>
      <c r="Q187">
        <v>161</v>
      </c>
      <c r="R187">
        <v>1</v>
      </c>
      <c r="S187">
        <f t="shared" si="18"/>
        <v>0.8</v>
      </c>
      <c r="T187">
        <f t="shared" si="19"/>
        <v>4.5</v>
      </c>
      <c r="U187">
        <f t="shared" si="22"/>
        <v>153.6</v>
      </c>
      <c r="W187">
        <v>145.69999999999999</v>
      </c>
      <c r="X187">
        <f t="shared" si="23"/>
        <v>11195.7</v>
      </c>
      <c r="Y187">
        <v>8.979839084083995</v>
      </c>
    </row>
    <row r="188" spans="1:25" x14ac:dyDescent="0.25">
      <c r="A188">
        <v>6360</v>
      </c>
      <c r="B188">
        <v>26330</v>
      </c>
      <c r="C188" s="3">
        <v>43133</v>
      </c>
      <c r="F188" s="45"/>
      <c r="G188">
        <v>4.4000000000000004</v>
      </c>
      <c r="H188">
        <v>4.4000000000000004</v>
      </c>
      <c r="I188">
        <v>4.9000000000000004</v>
      </c>
      <c r="J188">
        <f t="shared" si="20"/>
        <v>1573.8000000000006</v>
      </c>
      <c r="K188">
        <f t="shared" si="21"/>
        <v>384.9</v>
      </c>
      <c r="M188">
        <v>5</v>
      </c>
      <c r="N188">
        <v>0.7</v>
      </c>
      <c r="O188">
        <f t="shared" si="17"/>
        <v>4.3</v>
      </c>
      <c r="Q188">
        <v>162</v>
      </c>
      <c r="R188">
        <v>1</v>
      </c>
      <c r="S188">
        <f t="shared" si="18"/>
        <v>0.7</v>
      </c>
      <c r="T188">
        <f t="shared" si="19"/>
        <v>4.3</v>
      </c>
      <c r="U188">
        <f t="shared" si="22"/>
        <v>153.6</v>
      </c>
      <c r="W188">
        <v>91.2</v>
      </c>
      <c r="X188">
        <f t="shared" si="23"/>
        <v>11286.900000000001</v>
      </c>
      <c r="Y188">
        <v>9.0322149650511552</v>
      </c>
    </row>
    <row r="189" spans="1:25" x14ac:dyDescent="0.25">
      <c r="A189">
        <v>6360</v>
      </c>
      <c r="B189">
        <v>26330</v>
      </c>
      <c r="C189" s="3">
        <v>43134</v>
      </c>
      <c r="F189" s="45"/>
      <c r="G189">
        <v>3.6</v>
      </c>
      <c r="H189">
        <v>2.8</v>
      </c>
      <c r="I189">
        <v>5.7</v>
      </c>
      <c r="J189">
        <f t="shared" si="20"/>
        <v>1577.4000000000005</v>
      </c>
      <c r="K189">
        <f t="shared" si="21"/>
        <v>388.5</v>
      </c>
      <c r="M189">
        <v>1.7</v>
      </c>
      <c r="N189">
        <v>0.5</v>
      </c>
      <c r="O189">
        <f t="shared" si="17"/>
        <v>1.2</v>
      </c>
      <c r="Q189">
        <v>163</v>
      </c>
      <c r="R189">
        <v>1</v>
      </c>
      <c r="S189">
        <f t="shared" si="18"/>
        <v>0.5</v>
      </c>
      <c r="T189">
        <f t="shared" si="19"/>
        <v>1.2</v>
      </c>
      <c r="U189">
        <f t="shared" si="22"/>
        <v>153.6</v>
      </c>
      <c r="W189">
        <v>141.6</v>
      </c>
      <c r="X189">
        <f t="shared" si="23"/>
        <v>11428.500000000002</v>
      </c>
      <c r="Y189">
        <v>9.0852706636889327</v>
      </c>
    </row>
    <row r="190" spans="1:25" x14ac:dyDescent="0.25">
      <c r="A190">
        <v>6360</v>
      </c>
      <c r="B190">
        <v>26330</v>
      </c>
      <c r="C190" s="3">
        <v>43135</v>
      </c>
      <c r="F190" s="45"/>
      <c r="G190">
        <v>2.1</v>
      </c>
      <c r="H190">
        <v>0.5</v>
      </c>
      <c r="I190">
        <v>4.3</v>
      </c>
      <c r="J190">
        <f t="shared" si="20"/>
        <v>1579.5000000000005</v>
      </c>
      <c r="K190">
        <f t="shared" si="21"/>
        <v>390.6</v>
      </c>
      <c r="M190">
        <v>0</v>
      </c>
      <c r="N190">
        <v>0.9</v>
      </c>
      <c r="O190">
        <f t="shared" si="17"/>
        <v>-0.9</v>
      </c>
      <c r="Q190">
        <v>164</v>
      </c>
      <c r="R190">
        <v>1</v>
      </c>
      <c r="S190">
        <f t="shared" si="18"/>
        <v>0.9</v>
      </c>
      <c r="T190">
        <f t="shared" si="19"/>
        <v>-0.9</v>
      </c>
      <c r="U190">
        <f t="shared" si="22"/>
        <v>152.69999999999999</v>
      </c>
      <c r="W190">
        <v>443.6</v>
      </c>
      <c r="X190">
        <f t="shared" si="23"/>
        <v>11872.100000000002</v>
      </c>
      <c r="Y190">
        <v>9.1389818765537232</v>
      </c>
    </row>
    <row r="191" spans="1:25" x14ac:dyDescent="0.25">
      <c r="A191">
        <v>6360</v>
      </c>
      <c r="B191">
        <v>26330</v>
      </c>
      <c r="C191" s="3">
        <v>43136</v>
      </c>
      <c r="F191" s="45"/>
      <c r="G191">
        <v>0.9</v>
      </c>
      <c r="H191">
        <v>-0.1</v>
      </c>
      <c r="I191">
        <v>1.9</v>
      </c>
      <c r="J191">
        <f t="shared" si="20"/>
        <v>1580.4000000000005</v>
      </c>
      <c r="K191">
        <f t="shared" si="21"/>
        <v>391.5</v>
      </c>
      <c r="M191">
        <v>0.1</v>
      </c>
      <c r="N191">
        <v>0.8</v>
      </c>
      <c r="O191">
        <f t="shared" si="17"/>
        <v>-0.70000000000000007</v>
      </c>
      <c r="Q191">
        <v>165</v>
      </c>
      <c r="R191">
        <v>1</v>
      </c>
      <c r="S191">
        <f t="shared" si="18"/>
        <v>0.8</v>
      </c>
      <c r="T191">
        <f t="shared" si="19"/>
        <v>-0.70000000000000007</v>
      </c>
      <c r="U191">
        <f t="shared" si="22"/>
        <v>152</v>
      </c>
      <c r="W191">
        <v>660.3</v>
      </c>
      <c r="X191">
        <f t="shared" si="23"/>
        <v>12532.400000000001</v>
      </c>
      <c r="Y191">
        <v>9.19332476454926</v>
      </c>
    </row>
    <row r="192" spans="1:25" x14ac:dyDescent="0.25">
      <c r="A192">
        <v>6360</v>
      </c>
      <c r="B192">
        <v>26330</v>
      </c>
      <c r="C192" s="3">
        <v>43137</v>
      </c>
      <c r="F192" s="45"/>
      <c r="G192">
        <v>-0.6</v>
      </c>
      <c r="H192">
        <v>-1.8</v>
      </c>
      <c r="I192">
        <v>0.7</v>
      </c>
      <c r="J192">
        <v>1580.4</v>
      </c>
      <c r="K192">
        <v>391.5</v>
      </c>
      <c r="M192">
        <v>0</v>
      </c>
      <c r="N192">
        <v>0.7</v>
      </c>
      <c r="O192">
        <f t="shared" si="17"/>
        <v>-0.7</v>
      </c>
      <c r="Q192">
        <v>166</v>
      </c>
      <c r="R192">
        <v>1</v>
      </c>
      <c r="S192">
        <f t="shared" si="18"/>
        <v>0.7</v>
      </c>
      <c r="T192">
        <f t="shared" si="19"/>
        <v>-0.7</v>
      </c>
      <c r="U192">
        <f t="shared" si="22"/>
        <v>151.30000000000001</v>
      </c>
      <c r="W192">
        <v>409.6</v>
      </c>
      <c r="X192">
        <f t="shared" si="23"/>
        <v>12942.000000000002</v>
      </c>
      <c r="Y192">
        <v>9.2482759667790848</v>
      </c>
    </row>
    <row r="193" spans="1:27" x14ac:dyDescent="0.25">
      <c r="A193">
        <v>6360</v>
      </c>
      <c r="B193">
        <v>26330</v>
      </c>
      <c r="C193" s="3">
        <v>43138</v>
      </c>
      <c r="F193" s="45"/>
      <c r="G193">
        <v>-0.7</v>
      </c>
      <c r="H193">
        <v>-2.7</v>
      </c>
      <c r="I193">
        <v>1.4</v>
      </c>
      <c r="J193">
        <v>1580.4</v>
      </c>
      <c r="K193">
        <v>391.5</v>
      </c>
      <c r="M193">
        <v>0</v>
      </c>
      <c r="N193">
        <v>0.8</v>
      </c>
      <c r="O193">
        <f t="shared" si="17"/>
        <v>-0.8</v>
      </c>
      <c r="Q193">
        <v>167</v>
      </c>
      <c r="R193">
        <v>1</v>
      </c>
      <c r="S193">
        <f t="shared" si="18"/>
        <v>0.8</v>
      </c>
      <c r="T193">
        <f t="shared" si="19"/>
        <v>-0.8</v>
      </c>
      <c r="U193">
        <f t="shared" si="22"/>
        <v>150.5</v>
      </c>
      <c r="W193">
        <v>407</v>
      </c>
      <c r="X193">
        <f t="shared" si="23"/>
        <v>13349.000000000002</v>
      </c>
      <c r="Y193">
        <v>9.303812612199879</v>
      </c>
    </row>
    <row r="194" spans="1:27" x14ac:dyDescent="0.25">
      <c r="A194">
        <v>6360</v>
      </c>
      <c r="B194">
        <v>26330</v>
      </c>
      <c r="C194" s="3">
        <v>43139</v>
      </c>
      <c r="F194" s="45"/>
      <c r="G194">
        <v>1.7</v>
      </c>
      <c r="H194">
        <v>-1.1000000000000001</v>
      </c>
      <c r="I194">
        <v>5.2</v>
      </c>
      <c r="J194">
        <f t="shared" si="20"/>
        <v>1582.1000000000001</v>
      </c>
      <c r="K194">
        <f t="shared" si="21"/>
        <v>393.2</v>
      </c>
      <c r="M194">
        <v>0</v>
      </c>
      <c r="N194">
        <v>0.9</v>
      </c>
      <c r="O194">
        <f t="shared" si="17"/>
        <v>-0.9</v>
      </c>
      <c r="Q194">
        <v>168</v>
      </c>
      <c r="R194">
        <v>1</v>
      </c>
      <c r="S194">
        <f t="shared" si="18"/>
        <v>0.9</v>
      </c>
      <c r="T194">
        <f t="shared" si="19"/>
        <v>-0.9</v>
      </c>
      <c r="U194">
        <f t="shared" si="22"/>
        <v>149.6</v>
      </c>
      <c r="W194">
        <v>755.3</v>
      </c>
      <c r="X194">
        <f t="shared" si="23"/>
        <v>14104.300000000001</v>
      </c>
      <c r="Y194">
        <v>9.3599123291736408</v>
      </c>
    </row>
    <row r="195" spans="1:27" x14ac:dyDescent="0.25">
      <c r="A195">
        <v>6360</v>
      </c>
      <c r="B195">
        <v>26330</v>
      </c>
      <c r="C195" s="3">
        <v>43140</v>
      </c>
      <c r="F195" s="45"/>
      <c r="G195">
        <v>1.2</v>
      </c>
      <c r="H195">
        <v>0.1</v>
      </c>
      <c r="I195">
        <v>3.2</v>
      </c>
      <c r="J195">
        <f t="shared" si="20"/>
        <v>1583.3000000000002</v>
      </c>
      <c r="K195">
        <f t="shared" si="21"/>
        <v>394.4</v>
      </c>
      <c r="M195" s="50">
        <v>1.9</v>
      </c>
      <c r="N195">
        <v>0.6</v>
      </c>
      <c r="O195">
        <f t="shared" si="17"/>
        <v>1.2999999999999998</v>
      </c>
      <c r="Q195">
        <v>169</v>
      </c>
      <c r="R195">
        <v>1</v>
      </c>
      <c r="S195">
        <f t="shared" si="18"/>
        <v>0.6</v>
      </c>
      <c r="T195">
        <f t="shared" si="19"/>
        <v>1.2999999999999998</v>
      </c>
      <c r="U195">
        <f t="shared" si="22"/>
        <v>150.9</v>
      </c>
      <c r="W195">
        <v>105.7</v>
      </c>
      <c r="X195">
        <f t="shared" si="23"/>
        <v>14210.000000000002</v>
      </c>
      <c r="Y195">
        <v>9.4165532530182841</v>
      </c>
    </row>
    <row r="196" spans="1:27" x14ac:dyDescent="0.25">
      <c r="A196">
        <v>6360</v>
      </c>
      <c r="B196">
        <v>26330</v>
      </c>
      <c r="C196" s="3">
        <v>43141</v>
      </c>
      <c r="F196" s="45"/>
      <c r="G196">
        <v>3.8</v>
      </c>
      <c r="H196">
        <v>0.8</v>
      </c>
      <c r="I196">
        <v>6.3</v>
      </c>
      <c r="J196">
        <f t="shared" si="20"/>
        <v>1587.1000000000001</v>
      </c>
      <c r="K196">
        <f t="shared" si="21"/>
        <v>398.2</v>
      </c>
      <c r="M196" s="50">
        <v>1.4</v>
      </c>
      <c r="N196">
        <v>1</v>
      </c>
      <c r="O196">
        <f t="shared" si="17"/>
        <v>0.39999999999999991</v>
      </c>
      <c r="Q196">
        <v>170</v>
      </c>
      <c r="R196">
        <v>1</v>
      </c>
      <c r="S196">
        <f t="shared" si="18"/>
        <v>1</v>
      </c>
      <c r="T196">
        <f t="shared" si="19"/>
        <v>0.39999999999999991</v>
      </c>
      <c r="U196">
        <f t="shared" si="22"/>
        <v>151.30000000000001</v>
      </c>
      <c r="W196">
        <v>703</v>
      </c>
      <c r="X196">
        <f t="shared" si="23"/>
        <v>14913.000000000002</v>
      </c>
      <c r="Y196">
        <v>9.4737140316569324</v>
      </c>
    </row>
    <row r="197" spans="1:27" x14ac:dyDescent="0.25">
      <c r="A197">
        <v>6360</v>
      </c>
      <c r="B197">
        <v>26330</v>
      </c>
      <c r="C197" s="3">
        <v>43142</v>
      </c>
      <c r="F197" s="45"/>
      <c r="G197">
        <v>4.9000000000000004</v>
      </c>
      <c r="H197">
        <v>3.4</v>
      </c>
      <c r="I197">
        <v>7.2</v>
      </c>
      <c r="J197">
        <f t="shared" si="20"/>
        <v>1592.0000000000002</v>
      </c>
      <c r="K197">
        <f t="shared" si="21"/>
        <v>403.09999999999997</v>
      </c>
      <c r="M197" s="50">
        <v>0.1</v>
      </c>
      <c r="N197">
        <v>1.4</v>
      </c>
      <c r="O197">
        <f t="shared" ref="O197:O260" si="24">M197-N197</f>
        <v>-1.2999999999999998</v>
      </c>
      <c r="Q197">
        <v>171</v>
      </c>
      <c r="R197">
        <v>1</v>
      </c>
      <c r="S197">
        <f t="shared" ref="S197:S260" si="25">R197*N197</f>
        <v>1.4</v>
      </c>
      <c r="T197">
        <f t="shared" ref="T197:T260" si="26">M197-S197</f>
        <v>-1.2999999999999998</v>
      </c>
      <c r="U197">
        <f t="shared" si="22"/>
        <v>150</v>
      </c>
      <c r="W197">
        <v>789.4</v>
      </c>
      <c r="X197">
        <f t="shared" si="23"/>
        <v>15702.400000000001</v>
      </c>
      <c r="Y197">
        <v>9.531373829466192</v>
      </c>
    </row>
    <row r="198" spans="1:27" x14ac:dyDescent="0.25">
      <c r="A198">
        <v>6360</v>
      </c>
      <c r="B198">
        <v>26330</v>
      </c>
      <c r="C198" s="3">
        <v>43143</v>
      </c>
      <c r="F198" s="45"/>
      <c r="G198">
        <v>2.4</v>
      </c>
      <c r="H198">
        <v>0.9</v>
      </c>
      <c r="I198">
        <v>5.3</v>
      </c>
      <c r="J198">
        <f t="shared" si="20"/>
        <v>1594.4000000000003</v>
      </c>
      <c r="K198">
        <f t="shared" si="21"/>
        <v>405.49999999999994</v>
      </c>
      <c r="M198" s="50">
        <v>0.1</v>
      </c>
      <c r="N198">
        <v>1.3</v>
      </c>
      <c r="O198">
        <f t="shared" si="24"/>
        <v>-1.2</v>
      </c>
      <c r="Q198">
        <v>172</v>
      </c>
      <c r="R198">
        <v>1</v>
      </c>
      <c r="S198">
        <f t="shared" si="25"/>
        <v>1.3</v>
      </c>
      <c r="T198">
        <f t="shared" si="26"/>
        <v>-1.2</v>
      </c>
      <c r="U198">
        <f t="shared" si="22"/>
        <v>148.80000000000001</v>
      </c>
      <c r="W198">
        <v>1007.1</v>
      </c>
      <c r="X198">
        <f t="shared" si="23"/>
        <v>16709.5</v>
      </c>
      <c r="Y198">
        <v>9.5895123294229077</v>
      </c>
    </row>
    <row r="199" spans="1:27" x14ac:dyDescent="0.25">
      <c r="A199">
        <v>6360</v>
      </c>
      <c r="B199">
        <v>26330</v>
      </c>
      <c r="C199" s="3">
        <v>43144</v>
      </c>
      <c r="F199" s="45"/>
      <c r="G199">
        <v>2.6</v>
      </c>
      <c r="H199">
        <v>0.4</v>
      </c>
      <c r="I199">
        <v>5</v>
      </c>
      <c r="J199">
        <f t="shared" si="20"/>
        <v>1597.0000000000002</v>
      </c>
      <c r="K199">
        <f t="shared" si="21"/>
        <v>408.09999999999997</v>
      </c>
      <c r="M199" s="50">
        <v>0.1</v>
      </c>
      <c r="N199">
        <v>1.4</v>
      </c>
      <c r="O199">
        <f t="shared" si="24"/>
        <v>-1.2999999999999998</v>
      </c>
      <c r="Q199">
        <v>173</v>
      </c>
      <c r="R199">
        <v>1</v>
      </c>
      <c r="S199">
        <f t="shared" si="25"/>
        <v>1.4</v>
      </c>
      <c r="T199">
        <f t="shared" si="26"/>
        <v>-1.2999999999999998</v>
      </c>
      <c r="U199">
        <f t="shared" si="22"/>
        <v>147.5</v>
      </c>
      <c r="W199">
        <v>566.9</v>
      </c>
      <c r="X199">
        <f t="shared" si="23"/>
        <v>17276.400000000001</v>
      </c>
      <c r="Y199">
        <v>9.6481097336476704</v>
      </c>
    </row>
    <row r="200" spans="1:27" x14ac:dyDescent="0.25">
      <c r="A200">
        <v>6360</v>
      </c>
      <c r="B200">
        <v>26330</v>
      </c>
      <c r="C200" s="3">
        <v>43145</v>
      </c>
      <c r="F200" s="45"/>
      <c r="G200">
        <v>3.3</v>
      </c>
      <c r="H200">
        <v>0.9</v>
      </c>
      <c r="I200">
        <v>5.0999999999999996</v>
      </c>
      <c r="J200">
        <f t="shared" si="20"/>
        <v>1600.3000000000002</v>
      </c>
      <c r="K200">
        <f t="shared" si="21"/>
        <v>411.4</v>
      </c>
      <c r="M200" s="50">
        <v>3.4</v>
      </c>
      <c r="N200">
        <v>1</v>
      </c>
      <c r="O200">
        <f t="shared" si="24"/>
        <v>2.4</v>
      </c>
      <c r="Q200">
        <v>174</v>
      </c>
      <c r="R200">
        <v>1</v>
      </c>
      <c r="S200">
        <f t="shared" si="25"/>
        <v>1</v>
      </c>
      <c r="T200">
        <f t="shared" si="26"/>
        <v>2.4</v>
      </c>
      <c r="U200">
        <f t="shared" si="22"/>
        <v>149.9</v>
      </c>
      <c r="W200">
        <v>733.7</v>
      </c>
      <c r="X200">
        <f t="shared" si="23"/>
        <v>18010.100000000002</v>
      </c>
      <c r="Y200">
        <v>9.7071467624415035</v>
      </c>
    </row>
    <row r="201" spans="1:27" x14ac:dyDescent="0.25">
      <c r="A201">
        <v>6360</v>
      </c>
      <c r="B201">
        <v>26330</v>
      </c>
      <c r="C201" s="3">
        <v>43146</v>
      </c>
      <c r="F201" s="45"/>
      <c r="G201">
        <v>6.8</v>
      </c>
      <c r="H201">
        <v>4.0999999999999996</v>
      </c>
      <c r="I201">
        <v>11.3</v>
      </c>
      <c r="J201">
        <f t="shared" si="20"/>
        <v>1607.1000000000001</v>
      </c>
      <c r="K201">
        <f t="shared" si="21"/>
        <v>418.2</v>
      </c>
      <c r="M201" s="50">
        <v>0</v>
      </c>
      <c r="N201">
        <v>1.1000000000000001</v>
      </c>
      <c r="O201">
        <f t="shared" si="24"/>
        <v>-1.1000000000000001</v>
      </c>
      <c r="Q201">
        <v>175</v>
      </c>
      <c r="R201">
        <v>1</v>
      </c>
      <c r="S201">
        <f t="shared" si="25"/>
        <v>1.1000000000000001</v>
      </c>
      <c r="T201">
        <f t="shared" si="26"/>
        <v>-1.1000000000000001</v>
      </c>
      <c r="U201">
        <f t="shared" si="22"/>
        <v>148.80000000000001</v>
      </c>
      <c r="W201">
        <v>252.6</v>
      </c>
      <c r="X201">
        <f t="shared" si="23"/>
        <v>18262.7</v>
      </c>
      <c r="Y201">
        <v>9.7666046519098959</v>
      </c>
    </row>
    <row r="202" spans="1:27" x14ac:dyDescent="0.25">
      <c r="A202">
        <v>6360</v>
      </c>
      <c r="B202">
        <v>26330</v>
      </c>
      <c r="C202" s="3">
        <v>43147</v>
      </c>
      <c r="F202" s="45"/>
      <c r="G202">
        <v>4.5</v>
      </c>
      <c r="H202">
        <v>1.9</v>
      </c>
      <c r="I202">
        <v>7.9</v>
      </c>
      <c r="J202">
        <f t="shared" si="20"/>
        <v>1611.6000000000001</v>
      </c>
      <c r="K202">
        <f t="shared" si="21"/>
        <v>422.7</v>
      </c>
      <c r="M202" s="50">
        <v>0</v>
      </c>
      <c r="N202">
        <v>1.1000000000000001</v>
      </c>
      <c r="O202">
        <f t="shared" si="24"/>
        <v>-1.1000000000000001</v>
      </c>
      <c r="Q202">
        <v>176</v>
      </c>
      <c r="R202">
        <v>1</v>
      </c>
      <c r="S202">
        <f t="shared" si="25"/>
        <v>1.1000000000000001</v>
      </c>
      <c r="T202">
        <f t="shared" si="26"/>
        <v>-1.1000000000000001</v>
      </c>
      <c r="U202" s="50">
        <f t="shared" si="22"/>
        <v>147.70000000000002</v>
      </c>
      <c r="W202">
        <v>793</v>
      </c>
      <c r="X202">
        <f t="shared" si="23"/>
        <v>19055.7</v>
      </c>
      <c r="Y202">
        <v>9.8264651502657756</v>
      </c>
    </row>
    <row r="203" spans="1:27" x14ac:dyDescent="0.25">
      <c r="A203">
        <v>6360</v>
      </c>
      <c r="B203">
        <v>26330</v>
      </c>
      <c r="C203" s="3">
        <v>43148</v>
      </c>
      <c r="F203" s="45"/>
      <c r="G203">
        <v>3.5</v>
      </c>
      <c r="H203">
        <v>1.2</v>
      </c>
      <c r="I203">
        <v>7.3</v>
      </c>
      <c r="J203">
        <f t="shared" si="20"/>
        <v>1615.1000000000001</v>
      </c>
      <c r="K203">
        <f t="shared" si="21"/>
        <v>426.2</v>
      </c>
      <c r="M203" s="50">
        <v>0</v>
      </c>
      <c r="N203">
        <v>1</v>
      </c>
      <c r="O203">
        <f t="shared" si="24"/>
        <v>-1</v>
      </c>
      <c r="Q203">
        <v>177</v>
      </c>
      <c r="R203">
        <v>1</v>
      </c>
      <c r="S203">
        <f t="shared" si="25"/>
        <v>1</v>
      </c>
      <c r="T203">
        <f t="shared" si="26"/>
        <v>-1</v>
      </c>
      <c r="U203" s="50">
        <f t="shared" si="22"/>
        <v>146.70000000000002</v>
      </c>
      <c r="W203">
        <v>769</v>
      </c>
      <c r="X203">
        <f t="shared" si="23"/>
        <v>19824.7</v>
      </c>
      <c r="Y203">
        <v>9.8867105129000343</v>
      </c>
    </row>
    <row r="204" spans="1:27" x14ac:dyDescent="0.25">
      <c r="A204">
        <v>6360</v>
      </c>
      <c r="B204">
        <v>26330</v>
      </c>
      <c r="C204" s="3">
        <v>43149</v>
      </c>
      <c r="F204" s="45"/>
      <c r="G204">
        <v>3</v>
      </c>
      <c r="H204">
        <v>-2.4</v>
      </c>
      <c r="I204">
        <v>7.8</v>
      </c>
      <c r="J204">
        <f t="shared" si="20"/>
        <v>1618.1000000000001</v>
      </c>
      <c r="K204">
        <f t="shared" si="21"/>
        <v>429.2</v>
      </c>
      <c r="M204" s="50">
        <v>0.2</v>
      </c>
      <c r="N204">
        <v>1</v>
      </c>
      <c r="O204">
        <f t="shared" si="24"/>
        <v>-0.8</v>
      </c>
      <c r="Q204">
        <v>178</v>
      </c>
      <c r="R204">
        <v>1</v>
      </c>
      <c r="S204">
        <f t="shared" si="25"/>
        <v>1</v>
      </c>
      <c r="T204">
        <f t="shared" si="26"/>
        <v>-0.8</v>
      </c>
      <c r="U204" s="50">
        <f t="shared" si="22"/>
        <v>145.9</v>
      </c>
      <c r="W204">
        <v>807.8</v>
      </c>
      <c r="X204">
        <f t="shared" si="23"/>
        <v>20632.5</v>
      </c>
      <c r="Y204">
        <v>9.9473234963051542</v>
      </c>
    </row>
    <row r="205" spans="1:27" s="51" customFormat="1" x14ac:dyDescent="0.25">
      <c r="A205" s="51">
        <v>6360</v>
      </c>
      <c r="B205" s="51">
        <v>26330</v>
      </c>
      <c r="C205" s="52">
        <v>43150</v>
      </c>
      <c r="F205" s="45"/>
      <c r="G205" s="51">
        <v>2.8</v>
      </c>
      <c r="H205" s="51">
        <v>1.2</v>
      </c>
      <c r="I205" s="51">
        <v>3.8</v>
      </c>
      <c r="J205" s="51">
        <f t="shared" si="20"/>
        <v>1620.9</v>
      </c>
      <c r="K205" s="51">
        <f t="shared" si="21"/>
        <v>432</v>
      </c>
      <c r="M205" s="51">
        <v>3.5</v>
      </c>
      <c r="N205" s="51">
        <v>0.3</v>
      </c>
      <c r="O205" s="51">
        <f t="shared" si="24"/>
        <v>3.2</v>
      </c>
      <c r="Q205" s="51">
        <v>179</v>
      </c>
      <c r="R205" s="51">
        <v>1</v>
      </c>
      <c r="S205" s="51">
        <f t="shared" si="25"/>
        <v>0.3</v>
      </c>
      <c r="T205" s="51">
        <f t="shared" si="26"/>
        <v>3.2</v>
      </c>
      <c r="U205" s="51">
        <f t="shared" si="22"/>
        <v>149.1</v>
      </c>
      <c r="W205" s="51">
        <v>97.1</v>
      </c>
      <c r="X205" s="51">
        <f t="shared" si="23"/>
        <v>20729.599999999999</v>
      </c>
      <c r="Y205" s="51">
        <v>10.008287350933964</v>
      </c>
    </row>
    <row r="206" spans="1:27" x14ac:dyDescent="0.25">
      <c r="A206">
        <v>6360</v>
      </c>
      <c r="B206">
        <v>26330</v>
      </c>
      <c r="C206" s="3">
        <v>43151</v>
      </c>
      <c r="F206" s="45"/>
      <c r="G206">
        <v>3.6</v>
      </c>
      <c r="H206">
        <v>2.7</v>
      </c>
      <c r="I206">
        <v>5.2</v>
      </c>
      <c r="J206">
        <f t="shared" si="20"/>
        <v>1624.5</v>
      </c>
      <c r="K206">
        <f t="shared" si="21"/>
        <v>435.6</v>
      </c>
      <c r="M206" s="50">
        <v>1.3</v>
      </c>
      <c r="N206">
        <v>0.3</v>
      </c>
      <c r="O206">
        <f t="shared" si="24"/>
        <v>1</v>
      </c>
      <c r="Q206">
        <v>180</v>
      </c>
      <c r="R206">
        <v>1</v>
      </c>
      <c r="S206">
        <f t="shared" si="25"/>
        <v>0.3</v>
      </c>
      <c r="T206">
        <f t="shared" si="26"/>
        <v>1</v>
      </c>
      <c r="U206" s="50">
        <f t="shared" si="22"/>
        <v>150.1</v>
      </c>
      <c r="W206">
        <v>195.1</v>
      </c>
      <c r="X206">
        <f t="shared" si="23"/>
        <v>20924.699999999997</v>
      </c>
      <c r="Y206">
        <v>10.069585813072209</v>
      </c>
      <c r="AA206" s="1" t="s">
        <v>60</v>
      </c>
    </row>
    <row r="207" spans="1:27" x14ac:dyDescent="0.25">
      <c r="A207">
        <v>6360</v>
      </c>
      <c r="B207">
        <v>26330</v>
      </c>
      <c r="C207" s="3">
        <v>43152</v>
      </c>
      <c r="F207" s="45"/>
      <c r="G207">
        <v>1.3</v>
      </c>
      <c r="H207">
        <v>-0.4</v>
      </c>
      <c r="I207">
        <v>3.7</v>
      </c>
      <c r="J207">
        <f t="shared" si="20"/>
        <v>1625.8</v>
      </c>
      <c r="K207">
        <f t="shared" si="21"/>
        <v>436.90000000000003</v>
      </c>
      <c r="M207" s="50">
        <v>0</v>
      </c>
      <c r="N207">
        <v>1.1000000000000001</v>
      </c>
      <c r="O207">
        <f t="shared" si="24"/>
        <v>-1.1000000000000001</v>
      </c>
      <c r="Q207">
        <v>181</v>
      </c>
      <c r="R207">
        <v>1</v>
      </c>
      <c r="S207">
        <f t="shared" si="25"/>
        <v>1.1000000000000001</v>
      </c>
      <c r="T207">
        <f t="shared" si="26"/>
        <v>-1.1000000000000001</v>
      </c>
      <c r="U207" s="50">
        <f t="shared" si="22"/>
        <v>149</v>
      </c>
      <c r="W207">
        <v>1053.3</v>
      </c>
      <c r="X207">
        <f t="shared" si="23"/>
        <v>21977.999999999996</v>
      </c>
      <c r="Y207">
        <v>10.131203095799929</v>
      </c>
      <c r="AA207" s="12">
        <f>AVERAGE(U202:U215)</f>
        <v>144.95714285714286</v>
      </c>
    </row>
    <row r="208" spans="1:27" x14ac:dyDescent="0.25">
      <c r="A208">
        <v>6360</v>
      </c>
      <c r="B208">
        <v>26330</v>
      </c>
      <c r="C208" s="3">
        <v>43153</v>
      </c>
      <c r="F208" s="45"/>
      <c r="G208">
        <v>0.5</v>
      </c>
      <c r="H208">
        <v>-2.2999999999999998</v>
      </c>
      <c r="I208">
        <v>3.5</v>
      </c>
      <c r="J208">
        <f t="shared" si="20"/>
        <v>1626.3</v>
      </c>
      <c r="K208">
        <f t="shared" si="21"/>
        <v>437.40000000000003</v>
      </c>
      <c r="M208" s="50">
        <v>0</v>
      </c>
      <c r="N208">
        <v>1.3</v>
      </c>
      <c r="O208">
        <f t="shared" si="24"/>
        <v>-1.3</v>
      </c>
      <c r="Q208">
        <v>182</v>
      </c>
      <c r="R208">
        <v>1</v>
      </c>
      <c r="S208">
        <f t="shared" si="25"/>
        <v>1.3</v>
      </c>
      <c r="T208">
        <f t="shared" si="26"/>
        <v>-1.3</v>
      </c>
      <c r="U208" s="50">
        <f t="shared" si="22"/>
        <v>147.69999999999999</v>
      </c>
      <c r="W208">
        <v>1207.5</v>
      </c>
      <c r="X208">
        <f t="shared" si="23"/>
        <v>23185.499999999996</v>
      </c>
      <c r="Y208">
        <v>10.193123879112957</v>
      </c>
      <c r="AA208" s="1" t="s">
        <v>61</v>
      </c>
    </row>
    <row r="209" spans="1:27" x14ac:dyDescent="0.25">
      <c r="A209">
        <v>6360</v>
      </c>
      <c r="B209">
        <v>26330</v>
      </c>
      <c r="C209" s="3">
        <v>43154</v>
      </c>
      <c r="F209" s="45"/>
      <c r="G209">
        <v>-0.3</v>
      </c>
      <c r="H209">
        <v>-2.7</v>
      </c>
      <c r="I209">
        <v>2.2000000000000002</v>
      </c>
      <c r="J209">
        <v>1626.3</v>
      </c>
      <c r="K209">
        <v>437.4</v>
      </c>
      <c r="M209" s="50">
        <v>0</v>
      </c>
      <c r="N209">
        <v>1.3</v>
      </c>
      <c r="O209">
        <f t="shared" si="24"/>
        <v>-1.3</v>
      </c>
      <c r="Q209">
        <v>183</v>
      </c>
      <c r="R209">
        <v>1</v>
      </c>
      <c r="S209">
        <f t="shared" si="25"/>
        <v>1.3</v>
      </c>
      <c r="T209">
        <f t="shared" si="26"/>
        <v>-1.3</v>
      </c>
      <c r="U209" s="50">
        <f t="shared" si="22"/>
        <v>146.39999999999998</v>
      </c>
      <c r="W209">
        <v>1252.8</v>
      </c>
      <c r="X209">
        <f t="shared" si="23"/>
        <v>24438.299999999996</v>
      </c>
      <c r="Y209">
        <v>10.255333299272179</v>
      </c>
      <c r="AA209">
        <v>3</v>
      </c>
    </row>
    <row r="210" spans="1:27" x14ac:dyDescent="0.25">
      <c r="A210">
        <v>6360</v>
      </c>
      <c r="B210">
        <v>26330</v>
      </c>
      <c r="C210" s="3">
        <v>43155</v>
      </c>
      <c r="F210" s="45"/>
      <c r="G210">
        <v>0.4</v>
      </c>
      <c r="H210">
        <v>-3.1</v>
      </c>
      <c r="I210">
        <v>3.1</v>
      </c>
      <c r="J210">
        <f t="shared" si="20"/>
        <v>1626.7</v>
      </c>
      <c r="K210">
        <f t="shared" si="21"/>
        <v>437.79999999999995</v>
      </c>
      <c r="M210" s="50">
        <v>0</v>
      </c>
      <c r="N210">
        <v>1.6</v>
      </c>
      <c r="O210">
        <f t="shared" si="24"/>
        <v>-1.6</v>
      </c>
      <c r="Q210">
        <v>184</v>
      </c>
      <c r="R210">
        <v>1</v>
      </c>
      <c r="S210">
        <f t="shared" si="25"/>
        <v>1.6</v>
      </c>
      <c r="T210">
        <f t="shared" si="26"/>
        <v>-1.6</v>
      </c>
      <c r="U210" s="50">
        <f t="shared" si="22"/>
        <v>144.79999999999998</v>
      </c>
      <c r="W210">
        <v>1048</v>
      </c>
      <c r="X210">
        <f t="shared" si="23"/>
        <v>25486.299999999996</v>
      </c>
      <c r="Y210">
        <v>10.317816937444499</v>
      </c>
      <c r="AA210" s="1" t="s">
        <v>62</v>
      </c>
    </row>
    <row r="211" spans="1:27" x14ac:dyDescent="0.25">
      <c r="A211">
        <v>6360</v>
      </c>
      <c r="B211">
        <v>26330</v>
      </c>
      <c r="C211" s="3">
        <v>43156</v>
      </c>
      <c r="F211" s="45"/>
      <c r="G211">
        <v>-1.1000000000000001</v>
      </c>
      <c r="H211">
        <v>-2.8</v>
      </c>
      <c r="I211">
        <v>1.2</v>
      </c>
      <c r="J211">
        <v>1626.7</v>
      </c>
      <c r="K211">
        <v>437.8</v>
      </c>
      <c r="M211" s="50">
        <v>0</v>
      </c>
      <c r="N211">
        <v>1.9</v>
      </c>
      <c r="O211">
        <f t="shared" si="24"/>
        <v>-1.9</v>
      </c>
      <c r="Q211">
        <v>185</v>
      </c>
      <c r="R211">
        <v>1</v>
      </c>
      <c r="S211">
        <f t="shared" si="25"/>
        <v>1.9</v>
      </c>
      <c r="T211">
        <f t="shared" si="26"/>
        <v>-1.9</v>
      </c>
      <c r="U211" s="50">
        <f t="shared" si="22"/>
        <v>142.89999999999998</v>
      </c>
      <c r="W211">
        <v>1329.5</v>
      </c>
      <c r="X211">
        <f t="shared" si="23"/>
        <v>26815.799999999996</v>
      </c>
      <c r="Y211">
        <v>10.380560807695739</v>
      </c>
      <c r="AA211">
        <v>9</v>
      </c>
    </row>
    <row r="212" spans="1:27" x14ac:dyDescent="0.25">
      <c r="A212">
        <v>6360</v>
      </c>
      <c r="B212">
        <v>26330</v>
      </c>
      <c r="C212" s="3">
        <v>43157</v>
      </c>
      <c r="F212" s="45"/>
      <c r="G212">
        <v>-3</v>
      </c>
      <c r="H212">
        <v>-4.8</v>
      </c>
      <c r="I212">
        <v>-1.2</v>
      </c>
      <c r="J212">
        <v>1626.7</v>
      </c>
      <c r="K212">
        <v>437.8</v>
      </c>
      <c r="M212" s="50">
        <v>0</v>
      </c>
      <c r="N212">
        <v>1</v>
      </c>
      <c r="O212">
        <f t="shared" si="24"/>
        <v>-1</v>
      </c>
      <c r="Q212">
        <v>186</v>
      </c>
      <c r="R212">
        <v>1</v>
      </c>
      <c r="S212">
        <f t="shared" si="25"/>
        <v>1</v>
      </c>
      <c r="T212">
        <f t="shared" si="26"/>
        <v>-1</v>
      </c>
      <c r="U212" s="50">
        <f t="shared" si="22"/>
        <v>141.89999999999998</v>
      </c>
      <c r="W212">
        <v>558.29999999999995</v>
      </c>
      <c r="X212">
        <f t="shared" si="23"/>
        <v>27374.099999999995</v>
      </c>
      <c r="Y212">
        <v>10.443551344392102</v>
      </c>
      <c r="AA212" s="1" t="s">
        <v>63</v>
      </c>
    </row>
    <row r="213" spans="1:27" x14ac:dyDescent="0.25">
      <c r="A213">
        <v>6360</v>
      </c>
      <c r="B213">
        <v>26330</v>
      </c>
      <c r="C213" s="3">
        <v>43158</v>
      </c>
      <c r="F213" s="45"/>
      <c r="G213">
        <v>-3.9</v>
      </c>
      <c r="H213">
        <v>-6.4</v>
      </c>
      <c r="I213">
        <v>-0.9</v>
      </c>
      <c r="J213">
        <v>1626.7</v>
      </c>
      <c r="K213">
        <v>437.8</v>
      </c>
      <c r="M213" s="50">
        <v>0</v>
      </c>
      <c r="N213">
        <v>1.2</v>
      </c>
      <c r="O213">
        <f t="shared" si="24"/>
        <v>-1.2</v>
      </c>
      <c r="Q213">
        <v>187</v>
      </c>
      <c r="R213">
        <v>1</v>
      </c>
      <c r="S213">
        <f t="shared" si="25"/>
        <v>1.2</v>
      </c>
      <c r="T213">
        <f t="shared" si="26"/>
        <v>-1.2</v>
      </c>
      <c r="U213" s="50">
        <f t="shared" si="22"/>
        <v>140.69999999999999</v>
      </c>
      <c r="W213">
        <v>1329.8</v>
      </c>
      <c r="X213">
        <f t="shared" si="23"/>
        <v>28703.899999999994</v>
      </c>
      <c r="Y213">
        <v>10.506775389063266</v>
      </c>
      <c r="AA213">
        <v>0</v>
      </c>
    </row>
    <row r="214" spans="1:27" x14ac:dyDescent="0.25">
      <c r="A214">
        <v>6360</v>
      </c>
      <c r="B214">
        <v>26330</v>
      </c>
      <c r="C214" s="3">
        <v>43159</v>
      </c>
      <c r="F214" s="45"/>
      <c r="G214">
        <v>-4.8</v>
      </c>
      <c r="H214">
        <v>-7.4</v>
      </c>
      <c r="I214">
        <v>-2.5</v>
      </c>
      <c r="J214">
        <v>1626.7</v>
      </c>
      <c r="K214">
        <v>437.8</v>
      </c>
      <c r="M214" s="50">
        <v>0</v>
      </c>
      <c r="N214">
        <v>1.5</v>
      </c>
      <c r="O214">
        <f t="shared" si="24"/>
        <v>-1.5</v>
      </c>
      <c r="Q214">
        <v>188</v>
      </c>
      <c r="R214">
        <v>1</v>
      </c>
      <c r="S214">
        <f t="shared" si="25"/>
        <v>1.5</v>
      </c>
      <c r="T214">
        <f t="shared" si="26"/>
        <v>-1.5</v>
      </c>
      <c r="U214" s="50">
        <f t="shared" si="22"/>
        <v>139.19999999999999</v>
      </c>
      <c r="W214">
        <v>1289</v>
      </c>
      <c r="X214">
        <f t="shared" si="23"/>
        <v>29992.899999999994</v>
      </c>
      <c r="Y214">
        <v>10.570220176776715</v>
      </c>
      <c r="AA214" s="1" t="s">
        <v>64</v>
      </c>
    </row>
    <row r="215" spans="1:27" x14ac:dyDescent="0.25">
      <c r="A215">
        <v>6360</v>
      </c>
      <c r="B215">
        <v>26330</v>
      </c>
      <c r="C215" s="3">
        <v>43160</v>
      </c>
      <c r="F215" s="45"/>
      <c r="G215">
        <v>-2.1</v>
      </c>
      <c r="H215">
        <v>-5.4</v>
      </c>
      <c r="I215">
        <v>1</v>
      </c>
      <c r="J215">
        <v>1626.7</v>
      </c>
      <c r="K215">
        <v>437.8</v>
      </c>
      <c r="M215" s="50">
        <v>0</v>
      </c>
      <c r="N215">
        <v>1.9</v>
      </c>
      <c r="O215">
        <f t="shared" si="24"/>
        <v>-1.9</v>
      </c>
      <c r="Q215">
        <v>189</v>
      </c>
      <c r="R215">
        <v>1</v>
      </c>
      <c r="S215">
        <f t="shared" si="25"/>
        <v>1.9</v>
      </c>
      <c r="T215">
        <f t="shared" si="26"/>
        <v>-1.9</v>
      </c>
      <c r="U215" s="50">
        <f t="shared" si="22"/>
        <v>137.29999999999998</v>
      </c>
      <c r="W215">
        <v>224.8</v>
      </c>
      <c r="X215">
        <f t="shared" si="23"/>
        <v>30217.699999999993</v>
      </c>
      <c r="Y215">
        <v>10.633873322069451</v>
      </c>
      <c r="AA215">
        <v>1.3</v>
      </c>
    </row>
    <row r="216" spans="1:27" x14ac:dyDescent="0.25">
      <c r="A216">
        <v>6360</v>
      </c>
      <c r="B216">
        <v>26330</v>
      </c>
      <c r="C216" s="3">
        <v>43161</v>
      </c>
      <c r="F216" s="45"/>
      <c r="G216">
        <v>-1.1000000000000001</v>
      </c>
      <c r="H216">
        <v>-1.6</v>
      </c>
      <c r="I216">
        <v>-0.6</v>
      </c>
      <c r="J216">
        <v>1626.7</v>
      </c>
      <c r="K216">
        <v>437.8</v>
      </c>
      <c r="M216">
        <v>0.1</v>
      </c>
      <c r="N216">
        <v>1.2</v>
      </c>
      <c r="O216">
        <f t="shared" si="24"/>
        <v>-1.0999999999999999</v>
      </c>
      <c r="Q216">
        <v>190</v>
      </c>
      <c r="R216">
        <v>1</v>
      </c>
      <c r="S216">
        <f t="shared" si="25"/>
        <v>1.2</v>
      </c>
      <c r="T216">
        <f t="shared" si="26"/>
        <v>-1.0999999999999999</v>
      </c>
      <c r="U216">
        <f t="shared" si="22"/>
        <v>136.19999999999999</v>
      </c>
      <c r="W216">
        <v>232.3</v>
      </c>
      <c r="X216">
        <f t="shared" si="23"/>
        <v>30449.999999999993</v>
      </c>
      <c r="Y216">
        <v>10.697722804480122</v>
      </c>
    </row>
    <row r="217" spans="1:27" x14ac:dyDescent="0.25">
      <c r="A217">
        <v>6360</v>
      </c>
      <c r="B217">
        <v>26330</v>
      </c>
      <c r="C217" s="3">
        <v>43162</v>
      </c>
      <c r="F217" s="45"/>
      <c r="G217">
        <v>2.1</v>
      </c>
      <c r="H217">
        <v>-3.2</v>
      </c>
      <c r="I217">
        <v>7.1</v>
      </c>
      <c r="J217">
        <f t="shared" si="20"/>
        <v>1628.8</v>
      </c>
      <c r="K217">
        <f t="shared" si="21"/>
        <v>439.90000000000003</v>
      </c>
      <c r="M217">
        <v>0.2</v>
      </c>
      <c r="N217">
        <v>1.1000000000000001</v>
      </c>
      <c r="O217">
        <f t="shared" si="24"/>
        <v>-0.90000000000000013</v>
      </c>
      <c r="Q217">
        <v>191</v>
      </c>
      <c r="R217">
        <v>1</v>
      </c>
      <c r="S217">
        <f t="shared" si="25"/>
        <v>1.1000000000000001</v>
      </c>
      <c r="T217">
        <f t="shared" si="26"/>
        <v>-0.90000000000000013</v>
      </c>
      <c r="U217">
        <f t="shared" si="22"/>
        <v>135.29999999999998</v>
      </c>
      <c r="W217">
        <v>870.4</v>
      </c>
      <c r="X217">
        <f t="shared" si="23"/>
        <v>31320.399999999994</v>
      </c>
      <c r="Y217">
        <v>10.761756953721289</v>
      </c>
    </row>
    <row r="218" spans="1:27" s="4" customFormat="1" ht="15.75" thickBot="1" x14ac:dyDescent="0.3">
      <c r="A218" s="4">
        <v>6360</v>
      </c>
      <c r="B218" s="4">
        <v>26330</v>
      </c>
      <c r="C218" s="5">
        <v>43163</v>
      </c>
      <c r="D218" s="4" t="s">
        <v>32</v>
      </c>
      <c r="F218" s="46"/>
      <c r="G218" s="4">
        <v>3.8</v>
      </c>
      <c r="H218" s="4">
        <v>1.5</v>
      </c>
      <c r="I218" s="4">
        <v>6.2</v>
      </c>
      <c r="J218" s="4">
        <f t="shared" si="20"/>
        <v>1632.6</v>
      </c>
      <c r="K218" s="4">
        <f t="shared" si="21"/>
        <v>443.70000000000005</v>
      </c>
      <c r="M218" s="4">
        <v>6.2</v>
      </c>
      <c r="N218" s="4">
        <v>0.6</v>
      </c>
      <c r="O218" s="4">
        <f t="shared" si="24"/>
        <v>5.6000000000000005</v>
      </c>
      <c r="Q218" s="4">
        <v>192</v>
      </c>
      <c r="R218" s="4">
        <v>1</v>
      </c>
      <c r="S218" s="4">
        <f t="shared" si="25"/>
        <v>0.6</v>
      </c>
      <c r="T218" s="4">
        <f t="shared" si="26"/>
        <v>5.6000000000000005</v>
      </c>
      <c r="U218" s="4">
        <f t="shared" si="22"/>
        <v>140.89999999999998</v>
      </c>
      <c r="W218" s="4">
        <v>288.39999999999998</v>
      </c>
      <c r="X218" s="4">
        <f t="shared" si="23"/>
        <v>31608.799999999996</v>
      </c>
      <c r="Y218" s="4">
        <v>10.825964434528656</v>
      </c>
    </row>
    <row r="219" spans="1:27" x14ac:dyDescent="0.25">
      <c r="A219">
        <v>6360</v>
      </c>
      <c r="B219">
        <v>26330</v>
      </c>
      <c r="C219" s="3">
        <v>43164</v>
      </c>
      <c r="F219" s="41" t="s">
        <v>57</v>
      </c>
      <c r="G219">
        <v>5.5</v>
      </c>
      <c r="H219">
        <v>1.8</v>
      </c>
      <c r="I219">
        <v>7.8</v>
      </c>
      <c r="J219">
        <f t="shared" si="20"/>
        <v>1638.1</v>
      </c>
      <c r="K219">
        <f>G219</f>
        <v>5.5</v>
      </c>
      <c r="L219" s="16" t="s">
        <v>37</v>
      </c>
      <c r="M219">
        <v>0</v>
      </c>
      <c r="N219">
        <v>0.7</v>
      </c>
      <c r="O219">
        <f t="shared" si="24"/>
        <v>-0.7</v>
      </c>
      <c r="Q219">
        <v>193</v>
      </c>
      <c r="R219">
        <f>1+((Q219-192)/42)*(1.15-1)</f>
        <v>1.0035714285714286</v>
      </c>
      <c r="S219">
        <f t="shared" si="25"/>
        <v>0.7024999999999999</v>
      </c>
      <c r="T219">
        <f t="shared" si="26"/>
        <v>-0.7024999999999999</v>
      </c>
      <c r="U219">
        <f t="shared" si="22"/>
        <v>140.19749999999999</v>
      </c>
      <c r="V219" s="17" t="s">
        <v>44</v>
      </c>
      <c r="W219">
        <v>528.4</v>
      </c>
      <c r="X219">
        <f>W219</f>
        <v>528.4</v>
      </c>
      <c r="Y219">
        <v>10.890334231221111</v>
      </c>
      <c r="Z219" s="17" t="s">
        <v>49</v>
      </c>
    </row>
    <row r="220" spans="1:27" x14ac:dyDescent="0.25">
      <c r="A220">
        <v>6360</v>
      </c>
      <c r="B220">
        <v>26330</v>
      </c>
      <c r="C220" s="3">
        <v>43165</v>
      </c>
      <c r="F220" s="42"/>
      <c r="G220">
        <v>6.8</v>
      </c>
      <c r="H220">
        <v>4.4000000000000004</v>
      </c>
      <c r="I220">
        <v>10</v>
      </c>
      <c r="J220">
        <f t="shared" si="20"/>
        <v>1644.8999999999999</v>
      </c>
      <c r="K220">
        <f t="shared" si="21"/>
        <v>12.3</v>
      </c>
      <c r="L220" s="8">
        <v>324.3</v>
      </c>
      <c r="M220">
        <v>1.5</v>
      </c>
      <c r="N220">
        <v>1.2</v>
      </c>
      <c r="O220">
        <f t="shared" si="24"/>
        <v>0.30000000000000004</v>
      </c>
      <c r="Q220">
        <v>194</v>
      </c>
      <c r="R220">
        <f t="shared" ref="R220:R260" si="27">1+((Q220-192)/42)*(1.15-1)</f>
        <v>1.0071428571428571</v>
      </c>
      <c r="S220">
        <f t="shared" si="25"/>
        <v>1.2085714285714284</v>
      </c>
      <c r="T220">
        <f t="shared" si="26"/>
        <v>0.29142857142857159</v>
      </c>
      <c r="U220">
        <f t="shared" si="22"/>
        <v>140.48892857142857</v>
      </c>
      <c r="V220">
        <v>0</v>
      </c>
      <c r="W220">
        <v>789.2</v>
      </c>
      <c r="X220">
        <f t="shared" si="23"/>
        <v>1317.6</v>
      </c>
      <c r="Y220">
        <v>10.954855632002754</v>
      </c>
      <c r="Z220">
        <v>28332.2</v>
      </c>
    </row>
    <row r="221" spans="1:27" x14ac:dyDescent="0.25">
      <c r="A221">
        <v>6360</v>
      </c>
      <c r="B221">
        <v>26330</v>
      </c>
      <c r="C221" s="3">
        <v>43166</v>
      </c>
      <c r="F221" s="42"/>
      <c r="G221">
        <v>5</v>
      </c>
      <c r="H221">
        <v>3.7</v>
      </c>
      <c r="I221">
        <v>6.6</v>
      </c>
      <c r="J221">
        <f t="shared" ref="J221:J284" si="28">J220+G221</f>
        <v>1649.8999999999999</v>
      </c>
      <c r="K221">
        <f t="shared" ref="K221:K284" si="29">K220+G221</f>
        <v>17.3</v>
      </c>
      <c r="L221" s="16" t="s">
        <v>38</v>
      </c>
      <c r="M221">
        <v>6.3</v>
      </c>
      <c r="N221">
        <v>0.5</v>
      </c>
      <c r="O221">
        <f t="shared" si="24"/>
        <v>5.8</v>
      </c>
      <c r="Q221">
        <v>195</v>
      </c>
      <c r="R221">
        <f t="shared" si="27"/>
        <v>1.0107142857142857</v>
      </c>
      <c r="S221">
        <f t="shared" si="25"/>
        <v>0.50535714285714284</v>
      </c>
      <c r="T221">
        <f t="shared" si="26"/>
        <v>5.7946428571428568</v>
      </c>
      <c r="U221">
        <f t="shared" ref="U221:U284" si="30">MIN(T221+U220,153.6)</f>
        <v>146.28357142857143</v>
      </c>
      <c r="V221" s="17" t="s">
        <v>45</v>
      </c>
      <c r="W221">
        <v>138.4</v>
      </c>
      <c r="X221">
        <f t="shared" ref="X221:X284" si="31">X220+W221</f>
        <v>1456</v>
      </c>
      <c r="Y221">
        <v>11.019518213035418</v>
      </c>
      <c r="Z221" s="17" t="s">
        <v>50</v>
      </c>
    </row>
    <row r="222" spans="1:27" x14ac:dyDescent="0.25">
      <c r="A222">
        <v>6360</v>
      </c>
      <c r="B222">
        <v>26330</v>
      </c>
      <c r="C222" s="3">
        <v>43167</v>
      </c>
      <c r="F222" s="42"/>
      <c r="G222">
        <v>5.2</v>
      </c>
      <c r="H222">
        <v>2.6</v>
      </c>
      <c r="I222">
        <v>6.5</v>
      </c>
      <c r="J222">
        <f t="shared" si="28"/>
        <v>1655.1</v>
      </c>
      <c r="K222">
        <f t="shared" si="29"/>
        <v>22.5</v>
      </c>
      <c r="L222" s="9">
        <f>AVERAGE(G219:G260)</f>
        <v>7.7023809523809526</v>
      </c>
      <c r="M222">
        <v>3.7</v>
      </c>
      <c r="N222">
        <v>1</v>
      </c>
      <c r="O222">
        <f t="shared" si="24"/>
        <v>2.7</v>
      </c>
      <c r="Q222">
        <v>196</v>
      </c>
      <c r="R222">
        <f t="shared" si="27"/>
        <v>1.0142857142857142</v>
      </c>
      <c r="S222">
        <f t="shared" si="25"/>
        <v>1.0142857142857142</v>
      </c>
      <c r="T222">
        <f t="shared" si="26"/>
        <v>2.6857142857142859</v>
      </c>
      <c r="U222">
        <f t="shared" si="30"/>
        <v>148.96928571428572</v>
      </c>
      <c r="V222">
        <v>0</v>
      </c>
      <c r="W222">
        <v>760.9</v>
      </c>
      <c r="X222">
        <f t="shared" si="31"/>
        <v>2216.9</v>
      </c>
      <c r="Y222">
        <v>11.084311822307768</v>
      </c>
      <c r="Z222">
        <f>(Z220/100)/L220</f>
        <v>0.87364168979340118</v>
      </c>
    </row>
    <row r="223" spans="1:27" x14ac:dyDescent="0.25">
      <c r="A223">
        <v>6360</v>
      </c>
      <c r="B223">
        <v>26330</v>
      </c>
      <c r="C223" s="3">
        <v>43168</v>
      </c>
      <c r="F223" s="42"/>
      <c r="G223">
        <v>6.7</v>
      </c>
      <c r="H223">
        <v>3</v>
      </c>
      <c r="I223">
        <v>10</v>
      </c>
      <c r="J223">
        <f t="shared" si="28"/>
        <v>1661.8</v>
      </c>
      <c r="K223">
        <f t="shared" si="29"/>
        <v>29.2</v>
      </c>
      <c r="L223" s="16" t="s">
        <v>39</v>
      </c>
      <c r="M223">
        <v>1.9</v>
      </c>
      <c r="N223">
        <v>0.6</v>
      </c>
      <c r="O223">
        <f t="shared" si="24"/>
        <v>1.2999999999999998</v>
      </c>
      <c r="Q223">
        <v>197</v>
      </c>
      <c r="R223">
        <f t="shared" si="27"/>
        <v>1.0178571428571428</v>
      </c>
      <c r="S223">
        <f t="shared" si="25"/>
        <v>0.61071428571428565</v>
      </c>
      <c r="T223">
        <f t="shared" si="26"/>
        <v>1.2892857142857141</v>
      </c>
      <c r="U223">
        <f t="shared" si="30"/>
        <v>150.25857142857143</v>
      </c>
      <c r="V223" s="17" t="s">
        <v>46</v>
      </c>
      <c r="W223">
        <v>352.8</v>
      </c>
      <c r="X223">
        <f t="shared" si="31"/>
        <v>2569.7000000000003</v>
      </c>
      <c r="Y223">
        <v>11.149226563324682</v>
      </c>
      <c r="Z223" s="17" t="s">
        <v>51</v>
      </c>
    </row>
    <row r="224" spans="1:27" x14ac:dyDescent="0.25">
      <c r="A224">
        <v>6360</v>
      </c>
      <c r="B224">
        <v>26330</v>
      </c>
      <c r="C224" s="3">
        <v>43169</v>
      </c>
      <c r="F224" s="42"/>
      <c r="G224">
        <v>11</v>
      </c>
      <c r="H224">
        <v>8.9</v>
      </c>
      <c r="I224">
        <v>12.7</v>
      </c>
      <c r="J224">
        <f t="shared" si="28"/>
        <v>1672.8</v>
      </c>
      <c r="K224">
        <f t="shared" si="29"/>
        <v>40.200000000000003</v>
      </c>
      <c r="L224" s="10">
        <f>MIN(H219:H260)</f>
        <v>-1.7</v>
      </c>
      <c r="M224">
        <v>13.3</v>
      </c>
      <c r="N224">
        <v>0.6</v>
      </c>
      <c r="O224">
        <f t="shared" si="24"/>
        <v>12.700000000000001</v>
      </c>
      <c r="Q224">
        <v>198</v>
      </c>
      <c r="R224">
        <f t="shared" si="27"/>
        <v>1.0214285714285714</v>
      </c>
      <c r="S224">
        <f t="shared" si="25"/>
        <v>0.61285714285714277</v>
      </c>
      <c r="T224">
        <f t="shared" si="26"/>
        <v>12.687142857142858</v>
      </c>
      <c r="U224">
        <f t="shared" si="30"/>
        <v>153.6</v>
      </c>
      <c r="V224" s="12">
        <f>MIN(U219:U260)</f>
        <v>140.19749999999999</v>
      </c>
      <c r="W224">
        <v>237.6</v>
      </c>
      <c r="X224">
        <f t="shared" si="31"/>
        <v>2807.3</v>
      </c>
      <c r="Y224">
        <v>11.214252778638537</v>
      </c>
      <c r="Z224">
        <v>29</v>
      </c>
    </row>
    <row r="225" spans="1:25" x14ac:dyDescent="0.25">
      <c r="A225">
        <v>6360</v>
      </c>
      <c r="B225">
        <v>26330</v>
      </c>
      <c r="C225" s="3">
        <v>43170</v>
      </c>
      <c r="F225" s="42"/>
      <c r="G225">
        <v>11</v>
      </c>
      <c r="H225">
        <v>8.6</v>
      </c>
      <c r="I225">
        <v>13.3</v>
      </c>
      <c r="J225">
        <f t="shared" si="28"/>
        <v>1683.8</v>
      </c>
      <c r="K225">
        <f t="shared" si="29"/>
        <v>51.2</v>
      </c>
      <c r="L225" s="16" t="s">
        <v>40</v>
      </c>
      <c r="M225">
        <v>2.5</v>
      </c>
      <c r="N225">
        <v>0.6</v>
      </c>
      <c r="O225">
        <f t="shared" si="24"/>
        <v>1.9</v>
      </c>
      <c r="Q225">
        <v>199</v>
      </c>
      <c r="R225">
        <f t="shared" si="27"/>
        <v>1.0249999999999999</v>
      </c>
      <c r="S225">
        <f t="shared" si="25"/>
        <v>0.61499999999999988</v>
      </c>
      <c r="T225">
        <f t="shared" si="26"/>
        <v>1.8850000000000002</v>
      </c>
      <c r="U225">
        <f t="shared" si="30"/>
        <v>153.6</v>
      </c>
      <c r="V225" s="17" t="s">
        <v>47</v>
      </c>
      <c r="W225">
        <v>287.7</v>
      </c>
      <c r="X225">
        <f t="shared" si="31"/>
        <v>3095</v>
      </c>
      <c r="Y225">
        <v>11.279381033241878</v>
      </c>
    </row>
    <row r="226" spans="1:25" x14ac:dyDescent="0.25">
      <c r="A226">
        <v>6360</v>
      </c>
      <c r="B226">
        <v>26330</v>
      </c>
      <c r="C226" s="3">
        <v>43171</v>
      </c>
      <c r="F226" s="42"/>
      <c r="G226">
        <v>9.1999999999999993</v>
      </c>
      <c r="H226">
        <v>8.3000000000000007</v>
      </c>
      <c r="I226">
        <v>10.7</v>
      </c>
      <c r="J226">
        <f t="shared" si="28"/>
        <v>1693</v>
      </c>
      <c r="K226">
        <f t="shared" si="29"/>
        <v>60.400000000000006</v>
      </c>
      <c r="L226" s="8">
        <f>MAX(I219:I260)</f>
        <v>20</v>
      </c>
      <c r="M226">
        <v>4</v>
      </c>
      <c r="N226">
        <v>1.3</v>
      </c>
      <c r="O226">
        <f t="shared" si="24"/>
        <v>2.7</v>
      </c>
      <c r="Q226">
        <v>200</v>
      </c>
      <c r="R226">
        <f t="shared" si="27"/>
        <v>1.0285714285714285</v>
      </c>
      <c r="S226">
        <f t="shared" si="25"/>
        <v>1.337142857142857</v>
      </c>
      <c r="T226">
        <f t="shared" si="26"/>
        <v>2.6628571428571428</v>
      </c>
      <c r="U226">
        <f t="shared" si="30"/>
        <v>153.6</v>
      </c>
      <c r="V226" s="12">
        <f>MAX(U219:U260)</f>
        <v>153.6</v>
      </c>
      <c r="W226">
        <v>571.4</v>
      </c>
      <c r="X226">
        <f t="shared" si="31"/>
        <v>3666.4</v>
      </c>
      <c r="Y226">
        <v>11.344602097839152</v>
      </c>
    </row>
    <row r="227" spans="1:25" x14ac:dyDescent="0.25">
      <c r="A227">
        <v>6360</v>
      </c>
      <c r="B227">
        <v>26330</v>
      </c>
      <c r="C227" s="3">
        <v>43172</v>
      </c>
      <c r="F227" s="42"/>
      <c r="G227">
        <v>6.6</v>
      </c>
      <c r="H227">
        <v>5.5</v>
      </c>
      <c r="I227">
        <v>7.7</v>
      </c>
      <c r="J227">
        <f t="shared" si="28"/>
        <v>1699.6</v>
      </c>
      <c r="K227">
        <f t="shared" si="29"/>
        <v>67</v>
      </c>
      <c r="L227" s="16" t="s">
        <v>41</v>
      </c>
      <c r="M227">
        <v>1.7</v>
      </c>
      <c r="N227">
        <v>0.5</v>
      </c>
      <c r="O227">
        <f t="shared" si="24"/>
        <v>1.2</v>
      </c>
      <c r="Q227">
        <v>201</v>
      </c>
      <c r="R227">
        <f t="shared" si="27"/>
        <v>1.032142857142857</v>
      </c>
      <c r="S227">
        <f t="shared" si="25"/>
        <v>0.51607142857142851</v>
      </c>
      <c r="T227">
        <f t="shared" si="26"/>
        <v>1.1839285714285714</v>
      </c>
      <c r="U227">
        <f t="shared" si="30"/>
        <v>153.6</v>
      </c>
      <c r="V227" s="17" t="s">
        <v>48</v>
      </c>
      <c r="W227">
        <v>235.6</v>
      </c>
      <c r="X227">
        <f t="shared" si="31"/>
        <v>3902</v>
      </c>
      <c r="Y227">
        <v>11.40990693201338</v>
      </c>
    </row>
    <row r="228" spans="1:25" x14ac:dyDescent="0.25">
      <c r="A228">
        <v>6360</v>
      </c>
      <c r="B228">
        <v>26330</v>
      </c>
      <c r="C228" s="3">
        <v>43173</v>
      </c>
      <c r="F228" s="42"/>
      <c r="G228">
        <v>7.5</v>
      </c>
      <c r="H228">
        <v>1.5</v>
      </c>
      <c r="I228">
        <v>11.9</v>
      </c>
      <c r="J228">
        <f t="shared" si="28"/>
        <v>1707.1</v>
      </c>
      <c r="K228">
        <f t="shared" si="29"/>
        <v>74.5</v>
      </c>
      <c r="L228" s="8">
        <v>0</v>
      </c>
      <c r="M228">
        <v>0</v>
      </c>
      <c r="N228">
        <v>1.7</v>
      </c>
      <c r="O228">
        <f t="shared" si="24"/>
        <v>-1.7</v>
      </c>
      <c r="Q228">
        <v>202</v>
      </c>
      <c r="R228">
        <f t="shared" si="27"/>
        <v>1.0357142857142856</v>
      </c>
      <c r="S228">
        <f t="shared" si="25"/>
        <v>1.7607142857142855</v>
      </c>
      <c r="T228">
        <f t="shared" si="26"/>
        <v>-1.7607142857142855</v>
      </c>
      <c r="U228">
        <f t="shared" si="30"/>
        <v>151.83928571428572</v>
      </c>
      <c r="V228" s="12">
        <f>AVERAGE(U219:U260)</f>
        <v>149.47520408163268</v>
      </c>
      <c r="W228">
        <v>1176.5</v>
      </c>
      <c r="X228">
        <f t="shared" si="31"/>
        <v>5078.5</v>
      </c>
      <c r="Y228">
        <v>11.475286667302106</v>
      </c>
    </row>
    <row r="229" spans="1:25" x14ac:dyDescent="0.25">
      <c r="A229">
        <v>6360</v>
      </c>
      <c r="B229">
        <v>26330</v>
      </c>
      <c r="C229" s="3">
        <v>43174</v>
      </c>
      <c r="F229" s="42"/>
      <c r="G229">
        <v>8.3000000000000007</v>
      </c>
      <c r="H229">
        <v>7.5</v>
      </c>
      <c r="I229">
        <v>9.6999999999999993</v>
      </c>
      <c r="J229">
        <f t="shared" si="28"/>
        <v>1715.3999999999999</v>
      </c>
      <c r="K229">
        <f t="shared" si="29"/>
        <v>82.8</v>
      </c>
      <c r="L229" s="16" t="s">
        <v>42</v>
      </c>
      <c r="M229">
        <v>2.1</v>
      </c>
      <c r="N229">
        <v>1</v>
      </c>
      <c r="O229">
        <f t="shared" si="24"/>
        <v>1.1000000000000001</v>
      </c>
      <c r="Q229">
        <v>203</v>
      </c>
      <c r="R229">
        <f t="shared" si="27"/>
        <v>1.0392857142857144</v>
      </c>
      <c r="S229">
        <f t="shared" si="25"/>
        <v>1.0392857142857144</v>
      </c>
      <c r="T229">
        <f t="shared" si="26"/>
        <v>1.0607142857142857</v>
      </c>
      <c r="U229">
        <f t="shared" si="30"/>
        <v>152.9</v>
      </c>
      <c r="W229">
        <v>352.6</v>
      </c>
      <c r="X229">
        <f t="shared" si="31"/>
        <v>5431.1</v>
      </c>
      <c r="Y229">
        <v>11.540732590195397</v>
      </c>
    </row>
    <row r="230" spans="1:25" x14ac:dyDescent="0.25">
      <c r="A230">
        <v>6360</v>
      </c>
      <c r="B230">
        <v>26330</v>
      </c>
      <c r="C230" s="3">
        <v>43175</v>
      </c>
      <c r="F230" s="42"/>
      <c r="G230">
        <v>8.6</v>
      </c>
      <c r="H230">
        <v>6.9</v>
      </c>
      <c r="I230">
        <v>11.5</v>
      </c>
      <c r="J230">
        <f t="shared" si="28"/>
        <v>1723.9999999999998</v>
      </c>
      <c r="K230">
        <f t="shared" si="29"/>
        <v>91.399999999999991</v>
      </c>
      <c r="L230" s="8">
        <v>16</v>
      </c>
      <c r="M230">
        <v>0.6</v>
      </c>
      <c r="N230">
        <v>1.5</v>
      </c>
      <c r="O230">
        <f t="shared" si="24"/>
        <v>-0.9</v>
      </c>
      <c r="Q230">
        <v>204</v>
      </c>
      <c r="R230">
        <f t="shared" si="27"/>
        <v>1.0428571428571429</v>
      </c>
      <c r="S230">
        <f t="shared" si="25"/>
        <v>1.5642857142857145</v>
      </c>
      <c r="T230">
        <f t="shared" si="26"/>
        <v>-0.96428571428571452</v>
      </c>
      <c r="U230">
        <f t="shared" si="30"/>
        <v>151.93571428571428</v>
      </c>
      <c r="V230" s="13">
        <f>(V228*100)/153.6</f>
        <v>97.314585990646293</v>
      </c>
      <c r="W230">
        <v>1036</v>
      </c>
      <c r="X230">
        <f t="shared" si="31"/>
        <v>6467.1</v>
      </c>
      <c r="Y230">
        <v>11.606236125067479</v>
      </c>
    </row>
    <row r="231" spans="1:25" x14ac:dyDescent="0.25">
      <c r="A231">
        <v>6360</v>
      </c>
      <c r="B231">
        <v>26330</v>
      </c>
      <c r="C231" s="3">
        <v>43176</v>
      </c>
      <c r="F231" s="42"/>
      <c r="G231">
        <v>0.2</v>
      </c>
      <c r="H231">
        <v>-1.2</v>
      </c>
      <c r="I231">
        <v>0.8</v>
      </c>
      <c r="J231">
        <f t="shared" si="28"/>
        <v>1724.1999999999998</v>
      </c>
      <c r="K231">
        <f t="shared" si="29"/>
        <v>91.6</v>
      </c>
      <c r="L231" s="16" t="s">
        <v>43</v>
      </c>
      <c r="M231">
        <v>0</v>
      </c>
      <c r="N231">
        <v>0.4</v>
      </c>
      <c r="O231">
        <f t="shared" si="24"/>
        <v>-0.4</v>
      </c>
      <c r="Q231">
        <v>205</v>
      </c>
      <c r="R231">
        <f t="shared" si="27"/>
        <v>1.0464285714285715</v>
      </c>
      <c r="S231">
        <f t="shared" si="25"/>
        <v>0.41857142857142859</v>
      </c>
      <c r="T231">
        <f t="shared" si="26"/>
        <v>-0.41857142857142859</v>
      </c>
      <c r="U231">
        <f t="shared" si="30"/>
        <v>151.51714285714286</v>
      </c>
      <c r="W231">
        <v>261.2</v>
      </c>
      <c r="X231">
        <f t="shared" si="31"/>
        <v>6728.3</v>
      </c>
      <c r="Y231">
        <v>11.671788817052288</v>
      </c>
    </row>
    <row r="232" spans="1:25" x14ac:dyDescent="0.25">
      <c r="A232">
        <v>6360</v>
      </c>
      <c r="B232">
        <v>26330</v>
      </c>
      <c r="C232" s="3">
        <v>43177</v>
      </c>
      <c r="F232" s="42"/>
      <c r="G232">
        <v>-0.8</v>
      </c>
      <c r="H232">
        <v>-1.7</v>
      </c>
      <c r="I232">
        <v>-0.2</v>
      </c>
      <c r="J232">
        <v>1724.2</v>
      </c>
      <c r="K232">
        <v>91.6</v>
      </c>
      <c r="L232" s="8">
        <v>4</v>
      </c>
      <c r="M232">
        <v>0</v>
      </c>
      <c r="N232">
        <v>1</v>
      </c>
      <c r="O232">
        <f t="shared" si="24"/>
        <v>-1</v>
      </c>
      <c r="Q232">
        <v>206</v>
      </c>
      <c r="R232">
        <f t="shared" si="27"/>
        <v>1.05</v>
      </c>
      <c r="S232">
        <f t="shared" si="25"/>
        <v>1.05</v>
      </c>
      <c r="T232">
        <f t="shared" si="26"/>
        <v>-1.05</v>
      </c>
      <c r="U232">
        <f t="shared" si="30"/>
        <v>150.46714285714285</v>
      </c>
      <c r="W232">
        <v>261.8</v>
      </c>
      <c r="X232">
        <f t="shared" si="31"/>
        <v>6990.1</v>
      </c>
      <c r="Y232">
        <v>11.737382314872235</v>
      </c>
    </row>
    <row r="233" spans="1:25" x14ac:dyDescent="0.25">
      <c r="A233">
        <v>6360</v>
      </c>
      <c r="B233">
        <v>26330</v>
      </c>
      <c r="C233" s="3">
        <v>43178</v>
      </c>
      <c r="F233" s="42"/>
      <c r="G233">
        <v>0</v>
      </c>
      <c r="H233">
        <v>-1.3</v>
      </c>
      <c r="I233">
        <v>1.5</v>
      </c>
      <c r="J233">
        <f t="shared" si="28"/>
        <v>1724.2</v>
      </c>
      <c r="K233">
        <f t="shared" si="29"/>
        <v>91.6</v>
      </c>
      <c r="M233">
        <v>0.1</v>
      </c>
      <c r="N233">
        <v>1.6</v>
      </c>
      <c r="O233">
        <f t="shared" si="24"/>
        <v>-1.5</v>
      </c>
      <c r="Q233">
        <v>207</v>
      </c>
      <c r="R233">
        <f t="shared" si="27"/>
        <v>1.0535714285714286</v>
      </c>
      <c r="S233">
        <f t="shared" si="25"/>
        <v>1.6857142857142859</v>
      </c>
      <c r="T233">
        <f t="shared" si="26"/>
        <v>-1.5857142857142859</v>
      </c>
      <c r="U233">
        <f t="shared" si="30"/>
        <v>148.88142857142856</v>
      </c>
      <c r="W233">
        <v>953</v>
      </c>
      <c r="X233">
        <f t="shared" si="31"/>
        <v>7943.1</v>
      </c>
      <c r="Y233">
        <v>11.803008353628563</v>
      </c>
    </row>
    <row r="234" spans="1:25" x14ac:dyDescent="0.25">
      <c r="A234">
        <v>6360</v>
      </c>
      <c r="B234">
        <v>26330</v>
      </c>
      <c r="C234" s="3">
        <v>43179</v>
      </c>
      <c r="F234" s="42"/>
      <c r="G234">
        <v>2.9</v>
      </c>
      <c r="H234">
        <v>-1.1000000000000001</v>
      </c>
      <c r="I234">
        <v>6.7</v>
      </c>
      <c r="J234">
        <f t="shared" si="28"/>
        <v>1727.1000000000001</v>
      </c>
      <c r="K234">
        <f t="shared" si="29"/>
        <v>94.5</v>
      </c>
      <c r="M234">
        <v>0</v>
      </c>
      <c r="N234">
        <v>1.4</v>
      </c>
      <c r="O234">
        <f t="shared" si="24"/>
        <v>-1.4</v>
      </c>
      <c r="Q234">
        <v>208</v>
      </c>
      <c r="R234">
        <f t="shared" si="27"/>
        <v>1.0571428571428572</v>
      </c>
      <c r="S234">
        <f t="shared" si="25"/>
        <v>1.48</v>
      </c>
      <c r="T234">
        <f t="shared" si="26"/>
        <v>-1.48</v>
      </c>
      <c r="U234">
        <f t="shared" si="30"/>
        <v>147.40142857142857</v>
      </c>
      <c r="W234">
        <v>1040.0999999999999</v>
      </c>
      <c r="X234">
        <f t="shared" si="31"/>
        <v>8983.2000000000007</v>
      </c>
      <c r="Y234">
        <v>11.86865873756088</v>
      </c>
    </row>
    <row r="235" spans="1:25" x14ac:dyDescent="0.25">
      <c r="A235">
        <v>6360</v>
      </c>
      <c r="B235">
        <v>26330</v>
      </c>
      <c r="C235" s="3">
        <v>43180</v>
      </c>
      <c r="F235" s="42"/>
      <c r="G235">
        <v>4.2</v>
      </c>
      <c r="H235">
        <v>0.5</v>
      </c>
      <c r="I235">
        <v>6.9</v>
      </c>
      <c r="J235">
        <f t="shared" si="28"/>
        <v>1731.3000000000002</v>
      </c>
      <c r="K235">
        <f t="shared" si="29"/>
        <v>98.7</v>
      </c>
      <c r="M235">
        <v>0.2</v>
      </c>
      <c r="N235">
        <v>0.9</v>
      </c>
      <c r="O235">
        <f t="shared" si="24"/>
        <v>-0.7</v>
      </c>
      <c r="Q235">
        <v>209</v>
      </c>
      <c r="R235">
        <f t="shared" si="27"/>
        <v>1.0607142857142857</v>
      </c>
      <c r="S235">
        <f t="shared" si="25"/>
        <v>0.95464285714285713</v>
      </c>
      <c r="T235">
        <f t="shared" si="26"/>
        <v>-0.75464285714285717</v>
      </c>
      <c r="U235">
        <f t="shared" si="30"/>
        <v>146.6467857142857</v>
      </c>
      <c r="W235">
        <v>766.9</v>
      </c>
      <c r="X235">
        <f t="shared" si="31"/>
        <v>9750.1</v>
      </c>
      <c r="Y235">
        <v>11.934325322782771</v>
      </c>
    </row>
    <row r="236" spans="1:25" x14ac:dyDescent="0.25">
      <c r="A236">
        <v>6360</v>
      </c>
      <c r="B236">
        <v>26330</v>
      </c>
      <c r="C236" s="3">
        <v>43181</v>
      </c>
      <c r="F236" s="42"/>
      <c r="G236">
        <v>6</v>
      </c>
      <c r="H236">
        <v>4.7</v>
      </c>
      <c r="I236">
        <v>7.8</v>
      </c>
      <c r="J236">
        <f t="shared" si="28"/>
        <v>1737.3000000000002</v>
      </c>
      <c r="K236">
        <f t="shared" si="29"/>
        <v>104.7</v>
      </c>
      <c r="M236">
        <v>2</v>
      </c>
      <c r="N236">
        <v>1</v>
      </c>
      <c r="O236">
        <f t="shared" si="24"/>
        <v>1</v>
      </c>
      <c r="Q236">
        <v>210</v>
      </c>
      <c r="R236">
        <f t="shared" si="27"/>
        <v>1.0642857142857143</v>
      </c>
      <c r="S236">
        <f t="shared" si="25"/>
        <v>1.0642857142857143</v>
      </c>
      <c r="T236">
        <f t="shared" si="26"/>
        <v>0.93571428571428572</v>
      </c>
      <c r="U236">
        <f t="shared" si="30"/>
        <v>147.58249999999998</v>
      </c>
      <c r="W236">
        <v>405</v>
      </c>
      <c r="X236">
        <f t="shared" si="31"/>
        <v>10155.1</v>
      </c>
      <c r="Y236">
        <v>12</v>
      </c>
    </row>
    <row r="237" spans="1:25" x14ac:dyDescent="0.25">
      <c r="A237">
        <v>6360</v>
      </c>
      <c r="B237">
        <v>26330</v>
      </c>
      <c r="C237" s="3">
        <v>43182</v>
      </c>
      <c r="F237" s="42"/>
      <c r="G237">
        <v>5.8</v>
      </c>
      <c r="H237">
        <v>3.8</v>
      </c>
      <c r="I237">
        <v>6.9</v>
      </c>
      <c r="J237">
        <f t="shared" si="28"/>
        <v>1743.1000000000001</v>
      </c>
      <c r="K237">
        <f t="shared" si="29"/>
        <v>110.5</v>
      </c>
      <c r="M237">
        <v>0</v>
      </c>
      <c r="N237">
        <v>0.9</v>
      </c>
      <c r="O237">
        <f t="shared" si="24"/>
        <v>-0.9</v>
      </c>
      <c r="Q237">
        <v>211</v>
      </c>
      <c r="R237">
        <f t="shared" si="27"/>
        <v>1.0678571428571428</v>
      </c>
      <c r="S237">
        <f t="shared" si="25"/>
        <v>0.96107142857142858</v>
      </c>
      <c r="T237">
        <f t="shared" si="26"/>
        <v>-0.96107142857142858</v>
      </c>
      <c r="U237">
        <f t="shared" si="30"/>
        <v>146.62142857142857</v>
      </c>
      <c r="W237">
        <v>449.8</v>
      </c>
      <c r="X237">
        <f t="shared" si="31"/>
        <v>10604.9</v>
      </c>
      <c r="Y237">
        <v>12.065674677217228</v>
      </c>
    </row>
    <row r="238" spans="1:25" x14ac:dyDescent="0.25">
      <c r="A238">
        <v>6360</v>
      </c>
      <c r="B238">
        <v>26330</v>
      </c>
      <c r="C238" s="3">
        <v>43183</v>
      </c>
      <c r="F238" s="42"/>
      <c r="G238">
        <v>8</v>
      </c>
      <c r="H238">
        <v>5.0999999999999996</v>
      </c>
      <c r="I238">
        <v>10.5</v>
      </c>
      <c r="J238">
        <f t="shared" si="28"/>
        <v>1751.1000000000001</v>
      </c>
      <c r="K238">
        <f t="shared" si="29"/>
        <v>118.5</v>
      </c>
      <c r="M238">
        <v>0</v>
      </c>
      <c r="N238">
        <v>1.1000000000000001</v>
      </c>
      <c r="O238">
        <f t="shared" si="24"/>
        <v>-1.1000000000000001</v>
      </c>
      <c r="Q238">
        <v>212</v>
      </c>
      <c r="R238">
        <f t="shared" si="27"/>
        <v>1.0714285714285714</v>
      </c>
      <c r="S238">
        <f t="shared" si="25"/>
        <v>1.1785714285714286</v>
      </c>
      <c r="T238">
        <f t="shared" si="26"/>
        <v>-1.1785714285714286</v>
      </c>
      <c r="U238">
        <f t="shared" si="30"/>
        <v>145.44285714285715</v>
      </c>
      <c r="W238">
        <v>674.6</v>
      </c>
      <c r="X238">
        <f t="shared" si="31"/>
        <v>11279.5</v>
      </c>
      <c r="Y238">
        <v>12.13134126243912</v>
      </c>
    </row>
    <row r="239" spans="1:25" x14ac:dyDescent="0.25">
      <c r="A239">
        <v>6360</v>
      </c>
      <c r="B239">
        <v>26330</v>
      </c>
      <c r="C239" s="3">
        <v>43184</v>
      </c>
      <c r="F239" s="42"/>
      <c r="G239">
        <v>7</v>
      </c>
      <c r="H239">
        <v>3.7</v>
      </c>
      <c r="I239">
        <v>10.6</v>
      </c>
      <c r="J239">
        <f t="shared" si="28"/>
        <v>1758.1000000000001</v>
      </c>
      <c r="K239">
        <f t="shared" si="29"/>
        <v>125.5</v>
      </c>
      <c r="M239">
        <v>0</v>
      </c>
      <c r="N239">
        <v>0.8</v>
      </c>
      <c r="O239">
        <f t="shared" si="24"/>
        <v>-0.8</v>
      </c>
      <c r="Q239">
        <v>213</v>
      </c>
      <c r="R239">
        <f t="shared" si="27"/>
        <v>1.075</v>
      </c>
      <c r="S239">
        <f t="shared" si="25"/>
        <v>0.86</v>
      </c>
      <c r="T239">
        <f t="shared" si="26"/>
        <v>-0.86</v>
      </c>
      <c r="U239">
        <f t="shared" si="30"/>
        <v>144.58285714285714</v>
      </c>
      <c r="W239">
        <v>383.9</v>
      </c>
      <c r="X239">
        <f t="shared" si="31"/>
        <v>11663.4</v>
      </c>
      <c r="Y239">
        <v>12.196991646371435</v>
      </c>
    </row>
    <row r="240" spans="1:25" x14ac:dyDescent="0.25">
      <c r="A240">
        <v>6360</v>
      </c>
      <c r="B240">
        <v>26330</v>
      </c>
      <c r="C240" s="3">
        <v>43185</v>
      </c>
      <c r="F240" s="42"/>
      <c r="G240">
        <v>6.9</v>
      </c>
      <c r="H240">
        <v>4</v>
      </c>
      <c r="I240">
        <v>10.6</v>
      </c>
      <c r="J240">
        <f t="shared" si="28"/>
        <v>1765.0000000000002</v>
      </c>
      <c r="K240">
        <f t="shared" si="29"/>
        <v>132.4</v>
      </c>
      <c r="M240">
        <v>0</v>
      </c>
      <c r="N240">
        <v>1.2</v>
      </c>
      <c r="O240">
        <f t="shared" si="24"/>
        <v>-1.2</v>
      </c>
      <c r="Q240">
        <v>214</v>
      </c>
      <c r="R240">
        <f t="shared" si="27"/>
        <v>1.0785714285714285</v>
      </c>
      <c r="S240">
        <f t="shared" si="25"/>
        <v>1.2942857142857143</v>
      </c>
      <c r="T240">
        <f t="shared" si="26"/>
        <v>-1.2942857142857143</v>
      </c>
      <c r="U240">
        <f t="shared" si="30"/>
        <v>143.28857142857143</v>
      </c>
      <c r="W240">
        <v>916</v>
      </c>
      <c r="X240">
        <f t="shared" si="31"/>
        <v>12579.4</v>
      </c>
      <c r="Y240">
        <v>12.262617685127765</v>
      </c>
    </row>
    <row r="241" spans="1:25" x14ac:dyDescent="0.25">
      <c r="A241">
        <v>6360</v>
      </c>
      <c r="B241">
        <v>26330</v>
      </c>
      <c r="C241" s="3">
        <v>43186</v>
      </c>
      <c r="F241" s="42"/>
      <c r="G241">
        <v>6.8</v>
      </c>
      <c r="H241">
        <v>2.9</v>
      </c>
      <c r="I241">
        <v>9.8000000000000007</v>
      </c>
      <c r="J241">
        <f t="shared" si="28"/>
        <v>1771.8000000000002</v>
      </c>
      <c r="K241">
        <f t="shared" si="29"/>
        <v>139.20000000000002</v>
      </c>
      <c r="M241">
        <v>3.6</v>
      </c>
      <c r="N241">
        <v>0.6</v>
      </c>
      <c r="O241">
        <f t="shared" si="24"/>
        <v>3</v>
      </c>
      <c r="Q241">
        <v>215</v>
      </c>
      <c r="R241">
        <f t="shared" si="27"/>
        <v>1.0821428571428571</v>
      </c>
      <c r="S241">
        <f t="shared" si="25"/>
        <v>0.64928571428571424</v>
      </c>
      <c r="T241">
        <f t="shared" si="26"/>
        <v>2.9507142857142856</v>
      </c>
      <c r="U241">
        <f t="shared" si="30"/>
        <v>146.23928571428573</v>
      </c>
      <c r="W241">
        <v>409.2</v>
      </c>
      <c r="X241">
        <f t="shared" si="31"/>
        <v>12988.6</v>
      </c>
      <c r="Y241">
        <v>12.328211182947712</v>
      </c>
    </row>
    <row r="242" spans="1:25" x14ac:dyDescent="0.25">
      <c r="A242">
        <v>6360</v>
      </c>
      <c r="B242">
        <v>26330</v>
      </c>
      <c r="C242" s="3">
        <v>43187</v>
      </c>
      <c r="F242" s="42"/>
      <c r="G242">
        <v>6.3</v>
      </c>
      <c r="H242">
        <v>5.2</v>
      </c>
      <c r="I242">
        <v>7.7</v>
      </c>
      <c r="J242">
        <f t="shared" si="28"/>
        <v>1778.1000000000001</v>
      </c>
      <c r="K242">
        <f t="shared" si="29"/>
        <v>145.50000000000003</v>
      </c>
      <c r="M242">
        <v>6.3</v>
      </c>
      <c r="N242">
        <v>0.5</v>
      </c>
      <c r="O242">
        <f t="shared" si="24"/>
        <v>5.8</v>
      </c>
      <c r="Q242">
        <v>216</v>
      </c>
      <c r="R242">
        <f t="shared" si="27"/>
        <v>1.0857142857142856</v>
      </c>
      <c r="S242">
        <f t="shared" si="25"/>
        <v>0.54285714285714282</v>
      </c>
      <c r="T242">
        <f t="shared" si="26"/>
        <v>5.7571428571428571</v>
      </c>
      <c r="U242">
        <f t="shared" si="30"/>
        <v>151.99642857142859</v>
      </c>
      <c r="W242">
        <v>314.10000000000002</v>
      </c>
      <c r="X242">
        <f t="shared" si="31"/>
        <v>13302.7</v>
      </c>
      <c r="Y242">
        <v>12.393763874932519</v>
      </c>
    </row>
    <row r="243" spans="1:25" x14ac:dyDescent="0.25">
      <c r="A243">
        <v>6360</v>
      </c>
      <c r="B243">
        <v>26330</v>
      </c>
      <c r="C243" s="3">
        <v>43188</v>
      </c>
      <c r="F243" s="42"/>
      <c r="G243">
        <v>6.4</v>
      </c>
      <c r="H243">
        <v>2.8</v>
      </c>
      <c r="I243">
        <v>9.9</v>
      </c>
      <c r="J243">
        <f t="shared" si="28"/>
        <v>1784.5000000000002</v>
      </c>
      <c r="K243">
        <f t="shared" si="29"/>
        <v>151.90000000000003</v>
      </c>
      <c r="M243">
        <v>1.2</v>
      </c>
      <c r="N243">
        <v>1.5</v>
      </c>
      <c r="O243">
        <f t="shared" si="24"/>
        <v>-0.30000000000000004</v>
      </c>
      <c r="Q243">
        <v>217</v>
      </c>
      <c r="R243">
        <f t="shared" si="27"/>
        <v>1.0892857142857142</v>
      </c>
      <c r="S243">
        <f t="shared" si="25"/>
        <v>1.6339285714285712</v>
      </c>
      <c r="T243">
        <f t="shared" si="26"/>
        <v>-0.43392857142857122</v>
      </c>
      <c r="U243">
        <f t="shared" si="30"/>
        <v>151.56250000000003</v>
      </c>
      <c r="W243">
        <v>980.7</v>
      </c>
      <c r="X243">
        <f t="shared" si="31"/>
        <v>14283.400000000001</v>
      </c>
      <c r="Y243">
        <v>12.459267409804601</v>
      </c>
    </row>
    <row r="244" spans="1:25" x14ac:dyDescent="0.25">
      <c r="A244">
        <v>6360</v>
      </c>
      <c r="B244">
        <v>26330</v>
      </c>
      <c r="C244" s="3">
        <v>43189</v>
      </c>
      <c r="F244" s="42"/>
      <c r="G244">
        <v>6.9</v>
      </c>
      <c r="H244">
        <v>5</v>
      </c>
      <c r="I244">
        <v>10.4</v>
      </c>
      <c r="J244">
        <f t="shared" si="28"/>
        <v>1791.4000000000003</v>
      </c>
      <c r="K244">
        <f t="shared" si="29"/>
        <v>158.80000000000004</v>
      </c>
      <c r="M244">
        <v>2</v>
      </c>
      <c r="N244">
        <v>1.1000000000000001</v>
      </c>
      <c r="O244">
        <f t="shared" si="24"/>
        <v>0.89999999999999991</v>
      </c>
      <c r="Q244">
        <v>218</v>
      </c>
      <c r="R244">
        <f t="shared" si="27"/>
        <v>1.0928571428571427</v>
      </c>
      <c r="S244">
        <f t="shared" si="25"/>
        <v>1.2021428571428572</v>
      </c>
      <c r="T244">
        <f t="shared" si="26"/>
        <v>0.79785714285714282</v>
      </c>
      <c r="U244">
        <f t="shared" si="30"/>
        <v>152.36035714285717</v>
      </c>
      <c r="W244">
        <v>530.4</v>
      </c>
      <c r="X244">
        <f t="shared" si="31"/>
        <v>14813.800000000001</v>
      </c>
      <c r="Y244">
        <v>12.524713332697893</v>
      </c>
    </row>
    <row r="245" spans="1:25" x14ac:dyDescent="0.25">
      <c r="A245">
        <v>6360</v>
      </c>
      <c r="B245">
        <v>26330</v>
      </c>
      <c r="C245" s="3">
        <v>43190</v>
      </c>
      <c r="F245" s="42"/>
      <c r="G245">
        <v>6.2</v>
      </c>
      <c r="H245">
        <v>3.5</v>
      </c>
      <c r="I245">
        <v>8.5</v>
      </c>
      <c r="J245">
        <f t="shared" si="28"/>
        <v>1797.6000000000004</v>
      </c>
      <c r="K245">
        <f t="shared" si="29"/>
        <v>165.00000000000003</v>
      </c>
      <c r="M245">
        <v>0.7</v>
      </c>
      <c r="N245">
        <v>1.1000000000000001</v>
      </c>
      <c r="O245">
        <f t="shared" si="24"/>
        <v>-0.40000000000000013</v>
      </c>
      <c r="Q245">
        <v>219</v>
      </c>
      <c r="R245">
        <f t="shared" si="27"/>
        <v>1.0964285714285713</v>
      </c>
      <c r="S245">
        <f t="shared" si="25"/>
        <v>1.2060714285714285</v>
      </c>
      <c r="T245">
        <f t="shared" si="26"/>
        <v>-0.50607142857142851</v>
      </c>
      <c r="U245">
        <f t="shared" si="30"/>
        <v>151.85428571428574</v>
      </c>
      <c r="W245">
        <v>822.2</v>
      </c>
      <c r="X245">
        <f t="shared" si="31"/>
        <v>15636.000000000002</v>
      </c>
      <c r="Y245">
        <v>12.590093067986619</v>
      </c>
    </row>
    <row r="246" spans="1:25" x14ac:dyDescent="0.25">
      <c r="A246">
        <v>6360</v>
      </c>
      <c r="B246">
        <v>26330</v>
      </c>
      <c r="C246" s="3">
        <v>43191</v>
      </c>
      <c r="F246" s="42"/>
      <c r="G246">
        <v>6.8</v>
      </c>
      <c r="H246">
        <v>5.7</v>
      </c>
      <c r="I246">
        <v>8.4</v>
      </c>
      <c r="J246">
        <f t="shared" si="28"/>
        <v>1804.4000000000003</v>
      </c>
      <c r="K246">
        <f t="shared" si="29"/>
        <v>171.80000000000004</v>
      </c>
      <c r="M246">
        <v>1.4</v>
      </c>
      <c r="N246">
        <v>0.8</v>
      </c>
      <c r="O246">
        <f t="shared" si="24"/>
        <v>0.59999999999999987</v>
      </c>
      <c r="Q246">
        <v>220</v>
      </c>
      <c r="R246">
        <f t="shared" si="27"/>
        <v>1.0999999999999999</v>
      </c>
      <c r="S246">
        <f t="shared" si="25"/>
        <v>0.87999999999999989</v>
      </c>
      <c r="T246">
        <f t="shared" si="26"/>
        <v>0.52</v>
      </c>
      <c r="U246">
        <f t="shared" si="30"/>
        <v>152.37428571428575</v>
      </c>
      <c r="W246">
        <v>390.6</v>
      </c>
      <c r="X246">
        <f t="shared" si="31"/>
        <v>16026.600000000002</v>
      </c>
      <c r="Y246">
        <v>12.655397902160848</v>
      </c>
    </row>
    <row r="247" spans="1:25" x14ac:dyDescent="0.25">
      <c r="A247">
        <v>6360</v>
      </c>
      <c r="B247">
        <v>26330</v>
      </c>
      <c r="C247" s="3">
        <v>43192</v>
      </c>
      <c r="F247" s="42"/>
      <c r="G247">
        <v>9.6999999999999993</v>
      </c>
      <c r="H247">
        <v>5.9</v>
      </c>
      <c r="I247">
        <v>13.5</v>
      </c>
      <c r="J247">
        <f t="shared" si="28"/>
        <v>1814.1000000000004</v>
      </c>
      <c r="K247">
        <f t="shared" si="29"/>
        <v>181.50000000000003</v>
      </c>
      <c r="M247">
        <v>0.7</v>
      </c>
      <c r="N247">
        <v>1.6</v>
      </c>
      <c r="O247">
        <f t="shared" si="24"/>
        <v>-0.90000000000000013</v>
      </c>
      <c r="Q247">
        <v>221</v>
      </c>
      <c r="R247">
        <f t="shared" si="27"/>
        <v>1.1035714285714284</v>
      </c>
      <c r="S247">
        <f t="shared" si="25"/>
        <v>1.7657142857142856</v>
      </c>
      <c r="T247">
        <f t="shared" si="26"/>
        <v>-1.0657142857142856</v>
      </c>
      <c r="U247">
        <f t="shared" si="30"/>
        <v>151.30857142857147</v>
      </c>
      <c r="W247">
        <v>818.9</v>
      </c>
      <c r="X247">
        <f t="shared" si="31"/>
        <v>16845.500000000004</v>
      </c>
      <c r="Y247">
        <v>12.720618966758122</v>
      </c>
    </row>
    <row r="248" spans="1:25" x14ac:dyDescent="0.25">
      <c r="A248">
        <v>6360</v>
      </c>
      <c r="B248">
        <v>26330</v>
      </c>
      <c r="C248" s="3">
        <v>43193</v>
      </c>
      <c r="F248" s="42"/>
      <c r="G248">
        <v>11.2</v>
      </c>
      <c r="H248">
        <v>9.5</v>
      </c>
      <c r="I248">
        <v>15.5</v>
      </c>
      <c r="J248">
        <f t="shared" si="28"/>
        <v>1825.3000000000004</v>
      </c>
      <c r="K248">
        <f t="shared" si="29"/>
        <v>192.70000000000002</v>
      </c>
      <c r="M248">
        <v>4.2</v>
      </c>
      <c r="N248">
        <v>2</v>
      </c>
      <c r="O248">
        <f t="shared" si="24"/>
        <v>2.2000000000000002</v>
      </c>
      <c r="Q248">
        <v>222</v>
      </c>
      <c r="R248">
        <f t="shared" si="27"/>
        <v>1.107142857142857</v>
      </c>
      <c r="S248">
        <f t="shared" si="25"/>
        <v>2.214285714285714</v>
      </c>
      <c r="T248">
        <f t="shared" si="26"/>
        <v>1.9857142857142862</v>
      </c>
      <c r="U248">
        <f t="shared" si="30"/>
        <v>153.29428571428576</v>
      </c>
      <c r="W248">
        <v>648.5</v>
      </c>
      <c r="X248">
        <f t="shared" si="31"/>
        <v>17494.000000000004</v>
      </c>
      <c r="Y248">
        <v>12.785747221361463</v>
      </c>
    </row>
    <row r="249" spans="1:25" x14ac:dyDescent="0.25">
      <c r="A249">
        <v>6360</v>
      </c>
      <c r="B249">
        <v>26330</v>
      </c>
      <c r="C249" s="3">
        <v>43194</v>
      </c>
      <c r="F249" s="42"/>
      <c r="G249">
        <v>9.9</v>
      </c>
      <c r="H249">
        <v>7.4</v>
      </c>
      <c r="I249">
        <v>12.9</v>
      </c>
      <c r="J249">
        <f t="shared" si="28"/>
        <v>1835.2000000000005</v>
      </c>
      <c r="K249">
        <f t="shared" si="29"/>
        <v>202.60000000000002</v>
      </c>
      <c r="M249">
        <v>4.3</v>
      </c>
      <c r="N249">
        <v>1.8</v>
      </c>
      <c r="O249">
        <f t="shared" si="24"/>
        <v>2.5</v>
      </c>
      <c r="Q249">
        <v>223</v>
      </c>
      <c r="R249">
        <f t="shared" si="27"/>
        <v>1.1107142857142858</v>
      </c>
      <c r="S249">
        <f t="shared" si="25"/>
        <v>1.9992857142857143</v>
      </c>
      <c r="T249">
        <f t="shared" si="26"/>
        <v>2.3007142857142853</v>
      </c>
      <c r="U249">
        <f t="shared" si="30"/>
        <v>153.6</v>
      </c>
      <c r="W249">
        <v>918.9</v>
      </c>
      <c r="X249">
        <f t="shared" si="31"/>
        <v>18412.900000000005</v>
      </c>
      <c r="Y249">
        <v>12.850773436675318</v>
      </c>
    </row>
    <row r="250" spans="1:25" x14ac:dyDescent="0.25">
      <c r="A250">
        <v>6360</v>
      </c>
      <c r="B250">
        <v>26330</v>
      </c>
      <c r="C250" s="3">
        <v>43195</v>
      </c>
      <c r="F250" s="42"/>
      <c r="G250">
        <v>7</v>
      </c>
      <c r="H250">
        <v>6</v>
      </c>
      <c r="I250">
        <v>8.1</v>
      </c>
      <c r="J250">
        <f t="shared" si="28"/>
        <v>1842.2000000000005</v>
      </c>
      <c r="K250">
        <f t="shared" si="29"/>
        <v>209.60000000000002</v>
      </c>
      <c r="M250">
        <v>0</v>
      </c>
      <c r="N250">
        <v>1.5</v>
      </c>
      <c r="O250">
        <f t="shared" si="24"/>
        <v>-1.5</v>
      </c>
      <c r="Q250">
        <v>224</v>
      </c>
      <c r="R250">
        <f t="shared" si="27"/>
        <v>1.1142857142857143</v>
      </c>
      <c r="S250">
        <f t="shared" si="25"/>
        <v>1.6714285714285715</v>
      </c>
      <c r="T250">
        <f t="shared" si="26"/>
        <v>-1.6714285714285715</v>
      </c>
      <c r="U250">
        <f t="shared" si="30"/>
        <v>151.92857142857142</v>
      </c>
      <c r="W250">
        <v>1128.2</v>
      </c>
      <c r="X250">
        <f t="shared" si="31"/>
        <v>19541.100000000006</v>
      </c>
      <c r="Y250">
        <v>12.915688177692232</v>
      </c>
    </row>
    <row r="251" spans="1:25" x14ac:dyDescent="0.25">
      <c r="A251">
        <v>6360</v>
      </c>
      <c r="B251">
        <v>26330</v>
      </c>
      <c r="C251" s="3">
        <v>43196</v>
      </c>
      <c r="F251" s="42"/>
      <c r="G251">
        <v>9.8000000000000007</v>
      </c>
      <c r="H251">
        <v>3.9</v>
      </c>
      <c r="I251">
        <v>14.1</v>
      </c>
      <c r="J251">
        <f t="shared" si="28"/>
        <v>1852.0000000000005</v>
      </c>
      <c r="K251">
        <f t="shared" si="29"/>
        <v>219.40000000000003</v>
      </c>
      <c r="M251">
        <v>0</v>
      </c>
      <c r="N251">
        <v>2.2999999999999998</v>
      </c>
      <c r="O251">
        <f t="shared" si="24"/>
        <v>-2.2999999999999998</v>
      </c>
      <c r="Q251">
        <v>225</v>
      </c>
      <c r="R251">
        <f t="shared" si="27"/>
        <v>1.1178571428571429</v>
      </c>
      <c r="S251">
        <f t="shared" si="25"/>
        <v>2.5710714285714285</v>
      </c>
      <c r="T251">
        <f t="shared" si="26"/>
        <v>-2.5710714285714285</v>
      </c>
      <c r="U251">
        <f t="shared" si="30"/>
        <v>149.35749999999999</v>
      </c>
      <c r="W251">
        <v>1360.1</v>
      </c>
      <c r="X251">
        <f t="shared" si="31"/>
        <v>20901.200000000004</v>
      </c>
      <c r="Y251">
        <v>12.98048178696458</v>
      </c>
    </row>
    <row r="252" spans="1:25" x14ac:dyDescent="0.25">
      <c r="A252">
        <v>6360</v>
      </c>
      <c r="B252">
        <v>26330</v>
      </c>
      <c r="C252" s="3">
        <v>43197</v>
      </c>
      <c r="F252" s="42"/>
      <c r="G252">
        <v>14.2</v>
      </c>
      <c r="H252">
        <v>9.1</v>
      </c>
      <c r="I252">
        <v>20</v>
      </c>
      <c r="J252">
        <f t="shared" si="28"/>
        <v>1866.2000000000005</v>
      </c>
      <c r="K252">
        <f t="shared" si="29"/>
        <v>233.60000000000002</v>
      </c>
      <c r="M252">
        <v>1.1000000000000001</v>
      </c>
      <c r="N252">
        <v>1.9</v>
      </c>
      <c r="O252">
        <f t="shared" si="24"/>
        <v>-0.79999999999999982</v>
      </c>
      <c r="Q252">
        <v>226</v>
      </c>
      <c r="R252">
        <f t="shared" si="27"/>
        <v>1.1214285714285714</v>
      </c>
      <c r="S252">
        <f t="shared" si="25"/>
        <v>2.1307142857142858</v>
      </c>
      <c r="T252">
        <f t="shared" si="26"/>
        <v>-1.0307142857142857</v>
      </c>
      <c r="U252">
        <f t="shared" si="30"/>
        <v>148.32678571428571</v>
      </c>
      <c r="W252">
        <v>475.3</v>
      </c>
      <c r="X252">
        <f t="shared" si="31"/>
        <v>21376.500000000004</v>
      </c>
      <c r="Y252">
        <v>13.045144367997246</v>
      </c>
    </row>
    <row r="253" spans="1:25" x14ac:dyDescent="0.25">
      <c r="A253">
        <v>6360</v>
      </c>
      <c r="B253">
        <v>26330</v>
      </c>
      <c r="C253" s="3">
        <v>43198</v>
      </c>
      <c r="F253" s="42"/>
      <c r="G253">
        <v>12.5</v>
      </c>
      <c r="H253">
        <v>10.3</v>
      </c>
      <c r="I253">
        <v>16.5</v>
      </c>
      <c r="J253">
        <f t="shared" si="28"/>
        <v>1878.7000000000005</v>
      </c>
      <c r="K253">
        <f t="shared" si="29"/>
        <v>246.10000000000002</v>
      </c>
      <c r="M253">
        <v>0.2</v>
      </c>
      <c r="N253">
        <v>1.9</v>
      </c>
      <c r="O253">
        <f t="shared" si="24"/>
        <v>-1.7</v>
      </c>
      <c r="Q253">
        <v>227</v>
      </c>
      <c r="R253">
        <f t="shared" si="27"/>
        <v>1.125</v>
      </c>
      <c r="S253">
        <f t="shared" si="25"/>
        <v>2.1374999999999997</v>
      </c>
      <c r="T253">
        <f t="shared" si="26"/>
        <v>-1.9374999999999998</v>
      </c>
      <c r="U253">
        <f t="shared" si="30"/>
        <v>146.38928571428571</v>
      </c>
      <c r="W253">
        <v>880.1</v>
      </c>
      <c r="X253">
        <f t="shared" si="31"/>
        <v>22256.600000000002</v>
      </c>
      <c r="Y253">
        <v>13.109665768778887</v>
      </c>
    </row>
    <row r="254" spans="1:25" x14ac:dyDescent="0.25">
      <c r="A254">
        <v>6360</v>
      </c>
      <c r="B254">
        <v>26330</v>
      </c>
      <c r="C254" s="3">
        <v>43199</v>
      </c>
      <c r="F254" s="42"/>
      <c r="G254">
        <v>9.6999999999999993</v>
      </c>
      <c r="H254">
        <v>8.6</v>
      </c>
      <c r="I254">
        <v>11.3</v>
      </c>
      <c r="J254">
        <f t="shared" si="28"/>
        <v>1888.4000000000005</v>
      </c>
      <c r="K254">
        <f t="shared" si="29"/>
        <v>255.8</v>
      </c>
      <c r="M254">
        <v>4.3</v>
      </c>
      <c r="N254">
        <v>0.7</v>
      </c>
      <c r="O254">
        <f t="shared" si="24"/>
        <v>3.5999999999999996</v>
      </c>
      <c r="Q254">
        <v>228</v>
      </c>
      <c r="R254">
        <f t="shared" si="27"/>
        <v>1.1285714285714286</v>
      </c>
      <c r="S254">
        <f t="shared" si="25"/>
        <v>0.78999999999999992</v>
      </c>
      <c r="T254">
        <f t="shared" si="26"/>
        <v>3.51</v>
      </c>
      <c r="U254">
        <f t="shared" si="30"/>
        <v>149.8992857142857</v>
      </c>
      <c r="W254">
        <v>242.6</v>
      </c>
      <c r="X254">
        <f t="shared" si="31"/>
        <v>22499.200000000001</v>
      </c>
      <c r="Y254">
        <v>13.174035565471343</v>
      </c>
    </row>
    <row r="255" spans="1:25" x14ac:dyDescent="0.25">
      <c r="A255">
        <v>6360</v>
      </c>
      <c r="B255">
        <v>26330</v>
      </c>
      <c r="C255" s="3">
        <v>43200</v>
      </c>
      <c r="F255" s="42"/>
      <c r="G255">
        <v>13.1</v>
      </c>
      <c r="H255">
        <v>9</v>
      </c>
      <c r="I255">
        <v>17.2</v>
      </c>
      <c r="J255">
        <f t="shared" si="28"/>
        <v>1901.5000000000005</v>
      </c>
      <c r="K255">
        <f t="shared" si="29"/>
        <v>268.90000000000003</v>
      </c>
      <c r="M255">
        <v>0.2</v>
      </c>
      <c r="N255">
        <v>1.7</v>
      </c>
      <c r="O255">
        <f t="shared" si="24"/>
        <v>-1.5</v>
      </c>
      <c r="Q255">
        <v>229</v>
      </c>
      <c r="R255">
        <f t="shared" si="27"/>
        <v>1.1321428571428571</v>
      </c>
      <c r="S255">
        <f t="shared" si="25"/>
        <v>1.9246428571428571</v>
      </c>
      <c r="T255">
        <f t="shared" si="26"/>
        <v>-1.7246428571428571</v>
      </c>
      <c r="U255">
        <f t="shared" si="30"/>
        <v>148.17464285714283</v>
      </c>
      <c r="W255">
        <v>842.5</v>
      </c>
      <c r="X255">
        <f t="shared" si="31"/>
        <v>23341.7</v>
      </c>
      <c r="Y255">
        <v>13.238243046278711</v>
      </c>
    </row>
    <row r="256" spans="1:25" x14ac:dyDescent="0.25">
      <c r="A256">
        <v>6360</v>
      </c>
      <c r="B256">
        <v>26330</v>
      </c>
      <c r="C256" s="3">
        <v>43201</v>
      </c>
      <c r="F256" s="42"/>
      <c r="G256">
        <v>11.5</v>
      </c>
      <c r="H256">
        <v>8</v>
      </c>
      <c r="I256">
        <v>15</v>
      </c>
      <c r="J256">
        <f t="shared" si="28"/>
        <v>1913.0000000000005</v>
      </c>
      <c r="K256">
        <f t="shared" si="29"/>
        <v>280.40000000000003</v>
      </c>
      <c r="M256">
        <v>0.1</v>
      </c>
      <c r="N256">
        <v>1.8</v>
      </c>
      <c r="O256">
        <f t="shared" si="24"/>
        <v>-1.7</v>
      </c>
      <c r="Q256">
        <v>230</v>
      </c>
      <c r="R256">
        <f t="shared" si="27"/>
        <v>1.1357142857142857</v>
      </c>
      <c r="S256">
        <f t="shared" si="25"/>
        <v>2.0442857142857145</v>
      </c>
      <c r="T256">
        <f t="shared" si="26"/>
        <v>-1.9442857142857144</v>
      </c>
      <c r="U256">
        <f t="shared" si="30"/>
        <v>146.23035714285712</v>
      </c>
      <c r="W256">
        <v>1077.9000000000001</v>
      </c>
      <c r="X256">
        <f t="shared" si="31"/>
        <v>24419.600000000002</v>
      </c>
      <c r="Y256">
        <v>13.302277195519878</v>
      </c>
    </row>
    <row r="257" spans="1:26" x14ac:dyDescent="0.25">
      <c r="A257">
        <v>6360</v>
      </c>
      <c r="B257">
        <v>26330</v>
      </c>
      <c r="C257" s="3">
        <v>43202</v>
      </c>
      <c r="F257" s="42"/>
      <c r="G257">
        <v>10.1</v>
      </c>
      <c r="H257">
        <v>9.1999999999999993</v>
      </c>
      <c r="I257">
        <v>11.8</v>
      </c>
      <c r="J257">
        <f t="shared" si="28"/>
        <v>1923.1000000000004</v>
      </c>
      <c r="K257">
        <f t="shared" si="29"/>
        <v>290.50000000000006</v>
      </c>
      <c r="M257">
        <v>4.2</v>
      </c>
      <c r="N257">
        <v>1.5</v>
      </c>
      <c r="O257">
        <f t="shared" si="24"/>
        <v>2.7</v>
      </c>
      <c r="Q257">
        <v>231</v>
      </c>
      <c r="R257">
        <f t="shared" si="27"/>
        <v>1.1392857142857142</v>
      </c>
      <c r="S257">
        <f t="shared" si="25"/>
        <v>1.7089285714285714</v>
      </c>
      <c r="T257">
        <f t="shared" si="26"/>
        <v>2.4910714285714288</v>
      </c>
      <c r="U257">
        <f t="shared" si="30"/>
        <v>148.72142857142853</v>
      </c>
      <c r="W257">
        <v>914.4</v>
      </c>
      <c r="X257">
        <f t="shared" si="31"/>
        <v>25334.000000000004</v>
      </c>
      <c r="Y257">
        <v>13.366126677930547</v>
      </c>
    </row>
    <row r="258" spans="1:26" x14ac:dyDescent="0.25">
      <c r="A258">
        <v>6360</v>
      </c>
      <c r="B258">
        <v>26330</v>
      </c>
      <c r="C258" s="3">
        <v>43203</v>
      </c>
      <c r="F258" s="42"/>
      <c r="G258">
        <v>10.4</v>
      </c>
      <c r="H258">
        <v>9</v>
      </c>
      <c r="I258">
        <v>12.9</v>
      </c>
      <c r="J258">
        <f t="shared" si="28"/>
        <v>1933.5000000000005</v>
      </c>
      <c r="K258">
        <f t="shared" si="29"/>
        <v>300.90000000000003</v>
      </c>
      <c r="M258">
        <v>0.2</v>
      </c>
      <c r="N258">
        <v>1.3</v>
      </c>
      <c r="O258">
        <f t="shared" si="24"/>
        <v>-1.1000000000000001</v>
      </c>
      <c r="Q258">
        <v>232</v>
      </c>
      <c r="R258">
        <f t="shared" si="27"/>
        <v>1.1428571428571428</v>
      </c>
      <c r="S258">
        <f t="shared" si="25"/>
        <v>1.4857142857142858</v>
      </c>
      <c r="T258">
        <f t="shared" si="26"/>
        <v>-1.2857142857142858</v>
      </c>
      <c r="U258">
        <f t="shared" si="30"/>
        <v>147.43571428571425</v>
      </c>
      <c r="W258">
        <v>679.8</v>
      </c>
      <c r="X258">
        <f t="shared" si="31"/>
        <v>26013.800000000003</v>
      </c>
      <c r="Y258">
        <v>13.429779823223283</v>
      </c>
    </row>
    <row r="259" spans="1:26" x14ac:dyDescent="0.25">
      <c r="A259">
        <v>6360</v>
      </c>
      <c r="B259">
        <v>26330</v>
      </c>
      <c r="C259" s="3">
        <v>43204</v>
      </c>
      <c r="F259" s="42"/>
      <c r="G259">
        <v>10.7</v>
      </c>
      <c r="H259">
        <v>5.7</v>
      </c>
      <c r="I259">
        <v>14.4</v>
      </c>
      <c r="J259">
        <f t="shared" si="28"/>
        <v>1944.2000000000005</v>
      </c>
      <c r="K259">
        <f t="shared" si="29"/>
        <v>311.60000000000002</v>
      </c>
      <c r="M259">
        <v>9.6</v>
      </c>
      <c r="N259">
        <v>1.4</v>
      </c>
      <c r="O259">
        <f t="shared" si="24"/>
        <v>8.1999999999999993</v>
      </c>
      <c r="Q259">
        <v>233</v>
      </c>
      <c r="R259">
        <f t="shared" si="27"/>
        <v>1.1464285714285714</v>
      </c>
      <c r="S259">
        <f t="shared" si="25"/>
        <v>1.6049999999999998</v>
      </c>
      <c r="T259">
        <f t="shared" si="26"/>
        <v>7.9950000000000001</v>
      </c>
      <c r="U259">
        <f t="shared" si="30"/>
        <v>153.6</v>
      </c>
      <c r="W259">
        <v>1031.4000000000001</v>
      </c>
      <c r="X259">
        <f t="shared" si="31"/>
        <v>27045.200000000004</v>
      </c>
      <c r="Y259">
        <v>13.493224610936732</v>
      </c>
    </row>
    <row r="260" spans="1:26" s="4" customFormat="1" ht="15.75" thickBot="1" x14ac:dyDescent="0.3">
      <c r="A260" s="4">
        <v>6360</v>
      </c>
      <c r="B260" s="4">
        <v>26330</v>
      </c>
      <c r="C260" s="5">
        <v>43205</v>
      </c>
      <c r="F260" s="43"/>
      <c r="G260" s="4">
        <v>12.7</v>
      </c>
      <c r="H260" s="4">
        <v>9.3000000000000007</v>
      </c>
      <c r="I260" s="4">
        <v>16.100000000000001</v>
      </c>
      <c r="J260" s="4">
        <f t="shared" si="28"/>
        <v>1956.9000000000005</v>
      </c>
      <c r="K260" s="4">
        <f t="shared" si="29"/>
        <v>324.3</v>
      </c>
      <c r="M260" s="4">
        <v>2.2999999999999998</v>
      </c>
      <c r="N260" s="4">
        <v>1.9</v>
      </c>
      <c r="O260" s="4">
        <f t="shared" si="24"/>
        <v>0.39999999999999991</v>
      </c>
      <c r="Q260" s="4">
        <v>234</v>
      </c>
      <c r="R260" s="4">
        <f t="shared" si="27"/>
        <v>1.1499999999999999</v>
      </c>
      <c r="S260" s="4">
        <f t="shared" si="25"/>
        <v>2.1849999999999996</v>
      </c>
      <c r="T260" s="4">
        <f t="shared" si="26"/>
        <v>0.11500000000000021</v>
      </c>
      <c r="U260" s="4">
        <f t="shared" si="30"/>
        <v>153.6</v>
      </c>
      <c r="W260" s="4">
        <v>1287</v>
      </c>
      <c r="X260" s="4">
        <f t="shared" si="31"/>
        <v>28332.200000000004</v>
      </c>
      <c r="Y260" s="4">
        <v>13.556448655607898</v>
      </c>
    </row>
    <row r="261" spans="1:26" x14ac:dyDescent="0.25">
      <c r="A261">
        <v>6360</v>
      </c>
      <c r="B261">
        <v>26330</v>
      </c>
      <c r="C261" s="3">
        <v>43206</v>
      </c>
      <c r="D261" t="s">
        <v>9</v>
      </c>
      <c r="F261" s="38" t="s">
        <v>56</v>
      </c>
      <c r="G261">
        <v>11</v>
      </c>
      <c r="H261">
        <v>8.6</v>
      </c>
      <c r="I261">
        <v>14.1</v>
      </c>
      <c r="J261">
        <f t="shared" si="28"/>
        <v>1967.9000000000005</v>
      </c>
      <c r="K261">
        <f>G261</f>
        <v>11</v>
      </c>
      <c r="L261" s="18" t="s">
        <v>37</v>
      </c>
      <c r="M261">
        <v>0</v>
      </c>
      <c r="N261">
        <v>1.8</v>
      </c>
      <c r="O261">
        <f t="shared" ref="O261:O324" si="32">M261-N261</f>
        <v>-1.8</v>
      </c>
      <c r="Q261">
        <v>235</v>
      </c>
      <c r="R261">
        <v>1.1499999999999999</v>
      </c>
      <c r="S261">
        <f t="shared" ref="S261:S324" si="33">R261*N261</f>
        <v>2.0699999999999998</v>
      </c>
      <c r="T261">
        <f t="shared" ref="T261:T324" si="34">M261-S261</f>
        <v>-2.0699999999999998</v>
      </c>
      <c r="U261">
        <f t="shared" si="30"/>
        <v>151.53</v>
      </c>
      <c r="V261" s="20" t="s">
        <v>44</v>
      </c>
      <c r="W261">
        <v>1101.0999999999999</v>
      </c>
      <c r="X261">
        <f>W261</f>
        <v>1101.0999999999999</v>
      </c>
      <c r="Y261">
        <v>13.619439192304261</v>
      </c>
      <c r="Z261" s="20" t="s">
        <v>49</v>
      </c>
    </row>
    <row r="262" spans="1:26" x14ac:dyDescent="0.25">
      <c r="A262">
        <v>6360</v>
      </c>
      <c r="B262">
        <v>26330</v>
      </c>
      <c r="C262" s="3">
        <v>43207</v>
      </c>
      <c r="F262" s="39"/>
      <c r="G262">
        <v>13.5</v>
      </c>
      <c r="H262">
        <v>6.8</v>
      </c>
      <c r="I262">
        <v>18.3</v>
      </c>
      <c r="J262">
        <f t="shared" si="28"/>
        <v>1981.4000000000005</v>
      </c>
      <c r="K262">
        <f t="shared" si="29"/>
        <v>24.5</v>
      </c>
      <c r="L262" s="8">
        <v>266</v>
      </c>
      <c r="M262">
        <v>0</v>
      </c>
      <c r="N262">
        <v>3.3</v>
      </c>
      <c r="O262">
        <f t="shared" si="32"/>
        <v>-3.3</v>
      </c>
      <c r="Q262">
        <v>236</v>
      </c>
      <c r="R262">
        <v>1.1499999999999999</v>
      </c>
      <c r="S262">
        <f t="shared" si="33"/>
        <v>3.7949999999999995</v>
      </c>
      <c r="T262">
        <f t="shared" si="34"/>
        <v>-3.7949999999999995</v>
      </c>
      <c r="U262">
        <f t="shared" si="30"/>
        <v>147.73500000000001</v>
      </c>
      <c r="V262">
        <v>0</v>
      </c>
      <c r="W262">
        <v>1988.1</v>
      </c>
      <c r="X262">
        <f t="shared" si="31"/>
        <v>3089.2</v>
      </c>
      <c r="Y262">
        <v>13.682183062555501</v>
      </c>
      <c r="Z262">
        <v>30470.799999999999</v>
      </c>
    </row>
    <row r="263" spans="1:26" x14ac:dyDescent="0.25">
      <c r="A263">
        <v>6360</v>
      </c>
      <c r="B263">
        <v>26330</v>
      </c>
      <c r="C263" s="3">
        <v>43208</v>
      </c>
      <c r="F263" s="39"/>
      <c r="G263">
        <v>16.7</v>
      </c>
      <c r="H263">
        <v>9.9</v>
      </c>
      <c r="I263">
        <v>22.5</v>
      </c>
      <c r="J263">
        <f t="shared" si="28"/>
        <v>1998.1000000000006</v>
      </c>
      <c r="K263">
        <f t="shared" si="29"/>
        <v>41.2</v>
      </c>
      <c r="L263" s="18" t="s">
        <v>38</v>
      </c>
      <c r="M263">
        <v>0</v>
      </c>
      <c r="N263">
        <v>4</v>
      </c>
      <c r="O263">
        <f t="shared" si="32"/>
        <v>-4</v>
      </c>
      <c r="Q263">
        <v>237</v>
      </c>
      <c r="R263">
        <v>1.1499999999999999</v>
      </c>
      <c r="S263">
        <f t="shared" si="33"/>
        <v>4.5999999999999996</v>
      </c>
      <c r="T263">
        <f t="shared" si="34"/>
        <v>-4.5999999999999996</v>
      </c>
      <c r="U263">
        <f t="shared" si="30"/>
        <v>143.13500000000002</v>
      </c>
      <c r="V263" s="20" t="s">
        <v>45</v>
      </c>
      <c r="W263">
        <v>1806</v>
      </c>
      <c r="X263">
        <f t="shared" si="31"/>
        <v>4895.2</v>
      </c>
      <c r="Y263">
        <v>13.744666700727819</v>
      </c>
      <c r="Z263" s="20" t="s">
        <v>50</v>
      </c>
    </row>
    <row r="264" spans="1:26" x14ac:dyDescent="0.25">
      <c r="A264">
        <v>6360</v>
      </c>
      <c r="B264">
        <v>26330</v>
      </c>
      <c r="C264" s="3">
        <v>43209</v>
      </c>
      <c r="F264" s="39"/>
      <c r="G264">
        <v>18.600000000000001</v>
      </c>
      <c r="H264">
        <v>13</v>
      </c>
      <c r="I264">
        <v>24.6</v>
      </c>
      <c r="J264">
        <f t="shared" si="28"/>
        <v>2016.7000000000005</v>
      </c>
      <c r="K264">
        <f t="shared" si="29"/>
        <v>59.800000000000004</v>
      </c>
      <c r="L264" s="9">
        <f>AVERAGE(G261:G281)</f>
        <v>12.666666666666666</v>
      </c>
      <c r="M264">
        <v>0</v>
      </c>
      <c r="N264">
        <v>5.0999999999999996</v>
      </c>
      <c r="O264">
        <f t="shared" si="32"/>
        <v>-5.0999999999999996</v>
      </c>
      <c r="Q264">
        <v>238</v>
      </c>
      <c r="R264">
        <v>1.1499999999999999</v>
      </c>
      <c r="S264">
        <f t="shared" si="33"/>
        <v>5.8649999999999993</v>
      </c>
      <c r="T264">
        <f t="shared" si="34"/>
        <v>-5.8649999999999993</v>
      </c>
      <c r="U264">
        <f t="shared" si="30"/>
        <v>137.27000000000001</v>
      </c>
      <c r="V264">
        <v>0</v>
      </c>
      <c r="W264">
        <v>2209</v>
      </c>
      <c r="X264">
        <f t="shared" si="31"/>
        <v>7104.2</v>
      </c>
      <c r="Y264">
        <v>13.806876120887042</v>
      </c>
      <c r="Z264" s="12">
        <f>(Z262/100)/L262</f>
        <v>1.1455187969924812</v>
      </c>
    </row>
    <row r="265" spans="1:26" x14ac:dyDescent="0.25">
      <c r="A265">
        <v>6360</v>
      </c>
      <c r="B265">
        <v>26330</v>
      </c>
      <c r="C265" s="3">
        <v>43210</v>
      </c>
      <c r="F265" s="39"/>
      <c r="G265">
        <v>17.7</v>
      </c>
      <c r="H265">
        <v>12.9</v>
      </c>
      <c r="I265">
        <v>25.1</v>
      </c>
      <c r="J265">
        <f t="shared" si="28"/>
        <v>2034.4000000000005</v>
      </c>
      <c r="K265">
        <f t="shared" si="29"/>
        <v>77.5</v>
      </c>
      <c r="L265" s="18" t="s">
        <v>39</v>
      </c>
      <c r="M265">
        <v>0</v>
      </c>
      <c r="N265">
        <v>4.5</v>
      </c>
      <c r="O265">
        <f t="shared" si="32"/>
        <v>-4.5</v>
      </c>
      <c r="Q265">
        <v>239</v>
      </c>
      <c r="R265">
        <v>1.1499999999999999</v>
      </c>
      <c r="S265">
        <f t="shared" si="33"/>
        <v>5.1749999999999998</v>
      </c>
      <c r="T265">
        <f t="shared" si="34"/>
        <v>-5.1749999999999998</v>
      </c>
      <c r="U265">
        <f t="shared" si="30"/>
        <v>132.095</v>
      </c>
      <c r="V265" s="20" t="s">
        <v>46</v>
      </c>
      <c r="W265">
        <v>2128.4</v>
      </c>
      <c r="X265">
        <f t="shared" si="31"/>
        <v>9232.6</v>
      </c>
      <c r="Y265">
        <v>13.868796904200069</v>
      </c>
      <c r="Z265" s="20" t="s">
        <v>51</v>
      </c>
    </row>
    <row r="266" spans="1:26" x14ac:dyDescent="0.25">
      <c r="A266">
        <v>6360</v>
      </c>
      <c r="B266">
        <v>26330</v>
      </c>
      <c r="C266" s="3">
        <v>43211</v>
      </c>
      <c r="F266" s="39"/>
      <c r="G266">
        <v>16.5</v>
      </c>
      <c r="H266">
        <v>9.6</v>
      </c>
      <c r="I266">
        <v>22.6</v>
      </c>
      <c r="J266">
        <f t="shared" si="28"/>
        <v>2050.9000000000005</v>
      </c>
      <c r="K266">
        <f t="shared" si="29"/>
        <v>94</v>
      </c>
      <c r="L266" s="10">
        <f>MIN(H261:H281)</f>
        <v>4.5999999999999996</v>
      </c>
      <c r="M266">
        <v>0.2</v>
      </c>
      <c r="N266">
        <v>3.6</v>
      </c>
      <c r="O266">
        <f t="shared" si="32"/>
        <v>-3.4</v>
      </c>
      <c r="Q266">
        <v>240</v>
      </c>
      <c r="R266">
        <v>1.1499999999999999</v>
      </c>
      <c r="S266">
        <f t="shared" si="33"/>
        <v>4.1399999999999997</v>
      </c>
      <c r="T266">
        <f t="shared" si="34"/>
        <v>-3.9399999999999995</v>
      </c>
      <c r="U266">
        <f t="shared" si="30"/>
        <v>128.155</v>
      </c>
      <c r="V266" s="12">
        <f>MIN(U261:U281)</f>
        <v>110.36</v>
      </c>
      <c r="W266">
        <v>1821.8</v>
      </c>
      <c r="X266">
        <f t="shared" si="31"/>
        <v>11054.4</v>
      </c>
      <c r="Y266">
        <v>13.93041418692779</v>
      </c>
      <c r="Z266">
        <v>6</v>
      </c>
    </row>
    <row r="267" spans="1:26" x14ac:dyDescent="0.25">
      <c r="A267">
        <v>6360</v>
      </c>
      <c r="B267">
        <v>26330</v>
      </c>
      <c r="C267" s="3">
        <v>43212</v>
      </c>
      <c r="F267" s="39"/>
      <c r="G267">
        <v>17.399999999999999</v>
      </c>
      <c r="H267">
        <v>13.8</v>
      </c>
      <c r="I267">
        <v>24.2</v>
      </c>
      <c r="J267">
        <f t="shared" si="28"/>
        <v>2068.3000000000006</v>
      </c>
      <c r="K267">
        <f t="shared" si="29"/>
        <v>111.4</v>
      </c>
      <c r="L267" s="18" t="s">
        <v>40</v>
      </c>
      <c r="M267">
        <v>0.2</v>
      </c>
      <c r="N267">
        <v>4.3</v>
      </c>
      <c r="O267">
        <f t="shared" si="32"/>
        <v>-4.0999999999999996</v>
      </c>
      <c r="Q267">
        <v>241</v>
      </c>
      <c r="R267">
        <v>1.1499999999999999</v>
      </c>
      <c r="S267">
        <f t="shared" si="33"/>
        <v>4.9449999999999994</v>
      </c>
      <c r="T267">
        <f t="shared" si="34"/>
        <v>-4.7449999999999992</v>
      </c>
      <c r="U267">
        <f t="shared" si="30"/>
        <v>123.41</v>
      </c>
      <c r="V267" s="20" t="s">
        <v>47</v>
      </c>
      <c r="W267">
        <v>1773.3</v>
      </c>
      <c r="X267">
        <f t="shared" si="31"/>
        <v>12827.699999999999</v>
      </c>
      <c r="Y267">
        <v>13.991712649066034</v>
      </c>
    </row>
    <row r="268" spans="1:26" x14ac:dyDescent="0.25">
      <c r="A268">
        <v>6360</v>
      </c>
      <c r="B268">
        <v>26330</v>
      </c>
      <c r="C268" s="3">
        <v>43213</v>
      </c>
      <c r="F268" s="39"/>
      <c r="G268">
        <v>11.4</v>
      </c>
      <c r="H268">
        <v>10.7</v>
      </c>
      <c r="I268">
        <v>13.6</v>
      </c>
      <c r="J268">
        <f t="shared" si="28"/>
        <v>2079.7000000000007</v>
      </c>
      <c r="K268">
        <f t="shared" si="29"/>
        <v>122.80000000000001</v>
      </c>
      <c r="L268" s="8">
        <f>MAX(I261:I281)</f>
        <v>25.1</v>
      </c>
      <c r="M268">
        <v>0</v>
      </c>
      <c r="N268">
        <v>3</v>
      </c>
      <c r="O268">
        <f t="shared" si="32"/>
        <v>-3</v>
      </c>
      <c r="Q268">
        <v>242</v>
      </c>
      <c r="R268">
        <v>1.1499999999999999</v>
      </c>
      <c r="S268">
        <f t="shared" si="33"/>
        <v>3.4499999999999997</v>
      </c>
      <c r="T268">
        <f t="shared" si="34"/>
        <v>-3.4499999999999997</v>
      </c>
      <c r="U268">
        <f t="shared" si="30"/>
        <v>119.96</v>
      </c>
      <c r="V268" s="12">
        <f>MAX(U261:U281)</f>
        <v>151.53</v>
      </c>
      <c r="W268">
        <v>1682.5</v>
      </c>
      <c r="X268">
        <f t="shared" si="31"/>
        <v>14510.199999999999</v>
      </c>
      <c r="Y268">
        <v>14.052676503694844</v>
      </c>
    </row>
    <row r="269" spans="1:26" x14ac:dyDescent="0.25">
      <c r="A269">
        <v>6360</v>
      </c>
      <c r="B269">
        <v>26330</v>
      </c>
      <c r="C269" s="3">
        <v>43214</v>
      </c>
      <c r="F269" s="39"/>
      <c r="G269">
        <v>12.4</v>
      </c>
      <c r="H269">
        <v>9.4</v>
      </c>
      <c r="I269">
        <v>14.1</v>
      </c>
      <c r="J269">
        <f t="shared" si="28"/>
        <v>2092.1000000000008</v>
      </c>
      <c r="K269">
        <f t="shared" si="29"/>
        <v>135.20000000000002</v>
      </c>
      <c r="L269" s="18" t="s">
        <v>41</v>
      </c>
      <c r="M269">
        <v>0.1</v>
      </c>
      <c r="N269">
        <v>1.2</v>
      </c>
      <c r="O269">
        <f t="shared" si="32"/>
        <v>-1.0999999999999999</v>
      </c>
      <c r="Q269">
        <v>243</v>
      </c>
      <c r="R269">
        <v>1.1499999999999999</v>
      </c>
      <c r="S269">
        <f t="shared" si="33"/>
        <v>1.38</v>
      </c>
      <c r="T269">
        <f t="shared" si="34"/>
        <v>-1.2799999999999998</v>
      </c>
      <c r="U269">
        <f t="shared" si="30"/>
        <v>118.67999999999999</v>
      </c>
      <c r="V269" s="20" t="s">
        <v>48</v>
      </c>
      <c r="W269">
        <v>610.79999999999995</v>
      </c>
      <c r="X269">
        <f t="shared" si="31"/>
        <v>15120.999999999998</v>
      </c>
      <c r="Y269">
        <v>14.113289487099964</v>
      </c>
    </row>
    <row r="270" spans="1:26" x14ac:dyDescent="0.25">
      <c r="A270">
        <v>6360</v>
      </c>
      <c r="B270">
        <v>26330</v>
      </c>
      <c r="C270" s="3">
        <v>43215</v>
      </c>
      <c r="F270" s="39"/>
      <c r="G270">
        <v>11.5</v>
      </c>
      <c r="H270">
        <v>10.6</v>
      </c>
      <c r="I270">
        <v>13.5</v>
      </c>
      <c r="J270">
        <f t="shared" si="28"/>
        <v>2103.6000000000008</v>
      </c>
      <c r="K270">
        <f t="shared" si="29"/>
        <v>146.70000000000002</v>
      </c>
      <c r="L270" s="8">
        <v>1</v>
      </c>
      <c r="M270">
        <v>0</v>
      </c>
      <c r="N270">
        <v>2.8</v>
      </c>
      <c r="O270">
        <f t="shared" si="32"/>
        <v>-2.8</v>
      </c>
      <c r="Q270">
        <v>244</v>
      </c>
      <c r="R270">
        <v>1.1499999999999999</v>
      </c>
      <c r="S270">
        <f t="shared" si="33"/>
        <v>3.2199999999999998</v>
      </c>
      <c r="T270">
        <f t="shared" si="34"/>
        <v>-3.2199999999999998</v>
      </c>
      <c r="U270">
        <f t="shared" si="30"/>
        <v>115.46</v>
      </c>
      <c r="V270" s="12">
        <f>AVERAGE(U261:U281)</f>
        <v>128.20642857142857</v>
      </c>
      <c r="W270">
        <v>1425.5</v>
      </c>
      <c r="X270">
        <f t="shared" si="31"/>
        <v>16546.5</v>
      </c>
      <c r="Y270">
        <v>14.173534849734224</v>
      </c>
    </row>
    <row r="271" spans="1:26" x14ac:dyDescent="0.25">
      <c r="A271">
        <v>6360</v>
      </c>
      <c r="B271">
        <v>26330</v>
      </c>
      <c r="C271" s="3">
        <v>43216</v>
      </c>
      <c r="F271" s="39"/>
      <c r="G271">
        <v>10.5</v>
      </c>
      <c r="H271">
        <v>9.1</v>
      </c>
      <c r="I271">
        <v>13.6</v>
      </c>
      <c r="J271">
        <f t="shared" si="28"/>
        <v>2114.1000000000008</v>
      </c>
      <c r="K271">
        <f t="shared" si="29"/>
        <v>157.20000000000002</v>
      </c>
      <c r="L271" s="18" t="s">
        <v>42</v>
      </c>
      <c r="M271">
        <v>0</v>
      </c>
      <c r="N271">
        <v>2.2999999999999998</v>
      </c>
      <c r="O271">
        <f t="shared" si="32"/>
        <v>-2.2999999999999998</v>
      </c>
      <c r="Q271">
        <v>245</v>
      </c>
      <c r="R271">
        <v>1.1499999999999999</v>
      </c>
      <c r="S271">
        <f t="shared" si="33"/>
        <v>2.6449999999999996</v>
      </c>
      <c r="T271">
        <f t="shared" si="34"/>
        <v>-2.6449999999999996</v>
      </c>
      <c r="U271">
        <f t="shared" si="30"/>
        <v>112.815</v>
      </c>
      <c r="W271">
        <v>846.9</v>
      </c>
      <c r="X271">
        <f t="shared" si="31"/>
        <v>17393.400000000001</v>
      </c>
      <c r="Y271">
        <v>14.233395348090104</v>
      </c>
    </row>
    <row r="272" spans="1:26" x14ac:dyDescent="0.25">
      <c r="A272">
        <v>6360</v>
      </c>
      <c r="B272">
        <v>26330</v>
      </c>
      <c r="C272" s="3">
        <v>43217</v>
      </c>
      <c r="F272" s="39"/>
      <c r="G272">
        <v>11.8</v>
      </c>
      <c r="H272">
        <v>7</v>
      </c>
      <c r="I272">
        <v>15.4</v>
      </c>
      <c r="J272">
        <f t="shared" si="28"/>
        <v>2125.900000000001</v>
      </c>
      <c r="K272">
        <f t="shared" si="29"/>
        <v>169.00000000000003</v>
      </c>
      <c r="L272" s="8">
        <v>1</v>
      </c>
      <c r="M272">
        <v>1.5</v>
      </c>
      <c r="N272">
        <v>1.7</v>
      </c>
      <c r="O272">
        <f t="shared" si="32"/>
        <v>-0.19999999999999996</v>
      </c>
      <c r="Q272">
        <v>246</v>
      </c>
      <c r="R272">
        <v>1.1499999999999999</v>
      </c>
      <c r="S272">
        <f t="shared" si="33"/>
        <v>1.9549999999999998</v>
      </c>
      <c r="T272">
        <f t="shared" si="34"/>
        <v>-0.45499999999999985</v>
      </c>
      <c r="U272">
        <f t="shared" si="30"/>
        <v>112.36</v>
      </c>
      <c r="V272" s="13">
        <f>(V270*100)/153.6</f>
        <v>83.46772693452381</v>
      </c>
      <c r="W272">
        <v>724.5</v>
      </c>
      <c r="X272">
        <f t="shared" si="31"/>
        <v>18117.900000000001</v>
      </c>
      <c r="Y272">
        <v>14.292853237558496</v>
      </c>
    </row>
    <row r="273" spans="1:26" x14ac:dyDescent="0.25">
      <c r="A273">
        <v>6360</v>
      </c>
      <c r="B273">
        <v>26330</v>
      </c>
      <c r="C273" s="3">
        <v>43218</v>
      </c>
      <c r="F273" s="39"/>
      <c r="G273">
        <v>11.5</v>
      </c>
      <c r="H273">
        <v>10.8</v>
      </c>
      <c r="I273">
        <v>13.3</v>
      </c>
      <c r="J273">
        <f t="shared" si="28"/>
        <v>2137.400000000001</v>
      </c>
      <c r="K273">
        <f t="shared" si="29"/>
        <v>180.50000000000003</v>
      </c>
      <c r="L273" s="18" t="s">
        <v>43</v>
      </c>
      <c r="M273">
        <v>0.3</v>
      </c>
      <c r="N273">
        <v>2</v>
      </c>
      <c r="O273">
        <f t="shared" si="32"/>
        <v>-1.7</v>
      </c>
      <c r="Q273">
        <v>247</v>
      </c>
      <c r="R273">
        <v>1.1499999999999999</v>
      </c>
      <c r="S273">
        <f t="shared" si="33"/>
        <v>2.2999999999999998</v>
      </c>
      <c r="T273">
        <f t="shared" si="34"/>
        <v>-1.9999999999999998</v>
      </c>
      <c r="U273">
        <f t="shared" si="30"/>
        <v>110.36</v>
      </c>
      <c r="W273">
        <v>1078.9000000000001</v>
      </c>
      <c r="X273">
        <f t="shared" si="31"/>
        <v>19196.800000000003</v>
      </c>
      <c r="Y273">
        <v>14.35189026635233</v>
      </c>
    </row>
    <row r="274" spans="1:26" x14ac:dyDescent="0.25">
      <c r="A274">
        <v>6360</v>
      </c>
      <c r="B274">
        <v>26330</v>
      </c>
      <c r="C274" s="3">
        <v>43219</v>
      </c>
      <c r="F274" s="39"/>
      <c r="G274">
        <v>9.1999999999999993</v>
      </c>
      <c r="H274">
        <v>7.7</v>
      </c>
      <c r="I274">
        <v>10.1</v>
      </c>
      <c r="J274">
        <f t="shared" si="28"/>
        <v>2146.6000000000008</v>
      </c>
      <c r="K274">
        <f t="shared" si="29"/>
        <v>189.70000000000002</v>
      </c>
      <c r="L274" s="19">
        <v>0</v>
      </c>
      <c r="M274">
        <v>20.3</v>
      </c>
      <c r="N274">
        <v>0.6</v>
      </c>
      <c r="O274">
        <f t="shared" si="32"/>
        <v>19.7</v>
      </c>
      <c r="Q274">
        <v>248</v>
      </c>
      <c r="R274">
        <v>1.1499999999999999</v>
      </c>
      <c r="S274">
        <f t="shared" si="33"/>
        <v>0.69</v>
      </c>
      <c r="T274">
        <f t="shared" si="34"/>
        <v>19.61</v>
      </c>
      <c r="U274">
        <f t="shared" si="30"/>
        <v>129.97</v>
      </c>
      <c r="W274">
        <v>318</v>
      </c>
      <c r="X274">
        <f t="shared" si="31"/>
        <v>19514.800000000003</v>
      </c>
      <c r="Y274">
        <v>14.410487670577092</v>
      </c>
    </row>
    <row r="275" spans="1:26" x14ac:dyDescent="0.25">
      <c r="A275">
        <v>6360</v>
      </c>
      <c r="B275">
        <v>26330</v>
      </c>
      <c r="C275" s="3">
        <v>43220</v>
      </c>
      <c r="F275" s="39"/>
      <c r="G275">
        <v>7.7</v>
      </c>
      <c r="H275">
        <v>6.4</v>
      </c>
      <c r="I275">
        <v>9.1999999999999993</v>
      </c>
      <c r="J275">
        <f t="shared" si="28"/>
        <v>2154.3000000000006</v>
      </c>
      <c r="K275">
        <f t="shared" si="29"/>
        <v>197.4</v>
      </c>
      <c r="M275">
        <v>9.5</v>
      </c>
      <c r="N275">
        <v>0.7</v>
      </c>
      <c r="O275">
        <f t="shared" si="32"/>
        <v>8.8000000000000007</v>
      </c>
      <c r="Q275">
        <v>249</v>
      </c>
      <c r="R275">
        <v>1.1499999999999999</v>
      </c>
      <c r="S275">
        <f t="shared" si="33"/>
        <v>0.80499999999999994</v>
      </c>
      <c r="T275">
        <f t="shared" si="34"/>
        <v>8.6950000000000003</v>
      </c>
      <c r="U275">
        <f t="shared" si="30"/>
        <v>138.66499999999999</v>
      </c>
      <c r="W275">
        <v>375.3</v>
      </c>
      <c r="X275">
        <f t="shared" si="31"/>
        <v>19890.100000000002</v>
      </c>
      <c r="Y275">
        <v>14.468626170533808</v>
      </c>
    </row>
    <row r="276" spans="1:26" x14ac:dyDescent="0.25">
      <c r="A276">
        <v>6360</v>
      </c>
      <c r="B276">
        <v>26330</v>
      </c>
      <c r="C276" s="3">
        <v>43221</v>
      </c>
      <c r="F276" s="39"/>
      <c r="G276">
        <v>8.5</v>
      </c>
      <c r="H276">
        <v>5.7</v>
      </c>
      <c r="I276">
        <v>12.3</v>
      </c>
      <c r="J276">
        <f t="shared" si="28"/>
        <v>2162.8000000000006</v>
      </c>
      <c r="K276">
        <f t="shared" si="29"/>
        <v>205.9</v>
      </c>
      <c r="M276">
        <v>0</v>
      </c>
      <c r="N276">
        <v>2.8</v>
      </c>
      <c r="O276">
        <f t="shared" si="32"/>
        <v>-2.8</v>
      </c>
      <c r="Q276">
        <v>250</v>
      </c>
      <c r="R276">
        <v>1.1499999999999999</v>
      </c>
      <c r="S276">
        <f t="shared" si="33"/>
        <v>3.2199999999999998</v>
      </c>
      <c r="T276">
        <f t="shared" si="34"/>
        <v>-3.2199999999999998</v>
      </c>
      <c r="U276">
        <f t="shared" si="30"/>
        <v>135.44499999999999</v>
      </c>
      <c r="W276">
        <v>1881.5</v>
      </c>
      <c r="X276">
        <f t="shared" si="31"/>
        <v>21771.600000000002</v>
      </c>
      <c r="Y276">
        <v>14.526285968343068</v>
      </c>
    </row>
    <row r="277" spans="1:26" x14ac:dyDescent="0.25">
      <c r="A277">
        <v>6360</v>
      </c>
      <c r="B277">
        <v>26330</v>
      </c>
      <c r="C277" s="3">
        <v>43222</v>
      </c>
      <c r="F277" s="39"/>
      <c r="G277">
        <v>9.5</v>
      </c>
      <c r="H277">
        <v>4.5999999999999996</v>
      </c>
      <c r="I277">
        <v>14.3</v>
      </c>
      <c r="J277">
        <f t="shared" si="28"/>
        <v>2172.3000000000006</v>
      </c>
      <c r="K277">
        <f t="shared" si="29"/>
        <v>215.4</v>
      </c>
      <c r="M277">
        <v>1.4</v>
      </c>
      <c r="N277">
        <v>1.8</v>
      </c>
      <c r="O277">
        <f t="shared" si="32"/>
        <v>-0.40000000000000013</v>
      </c>
      <c r="Q277">
        <v>251</v>
      </c>
      <c r="R277">
        <v>1.1499999999999999</v>
      </c>
      <c r="S277">
        <f t="shared" si="33"/>
        <v>2.0699999999999998</v>
      </c>
      <c r="T277">
        <f t="shared" si="34"/>
        <v>-0.66999999999999993</v>
      </c>
      <c r="U277">
        <f t="shared" si="30"/>
        <v>134.77500000000001</v>
      </c>
      <c r="W277">
        <v>843.2</v>
      </c>
      <c r="X277">
        <f t="shared" si="31"/>
        <v>22614.800000000003</v>
      </c>
      <c r="Y277">
        <v>14.583446746981714</v>
      </c>
    </row>
    <row r="278" spans="1:26" x14ac:dyDescent="0.25">
      <c r="A278">
        <v>6360</v>
      </c>
      <c r="B278">
        <v>26330</v>
      </c>
      <c r="C278" s="3">
        <v>43223</v>
      </c>
      <c r="F278" s="39"/>
      <c r="G278">
        <v>9.9</v>
      </c>
      <c r="H278">
        <v>6.2</v>
      </c>
      <c r="I278">
        <v>14.2</v>
      </c>
      <c r="J278">
        <f t="shared" si="28"/>
        <v>2182.2000000000007</v>
      </c>
      <c r="K278">
        <f t="shared" si="29"/>
        <v>225.3</v>
      </c>
      <c r="M278">
        <v>0</v>
      </c>
      <c r="N278">
        <v>2.9</v>
      </c>
      <c r="O278">
        <f t="shared" si="32"/>
        <v>-2.9</v>
      </c>
      <c r="Q278">
        <v>252</v>
      </c>
      <c r="R278">
        <v>1.1499999999999999</v>
      </c>
      <c r="S278">
        <f t="shared" si="33"/>
        <v>3.3349999999999995</v>
      </c>
      <c r="T278">
        <f t="shared" si="34"/>
        <v>-3.3349999999999995</v>
      </c>
      <c r="U278">
        <f t="shared" si="30"/>
        <v>131.44</v>
      </c>
      <c r="W278">
        <v>1806.9</v>
      </c>
      <c r="X278">
        <f t="shared" si="31"/>
        <v>24421.700000000004</v>
      </c>
      <c r="Y278">
        <v>14.640087670826356</v>
      </c>
    </row>
    <row r="279" spans="1:26" x14ac:dyDescent="0.25">
      <c r="A279">
        <v>6360</v>
      </c>
      <c r="B279">
        <v>26330</v>
      </c>
      <c r="C279" s="3">
        <v>43224</v>
      </c>
      <c r="F279" s="39"/>
      <c r="G279">
        <v>11</v>
      </c>
      <c r="H279">
        <v>5.3</v>
      </c>
      <c r="I279">
        <v>16.600000000000001</v>
      </c>
      <c r="J279">
        <f t="shared" si="28"/>
        <v>2193.2000000000007</v>
      </c>
      <c r="K279">
        <f t="shared" si="29"/>
        <v>236.3</v>
      </c>
      <c r="M279">
        <v>0.1</v>
      </c>
      <c r="N279">
        <v>3.1</v>
      </c>
      <c r="O279">
        <f t="shared" si="32"/>
        <v>-3</v>
      </c>
      <c r="Q279">
        <v>253</v>
      </c>
      <c r="R279">
        <v>1.1499999999999999</v>
      </c>
      <c r="S279">
        <f t="shared" si="33"/>
        <v>3.5649999999999999</v>
      </c>
      <c r="T279">
        <f t="shared" si="34"/>
        <v>-3.4649999999999999</v>
      </c>
      <c r="U279">
        <f t="shared" si="30"/>
        <v>127.97499999999999</v>
      </c>
      <c r="W279">
        <v>1594.9</v>
      </c>
      <c r="X279">
        <f t="shared" si="31"/>
        <v>26016.600000000006</v>
      </c>
      <c r="Y279">
        <v>14.696187387800119</v>
      </c>
    </row>
    <row r="280" spans="1:26" x14ac:dyDescent="0.25">
      <c r="A280">
        <v>6360</v>
      </c>
      <c r="B280">
        <v>26330</v>
      </c>
      <c r="C280" s="3">
        <v>43225</v>
      </c>
      <c r="F280" s="39"/>
      <c r="G280">
        <v>13.5</v>
      </c>
      <c r="H280">
        <v>6.8</v>
      </c>
      <c r="I280">
        <v>20.3</v>
      </c>
      <c r="J280">
        <f t="shared" si="28"/>
        <v>2206.7000000000007</v>
      </c>
      <c r="K280">
        <f t="shared" si="29"/>
        <v>249.8</v>
      </c>
      <c r="M280">
        <v>0</v>
      </c>
      <c r="N280">
        <v>4.0999999999999996</v>
      </c>
      <c r="O280">
        <f t="shared" si="32"/>
        <v>-4.0999999999999996</v>
      </c>
      <c r="Q280">
        <v>254</v>
      </c>
      <c r="R280">
        <v>1.1499999999999999</v>
      </c>
      <c r="S280">
        <f t="shared" si="33"/>
        <v>4.714999999999999</v>
      </c>
      <c r="T280">
        <f t="shared" si="34"/>
        <v>-4.714999999999999</v>
      </c>
      <c r="U280">
        <f t="shared" si="30"/>
        <v>123.25999999999999</v>
      </c>
      <c r="W280">
        <v>2165.4</v>
      </c>
      <c r="X280">
        <f t="shared" si="31"/>
        <v>28182.000000000007</v>
      </c>
      <c r="Y280">
        <v>14.751724033220915</v>
      </c>
    </row>
    <row r="281" spans="1:26" s="4" customFormat="1" ht="15.75" thickBot="1" x14ac:dyDescent="0.3">
      <c r="A281" s="4">
        <v>6360</v>
      </c>
      <c r="B281" s="4">
        <v>26330</v>
      </c>
      <c r="C281" s="5">
        <v>43226</v>
      </c>
      <c r="D281" s="4" t="s">
        <v>33</v>
      </c>
      <c r="F281" s="40"/>
      <c r="G281" s="4">
        <v>16.2</v>
      </c>
      <c r="H281" s="4">
        <v>8.9</v>
      </c>
      <c r="I281" s="4">
        <v>23.7</v>
      </c>
      <c r="J281" s="4">
        <f t="shared" si="28"/>
        <v>2222.9000000000005</v>
      </c>
      <c r="K281" s="4">
        <f t="shared" si="29"/>
        <v>266</v>
      </c>
      <c r="M281" s="4">
        <v>0.1</v>
      </c>
      <c r="N281" s="4">
        <v>4.8</v>
      </c>
      <c r="O281" s="4">
        <f t="shared" si="32"/>
        <v>-4.7</v>
      </c>
      <c r="Q281" s="4">
        <v>255</v>
      </c>
      <c r="R281" s="4">
        <v>1.1499999999999999</v>
      </c>
      <c r="S281" s="4">
        <f>R281*N281</f>
        <v>5.52</v>
      </c>
      <c r="T281" s="4">
        <f>M281-S281</f>
        <v>-5.42</v>
      </c>
      <c r="U281" s="4">
        <f t="shared" si="30"/>
        <v>117.83999999999999</v>
      </c>
      <c r="W281" s="4">
        <v>2288.8000000000002</v>
      </c>
      <c r="X281" s="4">
        <f t="shared" si="31"/>
        <v>30470.800000000007</v>
      </c>
      <c r="Y281" s="4">
        <v>14.806675235450738</v>
      </c>
    </row>
    <row r="282" spans="1:26" x14ac:dyDescent="0.25">
      <c r="A282">
        <v>6360</v>
      </c>
      <c r="B282">
        <v>26330</v>
      </c>
      <c r="C282" s="3">
        <v>43227</v>
      </c>
      <c r="F282" s="35" t="s">
        <v>55</v>
      </c>
      <c r="G282">
        <v>17.7</v>
      </c>
      <c r="H282">
        <v>10.6</v>
      </c>
      <c r="I282">
        <v>25.3</v>
      </c>
      <c r="J282">
        <f t="shared" si="28"/>
        <v>2240.6000000000004</v>
      </c>
      <c r="K282">
        <f>G282</f>
        <v>17.7</v>
      </c>
      <c r="L282" s="21" t="s">
        <v>37</v>
      </c>
      <c r="M282">
        <v>0</v>
      </c>
      <c r="N282">
        <v>5.3</v>
      </c>
      <c r="O282">
        <f t="shared" si="32"/>
        <v>-5.3</v>
      </c>
      <c r="Q282">
        <v>256</v>
      </c>
      <c r="R282">
        <v>1.1499999999999999</v>
      </c>
      <c r="S282">
        <f t="shared" si="33"/>
        <v>6.0949999999999998</v>
      </c>
      <c r="T282">
        <f t="shared" si="34"/>
        <v>-6.0949999999999998</v>
      </c>
      <c r="U282">
        <f t="shared" si="30"/>
        <v>111.74499999999999</v>
      </c>
      <c r="V282" s="22" t="s">
        <v>44</v>
      </c>
      <c r="W282">
        <v>2470.5</v>
      </c>
      <c r="X282">
        <f>W282</f>
        <v>2470.5</v>
      </c>
      <c r="Y282">
        <v>14.861018123446277</v>
      </c>
      <c r="Z282" s="22" t="s">
        <v>49</v>
      </c>
    </row>
    <row r="283" spans="1:26" x14ac:dyDescent="0.25">
      <c r="A283">
        <v>6360</v>
      </c>
      <c r="B283">
        <v>26330</v>
      </c>
      <c r="C283" s="3">
        <v>43228</v>
      </c>
      <c r="F283" s="36"/>
      <c r="G283">
        <v>18.399999999999999</v>
      </c>
      <c r="H283">
        <v>12.1</v>
      </c>
      <c r="I283">
        <v>26.1</v>
      </c>
      <c r="J283">
        <f t="shared" si="28"/>
        <v>2259.0000000000005</v>
      </c>
      <c r="K283">
        <f t="shared" si="29"/>
        <v>36.099999999999994</v>
      </c>
      <c r="L283" s="8">
        <v>301.2</v>
      </c>
      <c r="M283">
        <v>0</v>
      </c>
      <c r="N283">
        <v>5.0999999999999996</v>
      </c>
      <c r="O283">
        <f t="shared" si="32"/>
        <v>-5.0999999999999996</v>
      </c>
      <c r="Q283">
        <v>257</v>
      </c>
      <c r="R283">
        <v>1.1499999999999999</v>
      </c>
      <c r="S283">
        <f t="shared" si="33"/>
        <v>5.8649999999999993</v>
      </c>
      <c r="T283">
        <f t="shared" si="34"/>
        <v>-5.8649999999999993</v>
      </c>
      <c r="U283">
        <f t="shared" si="30"/>
        <v>105.88</v>
      </c>
      <c r="V283">
        <v>0</v>
      </c>
      <c r="W283">
        <v>2330.9</v>
      </c>
      <c r="X283">
        <f t="shared" si="31"/>
        <v>4801.3999999999996</v>
      </c>
      <c r="Y283">
        <v>14.914729336311067</v>
      </c>
      <c r="Z283">
        <v>26527.8</v>
      </c>
    </row>
    <row r="284" spans="1:26" x14ac:dyDescent="0.25">
      <c r="A284">
        <v>6360</v>
      </c>
      <c r="B284">
        <v>26330</v>
      </c>
      <c r="C284" s="3">
        <v>43229</v>
      </c>
      <c r="F284" s="36"/>
      <c r="G284">
        <v>14</v>
      </c>
      <c r="H284">
        <v>11.4</v>
      </c>
      <c r="I284">
        <v>17.100000000000001</v>
      </c>
      <c r="J284">
        <f t="shared" si="28"/>
        <v>2273.0000000000005</v>
      </c>
      <c r="K284">
        <f t="shared" si="29"/>
        <v>50.099999999999994</v>
      </c>
      <c r="L284" s="21" t="s">
        <v>38</v>
      </c>
      <c r="M284">
        <v>0</v>
      </c>
      <c r="N284">
        <v>3.1</v>
      </c>
      <c r="O284">
        <f t="shared" si="32"/>
        <v>-3.1</v>
      </c>
      <c r="Q284">
        <v>258</v>
      </c>
      <c r="R284">
        <v>1.1499999999999999</v>
      </c>
      <c r="S284">
        <f t="shared" si="33"/>
        <v>3.5649999999999999</v>
      </c>
      <c r="T284">
        <f t="shared" si="34"/>
        <v>-3.5649999999999999</v>
      </c>
      <c r="U284">
        <f t="shared" si="30"/>
        <v>102.315</v>
      </c>
      <c r="V284" s="22" t="s">
        <v>45</v>
      </c>
      <c r="W284">
        <v>1765.5</v>
      </c>
      <c r="X284">
        <f t="shared" si="31"/>
        <v>6566.9</v>
      </c>
      <c r="Y284">
        <v>14.967785034948841</v>
      </c>
      <c r="Z284" s="22" t="s">
        <v>50</v>
      </c>
    </row>
    <row r="285" spans="1:26" x14ac:dyDescent="0.25">
      <c r="A285">
        <v>6360</v>
      </c>
      <c r="B285">
        <v>26330</v>
      </c>
      <c r="C285" s="3">
        <v>43230</v>
      </c>
      <c r="F285" s="36"/>
      <c r="G285">
        <v>11.7</v>
      </c>
      <c r="H285">
        <v>10.3</v>
      </c>
      <c r="I285">
        <v>14.1</v>
      </c>
      <c r="J285">
        <f t="shared" ref="J285:J348" si="35">J284+G285</f>
        <v>2284.7000000000003</v>
      </c>
      <c r="K285">
        <f t="shared" ref="K285:K348" si="36">K284+G285</f>
        <v>61.8</v>
      </c>
      <c r="L285" s="9">
        <f>AVERAGE(G282:G302)</f>
        <v>14.342857142857145</v>
      </c>
      <c r="M285">
        <v>0.1</v>
      </c>
      <c r="N285">
        <v>2.6</v>
      </c>
      <c r="O285">
        <f t="shared" si="32"/>
        <v>-2.5</v>
      </c>
      <c r="Q285">
        <v>259</v>
      </c>
      <c r="R285">
        <v>1.1499999999999999</v>
      </c>
      <c r="S285">
        <f t="shared" si="33"/>
        <v>2.9899999999999998</v>
      </c>
      <c r="T285">
        <f t="shared" si="34"/>
        <v>-2.8899999999999997</v>
      </c>
      <c r="U285">
        <f t="shared" ref="U285:U348" si="37">MIN(T285+U284,153.6)</f>
        <v>99.424999999999997</v>
      </c>
      <c r="V285">
        <v>0</v>
      </c>
      <c r="W285">
        <v>1474.2</v>
      </c>
      <c r="X285">
        <f t="shared" ref="X285:X348" si="38">X284+W285</f>
        <v>8041.0999999999995</v>
      </c>
      <c r="Y285">
        <v>15.020160915916003</v>
      </c>
      <c r="Z285">
        <f>(Z283/100)/L283</f>
        <v>0.8807370517928288</v>
      </c>
    </row>
    <row r="286" spans="1:26" x14ac:dyDescent="0.25">
      <c r="A286">
        <v>6360</v>
      </c>
      <c r="B286">
        <v>26330</v>
      </c>
      <c r="C286" s="3">
        <v>43231</v>
      </c>
      <c r="F286" s="36"/>
      <c r="G286">
        <v>13.9</v>
      </c>
      <c r="H286">
        <v>6.8</v>
      </c>
      <c r="I286">
        <v>18.2</v>
      </c>
      <c r="J286">
        <f t="shared" si="35"/>
        <v>2298.6000000000004</v>
      </c>
      <c r="K286">
        <f t="shared" si="36"/>
        <v>75.7</v>
      </c>
      <c r="L286" s="21" t="s">
        <v>39</v>
      </c>
      <c r="M286">
        <v>0</v>
      </c>
      <c r="N286">
        <v>2.9</v>
      </c>
      <c r="O286">
        <f t="shared" si="32"/>
        <v>-2.9</v>
      </c>
      <c r="Q286">
        <v>260</v>
      </c>
      <c r="R286">
        <v>1.1499999999999999</v>
      </c>
      <c r="S286">
        <f t="shared" si="33"/>
        <v>3.3349999999999995</v>
      </c>
      <c r="T286">
        <f t="shared" si="34"/>
        <v>-3.3349999999999995</v>
      </c>
      <c r="U286">
        <f t="shared" si="37"/>
        <v>96.09</v>
      </c>
      <c r="V286" s="22" t="s">
        <v>46</v>
      </c>
      <c r="W286">
        <v>1475.5</v>
      </c>
      <c r="X286">
        <f t="shared" si="38"/>
        <v>9516.5999999999985</v>
      </c>
      <c r="Y286">
        <v>15.071832227568684</v>
      </c>
      <c r="Z286" s="22" t="s">
        <v>51</v>
      </c>
    </row>
    <row r="287" spans="1:26" x14ac:dyDescent="0.25">
      <c r="A287">
        <v>6360</v>
      </c>
      <c r="B287">
        <v>26330</v>
      </c>
      <c r="C287" s="3">
        <v>43232</v>
      </c>
      <c r="F287" s="36"/>
      <c r="G287">
        <v>15.2</v>
      </c>
      <c r="H287">
        <v>12.7</v>
      </c>
      <c r="I287">
        <v>18.7</v>
      </c>
      <c r="J287">
        <f t="shared" si="35"/>
        <v>2313.8000000000002</v>
      </c>
      <c r="K287">
        <f t="shared" si="36"/>
        <v>90.9</v>
      </c>
      <c r="L287" s="10">
        <f>MIN(H282:H302)</f>
        <v>5.3</v>
      </c>
      <c r="M287">
        <v>7.6</v>
      </c>
      <c r="N287">
        <v>1.5</v>
      </c>
      <c r="O287">
        <f t="shared" si="32"/>
        <v>6.1</v>
      </c>
      <c r="Q287">
        <v>261</v>
      </c>
      <c r="R287">
        <v>1.1499999999999999</v>
      </c>
      <c r="S287">
        <f t="shared" si="33"/>
        <v>1.7249999999999999</v>
      </c>
      <c r="T287">
        <f t="shared" si="34"/>
        <v>5.875</v>
      </c>
      <c r="U287">
        <f t="shared" si="37"/>
        <v>101.965</v>
      </c>
      <c r="V287" s="12">
        <f>MIN(U282:U302)</f>
        <v>81.155000000000001</v>
      </c>
      <c r="W287">
        <v>536.70000000000005</v>
      </c>
      <c r="X287">
        <f t="shared" si="38"/>
        <v>10053.299999999999</v>
      </c>
      <c r="Y287">
        <v>15.12277378859641</v>
      </c>
      <c r="Z287">
        <v>8</v>
      </c>
    </row>
    <row r="288" spans="1:26" x14ac:dyDescent="0.25">
      <c r="A288">
        <v>6360</v>
      </c>
      <c r="B288">
        <v>26330</v>
      </c>
      <c r="C288" s="3">
        <v>43233</v>
      </c>
      <c r="F288" s="36"/>
      <c r="G288">
        <v>11.5</v>
      </c>
      <c r="H288">
        <v>10</v>
      </c>
      <c r="I288">
        <v>13.3</v>
      </c>
      <c r="J288">
        <f t="shared" si="35"/>
        <v>2325.3000000000002</v>
      </c>
      <c r="K288">
        <f t="shared" si="36"/>
        <v>102.4</v>
      </c>
      <c r="L288" s="21" t="s">
        <v>40</v>
      </c>
      <c r="M288">
        <v>0.5</v>
      </c>
      <c r="N288">
        <v>2.4</v>
      </c>
      <c r="O288">
        <f t="shared" si="32"/>
        <v>-1.9</v>
      </c>
      <c r="Q288">
        <v>262</v>
      </c>
      <c r="R288">
        <v>1.1499999999999999</v>
      </c>
      <c r="S288">
        <f t="shared" si="33"/>
        <v>2.76</v>
      </c>
      <c r="T288">
        <f t="shared" si="34"/>
        <v>-2.2599999999999998</v>
      </c>
      <c r="U288">
        <f t="shared" si="37"/>
        <v>99.704999999999998</v>
      </c>
      <c r="V288" s="22" t="s">
        <v>47</v>
      </c>
      <c r="W288">
        <v>1569.4</v>
      </c>
      <c r="X288">
        <f t="shared" si="38"/>
        <v>11622.699999999999</v>
      </c>
      <c r="Y288">
        <v>15.172960009029469</v>
      </c>
    </row>
    <row r="289" spans="1:26" x14ac:dyDescent="0.25">
      <c r="A289">
        <v>6360</v>
      </c>
      <c r="B289">
        <v>26330</v>
      </c>
      <c r="C289" s="3">
        <v>43234</v>
      </c>
      <c r="F289" s="36"/>
      <c r="G289">
        <v>11.1</v>
      </c>
      <c r="H289">
        <v>8.1999999999999993</v>
      </c>
      <c r="I289">
        <v>12.1</v>
      </c>
      <c r="J289">
        <f t="shared" si="35"/>
        <v>2336.4</v>
      </c>
      <c r="K289">
        <f t="shared" si="36"/>
        <v>113.5</v>
      </c>
      <c r="L289" s="8">
        <f>MAX(I282:I302)</f>
        <v>26.9</v>
      </c>
      <c r="M289">
        <v>0</v>
      </c>
      <c r="N289">
        <v>0.8</v>
      </c>
      <c r="O289">
        <f t="shared" si="32"/>
        <v>-0.8</v>
      </c>
      <c r="Q289">
        <v>263</v>
      </c>
      <c r="R289">
        <v>1.1499999999999999</v>
      </c>
      <c r="S289">
        <f t="shared" si="33"/>
        <v>0.91999999999999993</v>
      </c>
      <c r="T289">
        <f t="shared" si="34"/>
        <v>-0.91999999999999993</v>
      </c>
      <c r="U289">
        <f t="shared" si="37"/>
        <v>98.784999999999997</v>
      </c>
      <c r="V289" s="12">
        <f>MAX(U282:U302)</f>
        <v>111.74499999999999</v>
      </c>
      <c r="W289">
        <v>605.4</v>
      </c>
      <c r="X289">
        <f t="shared" si="38"/>
        <v>12228.099999999999</v>
      </c>
      <c r="Y289">
        <v>15.222364913801405</v>
      </c>
    </row>
    <row r="290" spans="1:26" x14ac:dyDescent="0.25">
      <c r="A290">
        <v>6360</v>
      </c>
      <c r="B290">
        <v>26330</v>
      </c>
      <c r="C290" s="3">
        <v>43235</v>
      </c>
      <c r="F290" s="36"/>
      <c r="G290">
        <v>11.4</v>
      </c>
      <c r="H290">
        <v>10.1</v>
      </c>
      <c r="I290">
        <v>13.2</v>
      </c>
      <c r="J290">
        <f t="shared" si="35"/>
        <v>2347.8000000000002</v>
      </c>
      <c r="K290">
        <f t="shared" si="36"/>
        <v>124.9</v>
      </c>
      <c r="L290" s="21" t="s">
        <v>41</v>
      </c>
      <c r="M290">
        <v>0</v>
      </c>
      <c r="N290">
        <v>1.1000000000000001</v>
      </c>
      <c r="O290">
        <f t="shared" si="32"/>
        <v>-1.1000000000000001</v>
      </c>
      <c r="Q290">
        <v>264</v>
      </c>
      <c r="R290">
        <v>1.1499999999999999</v>
      </c>
      <c r="S290">
        <f t="shared" si="33"/>
        <v>1.2649999999999999</v>
      </c>
      <c r="T290">
        <f t="shared" si="34"/>
        <v>-1.2649999999999999</v>
      </c>
      <c r="U290">
        <f t="shared" si="37"/>
        <v>97.52</v>
      </c>
      <c r="V290" s="22" t="s">
        <v>48</v>
      </c>
      <c r="W290">
        <v>558.29999999999995</v>
      </c>
      <c r="X290">
        <f t="shared" si="38"/>
        <v>12786.399999999998</v>
      </c>
      <c r="Y290">
        <v>15.270962168940674</v>
      </c>
    </row>
    <row r="291" spans="1:26" x14ac:dyDescent="0.25">
      <c r="A291">
        <v>6360</v>
      </c>
      <c r="B291">
        <v>26330</v>
      </c>
      <c r="C291" s="3">
        <v>43236</v>
      </c>
      <c r="F291" s="36"/>
      <c r="G291">
        <v>11.5</v>
      </c>
      <c r="H291">
        <v>10.1</v>
      </c>
      <c r="I291">
        <v>13</v>
      </c>
      <c r="J291">
        <f t="shared" si="35"/>
        <v>2359.3000000000002</v>
      </c>
      <c r="K291">
        <f t="shared" si="36"/>
        <v>136.4</v>
      </c>
      <c r="L291" s="8">
        <v>4</v>
      </c>
      <c r="M291">
        <v>0</v>
      </c>
      <c r="N291">
        <v>1.2</v>
      </c>
      <c r="O291">
        <f t="shared" si="32"/>
        <v>-1.2</v>
      </c>
      <c r="Q291">
        <v>265</v>
      </c>
      <c r="R291">
        <v>1.1499999999999999</v>
      </c>
      <c r="S291">
        <f t="shared" si="33"/>
        <v>1.38</v>
      </c>
      <c r="T291">
        <f t="shared" si="34"/>
        <v>-1.38</v>
      </c>
      <c r="U291">
        <f t="shared" si="37"/>
        <v>96.14</v>
      </c>
      <c r="V291" s="12">
        <f>AVERAGE(U282:U302)</f>
        <v>93.286428571428573</v>
      </c>
      <c r="W291">
        <v>531.4</v>
      </c>
      <c r="X291">
        <f t="shared" si="38"/>
        <v>13317.799999999997</v>
      </c>
      <c r="Y291">
        <v>15.318725110456914</v>
      </c>
    </row>
    <row r="292" spans="1:26" x14ac:dyDescent="0.25">
      <c r="A292">
        <v>6360</v>
      </c>
      <c r="B292">
        <v>26330</v>
      </c>
      <c r="C292" s="3">
        <v>43237</v>
      </c>
      <c r="F292" s="36"/>
      <c r="G292">
        <v>10.4</v>
      </c>
      <c r="H292">
        <v>9.6999999999999993</v>
      </c>
      <c r="I292">
        <v>13.7</v>
      </c>
      <c r="J292">
        <f t="shared" si="35"/>
        <v>2369.7000000000003</v>
      </c>
      <c r="K292">
        <f t="shared" si="36"/>
        <v>146.80000000000001</v>
      </c>
      <c r="L292" s="21" t="s">
        <v>42</v>
      </c>
      <c r="M292">
        <v>0</v>
      </c>
      <c r="N292">
        <v>3.2</v>
      </c>
      <c r="O292">
        <f t="shared" si="32"/>
        <v>-3.2</v>
      </c>
      <c r="Q292">
        <v>266</v>
      </c>
      <c r="R292">
        <v>1.1499999999999999</v>
      </c>
      <c r="S292">
        <f t="shared" si="33"/>
        <v>3.6799999999999997</v>
      </c>
      <c r="T292">
        <f t="shared" si="34"/>
        <v>-3.6799999999999997</v>
      </c>
      <c r="U292">
        <f t="shared" si="37"/>
        <v>92.460000000000008</v>
      </c>
      <c r="W292">
        <v>1685.2</v>
      </c>
      <c r="X292">
        <f t="shared" si="38"/>
        <v>15002.999999999998</v>
      </c>
      <c r="Y292">
        <v>15.365626775977228</v>
      </c>
    </row>
    <row r="293" spans="1:26" x14ac:dyDescent="0.25">
      <c r="A293">
        <v>6360</v>
      </c>
      <c r="B293">
        <v>26330</v>
      </c>
      <c r="C293" s="3">
        <v>43238</v>
      </c>
      <c r="F293" s="36"/>
      <c r="G293">
        <v>9.9</v>
      </c>
      <c r="H293">
        <v>5.3</v>
      </c>
      <c r="I293">
        <v>14.2</v>
      </c>
      <c r="J293">
        <f t="shared" si="35"/>
        <v>2379.6000000000004</v>
      </c>
      <c r="K293">
        <f t="shared" si="36"/>
        <v>156.70000000000002</v>
      </c>
      <c r="L293" s="8">
        <v>0</v>
      </c>
      <c r="M293">
        <v>0</v>
      </c>
      <c r="N293">
        <v>1.6</v>
      </c>
      <c r="O293">
        <f t="shared" si="32"/>
        <v>-1.6</v>
      </c>
      <c r="Q293">
        <v>267</v>
      </c>
      <c r="R293">
        <v>1.1499999999999999</v>
      </c>
      <c r="S293">
        <f t="shared" si="33"/>
        <v>1.8399999999999999</v>
      </c>
      <c r="T293">
        <f t="shared" si="34"/>
        <v>-1.8399999999999999</v>
      </c>
      <c r="U293">
        <f t="shared" si="37"/>
        <v>90.62</v>
      </c>
      <c r="V293" s="13">
        <f>(V291*100)/153.6</f>
        <v>60.73335193452381</v>
      </c>
      <c r="W293">
        <v>858.8</v>
      </c>
      <c r="X293">
        <f t="shared" si="38"/>
        <v>15861.799999999997</v>
      </c>
      <c r="Y293">
        <v>15.41163993917616</v>
      </c>
    </row>
    <row r="294" spans="1:26" x14ac:dyDescent="0.25">
      <c r="A294">
        <v>6360</v>
      </c>
      <c r="B294">
        <v>26330</v>
      </c>
      <c r="C294" s="3">
        <v>43239</v>
      </c>
      <c r="F294" s="36"/>
      <c r="G294">
        <v>10.3</v>
      </c>
      <c r="H294">
        <v>5.9</v>
      </c>
      <c r="I294">
        <v>12.9</v>
      </c>
      <c r="J294">
        <f t="shared" si="35"/>
        <v>2389.9000000000005</v>
      </c>
      <c r="K294">
        <f t="shared" si="36"/>
        <v>167.00000000000003</v>
      </c>
      <c r="L294" s="21" t="s">
        <v>43</v>
      </c>
      <c r="M294">
        <v>0</v>
      </c>
      <c r="N294">
        <v>1.1000000000000001</v>
      </c>
      <c r="O294">
        <f t="shared" si="32"/>
        <v>-1.1000000000000001</v>
      </c>
      <c r="Q294">
        <v>268</v>
      </c>
      <c r="R294">
        <v>1.1499999999999999</v>
      </c>
      <c r="S294">
        <f t="shared" si="33"/>
        <v>1.2649999999999999</v>
      </c>
      <c r="T294">
        <f t="shared" si="34"/>
        <v>-1.2649999999999999</v>
      </c>
      <c r="U294">
        <f t="shared" si="37"/>
        <v>89.355000000000004</v>
      </c>
      <c r="W294">
        <v>752.4</v>
      </c>
      <c r="X294">
        <f t="shared" si="38"/>
        <v>16614.199999999997</v>
      </c>
      <c r="Y294">
        <v>15.456737147029846</v>
      </c>
    </row>
    <row r="295" spans="1:26" x14ac:dyDescent="0.25">
      <c r="A295">
        <v>6360</v>
      </c>
      <c r="B295">
        <v>26330</v>
      </c>
      <c r="C295" s="3">
        <v>43240</v>
      </c>
      <c r="F295" s="36"/>
      <c r="G295">
        <v>13.4</v>
      </c>
      <c r="H295">
        <v>8.5</v>
      </c>
      <c r="I295">
        <v>18.8</v>
      </c>
      <c r="J295">
        <f t="shared" si="35"/>
        <v>2403.3000000000006</v>
      </c>
      <c r="K295">
        <f t="shared" si="36"/>
        <v>180.40000000000003</v>
      </c>
      <c r="L295" s="19">
        <v>0</v>
      </c>
      <c r="M295">
        <v>0</v>
      </c>
      <c r="N295">
        <v>3.3</v>
      </c>
      <c r="O295">
        <f t="shared" si="32"/>
        <v>-3.3</v>
      </c>
      <c r="Q295">
        <v>269</v>
      </c>
      <c r="R295">
        <v>1.1499999999999999</v>
      </c>
      <c r="S295">
        <f t="shared" si="33"/>
        <v>3.7949999999999995</v>
      </c>
      <c r="T295">
        <f t="shared" si="34"/>
        <v>-3.7949999999999995</v>
      </c>
      <c r="U295">
        <f t="shared" si="37"/>
        <v>85.56</v>
      </c>
      <c r="W295">
        <v>1939.9</v>
      </c>
      <c r="X295">
        <f t="shared" si="38"/>
        <v>18554.099999999999</v>
      </c>
      <c r="Y295">
        <v>15.500890759909995</v>
      </c>
    </row>
    <row r="296" spans="1:26" x14ac:dyDescent="0.25">
      <c r="A296">
        <v>6360</v>
      </c>
      <c r="B296">
        <v>26330</v>
      </c>
      <c r="C296" s="3">
        <v>43241</v>
      </c>
      <c r="F296" s="36"/>
      <c r="G296">
        <v>15.9</v>
      </c>
      <c r="H296">
        <v>10.7</v>
      </c>
      <c r="I296">
        <v>21.9</v>
      </c>
      <c r="J296">
        <f t="shared" si="35"/>
        <v>2419.2000000000007</v>
      </c>
      <c r="K296">
        <f t="shared" si="36"/>
        <v>196.30000000000004</v>
      </c>
      <c r="M296">
        <v>0.2</v>
      </c>
      <c r="N296">
        <v>2.2999999999999998</v>
      </c>
      <c r="O296">
        <f t="shared" si="32"/>
        <v>-2.0999999999999996</v>
      </c>
      <c r="Q296">
        <v>270</v>
      </c>
      <c r="R296">
        <v>1.1499999999999999</v>
      </c>
      <c r="S296">
        <f t="shared" si="33"/>
        <v>2.6449999999999996</v>
      </c>
      <c r="T296">
        <f t="shared" si="34"/>
        <v>-2.4449999999999994</v>
      </c>
      <c r="U296">
        <f t="shared" si="37"/>
        <v>83.115000000000009</v>
      </c>
      <c r="W296">
        <v>1142.8</v>
      </c>
      <c r="X296">
        <f t="shared" si="38"/>
        <v>19696.899999999998</v>
      </c>
      <c r="Y296">
        <v>15.54407299451678</v>
      </c>
    </row>
    <row r="297" spans="1:26" x14ac:dyDescent="0.25">
      <c r="A297">
        <v>6360</v>
      </c>
      <c r="B297">
        <v>26330</v>
      </c>
      <c r="C297" s="3">
        <v>43242</v>
      </c>
      <c r="F297" s="36"/>
      <c r="G297">
        <v>15.4</v>
      </c>
      <c r="H297">
        <v>11.6</v>
      </c>
      <c r="I297">
        <v>19.8</v>
      </c>
      <c r="J297">
        <f t="shared" si="35"/>
        <v>2434.6000000000008</v>
      </c>
      <c r="K297">
        <f t="shared" si="36"/>
        <v>211.70000000000005</v>
      </c>
      <c r="M297">
        <v>0.8</v>
      </c>
      <c r="N297">
        <v>2.2000000000000002</v>
      </c>
      <c r="O297">
        <f t="shared" si="32"/>
        <v>-1.4000000000000001</v>
      </c>
      <c r="Q297">
        <v>271</v>
      </c>
      <c r="R297">
        <v>1.1499999999999999</v>
      </c>
      <c r="S297">
        <f t="shared" si="33"/>
        <v>2.5299999999999998</v>
      </c>
      <c r="T297">
        <f t="shared" si="34"/>
        <v>-1.7299999999999998</v>
      </c>
      <c r="U297">
        <f t="shared" si="37"/>
        <v>81.385000000000005</v>
      </c>
      <c r="W297">
        <v>1102.2</v>
      </c>
      <c r="X297">
        <f t="shared" si="38"/>
        <v>20799.099999999999</v>
      </c>
      <c r="Y297">
        <v>15.586255969631662</v>
      </c>
    </row>
    <row r="298" spans="1:26" x14ac:dyDescent="0.25">
      <c r="A298">
        <v>6360</v>
      </c>
      <c r="B298">
        <v>26330</v>
      </c>
      <c r="C298" s="3">
        <v>43243</v>
      </c>
      <c r="F298" s="36"/>
      <c r="G298">
        <v>14</v>
      </c>
      <c r="H298">
        <v>11.4</v>
      </c>
      <c r="I298">
        <v>16.5</v>
      </c>
      <c r="J298">
        <f t="shared" si="35"/>
        <v>2448.6000000000008</v>
      </c>
      <c r="K298">
        <f t="shared" si="36"/>
        <v>225.70000000000005</v>
      </c>
      <c r="M298">
        <v>6.8</v>
      </c>
      <c r="N298">
        <v>1</v>
      </c>
      <c r="O298">
        <f t="shared" si="32"/>
        <v>5.8</v>
      </c>
      <c r="Q298">
        <v>272</v>
      </c>
      <c r="R298">
        <v>1.1499999999999999</v>
      </c>
      <c r="S298">
        <f t="shared" si="33"/>
        <v>1.1499999999999999</v>
      </c>
      <c r="T298">
        <f t="shared" si="34"/>
        <v>5.65</v>
      </c>
      <c r="U298">
        <f t="shared" si="37"/>
        <v>87.035000000000011</v>
      </c>
      <c r="W298">
        <v>397.7</v>
      </c>
      <c r="X298">
        <f t="shared" si="38"/>
        <v>21196.799999999999</v>
      </c>
      <c r="Y298">
        <v>15.627411754651387</v>
      </c>
    </row>
    <row r="299" spans="1:26" x14ac:dyDescent="0.25">
      <c r="A299">
        <v>6360</v>
      </c>
      <c r="B299">
        <v>26330</v>
      </c>
      <c r="C299" s="3">
        <v>43244</v>
      </c>
      <c r="F299" s="36"/>
      <c r="G299">
        <v>16.899999999999999</v>
      </c>
      <c r="H299">
        <v>14.5</v>
      </c>
      <c r="I299">
        <v>21.5</v>
      </c>
      <c r="J299">
        <f t="shared" si="35"/>
        <v>2465.5000000000009</v>
      </c>
      <c r="K299">
        <f t="shared" si="36"/>
        <v>242.60000000000005</v>
      </c>
      <c r="M299">
        <v>2.4</v>
      </c>
      <c r="N299">
        <v>2.1</v>
      </c>
      <c r="O299">
        <f t="shared" si="32"/>
        <v>0.29999999999999982</v>
      </c>
      <c r="Q299">
        <v>273</v>
      </c>
      <c r="R299">
        <v>1.1499999999999999</v>
      </c>
      <c r="S299">
        <f t="shared" si="33"/>
        <v>2.415</v>
      </c>
      <c r="T299">
        <f t="shared" si="34"/>
        <v>-1.5000000000000124E-2</v>
      </c>
      <c r="U299">
        <f t="shared" si="37"/>
        <v>87.02000000000001</v>
      </c>
      <c r="W299">
        <v>1005.8</v>
      </c>
      <c r="X299">
        <f t="shared" si="38"/>
        <v>22202.6</v>
      </c>
      <c r="Y299">
        <v>15.667512420843098</v>
      </c>
    </row>
    <row r="300" spans="1:26" x14ac:dyDescent="0.25">
      <c r="A300">
        <v>6360</v>
      </c>
      <c r="B300">
        <v>26330</v>
      </c>
      <c r="C300" s="3">
        <v>43245</v>
      </c>
      <c r="F300" s="36"/>
      <c r="G300">
        <v>15.3</v>
      </c>
      <c r="H300">
        <v>13.1</v>
      </c>
      <c r="I300">
        <v>17</v>
      </c>
      <c r="J300">
        <f t="shared" si="35"/>
        <v>2480.8000000000011</v>
      </c>
      <c r="K300">
        <f t="shared" si="36"/>
        <v>257.90000000000003</v>
      </c>
      <c r="M300">
        <v>2.2999999999999998</v>
      </c>
      <c r="N300">
        <v>1.6</v>
      </c>
      <c r="O300">
        <f t="shared" si="32"/>
        <v>0.69999999999999973</v>
      </c>
      <c r="Q300">
        <v>274</v>
      </c>
      <c r="R300">
        <v>1.1499999999999999</v>
      </c>
      <c r="S300">
        <f t="shared" si="33"/>
        <v>1.8399999999999999</v>
      </c>
      <c r="T300">
        <f t="shared" si="34"/>
        <v>0.45999999999999996</v>
      </c>
      <c r="U300">
        <f t="shared" si="37"/>
        <v>87.48</v>
      </c>
      <c r="W300">
        <v>792.4</v>
      </c>
      <c r="X300">
        <f t="shared" si="38"/>
        <v>22995</v>
      </c>
      <c r="Y300">
        <v>15.706530095237843</v>
      </c>
    </row>
    <row r="301" spans="1:26" x14ac:dyDescent="0.25">
      <c r="A301">
        <v>6360</v>
      </c>
      <c r="B301">
        <v>26330</v>
      </c>
      <c r="C301" s="3">
        <v>43246</v>
      </c>
      <c r="F301" s="36"/>
      <c r="G301">
        <v>21</v>
      </c>
      <c r="H301">
        <v>13.6</v>
      </c>
      <c r="I301">
        <v>26.7</v>
      </c>
      <c r="J301">
        <f t="shared" si="35"/>
        <v>2501.8000000000011</v>
      </c>
      <c r="K301">
        <f t="shared" si="36"/>
        <v>278.90000000000003</v>
      </c>
      <c r="M301">
        <v>0</v>
      </c>
      <c r="N301">
        <v>2.8</v>
      </c>
      <c r="O301">
        <f t="shared" si="32"/>
        <v>-2.8</v>
      </c>
      <c r="Q301">
        <v>275</v>
      </c>
      <c r="R301">
        <v>1.1499999999999999</v>
      </c>
      <c r="S301">
        <f t="shared" si="33"/>
        <v>3.2199999999999998</v>
      </c>
      <c r="T301">
        <f t="shared" si="34"/>
        <v>-3.2199999999999998</v>
      </c>
      <c r="U301">
        <f t="shared" si="37"/>
        <v>84.26</v>
      </c>
      <c r="W301">
        <v>1341.4</v>
      </c>
      <c r="X301">
        <f t="shared" si="38"/>
        <v>24336.400000000001</v>
      </c>
      <c r="Y301">
        <v>15.744437017055654</v>
      </c>
    </row>
    <row r="302" spans="1:26" s="4" customFormat="1" ht="15.75" thickBot="1" x14ac:dyDescent="0.3">
      <c r="A302" s="4">
        <v>6360</v>
      </c>
      <c r="B302" s="4">
        <v>26330</v>
      </c>
      <c r="C302" s="5">
        <v>43247</v>
      </c>
      <c r="D302" s="4">
        <v>300</v>
      </c>
      <c r="F302" s="37"/>
      <c r="G302" s="4">
        <v>22.3</v>
      </c>
      <c r="H302" s="4">
        <v>20.100000000000001</v>
      </c>
      <c r="I302" s="4">
        <v>26.9</v>
      </c>
      <c r="J302" s="4">
        <f t="shared" si="35"/>
        <v>2524.1000000000013</v>
      </c>
      <c r="K302" s="4">
        <f t="shared" si="36"/>
        <v>301.20000000000005</v>
      </c>
      <c r="M302" s="4">
        <v>2.2999999999999998</v>
      </c>
      <c r="N302" s="4">
        <v>4.7</v>
      </c>
      <c r="O302" s="4">
        <f t="shared" si="32"/>
        <v>-2.4000000000000004</v>
      </c>
      <c r="Q302" s="4">
        <v>276</v>
      </c>
      <c r="R302" s="4">
        <v>1.1499999999999999</v>
      </c>
      <c r="S302" s="4">
        <f t="shared" si="33"/>
        <v>5.4049999999999994</v>
      </c>
      <c r="T302" s="4">
        <f t="shared" si="34"/>
        <v>-3.1049999999999995</v>
      </c>
      <c r="U302" s="4">
        <f t="shared" si="37"/>
        <v>81.155000000000001</v>
      </c>
      <c r="W302" s="4">
        <v>2191.4</v>
      </c>
      <c r="X302" s="4">
        <f t="shared" si="38"/>
        <v>26527.800000000003</v>
      </c>
      <c r="Y302" s="4">
        <v>15.781205596530242</v>
      </c>
    </row>
    <row r="303" spans="1:26" x14ac:dyDescent="0.25">
      <c r="A303">
        <v>6360</v>
      </c>
      <c r="B303">
        <v>26330</v>
      </c>
      <c r="C303" s="3">
        <v>43248</v>
      </c>
      <c r="F303" s="32" t="s">
        <v>54</v>
      </c>
      <c r="G303">
        <v>20.5</v>
      </c>
      <c r="H303">
        <v>17.3</v>
      </c>
      <c r="I303">
        <v>24.1</v>
      </c>
      <c r="J303">
        <f t="shared" si="35"/>
        <v>2544.6000000000013</v>
      </c>
      <c r="K303">
        <f>G303</f>
        <v>20.5</v>
      </c>
      <c r="L303" s="23" t="s">
        <v>37</v>
      </c>
      <c r="M303">
        <v>30.6</v>
      </c>
      <c r="N303">
        <v>2.1</v>
      </c>
      <c r="O303">
        <f t="shared" si="32"/>
        <v>28.5</v>
      </c>
      <c r="Q303">
        <v>277</v>
      </c>
      <c r="R303">
        <f>1.15+((Q303-276)/58)*(0.35-1.15)</f>
        <v>1.136206896551724</v>
      </c>
      <c r="S303">
        <f t="shared" si="33"/>
        <v>2.3860344827586206</v>
      </c>
      <c r="T303">
        <f t="shared" si="34"/>
        <v>28.21396551724138</v>
      </c>
      <c r="U303">
        <f t="shared" si="37"/>
        <v>109.36896551724138</v>
      </c>
      <c r="V303" s="24" t="s">
        <v>44</v>
      </c>
      <c r="W303">
        <v>1089.7</v>
      </c>
      <c r="X303">
        <f>W303</f>
        <v>1089.7</v>
      </c>
      <c r="Y303">
        <v>15.816808475975119</v>
      </c>
      <c r="Z303" s="24" t="s">
        <v>49</v>
      </c>
    </row>
    <row r="304" spans="1:26" x14ac:dyDescent="0.25">
      <c r="A304">
        <v>6360</v>
      </c>
      <c r="B304">
        <v>26330</v>
      </c>
      <c r="C304" s="3">
        <v>43249</v>
      </c>
      <c r="F304" s="33"/>
      <c r="G304">
        <v>17.5</v>
      </c>
      <c r="H304">
        <v>16.399999999999999</v>
      </c>
      <c r="I304">
        <v>20.3</v>
      </c>
      <c r="J304">
        <f t="shared" si="35"/>
        <v>2562.1000000000013</v>
      </c>
      <c r="K304">
        <f t="shared" si="36"/>
        <v>38</v>
      </c>
      <c r="L304" s="8">
        <v>300.89999999999998</v>
      </c>
      <c r="M304">
        <v>0.2</v>
      </c>
      <c r="N304">
        <v>2.2999999999999998</v>
      </c>
      <c r="O304">
        <f t="shared" si="32"/>
        <v>-2.0999999999999996</v>
      </c>
      <c r="Q304">
        <v>278</v>
      </c>
      <c r="R304">
        <f t="shared" ref="R304:R360" si="39">1.15+((Q304-276)/58)*(0.35-1.15)</f>
        <v>1.1224137931034481</v>
      </c>
      <c r="S304">
        <f t="shared" si="33"/>
        <v>2.5815517241379307</v>
      </c>
      <c r="T304">
        <f t="shared" si="34"/>
        <v>-2.3815517241379305</v>
      </c>
      <c r="U304">
        <f t="shared" si="37"/>
        <v>106.98741379310344</v>
      </c>
      <c r="V304">
        <v>0</v>
      </c>
      <c r="W304">
        <v>946.6</v>
      </c>
      <c r="X304">
        <f t="shared" si="38"/>
        <v>2036.3000000000002</v>
      </c>
      <c r="Y304">
        <v>15.851218592906227</v>
      </c>
      <c r="Z304">
        <v>19670.400000000001</v>
      </c>
    </row>
    <row r="305" spans="1:26" x14ac:dyDescent="0.25">
      <c r="A305">
        <v>6360</v>
      </c>
      <c r="B305">
        <v>26330</v>
      </c>
      <c r="C305" s="3">
        <v>43250</v>
      </c>
      <c r="F305" s="33"/>
      <c r="G305">
        <v>18.8</v>
      </c>
      <c r="H305">
        <v>14.6</v>
      </c>
      <c r="I305">
        <v>23.5</v>
      </c>
      <c r="J305">
        <f t="shared" si="35"/>
        <v>2580.9000000000015</v>
      </c>
      <c r="K305">
        <f t="shared" si="36"/>
        <v>56.8</v>
      </c>
      <c r="L305" s="23" t="s">
        <v>38</v>
      </c>
      <c r="M305">
        <v>0.6</v>
      </c>
      <c r="N305">
        <v>2.7</v>
      </c>
      <c r="O305">
        <f t="shared" si="32"/>
        <v>-2.1</v>
      </c>
      <c r="Q305">
        <v>279</v>
      </c>
      <c r="R305">
        <f t="shared" si="39"/>
        <v>1.1086206896551722</v>
      </c>
      <c r="S305">
        <f t="shared" si="33"/>
        <v>2.9932758620689652</v>
      </c>
      <c r="T305">
        <f t="shared" si="34"/>
        <v>-2.3932758620689651</v>
      </c>
      <c r="U305">
        <f t="shared" si="37"/>
        <v>104.59413793103448</v>
      </c>
      <c r="V305" s="24" t="s">
        <v>45</v>
      </c>
      <c r="W305">
        <v>1282.8</v>
      </c>
      <c r="X305">
        <f t="shared" si="38"/>
        <v>3319.1000000000004</v>
      </c>
      <c r="Y305">
        <v>15.884409245008769</v>
      </c>
      <c r="Z305" s="24" t="s">
        <v>50</v>
      </c>
    </row>
    <row r="306" spans="1:26" x14ac:dyDescent="0.25">
      <c r="A306">
        <v>6360</v>
      </c>
      <c r="B306">
        <v>26330</v>
      </c>
      <c r="C306" s="3">
        <v>43251</v>
      </c>
      <c r="F306" s="33"/>
      <c r="G306">
        <v>17.899999999999999</v>
      </c>
      <c r="H306">
        <v>15.4</v>
      </c>
      <c r="I306">
        <v>22.6</v>
      </c>
      <c r="J306">
        <f t="shared" si="35"/>
        <v>2598.8000000000015</v>
      </c>
      <c r="K306">
        <f t="shared" si="36"/>
        <v>74.699999999999989</v>
      </c>
      <c r="L306" s="9">
        <f>AVERAGE(G303:G320)</f>
        <v>16.716666666666665</v>
      </c>
      <c r="M306">
        <v>1</v>
      </c>
      <c r="N306">
        <v>3.3</v>
      </c>
      <c r="O306">
        <f t="shared" si="32"/>
        <v>-2.2999999999999998</v>
      </c>
      <c r="Q306">
        <v>280</v>
      </c>
      <c r="R306">
        <f t="shared" si="39"/>
        <v>1.0948275862068966</v>
      </c>
      <c r="S306">
        <f t="shared" si="33"/>
        <v>3.6129310344827585</v>
      </c>
      <c r="T306">
        <f t="shared" si="34"/>
        <v>-2.6129310344827585</v>
      </c>
      <c r="U306">
        <f t="shared" si="37"/>
        <v>101.98120689655173</v>
      </c>
      <c r="V306">
        <v>0</v>
      </c>
      <c r="W306">
        <v>1565.1</v>
      </c>
      <c r="X306">
        <f t="shared" si="38"/>
        <v>4884.2000000000007</v>
      </c>
      <c r="Y306">
        <v>15.916354156708673</v>
      </c>
      <c r="Z306">
        <f>(Z304/100)/L304</f>
        <v>0.6537188434695913</v>
      </c>
    </row>
    <row r="307" spans="1:26" x14ac:dyDescent="0.25">
      <c r="A307">
        <v>6360</v>
      </c>
      <c r="B307">
        <v>26330</v>
      </c>
      <c r="C307" s="3">
        <v>43252</v>
      </c>
      <c r="F307" s="33"/>
      <c r="G307">
        <v>16.8</v>
      </c>
      <c r="H307">
        <v>15.5</v>
      </c>
      <c r="I307">
        <v>19.8</v>
      </c>
      <c r="J307">
        <f t="shared" si="35"/>
        <v>2615.6000000000017</v>
      </c>
      <c r="K307">
        <f t="shared" si="36"/>
        <v>91.499999999999986</v>
      </c>
      <c r="L307" s="23" t="s">
        <v>39</v>
      </c>
      <c r="M307">
        <v>0.2</v>
      </c>
      <c r="N307">
        <v>2.1</v>
      </c>
      <c r="O307">
        <f t="shared" si="32"/>
        <v>-1.9000000000000001</v>
      </c>
      <c r="Q307">
        <v>281</v>
      </c>
      <c r="R307">
        <f t="shared" si="39"/>
        <v>1.0810344827586207</v>
      </c>
      <c r="S307">
        <f t="shared" si="33"/>
        <v>2.2701724137931034</v>
      </c>
      <c r="T307">
        <f t="shared" si="34"/>
        <v>-2.0701724137931032</v>
      </c>
      <c r="U307">
        <f t="shared" si="37"/>
        <v>99.911034482758623</v>
      </c>
      <c r="V307" s="24" t="s">
        <v>46</v>
      </c>
      <c r="W307">
        <v>898.8</v>
      </c>
      <c r="X307">
        <f t="shared" si="38"/>
        <v>5783.0000000000009</v>
      </c>
      <c r="Y307">
        <v>15.94702754708185</v>
      </c>
      <c r="Z307" s="24" t="s">
        <v>51</v>
      </c>
    </row>
    <row r="308" spans="1:26" x14ac:dyDescent="0.25">
      <c r="A308">
        <v>6360</v>
      </c>
      <c r="B308">
        <v>26330</v>
      </c>
      <c r="C308" s="3">
        <v>43253</v>
      </c>
      <c r="F308" s="33"/>
      <c r="G308">
        <v>16.399999999999999</v>
      </c>
      <c r="H308">
        <v>14</v>
      </c>
      <c r="I308">
        <v>19.5</v>
      </c>
      <c r="J308">
        <f t="shared" si="35"/>
        <v>2632.0000000000018</v>
      </c>
      <c r="K308">
        <f t="shared" si="36"/>
        <v>107.89999999999998</v>
      </c>
      <c r="L308" s="10">
        <f>MIN(H303:H320)</f>
        <v>11.3</v>
      </c>
      <c r="M308">
        <v>0</v>
      </c>
      <c r="N308">
        <v>1.6</v>
      </c>
      <c r="O308">
        <f t="shared" si="32"/>
        <v>-1.6</v>
      </c>
      <c r="Q308">
        <v>282</v>
      </c>
      <c r="R308">
        <f t="shared" si="39"/>
        <v>1.0672413793103448</v>
      </c>
      <c r="S308">
        <f t="shared" si="33"/>
        <v>1.7075862068965517</v>
      </c>
      <c r="T308">
        <f t="shared" si="34"/>
        <v>-1.7075862068965517</v>
      </c>
      <c r="U308">
        <f t="shared" si="37"/>
        <v>98.203448275862073</v>
      </c>
      <c r="V308" s="12">
        <f>MIN(U303:U320)</f>
        <v>72.847586206896565</v>
      </c>
      <c r="W308">
        <v>702.4</v>
      </c>
      <c r="X308">
        <f t="shared" si="38"/>
        <v>6485.4000000000005</v>
      </c>
      <c r="Y308">
        <v>15.976404198808103</v>
      </c>
      <c r="Z308">
        <v>8</v>
      </c>
    </row>
    <row r="309" spans="1:26" x14ac:dyDescent="0.25">
      <c r="A309">
        <v>6360</v>
      </c>
      <c r="B309">
        <v>26330</v>
      </c>
      <c r="C309" s="3">
        <v>43254</v>
      </c>
      <c r="F309" s="33"/>
      <c r="G309">
        <v>18.100000000000001</v>
      </c>
      <c r="H309">
        <v>12.6</v>
      </c>
      <c r="I309">
        <v>23.7</v>
      </c>
      <c r="J309">
        <f t="shared" si="35"/>
        <v>2650.1000000000017</v>
      </c>
      <c r="K309">
        <f t="shared" si="36"/>
        <v>125.99999999999997</v>
      </c>
      <c r="L309" s="23" t="s">
        <v>40</v>
      </c>
      <c r="M309">
        <v>0.1</v>
      </c>
      <c r="N309">
        <v>4.3</v>
      </c>
      <c r="O309">
        <f t="shared" si="32"/>
        <v>-4.2</v>
      </c>
      <c r="Q309">
        <v>283</v>
      </c>
      <c r="R309">
        <f t="shared" si="39"/>
        <v>1.0534482758620689</v>
      </c>
      <c r="S309">
        <f t="shared" si="33"/>
        <v>4.5298275862068964</v>
      </c>
      <c r="T309">
        <f t="shared" si="34"/>
        <v>-4.4298275862068968</v>
      </c>
      <c r="U309">
        <f t="shared" si="37"/>
        <v>93.773620689655175</v>
      </c>
      <c r="V309" s="24" t="s">
        <v>47</v>
      </c>
      <c r="W309">
        <v>2262.1</v>
      </c>
      <c r="X309">
        <f t="shared" si="38"/>
        <v>8747.5</v>
      </c>
      <c r="Y309">
        <v>16.004459527850951</v>
      </c>
    </row>
    <row r="310" spans="1:26" x14ac:dyDescent="0.25">
      <c r="A310">
        <v>6360</v>
      </c>
      <c r="B310">
        <v>26330</v>
      </c>
      <c r="C310" s="3">
        <v>43255</v>
      </c>
      <c r="F310" s="33"/>
      <c r="G310">
        <v>15</v>
      </c>
      <c r="H310">
        <v>13.9</v>
      </c>
      <c r="I310">
        <v>16.600000000000001</v>
      </c>
      <c r="J310">
        <f t="shared" si="35"/>
        <v>2665.1000000000017</v>
      </c>
      <c r="K310">
        <f t="shared" si="36"/>
        <v>140.99999999999997</v>
      </c>
      <c r="L310" s="8">
        <f>MAX(I303:I320)</f>
        <v>24.1</v>
      </c>
      <c r="M310">
        <v>0</v>
      </c>
      <c r="N310">
        <v>1.7</v>
      </c>
      <c r="O310">
        <f t="shared" si="32"/>
        <v>-1.7</v>
      </c>
      <c r="Q310">
        <v>284</v>
      </c>
      <c r="R310">
        <f t="shared" si="39"/>
        <v>1.039655172413793</v>
      </c>
      <c r="S310">
        <f t="shared" si="33"/>
        <v>1.7674137931034481</v>
      </c>
      <c r="T310">
        <f t="shared" si="34"/>
        <v>-1.7674137931034481</v>
      </c>
      <c r="U310">
        <f t="shared" si="37"/>
        <v>92.006206896551731</v>
      </c>
      <c r="V310" s="12">
        <f>MAX(U303:U320)</f>
        <v>109.36896551724138</v>
      </c>
      <c r="W310">
        <v>905.1</v>
      </c>
      <c r="X310">
        <f t="shared" si="38"/>
        <v>9652.6</v>
      </c>
      <c r="Y310">
        <v>16.031169653520774</v>
      </c>
    </row>
    <row r="311" spans="1:26" x14ac:dyDescent="0.25">
      <c r="A311">
        <v>6360</v>
      </c>
      <c r="B311">
        <v>26330</v>
      </c>
      <c r="C311" s="3">
        <v>43256</v>
      </c>
      <c r="F311" s="33"/>
      <c r="G311">
        <v>14.6</v>
      </c>
      <c r="H311">
        <v>13.9</v>
      </c>
      <c r="I311">
        <v>16.399999999999999</v>
      </c>
      <c r="J311">
        <f t="shared" si="35"/>
        <v>2679.7000000000016</v>
      </c>
      <c r="K311">
        <f t="shared" si="36"/>
        <v>155.59999999999997</v>
      </c>
      <c r="L311" s="23" t="s">
        <v>41</v>
      </c>
      <c r="M311">
        <v>0.1</v>
      </c>
      <c r="N311">
        <v>1.4</v>
      </c>
      <c r="O311">
        <f t="shared" si="32"/>
        <v>-1.2999999999999998</v>
      </c>
      <c r="Q311">
        <v>285</v>
      </c>
      <c r="R311">
        <f t="shared" si="39"/>
        <v>1.0258620689655171</v>
      </c>
      <c r="S311">
        <f t="shared" si="33"/>
        <v>1.4362068965517238</v>
      </c>
      <c r="T311">
        <f t="shared" si="34"/>
        <v>-1.3362068965517238</v>
      </c>
      <c r="U311">
        <f t="shared" si="37"/>
        <v>90.67</v>
      </c>
      <c r="V311" s="24" t="s">
        <v>48</v>
      </c>
      <c r="W311">
        <v>414.2</v>
      </c>
      <c r="X311">
        <f t="shared" si="38"/>
        <v>10066.800000000001</v>
      </c>
      <c r="Y311">
        <v>16.056511468556668</v>
      </c>
    </row>
    <row r="312" spans="1:26" x14ac:dyDescent="0.25">
      <c r="A312">
        <v>6360</v>
      </c>
      <c r="B312">
        <v>26330</v>
      </c>
      <c r="C312" s="3">
        <v>43257</v>
      </c>
      <c r="F312" s="33"/>
      <c r="G312">
        <v>16.3</v>
      </c>
      <c r="H312">
        <v>12.4</v>
      </c>
      <c r="I312">
        <v>20.5</v>
      </c>
      <c r="J312">
        <f t="shared" si="35"/>
        <v>2696.0000000000018</v>
      </c>
      <c r="K312">
        <f t="shared" si="36"/>
        <v>171.89999999999998</v>
      </c>
      <c r="L312" s="8">
        <v>0</v>
      </c>
      <c r="M312">
        <v>1.3</v>
      </c>
      <c r="N312">
        <v>2.5</v>
      </c>
      <c r="O312">
        <f t="shared" si="32"/>
        <v>-1.2</v>
      </c>
      <c r="Q312">
        <v>286</v>
      </c>
      <c r="R312">
        <f t="shared" si="39"/>
        <v>1.0120689655172412</v>
      </c>
      <c r="S312">
        <f t="shared" si="33"/>
        <v>2.5301724137931032</v>
      </c>
      <c r="T312">
        <f t="shared" si="34"/>
        <v>-1.2301724137931032</v>
      </c>
      <c r="U312">
        <f t="shared" si="37"/>
        <v>89.439827586206903</v>
      </c>
      <c r="V312" s="12">
        <f>AVERAGE(U303:U320)</f>
        <v>90.74911877394635</v>
      </c>
      <c r="W312">
        <v>1178.8</v>
      </c>
      <c r="X312">
        <f t="shared" si="38"/>
        <v>11245.6</v>
      </c>
      <c r="Y312">
        <v>16.08046270884283</v>
      </c>
    </row>
    <row r="313" spans="1:26" x14ac:dyDescent="0.25">
      <c r="A313">
        <v>6360</v>
      </c>
      <c r="B313">
        <v>26330</v>
      </c>
      <c r="C313" s="3">
        <v>43258</v>
      </c>
      <c r="F313" s="33"/>
      <c r="G313">
        <v>16.8</v>
      </c>
      <c r="H313">
        <v>13.8</v>
      </c>
      <c r="I313">
        <v>21.1</v>
      </c>
      <c r="J313">
        <f t="shared" si="35"/>
        <v>2712.800000000002</v>
      </c>
      <c r="K313">
        <f t="shared" si="36"/>
        <v>188.7</v>
      </c>
      <c r="L313" s="23" t="s">
        <v>42</v>
      </c>
      <c r="M313">
        <v>0.1</v>
      </c>
      <c r="N313">
        <v>1.7</v>
      </c>
      <c r="O313">
        <f t="shared" si="32"/>
        <v>-1.5999999999999999</v>
      </c>
      <c r="Q313">
        <v>287</v>
      </c>
      <c r="R313">
        <f t="shared" si="39"/>
        <v>0.99827586206896546</v>
      </c>
      <c r="S313">
        <f t="shared" si="33"/>
        <v>1.6970689655172413</v>
      </c>
      <c r="T313">
        <f t="shared" si="34"/>
        <v>-1.5970689655172412</v>
      </c>
      <c r="U313">
        <f t="shared" si="37"/>
        <v>87.842758620689665</v>
      </c>
      <c r="W313">
        <v>695.5</v>
      </c>
      <c r="X313">
        <f t="shared" si="38"/>
        <v>11941.1</v>
      </c>
      <c r="Y313">
        <v>16.103002022358442</v>
      </c>
    </row>
    <row r="314" spans="1:26" x14ac:dyDescent="0.25">
      <c r="A314">
        <v>6360</v>
      </c>
      <c r="B314">
        <v>26330</v>
      </c>
      <c r="C314" s="3">
        <v>43259</v>
      </c>
      <c r="F314" s="33"/>
      <c r="G314">
        <v>15.1</v>
      </c>
      <c r="H314">
        <v>13.4</v>
      </c>
      <c r="I314">
        <v>18.2</v>
      </c>
      <c r="J314">
        <f t="shared" si="35"/>
        <v>2727.9000000000019</v>
      </c>
      <c r="K314">
        <f t="shared" si="36"/>
        <v>203.79999999999998</v>
      </c>
      <c r="L314" s="8">
        <v>0</v>
      </c>
      <c r="M314">
        <v>0</v>
      </c>
      <c r="N314">
        <v>1.5</v>
      </c>
      <c r="O314">
        <f t="shared" si="32"/>
        <v>-1.5</v>
      </c>
      <c r="Q314">
        <v>288</v>
      </c>
      <c r="R314">
        <f t="shared" si="39"/>
        <v>0.98448275862068957</v>
      </c>
      <c r="S314">
        <f t="shared" si="33"/>
        <v>1.4767241379310343</v>
      </c>
      <c r="T314">
        <f t="shared" si="34"/>
        <v>-1.4767241379310343</v>
      </c>
      <c r="U314">
        <f t="shared" si="37"/>
        <v>86.366034482758636</v>
      </c>
      <c r="V314" s="13">
        <f>(V312*100)/153.6</f>
        <v>59.081457535121331</v>
      </c>
      <c r="W314">
        <v>567.79999999999995</v>
      </c>
      <c r="X314">
        <f t="shared" si="38"/>
        <v>12508.9</v>
      </c>
      <c r="Y314">
        <v>16.124109036946724</v>
      </c>
    </row>
    <row r="315" spans="1:26" x14ac:dyDescent="0.25">
      <c r="A315">
        <v>6360</v>
      </c>
      <c r="B315">
        <v>26330</v>
      </c>
      <c r="C315" s="3">
        <v>43260</v>
      </c>
      <c r="F315" s="33"/>
      <c r="G315">
        <v>15.9</v>
      </c>
      <c r="H315">
        <v>12.6</v>
      </c>
      <c r="I315">
        <v>18.399999999999999</v>
      </c>
      <c r="J315">
        <f t="shared" si="35"/>
        <v>2743.800000000002</v>
      </c>
      <c r="K315">
        <f t="shared" si="36"/>
        <v>219.7</v>
      </c>
      <c r="L315" s="23" t="s">
        <v>43</v>
      </c>
      <c r="M315">
        <v>0.1</v>
      </c>
      <c r="N315">
        <v>1.2</v>
      </c>
      <c r="O315">
        <f t="shared" si="32"/>
        <v>-1.0999999999999999</v>
      </c>
      <c r="Q315">
        <v>289</v>
      </c>
      <c r="R315">
        <f t="shared" si="39"/>
        <v>0.97068965517241368</v>
      </c>
      <c r="S315">
        <f t="shared" si="33"/>
        <v>1.1648275862068964</v>
      </c>
      <c r="T315">
        <f t="shared" si="34"/>
        <v>-1.0648275862068963</v>
      </c>
      <c r="U315">
        <f t="shared" si="37"/>
        <v>85.301206896551733</v>
      </c>
      <c r="W315">
        <v>703.6</v>
      </c>
      <c r="X315">
        <f t="shared" si="38"/>
        <v>13212.5</v>
      </c>
      <c r="Y315">
        <v>16.143764426478967</v>
      </c>
    </row>
    <row r="316" spans="1:26" x14ac:dyDescent="0.25">
      <c r="A316">
        <v>6360</v>
      </c>
      <c r="B316">
        <v>26330</v>
      </c>
      <c r="C316" s="3">
        <v>43261</v>
      </c>
      <c r="F316" s="33"/>
      <c r="G316">
        <v>16.899999999999999</v>
      </c>
      <c r="H316">
        <v>13.9</v>
      </c>
      <c r="I316">
        <v>20.8</v>
      </c>
      <c r="J316">
        <f t="shared" si="35"/>
        <v>2760.7000000000021</v>
      </c>
      <c r="K316">
        <f t="shared" si="36"/>
        <v>236.6</v>
      </c>
      <c r="L316" s="19">
        <v>0</v>
      </c>
      <c r="M316">
        <v>0</v>
      </c>
      <c r="N316">
        <v>1.9</v>
      </c>
      <c r="O316">
        <f t="shared" si="32"/>
        <v>-1.9</v>
      </c>
      <c r="Q316">
        <v>290</v>
      </c>
      <c r="R316">
        <f t="shared" si="39"/>
        <v>0.9568965517241379</v>
      </c>
      <c r="S316">
        <f t="shared" si="33"/>
        <v>1.818103448275862</v>
      </c>
      <c r="T316">
        <f t="shared" si="34"/>
        <v>-1.818103448275862</v>
      </c>
      <c r="U316">
        <f t="shared" si="37"/>
        <v>83.48310344827587</v>
      </c>
      <c r="W316">
        <v>729.5</v>
      </c>
      <c r="X316">
        <f t="shared" si="38"/>
        <v>13942</v>
      </c>
      <c r="Y316">
        <v>16.161949974983674</v>
      </c>
    </row>
    <row r="317" spans="1:26" x14ac:dyDescent="0.25">
      <c r="A317">
        <v>6360</v>
      </c>
      <c r="B317">
        <v>26330</v>
      </c>
      <c r="C317" s="3">
        <v>43262</v>
      </c>
      <c r="F317" s="33"/>
      <c r="G317">
        <v>17.7</v>
      </c>
      <c r="H317">
        <v>14.2</v>
      </c>
      <c r="I317">
        <v>22.6</v>
      </c>
      <c r="J317">
        <f t="shared" si="35"/>
        <v>2778.4000000000019</v>
      </c>
      <c r="K317">
        <f t="shared" si="36"/>
        <v>254.29999999999998</v>
      </c>
      <c r="M317">
        <v>0.1</v>
      </c>
      <c r="N317">
        <v>4.7</v>
      </c>
      <c r="O317">
        <f t="shared" si="32"/>
        <v>-4.6000000000000005</v>
      </c>
      <c r="Q317">
        <v>291</v>
      </c>
      <c r="R317">
        <f t="shared" si="39"/>
        <v>0.94310344827586201</v>
      </c>
      <c r="S317">
        <f t="shared" si="33"/>
        <v>4.432586206896552</v>
      </c>
      <c r="T317">
        <f t="shared" si="34"/>
        <v>-4.3325862068965524</v>
      </c>
      <c r="U317">
        <f t="shared" si="37"/>
        <v>79.150517241379319</v>
      </c>
      <c r="W317">
        <v>2244.5</v>
      </c>
      <c r="X317">
        <f t="shared" si="38"/>
        <v>16186.5</v>
      </c>
      <c r="Y317">
        <v>16.178648638309802</v>
      </c>
    </row>
    <row r="318" spans="1:26" x14ac:dyDescent="0.25">
      <c r="A318">
        <v>6360</v>
      </c>
      <c r="B318">
        <v>26330</v>
      </c>
      <c r="C318" s="3">
        <v>43263</v>
      </c>
      <c r="F318" s="33"/>
      <c r="G318">
        <v>15.2</v>
      </c>
      <c r="H318">
        <v>14.4</v>
      </c>
      <c r="I318">
        <v>17.7</v>
      </c>
      <c r="J318">
        <f t="shared" si="35"/>
        <v>2793.6000000000017</v>
      </c>
      <c r="K318">
        <f t="shared" si="36"/>
        <v>269.5</v>
      </c>
      <c r="M318">
        <v>0</v>
      </c>
      <c r="N318">
        <v>2.2000000000000002</v>
      </c>
      <c r="O318">
        <f t="shared" si="32"/>
        <v>-2.2000000000000002</v>
      </c>
      <c r="Q318">
        <v>292</v>
      </c>
      <c r="R318">
        <f t="shared" si="39"/>
        <v>0.92931034482758612</v>
      </c>
      <c r="S318">
        <f t="shared" si="33"/>
        <v>2.0444827586206897</v>
      </c>
      <c r="T318">
        <f t="shared" si="34"/>
        <v>-2.0444827586206897</v>
      </c>
      <c r="U318">
        <f t="shared" si="37"/>
        <v>77.106034482758631</v>
      </c>
      <c r="W318">
        <v>795.2</v>
      </c>
      <c r="X318">
        <f t="shared" si="38"/>
        <v>16981.7</v>
      </c>
      <c r="Y318">
        <v>16.193844602896352</v>
      </c>
    </row>
    <row r="319" spans="1:26" x14ac:dyDescent="0.25">
      <c r="A319">
        <v>6360</v>
      </c>
      <c r="B319">
        <v>26330</v>
      </c>
      <c r="C319" s="3">
        <v>43264</v>
      </c>
      <c r="F319" s="33"/>
      <c r="G319">
        <v>15.9</v>
      </c>
      <c r="H319">
        <v>12.1</v>
      </c>
      <c r="I319">
        <v>19.7</v>
      </c>
      <c r="J319">
        <f t="shared" si="35"/>
        <v>2809.5000000000018</v>
      </c>
      <c r="K319">
        <f t="shared" si="36"/>
        <v>285.39999999999998</v>
      </c>
      <c r="M319">
        <v>0</v>
      </c>
      <c r="N319">
        <v>2.9</v>
      </c>
      <c r="O319">
        <f t="shared" si="32"/>
        <v>-2.9</v>
      </c>
      <c r="Q319">
        <v>293</v>
      </c>
      <c r="R319">
        <f t="shared" si="39"/>
        <v>0.91551724137931023</v>
      </c>
      <c r="S319">
        <f t="shared" si="33"/>
        <v>2.6549999999999998</v>
      </c>
      <c r="T319">
        <f t="shared" si="34"/>
        <v>-2.6549999999999998</v>
      </c>
      <c r="U319">
        <f t="shared" si="37"/>
        <v>74.451034482758629</v>
      </c>
      <c r="W319">
        <v>1603.3</v>
      </c>
      <c r="X319">
        <f t="shared" si="38"/>
        <v>18585</v>
      </c>
      <c r="Y319">
        <v>16.207523341229006</v>
      </c>
    </row>
    <row r="320" spans="1:26" s="4" customFormat="1" ht="15.75" thickBot="1" x14ac:dyDescent="0.3">
      <c r="A320" s="4">
        <v>6360</v>
      </c>
      <c r="B320" s="4">
        <v>26330</v>
      </c>
      <c r="C320" s="5">
        <v>43265</v>
      </c>
      <c r="D320" s="4">
        <v>600</v>
      </c>
      <c r="F320" s="34"/>
      <c r="G320" s="4">
        <v>15.5</v>
      </c>
      <c r="H320" s="4">
        <v>11.3</v>
      </c>
      <c r="I320" s="4">
        <v>18.3</v>
      </c>
      <c r="J320" s="4">
        <f t="shared" si="35"/>
        <v>2825.0000000000018</v>
      </c>
      <c r="K320" s="4">
        <f t="shared" si="36"/>
        <v>300.89999999999998</v>
      </c>
      <c r="M320" s="4">
        <v>0.2</v>
      </c>
      <c r="N320" s="4">
        <v>2</v>
      </c>
      <c r="O320" s="4">
        <f t="shared" si="32"/>
        <v>-1.8</v>
      </c>
      <c r="Q320" s="4">
        <v>294</v>
      </c>
      <c r="R320" s="4">
        <f t="shared" si="39"/>
        <v>0.90172413793103434</v>
      </c>
      <c r="S320" s="4">
        <f t="shared" si="33"/>
        <v>1.8034482758620687</v>
      </c>
      <c r="T320" s="4">
        <f t="shared" si="34"/>
        <v>-1.6034482758620687</v>
      </c>
      <c r="U320" s="4">
        <f t="shared" si="37"/>
        <v>72.847586206896565</v>
      </c>
      <c r="W320" s="4">
        <v>1085.4000000000001</v>
      </c>
      <c r="X320" s="4">
        <f t="shared" si="38"/>
        <v>19670.400000000001</v>
      </c>
      <c r="Y320" s="4">
        <v>16.219671663577671</v>
      </c>
    </row>
    <row r="321" spans="1:26" x14ac:dyDescent="0.25">
      <c r="A321">
        <v>6360</v>
      </c>
      <c r="B321">
        <v>26330</v>
      </c>
      <c r="C321" s="3">
        <v>43266</v>
      </c>
      <c r="F321" s="29" t="s">
        <v>53</v>
      </c>
      <c r="G321">
        <v>16.5</v>
      </c>
      <c r="H321">
        <v>12.3</v>
      </c>
      <c r="I321">
        <v>22.3</v>
      </c>
      <c r="J321">
        <f t="shared" si="35"/>
        <v>2841.5000000000018</v>
      </c>
      <c r="K321">
        <f>G321</f>
        <v>16.5</v>
      </c>
      <c r="L321" s="25" t="s">
        <v>37</v>
      </c>
      <c r="M321">
        <v>0</v>
      </c>
      <c r="N321">
        <v>3.5</v>
      </c>
      <c r="O321">
        <f t="shared" si="32"/>
        <v>-3.5</v>
      </c>
      <c r="Q321">
        <v>295</v>
      </c>
      <c r="R321">
        <f t="shared" si="39"/>
        <v>0.88793103448275856</v>
      </c>
      <c r="S321">
        <f t="shared" si="33"/>
        <v>3.1077586206896548</v>
      </c>
      <c r="T321">
        <f t="shared" si="34"/>
        <v>-3.1077586206896548</v>
      </c>
      <c r="U321">
        <f t="shared" si="37"/>
        <v>69.739827586206914</v>
      </c>
      <c r="V321" s="26" t="s">
        <v>44</v>
      </c>
      <c r="W321">
        <v>1676.5</v>
      </c>
      <c r="X321">
        <f>W321</f>
        <v>1676.5</v>
      </c>
      <c r="Y321">
        <v>16.230277765627175</v>
      </c>
      <c r="Z321" s="26" t="s">
        <v>49</v>
      </c>
    </row>
    <row r="322" spans="1:26" x14ac:dyDescent="0.25">
      <c r="A322">
        <v>6360</v>
      </c>
      <c r="B322">
        <v>26330</v>
      </c>
      <c r="C322" s="3">
        <v>43267</v>
      </c>
      <c r="F322" s="30"/>
      <c r="G322">
        <v>15.6</v>
      </c>
      <c r="H322">
        <v>11.5</v>
      </c>
      <c r="I322">
        <v>18.899999999999999</v>
      </c>
      <c r="J322">
        <f t="shared" si="35"/>
        <v>2857.1000000000017</v>
      </c>
      <c r="K322">
        <f t="shared" si="36"/>
        <v>32.1</v>
      </c>
      <c r="L322" s="8">
        <v>420</v>
      </c>
      <c r="M322">
        <v>0</v>
      </c>
      <c r="N322">
        <v>3.1</v>
      </c>
      <c r="O322">
        <f t="shared" si="32"/>
        <v>-3.1</v>
      </c>
      <c r="Q322">
        <v>296</v>
      </c>
      <c r="R322">
        <f t="shared" si="39"/>
        <v>0.87413793103448267</v>
      </c>
      <c r="S322">
        <f t="shared" si="33"/>
        <v>2.7098275862068966</v>
      </c>
      <c r="T322">
        <f t="shared" si="34"/>
        <v>-2.7098275862068966</v>
      </c>
      <c r="U322">
        <f t="shared" si="37"/>
        <v>67.030000000000015</v>
      </c>
      <c r="V322">
        <v>0</v>
      </c>
      <c r="W322">
        <v>1513</v>
      </c>
      <c r="X322">
        <f t="shared" si="38"/>
        <v>3189.5</v>
      </c>
      <c r="Y322">
        <v>16.239331271636626</v>
      </c>
      <c r="Z322">
        <v>38997.1</v>
      </c>
    </row>
    <row r="323" spans="1:26" x14ac:dyDescent="0.25">
      <c r="A323">
        <v>6360</v>
      </c>
      <c r="B323">
        <v>26330</v>
      </c>
      <c r="C323" s="3">
        <v>43268</v>
      </c>
      <c r="F323" s="30"/>
      <c r="G323">
        <v>15.4</v>
      </c>
      <c r="H323">
        <v>13.3</v>
      </c>
      <c r="I323">
        <v>17.399999999999999</v>
      </c>
      <c r="J323">
        <f t="shared" si="35"/>
        <v>2872.5000000000018</v>
      </c>
      <c r="K323">
        <f t="shared" si="36"/>
        <v>47.5</v>
      </c>
      <c r="L323" s="25" t="s">
        <v>38</v>
      </c>
      <c r="M323">
        <v>0</v>
      </c>
      <c r="N323">
        <v>2.7</v>
      </c>
      <c r="O323">
        <f t="shared" si="32"/>
        <v>-2.7</v>
      </c>
      <c r="Q323">
        <v>297</v>
      </c>
      <c r="R323">
        <f t="shared" si="39"/>
        <v>0.8603448275862069</v>
      </c>
      <c r="S323">
        <f t="shared" si="33"/>
        <v>2.3229310344827589</v>
      </c>
      <c r="T323">
        <f t="shared" si="34"/>
        <v>-2.3229310344827589</v>
      </c>
      <c r="U323">
        <f t="shared" si="37"/>
        <v>64.707068965517252</v>
      </c>
      <c r="V323" s="26" t="s">
        <v>45</v>
      </c>
      <c r="W323">
        <v>1312.6</v>
      </c>
      <c r="X323">
        <f t="shared" si="38"/>
        <v>4502.1000000000004</v>
      </c>
      <c r="Y323">
        <v>16.246823272791048</v>
      </c>
      <c r="Z323" s="26" t="s">
        <v>50</v>
      </c>
    </row>
    <row r="324" spans="1:26" x14ac:dyDescent="0.25">
      <c r="A324">
        <v>6360</v>
      </c>
      <c r="B324">
        <v>26330</v>
      </c>
      <c r="C324" s="3">
        <v>43269</v>
      </c>
      <c r="F324" s="30"/>
      <c r="G324">
        <v>16.399999999999999</v>
      </c>
      <c r="H324">
        <v>14.1</v>
      </c>
      <c r="I324">
        <v>17.399999999999999</v>
      </c>
      <c r="J324">
        <f t="shared" si="35"/>
        <v>2888.9000000000019</v>
      </c>
      <c r="K324">
        <f t="shared" si="36"/>
        <v>63.9</v>
      </c>
      <c r="L324" s="9">
        <f>AVERAGE(G321:G343)</f>
        <v>18.260869565217394</v>
      </c>
      <c r="M324">
        <v>0</v>
      </c>
      <c r="N324">
        <v>1.6</v>
      </c>
      <c r="O324">
        <f t="shared" si="32"/>
        <v>-1.6</v>
      </c>
      <c r="Q324">
        <v>298</v>
      </c>
      <c r="R324">
        <f t="shared" si="39"/>
        <v>0.84655172413793101</v>
      </c>
      <c r="S324">
        <f t="shared" si="33"/>
        <v>1.3544827586206898</v>
      </c>
      <c r="T324">
        <f t="shared" si="34"/>
        <v>-1.3544827586206898</v>
      </c>
      <c r="U324">
        <f t="shared" si="37"/>
        <v>63.352586206896561</v>
      </c>
      <c r="V324">
        <v>15</v>
      </c>
      <c r="W324">
        <v>637.5</v>
      </c>
      <c r="X324">
        <f t="shared" si="38"/>
        <v>5139.6000000000004</v>
      </c>
      <c r="Y324">
        <v>16.252746360441446</v>
      </c>
      <c r="Z324">
        <f>(Z322/100)/L322</f>
        <v>0.92850238095238091</v>
      </c>
    </row>
    <row r="325" spans="1:26" x14ac:dyDescent="0.25">
      <c r="A325">
        <v>6360</v>
      </c>
      <c r="B325">
        <v>26330</v>
      </c>
      <c r="C325" s="3">
        <v>43270</v>
      </c>
      <c r="F325" s="30"/>
      <c r="G325">
        <v>17.5</v>
      </c>
      <c r="H325">
        <v>15.3</v>
      </c>
      <c r="I325">
        <v>18.8</v>
      </c>
      <c r="J325">
        <f t="shared" si="35"/>
        <v>2906.4000000000019</v>
      </c>
      <c r="K325">
        <f t="shared" si="36"/>
        <v>81.400000000000006</v>
      </c>
      <c r="L325" s="25" t="s">
        <v>39</v>
      </c>
      <c r="M325">
        <v>0</v>
      </c>
      <c r="N325">
        <v>1.3</v>
      </c>
      <c r="O325">
        <f t="shared" ref="O325:O367" si="40">M325-N325</f>
        <v>-1.3</v>
      </c>
      <c r="Q325">
        <v>299</v>
      </c>
      <c r="R325">
        <f t="shared" si="39"/>
        <v>0.83275862068965512</v>
      </c>
      <c r="S325">
        <f t="shared" ref="S325:S367" si="41">R325*N325</f>
        <v>1.0825862068965517</v>
      </c>
      <c r="T325">
        <f t="shared" ref="T325:T367" si="42">M325-S325</f>
        <v>-1.0825862068965517</v>
      </c>
      <c r="U325">
        <f t="shared" si="37"/>
        <v>62.27000000000001</v>
      </c>
      <c r="V325" s="26" t="s">
        <v>46</v>
      </c>
      <c r="W325">
        <v>455.8</v>
      </c>
      <c r="X325">
        <f t="shared" si="38"/>
        <v>5595.4000000000005</v>
      </c>
      <c r="Y325">
        <v>16.25709465396644</v>
      </c>
      <c r="Z325" s="26" t="s">
        <v>51</v>
      </c>
    </row>
    <row r="326" spans="1:26" x14ac:dyDescent="0.25">
      <c r="A326">
        <v>6360</v>
      </c>
      <c r="B326">
        <v>26330</v>
      </c>
      <c r="C326" s="3">
        <v>43271</v>
      </c>
      <c r="F326" s="30"/>
      <c r="G326">
        <v>18.5</v>
      </c>
      <c r="H326">
        <v>15.4</v>
      </c>
      <c r="I326">
        <v>22.2</v>
      </c>
      <c r="J326">
        <f t="shared" si="35"/>
        <v>2924.9000000000019</v>
      </c>
      <c r="K326">
        <f t="shared" si="36"/>
        <v>99.9</v>
      </c>
      <c r="L326" s="10">
        <f>MIN(H321:H343)</f>
        <v>7.5</v>
      </c>
      <c r="M326">
        <v>0</v>
      </c>
      <c r="N326">
        <v>2.5</v>
      </c>
      <c r="O326">
        <f t="shared" si="40"/>
        <v>-2.5</v>
      </c>
      <c r="Q326">
        <v>300</v>
      </c>
      <c r="R326">
        <f t="shared" si="39"/>
        <v>0.81896551724137923</v>
      </c>
      <c r="S326">
        <f t="shared" si="41"/>
        <v>2.047413793103448</v>
      </c>
      <c r="T326">
        <f t="shared" si="42"/>
        <v>-2.047413793103448</v>
      </c>
      <c r="U326">
        <f t="shared" si="37"/>
        <v>60.222586206896565</v>
      </c>
      <c r="V326" s="12">
        <f>MIN(U321:U343)</f>
        <v>10.544137931034514</v>
      </c>
      <c r="W326">
        <v>1121.3</v>
      </c>
      <c r="X326">
        <f t="shared" si="38"/>
        <v>6716.7000000000007</v>
      </c>
      <c r="Y326">
        <v>16.259863823029143</v>
      </c>
      <c r="Z326">
        <v>2</v>
      </c>
    </row>
    <row r="327" spans="1:26" x14ac:dyDescent="0.25">
      <c r="A327">
        <v>6360</v>
      </c>
      <c r="B327">
        <v>26330</v>
      </c>
      <c r="C327" s="3">
        <v>43272</v>
      </c>
      <c r="F327" s="30"/>
      <c r="G327">
        <v>13.8</v>
      </c>
      <c r="H327">
        <v>13.9</v>
      </c>
      <c r="I327">
        <v>16</v>
      </c>
      <c r="J327">
        <f t="shared" si="35"/>
        <v>2938.7000000000021</v>
      </c>
      <c r="K327">
        <f t="shared" si="36"/>
        <v>113.7</v>
      </c>
      <c r="L327" s="25" t="s">
        <v>40</v>
      </c>
      <c r="M327">
        <v>0.1</v>
      </c>
      <c r="N327">
        <v>4.4000000000000004</v>
      </c>
      <c r="O327">
        <f t="shared" si="40"/>
        <v>-4.3000000000000007</v>
      </c>
      <c r="Q327">
        <v>301</v>
      </c>
      <c r="R327">
        <f t="shared" si="39"/>
        <v>0.80517241379310334</v>
      </c>
      <c r="S327">
        <f t="shared" si="41"/>
        <v>3.5427586206896549</v>
      </c>
      <c r="T327">
        <f t="shared" si="42"/>
        <v>-3.4427586206896548</v>
      </c>
      <c r="U327">
        <f t="shared" si="37"/>
        <v>56.779827586206913</v>
      </c>
      <c r="V327" s="26" t="s">
        <v>47</v>
      </c>
      <c r="W327">
        <v>2075.9</v>
      </c>
      <c r="X327">
        <f t="shared" si="38"/>
        <v>8792.6</v>
      </c>
      <c r="Y327">
        <v>16.26105110404675</v>
      </c>
    </row>
    <row r="328" spans="1:26" x14ac:dyDescent="0.25">
      <c r="A328">
        <v>6360</v>
      </c>
      <c r="B328">
        <v>26330</v>
      </c>
      <c r="C328" s="3">
        <v>43273</v>
      </c>
      <c r="F328" s="30"/>
      <c r="G328">
        <v>13.4</v>
      </c>
      <c r="H328">
        <v>7.5</v>
      </c>
      <c r="I328">
        <v>17.399999999999999</v>
      </c>
      <c r="J328">
        <f t="shared" si="35"/>
        <v>2952.1000000000022</v>
      </c>
      <c r="K328">
        <f t="shared" si="36"/>
        <v>127.10000000000001</v>
      </c>
      <c r="L328" s="8">
        <f>MAX(I321:I343)</f>
        <v>29.4</v>
      </c>
      <c r="M328">
        <v>0</v>
      </c>
      <c r="N328">
        <v>4.3</v>
      </c>
      <c r="O328">
        <f t="shared" si="40"/>
        <v>-4.3</v>
      </c>
      <c r="Q328">
        <v>302</v>
      </c>
      <c r="R328">
        <f t="shared" si="39"/>
        <v>0.79137931034482745</v>
      </c>
      <c r="S328">
        <f t="shared" si="41"/>
        <v>3.4029310344827577</v>
      </c>
      <c r="T328">
        <f t="shared" si="42"/>
        <v>-3.4029310344827577</v>
      </c>
      <c r="U328">
        <f t="shared" si="37"/>
        <v>53.376896551724158</v>
      </c>
      <c r="V328" s="12">
        <f>MAX(U321:U343)</f>
        <v>69.739827586206914</v>
      </c>
      <c r="W328">
        <v>2808.7</v>
      </c>
      <c r="X328">
        <f t="shared" si="38"/>
        <v>11601.3</v>
      </c>
      <c r="Y328">
        <v>16.260655310736858</v>
      </c>
    </row>
    <row r="329" spans="1:26" x14ac:dyDescent="0.25">
      <c r="A329">
        <v>6360</v>
      </c>
      <c r="B329">
        <v>26330</v>
      </c>
      <c r="C329" s="3">
        <v>43274</v>
      </c>
      <c r="F329" s="30"/>
      <c r="G329">
        <v>15.5</v>
      </c>
      <c r="H329">
        <v>8.1999999999999993</v>
      </c>
      <c r="I329">
        <v>21.3</v>
      </c>
      <c r="J329">
        <f t="shared" si="35"/>
        <v>2967.6000000000022</v>
      </c>
      <c r="K329">
        <f t="shared" si="36"/>
        <v>142.60000000000002</v>
      </c>
      <c r="L329" s="25" t="s">
        <v>41</v>
      </c>
      <c r="M329">
        <v>0</v>
      </c>
      <c r="N329">
        <v>3.7</v>
      </c>
      <c r="O329">
        <f t="shared" si="40"/>
        <v>-3.7</v>
      </c>
      <c r="Q329">
        <v>303</v>
      </c>
      <c r="R329">
        <f t="shared" si="39"/>
        <v>0.77758620689655167</v>
      </c>
      <c r="S329">
        <f t="shared" si="41"/>
        <v>2.8770689655172412</v>
      </c>
      <c r="T329">
        <f t="shared" si="42"/>
        <v>-2.8770689655172412</v>
      </c>
      <c r="U329">
        <f t="shared" si="37"/>
        <v>50.499827586206919</v>
      </c>
      <c r="V329" s="26" t="s">
        <v>48</v>
      </c>
      <c r="W329">
        <v>2005.2</v>
      </c>
      <c r="X329">
        <f t="shared" si="38"/>
        <v>13606.5</v>
      </c>
      <c r="Y329">
        <v>16.258676838653081</v>
      </c>
    </row>
    <row r="330" spans="1:26" x14ac:dyDescent="0.25">
      <c r="A330">
        <v>6360</v>
      </c>
      <c r="B330">
        <v>26330</v>
      </c>
      <c r="C330" s="3">
        <v>43275</v>
      </c>
      <c r="F330" s="30"/>
      <c r="G330">
        <v>15.2</v>
      </c>
      <c r="H330">
        <v>11.6</v>
      </c>
      <c r="I330">
        <v>19.399999999999999</v>
      </c>
      <c r="J330">
        <f t="shared" si="35"/>
        <v>2982.800000000002</v>
      </c>
      <c r="K330">
        <f t="shared" si="36"/>
        <v>157.80000000000001</v>
      </c>
      <c r="L330" s="8">
        <v>9</v>
      </c>
      <c r="M330">
        <v>0.2</v>
      </c>
      <c r="N330">
        <v>3.8</v>
      </c>
      <c r="O330">
        <f t="shared" si="40"/>
        <v>-3.5999999999999996</v>
      </c>
      <c r="Q330">
        <v>304</v>
      </c>
      <c r="R330">
        <f t="shared" si="39"/>
        <v>0.76379310344827578</v>
      </c>
      <c r="S330">
        <f t="shared" si="41"/>
        <v>2.9024137931034479</v>
      </c>
      <c r="T330">
        <f t="shared" si="42"/>
        <v>-2.7024137931034478</v>
      </c>
      <c r="U330">
        <f t="shared" si="37"/>
        <v>47.797413793103473</v>
      </c>
      <c r="V330" s="12">
        <f>AVERAGE(U321:U343)</f>
        <v>41.003373313343339</v>
      </c>
      <c r="W330">
        <v>1928.4</v>
      </c>
      <c r="X330">
        <f t="shared" si="38"/>
        <v>15534.9</v>
      </c>
      <c r="Y330">
        <v>16.255117663672106</v>
      </c>
    </row>
    <row r="331" spans="1:26" x14ac:dyDescent="0.25">
      <c r="A331">
        <v>6360</v>
      </c>
      <c r="B331">
        <v>26330</v>
      </c>
      <c r="C331" s="3">
        <v>43276</v>
      </c>
      <c r="F331" s="30"/>
      <c r="G331">
        <v>17.5</v>
      </c>
      <c r="H331">
        <v>11.9</v>
      </c>
      <c r="I331">
        <v>22.4</v>
      </c>
      <c r="J331">
        <f t="shared" si="35"/>
        <v>3000.300000000002</v>
      </c>
      <c r="K331">
        <f t="shared" si="36"/>
        <v>175.3</v>
      </c>
      <c r="L331" s="25" t="s">
        <v>42</v>
      </c>
      <c r="M331">
        <v>0</v>
      </c>
      <c r="N331">
        <v>4.4000000000000004</v>
      </c>
      <c r="O331">
        <f t="shared" si="40"/>
        <v>-4.4000000000000004</v>
      </c>
      <c r="Q331">
        <v>305</v>
      </c>
      <c r="R331">
        <f t="shared" si="39"/>
        <v>0.75</v>
      </c>
      <c r="S331">
        <f t="shared" si="41"/>
        <v>3.3000000000000003</v>
      </c>
      <c r="T331">
        <f t="shared" si="42"/>
        <v>-3.3000000000000003</v>
      </c>
      <c r="U331">
        <f t="shared" si="37"/>
        <v>44.497413793103476</v>
      </c>
      <c r="W331">
        <v>2285.6</v>
      </c>
      <c r="X331">
        <f t="shared" si="38"/>
        <v>17820.5</v>
      </c>
      <c r="Y331">
        <v>16.249981334444918</v>
      </c>
    </row>
    <row r="332" spans="1:26" x14ac:dyDescent="0.25">
      <c r="A332">
        <v>6360</v>
      </c>
      <c r="B332">
        <v>26330</v>
      </c>
      <c r="C332" s="3">
        <v>43277</v>
      </c>
      <c r="F332" s="30"/>
      <c r="G332">
        <v>16.8</v>
      </c>
      <c r="H332">
        <v>12.2</v>
      </c>
      <c r="I332">
        <v>22.1</v>
      </c>
      <c r="J332">
        <f t="shared" si="35"/>
        <v>3017.1000000000022</v>
      </c>
      <c r="K332">
        <f t="shared" si="36"/>
        <v>192.10000000000002</v>
      </c>
      <c r="L332" s="8">
        <v>0</v>
      </c>
      <c r="M332">
        <v>0.2</v>
      </c>
      <c r="N332">
        <v>4.7</v>
      </c>
      <c r="O332">
        <f t="shared" si="40"/>
        <v>-4.5</v>
      </c>
      <c r="Q332">
        <v>306</v>
      </c>
      <c r="R332">
        <f t="shared" si="39"/>
        <v>0.73620689655172411</v>
      </c>
      <c r="S332">
        <f t="shared" si="41"/>
        <v>3.4601724137931034</v>
      </c>
      <c r="T332">
        <f t="shared" si="42"/>
        <v>-3.2601724137931032</v>
      </c>
      <c r="U332">
        <f t="shared" si="37"/>
        <v>41.237241379310376</v>
      </c>
      <c r="V332" s="13">
        <f>(V330*100)/153.6</f>
        <v>26.694904500874568</v>
      </c>
      <c r="W332">
        <v>2166.1999999999998</v>
      </c>
      <c r="X332">
        <f t="shared" si="38"/>
        <v>19986.7</v>
      </c>
      <c r="Y332">
        <v>16.243272958874783</v>
      </c>
    </row>
    <row r="333" spans="1:26" x14ac:dyDescent="0.25">
      <c r="A333">
        <v>6360</v>
      </c>
      <c r="B333">
        <v>26330</v>
      </c>
      <c r="C333" s="3">
        <v>43278</v>
      </c>
      <c r="F333" s="30"/>
      <c r="G333">
        <v>17.399999999999999</v>
      </c>
      <c r="H333">
        <v>12.3</v>
      </c>
      <c r="I333">
        <v>22.9</v>
      </c>
      <c r="J333">
        <f t="shared" si="35"/>
        <v>3034.5000000000023</v>
      </c>
      <c r="K333">
        <f t="shared" si="36"/>
        <v>209.50000000000003</v>
      </c>
      <c r="L333" s="25" t="s">
        <v>43</v>
      </c>
      <c r="M333">
        <v>0.1</v>
      </c>
      <c r="N333">
        <v>3.5</v>
      </c>
      <c r="O333">
        <f t="shared" si="40"/>
        <v>-3.4</v>
      </c>
      <c r="Q333">
        <v>307</v>
      </c>
      <c r="R333">
        <f t="shared" si="39"/>
        <v>0.72241379310344822</v>
      </c>
      <c r="S333">
        <f t="shared" si="41"/>
        <v>2.5284482758620688</v>
      </c>
      <c r="T333">
        <f t="shared" si="42"/>
        <v>-2.4284482758620687</v>
      </c>
      <c r="U333">
        <f t="shared" si="37"/>
        <v>38.808793103448309</v>
      </c>
      <c r="W333">
        <v>1557.3</v>
      </c>
      <c r="X333">
        <f t="shared" si="38"/>
        <v>21544</v>
      </c>
      <c r="Y333">
        <v>16.234999184734104</v>
      </c>
    </row>
    <row r="334" spans="1:26" x14ac:dyDescent="0.25">
      <c r="A334">
        <v>6360</v>
      </c>
      <c r="B334">
        <v>26330</v>
      </c>
      <c r="C334" s="3">
        <v>43279</v>
      </c>
      <c r="F334" s="30"/>
      <c r="G334">
        <v>20</v>
      </c>
      <c r="H334">
        <v>13.4</v>
      </c>
      <c r="I334">
        <v>26.6</v>
      </c>
      <c r="J334">
        <f t="shared" si="35"/>
        <v>3054.5000000000023</v>
      </c>
      <c r="K334">
        <f t="shared" si="36"/>
        <v>229.50000000000003</v>
      </c>
      <c r="L334" s="19">
        <v>0</v>
      </c>
      <c r="M334">
        <v>0</v>
      </c>
      <c r="N334">
        <v>4.8</v>
      </c>
      <c r="O334">
        <f t="shared" si="40"/>
        <v>-4.8</v>
      </c>
      <c r="Q334">
        <v>308</v>
      </c>
      <c r="R334">
        <f t="shared" si="39"/>
        <v>0.70862068965517233</v>
      </c>
      <c r="S334">
        <f t="shared" si="41"/>
        <v>3.4013793103448271</v>
      </c>
      <c r="T334">
        <f t="shared" si="42"/>
        <v>-3.4013793103448271</v>
      </c>
      <c r="U334">
        <f t="shared" si="37"/>
        <v>35.40741379310348</v>
      </c>
      <c r="W334">
        <v>2026.9</v>
      </c>
      <c r="X334">
        <f t="shared" si="38"/>
        <v>23570.9</v>
      </c>
      <c r="Y334">
        <v>16.225168174579522</v>
      </c>
    </row>
    <row r="335" spans="1:26" x14ac:dyDescent="0.25">
      <c r="A335">
        <v>6360</v>
      </c>
      <c r="B335">
        <v>26330</v>
      </c>
      <c r="C335" s="3">
        <v>43280</v>
      </c>
      <c r="F335" s="30"/>
      <c r="G335">
        <v>19.100000000000001</v>
      </c>
      <c r="H335">
        <v>14.8</v>
      </c>
      <c r="I335">
        <v>24.1</v>
      </c>
      <c r="J335">
        <f t="shared" si="35"/>
        <v>3073.6000000000022</v>
      </c>
      <c r="K335">
        <f t="shared" si="36"/>
        <v>248.60000000000002</v>
      </c>
      <c r="M335">
        <v>0</v>
      </c>
      <c r="N335">
        <v>4</v>
      </c>
      <c r="O335">
        <f t="shared" si="40"/>
        <v>-4</v>
      </c>
      <c r="Q335">
        <v>309</v>
      </c>
      <c r="R335">
        <f t="shared" si="39"/>
        <v>0.69482758620689644</v>
      </c>
      <c r="S335">
        <f t="shared" si="41"/>
        <v>2.7793103448275858</v>
      </c>
      <c r="T335">
        <f t="shared" si="42"/>
        <v>-2.7793103448275858</v>
      </c>
      <c r="U335">
        <f t="shared" si="37"/>
        <v>32.628103448275894</v>
      </c>
      <c r="W335">
        <v>1530.8</v>
      </c>
      <c r="X335">
        <f t="shared" si="38"/>
        <v>25101.7</v>
      </c>
      <c r="Y335">
        <v>16.213789575170161</v>
      </c>
    </row>
    <row r="336" spans="1:26" x14ac:dyDescent="0.25">
      <c r="A336">
        <v>6360</v>
      </c>
      <c r="B336">
        <v>26330</v>
      </c>
      <c r="C336" s="3">
        <v>43281</v>
      </c>
      <c r="F336" s="30"/>
      <c r="G336">
        <v>20.9</v>
      </c>
      <c r="H336">
        <v>14.3</v>
      </c>
      <c r="I336">
        <v>26.4</v>
      </c>
      <c r="J336">
        <f t="shared" si="35"/>
        <v>3094.5000000000023</v>
      </c>
      <c r="K336">
        <f t="shared" si="36"/>
        <v>269.5</v>
      </c>
      <c r="M336">
        <v>0</v>
      </c>
      <c r="N336">
        <v>3.4</v>
      </c>
      <c r="O336">
        <f t="shared" si="40"/>
        <v>-3.4</v>
      </c>
      <c r="Q336">
        <v>310</v>
      </c>
      <c r="R336">
        <f t="shared" si="39"/>
        <v>0.68103448275862066</v>
      </c>
      <c r="S336">
        <f t="shared" si="41"/>
        <v>2.3155172413793101</v>
      </c>
      <c r="T336">
        <f t="shared" si="42"/>
        <v>-2.3155172413793101</v>
      </c>
      <c r="U336">
        <f t="shared" si="37"/>
        <v>30.312586206896583</v>
      </c>
      <c r="W336">
        <v>1277.7</v>
      </c>
      <c r="X336">
        <f t="shared" si="38"/>
        <v>26379.4</v>
      </c>
      <c r="Y336">
        <v>16.20087448163601</v>
      </c>
    </row>
    <row r="337" spans="1:25" x14ac:dyDescent="0.25">
      <c r="A337">
        <v>6360</v>
      </c>
      <c r="B337">
        <v>26330</v>
      </c>
      <c r="C337" s="3">
        <v>43282</v>
      </c>
      <c r="F337" s="30"/>
      <c r="G337">
        <v>24.1</v>
      </c>
      <c r="H337">
        <v>16.7</v>
      </c>
      <c r="I337">
        <v>29.4</v>
      </c>
      <c r="J337">
        <f t="shared" si="35"/>
        <v>3118.6000000000022</v>
      </c>
      <c r="K337">
        <f t="shared" si="36"/>
        <v>293.60000000000002</v>
      </c>
      <c r="M337">
        <v>0</v>
      </c>
      <c r="N337">
        <v>6.4</v>
      </c>
      <c r="O337">
        <f t="shared" si="40"/>
        <v>-6.4</v>
      </c>
      <c r="Q337">
        <v>311</v>
      </c>
      <c r="R337">
        <f t="shared" si="39"/>
        <v>0.66724137931034477</v>
      </c>
      <c r="S337">
        <f t="shared" si="41"/>
        <v>4.2703448275862064</v>
      </c>
      <c r="T337">
        <f t="shared" si="42"/>
        <v>-4.2703448275862064</v>
      </c>
      <c r="U337">
        <f t="shared" si="37"/>
        <v>26.042241379310376</v>
      </c>
      <c r="W337">
        <v>2275.3000000000002</v>
      </c>
      <c r="X337">
        <f t="shared" si="38"/>
        <v>28654.7</v>
      </c>
      <c r="Y337">
        <v>16.186435396682317</v>
      </c>
    </row>
    <row r="338" spans="1:25" x14ac:dyDescent="0.25">
      <c r="A338">
        <v>6360</v>
      </c>
      <c r="B338">
        <v>26330</v>
      </c>
      <c r="C338" s="3">
        <v>43283</v>
      </c>
      <c r="F338" s="30"/>
      <c r="G338">
        <v>22.3</v>
      </c>
      <c r="H338">
        <v>18.899999999999999</v>
      </c>
      <c r="I338">
        <v>27.8</v>
      </c>
      <c r="J338">
        <f t="shared" si="35"/>
        <v>3140.9000000000024</v>
      </c>
      <c r="K338">
        <f t="shared" si="36"/>
        <v>315.90000000000003</v>
      </c>
      <c r="M338">
        <v>0</v>
      </c>
      <c r="N338">
        <v>6.2</v>
      </c>
      <c r="O338">
        <f t="shared" si="40"/>
        <v>-6.2</v>
      </c>
      <c r="Q338">
        <v>312</v>
      </c>
      <c r="R338">
        <f t="shared" si="39"/>
        <v>0.65344827586206888</v>
      </c>
      <c r="S338">
        <f t="shared" si="41"/>
        <v>4.051379310344827</v>
      </c>
      <c r="T338">
        <f t="shared" si="42"/>
        <v>-4.051379310344827</v>
      </c>
      <c r="U338">
        <f t="shared" si="37"/>
        <v>21.990862068965548</v>
      </c>
      <c r="W338">
        <v>2252.6999999999998</v>
      </c>
      <c r="X338">
        <f t="shared" si="38"/>
        <v>30907.4</v>
      </c>
      <c r="Y338">
        <v>16.170486185150647</v>
      </c>
    </row>
    <row r="339" spans="1:25" x14ac:dyDescent="0.25">
      <c r="A339">
        <v>6360</v>
      </c>
      <c r="B339">
        <v>26330</v>
      </c>
      <c r="C339" s="3">
        <v>43284</v>
      </c>
      <c r="F339" s="30"/>
      <c r="G339">
        <v>20.100000000000001</v>
      </c>
      <c r="H339">
        <v>16.3</v>
      </c>
      <c r="I339">
        <v>25.1</v>
      </c>
      <c r="J339">
        <f t="shared" si="35"/>
        <v>3161.0000000000023</v>
      </c>
      <c r="K339">
        <f t="shared" si="36"/>
        <v>336.00000000000006</v>
      </c>
      <c r="M339">
        <v>0.4</v>
      </c>
      <c r="N339">
        <v>3.7</v>
      </c>
      <c r="O339">
        <f t="shared" si="40"/>
        <v>-3.3000000000000003</v>
      </c>
      <c r="Q339">
        <v>313</v>
      </c>
      <c r="R339">
        <f t="shared" si="39"/>
        <v>0.63965517241379299</v>
      </c>
      <c r="S339">
        <f t="shared" si="41"/>
        <v>2.3667241379310342</v>
      </c>
      <c r="T339">
        <f t="shared" si="42"/>
        <v>-1.9667241379310343</v>
      </c>
      <c r="U339">
        <f t="shared" si="37"/>
        <v>20.024137931034513</v>
      </c>
      <c r="W339">
        <v>1024.5</v>
      </c>
      <c r="X339">
        <f t="shared" si="38"/>
        <v>31931.9</v>
      </c>
      <c r="Y339">
        <v>16.153042024287615</v>
      </c>
    </row>
    <row r="340" spans="1:25" x14ac:dyDescent="0.25">
      <c r="A340">
        <v>6360</v>
      </c>
      <c r="B340">
        <v>26330</v>
      </c>
      <c r="C340" s="3">
        <v>43285</v>
      </c>
      <c r="F340" s="30"/>
      <c r="G340">
        <v>20</v>
      </c>
      <c r="H340">
        <v>16</v>
      </c>
      <c r="I340">
        <v>25.8</v>
      </c>
      <c r="J340">
        <f t="shared" si="35"/>
        <v>3181.0000000000023</v>
      </c>
      <c r="K340">
        <f t="shared" si="36"/>
        <v>356.00000000000006</v>
      </c>
      <c r="M340">
        <v>0.1</v>
      </c>
      <c r="N340">
        <v>3.8</v>
      </c>
      <c r="O340">
        <f t="shared" si="40"/>
        <v>-3.6999999999999997</v>
      </c>
      <c r="Q340">
        <v>314</v>
      </c>
      <c r="R340">
        <f t="shared" si="39"/>
        <v>0.62586206896551722</v>
      </c>
      <c r="S340">
        <f t="shared" si="41"/>
        <v>2.3782758620689655</v>
      </c>
      <c r="T340">
        <f t="shared" si="42"/>
        <v>-2.2782758620689654</v>
      </c>
      <c r="U340">
        <f t="shared" si="37"/>
        <v>17.745862068965547</v>
      </c>
      <c r="W340">
        <v>1566.4</v>
      </c>
      <c r="X340">
        <f t="shared" si="38"/>
        <v>33498.300000000003</v>
      </c>
      <c r="Y340">
        <v>16.134119350098086</v>
      </c>
    </row>
    <row r="341" spans="1:25" x14ac:dyDescent="0.25">
      <c r="A341">
        <v>6360</v>
      </c>
      <c r="B341">
        <v>26330</v>
      </c>
      <c r="C341" s="3">
        <v>43286</v>
      </c>
      <c r="F341" s="30"/>
      <c r="G341">
        <v>19.899999999999999</v>
      </c>
      <c r="H341">
        <v>14.5</v>
      </c>
      <c r="I341">
        <v>25.4</v>
      </c>
      <c r="J341">
        <f t="shared" si="35"/>
        <v>3200.9000000000024</v>
      </c>
      <c r="K341">
        <f t="shared" si="36"/>
        <v>375.90000000000003</v>
      </c>
      <c r="M341">
        <v>0</v>
      </c>
      <c r="N341">
        <v>4</v>
      </c>
      <c r="O341">
        <f t="shared" si="40"/>
        <v>-4</v>
      </c>
      <c r="Q341">
        <v>315</v>
      </c>
      <c r="R341">
        <f t="shared" si="39"/>
        <v>0.61206896551724133</v>
      </c>
      <c r="S341">
        <f t="shared" si="41"/>
        <v>2.4482758620689653</v>
      </c>
      <c r="T341">
        <f t="shared" si="42"/>
        <v>-2.4482758620689653</v>
      </c>
      <c r="U341">
        <f t="shared" si="37"/>
        <v>15.297586206896582</v>
      </c>
      <c r="W341">
        <v>1855.8</v>
      </c>
      <c r="X341">
        <f t="shared" si="38"/>
        <v>35354.100000000006</v>
      </c>
      <c r="Y341">
        <v>16.113735800180329</v>
      </c>
    </row>
    <row r="342" spans="1:25" x14ac:dyDescent="0.25">
      <c r="A342">
        <v>6360</v>
      </c>
      <c r="B342">
        <v>26330</v>
      </c>
      <c r="C342" s="3">
        <v>43287</v>
      </c>
      <c r="F342" s="30"/>
      <c r="G342">
        <v>21.8</v>
      </c>
      <c r="H342">
        <v>15.2</v>
      </c>
      <c r="I342">
        <v>27.5</v>
      </c>
      <c r="J342">
        <f t="shared" si="35"/>
        <v>3222.7000000000025</v>
      </c>
      <c r="K342">
        <f t="shared" si="36"/>
        <v>397.70000000000005</v>
      </c>
      <c r="M342">
        <v>0.1</v>
      </c>
      <c r="N342">
        <v>4.4000000000000004</v>
      </c>
      <c r="O342">
        <f t="shared" si="40"/>
        <v>-4.3000000000000007</v>
      </c>
      <c r="Q342">
        <v>316</v>
      </c>
      <c r="R342">
        <f t="shared" si="39"/>
        <v>0.59827586206896544</v>
      </c>
      <c r="S342">
        <f t="shared" si="41"/>
        <v>2.6324137931034479</v>
      </c>
      <c r="T342">
        <f t="shared" si="42"/>
        <v>-2.5324137931034478</v>
      </c>
      <c r="U342">
        <f t="shared" si="37"/>
        <v>12.765172413793135</v>
      </c>
      <c r="W342">
        <v>1956.3</v>
      </c>
      <c r="X342">
        <f t="shared" si="38"/>
        <v>37310.400000000009</v>
      </c>
      <c r="Y342">
        <v>16.09191015345656</v>
      </c>
    </row>
    <row r="343" spans="1:25" s="4" customFormat="1" ht="15.75" thickBot="1" x14ac:dyDescent="0.3">
      <c r="A343" s="4">
        <v>6360</v>
      </c>
      <c r="B343" s="4">
        <v>26330</v>
      </c>
      <c r="C343" s="5">
        <v>43288</v>
      </c>
      <c r="D343" s="4">
        <v>1000</v>
      </c>
      <c r="F343" s="31"/>
      <c r="G343" s="4">
        <v>22.3</v>
      </c>
      <c r="H343" s="4">
        <v>16.3</v>
      </c>
      <c r="I343" s="4">
        <v>28.2</v>
      </c>
      <c r="J343" s="4">
        <f t="shared" si="35"/>
        <v>3245.0000000000027</v>
      </c>
      <c r="K343" s="4">
        <f t="shared" si="36"/>
        <v>420.00000000000006</v>
      </c>
      <c r="M343" s="4">
        <v>0</v>
      </c>
      <c r="N343" s="4">
        <v>3.8</v>
      </c>
      <c r="O343" s="4">
        <f t="shared" si="40"/>
        <v>-3.8</v>
      </c>
      <c r="Q343" s="4">
        <v>317</v>
      </c>
      <c r="R343" s="4">
        <f t="shared" si="39"/>
        <v>0.58448275862068966</v>
      </c>
      <c r="S343" s="4">
        <f t="shared" si="41"/>
        <v>2.2210344827586206</v>
      </c>
      <c r="T343" s="4">
        <f t="shared" si="42"/>
        <v>-2.2210344827586206</v>
      </c>
      <c r="U343" s="4">
        <f t="shared" si="37"/>
        <v>10.544137931034514</v>
      </c>
      <c r="W343" s="4">
        <v>1686.7</v>
      </c>
      <c r="X343" s="4">
        <f t="shared" si="38"/>
        <v>38997.100000000006</v>
      </c>
      <c r="Y343" s="4">
        <v>16.068662267222958</v>
      </c>
    </row>
    <row r="344" spans="1:25" x14ac:dyDescent="0.25">
      <c r="A344">
        <v>6360</v>
      </c>
      <c r="B344">
        <v>26330</v>
      </c>
      <c r="C344" s="3">
        <v>43289</v>
      </c>
      <c r="G344">
        <v>21.7</v>
      </c>
      <c r="H344">
        <v>18</v>
      </c>
      <c r="I344">
        <v>26.8</v>
      </c>
      <c r="J344">
        <f t="shared" si="35"/>
        <v>3266.7000000000025</v>
      </c>
      <c r="K344">
        <f>G344</f>
        <v>21.7</v>
      </c>
      <c r="M344">
        <v>0</v>
      </c>
      <c r="N344">
        <v>4.8</v>
      </c>
      <c r="O344">
        <f t="shared" si="40"/>
        <v>-4.8</v>
      </c>
      <c r="Q344">
        <v>318</v>
      </c>
      <c r="R344">
        <f t="shared" si="39"/>
        <v>0.57068965517241377</v>
      </c>
      <c r="S344">
        <f t="shared" si="41"/>
        <v>2.7393103448275862</v>
      </c>
      <c r="T344">
        <f t="shared" si="42"/>
        <v>-2.7393103448275862</v>
      </c>
      <c r="U344">
        <f t="shared" si="37"/>
        <v>7.8048275862069278</v>
      </c>
      <c r="W344">
        <v>1899.2</v>
      </c>
      <c r="X344">
        <f>W344</f>
        <v>1899.2</v>
      </c>
      <c r="Y344">
        <v>16.044013011949161</v>
      </c>
    </row>
    <row r="345" spans="1:25" x14ac:dyDescent="0.25">
      <c r="A345">
        <v>6360</v>
      </c>
      <c r="B345">
        <v>26330</v>
      </c>
      <c r="C345" s="3">
        <v>43290</v>
      </c>
      <c r="G345">
        <v>20.2</v>
      </c>
      <c r="H345">
        <v>17.2</v>
      </c>
      <c r="I345">
        <v>24.2</v>
      </c>
      <c r="J345">
        <f t="shared" si="35"/>
        <v>3286.9000000000024</v>
      </c>
      <c r="K345">
        <f t="shared" si="36"/>
        <v>41.9</v>
      </c>
      <c r="M345">
        <v>0</v>
      </c>
      <c r="N345">
        <v>4.2</v>
      </c>
      <c r="O345">
        <f t="shared" si="40"/>
        <v>-4.2</v>
      </c>
      <c r="Q345">
        <v>319</v>
      </c>
      <c r="R345">
        <f t="shared" si="39"/>
        <v>0.55689655172413788</v>
      </c>
      <c r="S345">
        <f t="shared" si="41"/>
        <v>2.338965517241379</v>
      </c>
      <c r="T345">
        <f t="shared" si="42"/>
        <v>-2.338965517241379</v>
      </c>
      <c r="U345">
        <f t="shared" si="37"/>
        <v>5.4658620689655493</v>
      </c>
      <c r="W345">
        <v>1979.9</v>
      </c>
      <c r="X345">
        <f t="shared" si="38"/>
        <v>3879.1000000000004</v>
      </c>
      <c r="Y345">
        <v>16.017984204258266</v>
      </c>
    </row>
    <row r="346" spans="1:25" x14ac:dyDescent="0.25">
      <c r="A346">
        <v>6360</v>
      </c>
      <c r="B346">
        <v>26330</v>
      </c>
      <c r="C346" s="3">
        <v>43291</v>
      </c>
      <c r="G346">
        <v>15.9</v>
      </c>
      <c r="H346">
        <v>15.2</v>
      </c>
      <c r="I346">
        <v>17.2</v>
      </c>
      <c r="J346">
        <f t="shared" si="35"/>
        <v>3302.8000000000025</v>
      </c>
      <c r="K346">
        <f t="shared" si="36"/>
        <v>57.8</v>
      </c>
      <c r="M346">
        <v>0.2</v>
      </c>
      <c r="N346">
        <v>2</v>
      </c>
      <c r="O346">
        <f t="shared" si="40"/>
        <v>-1.8</v>
      </c>
      <c r="Q346">
        <v>320</v>
      </c>
      <c r="R346">
        <f t="shared" si="39"/>
        <v>0.5431034482758621</v>
      </c>
      <c r="S346">
        <f t="shared" si="41"/>
        <v>1.0862068965517242</v>
      </c>
      <c r="T346">
        <f t="shared" si="42"/>
        <v>-0.88620689655172424</v>
      </c>
      <c r="U346">
        <f t="shared" si="37"/>
        <v>4.5796551724138252</v>
      </c>
      <c r="W346">
        <v>491.5</v>
      </c>
      <c r="X346">
        <f t="shared" si="38"/>
        <v>4370.6000000000004</v>
      </c>
      <c r="Y346">
        <v>15.990598538514845</v>
      </c>
    </row>
    <row r="347" spans="1:25" x14ac:dyDescent="0.25">
      <c r="A347">
        <v>6360</v>
      </c>
      <c r="B347">
        <v>26330</v>
      </c>
      <c r="C347" s="3">
        <v>43292</v>
      </c>
      <c r="G347">
        <v>17.3</v>
      </c>
      <c r="H347">
        <v>15.4</v>
      </c>
      <c r="I347">
        <v>20</v>
      </c>
      <c r="J347">
        <f t="shared" si="35"/>
        <v>3320.1000000000026</v>
      </c>
      <c r="K347">
        <f t="shared" si="36"/>
        <v>75.099999999999994</v>
      </c>
      <c r="M347">
        <v>0.4</v>
      </c>
      <c r="N347">
        <v>2.5</v>
      </c>
      <c r="O347">
        <f t="shared" si="40"/>
        <v>-2.1</v>
      </c>
      <c r="Q347">
        <v>321</v>
      </c>
      <c r="R347">
        <f t="shared" si="39"/>
        <v>0.52931034482758621</v>
      </c>
      <c r="S347">
        <f t="shared" si="41"/>
        <v>1.3232758620689655</v>
      </c>
      <c r="T347">
        <f t="shared" si="42"/>
        <v>-0.9232758620689655</v>
      </c>
      <c r="U347">
        <f t="shared" si="37"/>
        <v>3.6563793103448599</v>
      </c>
      <c r="W347">
        <v>1005.5</v>
      </c>
      <c r="X347">
        <f t="shared" si="38"/>
        <v>5376.1</v>
      </c>
      <c r="Y347">
        <v>15.961879517440758</v>
      </c>
    </row>
    <row r="348" spans="1:25" x14ac:dyDescent="0.25">
      <c r="A348">
        <v>6360</v>
      </c>
      <c r="B348">
        <v>26330</v>
      </c>
      <c r="C348" s="3">
        <v>43293</v>
      </c>
      <c r="G348">
        <v>17.399999999999999</v>
      </c>
      <c r="H348">
        <v>12.6</v>
      </c>
      <c r="I348">
        <v>20.7</v>
      </c>
      <c r="J348">
        <f t="shared" si="35"/>
        <v>3337.5000000000027</v>
      </c>
      <c r="K348">
        <f t="shared" si="36"/>
        <v>92.5</v>
      </c>
      <c r="M348">
        <v>0</v>
      </c>
      <c r="N348">
        <v>2.2999999999999998</v>
      </c>
      <c r="O348">
        <f t="shared" si="40"/>
        <v>-2.2999999999999998</v>
      </c>
      <c r="Q348">
        <v>322</v>
      </c>
      <c r="R348">
        <f t="shared" si="39"/>
        <v>0.51551724137931032</v>
      </c>
      <c r="S348">
        <f t="shared" si="41"/>
        <v>1.1856896551724136</v>
      </c>
      <c r="T348">
        <f t="shared" si="42"/>
        <v>-1.1856896551724136</v>
      </c>
      <c r="U348">
        <f t="shared" si="37"/>
        <v>2.4706896551724462</v>
      </c>
      <c r="W348">
        <v>1102.8</v>
      </c>
      <c r="X348">
        <f t="shared" si="38"/>
        <v>6478.9000000000005</v>
      </c>
      <c r="Y348">
        <v>15.93185138216691</v>
      </c>
    </row>
    <row r="349" spans="1:25" x14ac:dyDescent="0.25">
      <c r="A349">
        <v>6360</v>
      </c>
      <c r="B349">
        <v>26330</v>
      </c>
      <c r="C349" s="3">
        <v>43294</v>
      </c>
      <c r="G349">
        <v>18.600000000000001</v>
      </c>
      <c r="H349">
        <v>14.1</v>
      </c>
      <c r="I349">
        <v>24.4</v>
      </c>
      <c r="J349">
        <f t="shared" ref="J349:J367" si="43">J348+G349</f>
        <v>3356.1000000000026</v>
      </c>
      <c r="K349">
        <f t="shared" ref="K349:K367" si="44">K348+G349</f>
        <v>111.1</v>
      </c>
      <c r="M349">
        <v>0.1</v>
      </c>
      <c r="N349">
        <v>3.5</v>
      </c>
      <c r="O349">
        <f t="shared" si="40"/>
        <v>-3.4</v>
      </c>
      <c r="Q349">
        <v>323</v>
      </c>
      <c r="R349">
        <f t="shared" si="39"/>
        <v>0.50172413793103443</v>
      </c>
      <c r="S349">
        <f t="shared" si="41"/>
        <v>1.7560344827586205</v>
      </c>
      <c r="T349">
        <f t="shared" si="42"/>
        <v>-1.6560344827586204</v>
      </c>
      <c r="U349">
        <f t="shared" ref="U349:U367" si="45">MIN(T349+U348,153.6)</f>
        <v>0.81465517241382579</v>
      </c>
      <c r="W349">
        <v>1572.7</v>
      </c>
      <c r="X349">
        <f t="shared" ref="X349:X367" si="46">X348+W349</f>
        <v>8051.6</v>
      </c>
      <c r="Y349">
        <v>15.900539042113872</v>
      </c>
    </row>
    <row r="350" spans="1:25" x14ac:dyDescent="0.25">
      <c r="A350">
        <v>6360</v>
      </c>
      <c r="B350">
        <v>26330</v>
      </c>
      <c r="C350" s="3">
        <v>43295</v>
      </c>
      <c r="G350">
        <v>19.899999999999999</v>
      </c>
      <c r="H350">
        <v>13.2</v>
      </c>
      <c r="I350">
        <v>26</v>
      </c>
      <c r="J350">
        <f t="shared" si="43"/>
        <v>3376.0000000000027</v>
      </c>
      <c r="K350">
        <f t="shared" si="44"/>
        <v>131</v>
      </c>
      <c r="M350">
        <v>0</v>
      </c>
      <c r="N350">
        <v>4.2</v>
      </c>
      <c r="O350">
        <f t="shared" si="40"/>
        <v>-4.2</v>
      </c>
      <c r="Q350">
        <v>324</v>
      </c>
      <c r="R350">
        <f t="shared" si="39"/>
        <v>0.48793103448275854</v>
      </c>
      <c r="S350">
        <f t="shared" si="41"/>
        <v>2.0493103448275858</v>
      </c>
      <c r="T350">
        <f t="shared" si="42"/>
        <v>-2.0493103448275858</v>
      </c>
      <c r="U350">
        <v>0</v>
      </c>
      <c r="W350">
        <v>1903.4</v>
      </c>
      <c r="X350">
        <f t="shared" si="46"/>
        <v>9955</v>
      </c>
      <c r="Y350">
        <v>15.86796800507615</v>
      </c>
    </row>
    <row r="351" spans="1:25" x14ac:dyDescent="0.25">
      <c r="A351">
        <v>6360</v>
      </c>
      <c r="B351">
        <v>26330</v>
      </c>
      <c r="C351" s="3">
        <v>43296</v>
      </c>
      <c r="G351">
        <v>22.2</v>
      </c>
      <c r="H351">
        <v>15</v>
      </c>
      <c r="I351">
        <v>28.9</v>
      </c>
      <c r="J351">
        <f t="shared" si="43"/>
        <v>3398.2000000000025</v>
      </c>
      <c r="K351">
        <f t="shared" si="44"/>
        <v>153.19999999999999</v>
      </c>
      <c r="M351">
        <v>0</v>
      </c>
      <c r="N351">
        <v>4.5999999999999996</v>
      </c>
      <c r="O351">
        <f t="shared" si="40"/>
        <v>-4.5999999999999996</v>
      </c>
      <c r="Q351">
        <v>325</v>
      </c>
      <c r="R351">
        <f t="shared" si="39"/>
        <v>0.47413793103448276</v>
      </c>
      <c r="S351">
        <f t="shared" si="41"/>
        <v>2.1810344827586206</v>
      </c>
      <c r="T351">
        <f t="shared" si="42"/>
        <v>-2.1810344827586206</v>
      </c>
      <c r="U351">
        <v>0</v>
      </c>
      <c r="W351">
        <v>1903</v>
      </c>
      <c r="X351">
        <f t="shared" si="46"/>
        <v>11858</v>
      </c>
      <c r="Y351">
        <v>15.83416430786396</v>
      </c>
    </row>
    <row r="352" spans="1:25" x14ac:dyDescent="0.25">
      <c r="A352">
        <v>6360</v>
      </c>
      <c r="B352">
        <v>26330</v>
      </c>
      <c r="C352" s="3">
        <v>43297</v>
      </c>
      <c r="G352">
        <v>21.7</v>
      </c>
      <c r="H352">
        <v>17.100000000000001</v>
      </c>
      <c r="I352">
        <v>26.9</v>
      </c>
      <c r="J352">
        <f t="shared" si="43"/>
        <v>3419.9000000000024</v>
      </c>
      <c r="K352">
        <f t="shared" si="44"/>
        <v>174.89999999999998</v>
      </c>
      <c r="M352">
        <v>0</v>
      </c>
      <c r="N352">
        <v>3.5</v>
      </c>
      <c r="O352">
        <f t="shared" si="40"/>
        <v>-3.5</v>
      </c>
      <c r="Q352">
        <v>326</v>
      </c>
      <c r="R352">
        <f t="shared" si="39"/>
        <v>0.46034482758620687</v>
      </c>
      <c r="S352">
        <f t="shared" si="41"/>
        <v>1.6112068965517241</v>
      </c>
      <c r="T352">
        <f t="shared" si="42"/>
        <v>-1.6112068965517241</v>
      </c>
      <c r="U352">
        <v>0</v>
      </c>
      <c r="W352">
        <v>1510.4</v>
      </c>
      <c r="X352">
        <f t="shared" si="46"/>
        <v>13368.4</v>
      </c>
      <c r="Y352">
        <v>15.799154447833336</v>
      </c>
    </row>
    <row r="353" spans="1:25" x14ac:dyDescent="0.25">
      <c r="A353">
        <v>6360</v>
      </c>
      <c r="B353">
        <v>26330</v>
      </c>
      <c r="C353" s="3">
        <v>43298</v>
      </c>
      <c r="G353">
        <v>19.5</v>
      </c>
      <c r="H353">
        <v>16.2</v>
      </c>
      <c r="I353">
        <v>23.4</v>
      </c>
      <c r="J353">
        <f t="shared" si="43"/>
        <v>3439.4000000000024</v>
      </c>
      <c r="K353">
        <f t="shared" si="44"/>
        <v>194.39999999999998</v>
      </c>
      <c r="M353">
        <v>0</v>
      </c>
      <c r="N353">
        <v>5</v>
      </c>
      <c r="O353">
        <f t="shared" si="40"/>
        <v>-5</v>
      </c>
      <c r="Q353">
        <v>327</v>
      </c>
      <c r="R353">
        <f t="shared" si="39"/>
        <v>0.44655172413793098</v>
      </c>
      <c r="S353">
        <f t="shared" si="41"/>
        <v>2.2327586206896548</v>
      </c>
      <c r="T353">
        <f t="shared" si="42"/>
        <v>-2.2327586206896548</v>
      </c>
      <c r="U353">
        <v>0</v>
      </c>
      <c r="W353">
        <v>1993.8</v>
      </c>
      <c r="X353">
        <f t="shared" si="46"/>
        <v>15362.199999999999</v>
      </c>
      <c r="Y353">
        <v>15.762965315610794</v>
      </c>
    </row>
    <row r="354" spans="1:25" x14ac:dyDescent="0.25">
      <c r="A354">
        <v>6360</v>
      </c>
      <c r="B354">
        <v>26330</v>
      </c>
      <c r="C354" s="3">
        <v>43299</v>
      </c>
      <c r="G354">
        <v>18.7</v>
      </c>
      <c r="H354">
        <v>13.3</v>
      </c>
      <c r="I354">
        <v>24.1</v>
      </c>
      <c r="J354">
        <f t="shared" si="43"/>
        <v>3458.1000000000022</v>
      </c>
      <c r="K354">
        <f t="shared" si="44"/>
        <v>213.09999999999997</v>
      </c>
      <c r="M354">
        <v>0.1</v>
      </c>
      <c r="N354">
        <v>3.6</v>
      </c>
      <c r="O354">
        <f t="shared" si="40"/>
        <v>-3.5</v>
      </c>
      <c r="Q354">
        <v>328</v>
      </c>
      <c r="R354">
        <f t="shared" si="39"/>
        <v>0.43275862068965509</v>
      </c>
      <c r="S354">
        <f t="shared" si="41"/>
        <v>1.5579310344827584</v>
      </c>
      <c r="T354">
        <f t="shared" si="42"/>
        <v>-1.4579310344827583</v>
      </c>
      <c r="U354">
        <v>0</v>
      </c>
      <c r="W354">
        <v>1554.1</v>
      </c>
      <c r="X354">
        <f t="shared" si="46"/>
        <v>16916.3</v>
      </c>
      <c r="Y354">
        <v>15.725624129292488</v>
      </c>
    </row>
    <row r="355" spans="1:25" x14ac:dyDescent="0.25">
      <c r="A355">
        <v>6360</v>
      </c>
      <c r="B355">
        <v>26330</v>
      </c>
      <c r="C355" s="3">
        <v>43300</v>
      </c>
      <c r="G355">
        <v>20</v>
      </c>
      <c r="H355">
        <v>13.4</v>
      </c>
      <c r="I355">
        <v>25.9</v>
      </c>
      <c r="J355">
        <f t="shared" si="43"/>
        <v>3478.1000000000022</v>
      </c>
      <c r="K355">
        <f t="shared" si="44"/>
        <v>233.09999999999997</v>
      </c>
      <c r="M355">
        <v>0</v>
      </c>
      <c r="N355">
        <v>4.5</v>
      </c>
      <c r="O355">
        <f t="shared" si="40"/>
        <v>-4.5</v>
      </c>
      <c r="Q355">
        <v>329</v>
      </c>
      <c r="R355">
        <f t="shared" si="39"/>
        <v>0.4189655172413792</v>
      </c>
      <c r="S355">
        <f t="shared" si="41"/>
        <v>1.8853448275862064</v>
      </c>
      <c r="T355">
        <f t="shared" si="42"/>
        <v>-1.8853448275862064</v>
      </c>
      <c r="U355">
        <v>0</v>
      </c>
      <c r="W355">
        <v>1960.2</v>
      </c>
      <c r="X355">
        <f t="shared" si="46"/>
        <v>18876.5</v>
      </c>
      <c r="Y355">
        <v>15.687158370371263</v>
      </c>
    </row>
    <row r="356" spans="1:25" x14ac:dyDescent="0.25">
      <c r="A356">
        <v>6360</v>
      </c>
      <c r="B356">
        <v>26330</v>
      </c>
      <c r="C356" s="3">
        <v>43301</v>
      </c>
      <c r="G356">
        <v>17.2</v>
      </c>
      <c r="H356">
        <v>15.1</v>
      </c>
      <c r="I356">
        <v>18.7</v>
      </c>
      <c r="J356">
        <f t="shared" si="43"/>
        <v>3495.300000000002</v>
      </c>
      <c r="K356">
        <f t="shared" si="44"/>
        <v>250.29999999999995</v>
      </c>
      <c r="M356">
        <v>3.9</v>
      </c>
      <c r="N356">
        <v>1.4</v>
      </c>
      <c r="O356">
        <f t="shared" si="40"/>
        <v>2.5</v>
      </c>
      <c r="Q356">
        <v>330</v>
      </c>
      <c r="R356">
        <f t="shared" si="39"/>
        <v>0.40517241379310343</v>
      </c>
      <c r="S356">
        <f t="shared" si="41"/>
        <v>0.5672413793103448</v>
      </c>
      <c r="T356">
        <f t="shared" si="42"/>
        <v>3.3327586206896553</v>
      </c>
      <c r="U356">
        <f t="shared" si="45"/>
        <v>3.3327586206896553</v>
      </c>
      <c r="W356">
        <v>571.5</v>
      </c>
      <c r="X356">
        <f t="shared" si="46"/>
        <v>19448</v>
      </c>
      <c r="Y356">
        <v>15.647595721617435</v>
      </c>
    </row>
    <row r="357" spans="1:25" x14ac:dyDescent="0.25">
      <c r="A357">
        <v>6360</v>
      </c>
      <c r="B357">
        <v>26330</v>
      </c>
      <c r="C357" s="3">
        <v>43302</v>
      </c>
      <c r="G357">
        <v>20</v>
      </c>
      <c r="H357">
        <v>16.600000000000001</v>
      </c>
      <c r="I357">
        <v>24.2</v>
      </c>
      <c r="J357">
        <f t="shared" si="43"/>
        <v>3515.300000000002</v>
      </c>
      <c r="K357">
        <f t="shared" si="44"/>
        <v>270.29999999999995</v>
      </c>
      <c r="M357">
        <v>0.1</v>
      </c>
      <c r="N357">
        <v>1.9</v>
      </c>
      <c r="O357">
        <f t="shared" si="40"/>
        <v>-1.7999999999999998</v>
      </c>
      <c r="Q357">
        <v>331</v>
      </c>
      <c r="R357">
        <f t="shared" si="39"/>
        <v>0.39137931034482754</v>
      </c>
      <c r="S357">
        <f t="shared" si="41"/>
        <v>0.74362068965517225</v>
      </c>
      <c r="T357">
        <f t="shared" si="42"/>
        <v>-0.64362068965517227</v>
      </c>
      <c r="U357">
        <f t="shared" si="45"/>
        <v>2.689137931034483</v>
      </c>
      <c r="W357">
        <v>787.9</v>
      </c>
      <c r="X357">
        <f t="shared" si="46"/>
        <v>20235.900000000001</v>
      </c>
      <c r="Y357">
        <v>15.606964007111976</v>
      </c>
    </row>
    <row r="358" spans="1:25" x14ac:dyDescent="0.25">
      <c r="A358">
        <v>6360</v>
      </c>
      <c r="B358">
        <v>26330</v>
      </c>
      <c r="C358" s="3">
        <v>43303</v>
      </c>
      <c r="G358">
        <v>21.3</v>
      </c>
      <c r="H358">
        <v>14.7</v>
      </c>
      <c r="I358">
        <v>27</v>
      </c>
      <c r="J358">
        <f t="shared" si="43"/>
        <v>3536.6000000000022</v>
      </c>
      <c r="K358">
        <f t="shared" si="44"/>
        <v>291.59999999999997</v>
      </c>
      <c r="M358">
        <v>0</v>
      </c>
      <c r="N358">
        <v>3.9</v>
      </c>
      <c r="O358">
        <f t="shared" si="40"/>
        <v>-3.9</v>
      </c>
      <c r="Q358">
        <v>332</v>
      </c>
      <c r="R358">
        <f t="shared" si="39"/>
        <v>0.37758620689655165</v>
      </c>
      <c r="S358">
        <f t="shared" si="41"/>
        <v>1.4725862068965514</v>
      </c>
      <c r="T358">
        <f t="shared" si="42"/>
        <v>-1.4725862068965514</v>
      </c>
      <c r="U358">
        <f t="shared" si="45"/>
        <v>1.2165517241379316</v>
      </c>
      <c r="W358">
        <v>1661.2</v>
      </c>
      <c r="X358">
        <f t="shared" si="46"/>
        <v>21897.100000000002</v>
      </c>
      <c r="Y358">
        <v>15.565291134603491</v>
      </c>
    </row>
    <row r="359" spans="1:25" x14ac:dyDescent="0.25">
      <c r="A359">
        <v>6360</v>
      </c>
      <c r="B359">
        <v>26330</v>
      </c>
      <c r="C359" s="3">
        <v>43304</v>
      </c>
      <c r="G359">
        <v>23.8</v>
      </c>
      <c r="H359">
        <v>19.5</v>
      </c>
      <c r="I359">
        <v>28.4</v>
      </c>
      <c r="J359">
        <f t="shared" si="43"/>
        <v>3560.4000000000024</v>
      </c>
      <c r="K359">
        <f t="shared" si="44"/>
        <v>315.39999999999998</v>
      </c>
      <c r="M359">
        <v>0</v>
      </c>
      <c r="N359">
        <v>5.3</v>
      </c>
      <c r="O359">
        <f t="shared" si="40"/>
        <v>-5.3</v>
      </c>
      <c r="Q359">
        <v>333</v>
      </c>
      <c r="R359">
        <f t="shared" si="39"/>
        <v>0.36379310344827587</v>
      </c>
      <c r="S359">
        <f t="shared" si="41"/>
        <v>1.9281034482758621</v>
      </c>
      <c r="T359">
        <f t="shared" si="42"/>
        <v>-1.9281034482758621</v>
      </c>
      <c r="U359">
        <v>0</v>
      </c>
      <c r="W359">
        <v>2028.5</v>
      </c>
      <c r="X359">
        <f t="shared" si="46"/>
        <v>23925.600000000002</v>
      </c>
      <c r="Y359">
        <v>15.522605040334048</v>
      </c>
    </row>
    <row r="360" spans="1:25" s="4" customFormat="1" ht="15.75" thickBot="1" x14ac:dyDescent="0.3">
      <c r="A360" s="4">
        <v>6360</v>
      </c>
      <c r="B360" s="4">
        <v>26330</v>
      </c>
      <c r="C360" s="5">
        <v>43305</v>
      </c>
      <c r="D360" s="4" t="s">
        <v>36</v>
      </c>
      <c r="G360" s="4">
        <v>23.2</v>
      </c>
      <c r="H360" s="4">
        <v>18</v>
      </c>
      <c r="I360" s="4">
        <v>29.4</v>
      </c>
      <c r="J360" s="4">
        <f t="shared" si="43"/>
        <v>3583.6000000000022</v>
      </c>
      <c r="K360" s="4">
        <f t="shared" si="44"/>
        <v>338.59999999999997</v>
      </c>
      <c r="M360" s="4">
        <v>0</v>
      </c>
      <c r="N360" s="4">
        <v>4.4000000000000004</v>
      </c>
      <c r="O360" s="4">
        <f t="shared" si="40"/>
        <v>-4.4000000000000004</v>
      </c>
      <c r="Q360" s="4">
        <v>334</v>
      </c>
      <c r="R360" s="4">
        <f t="shared" si="39"/>
        <v>0.35</v>
      </c>
      <c r="S360" s="4">
        <f t="shared" si="41"/>
        <v>1.54</v>
      </c>
      <c r="T360" s="4">
        <f t="shared" si="42"/>
        <v>-1.54</v>
      </c>
      <c r="U360" s="4">
        <v>0</v>
      </c>
      <c r="W360" s="4">
        <v>1852.5</v>
      </c>
      <c r="X360" s="4">
        <f t="shared" si="46"/>
        <v>25778.100000000002</v>
      </c>
      <c r="Y360" s="4">
        <v>15.478933636453021</v>
      </c>
    </row>
    <row r="361" spans="1:25" x14ac:dyDescent="0.25">
      <c r="A361">
        <v>6360</v>
      </c>
      <c r="B361">
        <v>26330</v>
      </c>
      <c r="C361" s="3">
        <v>43306</v>
      </c>
      <c r="G361">
        <v>24.5</v>
      </c>
      <c r="H361">
        <v>19.899999999999999</v>
      </c>
      <c r="I361">
        <v>30.6</v>
      </c>
      <c r="J361">
        <f t="shared" si="43"/>
        <v>3608.1000000000022</v>
      </c>
      <c r="K361">
        <f t="shared" si="44"/>
        <v>363.09999999999997</v>
      </c>
      <c r="M361">
        <v>0</v>
      </c>
      <c r="N361">
        <v>3.6</v>
      </c>
      <c r="O361">
        <f t="shared" si="40"/>
        <v>-3.6</v>
      </c>
      <c r="Q361">
        <v>335</v>
      </c>
      <c r="S361">
        <f t="shared" si="41"/>
        <v>0</v>
      </c>
      <c r="T361">
        <f t="shared" si="42"/>
        <v>0</v>
      </c>
      <c r="U361">
        <f t="shared" si="45"/>
        <v>0</v>
      </c>
      <c r="W361">
        <v>1301.8</v>
      </c>
      <c r="X361">
        <f t="shared" si="46"/>
        <v>27079.9</v>
      </c>
    </row>
    <row r="362" spans="1:25" x14ac:dyDescent="0.25">
      <c r="A362">
        <v>6360</v>
      </c>
      <c r="B362">
        <v>26330</v>
      </c>
      <c r="C362" s="3">
        <v>43307</v>
      </c>
      <c r="G362">
        <v>26.8</v>
      </c>
      <c r="H362">
        <v>19</v>
      </c>
      <c r="I362">
        <v>33.5</v>
      </c>
      <c r="J362">
        <f t="shared" si="43"/>
        <v>3634.9000000000024</v>
      </c>
      <c r="K362">
        <f t="shared" si="44"/>
        <v>389.9</v>
      </c>
      <c r="M362">
        <v>0</v>
      </c>
      <c r="N362">
        <v>4.5999999999999996</v>
      </c>
      <c r="O362">
        <f t="shared" si="40"/>
        <v>-4.5999999999999996</v>
      </c>
      <c r="Q362">
        <v>336</v>
      </c>
      <c r="S362">
        <f t="shared" si="41"/>
        <v>0</v>
      </c>
      <c r="T362">
        <f t="shared" si="42"/>
        <v>0</v>
      </c>
      <c r="U362">
        <f t="shared" si="45"/>
        <v>0</v>
      </c>
      <c r="W362">
        <v>1979.3</v>
      </c>
      <c r="X362">
        <f t="shared" si="46"/>
        <v>29059.200000000001</v>
      </c>
    </row>
    <row r="363" spans="1:25" x14ac:dyDescent="0.25">
      <c r="A363">
        <v>6360</v>
      </c>
      <c r="B363">
        <v>26330</v>
      </c>
      <c r="C363" s="3">
        <v>43308</v>
      </c>
      <c r="G363">
        <v>25.4</v>
      </c>
      <c r="H363">
        <v>22.3</v>
      </c>
      <c r="I363">
        <v>34.700000000000003</v>
      </c>
      <c r="J363">
        <f t="shared" si="43"/>
        <v>3660.3000000000025</v>
      </c>
      <c r="K363">
        <f t="shared" si="44"/>
        <v>415.29999999999995</v>
      </c>
      <c r="M363">
        <v>24</v>
      </c>
      <c r="N363">
        <v>6.8</v>
      </c>
      <c r="O363">
        <f t="shared" si="40"/>
        <v>17.2</v>
      </c>
      <c r="Q363">
        <v>337</v>
      </c>
      <c r="S363">
        <f t="shared" si="41"/>
        <v>0</v>
      </c>
      <c r="T363">
        <f t="shared" si="42"/>
        <v>24</v>
      </c>
      <c r="U363">
        <f t="shared" si="45"/>
        <v>24</v>
      </c>
      <c r="W363">
        <v>2229.1</v>
      </c>
      <c r="X363">
        <f t="shared" si="46"/>
        <v>31288.3</v>
      </c>
    </row>
    <row r="364" spans="1:25" x14ac:dyDescent="0.25">
      <c r="A364">
        <v>6360</v>
      </c>
      <c r="B364">
        <v>26330</v>
      </c>
      <c r="C364" s="3">
        <v>43309</v>
      </c>
      <c r="G364">
        <v>19.600000000000001</v>
      </c>
      <c r="H364">
        <v>18.899999999999999</v>
      </c>
      <c r="I364">
        <v>21.3</v>
      </c>
      <c r="J364">
        <f t="shared" si="43"/>
        <v>3679.9000000000024</v>
      </c>
      <c r="K364">
        <f t="shared" si="44"/>
        <v>434.9</v>
      </c>
      <c r="M364">
        <v>0</v>
      </c>
      <c r="N364">
        <v>4</v>
      </c>
      <c r="O364">
        <f t="shared" si="40"/>
        <v>-4</v>
      </c>
      <c r="Q364">
        <v>338</v>
      </c>
      <c r="S364">
        <f t="shared" si="41"/>
        <v>0</v>
      </c>
      <c r="T364">
        <f t="shared" si="42"/>
        <v>0</v>
      </c>
      <c r="U364">
        <f t="shared" si="45"/>
        <v>24</v>
      </c>
      <c r="W364">
        <v>1551.1</v>
      </c>
      <c r="X364">
        <f t="shared" si="46"/>
        <v>32839.4</v>
      </c>
    </row>
    <row r="365" spans="1:25" x14ac:dyDescent="0.25">
      <c r="A365">
        <v>6360</v>
      </c>
      <c r="B365">
        <v>26330</v>
      </c>
      <c r="C365" s="3">
        <v>43310</v>
      </c>
      <c r="G365">
        <v>19.899999999999999</v>
      </c>
      <c r="H365">
        <v>16</v>
      </c>
      <c r="I365">
        <v>22.3</v>
      </c>
      <c r="J365">
        <f t="shared" si="43"/>
        <v>3699.8000000000025</v>
      </c>
      <c r="K365">
        <f t="shared" si="44"/>
        <v>454.79999999999995</v>
      </c>
      <c r="M365">
        <v>0.2</v>
      </c>
      <c r="N365">
        <v>2.2999999999999998</v>
      </c>
      <c r="O365">
        <f t="shared" si="40"/>
        <v>-2.0999999999999996</v>
      </c>
      <c r="Q365">
        <v>339</v>
      </c>
      <c r="S365">
        <f t="shared" si="41"/>
        <v>0</v>
      </c>
      <c r="T365">
        <f t="shared" si="42"/>
        <v>0.2</v>
      </c>
      <c r="U365">
        <f t="shared" si="45"/>
        <v>24.2</v>
      </c>
      <c r="W365">
        <v>493.3</v>
      </c>
      <c r="X365">
        <f t="shared" si="46"/>
        <v>33332.700000000004</v>
      </c>
    </row>
    <row r="366" spans="1:25" x14ac:dyDescent="0.25">
      <c r="A366">
        <v>6360</v>
      </c>
      <c r="B366">
        <v>26330</v>
      </c>
      <c r="C366" s="3">
        <v>43311</v>
      </c>
      <c r="G366">
        <v>22.2</v>
      </c>
      <c r="H366">
        <v>20.399999999999999</v>
      </c>
      <c r="I366">
        <v>25.7</v>
      </c>
      <c r="J366">
        <f t="shared" si="43"/>
        <v>3722.0000000000023</v>
      </c>
      <c r="K366">
        <f t="shared" si="44"/>
        <v>476.99999999999994</v>
      </c>
      <c r="M366">
        <v>3.9</v>
      </c>
      <c r="N366">
        <v>3.5</v>
      </c>
      <c r="O366">
        <f t="shared" si="40"/>
        <v>0.39999999999999991</v>
      </c>
      <c r="Q366">
        <v>340</v>
      </c>
      <c r="S366">
        <f t="shared" si="41"/>
        <v>0</v>
      </c>
      <c r="T366">
        <f t="shared" si="42"/>
        <v>3.9</v>
      </c>
      <c r="U366">
        <f t="shared" si="45"/>
        <v>28.099999999999998</v>
      </c>
      <c r="W366">
        <v>1228.4000000000001</v>
      </c>
      <c r="X366">
        <f t="shared" si="46"/>
        <v>34561.100000000006</v>
      </c>
    </row>
    <row r="367" spans="1:25" x14ac:dyDescent="0.25">
      <c r="A367">
        <v>6360</v>
      </c>
      <c r="B367">
        <v>26330</v>
      </c>
      <c r="C367" s="3">
        <v>43312</v>
      </c>
      <c r="G367">
        <v>20.3</v>
      </c>
      <c r="H367">
        <v>17.600000000000001</v>
      </c>
      <c r="I367">
        <v>23</v>
      </c>
      <c r="J367">
        <f t="shared" si="43"/>
        <v>3742.3000000000025</v>
      </c>
      <c r="K367">
        <f t="shared" si="44"/>
        <v>497.29999999999995</v>
      </c>
      <c r="M367">
        <v>0</v>
      </c>
      <c r="N367">
        <v>4.7</v>
      </c>
      <c r="O367">
        <f t="shared" si="40"/>
        <v>-4.7</v>
      </c>
      <c r="Q367">
        <v>341</v>
      </c>
      <c r="S367">
        <f t="shared" si="41"/>
        <v>0</v>
      </c>
      <c r="T367">
        <f t="shared" si="42"/>
        <v>0</v>
      </c>
      <c r="U367">
        <f t="shared" si="45"/>
        <v>28.099999999999998</v>
      </c>
      <c r="W367">
        <v>1959</v>
      </c>
      <c r="X367">
        <f t="shared" si="46"/>
        <v>36520.100000000006</v>
      </c>
    </row>
  </sheetData>
  <mergeCells count="10">
    <mergeCell ref="G2:L2"/>
    <mergeCell ref="M2:V2"/>
    <mergeCell ref="W2:Z2"/>
    <mergeCell ref="F321:F343"/>
    <mergeCell ref="F303:F320"/>
    <mergeCell ref="F282:F302"/>
    <mergeCell ref="F261:F281"/>
    <mergeCell ref="F219:F260"/>
    <mergeCell ref="F122:F218"/>
    <mergeCell ref="F27:F121"/>
  </mergeCells>
  <conditionalFormatting sqref="U4:U1048576">
    <cfRule type="cellIs" dxfId="30" priority="31" operator="lessThanOrEqual">
      <formula>51.2</formula>
    </cfRule>
    <cfRule type="cellIs" dxfId="29" priority="30" operator="equal">
      <formula>0</formula>
    </cfRule>
  </conditionalFormatting>
  <conditionalFormatting sqref="T4:T367">
    <cfRule type="cellIs" dxfId="28" priority="29" operator="lessThan">
      <formula>0</formula>
    </cfRule>
  </conditionalFormatting>
  <conditionalFormatting sqref="O4:O367">
    <cfRule type="cellIs" dxfId="27" priority="28" operator="lessThan">
      <formula>0</formula>
    </cfRule>
  </conditionalFormatting>
  <conditionalFormatting sqref="Y27:Y360">
    <cfRule type="cellIs" dxfId="26" priority="24" operator="lessThan">
      <formula>9</formula>
    </cfRule>
  </conditionalFormatting>
  <conditionalFormatting sqref="G4:I367">
    <cfRule type="cellIs" dxfId="25" priority="25" operator="greaterThanOrEqual">
      <formula>25</formula>
    </cfRule>
    <cfRule type="cellIs" dxfId="24" priority="26" operator="lessThan">
      <formula>0</formula>
    </cfRule>
    <cfRule type="cellIs" dxfId="23" priority="27" operator="between">
      <formula>5</formula>
      <formula>0</formula>
    </cfRule>
  </conditionalFormatting>
  <conditionalFormatting sqref="W4:W367">
    <cfRule type="cellIs" dxfId="22" priority="23" operator="lessThan">
      <formula>900</formula>
    </cfRule>
  </conditionalFormatting>
  <conditionalFormatting sqref="L28 L36 L40 L38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28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23 L131 L135 L133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23">
    <cfRule type="cellIs" dxfId="15" priority="16" operator="lessThan">
      <formula>9</formula>
    </cfRule>
  </conditionalFormatting>
  <conditionalFormatting sqref="L220 L228 L232 L230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20">
    <cfRule type="cellIs" dxfId="12" priority="13" operator="lessThan">
      <formula>9</formula>
    </cfRule>
  </conditionalFormatting>
  <conditionalFormatting sqref="L262 L274 L272 L270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Z262">
    <cfRule type="cellIs" dxfId="9" priority="10" operator="lessThan">
      <formula>9</formula>
    </cfRule>
  </conditionalFormatting>
  <conditionalFormatting sqref="L283 L291 L293 L295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Z283">
    <cfRule type="cellIs" dxfId="6" priority="7" operator="lessThan">
      <formula>9</formula>
    </cfRule>
  </conditionalFormatting>
  <conditionalFormatting sqref="L304 L314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304">
    <cfRule type="cellIs" dxfId="3" priority="4" operator="lessThan">
      <formula>9</formula>
    </cfRule>
  </conditionalFormatting>
  <conditionalFormatting sqref="L322 L332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22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R2N18PRE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2019-11-13T15:12:25Z</dcterms:created>
  <dcterms:modified xsi:type="dcterms:W3CDTF">2019-11-27T15:47:33Z</dcterms:modified>
</cp:coreProperties>
</file>