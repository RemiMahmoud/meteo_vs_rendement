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EUR18CHL" sheetId="1" r:id="rId1"/>
  </sheets>
  <calcPr calcId="162913"/>
</workbook>
</file>

<file path=xl/calcChain.xml><?xml version="1.0" encoding="utf-8"?>
<calcChain xmlns="http://schemas.openxmlformats.org/spreadsheetml/2006/main">
  <c r="U322" i="1" l="1"/>
  <c r="U324" i="1"/>
  <c r="U326" i="1"/>
  <c r="U310" i="1"/>
  <c r="U289" i="1"/>
  <c r="U268" i="1"/>
  <c r="U230" i="1"/>
  <c r="U111" i="1"/>
  <c r="U36" i="1"/>
  <c r="K322" i="1" l="1"/>
  <c r="K320" i="1"/>
  <c r="K318" i="1"/>
  <c r="K306" i="1"/>
  <c r="K304" i="1"/>
  <c r="K302" i="1"/>
  <c r="K285" i="1"/>
  <c r="K283" i="1"/>
  <c r="K281" i="1"/>
  <c r="K264" i="1"/>
  <c r="K262" i="1"/>
  <c r="K260" i="1"/>
  <c r="K226" i="1"/>
  <c r="K224" i="1"/>
  <c r="K222" i="1"/>
  <c r="K107" i="1"/>
  <c r="K105" i="1"/>
  <c r="K103" i="1"/>
  <c r="K32" i="1"/>
  <c r="K30" i="1"/>
  <c r="K28" i="1"/>
  <c r="Y318" i="1" l="1"/>
  <c r="Y302" i="1"/>
  <c r="Y281" i="1"/>
  <c r="Y260" i="1"/>
  <c r="Y222" i="1"/>
  <c r="Y103" i="1"/>
  <c r="Y28" i="1"/>
  <c r="Q300" i="1"/>
  <c r="Q301" i="1"/>
  <c r="Q302" i="1"/>
  <c r="Q303" i="1"/>
  <c r="Q304" i="1"/>
  <c r="Q305" i="1"/>
  <c r="R305" i="1" s="1"/>
  <c r="S305" i="1" s="1"/>
  <c r="Q306" i="1"/>
  <c r="Q307" i="1"/>
  <c r="Q308" i="1"/>
  <c r="Q309" i="1"/>
  <c r="Q310" i="1"/>
  <c r="Q311" i="1"/>
  <c r="Q312" i="1"/>
  <c r="Q313" i="1"/>
  <c r="R313" i="1" s="1"/>
  <c r="S313" i="1" s="1"/>
  <c r="Q314" i="1"/>
  <c r="Q315" i="1"/>
  <c r="Q316" i="1"/>
  <c r="Q317" i="1"/>
  <c r="Q318" i="1"/>
  <c r="Q319" i="1"/>
  <c r="Q320" i="1"/>
  <c r="Q321" i="1"/>
  <c r="R321" i="1" s="1"/>
  <c r="S321" i="1" s="1"/>
  <c r="Q322" i="1"/>
  <c r="Q323" i="1"/>
  <c r="Q324" i="1"/>
  <c r="Q325" i="1"/>
  <c r="Q326" i="1"/>
  <c r="Q327" i="1"/>
  <c r="Q328" i="1"/>
  <c r="Q329" i="1"/>
  <c r="R329" i="1" s="1"/>
  <c r="S329" i="1" s="1"/>
  <c r="Q330" i="1"/>
  <c r="Q331" i="1"/>
  <c r="Q332" i="1"/>
  <c r="Q333" i="1"/>
  <c r="Q334" i="1"/>
  <c r="Q335" i="1"/>
  <c r="Q336" i="1"/>
  <c r="Q337" i="1"/>
  <c r="R337" i="1" s="1"/>
  <c r="S337" i="1" s="1"/>
  <c r="Q338" i="1"/>
  <c r="Q339" i="1"/>
  <c r="Q340" i="1"/>
  <c r="Q341" i="1"/>
  <c r="Q342" i="1"/>
  <c r="Q343" i="1"/>
  <c r="Q344" i="1"/>
  <c r="Q345" i="1"/>
  <c r="R345" i="1" s="1"/>
  <c r="S345" i="1" s="1"/>
  <c r="Q346" i="1"/>
  <c r="Q299" i="1"/>
  <c r="Q220" i="1"/>
  <c r="Q221" i="1"/>
  <c r="Q222" i="1"/>
  <c r="Q223" i="1"/>
  <c r="Q224" i="1"/>
  <c r="R224" i="1" s="1"/>
  <c r="S224" i="1" s="1"/>
  <c r="Q225" i="1"/>
  <c r="R225" i="1" s="1"/>
  <c r="S225" i="1" s="1"/>
  <c r="Q226" i="1"/>
  <c r="Q227" i="1"/>
  <c r="R227" i="1" s="1"/>
  <c r="S227" i="1" s="1"/>
  <c r="Q228" i="1"/>
  <c r="Q229" i="1"/>
  <c r="R229" i="1" s="1"/>
  <c r="S229" i="1" s="1"/>
  <c r="Q230" i="1"/>
  <c r="R230" i="1" s="1"/>
  <c r="S230" i="1" s="1"/>
  <c r="Q231" i="1"/>
  <c r="Q232" i="1"/>
  <c r="R232" i="1" s="1"/>
  <c r="S232" i="1" s="1"/>
  <c r="Q233" i="1"/>
  <c r="R233" i="1" s="1"/>
  <c r="S233" i="1" s="1"/>
  <c r="Q234" i="1"/>
  <c r="Q235" i="1"/>
  <c r="R235" i="1" s="1"/>
  <c r="S235" i="1" s="1"/>
  <c r="Q236" i="1"/>
  <c r="Q237" i="1"/>
  <c r="R237" i="1" s="1"/>
  <c r="S237" i="1" s="1"/>
  <c r="Q238" i="1"/>
  <c r="R238" i="1" s="1"/>
  <c r="S238" i="1" s="1"/>
  <c r="Q239" i="1"/>
  <c r="Q240" i="1"/>
  <c r="Q241" i="1"/>
  <c r="Q242" i="1"/>
  <c r="Q243" i="1"/>
  <c r="R243" i="1" s="1"/>
  <c r="S243" i="1" s="1"/>
  <c r="Q244" i="1"/>
  <c r="Q245" i="1"/>
  <c r="R245" i="1" s="1"/>
  <c r="S245" i="1" s="1"/>
  <c r="Q246" i="1"/>
  <c r="R246" i="1" s="1"/>
  <c r="S246" i="1" s="1"/>
  <c r="Q247" i="1"/>
  <c r="Q248" i="1"/>
  <c r="R248" i="1" s="1"/>
  <c r="S248" i="1" s="1"/>
  <c r="Q249" i="1"/>
  <c r="R249" i="1" s="1"/>
  <c r="S249" i="1" s="1"/>
  <c r="Q250" i="1"/>
  <c r="Q251" i="1"/>
  <c r="R251" i="1" s="1"/>
  <c r="S251" i="1" s="1"/>
  <c r="Q252" i="1"/>
  <c r="Q253" i="1"/>
  <c r="R253" i="1" s="1"/>
  <c r="S253" i="1" s="1"/>
  <c r="Q254" i="1"/>
  <c r="R254" i="1" s="1"/>
  <c r="S254" i="1" s="1"/>
  <c r="Q255" i="1"/>
  <c r="Q256" i="1"/>
  <c r="R256" i="1" s="1"/>
  <c r="S256" i="1" s="1"/>
  <c r="Q219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30" i="1"/>
  <c r="W337" i="1"/>
  <c r="W315" i="1"/>
  <c r="J337" i="1"/>
  <c r="J315" i="1"/>
  <c r="W299" i="1"/>
  <c r="J299" i="1"/>
  <c r="J278" i="1"/>
  <c r="W278" i="1"/>
  <c r="W257" i="1"/>
  <c r="J257" i="1"/>
  <c r="W219" i="1"/>
  <c r="J219" i="1"/>
  <c r="J100" i="1"/>
  <c r="W100" i="1"/>
  <c r="W25" i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I25" i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Q1" i="1"/>
  <c r="S6" i="1"/>
  <c r="S125" i="1"/>
  <c r="S134" i="1"/>
  <c r="S214" i="1"/>
  <c r="S221" i="1"/>
  <c r="S347" i="1"/>
  <c r="S349" i="1"/>
  <c r="R5" i="1"/>
  <c r="S5" i="1" s="1"/>
  <c r="R6" i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T25" i="1" s="1"/>
  <c r="R26" i="1"/>
  <c r="S26" i="1" s="1"/>
  <c r="R27" i="1"/>
  <c r="S27" i="1" s="1"/>
  <c r="R28" i="1"/>
  <c r="S28" i="1" s="1"/>
  <c r="R29" i="1"/>
  <c r="S2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R222" i="1"/>
  <c r="S222" i="1" s="1"/>
  <c r="R223" i="1"/>
  <c r="S223" i="1" s="1"/>
  <c r="R226" i="1"/>
  <c r="S226" i="1" s="1"/>
  <c r="R228" i="1"/>
  <c r="S228" i="1" s="1"/>
  <c r="R231" i="1"/>
  <c r="S231" i="1" s="1"/>
  <c r="R234" i="1"/>
  <c r="S234" i="1" s="1"/>
  <c r="R236" i="1"/>
  <c r="S236" i="1" s="1"/>
  <c r="R239" i="1"/>
  <c r="S239" i="1" s="1"/>
  <c r="R240" i="1"/>
  <c r="S240" i="1" s="1"/>
  <c r="R241" i="1"/>
  <c r="S241" i="1" s="1"/>
  <c r="R242" i="1"/>
  <c r="S242" i="1" s="1"/>
  <c r="R244" i="1"/>
  <c r="S244" i="1" s="1"/>
  <c r="R247" i="1"/>
  <c r="S247" i="1" s="1"/>
  <c r="R250" i="1"/>
  <c r="S250" i="1" s="1"/>
  <c r="R252" i="1"/>
  <c r="S252" i="1" s="1"/>
  <c r="R255" i="1"/>
  <c r="S255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6" i="1"/>
  <c r="S346" i="1" s="1"/>
  <c r="R347" i="1"/>
  <c r="R348" i="1"/>
  <c r="S348" i="1" s="1"/>
  <c r="R349" i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4" i="1"/>
  <c r="S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4" i="1"/>
  <c r="T26" i="1" l="1"/>
  <c r="T27" i="1" s="1"/>
  <c r="T28" i="1" s="1"/>
  <c r="T29" i="1" s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O10" i="1"/>
  <c r="O11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R31" i="1"/>
  <c r="S31" i="1" s="1"/>
  <c r="R30" i="1"/>
  <c r="S30" i="1" s="1"/>
  <c r="R32" i="1"/>
  <c r="S32" i="1" s="1"/>
  <c r="J101" i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16" i="1" s="1"/>
  <c r="J217" i="1" s="1"/>
  <c r="J218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W101" i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T30" i="1" l="1"/>
  <c r="R33" i="1"/>
  <c r="S33" i="1" s="1"/>
  <c r="T31" i="1" l="1"/>
  <c r="R34" i="1"/>
  <c r="S34" i="1" s="1"/>
  <c r="T32" i="1" l="1"/>
  <c r="R35" i="1"/>
  <c r="S35" i="1" s="1"/>
  <c r="T33" i="1" l="1"/>
  <c r="R36" i="1"/>
  <c r="S36" i="1" s="1"/>
  <c r="T34" i="1" l="1"/>
  <c r="R37" i="1"/>
  <c r="S37" i="1" s="1"/>
  <c r="T35" i="1" l="1"/>
  <c r="R38" i="1"/>
  <c r="S38" i="1" s="1"/>
  <c r="T36" i="1" l="1"/>
  <c r="T37" i="1" s="1"/>
  <c r="T38" i="1" s="1"/>
  <c r="R39" i="1"/>
  <c r="S39" i="1" s="1"/>
  <c r="T39" i="1" l="1"/>
  <c r="R40" i="1"/>
  <c r="S40" i="1" s="1"/>
  <c r="T40" i="1" l="1"/>
  <c r="R41" i="1"/>
  <c r="S41" i="1" s="1"/>
  <c r="T41" i="1" l="1"/>
  <c r="R42" i="1"/>
  <c r="S42" i="1" s="1"/>
  <c r="T42" i="1" l="1"/>
  <c r="R43" i="1"/>
  <c r="S43" i="1" s="1"/>
  <c r="T43" i="1" l="1"/>
  <c r="R44" i="1"/>
  <c r="S44" i="1" s="1"/>
  <c r="T44" i="1" l="1"/>
  <c r="T45" i="1" s="1"/>
  <c r="R45" i="1"/>
  <c r="S45" i="1" s="1"/>
  <c r="T46" i="1" l="1"/>
  <c r="R46" i="1"/>
  <c r="S46" i="1" s="1"/>
  <c r="R47" i="1" l="1"/>
  <c r="S47" i="1" s="1"/>
  <c r="T47" i="1" s="1"/>
  <c r="T48" i="1" l="1"/>
  <c r="R48" i="1"/>
  <c r="S48" i="1" s="1"/>
  <c r="T49" i="1" l="1"/>
  <c r="R49" i="1"/>
  <c r="S49" i="1" s="1"/>
  <c r="T50" i="1" l="1"/>
  <c r="R50" i="1"/>
  <c r="S50" i="1" s="1"/>
  <c r="R51" i="1" l="1"/>
  <c r="S51" i="1" s="1"/>
  <c r="T51" i="1" s="1"/>
  <c r="T52" i="1" l="1"/>
  <c r="R52" i="1"/>
  <c r="S52" i="1" s="1"/>
  <c r="T53" i="1" l="1"/>
  <c r="R53" i="1"/>
  <c r="S53" i="1" s="1"/>
  <c r="R54" i="1" l="1"/>
  <c r="S54" i="1" s="1"/>
  <c r="T54" i="1" s="1"/>
  <c r="R55" i="1" l="1"/>
  <c r="S55" i="1" s="1"/>
  <c r="T55" i="1" s="1"/>
  <c r="R56" i="1" l="1"/>
  <c r="S56" i="1" s="1"/>
  <c r="T56" i="1" s="1"/>
  <c r="R57" i="1" l="1"/>
  <c r="S57" i="1" s="1"/>
  <c r="T57" i="1" s="1"/>
  <c r="R58" i="1" l="1"/>
  <c r="S58" i="1" s="1"/>
  <c r="T58" i="1" s="1"/>
  <c r="T59" i="1" l="1"/>
  <c r="R59" i="1"/>
  <c r="S59" i="1" s="1"/>
  <c r="R60" i="1" l="1"/>
  <c r="S60" i="1" s="1"/>
  <c r="T60" i="1" s="1"/>
  <c r="T61" i="1" l="1"/>
  <c r="R61" i="1"/>
  <c r="S61" i="1" s="1"/>
  <c r="T62" i="1" l="1"/>
  <c r="R62" i="1"/>
  <c r="S62" i="1" s="1"/>
  <c r="R63" i="1" l="1"/>
  <c r="S63" i="1" s="1"/>
  <c r="T63" i="1" s="1"/>
  <c r="R64" i="1" l="1"/>
  <c r="S64" i="1" s="1"/>
  <c r="T64" i="1" s="1"/>
  <c r="R65" i="1" l="1"/>
  <c r="S65" i="1" s="1"/>
  <c r="T65" i="1" s="1"/>
  <c r="R66" i="1" l="1"/>
  <c r="S66" i="1" s="1"/>
  <c r="T66" i="1" s="1"/>
  <c r="R67" i="1" l="1"/>
  <c r="S67" i="1" s="1"/>
  <c r="T67" i="1" s="1"/>
  <c r="R68" i="1" l="1"/>
  <c r="S68" i="1" s="1"/>
  <c r="T68" i="1" s="1"/>
  <c r="R69" i="1" l="1"/>
  <c r="S69" i="1" s="1"/>
  <c r="T69" i="1" s="1"/>
  <c r="R70" i="1" l="1"/>
  <c r="S70" i="1" s="1"/>
  <c r="T70" i="1" s="1"/>
  <c r="T71" i="1" l="1"/>
  <c r="R71" i="1"/>
  <c r="S71" i="1" s="1"/>
  <c r="R72" i="1" l="1"/>
  <c r="S72" i="1" s="1"/>
  <c r="T72" i="1" s="1"/>
  <c r="T73" i="1" l="1"/>
  <c r="R73" i="1"/>
  <c r="S73" i="1" s="1"/>
  <c r="R74" i="1" l="1"/>
  <c r="S74" i="1" s="1"/>
  <c r="T74" i="1" s="1"/>
  <c r="R75" i="1" l="1"/>
  <c r="S75" i="1" s="1"/>
  <c r="T75" i="1" s="1"/>
  <c r="R76" i="1" l="1"/>
  <c r="S76" i="1" s="1"/>
  <c r="T76" i="1" s="1"/>
  <c r="R77" i="1" l="1"/>
  <c r="S77" i="1" s="1"/>
  <c r="T77" i="1" s="1"/>
  <c r="R78" i="1" l="1"/>
  <c r="S78" i="1" s="1"/>
  <c r="T78" i="1" s="1"/>
  <c r="R79" i="1" l="1"/>
  <c r="S79" i="1" s="1"/>
  <c r="T79" i="1" s="1"/>
  <c r="R80" i="1" l="1"/>
  <c r="S80" i="1" s="1"/>
  <c r="T80" i="1" s="1"/>
  <c r="R81" i="1" l="1"/>
  <c r="S81" i="1" s="1"/>
  <c r="T81" i="1" s="1"/>
  <c r="R82" i="1" l="1"/>
  <c r="S82" i="1" s="1"/>
  <c r="T82" i="1" s="1"/>
  <c r="R83" i="1" l="1"/>
  <c r="S83" i="1" s="1"/>
  <c r="T83" i="1" s="1"/>
  <c r="R84" i="1" l="1"/>
  <c r="S84" i="1" s="1"/>
  <c r="T84" i="1" s="1"/>
  <c r="R85" i="1" l="1"/>
  <c r="S85" i="1" s="1"/>
  <c r="T85" i="1" s="1"/>
  <c r="R86" i="1" l="1"/>
  <c r="S86" i="1" s="1"/>
  <c r="T86" i="1" s="1"/>
  <c r="R87" i="1" l="1"/>
  <c r="S87" i="1" s="1"/>
  <c r="T87" i="1" s="1"/>
  <c r="R88" i="1" l="1"/>
  <c r="S88" i="1" s="1"/>
  <c r="T88" i="1" s="1"/>
  <c r="R89" i="1" l="1"/>
  <c r="S89" i="1" s="1"/>
  <c r="T89" i="1" s="1"/>
  <c r="R90" i="1" l="1"/>
  <c r="S90" i="1" s="1"/>
  <c r="T90" i="1" s="1"/>
  <c r="R91" i="1" l="1"/>
  <c r="S91" i="1" s="1"/>
  <c r="T91" i="1" s="1"/>
  <c r="R92" i="1" l="1"/>
  <c r="S92" i="1" s="1"/>
  <c r="T92" i="1" s="1"/>
  <c r="R93" i="1" l="1"/>
  <c r="S93" i="1" s="1"/>
  <c r="T93" i="1" s="1"/>
  <c r="R94" i="1" l="1"/>
  <c r="S94" i="1" s="1"/>
  <c r="T94" i="1" s="1"/>
  <c r="R95" i="1" l="1"/>
  <c r="S95" i="1" s="1"/>
  <c r="T95" i="1" s="1"/>
  <c r="R96" i="1" l="1"/>
  <c r="S96" i="1" s="1"/>
  <c r="T96" i="1" s="1"/>
  <c r="R97" i="1" l="1"/>
  <c r="S97" i="1" s="1"/>
  <c r="T97" i="1" s="1"/>
  <c r="R98" i="1" l="1"/>
  <c r="S98" i="1" s="1"/>
  <c r="T98" i="1" s="1"/>
  <c r="T99" i="1" s="1"/>
  <c r="R99" i="1"/>
  <c r="S99" i="1" s="1"/>
  <c r="T100" i="1" l="1"/>
  <c r="U32" i="1"/>
  <c r="U34" i="1"/>
  <c r="U30" i="1"/>
  <c r="T101" i="1" l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U109" i="1" l="1"/>
  <c r="U107" i="1"/>
  <c r="U105" i="1"/>
  <c r="T220" i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U224" i="1" l="1"/>
  <c r="U226" i="1"/>
  <c r="U228" i="1"/>
  <c r="T258" i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U264" i="1" l="1"/>
  <c r="U266" i="1"/>
  <c r="U262" i="1"/>
  <c r="T279" i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U287" i="1" l="1"/>
  <c r="U285" i="1"/>
  <c r="U283" i="1"/>
  <c r="T300" i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U306" i="1" l="1"/>
  <c r="U308" i="1"/>
  <c r="U304" i="1"/>
  <c r="T316" i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40" i="1" s="1"/>
  <c r="T341" i="1" s="1"/>
</calcChain>
</file>

<file path=xl/sharedStrings.xml><?xml version="1.0" encoding="utf-8"?>
<sst xmlns="http://schemas.openxmlformats.org/spreadsheetml/2006/main" count="151" uniqueCount="59">
  <si>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</si>
  <si>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</si>
  <si>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</si>
  <si>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</si>
  <si>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</si>
  <si>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</si>
  <si>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</si>
  <si>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</si>
  <si>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</si>
  <si>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</si>
  <si>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Période</t>
  </si>
  <si>
    <t>GDD_C</t>
  </si>
  <si>
    <t>GDD/période</t>
  </si>
  <si>
    <t>IPC</t>
  </si>
  <si>
    <t>TEMPERATURE</t>
  </si>
  <si>
    <t>P-ETP</t>
  </si>
  <si>
    <t>RU avant semis</t>
  </si>
  <si>
    <t>i</t>
  </si>
  <si>
    <t>kc</t>
  </si>
  <si>
    <t>ETM</t>
  </si>
  <si>
    <t>P-ETM</t>
  </si>
  <si>
    <t>WSCi</t>
  </si>
  <si>
    <t>WATER</t>
  </si>
  <si>
    <t>RU</t>
  </si>
  <si>
    <t>1/3</t>
  </si>
  <si>
    <t>SSI/période</t>
  </si>
  <si>
    <t>Photopériode</t>
  </si>
  <si>
    <t>SOLAR</t>
  </si>
  <si>
    <t>Semis</t>
  </si>
  <si>
    <t>FLO</t>
  </si>
  <si>
    <t>Fin FLO</t>
  </si>
  <si>
    <t>Récolte</t>
  </si>
  <si>
    <t>Fin CW</t>
  </si>
  <si>
    <t>CW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</si>
  <si>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</si>
  <si>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</si>
  <si>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</si>
  <si>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</si>
  <si>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</si>
  <si>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</si>
  <si>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</si>
  <si>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</si>
  <si>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</si>
  <si>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</si>
  <si>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</si>
  <si>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</si>
  <si>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</si>
  <si>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</si>
  <si>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</si>
  <si>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</si>
  <si>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S</t>
  </si>
  <si>
    <t>f</t>
  </si>
  <si>
    <t>FALL</t>
  </si>
  <si>
    <t>CLIMATIC WINTER</t>
  </si>
  <si>
    <t>BOLTING</t>
  </si>
  <si>
    <t>FLOWERING</t>
  </si>
  <si>
    <t>P300</t>
  </si>
  <si>
    <t>P600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</si>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</sst>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164" fontId="0" fillId="0" borderId="11" xfId="0" applyNumberFormat="1" applyBorder="1"/>
    <xf numFmtId="164" fontId="0" fillId="0" borderId="0" xfId="0" applyNumberFormat="1"/>
    <xf numFmtId="0" fontId="16" fillId="0" borderId="0" xfId="0" applyFont="1" applyAlignment="1">
      <alignment horizontal="center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6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7"/>
  <sheetViews>
    <sheetView tabSelected="1" zoomScale="70" zoomScaleNormal="70" workbookViewId="0">
      <pane xSplit="5" ySplit="3" topLeftCell="J292" activePane="bottomRight" state="frozen"/>
      <selection pane="topRight" activeCell="F1" sqref="F1"/>
      <selection pane="bottomLeft" activeCell="A4" sqref="A4"/>
      <selection pane="bottomRight" activeCell="X326" sqref="X326"/>
    </sheetView>
  </sheetViews>
  <sheetFormatPr baseColWidth="10" defaultRowHeight="15" x14ac:dyDescent="0.25"/>
  <sheetData>
    <row r="1" spans="1:25" s="2" customFormat="1" x14ac:dyDescent="0.25">
      <c r="N1" s="2" t="s">
        <v>23</v>
      </c>
      <c r="O1" s="2">
        <v>153.9</v>
      </c>
      <c r="P1" s="3" t="s">
        <v>24</v>
      </c>
      <c r="Q1" s="2">
        <f>O1/3</f>
        <v>51.300000000000004</v>
      </c>
    </row>
    <row r="2" spans="1:25" s="2" customFormat="1" x14ac:dyDescent="0.25">
      <c r="F2" s="27" t="s">
        <v>14</v>
      </c>
      <c r="G2" s="27"/>
      <c r="H2" s="27"/>
      <c r="I2" s="27"/>
      <c r="J2" s="27"/>
      <c r="K2" s="27"/>
      <c r="L2" s="27" t="s">
        <v>22</v>
      </c>
      <c r="M2" s="27"/>
      <c r="N2" s="27"/>
      <c r="O2" s="27"/>
      <c r="P2" s="27"/>
      <c r="Q2" s="27"/>
      <c r="R2" s="27"/>
      <c r="S2" s="27"/>
      <c r="T2" s="27"/>
      <c r="U2" s="27"/>
      <c r="V2" s="27" t="s">
        <v>27</v>
      </c>
      <c r="W2" s="27"/>
      <c r="X2" s="27"/>
    </row>
    <row r="3" spans="1:25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4</v>
      </c>
      <c r="G3" s="2" t="s">
        <v>7</v>
      </c>
      <c r="H3" s="2" t="s">
        <v>8</v>
      </c>
      <c r="I3" s="2" t="s">
        <v>11</v>
      </c>
      <c r="J3" s="2" t="s">
        <v>12</v>
      </c>
      <c r="K3" s="2" t="s">
        <v>13</v>
      </c>
      <c r="L3" s="2" t="s">
        <v>3</v>
      </c>
      <c r="M3" s="2" t="s">
        <v>6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13</v>
      </c>
      <c r="V3" s="2" t="s">
        <v>5</v>
      </c>
      <c r="W3" s="2" t="s">
        <v>25</v>
      </c>
      <c r="X3" s="2" t="s">
        <v>26</v>
      </c>
      <c r="Y3" s="2" t="s">
        <v>13</v>
      </c>
    </row>
    <row r="4" spans="1:25" x14ac:dyDescent="0.25">
      <c r="A4">
        <v>7400</v>
      </c>
      <c r="B4">
        <v>24250</v>
      </c>
      <c r="C4" s="1">
        <v>42949</v>
      </c>
      <c r="F4">
        <v>21.8</v>
      </c>
      <c r="G4">
        <v>16.100000000000001</v>
      </c>
      <c r="H4">
        <v>26.9</v>
      </c>
      <c r="L4">
        <v>0</v>
      </c>
      <c r="M4">
        <v>2.8</v>
      </c>
      <c r="N4">
        <f>L4-M4</f>
        <v>-2.8</v>
      </c>
      <c r="O4">
        <v>0</v>
      </c>
      <c r="R4">
        <f>Q4*M4</f>
        <v>0</v>
      </c>
      <c r="S4">
        <f>L4-R4</f>
        <v>0</v>
      </c>
      <c r="V4">
        <v>1224.5999999999999</v>
      </c>
    </row>
    <row r="5" spans="1:25" x14ac:dyDescent="0.25">
      <c r="A5">
        <v>7400</v>
      </c>
      <c r="B5">
        <v>24250</v>
      </c>
      <c r="C5" s="1">
        <v>42950</v>
      </c>
      <c r="F5">
        <v>21</v>
      </c>
      <c r="G5">
        <v>18.3</v>
      </c>
      <c r="H5">
        <v>24.1</v>
      </c>
      <c r="L5">
        <v>0</v>
      </c>
      <c r="M5">
        <v>2.7</v>
      </c>
      <c r="N5">
        <f t="shared" ref="N5:N68" si="0">L5-M5</f>
        <v>-2.7</v>
      </c>
      <c r="O5">
        <v>0</v>
      </c>
      <c r="R5">
        <f t="shared" ref="R5:R68" si="1">Q5*M5</f>
        <v>0</v>
      </c>
      <c r="S5">
        <f t="shared" ref="S5:S68" si="2">L5-R5</f>
        <v>0</v>
      </c>
      <c r="V5">
        <v>670.6</v>
      </c>
    </row>
    <row r="6" spans="1:25" x14ac:dyDescent="0.25">
      <c r="A6">
        <v>7400</v>
      </c>
      <c r="B6">
        <v>24250</v>
      </c>
      <c r="C6" s="1">
        <v>42951</v>
      </c>
      <c r="F6">
        <v>20.8</v>
      </c>
      <c r="G6">
        <v>17.600000000000001</v>
      </c>
      <c r="H6">
        <v>23.7</v>
      </c>
      <c r="L6">
        <v>0</v>
      </c>
      <c r="M6">
        <v>3.6</v>
      </c>
      <c r="N6">
        <f t="shared" si="0"/>
        <v>-3.6</v>
      </c>
      <c r="O6">
        <v>0</v>
      </c>
      <c r="R6">
        <f t="shared" si="1"/>
        <v>0</v>
      </c>
      <c r="S6">
        <f t="shared" si="2"/>
        <v>0</v>
      </c>
      <c r="V6">
        <v>1180.8</v>
      </c>
    </row>
    <row r="7" spans="1:25" x14ac:dyDescent="0.25">
      <c r="A7">
        <v>7400</v>
      </c>
      <c r="B7">
        <v>24250</v>
      </c>
      <c r="C7" s="1">
        <v>42952</v>
      </c>
      <c r="F7">
        <v>19.7</v>
      </c>
      <c r="G7">
        <v>19.3</v>
      </c>
      <c r="H7">
        <v>21.9</v>
      </c>
      <c r="L7">
        <v>0</v>
      </c>
      <c r="M7">
        <v>3.6</v>
      </c>
      <c r="N7">
        <f t="shared" si="0"/>
        <v>-3.6</v>
      </c>
      <c r="O7">
        <v>0</v>
      </c>
      <c r="R7">
        <f t="shared" si="1"/>
        <v>0</v>
      </c>
      <c r="S7">
        <f t="shared" si="2"/>
        <v>0</v>
      </c>
      <c r="V7">
        <v>1521.3</v>
      </c>
    </row>
    <row r="8" spans="1:25" x14ac:dyDescent="0.25">
      <c r="A8">
        <v>7400</v>
      </c>
      <c r="B8">
        <v>24250</v>
      </c>
      <c r="C8" s="1">
        <v>42953</v>
      </c>
      <c r="F8">
        <v>16.8</v>
      </c>
      <c r="G8">
        <v>12.3</v>
      </c>
      <c r="H8">
        <v>22</v>
      </c>
      <c r="L8">
        <v>0</v>
      </c>
      <c r="M8">
        <v>3.5</v>
      </c>
      <c r="N8">
        <f t="shared" si="0"/>
        <v>-3.5</v>
      </c>
      <c r="O8">
        <v>0</v>
      </c>
      <c r="R8">
        <f t="shared" si="1"/>
        <v>0</v>
      </c>
      <c r="S8">
        <f t="shared" si="2"/>
        <v>0</v>
      </c>
      <c r="V8">
        <v>1608.3</v>
      </c>
    </row>
    <row r="9" spans="1:25" x14ac:dyDescent="0.25">
      <c r="A9">
        <v>7400</v>
      </c>
      <c r="B9">
        <v>24250</v>
      </c>
      <c r="C9" s="1">
        <v>42954</v>
      </c>
      <c r="F9">
        <v>18.8</v>
      </c>
      <c r="G9">
        <v>12</v>
      </c>
      <c r="H9">
        <v>24.3</v>
      </c>
      <c r="L9">
        <v>0.9</v>
      </c>
      <c r="M9">
        <v>5.2</v>
      </c>
      <c r="N9">
        <f t="shared" si="0"/>
        <v>-4.3</v>
      </c>
      <c r="O9">
        <v>0</v>
      </c>
      <c r="R9">
        <f t="shared" si="1"/>
        <v>0</v>
      </c>
      <c r="S9">
        <f t="shared" si="2"/>
        <v>0.9</v>
      </c>
      <c r="V9">
        <v>2375.8000000000002</v>
      </c>
    </row>
    <row r="10" spans="1:25" x14ac:dyDescent="0.25">
      <c r="A10">
        <v>7400</v>
      </c>
      <c r="B10">
        <v>24250</v>
      </c>
      <c r="C10" s="1">
        <v>42955</v>
      </c>
      <c r="F10">
        <v>16</v>
      </c>
      <c r="G10">
        <v>15.2</v>
      </c>
      <c r="H10">
        <v>18.7</v>
      </c>
      <c r="L10">
        <v>4.3</v>
      </c>
      <c r="M10">
        <v>1.9</v>
      </c>
      <c r="N10">
        <f t="shared" si="0"/>
        <v>2.4</v>
      </c>
      <c r="O10">
        <f t="shared" ref="O10:O69" si="3">O9+N10</f>
        <v>2.4</v>
      </c>
      <c r="R10">
        <f t="shared" si="1"/>
        <v>0</v>
      </c>
      <c r="S10">
        <f t="shared" si="2"/>
        <v>4.3</v>
      </c>
      <c r="V10">
        <v>774.5</v>
      </c>
    </row>
    <row r="11" spans="1:25" x14ac:dyDescent="0.25">
      <c r="A11">
        <v>7400</v>
      </c>
      <c r="B11">
        <v>24250</v>
      </c>
      <c r="C11" s="1">
        <v>42956</v>
      </c>
      <c r="F11">
        <v>14.1</v>
      </c>
      <c r="G11">
        <v>12</v>
      </c>
      <c r="H11">
        <v>17.8</v>
      </c>
      <c r="L11">
        <v>0.6</v>
      </c>
      <c r="M11">
        <v>1.7</v>
      </c>
      <c r="N11">
        <f t="shared" si="0"/>
        <v>-1.1000000000000001</v>
      </c>
      <c r="O11">
        <f t="shared" si="3"/>
        <v>1.2999999999999998</v>
      </c>
      <c r="R11">
        <f t="shared" si="1"/>
        <v>0</v>
      </c>
      <c r="S11">
        <f t="shared" si="2"/>
        <v>0.6</v>
      </c>
      <c r="V11">
        <v>961.4</v>
      </c>
    </row>
    <row r="12" spans="1:25" x14ac:dyDescent="0.25">
      <c r="A12">
        <v>7400</v>
      </c>
      <c r="B12">
        <v>24250</v>
      </c>
      <c r="C12" s="1">
        <v>42957</v>
      </c>
      <c r="F12">
        <v>13.3</v>
      </c>
      <c r="G12">
        <v>9.9</v>
      </c>
      <c r="H12">
        <v>16.5</v>
      </c>
      <c r="L12">
        <v>0.1</v>
      </c>
      <c r="M12">
        <v>2</v>
      </c>
      <c r="N12">
        <f t="shared" si="0"/>
        <v>-1.9</v>
      </c>
      <c r="O12">
        <v>0</v>
      </c>
      <c r="R12">
        <f t="shared" si="1"/>
        <v>0</v>
      </c>
      <c r="S12">
        <f t="shared" si="2"/>
        <v>0.1</v>
      </c>
      <c r="V12">
        <v>1348.4</v>
      </c>
    </row>
    <row r="13" spans="1:25" x14ac:dyDescent="0.25">
      <c r="A13">
        <v>7400</v>
      </c>
      <c r="B13">
        <v>24250</v>
      </c>
      <c r="C13" s="1">
        <v>42958</v>
      </c>
      <c r="F13">
        <v>15.4</v>
      </c>
      <c r="G13">
        <v>10.4</v>
      </c>
      <c r="H13">
        <v>18.7</v>
      </c>
      <c r="L13">
        <v>0.1</v>
      </c>
      <c r="M13">
        <v>2.1</v>
      </c>
      <c r="N13">
        <f t="shared" si="0"/>
        <v>-2</v>
      </c>
      <c r="O13">
        <v>0</v>
      </c>
      <c r="R13">
        <f t="shared" si="1"/>
        <v>0</v>
      </c>
      <c r="S13">
        <f t="shared" si="2"/>
        <v>0.1</v>
      </c>
      <c r="V13">
        <v>1283</v>
      </c>
    </row>
    <row r="14" spans="1:25" x14ac:dyDescent="0.25">
      <c r="A14">
        <v>7400</v>
      </c>
      <c r="B14">
        <v>24250</v>
      </c>
      <c r="C14" s="1">
        <v>42959</v>
      </c>
      <c r="F14">
        <v>16.5</v>
      </c>
      <c r="G14">
        <v>13.1</v>
      </c>
      <c r="H14">
        <v>18.899999999999999</v>
      </c>
      <c r="L14">
        <v>1.3</v>
      </c>
      <c r="M14">
        <v>1.4</v>
      </c>
      <c r="N14">
        <f t="shared" si="0"/>
        <v>-9.9999999999999867E-2</v>
      </c>
      <c r="O14">
        <v>0</v>
      </c>
      <c r="R14">
        <f t="shared" si="1"/>
        <v>0</v>
      </c>
      <c r="S14">
        <f t="shared" si="2"/>
        <v>1.3</v>
      </c>
      <c r="V14">
        <v>405.5</v>
      </c>
    </row>
    <row r="15" spans="1:25" x14ac:dyDescent="0.25">
      <c r="A15">
        <v>7400</v>
      </c>
      <c r="B15">
        <v>24250</v>
      </c>
      <c r="C15" s="1">
        <v>42960</v>
      </c>
      <c r="F15">
        <v>17.600000000000001</v>
      </c>
      <c r="G15">
        <v>14.5</v>
      </c>
      <c r="H15">
        <v>20.7</v>
      </c>
      <c r="L15">
        <v>0</v>
      </c>
      <c r="M15">
        <v>2</v>
      </c>
      <c r="N15">
        <f t="shared" si="0"/>
        <v>-2</v>
      </c>
      <c r="O15">
        <v>0</v>
      </c>
      <c r="R15">
        <f t="shared" si="1"/>
        <v>0</v>
      </c>
      <c r="S15">
        <f t="shared" si="2"/>
        <v>0</v>
      </c>
      <c r="V15">
        <v>891.4</v>
      </c>
    </row>
    <row r="16" spans="1:25" x14ac:dyDescent="0.25">
      <c r="A16">
        <v>7400</v>
      </c>
      <c r="B16">
        <v>24250</v>
      </c>
      <c r="C16" s="1">
        <v>42961</v>
      </c>
      <c r="F16">
        <v>19.899999999999999</v>
      </c>
      <c r="G16">
        <v>11.9</v>
      </c>
      <c r="H16">
        <v>26.4</v>
      </c>
      <c r="L16">
        <v>0</v>
      </c>
      <c r="M16">
        <v>3.7</v>
      </c>
      <c r="N16">
        <f t="shared" si="0"/>
        <v>-3.7</v>
      </c>
      <c r="O16">
        <v>0</v>
      </c>
      <c r="R16">
        <f t="shared" si="1"/>
        <v>0</v>
      </c>
      <c r="S16">
        <f t="shared" si="2"/>
        <v>0</v>
      </c>
      <c r="V16">
        <v>1768.9</v>
      </c>
    </row>
    <row r="17" spans="1:25" x14ac:dyDescent="0.25">
      <c r="A17">
        <v>7400</v>
      </c>
      <c r="B17">
        <v>24250</v>
      </c>
      <c r="C17" s="1">
        <v>42962</v>
      </c>
      <c r="F17">
        <v>19.899999999999999</v>
      </c>
      <c r="G17">
        <v>18.100000000000001</v>
      </c>
      <c r="H17">
        <v>24.9</v>
      </c>
      <c r="L17">
        <v>11.2</v>
      </c>
      <c r="M17">
        <v>3.2</v>
      </c>
      <c r="N17">
        <f t="shared" si="0"/>
        <v>7.9999999999999991</v>
      </c>
      <c r="O17">
        <f t="shared" si="3"/>
        <v>7.9999999999999991</v>
      </c>
      <c r="R17">
        <f t="shared" si="1"/>
        <v>0</v>
      </c>
      <c r="S17">
        <f t="shared" si="2"/>
        <v>11.2</v>
      </c>
      <c r="V17">
        <v>918.1</v>
      </c>
    </row>
    <row r="18" spans="1:25" x14ac:dyDescent="0.25">
      <c r="A18">
        <v>7400</v>
      </c>
      <c r="B18">
        <v>24250</v>
      </c>
      <c r="C18" s="1">
        <v>42963</v>
      </c>
      <c r="F18">
        <v>20.100000000000001</v>
      </c>
      <c r="G18">
        <v>16.7</v>
      </c>
      <c r="H18">
        <v>24.2</v>
      </c>
      <c r="L18">
        <v>0</v>
      </c>
      <c r="M18">
        <v>2.5</v>
      </c>
      <c r="N18">
        <f t="shared" si="0"/>
        <v>-2.5</v>
      </c>
      <c r="O18">
        <f t="shared" si="3"/>
        <v>5.4999999999999991</v>
      </c>
      <c r="R18">
        <f t="shared" si="1"/>
        <v>0</v>
      </c>
      <c r="S18">
        <f t="shared" si="2"/>
        <v>0</v>
      </c>
      <c r="V18">
        <v>1343.3</v>
      </c>
    </row>
    <row r="19" spans="1:25" x14ac:dyDescent="0.25">
      <c r="A19">
        <v>7400</v>
      </c>
      <c r="B19">
        <v>24250</v>
      </c>
      <c r="C19" s="1">
        <v>42964</v>
      </c>
      <c r="F19">
        <v>20</v>
      </c>
      <c r="G19">
        <v>15.7</v>
      </c>
      <c r="H19">
        <v>23.3</v>
      </c>
      <c r="L19">
        <v>3.6</v>
      </c>
      <c r="M19">
        <v>1.9</v>
      </c>
      <c r="N19">
        <f t="shared" si="0"/>
        <v>1.7000000000000002</v>
      </c>
      <c r="O19">
        <f t="shared" si="3"/>
        <v>7.1999999999999993</v>
      </c>
      <c r="R19">
        <f t="shared" si="1"/>
        <v>0</v>
      </c>
      <c r="S19">
        <f t="shared" si="2"/>
        <v>3.6</v>
      </c>
      <c r="V19">
        <v>576.29999999999995</v>
      </c>
    </row>
    <row r="20" spans="1:25" x14ac:dyDescent="0.25">
      <c r="A20">
        <v>7400</v>
      </c>
      <c r="B20">
        <v>24250</v>
      </c>
      <c r="C20" s="1">
        <v>42965</v>
      </c>
      <c r="F20">
        <v>17.399999999999999</v>
      </c>
      <c r="G20">
        <v>16.8</v>
      </c>
      <c r="H20">
        <v>18.5</v>
      </c>
      <c r="L20">
        <v>15.3</v>
      </c>
      <c r="M20">
        <v>1.2</v>
      </c>
      <c r="N20">
        <f t="shared" si="0"/>
        <v>14.100000000000001</v>
      </c>
      <c r="O20">
        <f t="shared" si="3"/>
        <v>21.3</v>
      </c>
      <c r="R20">
        <f t="shared" si="1"/>
        <v>0</v>
      </c>
      <c r="S20">
        <f t="shared" si="2"/>
        <v>15.3</v>
      </c>
      <c r="V20">
        <v>651.79999999999995</v>
      </c>
    </row>
    <row r="21" spans="1:25" x14ac:dyDescent="0.25">
      <c r="A21">
        <v>7400</v>
      </c>
      <c r="B21">
        <v>24250</v>
      </c>
      <c r="C21" s="1">
        <v>42966</v>
      </c>
      <c r="F21">
        <v>15.4</v>
      </c>
      <c r="G21">
        <v>11.5</v>
      </c>
      <c r="H21">
        <v>18.600000000000001</v>
      </c>
      <c r="L21">
        <v>0.9</v>
      </c>
      <c r="M21">
        <v>2.5</v>
      </c>
      <c r="N21">
        <f t="shared" si="0"/>
        <v>-1.6</v>
      </c>
      <c r="O21">
        <f t="shared" si="3"/>
        <v>19.7</v>
      </c>
      <c r="R21">
        <f t="shared" si="1"/>
        <v>0</v>
      </c>
      <c r="S21">
        <f t="shared" si="2"/>
        <v>0.9</v>
      </c>
      <c r="V21">
        <v>1359.1</v>
      </c>
    </row>
    <row r="22" spans="1:25" x14ac:dyDescent="0.25">
      <c r="A22">
        <v>7400</v>
      </c>
      <c r="B22">
        <v>24250</v>
      </c>
      <c r="C22" s="1">
        <v>42967</v>
      </c>
      <c r="F22">
        <v>15.5</v>
      </c>
      <c r="G22">
        <v>10.5</v>
      </c>
      <c r="H22">
        <v>19.399999999999999</v>
      </c>
      <c r="L22">
        <v>0</v>
      </c>
      <c r="M22">
        <v>2.5</v>
      </c>
      <c r="N22">
        <f t="shared" si="0"/>
        <v>-2.5</v>
      </c>
      <c r="O22">
        <f t="shared" si="3"/>
        <v>17.2</v>
      </c>
      <c r="R22">
        <f t="shared" si="1"/>
        <v>0</v>
      </c>
      <c r="S22">
        <f t="shared" si="2"/>
        <v>0</v>
      </c>
      <c r="V22">
        <v>1406.5</v>
      </c>
    </row>
    <row r="23" spans="1:25" x14ac:dyDescent="0.25">
      <c r="A23">
        <v>7400</v>
      </c>
      <c r="B23">
        <v>24250</v>
      </c>
      <c r="C23" s="1">
        <v>42968</v>
      </c>
      <c r="F23">
        <v>17.3</v>
      </c>
      <c r="G23">
        <v>13.5</v>
      </c>
      <c r="H23">
        <v>20.100000000000001</v>
      </c>
      <c r="L23">
        <v>0</v>
      </c>
      <c r="M23">
        <v>1.6</v>
      </c>
      <c r="N23">
        <f t="shared" si="0"/>
        <v>-1.6</v>
      </c>
      <c r="O23">
        <f t="shared" si="3"/>
        <v>15.6</v>
      </c>
      <c r="R23">
        <f t="shared" si="1"/>
        <v>0</v>
      </c>
      <c r="S23">
        <f t="shared" si="2"/>
        <v>0</v>
      </c>
      <c r="V23">
        <v>472.2</v>
      </c>
    </row>
    <row r="24" spans="1:25" s="4" customFormat="1" ht="15.75" thickBot="1" x14ac:dyDescent="0.3">
      <c r="A24" s="4">
        <v>7400</v>
      </c>
      <c r="B24" s="4">
        <v>24250</v>
      </c>
      <c r="C24" s="5">
        <v>42969</v>
      </c>
      <c r="F24" s="4">
        <v>20.7</v>
      </c>
      <c r="G24" s="4">
        <v>17.3</v>
      </c>
      <c r="H24" s="4">
        <v>24.4</v>
      </c>
      <c r="L24" s="4">
        <v>0</v>
      </c>
      <c r="M24" s="4">
        <v>2.9</v>
      </c>
      <c r="N24" s="4">
        <f t="shared" si="0"/>
        <v>-2.9</v>
      </c>
      <c r="O24" s="4">
        <f t="shared" si="3"/>
        <v>12.7</v>
      </c>
      <c r="R24" s="4">
        <f t="shared" si="1"/>
        <v>0</v>
      </c>
      <c r="S24" s="4">
        <f t="shared" si="2"/>
        <v>0</v>
      </c>
      <c r="T24" s="4">
        <v>12.7</v>
      </c>
      <c r="V24" s="4">
        <v>1242.9000000000001</v>
      </c>
    </row>
    <row r="25" spans="1:25" x14ac:dyDescent="0.25">
      <c r="A25">
        <v>7400</v>
      </c>
      <c r="B25">
        <v>24250</v>
      </c>
      <c r="C25" s="1">
        <v>42970</v>
      </c>
      <c r="D25" t="s">
        <v>28</v>
      </c>
      <c r="E25" s="46" t="s">
        <v>52</v>
      </c>
      <c r="F25">
        <v>20.2</v>
      </c>
      <c r="G25">
        <v>16</v>
      </c>
      <c r="H25">
        <v>24.8</v>
      </c>
      <c r="I25">
        <f>F25</f>
        <v>20.2</v>
      </c>
      <c r="J25">
        <f>I25</f>
        <v>20.2</v>
      </c>
      <c r="K25" s="7" t="s">
        <v>34</v>
      </c>
      <c r="L25">
        <v>0</v>
      </c>
      <c r="M25">
        <v>3.4</v>
      </c>
      <c r="N25">
        <f t="shared" si="0"/>
        <v>-3.4</v>
      </c>
      <c r="O25">
        <f t="shared" si="3"/>
        <v>9.2999999999999989</v>
      </c>
      <c r="P25">
        <v>1</v>
      </c>
      <c r="Q25">
        <v>0.35</v>
      </c>
      <c r="R25">
        <f t="shared" si="1"/>
        <v>1.19</v>
      </c>
      <c r="S25">
        <f t="shared" si="2"/>
        <v>-1.19</v>
      </c>
      <c r="T25">
        <f>MIN(T24+S25,153.9)</f>
        <v>11.51</v>
      </c>
      <c r="U25" s="10" t="s">
        <v>41</v>
      </c>
      <c r="V25">
        <v>1668.9</v>
      </c>
      <c r="W25">
        <f>V25</f>
        <v>1668.9</v>
      </c>
      <c r="X25">
        <v>13.720471231537685</v>
      </c>
      <c r="Y25" s="10" t="s">
        <v>46</v>
      </c>
    </row>
    <row r="26" spans="1:25" x14ac:dyDescent="0.25">
      <c r="A26">
        <v>7400</v>
      </c>
      <c r="B26">
        <v>24250</v>
      </c>
      <c r="C26" s="1">
        <v>42971</v>
      </c>
      <c r="E26" s="47"/>
      <c r="F26">
        <v>18.8</v>
      </c>
      <c r="G26">
        <v>13.6</v>
      </c>
      <c r="H26">
        <v>22.9</v>
      </c>
      <c r="I26">
        <f>I25+F26</f>
        <v>39</v>
      </c>
      <c r="J26">
        <f>F26+J25</f>
        <v>39</v>
      </c>
      <c r="K26" s="8">
        <v>1001.5</v>
      </c>
      <c r="L26">
        <v>0</v>
      </c>
      <c r="M26">
        <v>2.5</v>
      </c>
      <c r="N26">
        <f t="shared" si="0"/>
        <v>-2.5</v>
      </c>
      <c r="O26">
        <f t="shared" si="3"/>
        <v>6.7999999999999989</v>
      </c>
      <c r="P26">
        <v>2</v>
      </c>
      <c r="Q26">
        <v>0.35</v>
      </c>
      <c r="R26">
        <f t="shared" si="1"/>
        <v>0.875</v>
      </c>
      <c r="S26">
        <f t="shared" si="2"/>
        <v>-0.875</v>
      </c>
      <c r="T26">
        <f t="shared" ref="T26:T89" si="4">MIN(T25+S26,153.9)</f>
        <v>10.635</v>
      </c>
      <c r="U26">
        <v>0</v>
      </c>
      <c r="V26">
        <v>1361</v>
      </c>
      <c r="W26">
        <f>W25+V26</f>
        <v>3029.9</v>
      </c>
      <c r="X26">
        <v>13.66250385824511</v>
      </c>
      <c r="Y26">
        <v>59655.9</v>
      </c>
    </row>
    <row r="27" spans="1:25" x14ac:dyDescent="0.25">
      <c r="A27">
        <v>7400</v>
      </c>
      <c r="B27">
        <v>24250</v>
      </c>
      <c r="C27" s="1">
        <v>42972</v>
      </c>
      <c r="E27" s="47"/>
      <c r="F27">
        <v>19.600000000000001</v>
      </c>
      <c r="G27">
        <v>16</v>
      </c>
      <c r="H27">
        <v>22.5</v>
      </c>
      <c r="I27">
        <f t="shared" ref="I27:I90" si="5">I26+F27</f>
        <v>58.6</v>
      </c>
      <c r="J27">
        <f t="shared" ref="J27:J90" si="6">F27+J26</f>
        <v>58.6</v>
      </c>
      <c r="K27" s="7" t="s">
        <v>35</v>
      </c>
      <c r="L27">
        <v>0.7</v>
      </c>
      <c r="M27">
        <v>2.1</v>
      </c>
      <c r="N27">
        <f t="shared" si="0"/>
        <v>-1.4000000000000001</v>
      </c>
      <c r="O27">
        <f t="shared" si="3"/>
        <v>5.3999999999999986</v>
      </c>
      <c r="P27">
        <v>3</v>
      </c>
      <c r="Q27">
        <v>0.35</v>
      </c>
      <c r="R27">
        <f t="shared" si="1"/>
        <v>0.73499999999999999</v>
      </c>
      <c r="S27">
        <f t="shared" si="2"/>
        <v>-3.5000000000000031E-2</v>
      </c>
      <c r="T27">
        <f t="shared" si="4"/>
        <v>10.6</v>
      </c>
      <c r="U27" s="10" t="s">
        <v>42</v>
      </c>
      <c r="V27">
        <v>1016.1</v>
      </c>
      <c r="W27">
        <f t="shared" ref="W27:W90" si="7">W26+V27</f>
        <v>4046</v>
      </c>
      <c r="X27">
        <v>13.604259381386797</v>
      </c>
      <c r="Y27" s="10" t="s">
        <v>47</v>
      </c>
    </row>
    <row r="28" spans="1:25" x14ac:dyDescent="0.25">
      <c r="A28">
        <v>7400</v>
      </c>
      <c r="B28">
        <v>24250</v>
      </c>
      <c r="C28" s="1">
        <v>42973</v>
      </c>
      <c r="E28" s="47"/>
      <c r="F28">
        <v>21.3</v>
      </c>
      <c r="G28">
        <v>17</v>
      </c>
      <c r="H28">
        <v>26.6</v>
      </c>
      <c r="I28">
        <f t="shared" si="5"/>
        <v>79.900000000000006</v>
      </c>
      <c r="J28">
        <f t="shared" si="6"/>
        <v>79.900000000000006</v>
      </c>
      <c r="K28" s="25">
        <f>AVERAGE(F25:F99)</f>
        <v>13.353333333333328</v>
      </c>
      <c r="L28">
        <v>0.1</v>
      </c>
      <c r="M28">
        <v>2.5</v>
      </c>
      <c r="N28">
        <f t="shared" si="0"/>
        <v>-2.4</v>
      </c>
      <c r="O28">
        <f t="shared" si="3"/>
        <v>2.9999999999999987</v>
      </c>
      <c r="P28">
        <v>4</v>
      </c>
      <c r="Q28">
        <v>0.35</v>
      </c>
      <c r="R28">
        <f t="shared" si="1"/>
        <v>0.875</v>
      </c>
      <c r="S28">
        <f t="shared" si="2"/>
        <v>-0.77500000000000002</v>
      </c>
      <c r="T28">
        <f t="shared" si="4"/>
        <v>9.8249999999999993</v>
      </c>
      <c r="U28">
        <v>21</v>
      </c>
      <c r="V28">
        <v>1006.4</v>
      </c>
      <c r="W28">
        <f t="shared" si="7"/>
        <v>5052.3999999999996</v>
      </c>
      <c r="X28">
        <v>13.545751445117688</v>
      </c>
      <c r="Y28">
        <f>(Y26/100)/K26</f>
        <v>0.59566550174737887</v>
      </c>
    </row>
    <row r="29" spans="1:25" x14ac:dyDescent="0.25">
      <c r="A29">
        <v>7400</v>
      </c>
      <c r="B29">
        <v>24250</v>
      </c>
      <c r="C29" s="1">
        <v>42974</v>
      </c>
      <c r="E29" s="47"/>
      <c r="F29">
        <v>21.2</v>
      </c>
      <c r="G29">
        <v>17.100000000000001</v>
      </c>
      <c r="H29">
        <v>26.1</v>
      </c>
      <c r="I29">
        <f t="shared" si="5"/>
        <v>101.10000000000001</v>
      </c>
      <c r="J29">
        <f t="shared" si="6"/>
        <v>101.10000000000001</v>
      </c>
      <c r="K29" s="7" t="s">
        <v>36</v>
      </c>
      <c r="L29">
        <v>1.1000000000000001</v>
      </c>
      <c r="M29">
        <v>3.1</v>
      </c>
      <c r="N29">
        <f t="shared" si="0"/>
        <v>-2</v>
      </c>
      <c r="O29">
        <f t="shared" si="3"/>
        <v>0.99999999999999867</v>
      </c>
      <c r="P29">
        <v>5</v>
      </c>
      <c r="Q29">
        <v>0.35</v>
      </c>
      <c r="R29">
        <f t="shared" si="1"/>
        <v>1.085</v>
      </c>
      <c r="S29">
        <f t="shared" si="2"/>
        <v>1.5000000000000124E-2</v>
      </c>
      <c r="T29">
        <f t="shared" si="4"/>
        <v>9.84</v>
      </c>
      <c r="U29" s="10" t="s">
        <v>43</v>
      </c>
      <c r="V29">
        <v>1524.6</v>
      </c>
      <c r="W29">
        <f t="shared" si="7"/>
        <v>6577</v>
      </c>
      <c r="X29">
        <v>13.486993314298397</v>
      </c>
      <c r="Y29" s="10" t="s">
        <v>48</v>
      </c>
    </row>
    <row r="30" spans="1:25" x14ac:dyDescent="0.25">
      <c r="A30">
        <v>7400</v>
      </c>
      <c r="B30">
        <v>24250</v>
      </c>
      <c r="C30" s="1">
        <v>42975</v>
      </c>
      <c r="E30" s="47"/>
      <c r="F30">
        <v>21.9</v>
      </c>
      <c r="G30">
        <v>16.100000000000001</v>
      </c>
      <c r="H30">
        <v>28.2</v>
      </c>
      <c r="I30">
        <f t="shared" si="5"/>
        <v>123</v>
      </c>
      <c r="J30">
        <f t="shared" si="6"/>
        <v>123</v>
      </c>
      <c r="K30" s="9">
        <f>MIN(G25:G99)</f>
        <v>0.4</v>
      </c>
      <c r="L30">
        <v>0</v>
      </c>
      <c r="M30">
        <v>4.7</v>
      </c>
      <c r="N30">
        <f t="shared" si="0"/>
        <v>-4.7</v>
      </c>
      <c r="O30">
        <f t="shared" si="3"/>
        <v>-3.7000000000000015</v>
      </c>
      <c r="P30">
        <v>6</v>
      </c>
      <c r="Q30">
        <f>0.35+((P30-5)/70)*(1-0.35)</f>
        <v>0.35928571428571426</v>
      </c>
      <c r="R30">
        <f t="shared" si="1"/>
        <v>1.6886428571428571</v>
      </c>
      <c r="S30">
        <f t="shared" si="2"/>
        <v>-1.6886428571428571</v>
      </c>
      <c r="T30">
        <f t="shared" si="4"/>
        <v>8.1513571428571421</v>
      </c>
      <c r="U30" s="11">
        <f>MIN(T25:T99)</f>
        <v>4.2897857142857161</v>
      </c>
      <c r="V30">
        <v>2062.5</v>
      </c>
      <c r="W30">
        <f t="shared" si="7"/>
        <v>8639.5</v>
      </c>
      <c r="X30">
        <v>13.427997885123665</v>
      </c>
      <c r="Y30">
        <v>46</v>
      </c>
    </row>
    <row r="31" spans="1:25" x14ac:dyDescent="0.25">
      <c r="A31">
        <v>7400</v>
      </c>
      <c r="B31">
        <v>24250</v>
      </c>
      <c r="C31" s="1">
        <v>42976</v>
      </c>
      <c r="E31" s="47"/>
      <c r="F31">
        <v>23.4</v>
      </c>
      <c r="G31">
        <v>16</v>
      </c>
      <c r="H31">
        <v>30.1</v>
      </c>
      <c r="I31">
        <f t="shared" si="5"/>
        <v>146.4</v>
      </c>
      <c r="J31">
        <f t="shared" si="6"/>
        <v>146.4</v>
      </c>
      <c r="K31" s="7" t="s">
        <v>37</v>
      </c>
      <c r="L31">
        <v>0.6</v>
      </c>
      <c r="M31">
        <v>4.8</v>
      </c>
      <c r="N31">
        <f t="shared" si="0"/>
        <v>-4.2</v>
      </c>
      <c r="O31">
        <f t="shared" si="3"/>
        <v>-7.9000000000000021</v>
      </c>
      <c r="P31">
        <v>7</v>
      </c>
      <c r="Q31">
        <f t="shared" ref="Q31:Q94" si="8">0.35+((P31-5)/70)*(1-0.35)</f>
        <v>0.36857142857142855</v>
      </c>
      <c r="R31">
        <f t="shared" si="1"/>
        <v>1.7691428571428569</v>
      </c>
      <c r="S31">
        <f t="shared" si="2"/>
        <v>-1.169142857142857</v>
      </c>
      <c r="T31">
        <f t="shared" si="4"/>
        <v>6.982214285714285</v>
      </c>
      <c r="U31" s="10" t="s">
        <v>44</v>
      </c>
      <c r="V31">
        <v>1889.8</v>
      </c>
      <c r="W31">
        <f t="shared" si="7"/>
        <v>10529.3</v>
      </c>
      <c r="X31">
        <v>13.368777696297785</v>
      </c>
    </row>
    <row r="32" spans="1:25" x14ac:dyDescent="0.25">
      <c r="A32">
        <v>7400</v>
      </c>
      <c r="B32">
        <v>24250</v>
      </c>
      <c r="C32" s="1">
        <v>42977</v>
      </c>
      <c r="E32" s="47"/>
      <c r="F32">
        <v>20.9</v>
      </c>
      <c r="G32">
        <v>20.7</v>
      </c>
      <c r="H32">
        <v>23.4</v>
      </c>
      <c r="I32">
        <f t="shared" si="5"/>
        <v>167.3</v>
      </c>
      <c r="J32">
        <f t="shared" si="6"/>
        <v>167.3</v>
      </c>
      <c r="K32" s="8">
        <f>MAX(H25:H99)</f>
        <v>30.1</v>
      </c>
      <c r="L32">
        <v>4.5</v>
      </c>
      <c r="M32">
        <v>2.5</v>
      </c>
      <c r="N32">
        <f t="shared" si="0"/>
        <v>2</v>
      </c>
      <c r="O32">
        <f t="shared" si="3"/>
        <v>-5.9000000000000021</v>
      </c>
      <c r="P32">
        <v>8</v>
      </c>
      <c r="Q32">
        <f t="shared" si="8"/>
        <v>0.37785714285714284</v>
      </c>
      <c r="R32">
        <f t="shared" si="1"/>
        <v>0.94464285714285712</v>
      </c>
      <c r="S32">
        <f t="shared" si="2"/>
        <v>3.5553571428571429</v>
      </c>
      <c r="T32">
        <f t="shared" si="4"/>
        <v>10.537571428571429</v>
      </c>
      <c r="U32" s="11">
        <f>MAX(T25:T99)</f>
        <v>119.95850000000003</v>
      </c>
      <c r="V32">
        <v>705.8</v>
      </c>
      <c r="W32">
        <f t="shared" si="7"/>
        <v>11235.099999999999</v>
      </c>
      <c r="X32">
        <v>13.309344940712071</v>
      </c>
    </row>
    <row r="33" spans="1:24" x14ac:dyDescent="0.25">
      <c r="A33">
        <v>7400</v>
      </c>
      <c r="B33">
        <v>24250</v>
      </c>
      <c r="C33" s="1">
        <v>42978</v>
      </c>
      <c r="E33" s="47"/>
      <c r="F33">
        <v>15.2</v>
      </c>
      <c r="G33">
        <v>12.5</v>
      </c>
      <c r="H33">
        <v>17.899999999999999</v>
      </c>
      <c r="I33">
        <f t="shared" si="5"/>
        <v>182.5</v>
      </c>
      <c r="J33">
        <f t="shared" si="6"/>
        <v>182.5</v>
      </c>
      <c r="K33" s="7" t="s">
        <v>38</v>
      </c>
      <c r="L33">
        <v>0.1</v>
      </c>
      <c r="M33">
        <v>1.8</v>
      </c>
      <c r="N33">
        <f t="shared" si="0"/>
        <v>-1.7</v>
      </c>
      <c r="O33">
        <f t="shared" si="3"/>
        <v>-7.6000000000000023</v>
      </c>
      <c r="P33">
        <v>9</v>
      </c>
      <c r="Q33">
        <f t="shared" si="8"/>
        <v>0.38714285714285712</v>
      </c>
      <c r="R33">
        <f t="shared" si="1"/>
        <v>0.69685714285714284</v>
      </c>
      <c r="S33">
        <f t="shared" si="2"/>
        <v>-0.59685714285714286</v>
      </c>
      <c r="T33">
        <f t="shared" si="4"/>
        <v>9.9407142857142858</v>
      </c>
      <c r="U33" s="10" t="s">
        <v>45</v>
      </c>
      <c r="V33">
        <v>854.6</v>
      </c>
      <c r="W33">
        <f t="shared" si="7"/>
        <v>12089.699999999999</v>
      </c>
      <c r="X33">
        <v>13.249711477582117</v>
      </c>
    </row>
    <row r="34" spans="1:24" x14ac:dyDescent="0.25">
      <c r="A34">
        <v>7400</v>
      </c>
      <c r="B34">
        <v>24250</v>
      </c>
      <c r="C34" s="1">
        <v>42979</v>
      </c>
      <c r="E34" s="47"/>
      <c r="F34">
        <v>14.3</v>
      </c>
      <c r="G34">
        <v>10.4</v>
      </c>
      <c r="H34">
        <v>19</v>
      </c>
      <c r="I34">
        <f t="shared" si="5"/>
        <v>196.8</v>
      </c>
      <c r="J34">
        <f t="shared" si="6"/>
        <v>196.8</v>
      </c>
      <c r="K34" s="8">
        <v>4</v>
      </c>
      <c r="L34">
        <v>1.2</v>
      </c>
      <c r="M34">
        <v>2.2000000000000002</v>
      </c>
      <c r="N34">
        <f t="shared" si="0"/>
        <v>-1.0000000000000002</v>
      </c>
      <c r="O34">
        <f t="shared" si="3"/>
        <v>-8.6000000000000032</v>
      </c>
      <c r="P34">
        <v>10</v>
      </c>
      <c r="Q34">
        <f t="shared" si="8"/>
        <v>0.39642857142857141</v>
      </c>
      <c r="R34">
        <f t="shared" si="1"/>
        <v>0.87214285714285722</v>
      </c>
      <c r="S34">
        <f t="shared" si="2"/>
        <v>0.32785714285714274</v>
      </c>
      <c r="T34">
        <f t="shared" si="4"/>
        <v>10.268571428571429</v>
      </c>
      <c r="U34" s="11">
        <f>AVERAGE(T25:T99)</f>
        <v>80.032763809523829</v>
      </c>
      <c r="V34">
        <v>1327.8</v>
      </c>
      <c r="W34">
        <f t="shared" si="7"/>
        <v>13417.499999999998</v>
      </c>
      <c r="X34">
        <v>13.189888845005123</v>
      </c>
    </row>
    <row r="35" spans="1:24" x14ac:dyDescent="0.25">
      <c r="A35">
        <v>7400</v>
      </c>
      <c r="B35">
        <v>24250</v>
      </c>
      <c r="C35" s="1">
        <v>42980</v>
      </c>
      <c r="E35" s="47"/>
      <c r="F35">
        <v>14.2</v>
      </c>
      <c r="G35">
        <v>11.3</v>
      </c>
      <c r="H35">
        <v>19.100000000000001</v>
      </c>
      <c r="I35">
        <f t="shared" si="5"/>
        <v>211</v>
      </c>
      <c r="J35">
        <f t="shared" si="6"/>
        <v>211</v>
      </c>
      <c r="K35" s="7" t="s">
        <v>39</v>
      </c>
      <c r="L35">
        <v>0.3</v>
      </c>
      <c r="M35">
        <v>3</v>
      </c>
      <c r="N35">
        <f t="shared" si="0"/>
        <v>-2.7</v>
      </c>
      <c r="O35">
        <f t="shared" si="3"/>
        <v>-11.300000000000004</v>
      </c>
      <c r="P35">
        <v>11</v>
      </c>
      <c r="Q35">
        <f t="shared" si="8"/>
        <v>0.40571428571428569</v>
      </c>
      <c r="R35">
        <f t="shared" si="1"/>
        <v>1.2171428571428571</v>
      </c>
      <c r="S35">
        <f t="shared" si="2"/>
        <v>-0.91714285714285704</v>
      </c>
      <c r="T35">
        <f t="shared" si="4"/>
        <v>9.3514285714285723</v>
      </c>
      <c r="V35">
        <v>1562.4</v>
      </c>
      <c r="W35">
        <f t="shared" si="7"/>
        <v>14979.899999999998</v>
      </c>
      <c r="X35">
        <v>13.129888272900203</v>
      </c>
    </row>
    <row r="36" spans="1:24" x14ac:dyDescent="0.25">
      <c r="A36">
        <v>7400</v>
      </c>
      <c r="B36">
        <v>24250</v>
      </c>
      <c r="C36" s="1">
        <v>42981</v>
      </c>
      <c r="E36" s="47"/>
      <c r="F36">
        <v>14.1</v>
      </c>
      <c r="G36">
        <v>6.9</v>
      </c>
      <c r="H36">
        <v>20.3</v>
      </c>
      <c r="I36">
        <f t="shared" si="5"/>
        <v>225.1</v>
      </c>
      <c r="J36">
        <f t="shared" si="6"/>
        <v>225.1</v>
      </c>
      <c r="K36" s="8">
        <v>8</v>
      </c>
      <c r="L36">
        <v>0</v>
      </c>
      <c r="M36">
        <v>2.2999999999999998</v>
      </c>
      <c r="N36">
        <f t="shared" si="0"/>
        <v>-2.2999999999999998</v>
      </c>
      <c r="O36">
        <f t="shared" si="3"/>
        <v>-13.600000000000005</v>
      </c>
      <c r="P36">
        <v>12</v>
      </c>
      <c r="Q36">
        <f t="shared" si="8"/>
        <v>0.41499999999999998</v>
      </c>
      <c r="R36">
        <f t="shared" si="1"/>
        <v>0.9544999999999999</v>
      </c>
      <c r="S36">
        <f t="shared" si="2"/>
        <v>-0.9544999999999999</v>
      </c>
      <c r="T36">
        <f t="shared" si="4"/>
        <v>8.3969285714285729</v>
      </c>
      <c r="U36" s="26">
        <f>(U34*100)/153.9</f>
        <v>52.003095392803004</v>
      </c>
      <c r="V36">
        <v>1261.3</v>
      </c>
      <c r="W36">
        <f t="shared" si="7"/>
        <v>16241.199999999997</v>
      </c>
      <c r="X36">
        <v>13.069720696296914</v>
      </c>
    </row>
    <row r="37" spans="1:24" x14ac:dyDescent="0.25">
      <c r="A37">
        <v>7400</v>
      </c>
      <c r="B37">
        <v>24250</v>
      </c>
      <c r="C37" s="1">
        <v>42982</v>
      </c>
      <c r="E37" s="47"/>
      <c r="F37">
        <v>18.7</v>
      </c>
      <c r="G37">
        <v>14.4</v>
      </c>
      <c r="H37">
        <v>22.7</v>
      </c>
      <c r="I37">
        <f t="shared" si="5"/>
        <v>243.79999999999998</v>
      </c>
      <c r="J37">
        <f t="shared" si="6"/>
        <v>243.79999999999998</v>
      </c>
      <c r="K37" s="7" t="s">
        <v>40</v>
      </c>
      <c r="L37">
        <v>0</v>
      </c>
      <c r="M37">
        <v>2.7</v>
      </c>
      <c r="N37">
        <f t="shared" si="0"/>
        <v>-2.7</v>
      </c>
      <c r="O37">
        <f t="shared" si="3"/>
        <v>-16.300000000000004</v>
      </c>
      <c r="P37">
        <v>13</v>
      </c>
      <c r="Q37">
        <f t="shared" si="8"/>
        <v>0.42428571428571427</v>
      </c>
      <c r="R37">
        <f t="shared" si="1"/>
        <v>1.1455714285714287</v>
      </c>
      <c r="S37">
        <f t="shared" si="2"/>
        <v>-1.1455714285714287</v>
      </c>
      <c r="T37">
        <f t="shared" si="4"/>
        <v>7.2513571428571444</v>
      </c>
      <c r="V37">
        <v>1109.0999999999999</v>
      </c>
      <c r="W37">
        <f t="shared" si="7"/>
        <v>17350.299999999996</v>
      </c>
      <c r="X37">
        <v>13.009396768939741</v>
      </c>
    </row>
    <row r="38" spans="1:24" x14ac:dyDescent="0.25">
      <c r="A38">
        <v>7400</v>
      </c>
      <c r="B38">
        <v>24250</v>
      </c>
      <c r="C38" s="1">
        <v>42983</v>
      </c>
      <c r="E38" s="47"/>
      <c r="F38">
        <v>19.7</v>
      </c>
      <c r="G38">
        <v>17.100000000000001</v>
      </c>
      <c r="H38">
        <v>23.4</v>
      </c>
      <c r="I38">
        <f t="shared" si="5"/>
        <v>263.5</v>
      </c>
      <c r="J38">
        <f t="shared" si="6"/>
        <v>263.5</v>
      </c>
      <c r="K38" s="8">
        <v>0</v>
      </c>
      <c r="L38">
        <v>0</v>
      </c>
      <c r="M38">
        <v>2.2000000000000002</v>
      </c>
      <c r="N38">
        <f t="shared" si="0"/>
        <v>-2.2000000000000002</v>
      </c>
      <c r="O38">
        <f t="shared" si="3"/>
        <v>-18.500000000000004</v>
      </c>
      <c r="P38">
        <v>14</v>
      </c>
      <c r="Q38">
        <f t="shared" si="8"/>
        <v>0.43357142857142855</v>
      </c>
      <c r="R38">
        <f t="shared" si="1"/>
        <v>0.95385714285714285</v>
      </c>
      <c r="S38">
        <f t="shared" si="2"/>
        <v>-0.95385714285714285</v>
      </c>
      <c r="T38">
        <f t="shared" si="4"/>
        <v>6.2975000000000012</v>
      </c>
      <c r="V38">
        <v>655.29999999999995</v>
      </c>
      <c r="W38">
        <f t="shared" si="7"/>
        <v>18005.599999999995</v>
      </c>
      <c r="X38">
        <v>12.94892687717841</v>
      </c>
    </row>
    <row r="39" spans="1:24" x14ac:dyDescent="0.25">
      <c r="A39">
        <v>7400</v>
      </c>
      <c r="B39">
        <v>24250</v>
      </c>
      <c r="C39" s="1">
        <v>42984</v>
      </c>
      <c r="E39" s="47"/>
      <c r="F39">
        <v>16.3</v>
      </c>
      <c r="G39">
        <v>14.5</v>
      </c>
      <c r="H39">
        <v>18.399999999999999</v>
      </c>
      <c r="I39">
        <f t="shared" si="5"/>
        <v>279.8</v>
      </c>
      <c r="J39">
        <f t="shared" si="6"/>
        <v>279.8</v>
      </c>
      <c r="L39">
        <v>0</v>
      </c>
      <c r="M39">
        <v>2.9</v>
      </c>
      <c r="N39">
        <f t="shared" si="0"/>
        <v>-2.9</v>
      </c>
      <c r="O39">
        <f t="shared" si="3"/>
        <v>-21.400000000000002</v>
      </c>
      <c r="P39">
        <v>15</v>
      </c>
      <c r="Q39">
        <f t="shared" si="8"/>
        <v>0.44285714285714284</v>
      </c>
      <c r="R39">
        <f t="shared" si="1"/>
        <v>1.2842857142857143</v>
      </c>
      <c r="S39">
        <f t="shared" si="2"/>
        <v>-1.2842857142857143</v>
      </c>
      <c r="T39">
        <f t="shared" si="4"/>
        <v>5.0132142857142874</v>
      </c>
      <c r="V39">
        <v>1355.2</v>
      </c>
      <c r="W39">
        <f t="shared" si="7"/>
        <v>19360.799999999996</v>
      </c>
      <c r="X39">
        <v>12.888321154116174</v>
      </c>
    </row>
    <row r="40" spans="1:24" x14ac:dyDescent="0.25">
      <c r="A40">
        <v>7400</v>
      </c>
      <c r="B40">
        <v>24250</v>
      </c>
      <c r="C40" s="1">
        <v>42985</v>
      </c>
      <c r="E40" s="47"/>
      <c r="F40">
        <v>13.9</v>
      </c>
      <c r="G40">
        <v>10.9</v>
      </c>
      <c r="H40">
        <v>17.5</v>
      </c>
      <c r="I40">
        <f t="shared" si="5"/>
        <v>293.7</v>
      </c>
      <c r="J40">
        <f t="shared" si="6"/>
        <v>293.7</v>
      </c>
      <c r="L40">
        <v>0</v>
      </c>
      <c r="M40">
        <v>1.6</v>
      </c>
      <c r="N40">
        <f t="shared" si="0"/>
        <v>-1.6</v>
      </c>
      <c r="O40">
        <f t="shared" si="3"/>
        <v>-23.000000000000004</v>
      </c>
      <c r="P40">
        <v>16</v>
      </c>
      <c r="Q40">
        <f t="shared" si="8"/>
        <v>0.45214285714285712</v>
      </c>
      <c r="R40">
        <f t="shared" si="1"/>
        <v>0.72342857142857142</v>
      </c>
      <c r="S40">
        <f t="shared" si="2"/>
        <v>-0.72342857142857142</v>
      </c>
      <c r="T40">
        <f t="shared" si="4"/>
        <v>4.2897857142857161</v>
      </c>
      <c r="V40">
        <v>856.9</v>
      </c>
      <c r="W40">
        <f t="shared" si="7"/>
        <v>20217.699999999997</v>
      </c>
      <c r="X40">
        <v>12.827589493990157</v>
      </c>
    </row>
    <row r="41" spans="1:24" x14ac:dyDescent="0.25">
      <c r="A41">
        <v>7400</v>
      </c>
      <c r="B41">
        <v>24250</v>
      </c>
      <c r="C41" s="1">
        <v>42986</v>
      </c>
      <c r="E41" s="47"/>
      <c r="F41">
        <v>15.2</v>
      </c>
      <c r="G41">
        <v>10.9</v>
      </c>
      <c r="H41">
        <v>17.5</v>
      </c>
      <c r="I41">
        <f t="shared" si="5"/>
        <v>308.89999999999998</v>
      </c>
      <c r="J41">
        <f t="shared" si="6"/>
        <v>308.89999999999998</v>
      </c>
      <c r="L41">
        <v>20.3</v>
      </c>
      <c r="M41">
        <v>0.9</v>
      </c>
      <c r="N41">
        <f t="shared" si="0"/>
        <v>19.400000000000002</v>
      </c>
      <c r="O41">
        <f t="shared" si="3"/>
        <v>-3.6000000000000014</v>
      </c>
      <c r="P41">
        <v>17</v>
      </c>
      <c r="Q41">
        <f t="shared" si="8"/>
        <v>0.46142857142857141</v>
      </c>
      <c r="R41">
        <f t="shared" si="1"/>
        <v>0.41528571428571426</v>
      </c>
      <c r="S41">
        <f t="shared" si="2"/>
        <v>19.884714285714285</v>
      </c>
      <c r="T41">
        <f t="shared" si="4"/>
        <v>24.174500000000002</v>
      </c>
      <c r="V41">
        <v>308</v>
      </c>
      <c r="W41">
        <f t="shared" si="7"/>
        <v>20525.699999999997</v>
      </c>
      <c r="X41">
        <v>12.76674156675997</v>
      </c>
    </row>
    <row r="42" spans="1:24" x14ac:dyDescent="0.25">
      <c r="A42">
        <v>7400</v>
      </c>
      <c r="B42">
        <v>24250</v>
      </c>
      <c r="C42" s="1">
        <v>42987</v>
      </c>
      <c r="E42" s="47"/>
      <c r="F42">
        <v>13</v>
      </c>
      <c r="G42">
        <v>12.4</v>
      </c>
      <c r="H42">
        <v>15.7</v>
      </c>
      <c r="I42">
        <f t="shared" si="5"/>
        <v>321.89999999999998</v>
      </c>
      <c r="J42">
        <f t="shared" si="6"/>
        <v>321.89999999999998</v>
      </c>
      <c r="L42">
        <v>5.2</v>
      </c>
      <c r="M42">
        <v>1.6</v>
      </c>
      <c r="N42">
        <f t="shared" si="0"/>
        <v>3.6</v>
      </c>
      <c r="O42">
        <f t="shared" si="3"/>
        <v>0</v>
      </c>
      <c r="P42">
        <v>18</v>
      </c>
      <c r="Q42">
        <f t="shared" si="8"/>
        <v>0.4707142857142857</v>
      </c>
      <c r="R42">
        <f t="shared" si="1"/>
        <v>0.75314285714285711</v>
      </c>
      <c r="S42">
        <f t="shared" si="2"/>
        <v>4.4468571428571426</v>
      </c>
      <c r="T42">
        <f t="shared" si="4"/>
        <v>28.621357142857143</v>
      </c>
      <c r="V42">
        <v>699.1</v>
      </c>
      <c r="W42">
        <f t="shared" si="7"/>
        <v>21224.799999999996</v>
      </c>
      <c r="X42">
        <v>12.705786832882437</v>
      </c>
    </row>
    <row r="43" spans="1:24" x14ac:dyDescent="0.25">
      <c r="A43">
        <v>7400</v>
      </c>
      <c r="B43">
        <v>24250</v>
      </c>
      <c r="C43" s="1">
        <v>42988</v>
      </c>
      <c r="E43" s="47"/>
      <c r="F43">
        <v>11.9</v>
      </c>
      <c r="G43">
        <v>8.1</v>
      </c>
      <c r="H43">
        <v>14.4</v>
      </c>
      <c r="I43">
        <f t="shared" si="5"/>
        <v>333.79999999999995</v>
      </c>
      <c r="J43">
        <f t="shared" si="6"/>
        <v>333.79999999999995</v>
      </c>
      <c r="L43">
        <v>1.8</v>
      </c>
      <c r="M43">
        <v>0.9</v>
      </c>
      <c r="N43">
        <f t="shared" si="0"/>
        <v>0.9</v>
      </c>
      <c r="O43">
        <f t="shared" si="3"/>
        <v>0.9</v>
      </c>
      <c r="P43">
        <v>19</v>
      </c>
      <c r="Q43">
        <f t="shared" si="8"/>
        <v>0.48</v>
      </c>
      <c r="R43">
        <f t="shared" si="1"/>
        <v>0.432</v>
      </c>
      <c r="S43">
        <f t="shared" si="2"/>
        <v>1.3680000000000001</v>
      </c>
      <c r="T43">
        <f t="shared" si="4"/>
        <v>29.989357142857141</v>
      </c>
      <c r="V43">
        <v>576.4</v>
      </c>
      <c r="W43">
        <f t="shared" si="7"/>
        <v>21801.199999999997</v>
      </c>
      <c r="X43">
        <v>12.64473455825215</v>
      </c>
    </row>
    <row r="44" spans="1:24" x14ac:dyDescent="0.25">
      <c r="A44">
        <v>7400</v>
      </c>
      <c r="B44">
        <v>24250</v>
      </c>
      <c r="C44" s="1">
        <v>42989</v>
      </c>
      <c r="E44" s="47"/>
      <c r="F44">
        <v>14.5</v>
      </c>
      <c r="G44">
        <v>12.5</v>
      </c>
      <c r="H44">
        <v>17.399999999999999</v>
      </c>
      <c r="I44">
        <f t="shared" si="5"/>
        <v>348.29999999999995</v>
      </c>
      <c r="J44">
        <f t="shared" si="6"/>
        <v>348.29999999999995</v>
      </c>
      <c r="L44">
        <v>0.1</v>
      </c>
      <c r="M44">
        <v>2.6</v>
      </c>
      <c r="N44">
        <f t="shared" si="0"/>
        <v>-2.5</v>
      </c>
      <c r="O44">
        <f t="shared" si="3"/>
        <v>-1.6</v>
      </c>
      <c r="P44">
        <v>20</v>
      </c>
      <c r="Q44">
        <f t="shared" si="8"/>
        <v>0.48928571428571427</v>
      </c>
      <c r="R44">
        <f t="shared" si="1"/>
        <v>1.2721428571428572</v>
      </c>
      <c r="S44">
        <f t="shared" si="2"/>
        <v>-1.1721428571428572</v>
      </c>
      <c r="T44">
        <f t="shared" si="4"/>
        <v>28.817214285714286</v>
      </c>
      <c r="V44">
        <v>999.6</v>
      </c>
      <c r="W44">
        <f t="shared" si="7"/>
        <v>22800.799999999996</v>
      </c>
      <c r="X44">
        <v>12.583593829289125</v>
      </c>
    </row>
    <row r="45" spans="1:24" x14ac:dyDescent="0.25">
      <c r="A45">
        <v>7400</v>
      </c>
      <c r="B45">
        <v>24250</v>
      </c>
      <c r="C45" s="1">
        <v>42990</v>
      </c>
      <c r="E45" s="47"/>
      <c r="F45">
        <v>13.7</v>
      </c>
      <c r="G45">
        <v>11.6</v>
      </c>
      <c r="H45">
        <v>15.5</v>
      </c>
      <c r="I45">
        <f t="shared" si="5"/>
        <v>361.99999999999994</v>
      </c>
      <c r="J45">
        <f t="shared" si="6"/>
        <v>361.99999999999994</v>
      </c>
      <c r="L45">
        <v>2.1</v>
      </c>
      <c r="M45">
        <v>1.9</v>
      </c>
      <c r="N45">
        <f t="shared" si="0"/>
        <v>0.20000000000000018</v>
      </c>
      <c r="O45">
        <f t="shared" si="3"/>
        <v>-1.4</v>
      </c>
      <c r="P45">
        <v>21</v>
      </c>
      <c r="Q45">
        <f t="shared" si="8"/>
        <v>0.49857142857142855</v>
      </c>
      <c r="R45">
        <f t="shared" si="1"/>
        <v>0.94728571428571418</v>
      </c>
      <c r="S45">
        <f t="shared" si="2"/>
        <v>1.152714285714286</v>
      </c>
      <c r="T45">
        <f t="shared" si="4"/>
        <v>29.969928571428571</v>
      </c>
      <c r="V45">
        <v>834.1</v>
      </c>
      <c r="W45">
        <f t="shared" si="7"/>
        <v>23634.899999999994</v>
      </c>
      <c r="X45">
        <v>12.522373568156308</v>
      </c>
    </row>
    <row r="46" spans="1:24" x14ac:dyDescent="0.25">
      <c r="A46">
        <v>7400</v>
      </c>
      <c r="B46">
        <v>24250</v>
      </c>
      <c r="C46" s="1">
        <v>42991</v>
      </c>
      <c r="E46" s="47"/>
      <c r="F46">
        <v>14.2</v>
      </c>
      <c r="G46">
        <v>13.7</v>
      </c>
      <c r="H46">
        <v>15.3</v>
      </c>
      <c r="I46">
        <f t="shared" si="5"/>
        <v>376.19999999999993</v>
      </c>
      <c r="J46">
        <f t="shared" si="6"/>
        <v>376.19999999999993</v>
      </c>
      <c r="L46">
        <v>61.6</v>
      </c>
      <c r="M46">
        <v>1.1000000000000001</v>
      </c>
      <c r="N46">
        <f t="shared" si="0"/>
        <v>60.5</v>
      </c>
      <c r="O46">
        <f t="shared" si="3"/>
        <v>59.1</v>
      </c>
      <c r="P46">
        <v>22</v>
      </c>
      <c r="Q46">
        <f t="shared" si="8"/>
        <v>0.50785714285714278</v>
      </c>
      <c r="R46">
        <f t="shared" si="1"/>
        <v>0.55864285714285711</v>
      </c>
      <c r="S46">
        <f t="shared" si="2"/>
        <v>61.041357142857144</v>
      </c>
      <c r="T46">
        <f t="shared" si="4"/>
        <v>91.011285714285719</v>
      </c>
      <c r="V46">
        <v>248</v>
      </c>
      <c r="W46">
        <f t="shared" si="7"/>
        <v>23882.899999999994</v>
      </c>
      <c r="X46">
        <v>12.461082548091053</v>
      </c>
    </row>
    <row r="47" spans="1:24" x14ac:dyDescent="0.25">
      <c r="A47">
        <v>7400</v>
      </c>
      <c r="B47">
        <v>24250</v>
      </c>
      <c r="C47" s="1">
        <v>42992</v>
      </c>
      <c r="E47" s="47"/>
      <c r="F47">
        <v>12</v>
      </c>
      <c r="G47">
        <v>11.1</v>
      </c>
      <c r="H47">
        <v>13.5</v>
      </c>
      <c r="I47">
        <f t="shared" si="5"/>
        <v>388.19999999999993</v>
      </c>
      <c r="J47">
        <f t="shared" si="6"/>
        <v>388.19999999999993</v>
      </c>
      <c r="L47">
        <v>1.5</v>
      </c>
      <c r="M47">
        <v>1.7</v>
      </c>
      <c r="N47">
        <f t="shared" si="0"/>
        <v>-0.19999999999999996</v>
      </c>
      <c r="O47">
        <f t="shared" si="3"/>
        <v>58.9</v>
      </c>
      <c r="P47">
        <v>23</v>
      </c>
      <c r="Q47">
        <f t="shared" si="8"/>
        <v>0.51714285714285713</v>
      </c>
      <c r="R47">
        <f t="shared" si="1"/>
        <v>0.87914285714285711</v>
      </c>
      <c r="S47">
        <f t="shared" si="2"/>
        <v>0.62085714285714289</v>
      </c>
      <c r="T47">
        <f t="shared" si="4"/>
        <v>91.632142857142867</v>
      </c>
      <c r="V47">
        <v>891.9</v>
      </c>
      <c r="W47">
        <f t="shared" si="7"/>
        <v>24774.799999999996</v>
      </c>
      <c r="X47">
        <v>12.399729408835986</v>
      </c>
    </row>
    <row r="48" spans="1:24" x14ac:dyDescent="0.25">
      <c r="A48">
        <v>7400</v>
      </c>
      <c r="B48">
        <v>24250</v>
      </c>
      <c r="C48" s="1">
        <v>42993</v>
      </c>
      <c r="E48" s="47"/>
      <c r="F48">
        <v>10.8</v>
      </c>
      <c r="G48">
        <v>9.3000000000000007</v>
      </c>
      <c r="H48">
        <v>15.6</v>
      </c>
      <c r="I48">
        <f t="shared" si="5"/>
        <v>398.99999999999994</v>
      </c>
      <c r="J48">
        <f t="shared" si="6"/>
        <v>398.99999999999994</v>
      </c>
      <c r="L48">
        <v>1.6</v>
      </c>
      <c r="M48">
        <v>2</v>
      </c>
      <c r="N48">
        <f t="shared" si="0"/>
        <v>-0.39999999999999991</v>
      </c>
      <c r="O48">
        <f t="shared" si="3"/>
        <v>58.5</v>
      </c>
      <c r="P48">
        <v>24</v>
      </c>
      <c r="Q48">
        <f t="shared" si="8"/>
        <v>0.52642857142857147</v>
      </c>
      <c r="R48">
        <f t="shared" si="1"/>
        <v>1.0528571428571429</v>
      </c>
      <c r="S48">
        <f t="shared" si="2"/>
        <v>0.54714285714285715</v>
      </c>
      <c r="T48">
        <f t="shared" si="4"/>
        <v>92.179285714285726</v>
      </c>
      <c r="V48">
        <v>1150.5999999999999</v>
      </c>
      <c r="W48">
        <f t="shared" si="7"/>
        <v>25925.399999999994</v>
      </c>
      <c r="X48">
        <v>12.338322672155725</v>
      </c>
    </row>
    <row r="49" spans="1:24" x14ac:dyDescent="0.25">
      <c r="A49">
        <v>7400</v>
      </c>
      <c r="B49">
        <v>24250</v>
      </c>
      <c r="C49" s="1">
        <v>42994</v>
      </c>
      <c r="E49" s="47"/>
      <c r="F49">
        <v>9.3000000000000007</v>
      </c>
      <c r="G49">
        <v>5.8</v>
      </c>
      <c r="H49">
        <v>13.7</v>
      </c>
      <c r="I49">
        <f t="shared" si="5"/>
        <v>408.29999999999995</v>
      </c>
      <c r="J49">
        <f t="shared" si="6"/>
        <v>408.29999999999995</v>
      </c>
      <c r="L49">
        <v>1.2</v>
      </c>
      <c r="M49">
        <v>1.6</v>
      </c>
      <c r="N49">
        <f t="shared" si="0"/>
        <v>-0.40000000000000013</v>
      </c>
      <c r="O49">
        <f t="shared" si="3"/>
        <v>58.1</v>
      </c>
      <c r="P49">
        <v>25</v>
      </c>
      <c r="Q49">
        <f t="shared" si="8"/>
        <v>0.5357142857142857</v>
      </c>
      <c r="R49">
        <f t="shared" si="1"/>
        <v>0.85714285714285721</v>
      </c>
      <c r="S49">
        <f t="shared" si="2"/>
        <v>0.34285714285714275</v>
      </c>
      <c r="T49">
        <f t="shared" si="4"/>
        <v>92.522142857142867</v>
      </c>
      <c r="V49">
        <v>1195.0999999999999</v>
      </c>
      <c r="W49">
        <f t="shared" si="7"/>
        <v>27120.499999999993</v>
      </c>
      <c r="X49">
        <v>12.276870757427004</v>
      </c>
    </row>
    <row r="50" spans="1:24" x14ac:dyDescent="0.25">
      <c r="A50">
        <v>7400</v>
      </c>
      <c r="B50">
        <v>24250</v>
      </c>
      <c r="C50" s="1">
        <v>42995</v>
      </c>
      <c r="E50" s="47"/>
      <c r="F50">
        <v>9.1999999999999993</v>
      </c>
      <c r="G50">
        <v>5.8</v>
      </c>
      <c r="H50">
        <v>13.8</v>
      </c>
      <c r="I50">
        <f t="shared" si="5"/>
        <v>417.49999999999994</v>
      </c>
      <c r="J50">
        <f t="shared" si="6"/>
        <v>417.49999999999994</v>
      </c>
      <c r="L50">
        <v>2.4</v>
      </c>
      <c r="M50">
        <v>1.3</v>
      </c>
      <c r="N50">
        <f t="shared" si="0"/>
        <v>1.0999999999999999</v>
      </c>
      <c r="O50">
        <f t="shared" si="3"/>
        <v>59.2</v>
      </c>
      <c r="P50">
        <v>26</v>
      </c>
      <c r="Q50">
        <f t="shared" si="8"/>
        <v>0.54499999999999993</v>
      </c>
      <c r="R50">
        <f t="shared" si="1"/>
        <v>0.70849999999999991</v>
      </c>
      <c r="S50">
        <f t="shared" si="2"/>
        <v>1.6915</v>
      </c>
      <c r="T50">
        <f t="shared" si="4"/>
        <v>94.213642857142872</v>
      </c>
      <c r="V50">
        <v>983</v>
      </c>
      <c r="W50">
        <f t="shared" si="7"/>
        <v>28103.499999999993</v>
      </c>
      <c r="X50">
        <v>12.215381997290617</v>
      </c>
    </row>
    <row r="51" spans="1:24" x14ac:dyDescent="0.25">
      <c r="A51">
        <v>7400</v>
      </c>
      <c r="B51">
        <v>24250</v>
      </c>
      <c r="C51" s="1">
        <v>42996</v>
      </c>
      <c r="E51" s="47"/>
      <c r="F51">
        <v>8.9</v>
      </c>
      <c r="G51">
        <v>6</v>
      </c>
      <c r="H51">
        <v>11.7</v>
      </c>
      <c r="I51">
        <f t="shared" si="5"/>
        <v>426.39999999999992</v>
      </c>
      <c r="J51">
        <f t="shared" si="6"/>
        <v>426.39999999999992</v>
      </c>
      <c r="L51">
        <v>1.8</v>
      </c>
      <c r="M51">
        <v>0.7</v>
      </c>
      <c r="N51">
        <f t="shared" si="0"/>
        <v>1.1000000000000001</v>
      </c>
      <c r="O51">
        <f t="shared" si="3"/>
        <v>60.300000000000004</v>
      </c>
      <c r="P51">
        <v>27</v>
      </c>
      <c r="Q51">
        <f t="shared" si="8"/>
        <v>0.55428571428571427</v>
      </c>
      <c r="R51">
        <f t="shared" si="1"/>
        <v>0.38799999999999996</v>
      </c>
      <c r="S51">
        <f t="shared" si="2"/>
        <v>1.4120000000000001</v>
      </c>
      <c r="T51">
        <f t="shared" si="4"/>
        <v>95.625642857142878</v>
      </c>
      <c r="V51">
        <v>568.1</v>
      </c>
      <c r="W51">
        <f t="shared" si="7"/>
        <v>28671.599999999991</v>
      </c>
      <c r="X51">
        <v>12.153864653354361</v>
      </c>
    </row>
    <row r="52" spans="1:24" x14ac:dyDescent="0.25">
      <c r="A52">
        <v>7400</v>
      </c>
      <c r="B52">
        <v>24250</v>
      </c>
      <c r="C52" s="1">
        <v>42997</v>
      </c>
      <c r="E52" s="47"/>
      <c r="F52">
        <v>10.8</v>
      </c>
      <c r="G52">
        <v>7.6</v>
      </c>
      <c r="H52">
        <v>13.6</v>
      </c>
      <c r="I52">
        <f t="shared" si="5"/>
        <v>437.19999999999993</v>
      </c>
      <c r="J52">
        <f t="shared" si="6"/>
        <v>437.19999999999993</v>
      </c>
      <c r="L52">
        <v>4</v>
      </c>
      <c r="M52">
        <v>0.6</v>
      </c>
      <c r="N52">
        <f t="shared" si="0"/>
        <v>3.4</v>
      </c>
      <c r="O52">
        <f t="shared" si="3"/>
        <v>63.7</v>
      </c>
      <c r="P52">
        <v>28</v>
      </c>
      <c r="Q52">
        <f t="shared" si="8"/>
        <v>0.56357142857142861</v>
      </c>
      <c r="R52">
        <f t="shared" si="1"/>
        <v>0.33814285714285713</v>
      </c>
      <c r="S52">
        <f t="shared" si="2"/>
        <v>3.6618571428571429</v>
      </c>
      <c r="T52">
        <f t="shared" si="4"/>
        <v>99.287500000000023</v>
      </c>
      <c r="V52">
        <v>398</v>
      </c>
      <c r="W52">
        <f t="shared" si="7"/>
        <v>29069.599999999991</v>
      </c>
      <c r="X52">
        <v>12.092326931936796</v>
      </c>
    </row>
    <row r="53" spans="1:24" x14ac:dyDescent="0.25">
      <c r="A53">
        <v>7400</v>
      </c>
      <c r="B53">
        <v>24250</v>
      </c>
      <c r="C53" s="1">
        <v>42998</v>
      </c>
      <c r="E53" s="47"/>
      <c r="F53">
        <v>10.4</v>
      </c>
      <c r="G53">
        <v>4.5999999999999996</v>
      </c>
      <c r="H53">
        <v>16.2</v>
      </c>
      <c r="I53">
        <f t="shared" si="5"/>
        <v>447.59999999999991</v>
      </c>
      <c r="J53">
        <f t="shared" si="6"/>
        <v>447.59999999999991</v>
      </c>
      <c r="L53">
        <v>0</v>
      </c>
      <c r="M53">
        <v>1.5</v>
      </c>
      <c r="N53">
        <f t="shared" si="0"/>
        <v>-1.5</v>
      </c>
      <c r="O53">
        <f t="shared" si="3"/>
        <v>62.2</v>
      </c>
      <c r="P53">
        <v>29</v>
      </c>
      <c r="Q53">
        <f t="shared" si="8"/>
        <v>0.57285714285714284</v>
      </c>
      <c r="R53">
        <f t="shared" si="1"/>
        <v>0.85928571428571421</v>
      </c>
      <c r="S53">
        <f t="shared" si="2"/>
        <v>-0.85928571428571421</v>
      </c>
      <c r="T53">
        <f t="shared" si="4"/>
        <v>98.428214285714304</v>
      </c>
      <c r="V53">
        <v>915.3</v>
      </c>
      <c r="W53">
        <f t="shared" si="7"/>
        <v>29984.899999999991</v>
      </c>
      <c r="X53">
        <v>12.03077699984224</v>
      </c>
    </row>
    <row r="54" spans="1:24" x14ac:dyDescent="0.25">
      <c r="A54">
        <v>7400</v>
      </c>
      <c r="B54">
        <v>24250</v>
      </c>
      <c r="C54" s="1">
        <v>42999</v>
      </c>
      <c r="E54" s="47"/>
      <c r="F54">
        <v>12.5</v>
      </c>
      <c r="G54">
        <v>6.6</v>
      </c>
      <c r="H54">
        <v>18.8</v>
      </c>
      <c r="I54">
        <f t="shared" si="5"/>
        <v>460.09999999999991</v>
      </c>
      <c r="J54">
        <f t="shared" si="6"/>
        <v>460.09999999999991</v>
      </c>
      <c r="L54">
        <v>0</v>
      </c>
      <c r="M54">
        <v>2.9</v>
      </c>
      <c r="N54">
        <f t="shared" si="0"/>
        <v>-2.9</v>
      </c>
      <c r="O54">
        <f t="shared" si="3"/>
        <v>59.300000000000004</v>
      </c>
      <c r="P54">
        <v>30</v>
      </c>
      <c r="Q54">
        <f t="shared" si="8"/>
        <v>0.58214285714285707</v>
      </c>
      <c r="R54">
        <f t="shared" si="1"/>
        <v>1.6882142857142854</v>
      </c>
      <c r="S54">
        <f t="shared" si="2"/>
        <v>-1.6882142857142854</v>
      </c>
      <c r="T54">
        <f t="shared" si="4"/>
        <v>96.740000000000023</v>
      </c>
      <c r="V54">
        <v>1570.8</v>
      </c>
      <c r="W54">
        <f t="shared" si="7"/>
        <v>31555.69999999999</v>
      </c>
      <c r="X54">
        <v>11.96922300015776</v>
      </c>
    </row>
    <row r="55" spans="1:24" x14ac:dyDescent="0.25">
      <c r="A55">
        <v>7400</v>
      </c>
      <c r="B55">
        <v>24250</v>
      </c>
      <c r="C55" s="1">
        <v>43000</v>
      </c>
      <c r="E55" s="47"/>
      <c r="F55">
        <v>13.5</v>
      </c>
      <c r="G55">
        <v>7.9</v>
      </c>
      <c r="H55">
        <v>19.8</v>
      </c>
      <c r="I55">
        <f t="shared" si="5"/>
        <v>473.59999999999991</v>
      </c>
      <c r="J55">
        <f t="shared" si="6"/>
        <v>473.59999999999991</v>
      </c>
      <c r="L55">
        <v>0.1</v>
      </c>
      <c r="M55">
        <v>1.8</v>
      </c>
      <c r="N55">
        <f t="shared" si="0"/>
        <v>-1.7</v>
      </c>
      <c r="O55">
        <f t="shared" si="3"/>
        <v>57.6</v>
      </c>
      <c r="P55">
        <v>31</v>
      </c>
      <c r="Q55">
        <f t="shared" si="8"/>
        <v>0.59142857142857141</v>
      </c>
      <c r="R55">
        <f t="shared" si="1"/>
        <v>1.0645714285714285</v>
      </c>
      <c r="S55">
        <f t="shared" si="2"/>
        <v>-0.96457142857142852</v>
      </c>
      <c r="T55">
        <f t="shared" si="4"/>
        <v>95.775428571428591</v>
      </c>
      <c r="V55">
        <v>908.5</v>
      </c>
      <c r="W55">
        <f t="shared" si="7"/>
        <v>32464.19999999999</v>
      </c>
      <c r="X55">
        <v>11.907673068063204</v>
      </c>
    </row>
    <row r="56" spans="1:24" x14ac:dyDescent="0.25">
      <c r="A56">
        <v>7400</v>
      </c>
      <c r="B56">
        <v>24250</v>
      </c>
      <c r="C56" s="1">
        <v>43001</v>
      </c>
      <c r="E56" s="47"/>
      <c r="F56">
        <v>13.1</v>
      </c>
      <c r="G56">
        <v>7.6</v>
      </c>
      <c r="H56">
        <v>18.100000000000001</v>
      </c>
      <c r="I56">
        <f t="shared" si="5"/>
        <v>486.69999999999993</v>
      </c>
      <c r="J56">
        <f t="shared" si="6"/>
        <v>486.69999999999993</v>
      </c>
      <c r="L56">
        <v>0</v>
      </c>
      <c r="M56">
        <v>1.7</v>
      </c>
      <c r="N56">
        <f t="shared" si="0"/>
        <v>-1.7</v>
      </c>
      <c r="O56">
        <f t="shared" si="3"/>
        <v>55.9</v>
      </c>
      <c r="P56">
        <v>32</v>
      </c>
      <c r="Q56">
        <f t="shared" si="8"/>
        <v>0.60071428571428576</v>
      </c>
      <c r="R56">
        <f t="shared" si="1"/>
        <v>1.0212142857142859</v>
      </c>
      <c r="S56">
        <f t="shared" si="2"/>
        <v>-1.0212142857142859</v>
      </c>
      <c r="T56">
        <f t="shared" si="4"/>
        <v>94.754214285714312</v>
      </c>
      <c r="V56">
        <v>1246.2</v>
      </c>
      <c r="W56">
        <f t="shared" si="7"/>
        <v>33710.399999999987</v>
      </c>
      <c r="X56">
        <v>11.846135346645639</v>
      </c>
    </row>
    <row r="57" spans="1:24" x14ac:dyDescent="0.25">
      <c r="A57">
        <v>7400</v>
      </c>
      <c r="B57">
        <v>24250</v>
      </c>
      <c r="C57" s="1">
        <v>43002</v>
      </c>
      <c r="E57" s="47"/>
      <c r="F57">
        <v>13.7</v>
      </c>
      <c r="G57">
        <v>7.1</v>
      </c>
      <c r="H57">
        <v>20.7</v>
      </c>
      <c r="I57">
        <f t="shared" si="5"/>
        <v>500.39999999999992</v>
      </c>
      <c r="J57">
        <f t="shared" si="6"/>
        <v>500.39999999999992</v>
      </c>
      <c r="L57">
        <v>0</v>
      </c>
      <c r="M57">
        <v>2.5</v>
      </c>
      <c r="N57">
        <f t="shared" si="0"/>
        <v>-2.5</v>
      </c>
      <c r="O57">
        <f t="shared" si="3"/>
        <v>53.4</v>
      </c>
      <c r="P57">
        <v>33</v>
      </c>
      <c r="Q57">
        <f t="shared" si="8"/>
        <v>0.61</v>
      </c>
      <c r="R57">
        <f t="shared" si="1"/>
        <v>1.5249999999999999</v>
      </c>
      <c r="S57">
        <f t="shared" si="2"/>
        <v>-1.5249999999999999</v>
      </c>
      <c r="T57">
        <f t="shared" si="4"/>
        <v>93.229214285714306</v>
      </c>
      <c r="V57">
        <v>1291</v>
      </c>
      <c r="W57">
        <f t="shared" si="7"/>
        <v>35001.399999999987</v>
      </c>
      <c r="X57">
        <v>11.784618002709379</v>
      </c>
    </row>
    <row r="58" spans="1:24" x14ac:dyDescent="0.25">
      <c r="A58">
        <v>7400</v>
      </c>
      <c r="B58">
        <v>24250</v>
      </c>
      <c r="C58" s="1">
        <v>43003</v>
      </c>
      <c r="E58" s="47"/>
      <c r="F58">
        <v>15</v>
      </c>
      <c r="G58">
        <v>10</v>
      </c>
      <c r="H58">
        <v>19.899999999999999</v>
      </c>
      <c r="I58">
        <f t="shared" si="5"/>
        <v>515.39999999999986</v>
      </c>
      <c r="J58">
        <f t="shared" si="6"/>
        <v>515.39999999999986</v>
      </c>
      <c r="L58">
        <v>1.2</v>
      </c>
      <c r="M58">
        <v>1.4</v>
      </c>
      <c r="N58">
        <f t="shared" si="0"/>
        <v>-0.19999999999999996</v>
      </c>
      <c r="O58">
        <f t="shared" si="3"/>
        <v>53.199999999999996</v>
      </c>
      <c r="P58">
        <v>34</v>
      </c>
      <c r="Q58">
        <f t="shared" si="8"/>
        <v>0.61928571428571422</v>
      </c>
      <c r="R58">
        <f t="shared" si="1"/>
        <v>0.86699999999999988</v>
      </c>
      <c r="S58">
        <f t="shared" si="2"/>
        <v>0.33300000000000007</v>
      </c>
      <c r="T58">
        <f t="shared" si="4"/>
        <v>93.562214285714305</v>
      </c>
      <c r="V58">
        <v>645.4</v>
      </c>
      <c r="W58">
        <f t="shared" si="7"/>
        <v>35646.799999999988</v>
      </c>
      <c r="X58">
        <v>11.723129242572995</v>
      </c>
    </row>
    <row r="59" spans="1:24" x14ac:dyDescent="0.25">
      <c r="A59">
        <v>7400</v>
      </c>
      <c r="B59">
        <v>24250</v>
      </c>
      <c r="C59" s="1">
        <v>43004</v>
      </c>
      <c r="E59" s="47"/>
      <c r="F59">
        <v>14.8</v>
      </c>
      <c r="G59">
        <v>12.9</v>
      </c>
      <c r="H59">
        <v>19</v>
      </c>
      <c r="I59">
        <f t="shared" si="5"/>
        <v>530.19999999999982</v>
      </c>
      <c r="J59">
        <f t="shared" si="6"/>
        <v>530.19999999999982</v>
      </c>
      <c r="L59">
        <v>0.6</v>
      </c>
      <c r="M59">
        <v>1.3</v>
      </c>
      <c r="N59">
        <f t="shared" si="0"/>
        <v>-0.70000000000000007</v>
      </c>
      <c r="O59">
        <f t="shared" si="3"/>
        <v>52.499999999999993</v>
      </c>
      <c r="P59">
        <v>35</v>
      </c>
      <c r="Q59">
        <f t="shared" si="8"/>
        <v>0.62857142857142856</v>
      </c>
      <c r="R59">
        <f t="shared" si="1"/>
        <v>0.81714285714285717</v>
      </c>
      <c r="S59">
        <f t="shared" si="2"/>
        <v>-0.21714285714285719</v>
      </c>
      <c r="T59">
        <f t="shared" si="4"/>
        <v>93.345071428571444</v>
      </c>
      <c r="V59">
        <v>745.3</v>
      </c>
      <c r="W59">
        <f t="shared" si="7"/>
        <v>36392.099999999991</v>
      </c>
      <c r="X59">
        <v>11.661677327844274</v>
      </c>
    </row>
    <row r="60" spans="1:24" x14ac:dyDescent="0.25">
      <c r="A60">
        <v>7400</v>
      </c>
      <c r="B60">
        <v>24250</v>
      </c>
      <c r="C60" s="1">
        <v>43005</v>
      </c>
      <c r="E60" s="47"/>
      <c r="F60">
        <v>13.5</v>
      </c>
      <c r="G60">
        <v>7.7</v>
      </c>
      <c r="H60">
        <v>18.100000000000001</v>
      </c>
      <c r="I60">
        <f t="shared" si="5"/>
        <v>543.69999999999982</v>
      </c>
      <c r="J60">
        <f t="shared" si="6"/>
        <v>543.69999999999982</v>
      </c>
      <c r="L60">
        <v>0.2</v>
      </c>
      <c r="M60">
        <v>0.6</v>
      </c>
      <c r="N60">
        <f t="shared" si="0"/>
        <v>-0.39999999999999997</v>
      </c>
      <c r="O60">
        <f t="shared" si="3"/>
        <v>52.099999999999994</v>
      </c>
      <c r="P60">
        <v>36</v>
      </c>
      <c r="Q60">
        <f t="shared" si="8"/>
        <v>0.6378571428571429</v>
      </c>
      <c r="R60">
        <f t="shared" si="1"/>
        <v>0.38271428571428573</v>
      </c>
      <c r="S60">
        <f t="shared" si="2"/>
        <v>-0.18271428571428572</v>
      </c>
      <c r="T60">
        <f t="shared" si="4"/>
        <v>93.162357142857161</v>
      </c>
      <c r="V60">
        <v>483.2</v>
      </c>
      <c r="W60">
        <f t="shared" si="7"/>
        <v>36875.299999999988</v>
      </c>
      <c r="X60">
        <v>11.600270591164012</v>
      </c>
    </row>
    <row r="61" spans="1:24" x14ac:dyDescent="0.25">
      <c r="A61">
        <v>7400</v>
      </c>
      <c r="B61">
        <v>24250</v>
      </c>
      <c r="C61" s="1">
        <v>43006</v>
      </c>
      <c r="E61" s="47"/>
      <c r="F61">
        <v>16</v>
      </c>
      <c r="G61">
        <v>12.3</v>
      </c>
      <c r="H61">
        <v>20.6</v>
      </c>
      <c r="I61">
        <f t="shared" si="5"/>
        <v>559.69999999999982</v>
      </c>
      <c r="J61">
        <f t="shared" si="6"/>
        <v>559.69999999999982</v>
      </c>
      <c r="L61">
        <v>1.4</v>
      </c>
      <c r="M61">
        <v>1.2</v>
      </c>
      <c r="N61">
        <f t="shared" si="0"/>
        <v>0.19999999999999996</v>
      </c>
      <c r="O61">
        <f t="shared" si="3"/>
        <v>52.3</v>
      </c>
      <c r="P61">
        <v>37</v>
      </c>
      <c r="Q61">
        <f t="shared" si="8"/>
        <v>0.64714285714285713</v>
      </c>
      <c r="R61">
        <f t="shared" si="1"/>
        <v>0.77657142857142858</v>
      </c>
      <c r="S61">
        <f t="shared" si="2"/>
        <v>0.62342857142857133</v>
      </c>
      <c r="T61">
        <f t="shared" si="4"/>
        <v>93.785785714285737</v>
      </c>
      <c r="V61">
        <v>531.5</v>
      </c>
      <c r="W61">
        <f t="shared" si="7"/>
        <v>37406.799999999988</v>
      </c>
      <c r="X61">
        <v>11.538917451908945</v>
      </c>
    </row>
    <row r="62" spans="1:24" x14ac:dyDescent="0.25">
      <c r="A62">
        <v>7400</v>
      </c>
      <c r="B62">
        <v>24250</v>
      </c>
      <c r="C62" s="1">
        <v>43007</v>
      </c>
      <c r="E62" s="47"/>
      <c r="F62">
        <v>18.3</v>
      </c>
      <c r="G62">
        <v>14</v>
      </c>
      <c r="H62">
        <v>23.6</v>
      </c>
      <c r="I62">
        <f t="shared" si="5"/>
        <v>577.99999999999977</v>
      </c>
      <c r="J62">
        <f t="shared" si="6"/>
        <v>577.99999999999977</v>
      </c>
      <c r="L62">
        <v>9.5</v>
      </c>
      <c r="M62">
        <v>2.2999999999999998</v>
      </c>
      <c r="N62">
        <f t="shared" si="0"/>
        <v>7.2</v>
      </c>
      <c r="O62">
        <f t="shared" si="3"/>
        <v>59.5</v>
      </c>
      <c r="P62">
        <v>38</v>
      </c>
      <c r="Q62">
        <f t="shared" si="8"/>
        <v>0.65642857142857136</v>
      </c>
      <c r="R62">
        <f t="shared" si="1"/>
        <v>1.5097857142857141</v>
      </c>
      <c r="S62">
        <f t="shared" si="2"/>
        <v>7.9902142857142859</v>
      </c>
      <c r="T62">
        <f t="shared" si="4"/>
        <v>101.77600000000002</v>
      </c>
      <c r="V62">
        <v>1134.7</v>
      </c>
      <c r="W62">
        <f t="shared" si="7"/>
        <v>38541.499999999985</v>
      </c>
      <c r="X62">
        <v>11.477626431843692</v>
      </c>
    </row>
    <row r="63" spans="1:24" x14ac:dyDescent="0.25">
      <c r="A63">
        <v>7400</v>
      </c>
      <c r="B63">
        <v>24250</v>
      </c>
      <c r="C63" s="1">
        <v>43008</v>
      </c>
      <c r="E63" s="47"/>
      <c r="F63">
        <v>13.1</v>
      </c>
      <c r="G63">
        <v>13.1</v>
      </c>
      <c r="H63">
        <v>13.8</v>
      </c>
      <c r="I63">
        <f t="shared" si="5"/>
        <v>591.0999999999998</v>
      </c>
      <c r="J63">
        <f t="shared" si="6"/>
        <v>591.0999999999998</v>
      </c>
      <c r="L63">
        <v>10</v>
      </c>
      <c r="M63">
        <v>0.7</v>
      </c>
      <c r="N63">
        <f t="shared" si="0"/>
        <v>9.3000000000000007</v>
      </c>
      <c r="O63">
        <f t="shared" si="3"/>
        <v>68.8</v>
      </c>
      <c r="P63">
        <v>39</v>
      </c>
      <c r="Q63">
        <f t="shared" si="8"/>
        <v>0.6657142857142857</v>
      </c>
      <c r="R63">
        <f t="shared" si="1"/>
        <v>0.46599999999999997</v>
      </c>
      <c r="S63">
        <f t="shared" si="2"/>
        <v>9.5340000000000007</v>
      </c>
      <c r="T63">
        <f t="shared" si="4"/>
        <v>111.31000000000003</v>
      </c>
      <c r="V63">
        <v>469.4</v>
      </c>
      <c r="W63">
        <f t="shared" si="7"/>
        <v>39010.899999999987</v>
      </c>
      <c r="X63">
        <v>11.416406170710875</v>
      </c>
    </row>
    <row r="64" spans="1:24" x14ac:dyDescent="0.25">
      <c r="A64">
        <v>7400</v>
      </c>
      <c r="B64">
        <v>24250</v>
      </c>
      <c r="C64" s="1">
        <v>43009</v>
      </c>
      <c r="E64" s="47"/>
      <c r="F64">
        <v>12.9</v>
      </c>
      <c r="G64">
        <v>8.5</v>
      </c>
      <c r="H64">
        <v>16.100000000000001</v>
      </c>
      <c r="I64">
        <f t="shared" si="5"/>
        <v>603.99999999999977</v>
      </c>
      <c r="J64">
        <f t="shared" si="6"/>
        <v>603.99999999999977</v>
      </c>
      <c r="L64">
        <v>0.5</v>
      </c>
      <c r="M64">
        <v>0.7</v>
      </c>
      <c r="N64">
        <f t="shared" si="0"/>
        <v>-0.19999999999999996</v>
      </c>
      <c r="O64">
        <f t="shared" si="3"/>
        <v>68.599999999999994</v>
      </c>
      <c r="P64">
        <v>40</v>
      </c>
      <c r="Q64">
        <f t="shared" si="8"/>
        <v>0.67500000000000004</v>
      </c>
      <c r="R64">
        <f t="shared" si="1"/>
        <v>0.47249999999999998</v>
      </c>
      <c r="S64">
        <f t="shared" si="2"/>
        <v>2.7500000000000024E-2</v>
      </c>
      <c r="T64">
        <f t="shared" si="4"/>
        <v>111.33750000000003</v>
      </c>
      <c r="V64">
        <v>189.3</v>
      </c>
      <c r="W64">
        <f t="shared" si="7"/>
        <v>39200.19999999999</v>
      </c>
      <c r="X64">
        <v>11.35526544174785</v>
      </c>
    </row>
    <row r="65" spans="1:24" x14ac:dyDescent="0.25">
      <c r="A65">
        <v>7400</v>
      </c>
      <c r="B65">
        <v>24250</v>
      </c>
      <c r="C65" s="1">
        <v>43010</v>
      </c>
      <c r="E65" s="47"/>
      <c r="F65">
        <v>15.7</v>
      </c>
      <c r="G65">
        <v>13.7</v>
      </c>
      <c r="H65">
        <v>17.5</v>
      </c>
      <c r="I65">
        <f t="shared" si="5"/>
        <v>619.69999999999982</v>
      </c>
      <c r="J65">
        <f t="shared" si="6"/>
        <v>619.69999999999982</v>
      </c>
      <c r="L65">
        <v>9.1</v>
      </c>
      <c r="M65">
        <v>0.7</v>
      </c>
      <c r="N65">
        <f t="shared" si="0"/>
        <v>8.4</v>
      </c>
      <c r="O65">
        <f t="shared" si="3"/>
        <v>77</v>
      </c>
      <c r="P65">
        <v>41</v>
      </c>
      <c r="Q65">
        <f t="shared" si="8"/>
        <v>0.68428571428571416</v>
      </c>
      <c r="R65">
        <f t="shared" si="1"/>
        <v>0.47899999999999987</v>
      </c>
      <c r="S65">
        <f t="shared" si="2"/>
        <v>8.6210000000000004</v>
      </c>
      <c r="T65">
        <f t="shared" si="4"/>
        <v>119.95850000000003</v>
      </c>
      <c r="V65">
        <v>254</v>
      </c>
      <c r="W65">
        <f t="shared" si="7"/>
        <v>39454.19999999999</v>
      </c>
      <c r="X65">
        <v>11.294213167117563</v>
      </c>
    </row>
    <row r="66" spans="1:24" x14ac:dyDescent="0.25">
      <c r="A66">
        <v>7400</v>
      </c>
      <c r="B66">
        <v>24250</v>
      </c>
      <c r="C66" s="1">
        <v>43011</v>
      </c>
      <c r="E66" s="47"/>
      <c r="F66">
        <v>12</v>
      </c>
      <c r="G66">
        <v>10.4</v>
      </c>
      <c r="H66">
        <v>15.5</v>
      </c>
      <c r="I66">
        <f t="shared" si="5"/>
        <v>631.69999999999982</v>
      </c>
      <c r="J66">
        <f t="shared" si="6"/>
        <v>631.69999999999982</v>
      </c>
      <c r="L66">
        <v>0</v>
      </c>
      <c r="M66">
        <v>1.5</v>
      </c>
      <c r="N66">
        <f t="shared" si="0"/>
        <v>-1.5</v>
      </c>
      <c r="O66">
        <f t="shared" si="3"/>
        <v>75.5</v>
      </c>
      <c r="P66">
        <v>42</v>
      </c>
      <c r="Q66">
        <f t="shared" si="8"/>
        <v>0.69357142857142851</v>
      </c>
      <c r="R66">
        <f t="shared" si="1"/>
        <v>1.0403571428571428</v>
      </c>
      <c r="S66">
        <f t="shared" si="2"/>
        <v>-1.0403571428571428</v>
      </c>
      <c r="T66">
        <f t="shared" si="4"/>
        <v>118.91814285714288</v>
      </c>
      <c r="V66">
        <v>573.4</v>
      </c>
      <c r="W66">
        <f t="shared" si="7"/>
        <v>40027.599999999991</v>
      </c>
      <c r="X66">
        <v>11.233258433240028</v>
      </c>
    </row>
    <row r="67" spans="1:24" x14ac:dyDescent="0.25">
      <c r="A67">
        <v>7400</v>
      </c>
      <c r="B67">
        <v>24250</v>
      </c>
      <c r="C67" s="1">
        <v>43012</v>
      </c>
      <c r="E67" s="47"/>
      <c r="F67">
        <v>10.199999999999999</v>
      </c>
      <c r="G67">
        <v>6.7</v>
      </c>
      <c r="H67">
        <v>15.4</v>
      </c>
      <c r="I67">
        <f t="shared" si="5"/>
        <v>641.89999999999986</v>
      </c>
      <c r="J67">
        <f t="shared" si="6"/>
        <v>641.89999999999986</v>
      </c>
      <c r="L67">
        <v>0.1</v>
      </c>
      <c r="M67">
        <v>1.5</v>
      </c>
      <c r="N67">
        <f t="shared" si="0"/>
        <v>-1.4</v>
      </c>
      <c r="O67">
        <f t="shared" si="3"/>
        <v>74.099999999999994</v>
      </c>
      <c r="P67">
        <v>43</v>
      </c>
      <c r="Q67">
        <f t="shared" si="8"/>
        <v>0.70285714285714285</v>
      </c>
      <c r="R67">
        <f t="shared" si="1"/>
        <v>1.0542857142857143</v>
      </c>
      <c r="S67">
        <f t="shared" si="2"/>
        <v>-0.95428571428571429</v>
      </c>
      <c r="T67">
        <f t="shared" si="4"/>
        <v>117.96385714285717</v>
      </c>
      <c r="V67">
        <v>698.5</v>
      </c>
      <c r="W67">
        <f t="shared" si="7"/>
        <v>40726.099999999991</v>
      </c>
      <c r="X67">
        <v>11.172410506009845</v>
      </c>
    </row>
    <row r="68" spans="1:24" x14ac:dyDescent="0.25">
      <c r="A68">
        <v>7400</v>
      </c>
      <c r="B68">
        <v>24250</v>
      </c>
      <c r="C68" s="1">
        <v>43013</v>
      </c>
      <c r="E68" s="47"/>
      <c r="F68">
        <v>10.1</v>
      </c>
      <c r="G68">
        <v>7.6</v>
      </c>
      <c r="H68">
        <v>14.5</v>
      </c>
      <c r="I68">
        <f t="shared" si="5"/>
        <v>651.99999999999989</v>
      </c>
      <c r="J68">
        <f t="shared" si="6"/>
        <v>651.99999999999989</v>
      </c>
      <c r="L68">
        <v>1.6</v>
      </c>
      <c r="M68">
        <v>1.2</v>
      </c>
      <c r="N68">
        <f t="shared" si="0"/>
        <v>0.40000000000000013</v>
      </c>
      <c r="O68">
        <f t="shared" si="3"/>
        <v>74.5</v>
      </c>
      <c r="P68">
        <v>44</v>
      </c>
      <c r="Q68">
        <f t="shared" si="8"/>
        <v>0.71214285714285719</v>
      </c>
      <c r="R68">
        <f t="shared" si="1"/>
        <v>0.85457142857142865</v>
      </c>
      <c r="S68">
        <f t="shared" si="2"/>
        <v>0.74542857142857144</v>
      </c>
      <c r="T68">
        <f t="shared" si="4"/>
        <v>118.70928571428574</v>
      </c>
      <c r="V68">
        <v>507.7</v>
      </c>
      <c r="W68">
        <f t="shared" si="7"/>
        <v>41233.799999999988</v>
      </c>
      <c r="X68">
        <v>11.111678845883828</v>
      </c>
    </row>
    <row r="69" spans="1:24" x14ac:dyDescent="0.25">
      <c r="A69">
        <v>7400</v>
      </c>
      <c r="B69">
        <v>24250</v>
      </c>
      <c r="C69" s="1">
        <v>43014</v>
      </c>
      <c r="E69" s="47"/>
      <c r="F69">
        <v>8.4</v>
      </c>
      <c r="G69">
        <v>4.7</v>
      </c>
      <c r="H69">
        <v>13.4</v>
      </c>
      <c r="I69">
        <f t="shared" si="5"/>
        <v>660.39999999999986</v>
      </c>
      <c r="J69">
        <f t="shared" si="6"/>
        <v>660.39999999999986</v>
      </c>
      <c r="L69">
        <v>0.5</v>
      </c>
      <c r="M69">
        <v>1.6</v>
      </c>
      <c r="N69">
        <f t="shared" ref="N69:N132" si="9">L69-M69</f>
        <v>-1.1000000000000001</v>
      </c>
      <c r="O69">
        <f t="shared" si="3"/>
        <v>73.400000000000006</v>
      </c>
      <c r="P69">
        <v>45</v>
      </c>
      <c r="Q69">
        <f t="shared" si="8"/>
        <v>0.72142857142857142</v>
      </c>
      <c r="R69">
        <f t="shared" ref="R69:R132" si="10">Q69*M69</f>
        <v>1.1542857142857144</v>
      </c>
      <c r="S69">
        <f t="shared" ref="S69:S132" si="11">L69-R69</f>
        <v>-0.65428571428571436</v>
      </c>
      <c r="T69">
        <f t="shared" si="4"/>
        <v>118.05500000000002</v>
      </c>
      <c r="V69">
        <v>1017.8</v>
      </c>
      <c r="W69">
        <f t="shared" si="7"/>
        <v>42251.599999999991</v>
      </c>
      <c r="X69">
        <v>11.051073122821586</v>
      </c>
    </row>
    <row r="70" spans="1:24" x14ac:dyDescent="0.25">
      <c r="A70">
        <v>7400</v>
      </c>
      <c r="B70">
        <v>24250</v>
      </c>
      <c r="C70" s="1">
        <v>43015</v>
      </c>
      <c r="E70" s="47"/>
      <c r="F70">
        <v>8.9</v>
      </c>
      <c r="G70">
        <v>1.5</v>
      </c>
      <c r="H70">
        <v>13.8</v>
      </c>
      <c r="I70">
        <f t="shared" si="5"/>
        <v>669.29999999999984</v>
      </c>
      <c r="J70">
        <f t="shared" si="6"/>
        <v>669.29999999999984</v>
      </c>
      <c r="L70">
        <v>1.4</v>
      </c>
      <c r="M70">
        <v>0.9</v>
      </c>
      <c r="N70">
        <f t="shared" si="9"/>
        <v>0.49999999999999989</v>
      </c>
      <c r="O70">
        <f t="shared" ref="O70:O133" si="12">O69+N70</f>
        <v>73.900000000000006</v>
      </c>
      <c r="P70">
        <v>46</v>
      </c>
      <c r="Q70">
        <f t="shared" si="8"/>
        <v>0.73071428571428565</v>
      </c>
      <c r="R70">
        <f t="shared" si="10"/>
        <v>0.65764285714285708</v>
      </c>
      <c r="S70">
        <f t="shared" si="11"/>
        <v>0.74235714285714283</v>
      </c>
      <c r="T70">
        <f t="shared" si="4"/>
        <v>118.79735714285717</v>
      </c>
      <c r="V70">
        <v>597</v>
      </c>
      <c r="W70">
        <f t="shared" si="7"/>
        <v>42848.599999999991</v>
      </c>
      <c r="X70">
        <v>10.990603231060261</v>
      </c>
    </row>
    <row r="71" spans="1:24" x14ac:dyDescent="0.25">
      <c r="A71">
        <v>7400</v>
      </c>
      <c r="B71">
        <v>24250</v>
      </c>
      <c r="C71" s="1">
        <v>43016</v>
      </c>
      <c r="E71" s="47"/>
      <c r="F71">
        <v>12.6</v>
      </c>
      <c r="G71">
        <v>11</v>
      </c>
      <c r="H71">
        <v>14.4</v>
      </c>
      <c r="I71">
        <f t="shared" si="5"/>
        <v>681.89999999999986</v>
      </c>
      <c r="J71">
        <f t="shared" si="6"/>
        <v>681.89999999999986</v>
      </c>
      <c r="L71">
        <v>0.7</v>
      </c>
      <c r="M71">
        <v>0.7</v>
      </c>
      <c r="N71">
        <f t="shared" si="9"/>
        <v>0</v>
      </c>
      <c r="O71">
        <f t="shared" si="12"/>
        <v>73.900000000000006</v>
      </c>
      <c r="P71">
        <v>47</v>
      </c>
      <c r="Q71">
        <f t="shared" si="8"/>
        <v>0.74</v>
      </c>
      <c r="R71">
        <f t="shared" si="10"/>
        <v>0.51800000000000002</v>
      </c>
      <c r="S71">
        <f t="shared" si="11"/>
        <v>0.18199999999999994</v>
      </c>
      <c r="T71">
        <f t="shared" si="4"/>
        <v>118.97935714285717</v>
      </c>
      <c r="V71">
        <v>421</v>
      </c>
      <c r="W71">
        <f t="shared" si="7"/>
        <v>43269.599999999991</v>
      </c>
      <c r="X71">
        <v>10.93027930370309</v>
      </c>
    </row>
    <row r="72" spans="1:24" x14ac:dyDescent="0.25">
      <c r="A72">
        <v>7400</v>
      </c>
      <c r="B72">
        <v>24250</v>
      </c>
      <c r="C72" s="1">
        <v>43017</v>
      </c>
      <c r="E72" s="47"/>
      <c r="F72">
        <v>11.9</v>
      </c>
      <c r="G72">
        <v>9.9</v>
      </c>
      <c r="H72">
        <v>15.3</v>
      </c>
      <c r="I72">
        <f t="shared" si="5"/>
        <v>693.79999999999984</v>
      </c>
      <c r="J72">
        <f t="shared" si="6"/>
        <v>693.79999999999984</v>
      </c>
      <c r="L72">
        <v>0.9</v>
      </c>
      <c r="M72">
        <v>1.3</v>
      </c>
      <c r="N72">
        <f t="shared" si="9"/>
        <v>-0.4</v>
      </c>
      <c r="O72">
        <f t="shared" si="12"/>
        <v>73.5</v>
      </c>
      <c r="P72">
        <v>48</v>
      </c>
      <c r="Q72">
        <f t="shared" si="8"/>
        <v>0.74928571428571433</v>
      </c>
      <c r="R72">
        <f t="shared" si="10"/>
        <v>0.9740714285714287</v>
      </c>
      <c r="S72">
        <f t="shared" si="11"/>
        <v>-7.4071428571428677E-2</v>
      </c>
      <c r="T72">
        <f t="shared" si="4"/>
        <v>118.90528571428574</v>
      </c>
      <c r="V72">
        <v>676.7</v>
      </c>
      <c r="W72">
        <f t="shared" si="7"/>
        <v>43946.299999999988</v>
      </c>
      <c r="X72">
        <v>10.870111727099799</v>
      </c>
    </row>
    <row r="73" spans="1:24" x14ac:dyDescent="0.25">
      <c r="A73">
        <v>7400</v>
      </c>
      <c r="B73">
        <v>24250</v>
      </c>
      <c r="C73" s="1">
        <v>43018</v>
      </c>
      <c r="E73" s="47"/>
      <c r="F73">
        <v>12.6</v>
      </c>
      <c r="G73">
        <v>11.4</v>
      </c>
      <c r="H73">
        <v>14.9</v>
      </c>
      <c r="I73">
        <f t="shared" si="5"/>
        <v>706.39999999999986</v>
      </c>
      <c r="J73">
        <f t="shared" si="6"/>
        <v>706.39999999999986</v>
      </c>
      <c r="L73">
        <v>0.5</v>
      </c>
      <c r="M73">
        <v>0.8</v>
      </c>
      <c r="N73">
        <f t="shared" si="9"/>
        <v>-0.30000000000000004</v>
      </c>
      <c r="O73">
        <f t="shared" si="12"/>
        <v>73.2</v>
      </c>
      <c r="P73">
        <v>49</v>
      </c>
      <c r="Q73">
        <f t="shared" si="8"/>
        <v>0.75857142857142856</v>
      </c>
      <c r="R73">
        <f t="shared" si="10"/>
        <v>0.60685714285714287</v>
      </c>
      <c r="S73">
        <f t="shared" si="11"/>
        <v>-0.10685714285714287</v>
      </c>
      <c r="T73">
        <f t="shared" si="4"/>
        <v>118.7984285714286</v>
      </c>
      <c r="V73">
        <v>301.89999999999998</v>
      </c>
      <c r="W73">
        <f t="shared" si="7"/>
        <v>44248.19999999999</v>
      </c>
      <c r="X73">
        <v>10.810111154994875</v>
      </c>
    </row>
    <row r="74" spans="1:24" x14ac:dyDescent="0.25">
      <c r="A74">
        <v>7400</v>
      </c>
      <c r="B74">
        <v>24250</v>
      </c>
      <c r="C74" s="1">
        <v>43019</v>
      </c>
      <c r="E74" s="47"/>
      <c r="F74">
        <v>13.3</v>
      </c>
      <c r="G74">
        <v>9.5</v>
      </c>
      <c r="H74">
        <v>17.100000000000001</v>
      </c>
      <c r="I74">
        <f t="shared" si="5"/>
        <v>719.69999999999982</v>
      </c>
      <c r="J74">
        <f t="shared" si="6"/>
        <v>719.69999999999982</v>
      </c>
      <c r="L74">
        <v>0</v>
      </c>
      <c r="M74">
        <v>1.1000000000000001</v>
      </c>
      <c r="N74">
        <f t="shared" si="9"/>
        <v>-1.1000000000000001</v>
      </c>
      <c r="O74">
        <f t="shared" si="12"/>
        <v>72.100000000000009</v>
      </c>
      <c r="P74">
        <v>50</v>
      </c>
      <c r="Q74">
        <f t="shared" si="8"/>
        <v>0.7678571428571429</v>
      </c>
      <c r="R74">
        <f t="shared" si="10"/>
        <v>0.84464285714285725</v>
      </c>
      <c r="S74">
        <f t="shared" si="11"/>
        <v>-0.84464285714285725</v>
      </c>
      <c r="T74">
        <f t="shared" si="4"/>
        <v>117.95378571428574</v>
      </c>
      <c r="V74">
        <v>387.6</v>
      </c>
      <c r="W74">
        <f t="shared" si="7"/>
        <v>44635.799999999988</v>
      </c>
      <c r="X74">
        <v>10.750288522417884</v>
      </c>
    </row>
    <row r="75" spans="1:24" x14ac:dyDescent="0.25">
      <c r="A75">
        <v>7400</v>
      </c>
      <c r="B75">
        <v>24250</v>
      </c>
      <c r="C75" s="1">
        <v>43020</v>
      </c>
      <c r="E75" s="47"/>
      <c r="F75">
        <v>13.7</v>
      </c>
      <c r="G75">
        <v>12.1</v>
      </c>
      <c r="H75">
        <v>17</v>
      </c>
      <c r="I75">
        <f t="shared" si="5"/>
        <v>733.39999999999986</v>
      </c>
      <c r="J75">
        <f t="shared" si="6"/>
        <v>733.39999999999986</v>
      </c>
      <c r="L75">
        <v>0.1</v>
      </c>
      <c r="M75">
        <v>1.1000000000000001</v>
      </c>
      <c r="N75">
        <f t="shared" si="9"/>
        <v>-1</v>
      </c>
      <c r="O75">
        <f t="shared" si="12"/>
        <v>71.100000000000009</v>
      </c>
      <c r="P75">
        <v>51</v>
      </c>
      <c r="Q75">
        <f t="shared" si="8"/>
        <v>0.77714285714285714</v>
      </c>
      <c r="R75">
        <f t="shared" si="10"/>
        <v>0.85485714285714287</v>
      </c>
      <c r="S75">
        <f t="shared" si="11"/>
        <v>-0.75485714285714289</v>
      </c>
      <c r="T75">
        <f t="shared" si="4"/>
        <v>117.1989285714286</v>
      </c>
      <c r="V75">
        <v>340.4</v>
      </c>
      <c r="W75">
        <f t="shared" si="7"/>
        <v>44976.19999999999</v>
      </c>
      <c r="X75">
        <v>10.690655059287931</v>
      </c>
    </row>
    <row r="76" spans="1:24" x14ac:dyDescent="0.25">
      <c r="A76">
        <v>7400</v>
      </c>
      <c r="B76">
        <v>24250</v>
      </c>
      <c r="C76" s="1">
        <v>43021</v>
      </c>
      <c r="E76" s="47"/>
      <c r="F76">
        <v>14.1</v>
      </c>
      <c r="G76">
        <v>10</v>
      </c>
      <c r="H76">
        <v>19.399999999999999</v>
      </c>
      <c r="I76">
        <f t="shared" si="5"/>
        <v>747.49999999999989</v>
      </c>
      <c r="J76">
        <f t="shared" si="6"/>
        <v>747.49999999999989</v>
      </c>
      <c r="L76">
        <v>0</v>
      </c>
      <c r="M76">
        <v>1.7</v>
      </c>
      <c r="N76">
        <f t="shared" si="9"/>
        <v>-1.7</v>
      </c>
      <c r="O76">
        <f t="shared" si="12"/>
        <v>69.400000000000006</v>
      </c>
      <c r="P76">
        <v>52</v>
      </c>
      <c r="Q76">
        <f t="shared" si="8"/>
        <v>0.78642857142857137</v>
      </c>
      <c r="R76">
        <f t="shared" si="10"/>
        <v>1.3369285714285712</v>
      </c>
      <c r="S76">
        <f t="shared" si="11"/>
        <v>-1.3369285714285712</v>
      </c>
      <c r="T76">
        <f t="shared" si="4"/>
        <v>115.86200000000002</v>
      </c>
      <c r="V76">
        <v>879.3</v>
      </c>
      <c r="W76">
        <f t="shared" si="7"/>
        <v>45855.499999999993</v>
      </c>
      <c r="X76">
        <v>10.631222303702216</v>
      </c>
    </row>
    <row r="77" spans="1:24" x14ac:dyDescent="0.25">
      <c r="A77">
        <v>7400</v>
      </c>
      <c r="B77">
        <v>24250</v>
      </c>
      <c r="C77" s="1">
        <v>43022</v>
      </c>
      <c r="E77" s="47"/>
      <c r="F77">
        <v>14.1</v>
      </c>
      <c r="G77">
        <v>8.1999999999999993</v>
      </c>
      <c r="H77">
        <v>21.1</v>
      </c>
      <c r="I77">
        <f t="shared" si="5"/>
        <v>761.59999999999991</v>
      </c>
      <c r="J77">
        <f t="shared" si="6"/>
        <v>761.59999999999991</v>
      </c>
      <c r="L77">
        <v>0.1</v>
      </c>
      <c r="M77">
        <v>2.2999999999999998</v>
      </c>
      <c r="N77">
        <f t="shared" si="9"/>
        <v>-2.1999999999999997</v>
      </c>
      <c r="O77">
        <f t="shared" si="12"/>
        <v>67.2</v>
      </c>
      <c r="P77">
        <v>53</v>
      </c>
      <c r="Q77">
        <f t="shared" si="8"/>
        <v>0.79571428571428571</v>
      </c>
      <c r="R77">
        <f t="shared" si="10"/>
        <v>1.8301428571428571</v>
      </c>
      <c r="S77">
        <f t="shared" si="11"/>
        <v>-1.730142857142857</v>
      </c>
      <c r="T77">
        <f t="shared" si="4"/>
        <v>114.13185714285717</v>
      </c>
      <c r="V77">
        <v>1206.8</v>
      </c>
      <c r="W77">
        <f t="shared" si="7"/>
        <v>47062.299999999996</v>
      </c>
      <c r="X77">
        <v>10.572002114876332</v>
      </c>
    </row>
    <row r="78" spans="1:24" x14ac:dyDescent="0.25">
      <c r="A78">
        <v>7400</v>
      </c>
      <c r="B78">
        <v>24250</v>
      </c>
      <c r="C78" s="1">
        <v>43023</v>
      </c>
      <c r="E78" s="47"/>
      <c r="F78">
        <v>14.4</v>
      </c>
      <c r="G78">
        <v>9.5</v>
      </c>
      <c r="H78">
        <v>20.8</v>
      </c>
      <c r="I78">
        <f t="shared" si="5"/>
        <v>775.99999999999989</v>
      </c>
      <c r="J78">
        <f t="shared" si="6"/>
        <v>775.99999999999989</v>
      </c>
      <c r="L78">
        <v>0.2</v>
      </c>
      <c r="M78">
        <v>2.6</v>
      </c>
      <c r="N78">
        <f t="shared" si="9"/>
        <v>-2.4</v>
      </c>
      <c r="O78">
        <f t="shared" si="12"/>
        <v>64.8</v>
      </c>
      <c r="P78">
        <v>54</v>
      </c>
      <c r="Q78">
        <f t="shared" si="8"/>
        <v>0.80499999999999994</v>
      </c>
      <c r="R78">
        <f t="shared" si="10"/>
        <v>2.093</v>
      </c>
      <c r="S78">
        <f t="shared" si="11"/>
        <v>-1.893</v>
      </c>
      <c r="T78">
        <f t="shared" si="4"/>
        <v>112.23885714285717</v>
      </c>
      <c r="V78">
        <v>1228.7</v>
      </c>
      <c r="W78">
        <f t="shared" si="7"/>
        <v>48290.999999999993</v>
      </c>
      <c r="X78">
        <v>10.513006685701605</v>
      </c>
    </row>
    <row r="79" spans="1:24" x14ac:dyDescent="0.25">
      <c r="A79">
        <v>7400</v>
      </c>
      <c r="B79">
        <v>24250</v>
      </c>
      <c r="C79" s="1">
        <v>43024</v>
      </c>
      <c r="E79" s="47"/>
      <c r="F79">
        <v>15.1</v>
      </c>
      <c r="G79">
        <v>11.2</v>
      </c>
      <c r="H79">
        <v>21.9</v>
      </c>
      <c r="I79">
        <f t="shared" si="5"/>
        <v>791.09999999999991</v>
      </c>
      <c r="J79">
        <f t="shared" si="6"/>
        <v>791.09999999999991</v>
      </c>
      <c r="L79">
        <v>0</v>
      </c>
      <c r="M79">
        <v>3.1</v>
      </c>
      <c r="N79">
        <f t="shared" si="9"/>
        <v>-3.1</v>
      </c>
      <c r="O79">
        <f t="shared" si="12"/>
        <v>61.699999999999996</v>
      </c>
      <c r="P79">
        <v>55</v>
      </c>
      <c r="Q79">
        <f t="shared" si="8"/>
        <v>0.81428571428571428</v>
      </c>
      <c r="R79">
        <f t="shared" si="10"/>
        <v>2.5242857142857145</v>
      </c>
      <c r="S79">
        <f t="shared" si="11"/>
        <v>-2.5242857142857145</v>
      </c>
      <c r="T79">
        <f t="shared" si="4"/>
        <v>109.71457142857146</v>
      </c>
      <c r="V79">
        <v>1151.4000000000001</v>
      </c>
      <c r="W79">
        <f t="shared" si="7"/>
        <v>49442.399999999994</v>
      </c>
      <c r="X79">
        <v>10.454248554882316</v>
      </c>
    </row>
    <row r="80" spans="1:24" x14ac:dyDescent="0.25">
      <c r="A80">
        <v>7400</v>
      </c>
      <c r="B80">
        <v>24250</v>
      </c>
      <c r="C80" s="1">
        <v>43025</v>
      </c>
      <c r="E80" s="47"/>
      <c r="F80">
        <v>15.2</v>
      </c>
      <c r="G80">
        <v>10.5</v>
      </c>
      <c r="H80">
        <v>21.5</v>
      </c>
      <c r="I80">
        <f t="shared" si="5"/>
        <v>806.3</v>
      </c>
      <c r="J80">
        <f t="shared" si="6"/>
        <v>806.3</v>
      </c>
      <c r="L80">
        <v>0</v>
      </c>
      <c r="M80">
        <v>2.5</v>
      </c>
      <c r="N80">
        <f t="shared" si="9"/>
        <v>-2.5</v>
      </c>
      <c r="O80">
        <f t="shared" si="12"/>
        <v>59.199999999999996</v>
      </c>
      <c r="P80">
        <v>56</v>
      </c>
      <c r="Q80">
        <f t="shared" si="8"/>
        <v>0.82357142857142862</v>
      </c>
      <c r="R80">
        <f t="shared" si="10"/>
        <v>2.0589285714285714</v>
      </c>
      <c r="S80">
        <f t="shared" si="11"/>
        <v>-2.0589285714285714</v>
      </c>
      <c r="T80">
        <f t="shared" si="4"/>
        <v>107.65564285714289</v>
      </c>
      <c r="V80">
        <v>1106.5999999999999</v>
      </c>
      <c r="W80">
        <f t="shared" si="7"/>
        <v>50548.999999999993</v>
      </c>
      <c r="X80">
        <v>10.395740618613205</v>
      </c>
    </row>
    <row r="81" spans="1:24" x14ac:dyDescent="0.25">
      <c r="A81">
        <v>7400</v>
      </c>
      <c r="B81">
        <v>24250</v>
      </c>
      <c r="C81" s="1">
        <v>43026</v>
      </c>
      <c r="E81" s="47"/>
      <c r="F81">
        <v>13.5</v>
      </c>
      <c r="G81">
        <v>8.5</v>
      </c>
      <c r="H81">
        <v>20.5</v>
      </c>
      <c r="I81">
        <f t="shared" si="5"/>
        <v>819.8</v>
      </c>
      <c r="J81">
        <f t="shared" si="6"/>
        <v>819.8</v>
      </c>
      <c r="L81">
        <v>0</v>
      </c>
      <c r="M81">
        <v>2.8</v>
      </c>
      <c r="N81">
        <f t="shared" si="9"/>
        <v>-2.8</v>
      </c>
      <c r="O81">
        <f t="shared" si="12"/>
        <v>56.4</v>
      </c>
      <c r="P81">
        <v>57</v>
      </c>
      <c r="Q81">
        <f t="shared" si="8"/>
        <v>0.83285714285714285</v>
      </c>
      <c r="R81">
        <f t="shared" si="10"/>
        <v>2.3319999999999999</v>
      </c>
      <c r="S81">
        <f t="shared" si="11"/>
        <v>-2.3319999999999999</v>
      </c>
      <c r="T81">
        <f t="shared" si="4"/>
        <v>105.3236428571429</v>
      </c>
      <c r="V81">
        <v>1167.0999999999999</v>
      </c>
      <c r="W81">
        <f t="shared" si="7"/>
        <v>51716.099999999991</v>
      </c>
      <c r="X81">
        <v>10.33749614175489</v>
      </c>
    </row>
    <row r="82" spans="1:24" x14ac:dyDescent="0.25">
      <c r="A82">
        <v>7400</v>
      </c>
      <c r="B82">
        <v>24250</v>
      </c>
      <c r="C82" s="1">
        <v>43027</v>
      </c>
      <c r="E82" s="47"/>
      <c r="F82">
        <v>15.6</v>
      </c>
      <c r="G82">
        <v>10</v>
      </c>
      <c r="H82">
        <v>22.2</v>
      </c>
      <c r="I82">
        <f t="shared" si="5"/>
        <v>835.4</v>
      </c>
      <c r="J82">
        <f t="shared" si="6"/>
        <v>835.4</v>
      </c>
      <c r="L82">
        <v>1.3</v>
      </c>
      <c r="M82">
        <v>2.7</v>
      </c>
      <c r="N82">
        <f t="shared" si="9"/>
        <v>-1.4000000000000001</v>
      </c>
      <c r="O82">
        <f t="shared" si="12"/>
        <v>55</v>
      </c>
      <c r="P82">
        <v>58</v>
      </c>
      <c r="Q82">
        <f t="shared" si="8"/>
        <v>0.84214285714285708</v>
      </c>
      <c r="R82">
        <f t="shared" si="10"/>
        <v>2.2737857142857143</v>
      </c>
      <c r="S82">
        <f t="shared" si="11"/>
        <v>-0.97378571428571425</v>
      </c>
      <c r="T82">
        <f t="shared" si="4"/>
        <v>104.34985714285719</v>
      </c>
      <c r="V82">
        <v>921.5</v>
      </c>
      <c r="W82">
        <f t="shared" si="7"/>
        <v>52637.599999999991</v>
      </c>
      <c r="X82">
        <v>10.279528768462315</v>
      </c>
    </row>
    <row r="83" spans="1:24" x14ac:dyDescent="0.25">
      <c r="A83">
        <v>7400</v>
      </c>
      <c r="B83">
        <v>24250</v>
      </c>
      <c r="C83" s="1">
        <v>43028</v>
      </c>
      <c r="E83" s="47"/>
      <c r="F83">
        <v>12.2</v>
      </c>
      <c r="G83">
        <v>9.6</v>
      </c>
      <c r="H83">
        <v>15.3</v>
      </c>
      <c r="I83">
        <f t="shared" si="5"/>
        <v>847.6</v>
      </c>
      <c r="J83">
        <f t="shared" si="6"/>
        <v>847.6</v>
      </c>
      <c r="L83">
        <v>0.2</v>
      </c>
      <c r="M83">
        <v>1.6</v>
      </c>
      <c r="N83">
        <f t="shared" si="9"/>
        <v>-1.4000000000000001</v>
      </c>
      <c r="O83">
        <f t="shared" si="12"/>
        <v>53.6</v>
      </c>
      <c r="P83">
        <v>59</v>
      </c>
      <c r="Q83">
        <f t="shared" si="8"/>
        <v>0.85142857142857142</v>
      </c>
      <c r="R83">
        <f t="shared" si="10"/>
        <v>1.3622857142857143</v>
      </c>
      <c r="S83">
        <f t="shared" si="11"/>
        <v>-1.1622857142857144</v>
      </c>
      <c r="T83">
        <f t="shared" si="4"/>
        <v>103.18757142857147</v>
      </c>
      <c r="V83">
        <v>446.3</v>
      </c>
      <c r="W83">
        <f t="shared" si="7"/>
        <v>53083.899999999994</v>
      </c>
      <c r="X83">
        <v>10.221852532218588</v>
      </c>
    </row>
    <row r="84" spans="1:24" x14ac:dyDescent="0.25">
      <c r="A84">
        <v>7400</v>
      </c>
      <c r="B84">
        <v>24250</v>
      </c>
      <c r="C84" s="1">
        <v>43029</v>
      </c>
      <c r="E84" s="47"/>
      <c r="F84">
        <v>12.3</v>
      </c>
      <c r="G84">
        <v>9.6</v>
      </c>
      <c r="H84">
        <v>14.9</v>
      </c>
      <c r="I84">
        <f t="shared" si="5"/>
        <v>859.9</v>
      </c>
      <c r="J84">
        <f t="shared" si="6"/>
        <v>859.9</v>
      </c>
      <c r="L84">
        <v>1.5</v>
      </c>
      <c r="M84">
        <v>1.2</v>
      </c>
      <c r="N84">
        <f t="shared" si="9"/>
        <v>0.30000000000000004</v>
      </c>
      <c r="O84">
        <f t="shared" si="12"/>
        <v>53.9</v>
      </c>
      <c r="P84">
        <v>60</v>
      </c>
      <c r="Q84">
        <f t="shared" si="8"/>
        <v>0.86071428571428565</v>
      </c>
      <c r="R84">
        <f t="shared" si="10"/>
        <v>1.0328571428571427</v>
      </c>
      <c r="S84">
        <f t="shared" si="11"/>
        <v>0.4671428571428573</v>
      </c>
      <c r="T84">
        <f t="shared" si="4"/>
        <v>103.65471428571433</v>
      </c>
      <c r="V84">
        <v>590.20000000000005</v>
      </c>
      <c r="W84">
        <f t="shared" si="7"/>
        <v>53674.099999999991</v>
      </c>
      <c r="X84">
        <v>10.164481865223841</v>
      </c>
    </row>
    <row r="85" spans="1:24" x14ac:dyDescent="0.25">
      <c r="A85">
        <v>7400</v>
      </c>
      <c r="B85">
        <v>24250</v>
      </c>
      <c r="C85" s="1">
        <v>43030</v>
      </c>
      <c r="E85" s="47"/>
      <c r="F85">
        <v>9.5</v>
      </c>
      <c r="G85">
        <v>8.5</v>
      </c>
      <c r="H85">
        <v>11.7</v>
      </c>
      <c r="I85">
        <f t="shared" si="5"/>
        <v>869.4</v>
      </c>
      <c r="J85">
        <f t="shared" si="6"/>
        <v>869.4</v>
      </c>
      <c r="L85">
        <v>3.6</v>
      </c>
      <c r="M85">
        <v>1.3</v>
      </c>
      <c r="N85">
        <f t="shared" si="9"/>
        <v>2.2999999999999998</v>
      </c>
      <c r="O85">
        <f t="shared" si="12"/>
        <v>56.199999999999996</v>
      </c>
      <c r="P85">
        <v>61</v>
      </c>
      <c r="Q85">
        <f t="shared" si="8"/>
        <v>0.87</v>
      </c>
      <c r="R85">
        <f t="shared" si="10"/>
        <v>1.131</v>
      </c>
      <c r="S85">
        <f t="shared" si="11"/>
        <v>2.4690000000000003</v>
      </c>
      <c r="T85">
        <f t="shared" si="4"/>
        <v>106.12371428571433</v>
      </c>
      <c r="V85">
        <v>334.5</v>
      </c>
      <c r="W85">
        <f t="shared" si="7"/>
        <v>54008.599999999991</v>
      </c>
      <c r="X85">
        <v>10.107431607085987</v>
      </c>
    </row>
    <row r="86" spans="1:24" x14ac:dyDescent="0.25">
      <c r="A86">
        <v>7400</v>
      </c>
      <c r="B86">
        <v>24250</v>
      </c>
      <c r="C86" s="1">
        <v>43031</v>
      </c>
      <c r="E86" s="47"/>
      <c r="F86">
        <v>10.7</v>
      </c>
      <c r="G86">
        <v>8.6999999999999993</v>
      </c>
      <c r="H86">
        <v>12.3</v>
      </c>
      <c r="I86">
        <f t="shared" si="5"/>
        <v>880.1</v>
      </c>
      <c r="J86">
        <f t="shared" si="6"/>
        <v>880.1</v>
      </c>
      <c r="L86">
        <v>0.9</v>
      </c>
      <c r="M86">
        <v>0.5</v>
      </c>
      <c r="N86">
        <f t="shared" si="9"/>
        <v>0.4</v>
      </c>
      <c r="O86">
        <f t="shared" si="12"/>
        <v>56.599999999999994</v>
      </c>
      <c r="P86">
        <v>62</v>
      </c>
      <c r="Q86">
        <f t="shared" si="8"/>
        <v>0.87928571428571423</v>
      </c>
      <c r="R86">
        <f t="shared" si="10"/>
        <v>0.43964285714285711</v>
      </c>
      <c r="S86">
        <f t="shared" si="11"/>
        <v>0.46035714285714291</v>
      </c>
      <c r="T86">
        <f t="shared" si="4"/>
        <v>106.58407142857148</v>
      </c>
      <c r="V86">
        <v>374.4</v>
      </c>
      <c r="W86">
        <f t="shared" si="7"/>
        <v>54382.999999999993</v>
      </c>
      <c r="X86">
        <v>10.050717012757474</v>
      </c>
    </row>
    <row r="87" spans="1:24" x14ac:dyDescent="0.25">
      <c r="A87">
        <v>7400</v>
      </c>
      <c r="B87">
        <v>24250</v>
      </c>
      <c r="C87" s="1">
        <v>43032</v>
      </c>
      <c r="E87" s="47"/>
      <c r="F87">
        <v>13.9</v>
      </c>
      <c r="G87">
        <v>11.8</v>
      </c>
      <c r="H87">
        <v>15.2</v>
      </c>
      <c r="I87">
        <f t="shared" si="5"/>
        <v>894</v>
      </c>
      <c r="J87">
        <f t="shared" si="6"/>
        <v>894</v>
      </c>
      <c r="L87">
        <v>1.5</v>
      </c>
      <c r="M87">
        <v>0.2</v>
      </c>
      <c r="N87">
        <f t="shared" si="9"/>
        <v>1.3</v>
      </c>
      <c r="O87">
        <f t="shared" si="12"/>
        <v>57.899999999999991</v>
      </c>
      <c r="P87">
        <v>63</v>
      </c>
      <c r="Q87">
        <f t="shared" si="8"/>
        <v>0.88857142857142857</v>
      </c>
      <c r="R87">
        <f t="shared" si="10"/>
        <v>0.17771428571428571</v>
      </c>
      <c r="S87">
        <f t="shared" si="11"/>
        <v>1.3222857142857143</v>
      </c>
      <c r="T87">
        <f t="shared" si="4"/>
        <v>107.90635714285719</v>
      </c>
      <c r="V87">
        <v>112.9</v>
      </c>
      <c r="W87">
        <f t="shared" si="7"/>
        <v>54495.899999999994</v>
      </c>
      <c r="X87">
        <v>9.9943537596595498</v>
      </c>
    </row>
    <row r="88" spans="1:24" x14ac:dyDescent="0.25">
      <c r="A88">
        <v>7400</v>
      </c>
      <c r="B88">
        <v>24250</v>
      </c>
      <c r="C88" s="1">
        <v>43033</v>
      </c>
      <c r="E88" s="47"/>
      <c r="F88">
        <v>12.9</v>
      </c>
      <c r="G88">
        <v>12.3</v>
      </c>
      <c r="H88">
        <v>14.4</v>
      </c>
      <c r="I88">
        <f t="shared" si="5"/>
        <v>906.9</v>
      </c>
      <c r="J88">
        <f t="shared" si="6"/>
        <v>906.9</v>
      </c>
      <c r="L88">
        <v>0.4</v>
      </c>
      <c r="M88">
        <v>0.6</v>
      </c>
      <c r="N88">
        <f t="shared" si="9"/>
        <v>-0.19999999999999996</v>
      </c>
      <c r="O88">
        <f t="shared" si="12"/>
        <v>57.699999999999989</v>
      </c>
      <c r="P88">
        <v>64</v>
      </c>
      <c r="Q88">
        <f t="shared" si="8"/>
        <v>0.89785714285714291</v>
      </c>
      <c r="R88">
        <f t="shared" si="10"/>
        <v>0.5387142857142857</v>
      </c>
      <c r="S88">
        <f t="shared" si="11"/>
        <v>-0.13871428571428568</v>
      </c>
      <c r="T88">
        <f t="shared" si="4"/>
        <v>107.7676428571429</v>
      </c>
      <c r="V88">
        <v>270.60000000000002</v>
      </c>
      <c r="W88">
        <f t="shared" si="7"/>
        <v>54766.499999999993</v>
      </c>
      <c r="X88">
        <v>9.9383579539326838</v>
      </c>
    </row>
    <row r="89" spans="1:24" x14ac:dyDescent="0.25">
      <c r="A89">
        <v>7400</v>
      </c>
      <c r="B89">
        <v>24250</v>
      </c>
      <c r="C89" s="1">
        <v>43034</v>
      </c>
      <c r="E89" s="47"/>
      <c r="F89">
        <v>11.8</v>
      </c>
      <c r="G89">
        <v>9.6999999999999993</v>
      </c>
      <c r="H89">
        <v>13</v>
      </c>
      <c r="I89">
        <f t="shared" si="5"/>
        <v>918.69999999999993</v>
      </c>
      <c r="J89">
        <f t="shared" si="6"/>
        <v>918.69999999999993</v>
      </c>
      <c r="L89">
        <v>1.1000000000000001</v>
      </c>
      <c r="M89">
        <v>0.6</v>
      </c>
      <c r="N89">
        <f t="shared" si="9"/>
        <v>0.50000000000000011</v>
      </c>
      <c r="O89">
        <f t="shared" si="12"/>
        <v>58.199999999999989</v>
      </c>
      <c r="P89">
        <v>65</v>
      </c>
      <c r="Q89">
        <f t="shared" si="8"/>
        <v>0.90714285714285714</v>
      </c>
      <c r="R89">
        <f t="shared" si="10"/>
        <v>0.54428571428571426</v>
      </c>
      <c r="S89">
        <f t="shared" si="11"/>
        <v>0.55571428571428583</v>
      </c>
      <c r="T89">
        <f t="shared" si="4"/>
        <v>108.32335714285719</v>
      </c>
      <c r="V89">
        <v>269.7</v>
      </c>
      <c r="W89">
        <f t="shared" si="7"/>
        <v>55036.19999999999</v>
      </c>
      <c r="X89">
        <v>9.8827461357494286</v>
      </c>
    </row>
    <row r="90" spans="1:24" x14ac:dyDescent="0.25">
      <c r="A90">
        <v>7400</v>
      </c>
      <c r="B90">
        <v>24250</v>
      </c>
      <c r="C90" s="1">
        <v>43035</v>
      </c>
      <c r="E90" s="47"/>
      <c r="F90">
        <v>11</v>
      </c>
      <c r="G90">
        <v>8.8000000000000007</v>
      </c>
      <c r="H90">
        <v>14.4</v>
      </c>
      <c r="I90">
        <f t="shared" si="5"/>
        <v>929.69999999999993</v>
      </c>
      <c r="J90">
        <f t="shared" si="6"/>
        <v>929.69999999999993</v>
      </c>
      <c r="L90">
        <v>0.6</v>
      </c>
      <c r="M90">
        <v>1.3</v>
      </c>
      <c r="N90">
        <f t="shared" si="9"/>
        <v>-0.70000000000000007</v>
      </c>
      <c r="O90">
        <f t="shared" si="12"/>
        <v>57.499999999999986</v>
      </c>
      <c r="P90">
        <v>66</v>
      </c>
      <c r="Q90">
        <f t="shared" si="8"/>
        <v>0.91642857142857148</v>
      </c>
      <c r="R90">
        <f t="shared" si="10"/>
        <v>1.191357142857143</v>
      </c>
      <c r="S90">
        <f t="shared" si="11"/>
        <v>-0.59135714285714303</v>
      </c>
      <c r="T90">
        <f t="shared" ref="T90:T153" si="13">MIN(T89+S90,153.9)</f>
        <v>107.73200000000004</v>
      </c>
      <c r="V90">
        <v>588.4</v>
      </c>
      <c r="W90">
        <f t="shared" si="7"/>
        <v>55624.599999999991</v>
      </c>
      <c r="X90">
        <v>9.8275352836233356</v>
      </c>
    </row>
    <row r="91" spans="1:24" x14ac:dyDescent="0.25">
      <c r="A91">
        <v>7400</v>
      </c>
      <c r="B91">
        <v>24250</v>
      </c>
      <c r="C91" s="1">
        <v>43036</v>
      </c>
      <c r="E91" s="47"/>
      <c r="F91">
        <v>8</v>
      </c>
      <c r="G91">
        <v>4.3</v>
      </c>
      <c r="H91">
        <v>11.5</v>
      </c>
      <c r="I91">
        <f t="shared" ref="I91:I154" si="14">I90+F91</f>
        <v>937.69999999999993</v>
      </c>
      <c r="J91">
        <f t="shared" ref="J91:J154" si="15">F91+J90</f>
        <v>937.69999999999993</v>
      </c>
      <c r="L91">
        <v>0.5</v>
      </c>
      <c r="M91">
        <v>0.7</v>
      </c>
      <c r="N91">
        <f t="shared" si="9"/>
        <v>-0.19999999999999996</v>
      </c>
      <c r="O91">
        <f t="shared" si="12"/>
        <v>57.299999999999983</v>
      </c>
      <c r="P91">
        <v>67</v>
      </c>
      <c r="Q91">
        <f t="shared" si="8"/>
        <v>0.92571428571428571</v>
      </c>
      <c r="R91">
        <f t="shared" si="10"/>
        <v>0.64799999999999991</v>
      </c>
      <c r="S91">
        <f t="shared" si="11"/>
        <v>-0.14799999999999991</v>
      </c>
      <c r="T91">
        <f t="shared" si="13"/>
        <v>107.58400000000005</v>
      </c>
      <c r="V91">
        <v>359.2</v>
      </c>
      <c r="W91">
        <f t="shared" ref="W91:W154" si="16">W90+V91</f>
        <v>55983.799999999988</v>
      </c>
      <c r="X91">
        <v>9.7727428176453781</v>
      </c>
    </row>
    <row r="92" spans="1:24" x14ac:dyDescent="0.25">
      <c r="A92">
        <v>7400</v>
      </c>
      <c r="B92">
        <v>24250</v>
      </c>
      <c r="C92" s="1">
        <v>43037</v>
      </c>
      <c r="E92" s="47"/>
      <c r="F92">
        <v>9.3000000000000007</v>
      </c>
      <c r="G92">
        <v>8</v>
      </c>
      <c r="H92">
        <v>11.4</v>
      </c>
      <c r="I92">
        <f t="shared" si="14"/>
        <v>946.99999999999989</v>
      </c>
      <c r="J92">
        <f t="shared" si="15"/>
        <v>946.99999999999989</v>
      </c>
      <c r="L92">
        <v>1.9</v>
      </c>
      <c r="M92">
        <v>0.5</v>
      </c>
      <c r="N92">
        <f t="shared" si="9"/>
        <v>1.4</v>
      </c>
      <c r="O92">
        <f t="shared" si="12"/>
        <v>58.699999999999982</v>
      </c>
      <c r="P92">
        <v>68</v>
      </c>
      <c r="Q92">
        <f t="shared" si="8"/>
        <v>0.93500000000000005</v>
      </c>
      <c r="R92">
        <f t="shared" si="10"/>
        <v>0.46750000000000003</v>
      </c>
      <c r="S92">
        <f t="shared" si="11"/>
        <v>1.4324999999999999</v>
      </c>
      <c r="T92">
        <f t="shared" si="13"/>
        <v>109.01650000000005</v>
      </c>
      <c r="V92">
        <v>183.4</v>
      </c>
      <c r="W92">
        <f t="shared" si="16"/>
        <v>56167.19999999999</v>
      </c>
      <c r="X92">
        <v>9.7183866015770732</v>
      </c>
    </row>
    <row r="93" spans="1:24" x14ac:dyDescent="0.25">
      <c r="A93">
        <v>7400</v>
      </c>
      <c r="B93">
        <v>24250</v>
      </c>
      <c r="C93" s="1">
        <v>43038</v>
      </c>
      <c r="E93" s="47"/>
      <c r="F93">
        <v>5.5</v>
      </c>
      <c r="G93">
        <v>2.5</v>
      </c>
      <c r="H93">
        <v>10.5</v>
      </c>
      <c r="I93">
        <f t="shared" si="14"/>
        <v>952.49999999999989</v>
      </c>
      <c r="J93">
        <f t="shared" si="15"/>
        <v>952.49999999999989</v>
      </c>
      <c r="L93">
        <v>0.1</v>
      </c>
      <c r="M93">
        <v>1</v>
      </c>
      <c r="N93">
        <f t="shared" si="9"/>
        <v>-0.9</v>
      </c>
      <c r="O93">
        <f t="shared" si="12"/>
        <v>57.799999999999983</v>
      </c>
      <c r="P93">
        <v>69</v>
      </c>
      <c r="Q93">
        <f t="shared" si="8"/>
        <v>0.94428571428571428</v>
      </c>
      <c r="R93">
        <f t="shared" si="10"/>
        <v>0.94428571428571428</v>
      </c>
      <c r="S93">
        <f t="shared" si="11"/>
        <v>-0.84428571428571431</v>
      </c>
      <c r="T93">
        <f t="shared" si="13"/>
        <v>108.17221428571433</v>
      </c>
      <c r="V93">
        <v>528.20000000000005</v>
      </c>
      <c r="W93">
        <f t="shared" si="16"/>
        <v>56695.399999999987</v>
      </c>
      <c r="X93">
        <v>9.6644849437276292</v>
      </c>
    </row>
    <row r="94" spans="1:24" x14ac:dyDescent="0.25">
      <c r="A94">
        <v>7400</v>
      </c>
      <c r="B94">
        <v>24250</v>
      </c>
      <c r="C94" s="1">
        <v>43039</v>
      </c>
      <c r="E94" s="47"/>
      <c r="F94">
        <v>5</v>
      </c>
      <c r="G94">
        <v>0.4</v>
      </c>
      <c r="H94">
        <v>10.3</v>
      </c>
      <c r="I94">
        <f t="shared" si="14"/>
        <v>957.49999999999989</v>
      </c>
      <c r="J94">
        <f t="shared" si="15"/>
        <v>957.49999999999989</v>
      </c>
      <c r="L94">
        <v>0.1</v>
      </c>
      <c r="M94">
        <v>1</v>
      </c>
      <c r="N94">
        <f t="shared" si="9"/>
        <v>-0.9</v>
      </c>
      <c r="O94">
        <f t="shared" si="12"/>
        <v>56.899999999999984</v>
      </c>
      <c r="P94">
        <v>70</v>
      </c>
      <c r="Q94">
        <f t="shared" si="8"/>
        <v>0.95357142857142863</v>
      </c>
      <c r="R94">
        <f t="shared" si="10"/>
        <v>0.95357142857142863</v>
      </c>
      <c r="S94">
        <f t="shared" si="11"/>
        <v>-0.85357142857142865</v>
      </c>
      <c r="T94">
        <f t="shared" si="13"/>
        <v>107.3186428571429</v>
      </c>
      <c r="V94">
        <v>698.4</v>
      </c>
      <c r="W94">
        <f t="shared" si="16"/>
        <v>57393.799999999988</v>
      </c>
      <c r="X94">
        <v>9.6110565965407133</v>
      </c>
    </row>
    <row r="95" spans="1:24" x14ac:dyDescent="0.25">
      <c r="A95">
        <v>7400</v>
      </c>
      <c r="B95">
        <v>24250</v>
      </c>
      <c r="C95" s="1">
        <v>43040</v>
      </c>
      <c r="E95" s="47"/>
      <c r="F95">
        <v>7.3</v>
      </c>
      <c r="G95">
        <v>2.2999999999999998</v>
      </c>
      <c r="H95">
        <v>13.3</v>
      </c>
      <c r="I95">
        <f t="shared" si="14"/>
        <v>964.79999999999984</v>
      </c>
      <c r="J95">
        <f t="shared" si="15"/>
        <v>964.79999999999984</v>
      </c>
      <c r="L95">
        <v>0</v>
      </c>
      <c r="M95">
        <v>1.6</v>
      </c>
      <c r="N95">
        <f t="shared" si="9"/>
        <v>-1.6</v>
      </c>
      <c r="O95">
        <f t="shared" si="12"/>
        <v>55.299999999999983</v>
      </c>
      <c r="P95">
        <v>71</v>
      </c>
      <c r="Q95">
        <f t="shared" ref="Q95:Q99" si="17">0.35+((P95-5)/70)*(1-0.35)</f>
        <v>0.96285714285714286</v>
      </c>
      <c r="R95">
        <f t="shared" si="10"/>
        <v>1.5405714285714287</v>
      </c>
      <c r="S95">
        <f t="shared" si="11"/>
        <v>-1.5405714285714287</v>
      </c>
      <c r="T95">
        <f t="shared" si="13"/>
        <v>105.77807142857148</v>
      </c>
      <c r="V95">
        <v>850.8</v>
      </c>
      <c r="W95">
        <f t="shared" si="16"/>
        <v>58244.599999999991</v>
      </c>
      <c r="X95">
        <v>9.5581207548152385</v>
      </c>
    </row>
    <row r="96" spans="1:24" x14ac:dyDescent="0.25">
      <c r="A96">
        <v>7400</v>
      </c>
      <c r="B96">
        <v>24250</v>
      </c>
      <c r="C96" s="1">
        <v>43041</v>
      </c>
      <c r="E96" s="47"/>
      <c r="F96">
        <v>8.8000000000000007</v>
      </c>
      <c r="G96">
        <v>5.0999999999999996</v>
      </c>
      <c r="H96">
        <v>11.8</v>
      </c>
      <c r="I96">
        <f t="shared" si="14"/>
        <v>973.5999999999998</v>
      </c>
      <c r="J96">
        <f t="shared" si="15"/>
        <v>973.5999999999998</v>
      </c>
      <c r="L96">
        <v>0</v>
      </c>
      <c r="M96">
        <v>0.5</v>
      </c>
      <c r="N96">
        <f t="shared" si="9"/>
        <v>-0.5</v>
      </c>
      <c r="O96">
        <f t="shared" si="12"/>
        <v>54.799999999999983</v>
      </c>
      <c r="P96">
        <v>72</v>
      </c>
      <c r="Q96">
        <f t="shared" si="17"/>
        <v>0.9721428571428572</v>
      </c>
      <c r="R96">
        <f t="shared" si="10"/>
        <v>0.4860714285714286</v>
      </c>
      <c r="S96">
        <f t="shared" si="11"/>
        <v>-0.4860714285714286</v>
      </c>
      <c r="T96">
        <f t="shared" si="13"/>
        <v>105.29200000000004</v>
      </c>
      <c r="V96">
        <v>319.3</v>
      </c>
      <c r="W96">
        <f t="shared" si="16"/>
        <v>58563.899999999994</v>
      </c>
      <c r="X96">
        <v>9.5056970524833257</v>
      </c>
    </row>
    <row r="97" spans="1:25" x14ac:dyDescent="0.25">
      <c r="A97">
        <v>7400</v>
      </c>
      <c r="B97">
        <v>24250</v>
      </c>
      <c r="C97" s="1">
        <v>43042</v>
      </c>
      <c r="E97" s="47"/>
      <c r="F97">
        <v>9.8000000000000007</v>
      </c>
      <c r="G97">
        <v>7.8</v>
      </c>
      <c r="H97">
        <v>14.2</v>
      </c>
      <c r="I97">
        <f t="shared" si="14"/>
        <v>983.39999999999975</v>
      </c>
      <c r="J97">
        <f t="shared" si="15"/>
        <v>983.39999999999975</v>
      </c>
      <c r="L97">
        <v>0</v>
      </c>
      <c r="M97">
        <v>1.2</v>
      </c>
      <c r="N97">
        <f t="shared" si="9"/>
        <v>-1.2</v>
      </c>
      <c r="O97">
        <f t="shared" si="12"/>
        <v>53.59999999999998</v>
      </c>
      <c r="P97">
        <v>73</v>
      </c>
      <c r="Q97">
        <f t="shared" si="17"/>
        <v>0.98142857142857143</v>
      </c>
      <c r="R97">
        <f t="shared" si="10"/>
        <v>1.1777142857142857</v>
      </c>
      <c r="S97">
        <f t="shared" si="11"/>
        <v>-1.1777142857142857</v>
      </c>
      <c r="T97">
        <f t="shared" si="13"/>
        <v>104.11428571428576</v>
      </c>
      <c r="V97">
        <v>454.9</v>
      </c>
      <c r="W97">
        <f t="shared" si="16"/>
        <v>59018.799999999996</v>
      </c>
      <c r="X97">
        <v>9.4538055578682965</v>
      </c>
    </row>
    <row r="98" spans="1:25" x14ac:dyDescent="0.25">
      <c r="A98">
        <v>7400</v>
      </c>
      <c r="B98">
        <v>24250</v>
      </c>
      <c r="C98" s="1">
        <v>43043</v>
      </c>
      <c r="E98" s="47"/>
      <c r="F98">
        <v>11.8</v>
      </c>
      <c r="G98">
        <v>6.5</v>
      </c>
      <c r="H98">
        <v>16.899999999999999</v>
      </c>
      <c r="I98">
        <f t="shared" si="14"/>
        <v>995.1999999999997</v>
      </c>
      <c r="J98">
        <f t="shared" si="15"/>
        <v>995.1999999999997</v>
      </c>
      <c r="L98">
        <v>4.8</v>
      </c>
      <c r="M98">
        <v>1</v>
      </c>
      <c r="N98">
        <f t="shared" si="9"/>
        <v>3.8</v>
      </c>
      <c r="O98">
        <f t="shared" si="12"/>
        <v>57.399999999999977</v>
      </c>
      <c r="P98">
        <v>74</v>
      </c>
      <c r="Q98">
        <f t="shared" si="17"/>
        <v>0.99071428571428577</v>
      </c>
      <c r="R98">
        <f t="shared" si="10"/>
        <v>0.99071428571428577</v>
      </c>
      <c r="S98">
        <f t="shared" si="11"/>
        <v>3.8092857142857142</v>
      </c>
      <c r="T98">
        <f t="shared" si="13"/>
        <v>107.92357142857148</v>
      </c>
      <c r="V98">
        <v>483.8</v>
      </c>
      <c r="W98">
        <f t="shared" si="16"/>
        <v>59502.6</v>
      </c>
      <c r="X98">
        <v>9.4024667673452029</v>
      </c>
    </row>
    <row r="99" spans="1:25" s="4" customFormat="1" ht="15.75" thickBot="1" x14ac:dyDescent="0.3">
      <c r="A99" s="4">
        <v>7400</v>
      </c>
      <c r="B99" s="4">
        <v>24250</v>
      </c>
      <c r="C99" s="5">
        <v>43044</v>
      </c>
      <c r="E99" s="48"/>
      <c r="F99" s="4">
        <v>6.3</v>
      </c>
      <c r="G99" s="4">
        <v>4.5999999999999996</v>
      </c>
      <c r="H99" s="4">
        <v>8</v>
      </c>
      <c r="I99" s="4">
        <f t="shared" si="14"/>
        <v>1001.4999999999997</v>
      </c>
      <c r="J99" s="4">
        <f t="shared" si="15"/>
        <v>1001.4999999999997</v>
      </c>
      <c r="L99" s="4">
        <v>0.7</v>
      </c>
      <c r="M99" s="4">
        <v>0.3</v>
      </c>
      <c r="N99" s="4">
        <f t="shared" si="9"/>
        <v>0.39999999999999997</v>
      </c>
      <c r="O99" s="4">
        <f t="shared" si="12"/>
        <v>57.799999999999976</v>
      </c>
      <c r="P99" s="4">
        <v>75</v>
      </c>
      <c r="Q99" s="4">
        <f t="shared" si="17"/>
        <v>1</v>
      </c>
      <c r="R99" s="4">
        <f t="shared" si="10"/>
        <v>0.3</v>
      </c>
      <c r="S99" s="4">
        <f t="shared" si="11"/>
        <v>0.39999999999999997</v>
      </c>
      <c r="T99" s="4">
        <f t="shared" si="13"/>
        <v>108.32357142857148</v>
      </c>
      <c r="V99" s="4">
        <v>153.30000000000001</v>
      </c>
      <c r="W99" s="4">
        <f t="shared" si="16"/>
        <v>59655.9</v>
      </c>
      <c r="X99" s="4">
        <v>9.3517015973269881</v>
      </c>
    </row>
    <row r="100" spans="1:25" x14ac:dyDescent="0.25">
      <c r="A100">
        <v>7400</v>
      </c>
      <c r="B100">
        <v>24250</v>
      </c>
      <c r="C100" s="1">
        <v>43045</v>
      </c>
      <c r="D100" t="s">
        <v>33</v>
      </c>
      <c r="E100" s="43" t="s">
        <v>53</v>
      </c>
      <c r="F100">
        <v>4.5</v>
      </c>
      <c r="G100">
        <v>1.3</v>
      </c>
      <c r="H100">
        <v>8.8000000000000007</v>
      </c>
      <c r="I100">
        <f t="shared" si="14"/>
        <v>1005.9999999999997</v>
      </c>
      <c r="J100">
        <f>F100</f>
        <v>4.5</v>
      </c>
      <c r="K100" s="12" t="s">
        <v>34</v>
      </c>
      <c r="L100">
        <v>0</v>
      </c>
      <c r="M100">
        <v>0.8</v>
      </c>
      <c r="N100">
        <f t="shared" si="9"/>
        <v>-0.8</v>
      </c>
      <c r="O100">
        <f t="shared" si="12"/>
        <v>56.999999999999979</v>
      </c>
      <c r="P100">
        <v>76</v>
      </c>
      <c r="Q100">
        <v>1</v>
      </c>
      <c r="R100">
        <f t="shared" si="10"/>
        <v>0.8</v>
      </c>
      <c r="S100">
        <f t="shared" si="11"/>
        <v>-0.8</v>
      </c>
      <c r="T100">
        <f t="shared" si="13"/>
        <v>107.52357142857149</v>
      </c>
      <c r="U100" s="13" t="s">
        <v>41</v>
      </c>
      <c r="V100">
        <v>418.9</v>
      </c>
      <c r="W100">
        <f>V100</f>
        <v>418.9</v>
      </c>
      <c r="X100">
        <v>9.3015313745002324</v>
      </c>
      <c r="Y100" s="13" t="s">
        <v>46</v>
      </c>
    </row>
    <row r="101" spans="1:25" x14ac:dyDescent="0.25">
      <c r="A101">
        <v>7400</v>
      </c>
      <c r="B101">
        <v>24250</v>
      </c>
      <c r="C101" s="1">
        <v>43046</v>
      </c>
      <c r="E101" s="44"/>
      <c r="F101">
        <v>4</v>
      </c>
      <c r="G101">
        <v>-0.7</v>
      </c>
      <c r="H101">
        <v>7.8</v>
      </c>
      <c r="I101">
        <f t="shared" si="14"/>
        <v>1009.9999999999997</v>
      </c>
      <c r="J101">
        <f t="shared" si="15"/>
        <v>8.5</v>
      </c>
      <c r="K101" s="8">
        <v>514.29999999999995</v>
      </c>
      <c r="L101">
        <v>0.7</v>
      </c>
      <c r="M101">
        <v>0.8</v>
      </c>
      <c r="N101">
        <f t="shared" si="9"/>
        <v>-0.10000000000000009</v>
      </c>
      <c r="O101">
        <f t="shared" si="12"/>
        <v>56.899999999999977</v>
      </c>
      <c r="P101">
        <v>77</v>
      </c>
      <c r="Q101">
        <v>1</v>
      </c>
      <c r="R101">
        <f t="shared" si="10"/>
        <v>0.8</v>
      </c>
      <c r="S101">
        <f t="shared" si="11"/>
        <v>-0.10000000000000009</v>
      </c>
      <c r="T101">
        <f t="shared" si="13"/>
        <v>107.42357142857149</v>
      </c>
      <c r="U101">
        <v>0</v>
      </c>
      <c r="V101">
        <v>705.1</v>
      </c>
      <c r="W101">
        <f t="shared" si="16"/>
        <v>1124</v>
      </c>
      <c r="X101">
        <v>9.2519778242362172</v>
      </c>
      <c r="Y101">
        <v>38459.5</v>
      </c>
    </row>
    <row r="102" spans="1:25" x14ac:dyDescent="0.25">
      <c r="A102">
        <v>7400</v>
      </c>
      <c r="B102">
        <v>24250</v>
      </c>
      <c r="C102" s="1">
        <v>43047</v>
      </c>
      <c r="E102" s="44"/>
      <c r="F102">
        <v>5</v>
      </c>
      <c r="G102">
        <v>3.9</v>
      </c>
      <c r="H102">
        <v>6.6</v>
      </c>
      <c r="I102">
        <f t="shared" si="14"/>
        <v>1014.9999999999997</v>
      </c>
      <c r="J102">
        <f t="shared" si="15"/>
        <v>13.5</v>
      </c>
      <c r="K102" s="12" t="s">
        <v>35</v>
      </c>
      <c r="L102">
        <v>1.1000000000000001</v>
      </c>
      <c r="M102">
        <v>0.5</v>
      </c>
      <c r="N102">
        <f t="shared" si="9"/>
        <v>0.60000000000000009</v>
      </c>
      <c r="O102">
        <f t="shared" si="12"/>
        <v>57.499999999999979</v>
      </c>
      <c r="P102">
        <v>78</v>
      </c>
      <c r="Q102">
        <v>1</v>
      </c>
      <c r="R102">
        <f t="shared" si="10"/>
        <v>0.5</v>
      </c>
      <c r="S102">
        <f t="shared" si="11"/>
        <v>0.60000000000000009</v>
      </c>
      <c r="T102">
        <f t="shared" si="13"/>
        <v>108.02357142857149</v>
      </c>
      <c r="U102" s="13" t="s">
        <v>42</v>
      </c>
      <c r="V102">
        <v>203.4</v>
      </c>
      <c r="W102">
        <f t="shared" si="16"/>
        <v>1327.4</v>
      </c>
      <c r="X102">
        <v>9.2030630571052594</v>
      </c>
      <c r="Y102" s="13" t="s">
        <v>47</v>
      </c>
    </row>
    <row r="103" spans="1:25" x14ac:dyDescent="0.25">
      <c r="A103">
        <v>7400</v>
      </c>
      <c r="B103">
        <v>24250</v>
      </c>
      <c r="C103" s="1">
        <v>43048</v>
      </c>
      <c r="E103" s="44"/>
      <c r="F103">
        <v>5.4</v>
      </c>
      <c r="G103">
        <v>4.5</v>
      </c>
      <c r="H103">
        <v>7</v>
      </c>
      <c r="I103">
        <f t="shared" si="14"/>
        <v>1020.3999999999996</v>
      </c>
      <c r="J103">
        <f t="shared" si="15"/>
        <v>18.899999999999999</v>
      </c>
      <c r="K103" s="25">
        <f>AVERAGE(F100:F218)</f>
        <v>4.0630252100840343</v>
      </c>
      <c r="L103">
        <v>0</v>
      </c>
      <c r="M103">
        <v>0.6</v>
      </c>
      <c r="N103">
        <f t="shared" si="9"/>
        <v>-0.6</v>
      </c>
      <c r="O103">
        <f t="shared" si="12"/>
        <v>56.899999999999977</v>
      </c>
      <c r="P103">
        <v>79</v>
      </c>
      <c r="Q103">
        <v>1</v>
      </c>
      <c r="R103">
        <f t="shared" si="10"/>
        <v>0.6</v>
      </c>
      <c r="S103">
        <f t="shared" si="11"/>
        <v>-0.6</v>
      </c>
      <c r="T103">
        <f t="shared" si="13"/>
        <v>107.42357142857149</v>
      </c>
      <c r="U103">
        <v>0</v>
      </c>
      <c r="V103">
        <v>276.10000000000002</v>
      </c>
      <c r="W103">
        <f t="shared" si="16"/>
        <v>1603.5</v>
      </c>
      <c r="X103">
        <v>9.1548095534255349</v>
      </c>
      <c r="Y103">
        <f>(Y101/100)/K101</f>
        <v>0.74780283881003318</v>
      </c>
    </row>
    <row r="104" spans="1:25" x14ac:dyDescent="0.25">
      <c r="A104">
        <v>7400</v>
      </c>
      <c r="B104">
        <v>24250</v>
      </c>
      <c r="C104" s="1">
        <v>43049</v>
      </c>
      <c r="E104" s="44"/>
      <c r="F104">
        <v>7.9</v>
      </c>
      <c r="G104">
        <v>4.7</v>
      </c>
      <c r="H104">
        <v>10.1</v>
      </c>
      <c r="I104">
        <f t="shared" si="14"/>
        <v>1028.2999999999997</v>
      </c>
      <c r="J104">
        <f t="shared" si="15"/>
        <v>26.799999999999997</v>
      </c>
      <c r="K104" s="12" t="s">
        <v>36</v>
      </c>
      <c r="L104">
        <v>4.4000000000000004</v>
      </c>
      <c r="M104">
        <v>0.1</v>
      </c>
      <c r="N104">
        <f t="shared" si="9"/>
        <v>4.3000000000000007</v>
      </c>
      <c r="O104">
        <f t="shared" si="12"/>
        <v>61.199999999999974</v>
      </c>
      <c r="P104">
        <v>80</v>
      </c>
      <c r="Q104">
        <v>1</v>
      </c>
      <c r="R104">
        <f t="shared" si="10"/>
        <v>0.1</v>
      </c>
      <c r="S104">
        <f t="shared" si="11"/>
        <v>4.3000000000000007</v>
      </c>
      <c r="T104">
        <f t="shared" si="13"/>
        <v>111.72357142857149</v>
      </c>
      <c r="U104" s="13" t="s">
        <v>43</v>
      </c>
      <c r="V104">
        <v>91.5</v>
      </c>
      <c r="W104">
        <f t="shared" si="16"/>
        <v>1695</v>
      </c>
      <c r="X104">
        <v>9.1072401457814145</v>
      </c>
      <c r="Y104" s="13" t="s">
        <v>48</v>
      </c>
    </row>
    <row r="105" spans="1:25" x14ac:dyDescent="0.25">
      <c r="A105">
        <v>7400</v>
      </c>
      <c r="B105">
        <v>24250</v>
      </c>
      <c r="C105" s="1">
        <v>43050</v>
      </c>
      <c r="E105" s="44"/>
      <c r="F105">
        <v>9.1</v>
      </c>
      <c r="G105">
        <v>6.1</v>
      </c>
      <c r="H105">
        <v>11.5</v>
      </c>
      <c r="I105">
        <f t="shared" si="14"/>
        <v>1037.3999999999996</v>
      </c>
      <c r="J105">
        <f t="shared" si="15"/>
        <v>35.9</v>
      </c>
      <c r="K105" s="9">
        <f>MIN(G100:G218)</f>
        <v>-11.6</v>
      </c>
      <c r="L105">
        <v>17</v>
      </c>
      <c r="M105">
        <v>0.3</v>
      </c>
      <c r="N105">
        <f t="shared" si="9"/>
        <v>16.7</v>
      </c>
      <c r="O105">
        <f t="shared" si="12"/>
        <v>77.899999999999977</v>
      </c>
      <c r="P105">
        <v>81</v>
      </c>
      <c r="Q105">
        <v>1</v>
      </c>
      <c r="R105">
        <f t="shared" si="10"/>
        <v>0.3</v>
      </c>
      <c r="S105">
        <f t="shared" si="11"/>
        <v>16.7</v>
      </c>
      <c r="T105">
        <f t="shared" si="13"/>
        <v>128.42357142857148</v>
      </c>
      <c r="U105" s="11">
        <f>MIN(T100:T218)</f>
        <v>107.42357142857149</v>
      </c>
      <c r="V105">
        <v>119.7</v>
      </c>
      <c r="W105">
        <f t="shared" si="16"/>
        <v>1814.7</v>
      </c>
      <c r="X105">
        <v>9.060377999451342</v>
      </c>
      <c r="Y105">
        <v>107</v>
      </c>
    </row>
    <row r="106" spans="1:25" x14ac:dyDescent="0.25">
      <c r="A106">
        <v>7400</v>
      </c>
      <c r="B106">
        <v>24250</v>
      </c>
      <c r="C106" s="1">
        <v>43051</v>
      </c>
      <c r="E106" s="44"/>
      <c r="F106">
        <v>7</v>
      </c>
      <c r="G106">
        <v>4.3</v>
      </c>
      <c r="H106">
        <v>9.8000000000000007</v>
      </c>
      <c r="I106">
        <f t="shared" si="14"/>
        <v>1044.3999999999996</v>
      </c>
      <c r="J106">
        <f t="shared" si="15"/>
        <v>42.9</v>
      </c>
      <c r="K106" s="12" t="s">
        <v>37</v>
      </c>
      <c r="L106">
        <v>8.5</v>
      </c>
      <c r="M106">
        <v>0.4</v>
      </c>
      <c r="N106">
        <f t="shared" si="9"/>
        <v>8.1</v>
      </c>
      <c r="O106">
        <f t="shared" si="12"/>
        <v>85.999999999999972</v>
      </c>
      <c r="P106">
        <v>82</v>
      </c>
      <c r="Q106">
        <v>1</v>
      </c>
      <c r="R106">
        <f t="shared" si="10"/>
        <v>0.4</v>
      </c>
      <c r="S106">
        <f t="shared" si="11"/>
        <v>8.1</v>
      </c>
      <c r="T106">
        <f t="shared" si="13"/>
        <v>136.52357142857147</v>
      </c>
      <c r="U106" s="13" t="s">
        <v>44</v>
      </c>
      <c r="V106">
        <v>202.4</v>
      </c>
      <c r="W106">
        <f t="shared" si="16"/>
        <v>2017.1000000000001</v>
      </c>
      <c r="X106">
        <v>9.0142465906909575</v>
      </c>
      <c r="Y106" t="s">
        <v>49</v>
      </c>
    </row>
    <row r="107" spans="1:25" x14ac:dyDescent="0.25">
      <c r="A107">
        <v>7400</v>
      </c>
      <c r="B107">
        <v>24250</v>
      </c>
      <c r="C107" s="1">
        <v>43052</v>
      </c>
      <c r="D107" t="s">
        <v>50</v>
      </c>
      <c r="E107" s="44"/>
      <c r="F107">
        <v>5.2</v>
      </c>
      <c r="G107">
        <v>4.3</v>
      </c>
      <c r="H107">
        <v>8.1999999999999993</v>
      </c>
      <c r="I107">
        <f t="shared" si="14"/>
        <v>1049.5999999999997</v>
      </c>
      <c r="J107">
        <f t="shared" si="15"/>
        <v>48.1</v>
      </c>
      <c r="K107" s="8">
        <f>MAX(H100:H218)</f>
        <v>14.6</v>
      </c>
      <c r="L107">
        <v>0</v>
      </c>
      <c r="M107">
        <v>1.1000000000000001</v>
      </c>
      <c r="N107">
        <f t="shared" si="9"/>
        <v>-1.1000000000000001</v>
      </c>
      <c r="O107">
        <f t="shared" si="12"/>
        <v>84.899999999999977</v>
      </c>
      <c r="P107">
        <v>83</v>
      </c>
      <c r="Q107">
        <v>1</v>
      </c>
      <c r="R107">
        <f t="shared" si="10"/>
        <v>1.1000000000000001</v>
      </c>
      <c r="S107">
        <f t="shared" si="11"/>
        <v>-1.1000000000000001</v>
      </c>
      <c r="T107">
        <f t="shared" si="13"/>
        <v>135.42357142857148</v>
      </c>
      <c r="U107" s="11">
        <f>MAX(T100:T218)</f>
        <v>153.9</v>
      </c>
      <c r="V107">
        <v>203.1</v>
      </c>
      <c r="W107">
        <f t="shared" si="16"/>
        <v>2220.2000000000003</v>
      </c>
      <c r="X107">
        <v>8.9688696828240371</v>
      </c>
      <c r="Y107">
        <v>36</v>
      </c>
    </row>
    <row r="108" spans="1:25" x14ac:dyDescent="0.25">
      <c r="A108">
        <v>7400</v>
      </c>
      <c r="B108">
        <v>24250</v>
      </c>
      <c r="C108" s="1">
        <v>43053</v>
      </c>
      <c r="D108">
        <v>1</v>
      </c>
      <c r="E108" s="44"/>
      <c r="F108">
        <v>1.9</v>
      </c>
      <c r="G108">
        <v>-0.1</v>
      </c>
      <c r="H108">
        <v>3.2</v>
      </c>
      <c r="I108">
        <f t="shared" si="14"/>
        <v>1051.4999999999998</v>
      </c>
      <c r="J108">
        <f t="shared" si="15"/>
        <v>50</v>
      </c>
      <c r="K108" s="12" t="s">
        <v>38</v>
      </c>
      <c r="L108">
        <v>0.1</v>
      </c>
      <c r="M108">
        <v>0.3</v>
      </c>
      <c r="N108">
        <f t="shared" si="9"/>
        <v>-0.19999999999999998</v>
      </c>
      <c r="O108">
        <f t="shared" si="12"/>
        <v>84.699999999999974</v>
      </c>
      <c r="P108">
        <v>84</v>
      </c>
      <c r="Q108">
        <v>1</v>
      </c>
      <c r="R108">
        <f t="shared" si="10"/>
        <v>0.3</v>
      </c>
      <c r="S108">
        <f t="shared" si="11"/>
        <v>-0.19999999999999998</v>
      </c>
      <c r="T108">
        <f t="shared" si="13"/>
        <v>135.22357142857149</v>
      </c>
      <c r="U108" s="13" t="s">
        <v>45</v>
      </c>
      <c r="V108">
        <v>324.2</v>
      </c>
      <c r="W108">
        <f t="shared" si="16"/>
        <v>2544.4</v>
      </c>
      <c r="X108">
        <v>8.9242713001016511</v>
      </c>
    </row>
    <row r="109" spans="1:25" x14ac:dyDescent="0.25">
      <c r="A109">
        <v>7400</v>
      </c>
      <c r="B109">
        <v>24250</v>
      </c>
      <c r="C109" s="1">
        <v>43054</v>
      </c>
      <c r="D109">
        <v>2</v>
      </c>
      <c r="E109" s="44"/>
      <c r="F109">
        <v>4</v>
      </c>
      <c r="G109">
        <v>0.5</v>
      </c>
      <c r="H109">
        <v>7.1</v>
      </c>
      <c r="I109">
        <f t="shared" si="14"/>
        <v>1055.4999999999998</v>
      </c>
      <c r="J109">
        <f t="shared" si="15"/>
        <v>54</v>
      </c>
      <c r="K109" s="8">
        <v>0</v>
      </c>
      <c r="L109">
        <v>0</v>
      </c>
      <c r="M109">
        <v>0.2</v>
      </c>
      <c r="N109">
        <f t="shared" si="9"/>
        <v>-0.2</v>
      </c>
      <c r="O109">
        <f t="shared" si="12"/>
        <v>84.499999999999972</v>
      </c>
      <c r="P109">
        <v>85</v>
      </c>
      <c r="Q109">
        <v>1</v>
      </c>
      <c r="R109">
        <f t="shared" si="10"/>
        <v>0.2</v>
      </c>
      <c r="S109">
        <f t="shared" si="11"/>
        <v>-0.2</v>
      </c>
      <c r="T109">
        <f t="shared" si="13"/>
        <v>135.0235714285715</v>
      </c>
      <c r="U109" s="11">
        <f>AVERAGE(T100:T218)</f>
        <v>148.64281512605029</v>
      </c>
      <c r="V109">
        <v>189</v>
      </c>
      <c r="W109">
        <f t="shared" si="16"/>
        <v>2733.4</v>
      </c>
      <c r="X109">
        <v>8.8804756992988452</v>
      </c>
    </row>
    <row r="110" spans="1:25" x14ac:dyDescent="0.25">
      <c r="A110">
        <v>7400</v>
      </c>
      <c r="B110">
        <v>24250</v>
      </c>
      <c r="C110" s="1">
        <v>43055</v>
      </c>
      <c r="D110">
        <v>3</v>
      </c>
      <c r="E110" s="44"/>
      <c r="F110">
        <v>3.2</v>
      </c>
      <c r="G110">
        <v>-0.5</v>
      </c>
      <c r="H110">
        <v>5.5</v>
      </c>
      <c r="I110">
        <f t="shared" si="14"/>
        <v>1058.6999999999998</v>
      </c>
      <c r="J110">
        <f t="shared" si="15"/>
        <v>57.2</v>
      </c>
      <c r="K110" s="12" t="s">
        <v>39</v>
      </c>
      <c r="L110">
        <v>0</v>
      </c>
      <c r="M110">
        <v>0.5</v>
      </c>
      <c r="N110">
        <f t="shared" si="9"/>
        <v>-0.5</v>
      </c>
      <c r="O110">
        <f t="shared" si="12"/>
        <v>83.999999999999972</v>
      </c>
      <c r="P110">
        <v>86</v>
      </c>
      <c r="Q110">
        <v>1</v>
      </c>
      <c r="R110">
        <f t="shared" si="10"/>
        <v>0.5</v>
      </c>
      <c r="S110">
        <f t="shared" si="11"/>
        <v>-0.5</v>
      </c>
      <c r="T110">
        <f t="shared" si="13"/>
        <v>134.5235714285715</v>
      </c>
      <c r="V110">
        <v>534.70000000000005</v>
      </c>
      <c r="W110">
        <f t="shared" si="16"/>
        <v>3268.1000000000004</v>
      </c>
      <c r="X110">
        <v>8.8375073390282495</v>
      </c>
    </row>
    <row r="111" spans="1:25" x14ac:dyDescent="0.25">
      <c r="A111">
        <v>7400</v>
      </c>
      <c r="B111">
        <v>24250</v>
      </c>
      <c r="C111" s="1">
        <v>43056</v>
      </c>
      <c r="E111" s="44"/>
      <c r="F111">
        <v>5.5</v>
      </c>
      <c r="G111">
        <v>4.3</v>
      </c>
      <c r="H111">
        <v>7.2</v>
      </c>
      <c r="I111">
        <f t="shared" si="14"/>
        <v>1064.1999999999998</v>
      </c>
      <c r="J111">
        <f t="shared" si="15"/>
        <v>62.7</v>
      </c>
      <c r="K111" s="8">
        <v>55</v>
      </c>
      <c r="L111">
        <v>0.1</v>
      </c>
      <c r="M111">
        <v>0.3</v>
      </c>
      <c r="N111">
        <f t="shared" si="9"/>
        <v>-0.19999999999999998</v>
      </c>
      <c r="O111">
        <f t="shared" si="12"/>
        <v>83.799999999999969</v>
      </c>
      <c r="P111">
        <v>87</v>
      </c>
      <c r="Q111">
        <v>1</v>
      </c>
      <c r="R111">
        <f t="shared" si="10"/>
        <v>0.3</v>
      </c>
      <c r="S111">
        <f t="shared" si="11"/>
        <v>-0.19999999999999998</v>
      </c>
      <c r="T111">
        <f t="shared" si="13"/>
        <v>134.32357142857151</v>
      </c>
      <c r="U111" s="26">
        <f>(U109*100)/153.9</f>
        <v>96.584025423034632</v>
      </c>
      <c r="V111">
        <v>136.19999999999999</v>
      </c>
      <c r="W111">
        <f t="shared" si="16"/>
        <v>3404.3</v>
      </c>
      <c r="X111">
        <v>8.7953908467611353</v>
      </c>
    </row>
    <row r="112" spans="1:25" x14ac:dyDescent="0.25">
      <c r="A112">
        <v>7400</v>
      </c>
      <c r="B112">
        <v>24250</v>
      </c>
      <c r="C112" s="1">
        <v>43057</v>
      </c>
      <c r="D112">
        <v>4</v>
      </c>
      <c r="E112" s="44"/>
      <c r="F112">
        <v>2.2999999999999998</v>
      </c>
      <c r="G112">
        <v>-2.8</v>
      </c>
      <c r="H112">
        <v>6</v>
      </c>
      <c r="I112">
        <f t="shared" si="14"/>
        <v>1066.4999999999998</v>
      </c>
      <c r="J112">
        <f t="shared" si="15"/>
        <v>65</v>
      </c>
      <c r="K112" s="12" t="s">
        <v>40</v>
      </c>
      <c r="L112">
        <v>4.5</v>
      </c>
      <c r="M112">
        <v>0.1</v>
      </c>
      <c r="N112">
        <f t="shared" si="9"/>
        <v>4.4000000000000004</v>
      </c>
      <c r="O112">
        <f t="shared" si="12"/>
        <v>88.199999999999974</v>
      </c>
      <c r="P112">
        <v>88</v>
      </c>
      <c r="Q112">
        <v>1</v>
      </c>
      <c r="R112">
        <f t="shared" si="10"/>
        <v>0.1</v>
      </c>
      <c r="S112">
        <f t="shared" si="11"/>
        <v>4.4000000000000004</v>
      </c>
      <c r="T112">
        <f t="shared" si="13"/>
        <v>138.72357142857152</v>
      </c>
      <c r="V112">
        <v>58.2</v>
      </c>
      <c r="W112">
        <f t="shared" si="16"/>
        <v>3462.5</v>
      </c>
      <c r="X112">
        <v>8.754150983558775</v>
      </c>
    </row>
    <row r="113" spans="1:24" x14ac:dyDescent="0.25">
      <c r="A113">
        <v>7400</v>
      </c>
      <c r="B113">
        <v>24250</v>
      </c>
      <c r="C113" s="1">
        <v>43058</v>
      </c>
      <c r="D113">
        <v>5</v>
      </c>
      <c r="E113" s="44"/>
      <c r="F113">
        <v>3.9</v>
      </c>
      <c r="G113">
        <v>1.2</v>
      </c>
      <c r="H113">
        <v>7.5</v>
      </c>
      <c r="I113">
        <f t="shared" si="14"/>
        <v>1070.3999999999999</v>
      </c>
      <c r="J113">
        <f t="shared" si="15"/>
        <v>68.900000000000006</v>
      </c>
      <c r="K113" s="8">
        <v>36</v>
      </c>
      <c r="L113">
        <v>0</v>
      </c>
      <c r="M113">
        <v>0.6</v>
      </c>
      <c r="N113">
        <f t="shared" si="9"/>
        <v>-0.6</v>
      </c>
      <c r="O113">
        <f t="shared" si="12"/>
        <v>87.59999999999998</v>
      </c>
      <c r="P113">
        <v>89</v>
      </c>
      <c r="Q113">
        <v>1</v>
      </c>
      <c r="R113">
        <f t="shared" si="10"/>
        <v>0.6</v>
      </c>
      <c r="S113">
        <f t="shared" si="11"/>
        <v>-0.6</v>
      </c>
      <c r="T113">
        <f t="shared" si="13"/>
        <v>138.12357142857152</v>
      </c>
      <c r="V113">
        <v>366.4</v>
      </c>
      <c r="W113">
        <f t="shared" si="16"/>
        <v>3828.9</v>
      </c>
      <c r="X113">
        <v>8.7138126065304213</v>
      </c>
    </row>
    <row r="114" spans="1:24" x14ac:dyDescent="0.25">
      <c r="A114">
        <v>7400</v>
      </c>
      <c r="B114">
        <v>24250</v>
      </c>
      <c r="C114" s="1">
        <v>43059</v>
      </c>
      <c r="D114">
        <v>6</v>
      </c>
      <c r="E114" s="44"/>
      <c r="F114">
        <v>4.4000000000000004</v>
      </c>
      <c r="G114">
        <v>-1.7</v>
      </c>
      <c r="H114">
        <v>8.3000000000000007</v>
      </c>
      <c r="I114">
        <f t="shared" si="14"/>
        <v>1074.8</v>
      </c>
      <c r="J114">
        <f t="shared" si="15"/>
        <v>73.300000000000011</v>
      </c>
      <c r="L114">
        <v>1.8</v>
      </c>
      <c r="M114">
        <v>0.2</v>
      </c>
      <c r="N114">
        <f t="shared" si="9"/>
        <v>1.6</v>
      </c>
      <c r="O114">
        <f t="shared" si="12"/>
        <v>89.199999999999974</v>
      </c>
      <c r="P114">
        <v>90</v>
      </c>
      <c r="Q114">
        <v>1</v>
      </c>
      <c r="R114">
        <f t="shared" si="10"/>
        <v>0.2</v>
      </c>
      <c r="S114">
        <f t="shared" si="11"/>
        <v>1.6</v>
      </c>
      <c r="T114">
        <f t="shared" si="13"/>
        <v>139.72357142857152</v>
      </c>
      <c r="V114">
        <v>98.6</v>
      </c>
      <c r="W114">
        <f t="shared" si="16"/>
        <v>3927.5</v>
      </c>
      <c r="X114">
        <v>8.6744006290487388</v>
      </c>
    </row>
    <row r="115" spans="1:24" x14ac:dyDescent="0.25">
      <c r="A115">
        <v>7400</v>
      </c>
      <c r="B115">
        <v>24250</v>
      </c>
      <c r="C115" s="1">
        <v>43060</v>
      </c>
      <c r="E115" s="44"/>
      <c r="F115">
        <v>7.9</v>
      </c>
      <c r="G115">
        <v>7.6</v>
      </c>
      <c r="H115">
        <v>8.3000000000000007</v>
      </c>
      <c r="I115">
        <f t="shared" si="14"/>
        <v>1082.7</v>
      </c>
      <c r="J115">
        <f t="shared" si="15"/>
        <v>81.200000000000017</v>
      </c>
      <c r="L115">
        <v>0</v>
      </c>
      <c r="M115">
        <v>0.6</v>
      </c>
      <c r="N115">
        <f t="shared" si="9"/>
        <v>-0.6</v>
      </c>
      <c r="O115">
        <f t="shared" si="12"/>
        <v>88.59999999999998</v>
      </c>
      <c r="P115">
        <v>91</v>
      </c>
      <c r="Q115">
        <v>1</v>
      </c>
      <c r="R115">
        <f t="shared" si="10"/>
        <v>0.6</v>
      </c>
      <c r="S115">
        <f t="shared" si="11"/>
        <v>-0.6</v>
      </c>
      <c r="T115">
        <f t="shared" si="13"/>
        <v>139.12357142857152</v>
      </c>
      <c r="V115">
        <v>161.69999999999999</v>
      </c>
      <c r="W115">
        <f t="shared" si="16"/>
        <v>4089.2</v>
      </c>
      <c r="X115">
        <v>8.6359399787690716</v>
      </c>
    </row>
    <row r="116" spans="1:24" x14ac:dyDescent="0.25">
      <c r="A116">
        <v>7400</v>
      </c>
      <c r="B116">
        <v>24250</v>
      </c>
      <c r="C116" s="1">
        <v>43061</v>
      </c>
      <c r="E116" s="44"/>
      <c r="F116">
        <v>8.6999999999999993</v>
      </c>
      <c r="G116">
        <v>6.4</v>
      </c>
      <c r="H116">
        <v>12.4</v>
      </c>
      <c r="I116">
        <f t="shared" si="14"/>
        <v>1091.4000000000001</v>
      </c>
      <c r="J116">
        <f t="shared" si="15"/>
        <v>89.90000000000002</v>
      </c>
      <c r="L116">
        <v>0</v>
      </c>
      <c r="M116">
        <v>1.6</v>
      </c>
      <c r="N116">
        <f t="shared" si="9"/>
        <v>-1.6</v>
      </c>
      <c r="O116">
        <f t="shared" si="12"/>
        <v>86.999999999999986</v>
      </c>
      <c r="P116">
        <v>92</v>
      </c>
      <c r="Q116">
        <v>1</v>
      </c>
      <c r="R116">
        <f t="shared" si="10"/>
        <v>1.6</v>
      </c>
      <c r="S116">
        <f t="shared" si="11"/>
        <v>-1.6</v>
      </c>
      <c r="T116">
        <f t="shared" si="13"/>
        <v>137.52357142857153</v>
      </c>
      <c r="V116">
        <v>681.2</v>
      </c>
      <c r="W116">
        <f t="shared" si="16"/>
        <v>4770.3999999999996</v>
      </c>
      <c r="X116">
        <v>8.5984555535156275</v>
      </c>
    </row>
    <row r="117" spans="1:24" x14ac:dyDescent="0.25">
      <c r="A117">
        <v>7400</v>
      </c>
      <c r="B117">
        <v>24250</v>
      </c>
      <c r="C117" s="1">
        <v>43062</v>
      </c>
      <c r="E117" s="44"/>
      <c r="F117">
        <v>11.8</v>
      </c>
      <c r="G117">
        <v>7.7</v>
      </c>
      <c r="H117">
        <v>14.6</v>
      </c>
      <c r="I117">
        <f t="shared" si="14"/>
        <v>1103.2</v>
      </c>
      <c r="J117">
        <f t="shared" si="15"/>
        <v>101.70000000000002</v>
      </c>
      <c r="L117">
        <v>2.6</v>
      </c>
      <c r="M117">
        <v>1.9</v>
      </c>
      <c r="N117">
        <f t="shared" si="9"/>
        <v>0.70000000000000018</v>
      </c>
      <c r="O117">
        <f t="shared" si="12"/>
        <v>87.699999999999989</v>
      </c>
      <c r="P117">
        <v>93</v>
      </c>
      <c r="Q117">
        <v>1</v>
      </c>
      <c r="R117">
        <f t="shared" si="10"/>
        <v>1.9</v>
      </c>
      <c r="S117">
        <f t="shared" si="11"/>
        <v>0.70000000000000018</v>
      </c>
      <c r="T117">
        <f t="shared" si="13"/>
        <v>138.22357142857152</v>
      </c>
      <c r="V117">
        <v>272.39999999999998</v>
      </c>
      <c r="W117">
        <f t="shared" si="16"/>
        <v>5042.7999999999993</v>
      </c>
      <c r="X117">
        <v>8.5619721751150006</v>
      </c>
    </row>
    <row r="118" spans="1:24" x14ac:dyDescent="0.25">
      <c r="A118">
        <v>7400</v>
      </c>
      <c r="B118">
        <v>24250</v>
      </c>
      <c r="C118" s="1">
        <v>43063</v>
      </c>
      <c r="E118" s="44"/>
      <c r="F118">
        <v>10.1</v>
      </c>
      <c r="G118">
        <v>8.6999999999999993</v>
      </c>
      <c r="H118">
        <v>11.3</v>
      </c>
      <c r="I118">
        <f t="shared" si="14"/>
        <v>1113.3</v>
      </c>
      <c r="J118">
        <f t="shared" si="15"/>
        <v>111.80000000000001</v>
      </c>
      <c r="L118">
        <v>5.4</v>
      </c>
      <c r="M118">
        <v>0.6</v>
      </c>
      <c r="N118">
        <f t="shared" si="9"/>
        <v>4.8000000000000007</v>
      </c>
      <c r="O118">
        <f t="shared" si="12"/>
        <v>92.499999999999986</v>
      </c>
      <c r="P118">
        <v>94</v>
      </c>
      <c r="Q118">
        <v>1</v>
      </c>
      <c r="R118">
        <f t="shared" si="10"/>
        <v>0.6</v>
      </c>
      <c r="S118">
        <f t="shared" si="11"/>
        <v>4.8000000000000007</v>
      </c>
      <c r="T118">
        <f t="shared" si="13"/>
        <v>143.02357142857153</v>
      </c>
      <c r="V118">
        <v>116.6</v>
      </c>
      <c r="W118">
        <f t="shared" si="16"/>
        <v>5159.3999999999996</v>
      </c>
      <c r="X118">
        <v>8.5265145412758603</v>
      </c>
    </row>
    <row r="119" spans="1:24" x14ac:dyDescent="0.25">
      <c r="A119">
        <v>7400</v>
      </c>
      <c r="B119">
        <v>24250</v>
      </c>
      <c r="C119" s="1">
        <v>43064</v>
      </c>
      <c r="D119">
        <v>7</v>
      </c>
      <c r="E119" s="44"/>
      <c r="F119">
        <v>4.5</v>
      </c>
      <c r="G119">
        <v>2</v>
      </c>
      <c r="H119">
        <v>6.3</v>
      </c>
      <c r="I119">
        <f t="shared" si="14"/>
        <v>1117.8</v>
      </c>
      <c r="J119">
        <f t="shared" si="15"/>
        <v>116.30000000000001</v>
      </c>
      <c r="L119">
        <v>2.9</v>
      </c>
      <c r="M119">
        <v>0.2</v>
      </c>
      <c r="N119">
        <f t="shared" si="9"/>
        <v>2.6999999999999997</v>
      </c>
      <c r="O119">
        <f t="shared" si="12"/>
        <v>95.199999999999989</v>
      </c>
      <c r="P119">
        <v>95</v>
      </c>
      <c r="Q119">
        <v>1</v>
      </c>
      <c r="R119">
        <f t="shared" si="10"/>
        <v>0.2</v>
      </c>
      <c r="S119">
        <f t="shared" si="11"/>
        <v>2.6999999999999997</v>
      </c>
      <c r="T119">
        <f t="shared" si="13"/>
        <v>145.72357142857152</v>
      </c>
      <c r="V119">
        <v>183.1</v>
      </c>
      <c r="W119">
        <f t="shared" si="16"/>
        <v>5342.5</v>
      </c>
      <c r="X119">
        <v>8.4921071756324604</v>
      </c>
    </row>
    <row r="120" spans="1:24" x14ac:dyDescent="0.25">
      <c r="A120">
        <v>7400</v>
      </c>
      <c r="B120">
        <v>24250</v>
      </c>
      <c r="C120" s="1">
        <v>43065</v>
      </c>
      <c r="D120">
        <v>8</v>
      </c>
      <c r="E120" s="44"/>
      <c r="F120">
        <v>1.9</v>
      </c>
      <c r="G120">
        <v>-1</v>
      </c>
      <c r="H120">
        <v>4.7</v>
      </c>
      <c r="I120">
        <f t="shared" si="14"/>
        <v>1119.7</v>
      </c>
      <c r="J120">
        <f t="shared" si="15"/>
        <v>118.20000000000002</v>
      </c>
      <c r="L120">
        <v>1</v>
      </c>
      <c r="M120">
        <v>0.4</v>
      </c>
      <c r="N120">
        <f t="shared" si="9"/>
        <v>0.6</v>
      </c>
      <c r="O120">
        <f t="shared" si="12"/>
        <v>95.799999999999983</v>
      </c>
      <c r="P120">
        <v>96</v>
      </c>
      <c r="Q120">
        <v>1</v>
      </c>
      <c r="R120">
        <f t="shared" si="10"/>
        <v>0.4</v>
      </c>
      <c r="S120">
        <f t="shared" si="11"/>
        <v>0.6</v>
      </c>
      <c r="T120">
        <f t="shared" si="13"/>
        <v>146.32357142857151</v>
      </c>
      <c r="V120">
        <v>369.9</v>
      </c>
      <c r="W120">
        <f t="shared" si="16"/>
        <v>5712.4</v>
      </c>
      <c r="X120">
        <v>8.4587743760891421</v>
      </c>
    </row>
    <row r="121" spans="1:24" x14ac:dyDescent="0.25">
      <c r="A121">
        <v>7400</v>
      </c>
      <c r="B121">
        <v>24250</v>
      </c>
      <c r="C121" s="1">
        <v>43066</v>
      </c>
      <c r="E121" s="44"/>
      <c r="F121">
        <v>5.6</v>
      </c>
      <c r="G121">
        <v>2.2000000000000002</v>
      </c>
      <c r="H121">
        <v>6.8</v>
      </c>
      <c r="I121">
        <f t="shared" si="14"/>
        <v>1125.3</v>
      </c>
      <c r="J121">
        <f t="shared" si="15"/>
        <v>123.80000000000001</v>
      </c>
      <c r="L121">
        <v>16</v>
      </c>
      <c r="M121">
        <v>0.1</v>
      </c>
      <c r="N121">
        <f t="shared" si="9"/>
        <v>15.9</v>
      </c>
      <c r="O121">
        <f t="shared" si="12"/>
        <v>111.69999999999999</v>
      </c>
      <c r="P121">
        <v>97</v>
      </c>
      <c r="Q121">
        <v>1</v>
      </c>
      <c r="R121">
        <f t="shared" si="10"/>
        <v>0.1</v>
      </c>
      <c r="S121">
        <f t="shared" si="11"/>
        <v>15.9</v>
      </c>
      <c r="T121">
        <f t="shared" si="13"/>
        <v>153.9</v>
      </c>
      <c r="V121">
        <v>99.9</v>
      </c>
      <c r="W121">
        <f t="shared" si="16"/>
        <v>5812.2999999999993</v>
      </c>
      <c r="X121">
        <v>8.4265401616226825</v>
      </c>
    </row>
    <row r="122" spans="1:24" x14ac:dyDescent="0.25">
      <c r="A122">
        <v>7400</v>
      </c>
      <c r="B122">
        <v>24250</v>
      </c>
      <c r="C122" s="1">
        <v>43067</v>
      </c>
      <c r="E122" s="44"/>
      <c r="F122">
        <v>5.0999999999999996</v>
      </c>
      <c r="G122">
        <v>5.0999999999999996</v>
      </c>
      <c r="H122">
        <v>6.2</v>
      </c>
      <c r="I122">
        <f t="shared" si="14"/>
        <v>1130.3999999999999</v>
      </c>
      <c r="J122">
        <f t="shared" si="15"/>
        <v>128.9</v>
      </c>
      <c r="L122">
        <v>0.6</v>
      </c>
      <c r="M122">
        <v>0.6</v>
      </c>
      <c r="N122">
        <f t="shared" si="9"/>
        <v>0</v>
      </c>
      <c r="O122">
        <f t="shared" si="12"/>
        <v>111.69999999999999</v>
      </c>
      <c r="P122">
        <v>98</v>
      </c>
      <c r="Q122">
        <v>1</v>
      </c>
      <c r="R122">
        <f t="shared" si="10"/>
        <v>0.6</v>
      </c>
      <c r="S122">
        <f t="shared" si="11"/>
        <v>0</v>
      </c>
      <c r="T122">
        <f t="shared" si="13"/>
        <v>153.9</v>
      </c>
      <c r="V122">
        <v>178.6</v>
      </c>
      <c r="W122">
        <f t="shared" si="16"/>
        <v>5990.9</v>
      </c>
      <c r="X122">
        <v>8.395428217719255</v>
      </c>
    </row>
    <row r="123" spans="1:24" x14ac:dyDescent="0.25">
      <c r="A123">
        <v>7400</v>
      </c>
      <c r="B123">
        <v>24250</v>
      </c>
      <c r="C123" s="1">
        <v>43068</v>
      </c>
      <c r="D123">
        <v>9</v>
      </c>
      <c r="E123" s="44"/>
      <c r="F123">
        <v>1.7</v>
      </c>
      <c r="G123">
        <v>0.9</v>
      </c>
      <c r="H123">
        <v>2.9</v>
      </c>
      <c r="I123">
        <f t="shared" si="14"/>
        <v>1132.0999999999999</v>
      </c>
      <c r="J123">
        <f t="shared" si="15"/>
        <v>130.6</v>
      </c>
      <c r="L123">
        <v>0.4</v>
      </c>
      <c r="M123">
        <v>0.2</v>
      </c>
      <c r="N123">
        <f t="shared" si="9"/>
        <v>0.2</v>
      </c>
      <c r="O123">
        <f t="shared" si="12"/>
        <v>111.89999999999999</v>
      </c>
      <c r="P123">
        <v>99</v>
      </c>
      <c r="Q123">
        <v>1</v>
      </c>
      <c r="R123">
        <f t="shared" si="10"/>
        <v>0.2</v>
      </c>
      <c r="S123">
        <f t="shared" si="11"/>
        <v>0.2</v>
      </c>
      <c r="T123">
        <f t="shared" si="13"/>
        <v>153.9</v>
      </c>
      <c r="V123">
        <v>66.7</v>
      </c>
      <c r="W123">
        <f t="shared" si="16"/>
        <v>6057.5999999999995</v>
      </c>
      <c r="X123">
        <v>8.365461840642487</v>
      </c>
    </row>
    <row r="124" spans="1:24" x14ac:dyDescent="0.25">
      <c r="A124">
        <v>7400</v>
      </c>
      <c r="B124">
        <v>24250</v>
      </c>
      <c r="C124" s="1">
        <v>43069</v>
      </c>
      <c r="D124">
        <v>10</v>
      </c>
      <c r="E124" s="44"/>
      <c r="F124">
        <v>2.2000000000000002</v>
      </c>
      <c r="G124">
        <v>0.7</v>
      </c>
      <c r="H124">
        <v>4</v>
      </c>
      <c r="I124">
        <f t="shared" si="14"/>
        <v>1134.3</v>
      </c>
      <c r="J124">
        <f t="shared" si="15"/>
        <v>132.79999999999998</v>
      </c>
      <c r="L124">
        <v>1.7</v>
      </c>
      <c r="M124">
        <v>0.4</v>
      </c>
      <c r="N124">
        <f t="shared" si="9"/>
        <v>1.2999999999999998</v>
      </c>
      <c r="O124">
        <f t="shared" si="12"/>
        <v>113.19999999999999</v>
      </c>
      <c r="P124">
        <v>100</v>
      </c>
      <c r="Q124">
        <v>1</v>
      </c>
      <c r="R124">
        <f t="shared" si="10"/>
        <v>0.4</v>
      </c>
      <c r="S124">
        <f t="shared" si="11"/>
        <v>1.2999999999999998</v>
      </c>
      <c r="T124">
        <f t="shared" si="13"/>
        <v>153.9</v>
      </c>
      <c r="V124">
        <v>162.4</v>
      </c>
      <c r="W124">
        <f t="shared" si="16"/>
        <v>6219.9999999999991</v>
      </c>
      <c r="X124">
        <v>8.3366638807484517</v>
      </c>
    </row>
    <row r="125" spans="1:24" x14ac:dyDescent="0.25">
      <c r="A125">
        <v>7400</v>
      </c>
      <c r="B125">
        <v>24250</v>
      </c>
      <c r="C125" s="1">
        <v>43070</v>
      </c>
      <c r="D125">
        <v>11</v>
      </c>
      <c r="E125" s="44"/>
      <c r="F125">
        <v>1</v>
      </c>
      <c r="G125">
        <v>0.3</v>
      </c>
      <c r="H125">
        <v>2.5</v>
      </c>
      <c r="I125">
        <f t="shared" si="14"/>
        <v>1135.3</v>
      </c>
      <c r="J125">
        <f t="shared" si="15"/>
        <v>133.79999999999998</v>
      </c>
      <c r="L125">
        <v>0.5</v>
      </c>
      <c r="M125">
        <v>0.3</v>
      </c>
      <c r="N125">
        <f t="shared" si="9"/>
        <v>0.2</v>
      </c>
      <c r="O125">
        <f t="shared" si="12"/>
        <v>113.39999999999999</v>
      </c>
      <c r="P125">
        <v>101</v>
      </c>
      <c r="Q125">
        <v>1</v>
      </c>
      <c r="R125">
        <f t="shared" si="10"/>
        <v>0.3</v>
      </c>
      <c r="S125">
        <f t="shared" si="11"/>
        <v>0.2</v>
      </c>
      <c r="T125">
        <f t="shared" si="13"/>
        <v>153.9</v>
      </c>
      <c r="V125">
        <v>152.6</v>
      </c>
      <c r="W125">
        <f t="shared" si="16"/>
        <v>6372.5999999999995</v>
      </c>
      <c r="X125">
        <v>8.3090566850822274</v>
      </c>
    </row>
    <row r="126" spans="1:24" x14ac:dyDescent="0.25">
      <c r="A126">
        <v>7400</v>
      </c>
      <c r="B126">
        <v>24250</v>
      </c>
      <c r="C126" s="1">
        <v>43071</v>
      </c>
      <c r="D126">
        <v>12</v>
      </c>
      <c r="E126" s="44"/>
      <c r="F126">
        <v>-0.7</v>
      </c>
      <c r="G126">
        <v>-2</v>
      </c>
      <c r="H126">
        <v>1.6</v>
      </c>
      <c r="I126">
        <v>1135.3</v>
      </c>
      <c r="J126">
        <v>133.80000000000001</v>
      </c>
      <c r="L126">
        <v>0</v>
      </c>
      <c r="M126">
        <v>0.5</v>
      </c>
      <c r="N126">
        <f t="shared" si="9"/>
        <v>-0.5</v>
      </c>
      <c r="O126">
        <f t="shared" si="12"/>
        <v>112.89999999999999</v>
      </c>
      <c r="P126">
        <v>102</v>
      </c>
      <c r="Q126">
        <v>1</v>
      </c>
      <c r="R126">
        <f t="shared" si="10"/>
        <v>0.5</v>
      </c>
      <c r="S126">
        <f t="shared" si="11"/>
        <v>-0.5</v>
      </c>
      <c r="T126">
        <f t="shared" si="13"/>
        <v>153.4</v>
      </c>
      <c r="V126">
        <v>544.5</v>
      </c>
      <c r="W126">
        <f t="shared" si="16"/>
        <v>6917.0999999999995</v>
      </c>
      <c r="X126">
        <v>8.2826620395084127</v>
      </c>
    </row>
    <row r="127" spans="1:24" x14ac:dyDescent="0.25">
      <c r="A127">
        <v>7400</v>
      </c>
      <c r="B127">
        <v>24250</v>
      </c>
      <c r="C127" s="1">
        <v>43072</v>
      </c>
      <c r="D127">
        <v>13</v>
      </c>
      <c r="E127" s="44"/>
      <c r="F127">
        <v>-1.6</v>
      </c>
      <c r="G127">
        <v>-3.9</v>
      </c>
      <c r="H127">
        <v>1.2</v>
      </c>
      <c r="I127">
        <v>1135.3</v>
      </c>
      <c r="J127">
        <v>133.80000000000001</v>
      </c>
      <c r="L127">
        <v>1.1000000000000001</v>
      </c>
      <c r="M127">
        <v>0.1</v>
      </c>
      <c r="N127">
        <f t="shared" si="9"/>
        <v>1</v>
      </c>
      <c r="O127">
        <f t="shared" si="12"/>
        <v>113.89999999999999</v>
      </c>
      <c r="P127">
        <v>103</v>
      </c>
      <c r="Q127">
        <v>1</v>
      </c>
      <c r="R127">
        <f t="shared" si="10"/>
        <v>0.1</v>
      </c>
      <c r="S127">
        <f t="shared" si="11"/>
        <v>1</v>
      </c>
      <c r="T127">
        <f t="shared" si="13"/>
        <v>153.9</v>
      </c>
      <c r="V127">
        <v>58.5</v>
      </c>
      <c r="W127">
        <f t="shared" si="16"/>
        <v>6975.5999999999995</v>
      </c>
      <c r="X127">
        <v>8.2575011106446627</v>
      </c>
    </row>
    <row r="128" spans="1:24" x14ac:dyDescent="0.25">
      <c r="A128">
        <v>7400</v>
      </c>
      <c r="B128">
        <v>24250</v>
      </c>
      <c r="C128" s="1">
        <v>43073</v>
      </c>
      <c r="D128">
        <v>14</v>
      </c>
      <c r="E128" s="44"/>
      <c r="F128">
        <v>3.1</v>
      </c>
      <c r="G128">
        <v>0</v>
      </c>
      <c r="H128">
        <v>4.5999999999999996</v>
      </c>
      <c r="I128">
        <f t="shared" si="14"/>
        <v>1138.3999999999999</v>
      </c>
      <c r="J128">
        <f t="shared" si="15"/>
        <v>136.9</v>
      </c>
      <c r="L128">
        <v>0.1</v>
      </c>
      <c r="M128">
        <v>0.2</v>
      </c>
      <c r="N128">
        <f t="shared" si="9"/>
        <v>-0.1</v>
      </c>
      <c r="O128">
        <f t="shared" si="12"/>
        <v>113.8</v>
      </c>
      <c r="P128">
        <v>104</v>
      </c>
      <c r="Q128">
        <v>1</v>
      </c>
      <c r="R128">
        <f t="shared" si="10"/>
        <v>0.2</v>
      </c>
      <c r="S128">
        <f t="shared" si="11"/>
        <v>-0.1</v>
      </c>
      <c r="T128">
        <f t="shared" si="13"/>
        <v>153.80000000000001</v>
      </c>
      <c r="V128">
        <v>206.4</v>
      </c>
      <c r="W128">
        <f t="shared" si="16"/>
        <v>7181.9999999999991</v>
      </c>
      <c r="X128">
        <v>8.2335943878823628</v>
      </c>
    </row>
    <row r="129" spans="1:24" x14ac:dyDescent="0.25">
      <c r="A129">
        <v>7400</v>
      </c>
      <c r="B129">
        <v>24250</v>
      </c>
      <c r="C129" s="1">
        <v>43074</v>
      </c>
      <c r="D129">
        <v>15</v>
      </c>
      <c r="E129" s="44"/>
      <c r="F129">
        <v>3.7</v>
      </c>
      <c r="G129">
        <v>2.6</v>
      </c>
      <c r="H129">
        <v>4.3</v>
      </c>
      <c r="I129">
        <f t="shared" si="14"/>
        <v>1142.0999999999999</v>
      </c>
      <c r="J129">
        <f t="shared" si="15"/>
        <v>140.6</v>
      </c>
      <c r="L129">
        <v>0</v>
      </c>
      <c r="M129">
        <v>0.1</v>
      </c>
      <c r="N129">
        <f t="shared" si="9"/>
        <v>-0.1</v>
      </c>
      <c r="O129">
        <f t="shared" si="12"/>
        <v>113.7</v>
      </c>
      <c r="P129">
        <v>105</v>
      </c>
      <c r="Q129">
        <v>1</v>
      </c>
      <c r="R129">
        <f t="shared" si="10"/>
        <v>0.1</v>
      </c>
      <c r="S129">
        <f t="shared" si="11"/>
        <v>-0.1</v>
      </c>
      <c r="T129">
        <f t="shared" si="13"/>
        <v>153.70000000000002</v>
      </c>
      <c r="V129">
        <v>63</v>
      </c>
      <c r="W129">
        <f t="shared" si="16"/>
        <v>7244.9999999999991</v>
      </c>
      <c r="X129">
        <v>8.2109616257918958</v>
      </c>
    </row>
    <row r="130" spans="1:24" x14ac:dyDescent="0.25">
      <c r="A130">
        <v>7400</v>
      </c>
      <c r="B130">
        <v>24250</v>
      </c>
      <c r="C130" s="1">
        <v>43075</v>
      </c>
      <c r="D130">
        <v>16</v>
      </c>
      <c r="E130" s="44"/>
      <c r="F130">
        <v>3</v>
      </c>
      <c r="G130">
        <v>1</v>
      </c>
      <c r="H130">
        <v>4.5999999999999996</v>
      </c>
      <c r="I130">
        <f t="shared" si="14"/>
        <v>1145.0999999999999</v>
      </c>
      <c r="J130">
        <f t="shared" si="15"/>
        <v>143.6</v>
      </c>
      <c r="L130">
        <v>0</v>
      </c>
      <c r="M130">
        <v>0.3</v>
      </c>
      <c r="N130">
        <f t="shared" si="9"/>
        <v>-0.3</v>
      </c>
      <c r="O130">
        <f t="shared" si="12"/>
        <v>113.4</v>
      </c>
      <c r="P130">
        <v>106</v>
      </c>
      <c r="Q130">
        <v>1</v>
      </c>
      <c r="R130">
        <f t="shared" si="10"/>
        <v>0.3</v>
      </c>
      <c r="S130">
        <f t="shared" si="11"/>
        <v>-0.3</v>
      </c>
      <c r="T130">
        <f t="shared" si="13"/>
        <v>153.4</v>
      </c>
      <c r="V130">
        <v>86.5</v>
      </c>
      <c r="W130">
        <f t="shared" si="16"/>
        <v>7331.4999999999991</v>
      </c>
      <c r="X130">
        <v>8.1896217872211299</v>
      </c>
    </row>
    <row r="131" spans="1:24" x14ac:dyDescent="0.25">
      <c r="A131">
        <v>7400</v>
      </c>
      <c r="B131">
        <v>24250</v>
      </c>
      <c r="C131" s="1">
        <v>43076</v>
      </c>
      <c r="D131">
        <v>17</v>
      </c>
      <c r="E131" s="44"/>
      <c r="F131">
        <v>4.2</v>
      </c>
      <c r="G131">
        <v>1.1000000000000001</v>
      </c>
      <c r="H131">
        <v>6.2</v>
      </c>
      <c r="I131">
        <f t="shared" si="14"/>
        <v>1149.3</v>
      </c>
      <c r="J131">
        <f t="shared" si="15"/>
        <v>147.79999999999998</v>
      </c>
      <c r="L131">
        <v>5.2</v>
      </c>
      <c r="M131">
        <v>0.4</v>
      </c>
      <c r="N131">
        <f t="shared" si="9"/>
        <v>4.8</v>
      </c>
      <c r="O131">
        <f t="shared" si="12"/>
        <v>118.2</v>
      </c>
      <c r="P131">
        <v>107</v>
      </c>
      <c r="Q131">
        <v>1</v>
      </c>
      <c r="R131">
        <f t="shared" si="10"/>
        <v>0.4</v>
      </c>
      <c r="S131">
        <f t="shared" si="11"/>
        <v>4.8</v>
      </c>
      <c r="T131">
        <f t="shared" si="13"/>
        <v>153.9</v>
      </c>
      <c r="V131">
        <v>169.3</v>
      </c>
      <c r="W131">
        <f t="shared" si="16"/>
        <v>7500.7999999999993</v>
      </c>
      <c r="X131">
        <v>8.1695929874046076</v>
      </c>
    </row>
    <row r="132" spans="1:24" x14ac:dyDescent="0.25">
      <c r="A132">
        <v>7400</v>
      </c>
      <c r="B132">
        <v>24250</v>
      </c>
      <c r="C132" s="1">
        <v>43077</v>
      </c>
      <c r="D132">
        <v>18</v>
      </c>
      <c r="E132" s="44"/>
      <c r="F132">
        <v>2.6</v>
      </c>
      <c r="G132">
        <v>1.1000000000000001</v>
      </c>
      <c r="H132">
        <v>4.8</v>
      </c>
      <c r="I132">
        <f t="shared" si="14"/>
        <v>1151.8999999999999</v>
      </c>
      <c r="J132">
        <f t="shared" si="15"/>
        <v>150.39999999999998</v>
      </c>
      <c r="L132">
        <v>1.1000000000000001</v>
      </c>
      <c r="M132">
        <v>0.6</v>
      </c>
      <c r="N132">
        <f t="shared" si="9"/>
        <v>0.50000000000000011</v>
      </c>
      <c r="O132">
        <f t="shared" si="12"/>
        <v>118.7</v>
      </c>
      <c r="P132">
        <v>108</v>
      </c>
      <c r="Q132">
        <v>1</v>
      </c>
      <c r="R132">
        <f t="shared" si="10"/>
        <v>0.6</v>
      </c>
      <c r="S132">
        <f t="shared" si="11"/>
        <v>0.50000000000000011</v>
      </c>
      <c r="T132">
        <f t="shared" si="13"/>
        <v>153.9</v>
      </c>
      <c r="V132">
        <v>358</v>
      </c>
      <c r="W132">
        <f t="shared" si="16"/>
        <v>7858.7999999999993</v>
      </c>
      <c r="X132">
        <v>8.1508924394070341</v>
      </c>
    </row>
    <row r="133" spans="1:24" x14ac:dyDescent="0.25">
      <c r="A133">
        <v>7400</v>
      </c>
      <c r="B133">
        <v>24250</v>
      </c>
      <c r="C133" s="1">
        <v>43078</v>
      </c>
      <c r="D133">
        <v>19</v>
      </c>
      <c r="E133" s="44"/>
      <c r="F133">
        <v>0.2</v>
      </c>
      <c r="G133">
        <v>-1.1000000000000001</v>
      </c>
      <c r="H133">
        <v>1.6</v>
      </c>
      <c r="I133">
        <f t="shared" si="14"/>
        <v>1152.0999999999999</v>
      </c>
      <c r="J133">
        <f t="shared" si="15"/>
        <v>150.59999999999997</v>
      </c>
      <c r="L133">
        <v>0.2</v>
      </c>
      <c r="M133">
        <v>0.3</v>
      </c>
      <c r="N133">
        <f t="shared" ref="N133:N196" si="18">L133-M133</f>
        <v>-9.9999999999999978E-2</v>
      </c>
      <c r="O133">
        <f t="shared" si="12"/>
        <v>118.60000000000001</v>
      </c>
      <c r="P133">
        <v>109</v>
      </c>
      <c r="Q133">
        <v>1</v>
      </c>
      <c r="R133">
        <f t="shared" ref="R133:R196" si="19">Q133*M133</f>
        <v>0.3</v>
      </c>
      <c r="S133">
        <f t="shared" ref="S133:S196" si="20">L133-R133</f>
        <v>-9.9999999999999978E-2</v>
      </c>
      <c r="T133">
        <f t="shared" si="13"/>
        <v>153.80000000000001</v>
      </c>
      <c r="V133">
        <v>346.6</v>
      </c>
      <c r="W133">
        <f t="shared" si="16"/>
        <v>8205.4</v>
      </c>
      <c r="X133">
        <v>8.1335364012280209</v>
      </c>
    </row>
    <row r="134" spans="1:24" x14ac:dyDescent="0.25">
      <c r="A134">
        <v>7400</v>
      </c>
      <c r="B134">
        <v>24250</v>
      </c>
      <c r="C134" s="1">
        <v>43079</v>
      </c>
      <c r="E134" s="44"/>
      <c r="F134">
        <v>5.0999999999999996</v>
      </c>
      <c r="G134">
        <v>0.2</v>
      </c>
      <c r="H134">
        <v>8</v>
      </c>
      <c r="I134">
        <f t="shared" si="14"/>
        <v>1157.1999999999998</v>
      </c>
      <c r="J134">
        <f t="shared" si="15"/>
        <v>155.69999999999996</v>
      </c>
      <c r="L134">
        <v>18.399999999999999</v>
      </c>
      <c r="M134">
        <v>0.1</v>
      </c>
      <c r="N134">
        <f t="shared" si="18"/>
        <v>18.299999999999997</v>
      </c>
      <c r="O134">
        <f t="shared" ref="O134:O197" si="21">O133+N134</f>
        <v>136.9</v>
      </c>
      <c r="P134">
        <v>110</v>
      </c>
      <c r="Q134">
        <v>1</v>
      </c>
      <c r="R134">
        <f t="shared" si="19"/>
        <v>0.1</v>
      </c>
      <c r="S134">
        <f t="shared" si="20"/>
        <v>18.299999999999997</v>
      </c>
      <c r="T134">
        <f t="shared" si="13"/>
        <v>153.9</v>
      </c>
      <c r="V134">
        <v>133.4</v>
      </c>
      <c r="W134">
        <f t="shared" si="16"/>
        <v>8338.7999999999993</v>
      </c>
      <c r="X134">
        <v>8.1175401248952497</v>
      </c>
    </row>
    <row r="135" spans="1:24" x14ac:dyDescent="0.25">
      <c r="A135">
        <v>7400</v>
      </c>
      <c r="B135">
        <v>24250</v>
      </c>
      <c r="C135" s="1">
        <v>43080</v>
      </c>
      <c r="E135" s="44"/>
      <c r="F135">
        <v>6.7</v>
      </c>
      <c r="G135">
        <v>5.0999999999999996</v>
      </c>
      <c r="H135">
        <v>10.1</v>
      </c>
      <c r="I135">
        <f t="shared" si="14"/>
        <v>1163.8999999999999</v>
      </c>
      <c r="J135">
        <f t="shared" si="15"/>
        <v>162.39999999999995</v>
      </c>
      <c r="L135">
        <v>1.9</v>
      </c>
      <c r="M135">
        <v>1.2</v>
      </c>
      <c r="N135">
        <f t="shared" si="18"/>
        <v>0.7</v>
      </c>
      <c r="O135">
        <f t="shared" si="21"/>
        <v>137.6</v>
      </c>
      <c r="P135">
        <v>111</v>
      </c>
      <c r="Q135">
        <v>1</v>
      </c>
      <c r="R135">
        <f t="shared" si="19"/>
        <v>1.2</v>
      </c>
      <c r="S135">
        <f t="shared" si="20"/>
        <v>0.7</v>
      </c>
      <c r="T135">
        <f t="shared" si="13"/>
        <v>153.9</v>
      </c>
      <c r="V135">
        <v>104.7</v>
      </c>
      <c r="W135">
        <f t="shared" si="16"/>
        <v>8443.5</v>
      </c>
      <c r="X135">
        <v>8.1029178078700923</v>
      </c>
    </row>
    <row r="136" spans="1:24" x14ac:dyDescent="0.25">
      <c r="A136">
        <v>7400</v>
      </c>
      <c r="B136">
        <v>24250</v>
      </c>
      <c r="C136" s="1">
        <v>43081</v>
      </c>
      <c r="D136">
        <v>20</v>
      </c>
      <c r="E136" s="44"/>
      <c r="F136">
        <v>2.4</v>
      </c>
      <c r="G136">
        <v>0.9</v>
      </c>
      <c r="H136">
        <v>3.5</v>
      </c>
      <c r="I136">
        <f t="shared" si="14"/>
        <v>1166.3</v>
      </c>
      <c r="J136">
        <f t="shared" si="15"/>
        <v>164.79999999999995</v>
      </c>
      <c r="L136">
        <v>0</v>
      </c>
      <c r="M136">
        <v>0.3</v>
      </c>
      <c r="N136">
        <f t="shared" si="18"/>
        <v>-0.3</v>
      </c>
      <c r="O136">
        <f t="shared" si="21"/>
        <v>137.29999999999998</v>
      </c>
      <c r="P136">
        <v>112</v>
      </c>
      <c r="Q136">
        <v>1</v>
      </c>
      <c r="R136">
        <f t="shared" si="19"/>
        <v>0.3</v>
      </c>
      <c r="S136">
        <f t="shared" si="20"/>
        <v>-0.3</v>
      </c>
      <c r="T136">
        <f t="shared" si="13"/>
        <v>153.6</v>
      </c>
      <c r="V136">
        <v>384.1</v>
      </c>
      <c r="W136">
        <f t="shared" si="16"/>
        <v>8827.6</v>
      </c>
      <c r="X136">
        <v>8.089682547083445</v>
      </c>
    </row>
    <row r="137" spans="1:24" x14ac:dyDescent="0.25">
      <c r="A137">
        <v>7400</v>
      </c>
      <c r="B137">
        <v>24250</v>
      </c>
      <c r="C137" s="1">
        <v>43082</v>
      </c>
      <c r="D137">
        <v>21</v>
      </c>
      <c r="E137" s="44"/>
      <c r="F137">
        <v>4.5999999999999996</v>
      </c>
      <c r="G137">
        <v>2.1</v>
      </c>
      <c r="H137">
        <v>7.1</v>
      </c>
      <c r="I137">
        <f t="shared" si="14"/>
        <v>1170.8999999999999</v>
      </c>
      <c r="J137">
        <f t="shared" si="15"/>
        <v>169.39999999999995</v>
      </c>
      <c r="L137">
        <v>17.3</v>
      </c>
      <c r="M137">
        <v>0.5</v>
      </c>
      <c r="N137">
        <f t="shared" si="18"/>
        <v>16.8</v>
      </c>
      <c r="O137">
        <f t="shared" si="21"/>
        <v>154.1</v>
      </c>
      <c r="P137">
        <v>113</v>
      </c>
      <c r="Q137">
        <v>1</v>
      </c>
      <c r="R137">
        <f t="shared" si="19"/>
        <v>0.5</v>
      </c>
      <c r="S137">
        <f t="shared" si="20"/>
        <v>16.8</v>
      </c>
      <c r="T137">
        <f t="shared" si="13"/>
        <v>153.9</v>
      </c>
      <c r="V137">
        <v>111.1</v>
      </c>
      <c r="W137">
        <f t="shared" si="16"/>
        <v>8938.7000000000007</v>
      </c>
      <c r="X137">
        <v>8.0778462959096018</v>
      </c>
    </row>
    <row r="138" spans="1:24" x14ac:dyDescent="0.25">
      <c r="A138">
        <v>7400</v>
      </c>
      <c r="B138">
        <v>24250</v>
      </c>
      <c r="C138" s="1">
        <v>43083</v>
      </c>
      <c r="E138" s="44"/>
      <c r="F138">
        <v>5.2</v>
      </c>
      <c r="G138">
        <v>3.9</v>
      </c>
      <c r="H138">
        <v>6.3</v>
      </c>
      <c r="I138">
        <f t="shared" si="14"/>
        <v>1176.0999999999999</v>
      </c>
      <c r="J138">
        <f t="shared" si="15"/>
        <v>174.59999999999994</v>
      </c>
      <c r="L138">
        <v>4.9000000000000004</v>
      </c>
      <c r="M138">
        <v>0.8</v>
      </c>
      <c r="N138">
        <f t="shared" si="18"/>
        <v>4.1000000000000005</v>
      </c>
      <c r="O138">
        <f t="shared" si="21"/>
        <v>158.19999999999999</v>
      </c>
      <c r="P138">
        <v>114</v>
      </c>
      <c r="Q138">
        <v>1</v>
      </c>
      <c r="R138">
        <f t="shared" si="19"/>
        <v>0.8</v>
      </c>
      <c r="S138">
        <f t="shared" si="20"/>
        <v>4.1000000000000005</v>
      </c>
      <c r="T138">
        <f t="shared" si="13"/>
        <v>153.9</v>
      </c>
      <c r="V138">
        <v>137.19999999999999</v>
      </c>
      <c r="W138">
        <f t="shared" si="16"/>
        <v>9075.9000000000015</v>
      </c>
      <c r="X138">
        <v>8.0674198243726742</v>
      </c>
    </row>
    <row r="139" spans="1:24" x14ac:dyDescent="0.25">
      <c r="A139">
        <v>7400</v>
      </c>
      <c r="B139">
        <v>24250</v>
      </c>
      <c r="C139" s="1">
        <v>43084</v>
      </c>
      <c r="D139">
        <v>22</v>
      </c>
      <c r="E139" s="44"/>
      <c r="F139">
        <v>4</v>
      </c>
      <c r="G139">
        <v>3.4</v>
      </c>
      <c r="H139">
        <v>5</v>
      </c>
      <c r="I139">
        <f t="shared" si="14"/>
        <v>1180.0999999999999</v>
      </c>
      <c r="J139">
        <f t="shared" si="15"/>
        <v>178.59999999999994</v>
      </c>
      <c r="L139">
        <v>3.4</v>
      </c>
      <c r="M139">
        <v>0.6</v>
      </c>
      <c r="N139">
        <f t="shared" si="18"/>
        <v>2.8</v>
      </c>
      <c r="O139">
        <f t="shared" si="21"/>
        <v>161</v>
      </c>
      <c r="P139">
        <v>115</v>
      </c>
      <c r="Q139">
        <v>1</v>
      </c>
      <c r="R139">
        <f t="shared" si="19"/>
        <v>0.6</v>
      </c>
      <c r="S139">
        <f t="shared" si="20"/>
        <v>2.8</v>
      </c>
      <c r="T139">
        <f t="shared" si="13"/>
        <v>153.9</v>
      </c>
      <c r="V139">
        <v>65.5</v>
      </c>
      <c r="W139">
        <f t="shared" si="16"/>
        <v>9141.4000000000015</v>
      </c>
      <c r="X139">
        <v>8.0584126828634179</v>
      </c>
    </row>
    <row r="140" spans="1:24" x14ac:dyDescent="0.25">
      <c r="A140">
        <v>7400</v>
      </c>
      <c r="B140">
        <v>24250</v>
      </c>
      <c r="C140" s="1">
        <v>43085</v>
      </c>
      <c r="D140">
        <v>23</v>
      </c>
      <c r="E140" s="44"/>
      <c r="F140">
        <v>2.6</v>
      </c>
      <c r="G140">
        <v>2.2000000000000002</v>
      </c>
      <c r="H140">
        <v>4.3</v>
      </c>
      <c r="I140">
        <f t="shared" si="14"/>
        <v>1182.6999999999998</v>
      </c>
      <c r="J140">
        <f t="shared" si="15"/>
        <v>181.19999999999993</v>
      </c>
      <c r="L140">
        <v>0.1</v>
      </c>
      <c r="M140">
        <v>0.5</v>
      </c>
      <c r="N140">
        <f t="shared" si="18"/>
        <v>-0.4</v>
      </c>
      <c r="O140">
        <f t="shared" si="21"/>
        <v>160.6</v>
      </c>
      <c r="P140">
        <v>116</v>
      </c>
      <c r="Q140">
        <v>1</v>
      </c>
      <c r="R140">
        <f t="shared" si="19"/>
        <v>0.5</v>
      </c>
      <c r="S140">
        <f t="shared" si="20"/>
        <v>-0.4</v>
      </c>
      <c r="T140">
        <f t="shared" si="13"/>
        <v>153.5</v>
      </c>
      <c r="V140">
        <v>94.4</v>
      </c>
      <c r="W140">
        <f t="shared" si="16"/>
        <v>9235.8000000000011</v>
      </c>
      <c r="X140">
        <v>8.0508331696241839</v>
      </c>
    </row>
    <row r="141" spans="1:24" x14ac:dyDescent="0.25">
      <c r="A141">
        <v>7400</v>
      </c>
      <c r="B141">
        <v>24250</v>
      </c>
      <c r="C141" s="1">
        <v>43086</v>
      </c>
      <c r="D141">
        <v>24</v>
      </c>
      <c r="E141" s="44"/>
      <c r="F141">
        <v>0.9</v>
      </c>
      <c r="G141">
        <v>-0.7</v>
      </c>
      <c r="H141">
        <v>5.6</v>
      </c>
      <c r="I141">
        <f t="shared" si="14"/>
        <v>1183.5999999999999</v>
      </c>
      <c r="J141">
        <f t="shared" si="15"/>
        <v>182.09999999999994</v>
      </c>
      <c r="L141">
        <v>5.3</v>
      </c>
      <c r="M141">
        <v>0.6</v>
      </c>
      <c r="N141">
        <f t="shared" si="18"/>
        <v>4.7</v>
      </c>
      <c r="O141">
        <f t="shared" si="21"/>
        <v>165.29999999999998</v>
      </c>
      <c r="P141">
        <v>117</v>
      </c>
      <c r="Q141">
        <v>1</v>
      </c>
      <c r="R141">
        <f t="shared" si="19"/>
        <v>0.6</v>
      </c>
      <c r="S141">
        <f t="shared" si="20"/>
        <v>4.7</v>
      </c>
      <c r="T141">
        <f t="shared" si="13"/>
        <v>153.9</v>
      </c>
      <c r="V141">
        <v>125.7</v>
      </c>
      <c r="W141">
        <f t="shared" si="16"/>
        <v>9361.5000000000018</v>
      </c>
      <c r="X141">
        <v>8.0446883022366311</v>
      </c>
    </row>
    <row r="142" spans="1:24" x14ac:dyDescent="0.25">
      <c r="A142">
        <v>7400</v>
      </c>
      <c r="B142">
        <v>24250</v>
      </c>
      <c r="C142" s="1">
        <v>43087</v>
      </c>
      <c r="E142" s="44"/>
      <c r="F142">
        <v>5.4</v>
      </c>
      <c r="G142">
        <v>0.3</v>
      </c>
      <c r="H142">
        <v>6.3</v>
      </c>
      <c r="I142">
        <f t="shared" si="14"/>
        <v>1189</v>
      </c>
      <c r="J142">
        <f t="shared" si="15"/>
        <v>187.49999999999994</v>
      </c>
      <c r="L142">
        <v>0</v>
      </c>
      <c r="M142">
        <v>0</v>
      </c>
      <c r="N142">
        <f t="shared" si="18"/>
        <v>0</v>
      </c>
      <c r="O142">
        <f t="shared" si="21"/>
        <v>165.29999999999998</v>
      </c>
      <c r="P142">
        <v>118</v>
      </c>
      <c r="Q142">
        <v>1</v>
      </c>
      <c r="R142">
        <f t="shared" si="19"/>
        <v>0</v>
      </c>
      <c r="S142">
        <f t="shared" si="20"/>
        <v>0</v>
      </c>
      <c r="T142">
        <f t="shared" si="13"/>
        <v>153.9</v>
      </c>
      <c r="V142">
        <v>100.1</v>
      </c>
      <c r="W142">
        <f t="shared" si="16"/>
        <v>9461.6000000000022</v>
      </c>
      <c r="X142">
        <v>8.0399837933206335</v>
      </c>
    </row>
    <row r="143" spans="1:24" x14ac:dyDescent="0.25">
      <c r="A143">
        <v>7400</v>
      </c>
      <c r="B143">
        <v>24250</v>
      </c>
      <c r="C143" s="1">
        <v>43088</v>
      </c>
      <c r="D143">
        <v>25</v>
      </c>
      <c r="E143" s="44"/>
      <c r="F143">
        <v>4.3</v>
      </c>
      <c r="G143">
        <v>3.4</v>
      </c>
      <c r="H143">
        <v>6.1</v>
      </c>
      <c r="I143">
        <f t="shared" si="14"/>
        <v>1193.3</v>
      </c>
      <c r="J143">
        <f t="shared" si="15"/>
        <v>191.79999999999995</v>
      </c>
      <c r="L143">
        <v>0.7</v>
      </c>
      <c r="M143">
        <v>0.4</v>
      </c>
      <c r="N143">
        <f t="shared" si="18"/>
        <v>0.29999999999999993</v>
      </c>
      <c r="O143">
        <f t="shared" si="21"/>
        <v>165.6</v>
      </c>
      <c r="P143">
        <v>119</v>
      </c>
      <c r="Q143">
        <v>1</v>
      </c>
      <c r="R143">
        <f t="shared" si="19"/>
        <v>0.4</v>
      </c>
      <c r="S143">
        <f t="shared" si="20"/>
        <v>0.29999999999999993</v>
      </c>
      <c r="T143">
        <f t="shared" si="13"/>
        <v>153.9</v>
      </c>
      <c r="V143">
        <v>170.3</v>
      </c>
      <c r="W143">
        <f t="shared" si="16"/>
        <v>9631.9000000000015</v>
      </c>
      <c r="X143">
        <v>8.0367240306240824</v>
      </c>
    </row>
    <row r="144" spans="1:24" x14ac:dyDescent="0.25">
      <c r="A144">
        <v>7400</v>
      </c>
      <c r="B144">
        <v>24250</v>
      </c>
      <c r="C144" s="1">
        <v>43089</v>
      </c>
      <c r="E144" s="44"/>
      <c r="F144">
        <v>5.4</v>
      </c>
      <c r="G144">
        <v>3.4</v>
      </c>
      <c r="H144">
        <v>6.4</v>
      </c>
      <c r="I144">
        <f t="shared" si="14"/>
        <v>1198.7</v>
      </c>
      <c r="J144">
        <f t="shared" si="15"/>
        <v>197.19999999999996</v>
      </c>
      <c r="L144">
        <v>0.9</v>
      </c>
      <c r="M144">
        <v>0.2</v>
      </c>
      <c r="N144">
        <f t="shared" si="18"/>
        <v>0.7</v>
      </c>
      <c r="O144">
        <f t="shared" si="21"/>
        <v>166.29999999999998</v>
      </c>
      <c r="P144">
        <v>120</v>
      </c>
      <c r="Q144">
        <v>1</v>
      </c>
      <c r="R144">
        <f t="shared" si="19"/>
        <v>0.2</v>
      </c>
      <c r="S144">
        <f t="shared" si="20"/>
        <v>0.7</v>
      </c>
      <c r="T144">
        <f t="shared" si="13"/>
        <v>153.9</v>
      </c>
      <c r="V144">
        <v>116.4</v>
      </c>
      <c r="W144">
        <f t="shared" si="16"/>
        <v>9748.3000000000011</v>
      </c>
      <c r="X144">
        <v>8.0349120616521859</v>
      </c>
    </row>
    <row r="145" spans="1:24" x14ac:dyDescent="0.25">
      <c r="A145">
        <v>7400</v>
      </c>
      <c r="B145">
        <v>24250</v>
      </c>
      <c r="C145" s="1">
        <v>43090</v>
      </c>
      <c r="E145" s="44"/>
      <c r="F145">
        <v>7.6</v>
      </c>
      <c r="G145">
        <v>6.3</v>
      </c>
      <c r="H145">
        <v>8.6</v>
      </c>
      <c r="I145">
        <f t="shared" si="14"/>
        <v>1206.3</v>
      </c>
      <c r="J145">
        <f t="shared" si="15"/>
        <v>204.79999999999995</v>
      </c>
      <c r="L145">
        <v>2.8</v>
      </c>
      <c r="M145">
        <v>0.2</v>
      </c>
      <c r="N145">
        <f t="shared" si="18"/>
        <v>2.5999999999999996</v>
      </c>
      <c r="O145">
        <f t="shared" si="21"/>
        <v>168.89999999999998</v>
      </c>
      <c r="P145">
        <v>121</v>
      </c>
      <c r="Q145">
        <v>1</v>
      </c>
      <c r="R145">
        <f t="shared" si="19"/>
        <v>0.2</v>
      </c>
      <c r="S145">
        <f t="shared" si="20"/>
        <v>2.5999999999999996</v>
      </c>
      <c r="T145">
        <f t="shared" si="13"/>
        <v>153.9</v>
      </c>
      <c r="V145">
        <v>62.5</v>
      </c>
      <c r="W145">
        <f t="shared" si="16"/>
        <v>9810.8000000000011</v>
      </c>
      <c r="X145">
        <v>8.0345495829518203</v>
      </c>
    </row>
    <row r="146" spans="1:24" x14ac:dyDescent="0.25">
      <c r="A146">
        <v>7400</v>
      </c>
      <c r="B146">
        <v>24250</v>
      </c>
      <c r="C146" s="1">
        <v>43091</v>
      </c>
      <c r="E146" s="44"/>
      <c r="F146">
        <v>8.3000000000000007</v>
      </c>
      <c r="G146">
        <v>7.6</v>
      </c>
      <c r="H146">
        <v>9</v>
      </c>
      <c r="I146">
        <f t="shared" si="14"/>
        <v>1214.5999999999999</v>
      </c>
      <c r="J146">
        <f t="shared" si="15"/>
        <v>213.09999999999997</v>
      </c>
      <c r="L146">
        <v>0.9</v>
      </c>
      <c r="M146">
        <v>0.1</v>
      </c>
      <c r="N146">
        <f t="shared" si="18"/>
        <v>0.8</v>
      </c>
      <c r="O146">
        <f t="shared" si="21"/>
        <v>169.7</v>
      </c>
      <c r="P146">
        <v>122</v>
      </c>
      <c r="Q146">
        <v>1</v>
      </c>
      <c r="R146">
        <f t="shared" si="19"/>
        <v>0.1</v>
      </c>
      <c r="S146">
        <f t="shared" si="20"/>
        <v>0.8</v>
      </c>
      <c r="T146">
        <f t="shared" si="13"/>
        <v>153.9</v>
      </c>
      <c r="V146">
        <v>41.7</v>
      </c>
      <c r="W146">
        <f t="shared" si="16"/>
        <v>9852.5000000000018</v>
      </c>
      <c r="X146">
        <v>8.0356369341319382</v>
      </c>
    </row>
    <row r="147" spans="1:24" x14ac:dyDescent="0.25">
      <c r="A147">
        <v>7400</v>
      </c>
      <c r="B147">
        <v>24250</v>
      </c>
      <c r="C147" s="1">
        <v>43092</v>
      </c>
      <c r="E147" s="44"/>
      <c r="F147">
        <v>7.7</v>
      </c>
      <c r="G147">
        <v>7.6</v>
      </c>
      <c r="H147">
        <v>8.3000000000000007</v>
      </c>
      <c r="I147">
        <f t="shared" si="14"/>
        <v>1222.3</v>
      </c>
      <c r="J147">
        <f t="shared" si="15"/>
        <v>220.79999999999995</v>
      </c>
      <c r="L147">
        <v>0.9</v>
      </c>
      <c r="M147">
        <v>0.3</v>
      </c>
      <c r="N147">
        <f t="shared" si="18"/>
        <v>0.60000000000000009</v>
      </c>
      <c r="O147">
        <f t="shared" si="21"/>
        <v>170.29999999999998</v>
      </c>
      <c r="P147">
        <v>123</v>
      </c>
      <c r="Q147">
        <v>1</v>
      </c>
      <c r="R147">
        <f t="shared" si="19"/>
        <v>0.3</v>
      </c>
      <c r="S147">
        <f t="shared" si="20"/>
        <v>0.60000000000000009</v>
      </c>
      <c r="T147">
        <f t="shared" si="13"/>
        <v>153.9</v>
      </c>
      <c r="V147">
        <v>37.4</v>
      </c>
      <c r="W147">
        <f t="shared" si="16"/>
        <v>9889.9000000000015</v>
      </c>
      <c r="X147">
        <v>8.0381730966653748</v>
      </c>
    </row>
    <row r="148" spans="1:24" x14ac:dyDescent="0.25">
      <c r="A148">
        <v>7400</v>
      </c>
      <c r="B148">
        <v>24250</v>
      </c>
      <c r="C148" s="1">
        <v>43093</v>
      </c>
      <c r="E148" s="44"/>
      <c r="F148">
        <v>6.9</v>
      </c>
      <c r="G148">
        <v>6.8</v>
      </c>
      <c r="H148">
        <v>7.5</v>
      </c>
      <c r="I148">
        <f t="shared" si="14"/>
        <v>1229.2</v>
      </c>
      <c r="J148">
        <f t="shared" si="15"/>
        <v>227.69999999999996</v>
      </c>
      <c r="L148">
        <v>1</v>
      </c>
      <c r="M148">
        <v>0.3</v>
      </c>
      <c r="N148">
        <f t="shared" si="18"/>
        <v>0.7</v>
      </c>
      <c r="O148">
        <f t="shared" si="21"/>
        <v>170.99999999999997</v>
      </c>
      <c r="P148">
        <v>124</v>
      </c>
      <c r="Q148">
        <v>1</v>
      </c>
      <c r="R148">
        <f t="shared" si="19"/>
        <v>0.3</v>
      </c>
      <c r="S148">
        <f t="shared" si="20"/>
        <v>0.7</v>
      </c>
      <c r="T148">
        <f t="shared" si="13"/>
        <v>153.9</v>
      </c>
      <c r="V148">
        <v>48.2</v>
      </c>
      <c r="W148">
        <f t="shared" si="16"/>
        <v>9938.1000000000022</v>
      </c>
      <c r="X148">
        <v>8.0421556974811477</v>
      </c>
    </row>
    <row r="149" spans="1:24" x14ac:dyDescent="0.25">
      <c r="A149">
        <v>7400</v>
      </c>
      <c r="B149">
        <v>24250</v>
      </c>
      <c r="C149" s="1">
        <v>43094</v>
      </c>
      <c r="D149">
        <v>26</v>
      </c>
      <c r="E149" s="44"/>
      <c r="F149">
        <v>3.4</v>
      </c>
      <c r="G149">
        <v>2.8</v>
      </c>
      <c r="H149">
        <v>7.3</v>
      </c>
      <c r="I149">
        <f t="shared" si="14"/>
        <v>1232.6000000000001</v>
      </c>
      <c r="J149">
        <f t="shared" si="15"/>
        <v>231.09999999999997</v>
      </c>
      <c r="L149">
        <v>1.4</v>
      </c>
      <c r="M149">
        <v>0.7</v>
      </c>
      <c r="N149">
        <f t="shared" si="18"/>
        <v>0.7</v>
      </c>
      <c r="O149">
        <f t="shared" si="21"/>
        <v>171.69999999999996</v>
      </c>
      <c r="P149">
        <v>125</v>
      </c>
      <c r="Q149">
        <v>1</v>
      </c>
      <c r="R149">
        <f t="shared" si="19"/>
        <v>0.7</v>
      </c>
      <c r="S149">
        <f t="shared" si="20"/>
        <v>0.7</v>
      </c>
      <c r="T149">
        <f t="shared" si="13"/>
        <v>153.9</v>
      </c>
      <c r="V149">
        <v>76.3</v>
      </c>
      <c r="W149">
        <f t="shared" si="16"/>
        <v>10014.400000000001</v>
      </c>
      <c r="X149">
        <v>8.0475810173200024</v>
      </c>
    </row>
    <row r="150" spans="1:24" x14ac:dyDescent="0.25">
      <c r="A150">
        <v>7400</v>
      </c>
      <c r="B150">
        <v>24250</v>
      </c>
      <c r="C150" s="1">
        <v>43095</v>
      </c>
      <c r="E150" s="44"/>
      <c r="F150">
        <v>5.9</v>
      </c>
      <c r="G150">
        <v>2</v>
      </c>
      <c r="H150">
        <v>7.2</v>
      </c>
      <c r="I150">
        <f t="shared" si="14"/>
        <v>1238.5000000000002</v>
      </c>
      <c r="J150">
        <f t="shared" si="15"/>
        <v>236.99999999999997</v>
      </c>
      <c r="L150">
        <v>6.9</v>
      </c>
      <c r="M150">
        <v>0.6</v>
      </c>
      <c r="N150">
        <f t="shared" si="18"/>
        <v>6.3000000000000007</v>
      </c>
      <c r="O150">
        <f t="shared" si="21"/>
        <v>177.99999999999997</v>
      </c>
      <c r="P150">
        <v>126</v>
      </c>
      <c r="Q150">
        <v>1</v>
      </c>
      <c r="R150">
        <f t="shared" si="19"/>
        <v>0.6</v>
      </c>
      <c r="S150">
        <f t="shared" si="20"/>
        <v>6.3000000000000007</v>
      </c>
      <c r="T150">
        <f t="shared" si="13"/>
        <v>153.9</v>
      </c>
      <c r="V150">
        <v>175.9</v>
      </c>
      <c r="W150">
        <f t="shared" si="16"/>
        <v>10190.300000000001</v>
      </c>
      <c r="X150">
        <v>8.0544440037898966</v>
      </c>
    </row>
    <row r="151" spans="1:24" x14ac:dyDescent="0.25">
      <c r="A151">
        <v>7400</v>
      </c>
      <c r="B151">
        <v>24250</v>
      </c>
      <c r="C151" s="1">
        <v>43096</v>
      </c>
      <c r="D151">
        <v>27</v>
      </c>
      <c r="E151" s="44"/>
      <c r="F151">
        <v>4.5</v>
      </c>
      <c r="G151">
        <v>3.2</v>
      </c>
      <c r="H151">
        <v>6</v>
      </c>
      <c r="I151">
        <f t="shared" si="14"/>
        <v>1243.0000000000002</v>
      </c>
      <c r="J151">
        <f t="shared" si="15"/>
        <v>241.49999999999997</v>
      </c>
      <c r="L151">
        <v>2.7</v>
      </c>
      <c r="M151">
        <v>0.8</v>
      </c>
      <c r="N151">
        <f t="shared" si="18"/>
        <v>1.9000000000000001</v>
      </c>
      <c r="O151">
        <f t="shared" si="21"/>
        <v>179.89999999999998</v>
      </c>
      <c r="P151">
        <v>127</v>
      </c>
      <c r="Q151">
        <v>1</v>
      </c>
      <c r="R151">
        <f t="shared" si="19"/>
        <v>0.8</v>
      </c>
      <c r="S151">
        <f t="shared" si="20"/>
        <v>1.9000000000000001</v>
      </c>
      <c r="T151">
        <f t="shared" si="13"/>
        <v>153.9</v>
      </c>
      <c r="V151">
        <v>90.8</v>
      </c>
      <c r="W151">
        <f t="shared" si="16"/>
        <v>10281.1</v>
      </c>
      <c r="X151">
        <v>8.0627382890229988</v>
      </c>
    </row>
    <row r="152" spans="1:24" x14ac:dyDescent="0.25">
      <c r="A152">
        <v>7400</v>
      </c>
      <c r="B152">
        <v>24250</v>
      </c>
      <c r="C152" s="1">
        <v>43097</v>
      </c>
      <c r="D152">
        <v>28</v>
      </c>
      <c r="E152" s="44"/>
      <c r="F152">
        <v>0.7</v>
      </c>
      <c r="G152">
        <v>-0.7</v>
      </c>
      <c r="H152">
        <v>2.2000000000000002</v>
      </c>
      <c r="I152">
        <f t="shared" si="14"/>
        <v>1243.7000000000003</v>
      </c>
      <c r="J152">
        <f t="shared" si="15"/>
        <v>242.19999999999996</v>
      </c>
      <c r="L152">
        <v>0.1</v>
      </c>
      <c r="M152">
        <v>0.3</v>
      </c>
      <c r="N152">
        <f t="shared" si="18"/>
        <v>-0.19999999999999998</v>
      </c>
      <c r="O152">
        <f t="shared" si="21"/>
        <v>179.7</v>
      </c>
      <c r="P152">
        <v>128</v>
      </c>
      <c r="Q152">
        <v>1</v>
      </c>
      <c r="R152">
        <f t="shared" si="19"/>
        <v>0.3</v>
      </c>
      <c r="S152">
        <f t="shared" si="20"/>
        <v>-0.19999999999999998</v>
      </c>
      <c r="T152">
        <f t="shared" si="13"/>
        <v>153.70000000000002</v>
      </c>
      <c r="V152">
        <v>275</v>
      </c>
      <c r="W152">
        <f t="shared" si="16"/>
        <v>10556.1</v>
      </c>
      <c r="X152">
        <v>8.0724562118019101</v>
      </c>
    </row>
    <row r="153" spans="1:24" x14ac:dyDescent="0.25">
      <c r="A153">
        <v>7400</v>
      </c>
      <c r="B153">
        <v>24250</v>
      </c>
      <c r="C153" s="1">
        <v>43098</v>
      </c>
      <c r="D153">
        <v>29</v>
      </c>
      <c r="E153" s="44"/>
      <c r="F153">
        <v>2.2999999999999998</v>
      </c>
      <c r="G153">
        <v>-1.4</v>
      </c>
      <c r="H153">
        <v>8</v>
      </c>
      <c r="I153">
        <f t="shared" si="14"/>
        <v>1246.0000000000002</v>
      </c>
      <c r="J153">
        <f t="shared" si="15"/>
        <v>244.49999999999997</v>
      </c>
      <c r="L153">
        <v>15.7</v>
      </c>
      <c r="M153">
        <v>0.8</v>
      </c>
      <c r="N153">
        <f t="shared" si="18"/>
        <v>14.899999999999999</v>
      </c>
      <c r="O153">
        <f t="shared" si="21"/>
        <v>194.6</v>
      </c>
      <c r="P153">
        <v>129</v>
      </c>
      <c r="Q153">
        <v>1</v>
      </c>
      <c r="R153">
        <f t="shared" si="19"/>
        <v>0.8</v>
      </c>
      <c r="S153">
        <f t="shared" si="20"/>
        <v>14.899999999999999</v>
      </c>
      <c r="T153">
        <f t="shared" si="13"/>
        <v>153.9</v>
      </c>
      <c r="V153">
        <v>70.3</v>
      </c>
      <c r="W153">
        <f t="shared" si="16"/>
        <v>10626.4</v>
      </c>
      <c r="X153">
        <v>8.0835888439906594</v>
      </c>
    </row>
    <row r="154" spans="1:24" x14ac:dyDescent="0.25">
      <c r="A154">
        <v>7400</v>
      </c>
      <c r="B154">
        <v>24250</v>
      </c>
      <c r="C154" s="1">
        <v>43099</v>
      </c>
      <c r="E154" s="44"/>
      <c r="F154">
        <v>10.9</v>
      </c>
      <c r="G154">
        <v>5.4</v>
      </c>
      <c r="H154">
        <v>13.1</v>
      </c>
      <c r="I154">
        <f t="shared" si="14"/>
        <v>1256.9000000000003</v>
      </c>
      <c r="J154">
        <f t="shared" si="15"/>
        <v>255.39999999999998</v>
      </c>
      <c r="L154">
        <v>1.3</v>
      </c>
      <c r="M154">
        <v>0</v>
      </c>
      <c r="N154">
        <f t="shared" si="18"/>
        <v>1.3</v>
      </c>
      <c r="O154">
        <f t="shared" si="21"/>
        <v>195.9</v>
      </c>
      <c r="P154">
        <v>130</v>
      </c>
      <c r="Q154">
        <v>1</v>
      </c>
      <c r="R154">
        <f t="shared" si="19"/>
        <v>0</v>
      </c>
      <c r="S154">
        <f t="shared" si="20"/>
        <v>1.3</v>
      </c>
      <c r="T154">
        <f t="shared" ref="T154:T217" si="22">MIN(T153+S154,153.9)</f>
        <v>153.9</v>
      </c>
      <c r="V154">
        <v>48.3</v>
      </c>
      <c r="W154">
        <f t="shared" si="16"/>
        <v>10674.699999999999</v>
      </c>
      <c r="X154">
        <v>8.0961260210761399</v>
      </c>
    </row>
    <row r="155" spans="1:24" x14ac:dyDescent="0.25">
      <c r="A155">
        <v>7400</v>
      </c>
      <c r="B155">
        <v>24250</v>
      </c>
      <c r="C155" s="1">
        <v>43100</v>
      </c>
      <c r="E155" s="44"/>
      <c r="F155">
        <v>11.7</v>
      </c>
      <c r="G155">
        <v>11.7</v>
      </c>
      <c r="H155">
        <v>13.5</v>
      </c>
      <c r="I155">
        <f t="shared" ref="I155:I218" si="23">I154+F155</f>
        <v>1268.6000000000004</v>
      </c>
      <c r="J155">
        <f t="shared" ref="J155:J218" si="24">F155+J154</f>
        <v>267.09999999999997</v>
      </c>
      <c r="L155">
        <v>0.9</v>
      </c>
      <c r="M155">
        <v>2.2000000000000002</v>
      </c>
      <c r="N155">
        <f t="shared" si="18"/>
        <v>-1.3000000000000003</v>
      </c>
      <c r="O155">
        <f t="shared" si="21"/>
        <v>194.6</v>
      </c>
      <c r="P155">
        <v>131</v>
      </c>
      <c r="Q155">
        <v>1</v>
      </c>
      <c r="R155">
        <f t="shared" si="19"/>
        <v>2.2000000000000002</v>
      </c>
      <c r="S155">
        <f t="shared" si="20"/>
        <v>-1.3000000000000003</v>
      </c>
      <c r="T155">
        <f t="shared" si="22"/>
        <v>152.6</v>
      </c>
      <c r="V155">
        <v>326.7</v>
      </c>
      <c r="W155">
        <f t="shared" ref="W155:W218" si="25">W154+V155</f>
        <v>11001.4</v>
      </c>
      <c r="X155">
        <v>8.1100563765980613</v>
      </c>
    </row>
    <row r="156" spans="1:24" x14ac:dyDescent="0.25">
      <c r="A156">
        <v>7400</v>
      </c>
      <c r="B156">
        <v>24250</v>
      </c>
      <c r="C156" s="1">
        <v>43101</v>
      </c>
      <c r="E156" s="44"/>
      <c r="F156">
        <v>6.9</v>
      </c>
      <c r="G156">
        <v>6.3</v>
      </c>
      <c r="H156">
        <v>7.9</v>
      </c>
      <c r="I156">
        <f t="shared" si="23"/>
        <v>1275.5000000000005</v>
      </c>
      <c r="J156">
        <f t="shared" si="24"/>
        <v>273.99999999999994</v>
      </c>
      <c r="L156">
        <v>10.1</v>
      </c>
      <c r="M156">
        <v>1.1000000000000001</v>
      </c>
      <c r="N156">
        <f t="shared" si="18"/>
        <v>9</v>
      </c>
      <c r="O156">
        <f t="shared" si="21"/>
        <v>203.6</v>
      </c>
      <c r="P156">
        <v>132</v>
      </c>
      <c r="Q156">
        <v>1</v>
      </c>
      <c r="R156">
        <f t="shared" si="19"/>
        <v>1.1000000000000001</v>
      </c>
      <c r="S156">
        <f t="shared" si="20"/>
        <v>9</v>
      </c>
      <c r="T156">
        <f t="shared" si="22"/>
        <v>153.9</v>
      </c>
      <c r="V156">
        <v>109.5</v>
      </c>
      <c r="W156">
        <f t="shared" si="25"/>
        <v>11110.9</v>
      </c>
      <c r="X156">
        <v>8.1253673802208741</v>
      </c>
    </row>
    <row r="157" spans="1:24" x14ac:dyDescent="0.25">
      <c r="A157">
        <v>7400</v>
      </c>
      <c r="B157">
        <v>24250</v>
      </c>
      <c r="C157" s="1">
        <v>43102</v>
      </c>
      <c r="E157" s="44"/>
      <c r="F157">
        <v>6.6</v>
      </c>
      <c r="G157">
        <v>4</v>
      </c>
      <c r="H157">
        <v>11.3</v>
      </c>
      <c r="I157">
        <f t="shared" si="23"/>
        <v>1282.1000000000004</v>
      </c>
      <c r="J157">
        <f t="shared" si="24"/>
        <v>280.59999999999997</v>
      </c>
      <c r="L157">
        <v>8.6999999999999993</v>
      </c>
      <c r="M157">
        <v>1.1000000000000001</v>
      </c>
      <c r="N157">
        <f t="shared" si="18"/>
        <v>7.6</v>
      </c>
      <c r="O157">
        <f t="shared" si="21"/>
        <v>211.2</v>
      </c>
      <c r="P157">
        <v>133</v>
      </c>
      <c r="Q157">
        <v>1</v>
      </c>
      <c r="R157">
        <f t="shared" si="19"/>
        <v>1.1000000000000001</v>
      </c>
      <c r="S157">
        <f t="shared" si="20"/>
        <v>7.6</v>
      </c>
      <c r="T157">
        <f t="shared" si="22"/>
        <v>153.9</v>
      </c>
      <c r="V157">
        <v>220</v>
      </c>
      <c r="W157">
        <f t="shared" si="25"/>
        <v>11330.9</v>
      </c>
      <c r="X157">
        <v>8.1420453791794678</v>
      </c>
    </row>
    <row r="158" spans="1:24" x14ac:dyDescent="0.25">
      <c r="A158">
        <v>7400</v>
      </c>
      <c r="B158">
        <v>24250</v>
      </c>
      <c r="C158" s="1">
        <v>43103</v>
      </c>
      <c r="E158" s="44"/>
      <c r="F158">
        <v>9.1</v>
      </c>
      <c r="G158">
        <v>7.5</v>
      </c>
      <c r="H158">
        <v>10.3</v>
      </c>
      <c r="I158">
        <f t="shared" si="23"/>
        <v>1291.2000000000003</v>
      </c>
      <c r="J158">
        <f t="shared" si="24"/>
        <v>289.7</v>
      </c>
      <c r="L158">
        <v>5.2</v>
      </c>
      <c r="M158">
        <v>1.6</v>
      </c>
      <c r="N158">
        <f t="shared" si="18"/>
        <v>3.6</v>
      </c>
      <c r="O158">
        <f t="shared" si="21"/>
        <v>214.79999999999998</v>
      </c>
      <c r="P158">
        <v>134</v>
      </c>
      <c r="Q158">
        <v>1</v>
      </c>
      <c r="R158">
        <f t="shared" si="19"/>
        <v>1.6</v>
      </c>
      <c r="S158">
        <f t="shared" si="20"/>
        <v>3.6</v>
      </c>
      <c r="T158">
        <f t="shared" si="22"/>
        <v>153.9</v>
      </c>
      <c r="V158">
        <v>304.89999999999998</v>
      </c>
      <c r="W158">
        <f t="shared" si="25"/>
        <v>11635.8</v>
      </c>
      <c r="X158">
        <v>8.1600756428120693</v>
      </c>
    </row>
    <row r="159" spans="1:24" x14ac:dyDescent="0.25">
      <c r="A159">
        <v>7400</v>
      </c>
      <c r="B159">
        <v>24250</v>
      </c>
      <c r="C159" s="1">
        <v>43104</v>
      </c>
      <c r="E159" s="44"/>
      <c r="F159">
        <v>9.6999999999999993</v>
      </c>
      <c r="G159">
        <v>7.1</v>
      </c>
      <c r="H159">
        <v>12.6</v>
      </c>
      <c r="I159">
        <f t="shared" si="23"/>
        <v>1300.9000000000003</v>
      </c>
      <c r="J159">
        <f t="shared" si="24"/>
        <v>299.39999999999998</v>
      </c>
      <c r="L159">
        <v>9.5</v>
      </c>
      <c r="M159">
        <v>0.8</v>
      </c>
      <c r="N159">
        <f t="shared" si="18"/>
        <v>8.6999999999999993</v>
      </c>
      <c r="O159">
        <f t="shared" si="21"/>
        <v>223.49999999999997</v>
      </c>
      <c r="P159">
        <v>135</v>
      </c>
      <c r="Q159">
        <v>1</v>
      </c>
      <c r="R159">
        <f t="shared" si="19"/>
        <v>0.8</v>
      </c>
      <c r="S159">
        <f t="shared" si="20"/>
        <v>8.6999999999999993</v>
      </c>
      <c r="T159">
        <f t="shared" si="22"/>
        <v>153.9</v>
      </c>
      <c r="V159">
        <v>95.7</v>
      </c>
      <c r="W159">
        <f t="shared" si="25"/>
        <v>11731.5</v>
      </c>
      <c r="X159">
        <v>8.1794424098786607</v>
      </c>
    </row>
    <row r="160" spans="1:24" x14ac:dyDescent="0.25">
      <c r="A160">
        <v>7400</v>
      </c>
      <c r="B160">
        <v>24250</v>
      </c>
      <c r="C160" s="1">
        <v>43105</v>
      </c>
      <c r="E160" s="44"/>
      <c r="F160">
        <v>8.6999999999999993</v>
      </c>
      <c r="G160">
        <v>8.6999999999999993</v>
      </c>
      <c r="H160">
        <v>9.6999999999999993</v>
      </c>
      <c r="I160">
        <f t="shared" si="23"/>
        <v>1309.6000000000004</v>
      </c>
      <c r="J160">
        <f t="shared" si="24"/>
        <v>308.09999999999997</v>
      </c>
      <c r="L160">
        <v>1.6</v>
      </c>
      <c r="M160">
        <v>0.6</v>
      </c>
      <c r="N160">
        <f t="shared" si="18"/>
        <v>1</v>
      </c>
      <c r="O160">
        <f t="shared" si="21"/>
        <v>224.49999999999997</v>
      </c>
      <c r="P160">
        <v>136</v>
      </c>
      <c r="Q160">
        <v>1</v>
      </c>
      <c r="R160">
        <f t="shared" si="19"/>
        <v>0.6</v>
      </c>
      <c r="S160">
        <f t="shared" si="20"/>
        <v>1</v>
      </c>
      <c r="T160">
        <f t="shared" si="22"/>
        <v>153.9</v>
      </c>
      <c r="V160">
        <v>107.5</v>
      </c>
      <c r="W160">
        <f t="shared" si="25"/>
        <v>11839</v>
      </c>
      <c r="X160">
        <v>8.2001289383518063</v>
      </c>
    </row>
    <row r="161" spans="1:24" x14ac:dyDescent="0.25">
      <c r="A161">
        <v>7400</v>
      </c>
      <c r="B161">
        <v>24250</v>
      </c>
      <c r="C161" s="1">
        <v>43106</v>
      </c>
      <c r="E161" s="44"/>
      <c r="F161">
        <v>6.8</v>
      </c>
      <c r="G161">
        <v>6</v>
      </c>
      <c r="H161">
        <v>7.9</v>
      </c>
      <c r="I161">
        <f t="shared" si="23"/>
        <v>1316.4000000000003</v>
      </c>
      <c r="J161">
        <f t="shared" si="24"/>
        <v>314.89999999999998</v>
      </c>
      <c r="L161">
        <v>4</v>
      </c>
      <c r="M161">
        <v>0.3</v>
      </c>
      <c r="N161">
        <f t="shared" si="18"/>
        <v>3.7</v>
      </c>
      <c r="O161">
        <f t="shared" si="21"/>
        <v>228.19999999999996</v>
      </c>
      <c r="P161">
        <v>137</v>
      </c>
      <c r="Q161">
        <v>1</v>
      </c>
      <c r="R161">
        <f t="shared" si="19"/>
        <v>0.3</v>
      </c>
      <c r="S161">
        <f t="shared" si="20"/>
        <v>3.7</v>
      </c>
      <c r="T161">
        <f t="shared" si="22"/>
        <v>153.9</v>
      </c>
      <c r="V161">
        <v>97.9</v>
      </c>
      <c r="W161">
        <f t="shared" si="25"/>
        <v>11936.9</v>
      </c>
      <c r="X161">
        <v>8.2221175573584695</v>
      </c>
    </row>
    <row r="162" spans="1:24" x14ac:dyDescent="0.25">
      <c r="A162">
        <v>7400</v>
      </c>
      <c r="B162">
        <v>24250</v>
      </c>
      <c r="C162" s="1">
        <v>43107</v>
      </c>
      <c r="E162" s="44"/>
      <c r="F162">
        <v>6.5</v>
      </c>
      <c r="G162">
        <v>6.5</v>
      </c>
      <c r="H162">
        <v>6.8</v>
      </c>
      <c r="I162">
        <f t="shared" si="23"/>
        <v>1322.9000000000003</v>
      </c>
      <c r="J162">
        <f t="shared" si="24"/>
        <v>321.39999999999998</v>
      </c>
      <c r="L162">
        <v>0.2</v>
      </c>
      <c r="M162">
        <v>0.8</v>
      </c>
      <c r="N162">
        <f t="shared" si="18"/>
        <v>-0.60000000000000009</v>
      </c>
      <c r="O162">
        <f t="shared" si="21"/>
        <v>227.59999999999997</v>
      </c>
      <c r="P162">
        <v>138</v>
      </c>
      <c r="Q162">
        <v>1</v>
      </c>
      <c r="R162">
        <f t="shared" si="19"/>
        <v>0.8</v>
      </c>
      <c r="S162">
        <f t="shared" si="20"/>
        <v>-0.60000000000000009</v>
      </c>
      <c r="T162">
        <f t="shared" si="22"/>
        <v>153.30000000000001</v>
      </c>
      <c r="V162">
        <v>54.7</v>
      </c>
      <c r="W162">
        <f t="shared" si="25"/>
        <v>11991.6</v>
      </c>
      <c r="X162">
        <v>8.2453897209468483</v>
      </c>
    </row>
    <row r="163" spans="1:24" x14ac:dyDescent="0.25">
      <c r="A163">
        <v>7400</v>
      </c>
      <c r="B163">
        <v>24250</v>
      </c>
      <c r="C163" s="1">
        <v>43108</v>
      </c>
      <c r="E163" s="44"/>
      <c r="F163">
        <v>5.6</v>
      </c>
      <c r="G163">
        <v>4.4000000000000004</v>
      </c>
      <c r="H163">
        <v>8</v>
      </c>
      <c r="I163">
        <f t="shared" si="23"/>
        <v>1328.5000000000002</v>
      </c>
      <c r="J163">
        <f t="shared" si="24"/>
        <v>327</v>
      </c>
      <c r="L163">
        <v>0</v>
      </c>
      <c r="M163">
        <v>0.8</v>
      </c>
      <c r="N163">
        <f t="shared" si="18"/>
        <v>-0.8</v>
      </c>
      <c r="O163">
        <f t="shared" si="21"/>
        <v>226.79999999999995</v>
      </c>
      <c r="P163">
        <v>139</v>
      </c>
      <c r="Q163">
        <v>1</v>
      </c>
      <c r="R163">
        <f t="shared" si="19"/>
        <v>0.8</v>
      </c>
      <c r="S163">
        <f t="shared" si="20"/>
        <v>-0.8</v>
      </c>
      <c r="T163">
        <f t="shared" si="22"/>
        <v>152.5</v>
      </c>
      <c r="V163">
        <v>400.9</v>
      </c>
      <c r="W163">
        <f t="shared" si="25"/>
        <v>12392.5</v>
      </c>
      <c r="X163">
        <v>8.2699260633507681</v>
      </c>
    </row>
    <row r="164" spans="1:24" x14ac:dyDescent="0.25">
      <c r="A164">
        <v>7400</v>
      </c>
      <c r="B164">
        <v>24250</v>
      </c>
      <c r="C164" s="1">
        <v>43109</v>
      </c>
      <c r="E164" s="44"/>
      <c r="F164">
        <v>6.2</v>
      </c>
      <c r="G164">
        <v>2.8</v>
      </c>
      <c r="H164">
        <v>9.1</v>
      </c>
      <c r="I164">
        <f t="shared" si="23"/>
        <v>1334.7000000000003</v>
      </c>
      <c r="J164">
        <f t="shared" si="24"/>
        <v>333.2</v>
      </c>
      <c r="L164">
        <v>1.8</v>
      </c>
      <c r="M164">
        <v>0.5</v>
      </c>
      <c r="N164">
        <f t="shared" si="18"/>
        <v>1.3</v>
      </c>
      <c r="O164">
        <f t="shared" si="21"/>
        <v>228.09999999999997</v>
      </c>
      <c r="P164">
        <v>140</v>
      </c>
      <c r="Q164">
        <v>1</v>
      </c>
      <c r="R164">
        <f t="shared" si="19"/>
        <v>0.5</v>
      </c>
      <c r="S164">
        <f t="shared" si="20"/>
        <v>1.3</v>
      </c>
      <c r="T164">
        <f t="shared" si="22"/>
        <v>153.80000000000001</v>
      </c>
      <c r="V164">
        <v>261.3</v>
      </c>
      <c r="W164">
        <f t="shared" si="25"/>
        <v>12653.8</v>
      </c>
      <c r="X164">
        <v>8.2957064554259823</v>
      </c>
    </row>
    <row r="165" spans="1:24" x14ac:dyDescent="0.25">
      <c r="A165">
        <v>7400</v>
      </c>
      <c r="B165">
        <v>24250</v>
      </c>
      <c r="C165" s="1">
        <v>43110</v>
      </c>
      <c r="E165" s="44"/>
      <c r="F165">
        <v>6.4</v>
      </c>
      <c r="G165">
        <v>5.8</v>
      </c>
      <c r="H165">
        <v>6.8</v>
      </c>
      <c r="I165">
        <f t="shared" si="23"/>
        <v>1341.1000000000004</v>
      </c>
      <c r="J165">
        <f t="shared" si="24"/>
        <v>339.59999999999997</v>
      </c>
      <c r="L165">
        <v>5.4</v>
      </c>
      <c r="M165">
        <v>0.3</v>
      </c>
      <c r="N165">
        <f t="shared" si="18"/>
        <v>5.1000000000000005</v>
      </c>
      <c r="O165">
        <f t="shared" si="21"/>
        <v>233.19999999999996</v>
      </c>
      <c r="P165">
        <v>141</v>
      </c>
      <c r="Q165">
        <v>1</v>
      </c>
      <c r="R165">
        <f t="shared" si="19"/>
        <v>0.3</v>
      </c>
      <c r="S165">
        <f t="shared" si="20"/>
        <v>5.1000000000000005</v>
      </c>
      <c r="T165">
        <f t="shared" si="22"/>
        <v>153.9</v>
      </c>
      <c r="V165">
        <v>113.9</v>
      </c>
      <c r="W165">
        <f t="shared" si="25"/>
        <v>12767.699999999999</v>
      </c>
      <c r="X165">
        <v>8.3227100619374763</v>
      </c>
    </row>
    <row r="166" spans="1:24" x14ac:dyDescent="0.25">
      <c r="A166">
        <v>7400</v>
      </c>
      <c r="B166">
        <v>24250</v>
      </c>
      <c r="C166" s="1">
        <v>43111</v>
      </c>
      <c r="E166" s="44"/>
      <c r="F166">
        <v>5.7</v>
      </c>
      <c r="G166">
        <v>4.2</v>
      </c>
      <c r="H166">
        <v>6.5</v>
      </c>
      <c r="I166">
        <f t="shared" si="23"/>
        <v>1346.8000000000004</v>
      </c>
      <c r="J166">
        <f t="shared" si="24"/>
        <v>345.29999999999995</v>
      </c>
      <c r="L166">
        <v>0</v>
      </c>
      <c r="M166">
        <v>0.2</v>
      </c>
      <c r="N166">
        <f t="shared" si="18"/>
        <v>-0.2</v>
      </c>
      <c r="O166">
        <f t="shared" si="21"/>
        <v>232.99999999999997</v>
      </c>
      <c r="P166">
        <v>142</v>
      </c>
      <c r="Q166">
        <v>1</v>
      </c>
      <c r="R166">
        <f t="shared" si="19"/>
        <v>0.2</v>
      </c>
      <c r="S166">
        <f t="shared" si="20"/>
        <v>-0.2</v>
      </c>
      <c r="T166">
        <f t="shared" si="22"/>
        <v>153.70000000000002</v>
      </c>
      <c r="V166">
        <v>130.9</v>
      </c>
      <c r="W166">
        <f t="shared" si="25"/>
        <v>12898.599999999999</v>
      </c>
      <c r="X166">
        <v>8.3509153993844372</v>
      </c>
    </row>
    <row r="167" spans="1:24" x14ac:dyDescent="0.25">
      <c r="A167">
        <v>7400</v>
      </c>
      <c r="B167">
        <v>24250</v>
      </c>
      <c r="C167" s="1">
        <v>43112</v>
      </c>
      <c r="E167" s="44"/>
      <c r="F167">
        <v>5.3</v>
      </c>
      <c r="G167">
        <v>5.2</v>
      </c>
      <c r="H167">
        <v>6.9</v>
      </c>
      <c r="I167">
        <f t="shared" si="23"/>
        <v>1352.1000000000004</v>
      </c>
      <c r="J167">
        <f t="shared" si="24"/>
        <v>350.59999999999997</v>
      </c>
      <c r="L167">
        <v>0</v>
      </c>
      <c r="M167">
        <v>0.4</v>
      </c>
      <c r="N167">
        <f t="shared" si="18"/>
        <v>-0.4</v>
      </c>
      <c r="O167">
        <f t="shared" si="21"/>
        <v>232.59999999999997</v>
      </c>
      <c r="P167">
        <v>143</v>
      </c>
      <c r="Q167">
        <v>1</v>
      </c>
      <c r="R167">
        <f t="shared" si="19"/>
        <v>0.4</v>
      </c>
      <c r="S167">
        <f t="shared" si="20"/>
        <v>-0.4</v>
      </c>
      <c r="T167">
        <f t="shared" si="22"/>
        <v>153.30000000000001</v>
      </c>
      <c r="V167">
        <v>194.6</v>
      </c>
      <c r="W167">
        <f t="shared" si="25"/>
        <v>13093.199999999999</v>
      </c>
      <c r="X167">
        <v>8.3803003940595389</v>
      </c>
    </row>
    <row r="168" spans="1:24" x14ac:dyDescent="0.25">
      <c r="A168">
        <v>7400</v>
      </c>
      <c r="B168">
        <v>24250</v>
      </c>
      <c r="C168" s="1">
        <v>43113</v>
      </c>
      <c r="D168">
        <v>30</v>
      </c>
      <c r="E168" s="44"/>
      <c r="F168">
        <v>2.9</v>
      </c>
      <c r="G168">
        <v>1.8</v>
      </c>
      <c r="H168">
        <v>5.6</v>
      </c>
      <c r="I168">
        <f t="shared" si="23"/>
        <v>1355.0000000000005</v>
      </c>
      <c r="J168">
        <f t="shared" si="24"/>
        <v>353.49999999999994</v>
      </c>
      <c r="L168">
        <v>0</v>
      </c>
      <c r="M168">
        <v>0.9</v>
      </c>
      <c r="N168">
        <f t="shared" si="18"/>
        <v>-0.9</v>
      </c>
      <c r="O168">
        <f t="shared" si="21"/>
        <v>231.69999999999996</v>
      </c>
      <c r="P168">
        <v>144</v>
      </c>
      <c r="Q168">
        <v>1</v>
      </c>
      <c r="R168">
        <f t="shared" si="19"/>
        <v>0.9</v>
      </c>
      <c r="S168">
        <f t="shared" si="20"/>
        <v>-0.9</v>
      </c>
      <c r="T168">
        <f t="shared" si="22"/>
        <v>152.4</v>
      </c>
      <c r="V168">
        <v>535.4</v>
      </c>
      <c r="W168">
        <f t="shared" si="25"/>
        <v>13628.599999999999</v>
      </c>
      <c r="X168">
        <v>8.4108424400515318</v>
      </c>
    </row>
    <row r="169" spans="1:24" x14ac:dyDescent="0.25">
      <c r="A169">
        <v>7400</v>
      </c>
      <c r="B169">
        <v>24250</v>
      </c>
      <c r="C169" s="1">
        <v>43114</v>
      </c>
      <c r="D169">
        <v>31</v>
      </c>
      <c r="E169" s="44"/>
      <c r="F169">
        <v>3.5</v>
      </c>
      <c r="G169">
        <v>0.9</v>
      </c>
      <c r="H169">
        <v>7.3</v>
      </c>
      <c r="I169">
        <f t="shared" si="23"/>
        <v>1358.5000000000005</v>
      </c>
      <c r="J169">
        <f t="shared" si="24"/>
        <v>356.99999999999994</v>
      </c>
      <c r="L169">
        <v>0</v>
      </c>
      <c r="M169">
        <v>0.7</v>
      </c>
      <c r="N169">
        <f t="shared" si="18"/>
        <v>-0.7</v>
      </c>
      <c r="O169">
        <f t="shared" si="21"/>
        <v>230.99999999999997</v>
      </c>
      <c r="P169">
        <v>145</v>
      </c>
      <c r="Q169">
        <v>1</v>
      </c>
      <c r="R169">
        <f t="shared" si="19"/>
        <v>0.7</v>
      </c>
      <c r="S169">
        <f t="shared" si="20"/>
        <v>-0.7</v>
      </c>
      <c r="T169">
        <f t="shared" si="22"/>
        <v>151.70000000000002</v>
      </c>
      <c r="V169">
        <v>201.3</v>
      </c>
      <c r="W169">
        <f t="shared" si="25"/>
        <v>13829.899999999998</v>
      </c>
      <c r="X169">
        <v>8.4425184569143266</v>
      </c>
    </row>
    <row r="170" spans="1:24" x14ac:dyDescent="0.25">
      <c r="A170">
        <v>7400</v>
      </c>
      <c r="B170">
        <v>24250</v>
      </c>
      <c r="C170" s="1">
        <v>43115</v>
      </c>
      <c r="E170" s="44"/>
      <c r="F170">
        <v>5.8</v>
      </c>
      <c r="G170">
        <v>2.8</v>
      </c>
      <c r="H170">
        <v>8</v>
      </c>
      <c r="I170">
        <f t="shared" si="23"/>
        <v>1364.3000000000004</v>
      </c>
      <c r="J170">
        <f t="shared" si="24"/>
        <v>362.79999999999995</v>
      </c>
      <c r="L170">
        <v>12.4</v>
      </c>
      <c r="M170">
        <v>0.5</v>
      </c>
      <c r="N170">
        <f t="shared" si="18"/>
        <v>11.9</v>
      </c>
      <c r="O170">
        <f t="shared" si="21"/>
        <v>242.89999999999998</v>
      </c>
      <c r="P170">
        <v>146</v>
      </c>
      <c r="Q170">
        <v>1</v>
      </c>
      <c r="R170">
        <f t="shared" si="19"/>
        <v>0.5</v>
      </c>
      <c r="S170">
        <f t="shared" si="20"/>
        <v>11.9</v>
      </c>
      <c r="T170">
        <f t="shared" si="22"/>
        <v>153.9</v>
      </c>
      <c r="V170">
        <v>97.6</v>
      </c>
      <c r="W170">
        <f t="shared" si="25"/>
        <v>13927.499999999998</v>
      </c>
      <c r="X170">
        <v>8.4753049467416766</v>
      </c>
    </row>
    <row r="171" spans="1:24" x14ac:dyDescent="0.25">
      <c r="A171">
        <v>7400</v>
      </c>
      <c r="B171">
        <v>24250</v>
      </c>
      <c r="C171" s="1">
        <v>43116</v>
      </c>
      <c r="E171" s="44"/>
      <c r="F171">
        <v>6.8</v>
      </c>
      <c r="G171">
        <v>4.8</v>
      </c>
      <c r="H171">
        <v>9</v>
      </c>
      <c r="I171">
        <f t="shared" si="23"/>
        <v>1371.1000000000004</v>
      </c>
      <c r="J171">
        <f t="shared" si="24"/>
        <v>369.59999999999997</v>
      </c>
      <c r="L171">
        <v>7.1</v>
      </c>
      <c r="M171">
        <v>1.1000000000000001</v>
      </c>
      <c r="N171">
        <f t="shared" si="18"/>
        <v>6</v>
      </c>
      <c r="O171">
        <f t="shared" si="21"/>
        <v>248.89999999999998</v>
      </c>
      <c r="P171">
        <v>147</v>
      </c>
      <c r="Q171">
        <v>1</v>
      </c>
      <c r="R171">
        <f t="shared" si="19"/>
        <v>1.1000000000000001</v>
      </c>
      <c r="S171">
        <f t="shared" si="20"/>
        <v>6</v>
      </c>
      <c r="T171">
        <f t="shared" si="22"/>
        <v>153.9</v>
      </c>
      <c r="V171">
        <v>260.2</v>
      </c>
      <c r="W171">
        <f t="shared" si="25"/>
        <v>14187.699999999999</v>
      </c>
      <c r="X171">
        <v>8.5091780504038361</v>
      </c>
    </row>
    <row r="172" spans="1:24" x14ac:dyDescent="0.25">
      <c r="A172">
        <v>7400</v>
      </c>
      <c r="B172">
        <v>24250</v>
      </c>
      <c r="C172" s="1">
        <v>43117</v>
      </c>
      <c r="D172">
        <v>32</v>
      </c>
      <c r="E172" s="44"/>
      <c r="F172">
        <v>4.5</v>
      </c>
      <c r="G172">
        <v>2.2999999999999998</v>
      </c>
      <c r="H172">
        <v>7.3</v>
      </c>
      <c r="I172">
        <f t="shared" si="23"/>
        <v>1375.6000000000004</v>
      </c>
      <c r="J172">
        <f t="shared" si="24"/>
        <v>374.09999999999997</v>
      </c>
      <c r="L172">
        <v>6.6</v>
      </c>
      <c r="M172">
        <v>1.3</v>
      </c>
      <c r="N172">
        <f t="shared" si="18"/>
        <v>5.3</v>
      </c>
      <c r="O172">
        <f t="shared" si="21"/>
        <v>254.2</v>
      </c>
      <c r="P172">
        <v>148</v>
      </c>
      <c r="Q172">
        <v>1</v>
      </c>
      <c r="R172">
        <f t="shared" si="19"/>
        <v>1.3</v>
      </c>
      <c r="S172">
        <f t="shared" si="20"/>
        <v>5.3</v>
      </c>
      <c r="T172">
        <f t="shared" si="22"/>
        <v>153.9</v>
      </c>
      <c r="V172">
        <v>364.7</v>
      </c>
      <c r="W172">
        <f t="shared" si="25"/>
        <v>14552.4</v>
      </c>
      <c r="X172">
        <v>8.5441136027208326</v>
      </c>
    </row>
    <row r="173" spans="1:24" x14ac:dyDescent="0.25">
      <c r="A173">
        <v>7400</v>
      </c>
      <c r="B173">
        <v>24250</v>
      </c>
      <c r="C173" s="1">
        <v>43118</v>
      </c>
      <c r="E173" s="44"/>
      <c r="F173">
        <v>7.3</v>
      </c>
      <c r="G173">
        <v>4.5999999999999996</v>
      </c>
      <c r="H173">
        <v>10.1</v>
      </c>
      <c r="I173">
        <f t="shared" si="23"/>
        <v>1382.9000000000003</v>
      </c>
      <c r="J173">
        <f t="shared" si="24"/>
        <v>381.4</v>
      </c>
      <c r="L173">
        <v>7.3</v>
      </c>
      <c r="M173">
        <v>0.7</v>
      </c>
      <c r="N173">
        <f t="shared" si="18"/>
        <v>6.6</v>
      </c>
      <c r="O173">
        <f t="shared" si="21"/>
        <v>260.8</v>
      </c>
      <c r="P173">
        <v>149</v>
      </c>
      <c r="Q173">
        <v>1</v>
      </c>
      <c r="R173">
        <f t="shared" si="19"/>
        <v>0.7</v>
      </c>
      <c r="S173">
        <f t="shared" si="20"/>
        <v>6.6</v>
      </c>
      <c r="T173">
        <f t="shared" si="22"/>
        <v>153.9</v>
      </c>
      <c r="V173">
        <v>88.5</v>
      </c>
      <c r="W173">
        <f t="shared" si="25"/>
        <v>14640.9</v>
      </c>
      <c r="X173">
        <v>8.5800871863661321</v>
      </c>
    </row>
    <row r="174" spans="1:24" x14ac:dyDescent="0.25">
      <c r="A174">
        <v>7400</v>
      </c>
      <c r="B174">
        <v>24250</v>
      </c>
      <c r="C174" s="1">
        <v>43119</v>
      </c>
      <c r="D174">
        <v>33</v>
      </c>
      <c r="E174" s="44"/>
      <c r="F174">
        <v>3.1</v>
      </c>
      <c r="G174">
        <v>2.1</v>
      </c>
      <c r="H174">
        <v>4.5999999999999996</v>
      </c>
      <c r="I174">
        <f t="shared" si="23"/>
        <v>1386.0000000000002</v>
      </c>
      <c r="J174">
        <f t="shared" si="24"/>
        <v>384.5</v>
      </c>
      <c r="L174">
        <v>2.6</v>
      </c>
      <c r="M174">
        <v>0.4</v>
      </c>
      <c r="N174">
        <f t="shared" si="18"/>
        <v>2.2000000000000002</v>
      </c>
      <c r="O174">
        <f t="shared" si="21"/>
        <v>263</v>
      </c>
      <c r="P174">
        <v>150</v>
      </c>
      <c r="Q174">
        <v>1</v>
      </c>
      <c r="R174">
        <f t="shared" si="19"/>
        <v>0.4</v>
      </c>
      <c r="S174">
        <f t="shared" si="20"/>
        <v>2.2000000000000002</v>
      </c>
      <c r="T174">
        <f t="shared" si="22"/>
        <v>153.9</v>
      </c>
      <c r="V174">
        <v>155.1</v>
      </c>
      <c r="W174">
        <f t="shared" si="25"/>
        <v>14796</v>
      </c>
      <c r="X174">
        <v>8.6170741843140792</v>
      </c>
    </row>
    <row r="175" spans="1:24" x14ac:dyDescent="0.25">
      <c r="A175">
        <v>7400</v>
      </c>
      <c r="B175">
        <v>24250</v>
      </c>
      <c r="C175" s="1">
        <v>43120</v>
      </c>
      <c r="D175">
        <v>34</v>
      </c>
      <c r="E175" s="44"/>
      <c r="F175">
        <v>5</v>
      </c>
      <c r="G175">
        <v>1.9</v>
      </c>
      <c r="H175">
        <v>8.3000000000000007</v>
      </c>
      <c r="I175">
        <f t="shared" si="23"/>
        <v>1391.0000000000002</v>
      </c>
      <c r="J175">
        <f t="shared" si="24"/>
        <v>389.5</v>
      </c>
      <c r="L175">
        <v>3.8</v>
      </c>
      <c r="M175">
        <v>0.4</v>
      </c>
      <c r="N175">
        <f t="shared" si="18"/>
        <v>3.4</v>
      </c>
      <c r="O175">
        <f t="shared" si="21"/>
        <v>266.39999999999998</v>
      </c>
      <c r="P175">
        <v>151</v>
      </c>
      <c r="Q175">
        <v>1</v>
      </c>
      <c r="R175">
        <f t="shared" si="19"/>
        <v>0.4</v>
      </c>
      <c r="S175">
        <f t="shared" si="20"/>
        <v>3.4</v>
      </c>
      <c r="T175">
        <f t="shared" si="22"/>
        <v>153.9</v>
      </c>
      <c r="V175">
        <v>100.4</v>
      </c>
      <c r="W175">
        <f t="shared" si="25"/>
        <v>14896.4</v>
      </c>
      <c r="X175">
        <v>8.6550498306642609</v>
      </c>
    </row>
    <row r="176" spans="1:24" x14ac:dyDescent="0.25">
      <c r="A176">
        <v>7400</v>
      </c>
      <c r="B176">
        <v>24250</v>
      </c>
      <c r="C176" s="1">
        <v>43121</v>
      </c>
      <c r="D176">
        <v>35</v>
      </c>
      <c r="E176" s="44"/>
      <c r="F176">
        <v>4.8</v>
      </c>
      <c r="G176">
        <v>2.9</v>
      </c>
      <c r="H176">
        <v>10.9</v>
      </c>
      <c r="I176">
        <f t="shared" si="23"/>
        <v>1395.8000000000002</v>
      </c>
      <c r="J176">
        <f t="shared" si="24"/>
        <v>394.3</v>
      </c>
      <c r="L176">
        <v>15.1</v>
      </c>
      <c r="M176">
        <v>0.9</v>
      </c>
      <c r="N176">
        <f t="shared" si="18"/>
        <v>14.2</v>
      </c>
      <c r="O176">
        <f t="shared" si="21"/>
        <v>280.59999999999997</v>
      </c>
      <c r="P176">
        <v>152</v>
      </c>
      <c r="Q176">
        <v>1</v>
      </c>
      <c r="R176">
        <f t="shared" si="19"/>
        <v>0.9</v>
      </c>
      <c r="S176">
        <f t="shared" si="20"/>
        <v>14.2</v>
      </c>
      <c r="T176">
        <f t="shared" si="22"/>
        <v>153.9</v>
      </c>
      <c r="V176">
        <v>133</v>
      </c>
      <c r="W176">
        <f t="shared" si="25"/>
        <v>15029.4</v>
      </c>
      <c r="X176">
        <v>8.693989259695817</v>
      </c>
    </row>
    <row r="177" spans="1:24" x14ac:dyDescent="0.25">
      <c r="A177">
        <v>7400</v>
      </c>
      <c r="B177">
        <v>24250</v>
      </c>
      <c r="C177" s="1">
        <v>43122</v>
      </c>
      <c r="E177" s="44"/>
      <c r="F177">
        <v>9.6999999999999993</v>
      </c>
      <c r="G177">
        <v>4</v>
      </c>
      <c r="H177">
        <v>11.7</v>
      </c>
      <c r="I177">
        <f t="shared" si="23"/>
        <v>1405.5000000000002</v>
      </c>
      <c r="J177">
        <f t="shared" si="24"/>
        <v>404</v>
      </c>
      <c r="L177">
        <v>8.6</v>
      </c>
      <c r="M177">
        <v>0.1</v>
      </c>
      <c r="N177">
        <f t="shared" si="18"/>
        <v>8.5</v>
      </c>
      <c r="O177">
        <f t="shared" si="21"/>
        <v>289.09999999999997</v>
      </c>
      <c r="P177">
        <v>153</v>
      </c>
      <c r="Q177">
        <v>1</v>
      </c>
      <c r="R177">
        <f t="shared" si="19"/>
        <v>0.1</v>
      </c>
      <c r="S177">
        <f t="shared" si="20"/>
        <v>8.5</v>
      </c>
      <c r="T177">
        <f t="shared" si="22"/>
        <v>153.9</v>
      </c>
      <c r="V177">
        <v>92.9</v>
      </c>
      <c r="W177">
        <f t="shared" si="25"/>
        <v>15122.3</v>
      </c>
      <c r="X177">
        <v>8.7338675530243535</v>
      </c>
    </row>
    <row r="178" spans="1:24" x14ac:dyDescent="0.25">
      <c r="A178">
        <v>7400</v>
      </c>
      <c r="B178">
        <v>24250</v>
      </c>
      <c r="C178" s="1">
        <v>43123</v>
      </c>
      <c r="E178" s="44"/>
      <c r="F178">
        <v>8.6</v>
      </c>
      <c r="G178">
        <v>6.8</v>
      </c>
      <c r="H178">
        <v>10.1</v>
      </c>
      <c r="I178">
        <f t="shared" si="23"/>
        <v>1414.1000000000001</v>
      </c>
      <c r="J178">
        <f t="shared" si="24"/>
        <v>412.6</v>
      </c>
      <c r="L178">
        <v>0.6</v>
      </c>
      <c r="M178">
        <v>0.8</v>
      </c>
      <c r="N178">
        <f t="shared" si="18"/>
        <v>-0.20000000000000007</v>
      </c>
      <c r="O178">
        <f t="shared" si="21"/>
        <v>288.89999999999998</v>
      </c>
      <c r="P178">
        <v>154</v>
      </c>
      <c r="Q178">
        <v>1</v>
      </c>
      <c r="R178">
        <f t="shared" si="19"/>
        <v>0.8</v>
      </c>
      <c r="S178">
        <f t="shared" si="20"/>
        <v>-0.20000000000000007</v>
      </c>
      <c r="T178">
        <f t="shared" si="22"/>
        <v>153.70000000000002</v>
      </c>
      <c r="V178">
        <v>178.4</v>
      </c>
      <c r="W178">
        <f t="shared" si="25"/>
        <v>15300.699999999999</v>
      </c>
      <c r="X178">
        <v>8.7746597847532843</v>
      </c>
    </row>
    <row r="179" spans="1:24" x14ac:dyDescent="0.25">
      <c r="A179">
        <v>7400</v>
      </c>
      <c r="B179">
        <v>24250</v>
      </c>
      <c r="C179" s="1">
        <v>43124</v>
      </c>
      <c r="E179" s="44"/>
      <c r="F179">
        <v>10.6</v>
      </c>
      <c r="G179">
        <v>8.9</v>
      </c>
      <c r="H179">
        <v>11.7</v>
      </c>
      <c r="I179">
        <f t="shared" si="23"/>
        <v>1424.7</v>
      </c>
      <c r="J179">
        <f t="shared" si="24"/>
        <v>423.20000000000005</v>
      </c>
      <c r="L179">
        <v>6.4</v>
      </c>
      <c r="M179">
        <v>0.7</v>
      </c>
      <c r="N179">
        <f t="shared" si="18"/>
        <v>5.7</v>
      </c>
      <c r="O179">
        <f t="shared" si="21"/>
        <v>294.59999999999997</v>
      </c>
      <c r="P179">
        <v>155</v>
      </c>
      <c r="Q179">
        <v>1</v>
      </c>
      <c r="R179">
        <f t="shared" si="19"/>
        <v>0.7</v>
      </c>
      <c r="S179">
        <f t="shared" si="20"/>
        <v>5.7</v>
      </c>
      <c r="T179">
        <f t="shared" si="22"/>
        <v>153.9</v>
      </c>
      <c r="V179">
        <v>117.3</v>
      </c>
      <c r="W179">
        <f t="shared" si="25"/>
        <v>15417.999999999998</v>
      </c>
      <c r="X179">
        <v>8.8163410645300395</v>
      </c>
    </row>
    <row r="180" spans="1:24" x14ac:dyDescent="0.25">
      <c r="A180">
        <v>7400</v>
      </c>
      <c r="B180">
        <v>24250</v>
      </c>
      <c r="C180" s="1">
        <v>43125</v>
      </c>
      <c r="E180" s="44"/>
      <c r="F180">
        <v>8.1</v>
      </c>
      <c r="G180">
        <v>6.7</v>
      </c>
      <c r="H180">
        <v>9</v>
      </c>
      <c r="I180">
        <f t="shared" si="23"/>
        <v>1432.8</v>
      </c>
      <c r="J180">
        <f t="shared" si="24"/>
        <v>431.30000000000007</v>
      </c>
      <c r="L180">
        <v>13.6</v>
      </c>
      <c r="M180">
        <v>0.3</v>
      </c>
      <c r="N180">
        <f t="shared" si="18"/>
        <v>13.299999999999999</v>
      </c>
      <c r="O180">
        <f t="shared" si="21"/>
        <v>307.89999999999998</v>
      </c>
      <c r="P180">
        <v>156</v>
      </c>
      <c r="Q180">
        <v>1</v>
      </c>
      <c r="R180">
        <f t="shared" si="19"/>
        <v>0.3</v>
      </c>
      <c r="S180">
        <f t="shared" si="20"/>
        <v>13.299999999999999</v>
      </c>
      <c r="T180">
        <f t="shared" si="22"/>
        <v>153.9</v>
      </c>
      <c r="V180">
        <v>111.5</v>
      </c>
      <c r="W180">
        <f t="shared" si="25"/>
        <v>15529.499999999998</v>
      </c>
      <c r="X180">
        <v>8.8588865784355413</v>
      </c>
    </row>
    <row r="181" spans="1:24" x14ac:dyDescent="0.25">
      <c r="A181">
        <v>7400</v>
      </c>
      <c r="B181">
        <v>24250</v>
      </c>
      <c r="C181" s="1">
        <v>43126</v>
      </c>
      <c r="E181" s="44"/>
      <c r="F181">
        <v>5.8</v>
      </c>
      <c r="G181">
        <v>5.7</v>
      </c>
      <c r="H181">
        <v>6.6</v>
      </c>
      <c r="I181">
        <f t="shared" si="23"/>
        <v>1438.6</v>
      </c>
      <c r="J181">
        <f t="shared" si="24"/>
        <v>437.10000000000008</v>
      </c>
      <c r="L181">
        <v>0</v>
      </c>
      <c r="M181">
        <v>0.3</v>
      </c>
      <c r="N181">
        <f t="shared" si="18"/>
        <v>-0.3</v>
      </c>
      <c r="O181">
        <f t="shared" si="21"/>
        <v>307.59999999999997</v>
      </c>
      <c r="P181">
        <v>157</v>
      </c>
      <c r="Q181">
        <v>1</v>
      </c>
      <c r="R181">
        <f t="shared" si="19"/>
        <v>0.3</v>
      </c>
      <c r="S181">
        <f t="shared" si="20"/>
        <v>-0.3</v>
      </c>
      <c r="T181">
        <f t="shared" si="22"/>
        <v>153.6</v>
      </c>
      <c r="V181">
        <v>139.19999999999999</v>
      </c>
      <c r="W181">
        <f t="shared" si="25"/>
        <v>15668.699999999999</v>
      </c>
      <c r="X181">
        <v>8.9022716276523077</v>
      </c>
    </row>
    <row r="182" spans="1:24" x14ac:dyDescent="0.25">
      <c r="A182">
        <v>7400</v>
      </c>
      <c r="B182">
        <v>24250</v>
      </c>
      <c r="C182" s="1">
        <v>43127</v>
      </c>
      <c r="D182">
        <v>36</v>
      </c>
      <c r="E182" s="44"/>
      <c r="F182">
        <v>3.4</v>
      </c>
      <c r="G182">
        <v>2.9</v>
      </c>
      <c r="H182">
        <v>4.4000000000000004</v>
      </c>
      <c r="I182">
        <f t="shared" si="23"/>
        <v>1442</v>
      </c>
      <c r="J182">
        <f t="shared" si="24"/>
        <v>440.50000000000006</v>
      </c>
      <c r="L182">
        <v>1</v>
      </c>
      <c r="M182">
        <v>0.3</v>
      </c>
      <c r="N182">
        <f t="shared" si="18"/>
        <v>0.7</v>
      </c>
      <c r="O182">
        <f t="shared" si="21"/>
        <v>308.29999999999995</v>
      </c>
      <c r="P182">
        <v>158</v>
      </c>
      <c r="Q182">
        <v>1</v>
      </c>
      <c r="R182">
        <f t="shared" si="19"/>
        <v>0.3</v>
      </c>
      <c r="S182">
        <f t="shared" si="20"/>
        <v>0.7</v>
      </c>
      <c r="T182">
        <f t="shared" si="22"/>
        <v>153.9</v>
      </c>
      <c r="V182">
        <v>166.6</v>
      </c>
      <c r="W182">
        <f t="shared" si="25"/>
        <v>15835.3</v>
      </c>
      <c r="X182">
        <v>8.9464716648726963</v>
      </c>
    </row>
    <row r="183" spans="1:24" x14ac:dyDescent="0.25">
      <c r="A183">
        <v>7400</v>
      </c>
      <c r="B183">
        <v>24250</v>
      </c>
      <c r="C183" s="1">
        <v>43128</v>
      </c>
      <c r="D183" t="s">
        <v>51</v>
      </c>
      <c r="E183" s="44"/>
      <c r="F183">
        <v>6.1</v>
      </c>
      <c r="G183">
        <v>3.4</v>
      </c>
      <c r="H183">
        <v>8.1</v>
      </c>
      <c r="I183">
        <f t="shared" si="23"/>
        <v>1448.1</v>
      </c>
      <c r="J183">
        <f t="shared" si="24"/>
        <v>446.60000000000008</v>
      </c>
      <c r="L183">
        <v>0.9</v>
      </c>
      <c r="M183">
        <v>0.2</v>
      </c>
      <c r="N183">
        <f t="shared" si="18"/>
        <v>0.7</v>
      </c>
      <c r="O183">
        <f t="shared" si="21"/>
        <v>308.99999999999994</v>
      </c>
      <c r="P183">
        <v>159</v>
      </c>
      <c r="Q183">
        <v>1</v>
      </c>
      <c r="R183">
        <f t="shared" si="19"/>
        <v>0.2</v>
      </c>
      <c r="S183">
        <f t="shared" si="20"/>
        <v>0.7</v>
      </c>
      <c r="T183">
        <f t="shared" si="22"/>
        <v>153.9</v>
      </c>
      <c r="V183">
        <v>40.200000000000003</v>
      </c>
      <c r="W183">
        <f t="shared" si="25"/>
        <v>15875.5</v>
      </c>
      <c r="X183">
        <v>8.9914623284238644</v>
      </c>
    </row>
    <row r="184" spans="1:24" x14ac:dyDescent="0.25">
      <c r="A184">
        <v>7400</v>
      </c>
      <c r="B184">
        <v>24250</v>
      </c>
      <c r="C184" s="1">
        <v>43129</v>
      </c>
      <c r="E184" s="44"/>
      <c r="F184">
        <v>8.5</v>
      </c>
      <c r="G184">
        <v>7.6</v>
      </c>
      <c r="H184">
        <v>9.3000000000000007</v>
      </c>
      <c r="I184">
        <f t="shared" si="23"/>
        <v>1456.6</v>
      </c>
      <c r="J184">
        <f t="shared" si="24"/>
        <v>455.10000000000008</v>
      </c>
      <c r="L184">
        <v>0.1</v>
      </c>
      <c r="M184">
        <v>0.3</v>
      </c>
      <c r="N184">
        <f t="shared" si="18"/>
        <v>-0.19999999999999998</v>
      </c>
      <c r="O184">
        <f t="shared" si="21"/>
        <v>308.79999999999995</v>
      </c>
      <c r="P184">
        <v>160</v>
      </c>
      <c r="Q184">
        <v>1</v>
      </c>
      <c r="R184">
        <f t="shared" si="19"/>
        <v>0.3</v>
      </c>
      <c r="S184">
        <f t="shared" si="20"/>
        <v>-0.19999999999999998</v>
      </c>
      <c r="T184">
        <f t="shared" si="22"/>
        <v>153.70000000000002</v>
      </c>
      <c r="V184">
        <v>97.2</v>
      </c>
      <c r="W184">
        <f t="shared" si="25"/>
        <v>15972.7</v>
      </c>
      <c r="X184">
        <v>9.0372194741000076</v>
      </c>
    </row>
    <row r="185" spans="1:24" x14ac:dyDescent="0.25">
      <c r="A185">
        <v>7400</v>
      </c>
      <c r="B185">
        <v>24250</v>
      </c>
      <c r="C185" s="1">
        <v>43130</v>
      </c>
      <c r="E185" s="44"/>
      <c r="F185">
        <v>8.6</v>
      </c>
      <c r="G185">
        <v>7.7</v>
      </c>
      <c r="H185">
        <v>9.5</v>
      </c>
      <c r="I185">
        <f t="shared" si="23"/>
        <v>1465.1999999999998</v>
      </c>
      <c r="J185">
        <f t="shared" si="24"/>
        <v>463.7000000000001</v>
      </c>
      <c r="L185">
        <v>0.9</v>
      </c>
      <c r="M185">
        <v>0.5</v>
      </c>
      <c r="N185">
        <f t="shared" si="18"/>
        <v>0.4</v>
      </c>
      <c r="O185">
        <f t="shared" si="21"/>
        <v>309.19999999999993</v>
      </c>
      <c r="P185">
        <v>161</v>
      </c>
      <c r="Q185">
        <v>1</v>
      </c>
      <c r="R185">
        <f t="shared" si="19"/>
        <v>0.5</v>
      </c>
      <c r="S185">
        <f t="shared" si="20"/>
        <v>0.4</v>
      </c>
      <c r="T185">
        <f t="shared" si="22"/>
        <v>153.9</v>
      </c>
      <c r="V185">
        <v>266.2</v>
      </c>
      <c r="W185">
        <f t="shared" si="25"/>
        <v>16238.900000000001</v>
      </c>
      <c r="X185">
        <v>9.0837192047053001</v>
      </c>
    </row>
    <row r="186" spans="1:24" x14ac:dyDescent="0.25">
      <c r="A186">
        <v>7400</v>
      </c>
      <c r="B186">
        <v>24250</v>
      </c>
      <c r="C186" s="1">
        <v>43131</v>
      </c>
      <c r="E186" s="44"/>
      <c r="F186">
        <v>7.1</v>
      </c>
      <c r="G186">
        <v>7</v>
      </c>
      <c r="H186">
        <v>7.6</v>
      </c>
      <c r="I186">
        <f t="shared" si="23"/>
        <v>1472.2999999999997</v>
      </c>
      <c r="J186">
        <f t="shared" si="24"/>
        <v>470.80000000000013</v>
      </c>
      <c r="L186">
        <v>14.3</v>
      </c>
      <c r="M186">
        <v>0.5</v>
      </c>
      <c r="N186">
        <f t="shared" si="18"/>
        <v>13.8</v>
      </c>
      <c r="O186">
        <f t="shared" si="21"/>
        <v>322.99999999999994</v>
      </c>
      <c r="P186">
        <v>162</v>
      </c>
      <c r="Q186">
        <v>1</v>
      </c>
      <c r="R186">
        <f t="shared" si="19"/>
        <v>0.5</v>
      </c>
      <c r="S186">
        <f t="shared" si="20"/>
        <v>13.8</v>
      </c>
      <c r="T186">
        <f t="shared" si="22"/>
        <v>153.9</v>
      </c>
      <c r="V186">
        <v>108.2</v>
      </c>
      <c r="W186">
        <f t="shared" si="25"/>
        <v>16347.100000000002</v>
      </c>
      <c r="X186">
        <v>9.1309378973227417</v>
      </c>
    </row>
    <row r="187" spans="1:24" x14ac:dyDescent="0.25">
      <c r="A187">
        <v>7400</v>
      </c>
      <c r="B187">
        <v>24250</v>
      </c>
      <c r="C187" s="1">
        <v>43132</v>
      </c>
      <c r="E187" s="44"/>
      <c r="F187">
        <v>2.2999999999999998</v>
      </c>
      <c r="G187">
        <v>0.6</v>
      </c>
      <c r="H187">
        <v>3.2</v>
      </c>
      <c r="I187">
        <f t="shared" si="23"/>
        <v>1474.5999999999997</v>
      </c>
      <c r="J187">
        <f t="shared" si="24"/>
        <v>473.10000000000014</v>
      </c>
      <c r="L187">
        <v>0.7</v>
      </c>
      <c r="M187">
        <v>0.2</v>
      </c>
      <c r="N187">
        <f t="shared" si="18"/>
        <v>0.49999999999999994</v>
      </c>
      <c r="O187">
        <f t="shared" si="21"/>
        <v>323.49999999999994</v>
      </c>
      <c r="P187">
        <v>163</v>
      </c>
      <c r="Q187">
        <v>1</v>
      </c>
      <c r="R187">
        <f t="shared" si="19"/>
        <v>0.2</v>
      </c>
      <c r="S187">
        <f t="shared" si="20"/>
        <v>0.49999999999999994</v>
      </c>
      <c r="T187">
        <f t="shared" si="22"/>
        <v>153.9</v>
      </c>
      <c r="V187">
        <v>100.4</v>
      </c>
      <c r="W187">
        <f t="shared" si="25"/>
        <v>16447.500000000004</v>
      </c>
      <c r="X187">
        <v>9.1788522283346961</v>
      </c>
    </row>
    <row r="188" spans="1:24" x14ac:dyDescent="0.25">
      <c r="A188">
        <v>7400</v>
      </c>
      <c r="B188">
        <v>24250</v>
      </c>
      <c r="C188" s="1">
        <v>43133</v>
      </c>
      <c r="E188" s="44"/>
      <c r="F188">
        <v>2.8</v>
      </c>
      <c r="G188">
        <v>0.7</v>
      </c>
      <c r="H188">
        <v>5.0999999999999996</v>
      </c>
      <c r="I188">
        <f t="shared" si="23"/>
        <v>1477.3999999999996</v>
      </c>
      <c r="J188">
        <f t="shared" si="24"/>
        <v>475.90000000000015</v>
      </c>
      <c r="L188">
        <v>2.1</v>
      </c>
      <c r="M188">
        <v>0.4</v>
      </c>
      <c r="N188">
        <f t="shared" si="18"/>
        <v>1.7000000000000002</v>
      </c>
      <c r="O188">
        <f t="shared" si="21"/>
        <v>325.19999999999993</v>
      </c>
      <c r="P188">
        <v>164</v>
      </c>
      <c r="Q188">
        <v>1</v>
      </c>
      <c r="R188">
        <f t="shared" si="19"/>
        <v>0.4</v>
      </c>
      <c r="S188">
        <f t="shared" si="20"/>
        <v>1.7000000000000002</v>
      </c>
      <c r="T188">
        <f t="shared" si="22"/>
        <v>153.9</v>
      </c>
      <c r="V188">
        <v>176.1</v>
      </c>
      <c r="W188">
        <f t="shared" si="25"/>
        <v>16623.600000000002</v>
      </c>
      <c r="X188">
        <v>9.2274391962303906</v>
      </c>
    </row>
    <row r="189" spans="1:24" x14ac:dyDescent="0.25">
      <c r="A189">
        <v>7400</v>
      </c>
      <c r="B189">
        <v>24250</v>
      </c>
      <c r="C189" s="1">
        <v>43134</v>
      </c>
      <c r="E189" s="44"/>
      <c r="F189">
        <v>2.5</v>
      </c>
      <c r="G189">
        <v>1.6</v>
      </c>
      <c r="H189">
        <v>3.7</v>
      </c>
      <c r="I189">
        <f t="shared" si="23"/>
        <v>1479.8999999999996</v>
      </c>
      <c r="J189">
        <f t="shared" si="24"/>
        <v>478.40000000000015</v>
      </c>
      <c r="L189">
        <v>2.1</v>
      </c>
      <c r="M189">
        <v>0.2</v>
      </c>
      <c r="N189">
        <f t="shared" si="18"/>
        <v>1.9000000000000001</v>
      </c>
      <c r="O189">
        <f t="shared" si="21"/>
        <v>327.09999999999991</v>
      </c>
      <c r="P189">
        <v>165</v>
      </c>
      <c r="Q189">
        <v>1</v>
      </c>
      <c r="R189">
        <f t="shared" si="19"/>
        <v>0.2</v>
      </c>
      <c r="S189">
        <f t="shared" si="20"/>
        <v>1.9000000000000001</v>
      </c>
      <c r="T189">
        <f t="shared" si="22"/>
        <v>153.9</v>
      </c>
      <c r="V189">
        <v>208.8</v>
      </c>
      <c r="W189">
        <f t="shared" si="25"/>
        <v>16832.400000000001</v>
      </c>
      <c r="X189">
        <v>9.27667614224403</v>
      </c>
    </row>
    <row r="190" spans="1:24" x14ac:dyDescent="0.25">
      <c r="A190">
        <v>7400</v>
      </c>
      <c r="B190">
        <v>24250</v>
      </c>
      <c r="C190" s="1">
        <v>43135</v>
      </c>
      <c r="E190" s="44"/>
      <c r="F190">
        <v>0.6</v>
      </c>
      <c r="G190">
        <v>-0.1</v>
      </c>
      <c r="H190">
        <v>1.5</v>
      </c>
      <c r="I190">
        <f t="shared" si="23"/>
        <v>1480.4999999999995</v>
      </c>
      <c r="J190">
        <f t="shared" si="24"/>
        <v>479.00000000000017</v>
      </c>
      <c r="L190">
        <v>0.1</v>
      </c>
      <c r="M190">
        <v>0.3</v>
      </c>
      <c r="N190">
        <f t="shared" si="18"/>
        <v>-0.19999999999999998</v>
      </c>
      <c r="O190">
        <f t="shared" si="21"/>
        <v>326.89999999999992</v>
      </c>
      <c r="P190">
        <v>166</v>
      </c>
      <c r="Q190">
        <v>1</v>
      </c>
      <c r="R190">
        <f t="shared" si="19"/>
        <v>0.3</v>
      </c>
      <c r="S190">
        <f t="shared" si="20"/>
        <v>-0.19999999999999998</v>
      </c>
      <c r="T190">
        <f t="shared" si="22"/>
        <v>153.70000000000002</v>
      </c>
      <c r="V190">
        <v>144.5</v>
      </c>
      <c r="W190">
        <f t="shared" si="25"/>
        <v>16976.900000000001</v>
      </c>
      <c r="X190">
        <v>9.3265407688745423</v>
      </c>
    </row>
    <row r="191" spans="1:24" x14ac:dyDescent="0.25">
      <c r="A191">
        <v>7400</v>
      </c>
      <c r="B191">
        <v>24250</v>
      </c>
      <c r="C191" s="1">
        <v>43136</v>
      </c>
      <c r="E191" s="44"/>
      <c r="F191">
        <v>0.3</v>
      </c>
      <c r="G191">
        <v>-1.6</v>
      </c>
      <c r="H191">
        <v>1.8</v>
      </c>
      <c r="I191">
        <f t="shared" si="23"/>
        <v>1480.7999999999995</v>
      </c>
      <c r="J191">
        <f t="shared" si="24"/>
        <v>479.30000000000018</v>
      </c>
      <c r="L191">
        <v>1</v>
      </c>
      <c r="M191">
        <v>0.5</v>
      </c>
      <c r="N191">
        <f t="shared" si="18"/>
        <v>0.5</v>
      </c>
      <c r="O191">
        <f t="shared" si="21"/>
        <v>327.39999999999992</v>
      </c>
      <c r="P191">
        <v>167</v>
      </c>
      <c r="Q191">
        <v>1</v>
      </c>
      <c r="R191">
        <f t="shared" si="19"/>
        <v>0.5</v>
      </c>
      <c r="S191">
        <f t="shared" si="20"/>
        <v>0.5</v>
      </c>
      <c r="T191">
        <f t="shared" si="22"/>
        <v>153.9</v>
      </c>
      <c r="V191">
        <v>346.1</v>
      </c>
      <c r="W191">
        <f t="shared" si="25"/>
        <v>17323</v>
      </c>
      <c r="X191">
        <v>9.3770111563441425</v>
      </c>
    </row>
    <row r="192" spans="1:24" x14ac:dyDescent="0.25">
      <c r="A192">
        <v>7400</v>
      </c>
      <c r="B192">
        <v>24250</v>
      </c>
      <c r="C192" s="1">
        <v>43137</v>
      </c>
      <c r="E192" s="44"/>
      <c r="F192">
        <v>0.4</v>
      </c>
      <c r="G192">
        <v>-0.2</v>
      </c>
      <c r="H192">
        <v>1.2</v>
      </c>
      <c r="I192">
        <f t="shared" si="23"/>
        <v>1481.1999999999996</v>
      </c>
      <c r="J192">
        <f t="shared" si="24"/>
        <v>479.70000000000016</v>
      </c>
      <c r="L192">
        <v>3.1</v>
      </c>
      <c r="M192">
        <v>0.3</v>
      </c>
      <c r="N192">
        <f t="shared" si="18"/>
        <v>2.8000000000000003</v>
      </c>
      <c r="O192">
        <f t="shared" si="21"/>
        <v>330.19999999999993</v>
      </c>
      <c r="P192">
        <v>168</v>
      </c>
      <c r="Q192">
        <v>1</v>
      </c>
      <c r="R192">
        <f t="shared" si="19"/>
        <v>0.3</v>
      </c>
      <c r="S192">
        <f t="shared" si="20"/>
        <v>2.8000000000000003</v>
      </c>
      <c r="T192">
        <f t="shared" si="22"/>
        <v>153.9</v>
      </c>
      <c r="V192">
        <v>160</v>
      </c>
      <c r="W192">
        <f t="shared" si="25"/>
        <v>17483</v>
      </c>
      <c r="X192">
        <v>9.4280657770583893</v>
      </c>
    </row>
    <row r="193" spans="1:24" x14ac:dyDescent="0.25">
      <c r="A193">
        <v>7400</v>
      </c>
      <c r="B193">
        <v>24250</v>
      </c>
      <c r="C193" s="1">
        <v>43138</v>
      </c>
      <c r="E193" s="44"/>
      <c r="F193">
        <v>-0.9</v>
      </c>
      <c r="G193">
        <v>-1.6</v>
      </c>
      <c r="H193">
        <v>-0.3</v>
      </c>
      <c r="I193">
        <v>1481.2</v>
      </c>
      <c r="J193">
        <v>479.7</v>
      </c>
      <c r="L193">
        <v>0.4</v>
      </c>
      <c r="M193">
        <v>0.2</v>
      </c>
      <c r="N193">
        <f t="shared" si="18"/>
        <v>0.2</v>
      </c>
      <c r="O193">
        <f t="shared" si="21"/>
        <v>330.39999999999992</v>
      </c>
      <c r="P193">
        <v>169</v>
      </c>
      <c r="Q193">
        <v>1</v>
      </c>
      <c r="R193">
        <f t="shared" si="19"/>
        <v>0.2</v>
      </c>
      <c r="S193">
        <f t="shared" si="20"/>
        <v>0.2</v>
      </c>
      <c r="T193">
        <f t="shared" si="22"/>
        <v>153.9</v>
      </c>
      <c r="V193">
        <v>117.2</v>
      </c>
      <c r="W193">
        <f t="shared" si="25"/>
        <v>17600.2</v>
      </c>
      <c r="X193">
        <v>9.4796835081346718</v>
      </c>
    </row>
    <row r="194" spans="1:24" x14ac:dyDescent="0.25">
      <c r="A194">
        <v>7400</v>
      </c>
      <c r="B194">
        <v>24250</v>
      </c>
      <c r="C194" s="1">
        <v>43139</v>
      </c>
      <c r="E194" s="44"/>
      <c r="F194">
        <v>-3.9</v>
      </c>
      <c r="G194">
        <v>-4.7</v>
      </c>
      <c r="H194">
        <v>-1.8</v>
      </c>
      <c r="I194">
        <v>1481.2</v>
      </c>
      <c r="J194">
        <v>479.7</v>
      </c>
      <c r="L194">
        <v>0</v>
      </c>
      <c r="M194">
        <v>0.4</v>
      </c>
      <c r="N194">
        <f t="shared" si="18"/>
        <v>-0.4</v>
      </c>
      <c r="O194">
        <f t="shared" si="21"/>
        <v>329.99999999999994</v>
      </c>
      <c r="P194">
        <v>170</v>
      </c>
      <c r="Q194">
        <v>1</v>
      </c>
      <c r="R194">
        <f t="shared" si="19"/>
        <v>0.4</v>
      </c>
      <c r="S194">
        <f t="shared" si="20"/>
        <v>-0.4</v>
      </c>
      <c r="T194">
        <f t="shared" si="22"/>
        <v>153.5</v>
      </c>
      <c r="V194">
        <v>501.3</v>
      </c>
      <c r="W194">
        <f t="shared" si="25"/>
        <v>18101.5</v>
      </c>
      <c r="X194">
        <v>9.5318436420696209</v>
      </c>
    </row>
    <row r="195" spans="1:24" x14ac:dyDescent="0.25">
      <c r="A195">
        <v>7400</v>
      </c>
      <c r="B195">
        <v>24250</v>
      </c>
      <c r="C195" s="1">
        <v>43140</v>
      </c>
      <c r="E195" s="44"/>
      <c r="F195">
        <v>-1.1000000000000001</v>
      </c>
      <c r="G195">
        <v>-6.3</v>
      </c>
      <c r="H195">
        <v>0.5</v>
      </c>
      <c r="I195">
        <v>1481.2</v>
      </c>
      <c r="J195">
        <v>479.7</v>
      </c>
      <c r="L195">
        <v>0.8</v>
      </c>
      <c r="M195">
        <v>0</v>
      </c>
      <c r="N195">
        <f t="shared" si="18"/>
        <v>0.8</v>
      </c>
      <c r="O195">
        <f t="shared" si="21"/>
        <v>330.79999999999995</v>
      </c>
      <c r="P195">
        <v>171</v>
      </c>
      <c r="Q195">
        <v>1</v>
      </c>
      <c r="R195">
        <f t="shared" si="19"/>
        <v>0</v>
      </c>
      <c r="S195">
        <f t="shared" si="20"/>
        <v>0.8</v>
      </c>
      <c r="T195">
        <f t="shared" si="22"/>
        <v>153.9</v>
      </c>
      <c r="V195">
        <v>229.7</v>
      </c>
      <c r="W195">
        <f t="shared" si="25"/>
        <v>18331.2</v>
      </c>
      <c r="X195">
        <v>9.5845258956187642</v>
      </c>
    </row>
    <row r="196" spans="1:24" x14ac:dyDescent="0.25">
      <c r="A196">
        <v>7400</v>
      </c>
      <c r="B196">
        <v>24250</v>
      </c>
      <c r="C196" s="1">
        <v>43141</v>
      </c>
      <c r="E196" s="44"/>
      <c r="F196">
        <v>0.2</v>
      </c>
      <c r="G196">
        <v>-0.6</v>
      </c>
      <c r="H196">
        <v>1.9</v>
      </c>
      <c r="I196">
        <f t="shared" si="23"/>
        <v>1481.4</v>
      </c>
      <c r="J196">
        <f t="shared" si="24"/>
        <v>479.9</v>
      </c>
      <c r="L196">
        <v>3.3</v>
      </c>
      <c r="M196">
        <v>0.6</v>
      </c>
      <c r="N196">
        <f t="shared" si="18"/>
        <v>2.6999999999999997</v>
      </c>
      <c r="O196">
        <f t="shared" si="21"/>
        <v>333.49999999999994</v>
      </c>
      <c r="P196">
        <v>172</v>
      </c>
      <c r="Q196">
        <v>1</v>
      </c>
      <c r="R196">
        <f t="shared" si="19"/>
        <v>0.6</v>
      </c>
      <c r="S196">
        <f t="shared" si="20"/>
        <v>2.6999999999999997</v>
      </c>
      <c r="T196">
        <f t="shared" si="22"/>
        <v>153.9</v>
      </c>
      <c r="V196">
        <v>646.6</v>
      </c>
      <c r="W196">
        <f t="shared" si="25"/>
        <v>18977.8</v>
      </c>
      <c r="X196">
        <v>9.6377104169635981</v>
      </c>
    </row>
    <row r="197" spans="1:24" x14ac:dyDescent="0.25">
      <c r="A197">
        <v>7400</v>
      </c>
      <c r="B197">
        <v>24250</v>
      </c>
      <c r="C197" s="1">
        <v>43142</v>
      </c>
      <c r="E197" s="44"/>
      <c r="F197">
        <v>2.9</v>
      </c>
      <c r="G197">
        <v>-0.4</v>
      </c>
      <c r="H197">
        <v>6</v>
      </c>
      <c r="I197">
        <f t="shared" si="23"/>
        <v>1484.3000000000002</v>
      </c>
      <c r="J197">
        <f t="shared" si="24"/>
        <v>482.79999999999995</v>
      </c>
      <c r="L197">
        <v>0.8</v>
      </c>
      <c r="M197">
        <v>0.6</v>
      </c>
      <c r="N197">
        <f t="shared" ref="N197:N260" si="26">L197-M197</f>
        <v>0.20000000000000007</v>
      </c>
      <c r="O197">
        <f t="shared" si="21"/>
        <v>333.69999999999993</v>
      </c>
      <c r="P197">
        <v>173</v>
      </c>
      <c r="Q197">
        <v>1</v>
      </c>
      <c r="R197">
        <f t="shared" ref="R197:R260" si="27">Q197*M197</f>
        <v>0.6</v>
      </c>
      <c r="S197">
        <f t="shared" ref="S197:S260" si="28">L197-R197</f>
        <v>0.20000000000000007</v>
      </c>
      <c r="T197">
        <f t="shared" si="22"/>
        <v>153.9</v>
      </c>
      <c r="V197">
        <v>600.79999999999995</v>
      </c>
      <c r="W197">
        <f t="shared" si="25"/>
        <v>19578.599999999999</v>
      </c>
      <c r="X197">
        <v>9.6913777912426724</v>
      </c>
    </row>
    <row r="198" spans="1:24" x14ac:dyDescent="0.25">
      <c r="A198">
        <v>7400</v>
      </c>
      <c r="B198">
        <v>24250</v>
      </c>
      <c r="C198" s="1">
        <v>43143</v>
      </c>
      <c r="E198" s="44"/>
      <c r="F198">
        <v>0.4</v>
      </c>
      <c r="G198">
        <v>-1.2</v>
      </c>
      <c r="H198">
        <v>3.3</v>
      </c>
      <c r="I198">
        <f t="shared" si="23"/>
        <v>1484.7000000000003</v>
      </c>
      <c r="J198">
        <f t="shared" si="24"/>
        <v>483.19999999999993</v>
      </c>
      <c r="L198">
        <v>0</v>
      </c>
      <c r="M198">
        <v>1</v>
      </c>
      <c r="N198">
        <f t="shared" si="26"/>
        <v>-1</v>
      </c>
      <c r="O198">
        <f t="shared" ref="O198:O261" si="29">O197+N198</f>
        <v>332.69999999999993</v>
      </c>
      <c r="P198">
        <v>174</v>
      </c>
      <c r="Q198">
        <v>1</v>
      </c>
      <c r="R198">
        <f t="shared" si="27"/>
        <v>1</v>
      </c>
      <c r="S198">
        <f t="shared" si="28"/>
        <v>-1</v>
      </c>
      <c r="T198">
        <f t="shared" si="22"/>
        <v>152.9</v>
      </c>
      <c r="V198">
        <v>1086.9000000000001</v>
      </c>
      <c r="W198">
        <f t="shared" si="25"/>
        <v>20665.5</v>
      </c>
      <c r="X198">
        <v>9.7455090445239207</v>
      </c>
    </row>
    <row r="199" spans="1:24" x14ac:dyDescent="0.25">
      <c r="A199">
        <v>7400</v>
      </c>
      <c r="B199">
        <v>24250</v>
      </c>
      <c r="C199" s="1">
        <v>43144</v>
      </c>
      <c r="E199" s="44"/>
      <c r="F199">
        <v>0.4</v>
      </c>
      <c r="G199">
        <v>-2.7</v>
      </c>
      <c r="H199">
        <v>4.2</v>
      </c>
      <c r="I199">
        <f t="shared" si="23"/>
        <v>1485.1000000000004</v>
      </c>
      <c r="J199">
        <f t="shared" si="24"/>
        <v>483.59999999999991</v>
      </c>
      <c r="L199">
        <v>0</v>
      </c>
      <c r="M199">
        <v>1.2</v>
      </c>
      <c r="N199">
        <f t="shared" si="26"/>
        <v>-1.2</v>
      </c>
      <c r="O199">
        <f t="shared" si="29"/>
        <v>331.49999999999994</v>
      </c>
      <c r="P199">
        <v>175</v>
      </c>
      <c r="Q199">
        <v>1</v>
      </c>
      <c r="R199">
        <f t="shared" si="27"/>
        <v>1.2</v>
      </c>
      <c r="S199">
        <f t="shared" si="28"/>
        <v>-1.2</v>
      </c>
      <c r="T199">
        <f t="shared" si="22"/>
        <v>151.70000000000002</v>
      </c>
      <c r="V199">
        <v>994.3</v>
      </c>
      <c r="W199">
        <f t="shared" si="25"/>
        <v>21659.8</v>
      </c>
      <c r="X199">
        <v>9.8000856462956687</v>
      </c>
    </row>
    <row r="200" spans="1:24" x14ac:dyDescent="0.25">
      <c r="A200">
        <v>7400</v>
      </c>
      <c r="B200">
        <v>24250</v>
      </c>
      <c r="C200" s="1">
        <v>43145</v>
      </c>
      <c r="E200" s="44"/>
      <c r="F200">
        <v>2.1</v>
      </c>
      <c r="G200">
        <v>-1.5</v>
      </c>
      <c r="H200">
        <v>4.8</v>
      </c>
      <c r="I200">
        <f t="shared" si="23"/>
        <v>1487.2000000000003</v>
      </c>
      <c r="J200">
        <f t="shared" si="24"/>
        <v>485.69999999999993</v>
      </c>
      <c r="L200">
        <v>9.1999999999999993</v>
      </c>
      <c r="M200">
        <v>0.9</v>
      </c>
      <c r="N200">
        <f t="shared" si="26"/>
        <v>8.2999999999999989</v>
      </c>
      <c r="O200">
        <f t="shared" si="29"/>
        <v>339.79999999999995</v>
      </c>
      <c r="P200">
        <v>176</v>
      </c>
      <c r="Q200">
        <v>1</v>
      </c>
      <c r="R200">
        <f t="shared" si="27"/>
        <v>0.9</v>
      </c>
      <c r="S200">
        <f t="shared" si="28"/>
        <v>8.2999999999999989</v>
      </c>
      <c r="T200">
        <f t="shared" si="22"/>
        <v>153.9</v>
      </c>
      <c r="V200">
        <v>864.9</v>
      </c>
      <c r="W200">
        <f t="shared" si="25"/>
        <v>22524.7</v>
      </c>
      <c r="X200">
        <v>9.8550895105533076</v>
      </c>
    </row>
    <row r="201" spans="1:24" x14ac:dyDescent="0.25">
      <c r="A201">
        <v>7400</v>
      </c>
      <c r="B201">
        <v>24250</v>
      </c>
      <c r="C201" s="1">
        <v>43146</v>
      </c>
      <c r="E201" s="44"/>
      <c r="F201">
        <v>6.8</v>
      </c>
      <c r="G201">
        <v>2.6</v>
      </c>
      <c r="H201">
        <v>9.6</v>
      </c>
      <c r="I201">
        <f t="shared" si="23"/>
        <v>1494.0000000000002</v>
      </c>
      <c r="J201">
        <f t="shared" si="24"/>
        <v>492.49999999999994</v>
      </c>
      <c r="L201">
        <v>5.6</v>
      </c>
      <c r="M201">
        <v>0.2</v>
      </c>
      <c r="N201">
        <f t="shared" si="26"/>
        <v>5.3999999999999995</v>
      </c>
      <c r="O201">
        <f t="shared" si="29"/>
        <v>345.19999999999993</v>
      </c>
      <c r="P201">
        <v>177</v>
      </c>
      <c r="Q201">
        <v>1</v>
      </c>
      <c r="R201">
        <f t="shared" si="27"/>
        <v>0.2</v>
      </c>
      <c r="S201">
        <f t="shared" si="28"/>
        <v>5.3999999999999995</v>
      </c>
      <c r="T201">
        <f t="shared" si="22"/>
        <v>153.9</v>
      </c>
      <c r="V201">
        <v>135.69999999999999</v>
      </c>
      <c r="W201">
        <f t="shared" si="25"/>
        <v>22660.400000000001</v>
      </c>
      <c r="X201">
        <v>9.9105029955579607</v>
      </c>
    </row>
    <row r="202" spans="1:24" x14ac:dyDescent="0.25">
      <c r="A202">
        <v>7400</v>
      </c>
      <c r="B202">
        <v>24250</v>
      </c>
      <c r="C202" s="1">
        <v>43147</v>
      </c>
      <c r="E202" s="44"/>
      <c r="F202">
        <v>4.8</v>
      </c>
      <c r="G202">
        <v>2.4</v>
      </c>
      <c r="H202">
        <v>8.5</v>
      </c>
      <c r="I202">
        <f t="shared" si="23"/>
        <v>1498.8000000000002</v>
      </c>
      <c r="J202">
        <f t="shared" si="24"/>
        <v>497.29999999999995</v>
      </c>
      <c r="L202">
        <v>1.4</v>
      </c>
      <c r="M202">
        <v>1.4</v>
      </c>
      <c r="N202">
        <f t="shared" si="26"/>
        <v>0</v>
      </c>
      <c r="O202">
        <f t="shared" si="29"/>
        <v>345.19999999999993</v>
      </c>
      <c r="P202">
        <v>178</v>
      </c>
      <c r="Q202">
        <v>1</v>
      </c>
      <c r="R202">
        <f t="shared" si="27"/>
        <v>1.4</v>
      </c>
      <c r="S202">
        <f t="shared" si="28"/>
        <v>0</v>
      </c>
      <c r="T202">
        <f t="shared" si="22"/>
        <v>153.9</v>
      </c>
      <c r="V202">
        <v>1067.5</v>
      </c>
      <c r="W202">
        <f t="shared" si="25"/>
        <v>23727.9</v>
      </c>
      <c r="X202">
        <v>9.9663089023421385</v>
      </c>
    </row>
    <row r="203" spans="1:24" x14ac:dyDescent="0.25">
      <c r="A203">
        <v>7400</v>
      </c>
      <c r="B203">
        <v>24250</v>
      </c>
      <c r="C203" s="1">
        <v>43148</v>
      </c>
      <c r="E203" s="44"/>
      <c r="F203">
        <v>3.4</v>
      </c>
      <c r="G203">
        <v>2.4</v>
      </c>
      <c r="H203">
        <v>4.9000000000000004</v>
      </c>
      <c r="I203">
        <f t="shared" si="23"/>
        <v>1502.2000000000003</v>
      </c>
      <c r="J203">
        <f t="shared" si="24"/>
        <v>500.69999999999993</v>
      </c>
      <c r="L203">
        <v>1.6</v>
      </c>
      <c r="M203">
        <v>0.6</v>
      </c>
      <c r="N203">
        <f t="shared" si="26"/>
        <v>1</v>
      </c>
      <c r="O203">
        <f t="shared" si="29"/>
        <v>346.19999999999993</v>
      </c>
      <c r="P203">
        <v>179</v>
      </c>
      <c r="Q203">
        <v>1</v>
      </c>
      <c r="R203">
        <f t="shared" si="27"/>
        <v>0.6</v>
      </c>
      <c r="S203">
        <f t="shared" si="28"/>
        <v>1</v>
      </c>
      <c r="T203">
        <f t="shared" si="22"/>
        <v>153.9</v>
      </c>
      <c r="V203">
        <v>308</v>
      </c>
      <c r="W203">
        <f t="shared" si="25"/>
        <v>24035.9</v>
      </c>
      <c r="X203">
        <v>10.022490472036012</v>
      </c>
    </row>
    <row r="204" spans="1:24" x14ac:dyDescent="0.25">
      <c r="A204">
        <v>7400</v>
      </c>
      <c r="B204">
        <v>24250</v>
      </c>
      <c r="C204" s="1">
        <v>43149</v>
      </c>
      <c r="E204" s="44"/>
      <c r="F204">
        <v>1.3</v>
      </c>
      <c r="G204">
        <v>-1</v>
      </c>
      <c r="H204">
        <v>6.3</v>
      </c>
      <c r="I204">
        <f t="shared" si="23"/>
        <v>1503.5000000000002</v>
      </c>
      <c r="J204">
        <f t="shared" si="24"/>
        <v>501.99999999999994</v>
      </c>
      <c r="L204">
        <v>0</v>
      </c>
      <c r="M204">
        <v>1.2</v>
      </c>
      <c r="N204">
        <f t="shared" si="26"/>
        <v>-1.2</v>
      </c>
      <c r="O204">
        <f t="shared" si="29"/>
        <v>344.99999999999994</v>
      </c>
      <c r="P204">
        <v>180</v>
      </c>
      <c r="Q204">
        <v>1</v>
      </c>
      <c r="R204">
        <f t="shared" si="27"/>
        <v>1.2</v>
      </c>
      <c r="S204">
        <f t="shared" si="28"/>
        <v>-1.2</v>
      </c>
      <c r="T204">
        <f t="shared" si="22"/>
        <v>152.70000000000002</v>
      </c>
      <c r="V204">
        <v>932.1</v>
      </c>
      <c r="W204">
        <f t="shared" si="25"/>
        <v>24968</v>
      </c>
      <c r="X204">
        <v>10.079031382086013</v>
      </c>
    </row>
    <row r="205" spans="1:24" x14ac:dyDescent="0.25">
      <c r="A205">
        <v>7400</v>
      </c>
      <c r="B205">
        <v>24250</v>
      </c>
      <c r="C205" s="1">
        <v>43150</v>
      </c>
      <c r="E205" s="44"/>
      <c r="F205">
        <v>0.5</v>
      </c>
      <c r="G205">
        <v>-2.9</v>
      </c>
      <c r="H205">
        <v>2.6</v>
      </c>
      <c r="I205">
        <f t="shared" si="23"/>
        <v>1504.0000000000002</v>
      </c>
      <c r="J205">
        <f t="shared" si="24"/>
        <v>502.49999999999994</v>
      </c>
      <c r="L205">
        <v>0.1</v>
      </c>
      <c r="M205">
        <v>0.4</v>
      </c>
      <c r="N205">
        <f t="shared" si="26"/>
        <v>-0.30000000000000004</v>
      </c>
      <c r="O205">
        <f t="shared" si="29"/>
        <v>344.69999999999993</v>
      </c>
      <c r="P205">
        <v>181</v>
      </c>
      <c r="Q205">
        <v>1</v>
      </c>
      <c r="R205">
        <f t="shared" si="27"/>
        <v>0.4</v>
      </c>
      <c r="S205">
        <f t="shared" si="28"/>
        <v>-0.30000000000000004</v>
      </c>
      <c r="T205">
        <f t="shared" si="22"/>
        <v>152.4</v>
      </c>
      <c r="V205">
        <v>448.3</v>
      </c>
      <c r="W205">
        <f t="shared" si="25"/>
        <v>25416.3</v>
      </c>
      <c r="X205">
        <v>10.135915741435513</v>
      </c>
    </row>
    <row r="206" spans="1:24" x14ac:dyDescent="0.25">
      <c r="A206">
        <v>7400</v>
      </c>
      <c r="B206">
        <v>24250</v>
      </c>
      <c r="C206" s="1">
        <v>43151</v>
      </c>
      <c r="E206" s="44"/>
      <c r="F206">
        <v>1.9</v>
      </c>
      <c r="G206">
        <v>0.5</v>
      </c>
      <c r="H206">
        <v>4</v>
      </c>
      <c r="I206">
        <f t="shared" si="23"/>
        <v>1505.9000000000003</v>
      </c>
      <c r="J206">
        <f t="shared" si="24"/>
        <v>504.39999999999992</v>
      </c>
      <c r="L206">
        <v>0</v>
      </c>
      <c r="M206">
        <v>0.9</v>
      </c>
      <c r="N206">
        <f t="shared" si="26"/>
        <v>-0.9</v>
      </c>
      <c r="O206">
        <f t="shared" si="29"/>
        <v>343.79999999999995</v>
      </c>
      <c r="P206">
        <v>182</v>
      </c>
      <c r="Q206">
        <v>1</v>
      </c>
      <c r="R206">
        <f t="shared" si="27"/>
        <v>0.9</v>
      </c>
      <c r="S206">
        <f t="shared" si="28"/>
        <v>-0.9</v>
      </c>
      <c r="T206">
        <f t="shared" si="22"/>
        <v>151.5</v>
      </c>
      <c r="V206">
        <v>751.9</v>
      </c>
      <c r="W206">
        <f t="shared" si="25"/>
        <v>26168.2</v>
      </c>
      <c r="X206">
        <v>10.193128084735047</v>
      </c>
    </row>
    <row r="207" spans="1:24" x14ac:dyDescent="0.25">
      <c r="A207">
        <v>7400</v>
      </c>
      <c r="B207">
        <v>24250</v>
      </c>
      <c r="C207" s="1">
        <v>43152</v>
      </c>
      <c r="E207" s="44"/>
      <c r="F207">
        <v>0.4</v>
      </c>
      <c r="G207">
        <v>-2.7</v>
      </c>
      <c r="H207">
        <v>3.3</v>
      </c>
      <c r="I207">
        <f t="shared" si="23"/>
        <v>1506.3000000000004</v>
      </c>
      <c r="J207">
        <f t="shared" si="24"/>
        <v>504.7999999999999</v>
      </c>
      <c r="L207">
        <v>0</v>
      </c>
      <c r="M207">
        <v>1</v>
      </c>
      <c r="N207">
        <f t="shared" si="26"/>
        <v>-1</v>
      </c>
      <c r="O207">
        <f t="shared" si="29"/>
        <v>342.79999999999995</v>
      </c>
      <c r="P207">
        <v>183</v>
      </c>
      <c r="Q207">
        <v>1</v>
      </c>
      <c r="R207">
        <f t="shared" si="27"/>
        <v>1</v>
      </c>
      <c r="S207">
        <f t="shared" si="28"/>
        <v>-1</v>
      </c>
      <c r="T207">
        <f t="shared" si="22"/>
        <v>150.5</v>
      </c>
      <c r="V207">
        <v>1107.0999999999999</v>
      </c>
      <c r="W207">
        <f t="shared" si="25"/>
        <v>27275.3</v>
      </c>
      <c r="X207">
        <v>10.250653365647153</v>
      </c>
    </row>
    <row r="208" spans="1:24" x14ac:dyDescent="0.25">
      <c r="A208">
        <v>7400</v>
      </c>
      <c r="B208">
        <v>24250</v>
      </c>
      <c r="C208" s="1">
        <v>43153</v>
      </c>
      <c r="E208" s="44"/>
      <c r="F208">
        <v>-0.2</v>
      </c>
      <c r="G208">
        <v>-3.1</v>
      </c>
      <c r="H208">
        <v>3.1</v>
      </c>
      <c r="I208">
        <v>1506.3</v>
      </c>
      <c r="J208">
        <v>504.8</v>
      </c>
      <c r="L208">
        <v>0</v>
      </c>
      <c r="M208">
        <v>1.4</v>
      </c>
      <c r="N208">
        <f t="shared" si="26"/>
        <v>-1.4</v>
      </c>
      <c r="O208">
        <f t="shared" si="29"/>
        <v>341.4</v>
      </c>
      <c r="P208">
        <v>184</v>
      </c>
      <c r="Q208">
        <v>1</v>
      </c>
      <c r="R208">
        <f t="shared" si="27"/>
        <v>1.4</v>
      </c>
      <c r="S208">
        <f t="shared" si="28"/>
        <v>-1.4</v>
      </c>
      <c r="T208">
        <f t="shared" si="22"/>
        <v>149.1</v>
      </c>
      <c r="V208">
        <v>1182.0999999999999</v>
      </c>
      <c r="W208">
        <f t="shared" si="25"/>
        <v>28457.399999999998</v>
      </c>
      <c r="X208">
        <v>10.308476949308371</v>
      </c>
    </row>
    <row r="209" spans="1:25" x14ac:dyDescent="0.25">
      <c r="A209">
        <v>7400</v>
      </c>
      <c r="B209">
        <v>24250</v>
      </c>
      <c r="C209" s="1">
        <v>43154</v>
      </c>
      <c r="E209" s="44"/>
      <c r="F209">
        <v>-0.9</v>
      </c>
      <c r="G209">
        <v>-3.9</v>
      </c>
      <c r="H209">
        <v>2</v>
      </c>
      <c r="I209">
        <v>1506.3</v>
      </c>
      <c r="J209">
        <v>504.8</v>
      </c>
      <c r="L209">
        <v>0</v>
      </c>
      <c r="M209">
        <v>1.5</v>
      </c>
      <c r="N209">
        <f t="shared" si="26"/>
        <v>-1.5</v>
      </c>
      <c r="O209">
        <f t="shared" si="29"/>
        <v>339.9</v>
      </c>
      <c r="P209">
        <v>185</v>
      </c>
      <c r="Q209">
        <v>1</v>
      </c>
      <c r="R209">
        <f t="shared" si="27"/>
        <v>1.5</v>
      </c>
      <c r="S209">
        <f t="shared" si="28"/>
        <v>-1.5</v>
      </c>
      <c r="T209">
        <f t="shared" si="22"/>
        <v>147.6</v>
      </c>
      <c r="V209">
        <v>1372</v>
      </c>
      <c r="W209">
        <f t="shared" si="25"/>
        <v>29829.399999999998</v>
      </c>
      <c r="X209">
        <v>10.366584604008333</v>
      </c>
    </row>
    <row r="210" spans="1:25" x14ac:dyDescent="0.25">
      <c r="A210">
        <v>7400</v>
      </c>
      <c r="B210">
        <v>24250</v>
      </c>
      <c r="C210" s="1">
        <v>43155</v>
      </c>
      <c r="E210" s="44"/>
      <c r="F210">
        <v>-0.1</v>
      </c>
      <c r="G210">
        <v>-3.3</v>
      </c>
      <c r="H210">
        <v>2.6</v>
      </c>
      <c r="I210">
        <v>1506.3</v>
      </c>
      <c r="J210">
        <v>504.8</v>
      </c>
      <c r="L210">
        <v>0</v>
      </c>
      <c r="M210">
        <v>1.8</v>
      </c>
      <c r="N210">
        <f t="shared" si="26"/>
        <v>-1.8</v>
      </c>
      <c r="O210">
        <f t="shared" si="29"/>
        <v>338.09999999999997</v>
      </c>
      <c r="P210">
        <v>186</v>
      </c>
      <c r="Q210">
        <v>1</v>
      </c>
      <c r="R210">
        <f t="shared" si="27"/>
        <v>1.8</v>
      </c>
      <c r="S210">
        <f t="shared" si="28"/>
        <v>-1.8</v>
      </c>
      <c r="T210">
        <f t="shared" si="22"/>
        <v>145.79999999999998</v>
      </c>
      <c r="V210">
        <v>1405.8</v>
      </c>
      <c r="W210">
        <f t="shared" si="25"/>
        <v>31235.199999999997</v>
      </c>
      <c r="X210">
        <v>10.424962492143141</v>
      </c>
    </row>
    <row r="211" spans="1:25" x14ac:dyDescent="0.25">
      <c r="A211">
        <v>7400</v>
      </c>
      <c r="B211">
        <v>24250</v>
      </c>
      <c r="C211" s="1">
        <v>43156</v>
      </c>
      <c r="E211" s="44"/>
      <c r="F211">
        <v>-2.2999999999999998</v>
      </c>
      <c r="G211">
        <v>-4.4000000000000004</v>
      </c>
      <c r="H211">
        <v>0.3</v>
      </c>
      <c r="I211">
        <v>1506.3</v>
      </c>
      <c r="J211">
        <v>504.8</v>
      </c>
      <c r="L211">
        <v>0</v>
      </c>
      <c r="M211">
        <v>2</v>
      </c>
      <c r="N211">
        <f t="shared" si="26"/>
        <v>-2</v>
      </c>
      <c r="O211">
        <f t="shared" si="29"/>
        <v>336.09999999999997</v>
      </c>
      <c r="P211">
        <v>187</v>
      </c>
      <c r="Q211">
        <v>1</v>
      </c>
      <c r="R211">
        <f t="shared" si="27"/>
        <v>2</v>
      </c>
      <c r="S211">
        <f t="shared" si="28"/>
        <v>-2</v>
      </c>
      <c r="T211">
        <f t="shared" si="22"/>
        <v>143.79999999999998</v>
      </c>
      <c r="V211">
        <v>1345</v>
      </c>
      <c r="W211">
        <f t="shared" si="25"/>
        <v>32580.199999999997</v>
      </c>
      <c r="X211">
        <v>10.48359716049756</v>
      </c>
    </row>
    <row r="212" spans="1:25" x14ac:dyDescent="0.25">
      <c r="A212">
        <v>7400</v>
      </c>
      <c r="B212">
        <v>24250</v>
      </c>
      <c r="C212" s="1">
        <v>43157</v>
      </c>
      <c r="E212" s="44"/>
      <c r="F212">
        <v>-4.5</v>
      </c>
      <c r="G212">
        <v>-6.4</v>
      </c>
      <c r="H212">
        <v>-2.2000000000000002</v>
      </c>
      <c r="I212">
        <v>1506.3</v>
      </c>
      <c r="J212">
        <v>504.8</v>
      </c>
      <c r="L212">
        <v>0</v>
      </c>
      <c r="M212">
        <v>1.7</v>
      </c>
      <c r="N212">
        <f t="shared" si="26"/>
        <v>-1.7</v>
      </c>
      <c r="O212">
        <f t="shared" si="29"/>
        <v>334.4</v>
      </c>
      <c r="P212">
        <v>188</v>
      </c>
      <c r="Q212">
        <v>1</v>
      </c>
      <c r="R212">
        <f t="shared" si="27"/>
        <v>1.7</v>
      </c>
      <c r="S212">
        <f t="shared" si="28"/>
        <v>-1.7</v>
      </c>
      <c r="T212">
        <f t="shared" si="22"/>
        <v>142.1</v>
      </c>
      <c r="V212">
        <v>1421.9</v>
      </c>
      <c r="W212">
        <f t="shared" si="25"/>
        <v>34002.1</v>
      </c>
      <c r="X212">
        <v>10.542475529907739</v>
      </c>
    </row>
    <row r="213" spans="1:25" x14ac:dyDescent="0.25">
      <c r="A213">
        <v>7400</v>
      </c>
      <c r="B213">
        <v>24250</v>
      </c>
      <c r="C213" s="1">
        <v>43158</v>
      </c>
      <c r="E213" s="44"/>
      <c r="F213">
        <v>-6.5</v>
      </c>
      <c r="G213">
        <v>-7.1</v>
      </c>
      <c r="H213">
        <v>-4.5999999999999996</v>
      </c>
      <c r="I213">
        <v>1506.3</v>
      </c>
      <c r="J213">
        <v>504.8</v>
      </c>
      <c r="L213">
        <v>0</v>
      </c>
      <c r="M213">
        <v>1</v>
      </c>
      <c r="N213">
        <f t="shared" si="26"/>
        <v>-1</v>
      </c>
      <c r="O213">
        <f t="shared" si="29"/>
        <v>333.4</v>
      </c>
      <c r="P213">
        <v>189</v>
      </c>
      <c r="Q213">
        <v>1</v>
      </c>
      <c r="R213">
        <f t="shared" si="27"/>
        <v>1</v>
      </c>
      <c r="S213">
        <f t="shared" si="28"/>
        <v>-1</v>
      </c>
      <c r="T213">
        <f t="shared" si="22"/>
        <v>141.1</v>
      </c>
      <c r="V213">
        <v>1444.4</v>
      </c>
      <c r="W213">
        <f t="shared" si="25"/>
        <v>35446.5</v>
      </c>
      <c r="X213">
        <v>10.601584884353491</v>
      </c>
    </row>
    <row r="214" spans="1:25" x14ac:dyDescent="0.25">
      <c r="A214">
        <v>7400</v>
      </c>
      <c r="B214">
        <v>24250</v>
      </c>
      <c r="C214" s="1">
        <v>43159</v>
      </c>
      <c r="E214" s="44"/>
      <c r="F214">
        <v>-6</v>
      </c>
      <c r="G214">
        <v>-11.6</v>
      </c>
      <c r="H214">
        <v>-2.8</v>
      </c>
      <c r="I214">
        <v>1506.3</v>
      </c>
      <c r="J214">
        <v>504.8</v>
      </c>
      <c r="L214">
        <v>0</v>
      </c>
      <c r="M214">
        <v>1.2</v>
      </c>
      <c r="N214">
        <f t="shared" si="26"/>
        <v>-1.2</v>
      </c>
      <c r="O214">
        <f t="shared" si="29"/>
        <v>332.2</v>
      </c>
      <c r="P214">
        <v>190</v>
      </c>
      <c r="Q214">
        <v>1</v>
      </c>
      <c r="R214">
        <f t="shared" si="27"/>
        <v>1.2</v>
      </c>
      <c r="S214">
        <f t="shared" si="28"/>
        <v>-1.2</v>
      </c>
      <c r="T214">
        <f t="shared" si="22"/>
        <v>139.9</v>
      </c>
      <c r="V214">
        <v>1230.7</v>
      </c>
      <c r="W214">
        <f t="shared" si="25"/>
        <v>36677.199999999997</v>
      </c>
      <c r="X214">
        <v>10.660912859526395</v>
      </c>
    </row>
    <row r="215" spans="1:25" x14ac:dyDescent="0.25">
      <c r="A215">
        <v>7400</v>
      </c>
      <c r="B215">
        <v>24250</v>
      </c>
      <c r="C215" s="1">
        <v>43160</v>
      </c>
      <c r="E215" s="44"/>
      <c r="F215">
        <v>-2.1</v>
      </c>
      <c r="G215">
        <v>-5.5</v>
      </c>
      <c r="H215">
        <v>0</v>
      </c>
      <c r="I215">
        <v>1506.3</v>
      </c>
      <c r="J215">
        <v>504.8</v>
      </c>
      <c r="L215">
        <v>0</v>
      </c>
      <c r="M215">
        <v>1.2</v>
      </c>
      <c r="N215">
        <f t="shared" si="26"/>
        <v>-1.2</v>
      </c>
      <c r="O215">
        <f t="shared" si="29"/>
        <v>331</v>
      </c>
      <c r="P215">
        <v>191</v>
      </c>
      <c r="Q215">
        <v>1</v>
      </c>
      <c r="R215">
        <f t="shared" si="27"/>
        <v>1.2</v>
      </c>
      <c r="S215">
        <f t="shared" si="28"/>
        <v>-1.2</v>
      </c>
      <c r="T215">
        <f t="shared" si="22"/>
        <v>138.70000000000002</v>
      </c>
      <c r="V215">
        <v>233</v>
      </c>
      <c r="W215">
        <f t="shared" si="25"/>
        <v>36910.199999999997</v>
      </c>
      <c r="X215">
        <v>10.720447430917302</v>
      </c>
    </row>
    <row r="216" spans="1:25" x14ac:dyDescent="0.25">
      <c r="A216">
        <v>7400</v>
      </c>
      <c r="B216">
        <v>24250</v>
      </c>
      <c r="C216" s="1">
        <v>43161</v>
      </c>
      <c r="E216" s="44"/>
      <c r="F216">
        <v>1.8</v>
      </c>
      <c r="G216">
        <v>-0.6</v>
      </c>
      <c r="H216">
        <v>4.4000000000000004</v>
      </c>
      <c r="I216">
        <f t="shared" si="23"/>
        <v>1508.1</v>
      </c>
      <c r="J216">
        <f t="shared" si="24"/>
        <v>506.6</v>
      </c>
      <c r="L216">
        <v>2.9</v>
      </c>
      <c r="M216">
        <v>0.7</v>
      </c>
      <c r="N216">
        <f t="shared" si="26"/>
        <v>2.2000000000000002</v>
      </c>
      <c r="O216">
        <f t="shared" si="29"/>
        <v>333.2</v>
      </c>
      <c r="P216">
        <v>192</v>
      </c>
      <c r="Q216">
        <v>1</v>
      </c>
      <c r="R216">
        <f t="shared" si="27"/>
        <v>0.7</v>
      </c>
      <c r="S216">
        <f t="shared" si="28"/>
        <v>2.2000000000000002</v>
      </c>
      <c r="T216">
        <f t="shared" si="22"/>
        <v>140.9</v>
      </c>
      <c r="V216">
        <v>250.4</v>
      </c>
      <c r="W216">
        <f t="shared" si="25"/>
        <v>37160.6</v>
      </c>
      <c r="X216">
        <v>10.780176901464262</v>
      </c>
    </row>
    <row r="217" spans="1:25" x14ac:dyDescent="0.25">
      <c r="A217">
        <v>7400</v>
      </c>
      <c r="B217">
        <v>24250</v>
      </c>
      <c r="C217" s="1">
        <v>43162</v>
      </c>
      <c r="E217" s="44"/>
      <c r="F217">
        <v>2.7</v>
      </c>
      <c r="G217">
        <v>-0.7</v>
      </c>
      <c r="H217">
        <v>5.8</v>
      </c>
      <c r="I217">
        <f t="shared" si="23"/>
        <v>1510.8</v>
      </c>
      <c r="J217">
        <f t="shared" si="24"/>
        <v>509.3</v>
      </c>
      <c r="L217">
        <v>1.9</v>
      </c>
      <c r="M217">
        <v>0.7</v>
      </c>
      <c r="N217">
        <f t="shared" si="26"/>
        <v>1.2</v>
      </c>
      <c r="O217">
        <f t="shared" si="29"/>
        <v>334.4</v>
      </c>
      <c r="P217">
        <v>193</v>
      </c>
      <c r="Q217">
        <v>1</v>
      </c>
      <c r="R217">
        <f t="shared" si="27"/>
        <v>0.7</v>
      </c>
      <c r="S217">
        <f t="shared" si="28"/>
        <v>1.2</v>
      </c>
      <c r="T217">
        <f t="shared" si="22"/>
        <v>142.1</v>
      </c>
      <c r="V217">
        <v>646.9</v>
      </c>
      <c r="W217">
        <f t="shared" si="25"/>
        <v>37807.5</v>
      </c>
      <c r="X217">
        <v>10.840089888799206</v>
      </c>
    </row>
    <row r="218" spans="1:25" s="4" customFormat="1" ht="15.75" thickBot="1" x14ac:dyDescent="0.3">
      <c r="A218" s="4">
        <v>7400</v>
      </c>
      <c r="B218" s="4">
        <v>24250</v>
      </c>
      <c r="C218" s="5">
        <v>43163</v>
      </c>
      <c r="D218" s="4" t="s">
        <v>32</v>
      </c>
      <c r="E218" s="45"/>
      <c r="F218" s="4">
        <v>5</v>
      </c>
      <c r="G218" s="4">
        <v>2.5</v>
      </c>
      <c r="H218" s="4">
        <v>8.8000000000000007</v>
      </c>
      <c r="I218" s="4">
        <f t="shared" si="23"/>
        <v>1515.8</v>
      </c>
      <c r="J218" s="4">
        <f t="shared" si="24"/>
        <v>514.29999999999995</v>
      </c>
      <c r="L218" s="4">
        <v>2.1</v>
      </c>
      <c r="M218" s="4">
        <v>1</v>
      </c>
      <c r="N218" s="4">
        <f t="shared" si="26"/>
        <v>1.1000000000000001</v>
      </c>
      <c r="O218" s="4">
        <f t="shared" si="29"/>
        <v>335.5</v>
      </c>
      <c r="P218" s="4">
        <v>194</v>
      </c>
      <c r="Q218" s="4">
        <v>1</v>
      </c>
      <c r="R218" s="4">
        <f t="shared" si="27"/>
        <v>1</v>
      </c>
      <c r="S218" s="4">
        <f t="shared" si="28"/>
        <v>1.1000000000000001</v>
      </c>
      <c r="T218" s="4">
        <f t="shared" ref="T218:T281" si="30">MIN(T217+S218,153.9)</f>
        <v>143.19999999999999</v>
      </c>
      <c r="V218" s="4">
        <v>652</v>
      </c>
      <c r="W218" s="4">
        <f t="shared" si="25"/>
        <v>38459.5</v>
      </c>
      <c r="X218" s="4">
        <v>10.900175312129344</v>
      </c>
    </row>
    <row r="219" spans="1:25" x14ac:dyDescent="0.25">
      <c r="A219">
        <v>7400</v>
      </c>
      <c r="B219">
        <v>24250</v>
      </c>
      <c r="C219" s="1">
        <v>43164</v>
      </c>
      <c r="E219" s="40" t="s">
        <v>54</v>
      </c>
      <c r="F219">
        <v>5.9</v>
      </c>
      <c r="G219">
        <v>1.4</v>
      </c>
      <c r="H219">
        <v>11.2</v>
      </c>
      <c r="I219">
        <f t="shared" ref="I219:I282" si="31">I218+F219</f>
        <v>1521.7</v>
      </c>
      <c r="J219">
        <f>F219</f>
        <v>5.9</v>
      </c>
      <c r="K219" s="14" t="s">
        <v>34</v>
      </c>
      <c r="L219">
        <v>0.7</v>
      </c>
      <c r="M219">
        <v>1.3</v>
      </c>
      <c r="N219">
        <f t="shared" si="26"/>
        <v>-0.60000000000000009</v>
      </c>
      <c r="O219">
        <f t="shared" si="29"/>
        <v>334.9</v>
      </c>
      <c r="P219">
        <v>195</v>
      </c>
      <c r="Q219">
        <f>1+((P219-194)/38)*(1.15-1)</f>
        <v>1.0039473684210527</v>
      </c>
      <c r="R219">
        <f t="shared" si="27"/>
        <v>1.3051315789473685</v>
      </c>
      <c r="S219">
        <f t="shared" si="28"/>
        <v>-0.60513157894736858</v>
      </c>
      <c r="T219">
        <f t="shared" si="30"/>
        <v>142.59486842105261</v>
      </c>
      <c r="U219" s="15" t="s">
        <v>41</v>
      </c>
      <c r="V219">
        <v>1055.5999999999999</v>
      </c>
      <c r="W219">
        <f>V219</f>
        <v>1055.5999999999999</v>
      </c>
      <c r="X219">
        <v>10.960422378786754</v>
      </c>
      <c r="Y219" s="15" t="s">
        <v>46</v>
      </c>
    </row>
    <row r="220" spans="1:25" x14ac:dyDescent="0.25">
      <c r="A220">
        <v>7400</v>
      </c>
      <c r="B220">
        <v>24250</v>
      </c>
      <c r="C220" s="1">
        <v>43165</v>
      </c>
      <c r="E220" s="41"/>
      <c r="F220">
        <v>6.1</v>
      </c>
      <c r="G220">
        <v>3.5</v>
      </c>
      <c r="H220">
        <v>8.8000000000000007</v>
      </c>
      <c r="I220">
        <f t="shared" si="31"/>
        <v>1527.8</v>
      </c>
      <c r="J220">
        <f t="shared" ref="J220:J282" si="32">F220+J219</f>
        <v>12</v>
      </c>
      <c r="K220" s="8">
        <v>282</v>
      </c>
      <c r="L220">
        <v>1.1000000000000001</v>
      </c>
      <c r="M220">
        <v>0.7</v>
      </c>
      <c r="N220">
        <f t="shared" si="26"/>
        <v>0.40000000000000013</v>
      </c>
      <c r="O220">
        <f t="shared" si="29"/>
        <v>335.29999999999995</v>
      </c>
      <c r="P220">
        <v>196</v>
      </c>
      <c r="Q220">
        <f t="shared" ref="Q220:Q256" si="33">1+((P220-194)/38)*(1.15-1)</f>
        <v>1.0078947368421052</v>
      </c>
      <c r="R220">
        <f t="shared" si="27"/>
        <v>0.70552631578947356</v>
      </c>
      <c r="S220">
        <f t="shared" si="28"/>
        <v>0.39447368421052653</v>
      </c>
      <c r="T220">
        <f t="shared" si="30"/>
        <v>142.98934210526315</v>
      </c>
      <c r="U220">
        <v>0</v>
      </c>
      <c r="V220">
        <v>543.4</v>
      </c>
      <c r="W220">
        <f t="shared" ref="W220:W282" si="34">W219+V220</f>
        <v>1599</v>
      </c>
      <c r="X220">
        <v>11.020820570477374</v>
      </c>
      <c r="Y220">
        <v>30301.8</v>
      </c>
    </row>
    <row r="221" spans="1:25" x14ac:dyDescent="0.25">
      <c r="A221">
        <v>7400</v>
      </c>
      <c r="B221">
        <v>24250</v>
      </c>
      <c r="C221" s="1">
        <v>43166</v>
      </c>
      <c r="E221" s="41"/>
      <c r="F221">
        <v>5.2</v>
      </c>
      <c r="G221">
        <v>4</v>
      </c>
      <c r="H221">
        <v>7.5</v>
      </c>
      <c r="I221">
        <f t="shared" si="31"/>
        <v>1533</v>
      </c>
      <c r="J221">
        <f t="shared" si="32"/>
        <v>17.2</v>
      </c>
      <c r="K221" s="14" t="s">
        <v>35</v>
      </c>
      <c r="L221">
        <v>2.7</v>
      </c>
      <c r="M221">
        <v>0.8</v>
      </c>
      <c r="N221">
        <f t="shared" si="26"/>
        <v>1.9000000000000001</v>
      </c>
      <c r="O221">
        <f t="shared" si="29"/>
        <v>337.19999999999993</v>
      </c>
      <c r="P221">
        <v>197</v>
      </c>
      <c r="Q221">
        <f t="shared" si="33"/>
        <v>1.0118421052631579</v>
      </c>
      <c r="R221">
        <f t="shared" si="27"/>
        <v>0.80947368421052635</v>
      </c>
      <c r="S221">
        <f t="shared" si="28"/>
        <v>1.8905263157894738</v>
      </c>
      <c r="T221">
        <f t="shared" si="30"/>
        <v>144.87986842105263</v>
      </c>
      <c r="U221" s="15" t="s">
        <v>42</v>
      </c>
      <c r="V221">
        <v>294.60000000000002</v>
      </c>
      <c r="W221">
        <f t="shared" si="34"/>
        <v>1893.6</v>
      </c>
      <c r="X221">
        <v>11.081359629258339</v>
      </c>
      <c r="Y221" s="15" t="s">
        <v>47</v>
      </c>
    </row>
    <row r="222" spans="1:25" x14ac:dyDescent="0.25">
      <c r="A222">
        <v>7400</v>
      </c>
      <c r="B222">
        <v>24250</v>
      </c>
      <c r="C222" s="1">
        <v>43167</v>
      </c>
      <c r="E222" s="41"/>
      <c r="F222">
        <v>5.9</v>
      </c>
      <c r="G222">
        <v>3.2</v>
      </c>
      <c r="H222">
        <v>10.6</v>
      </c>
      <c r="I222">
        <f t="shared" si="31"/>
        <v>1538.9</v>
      </c>
      <c r="J222">
        <f t="shared" si="32"/>
        <v>23.1</v>
      </c>
      <c r="K222" s="25">
        <f>AVERAGE(F219:F256)</f>
        <v>7.3578947368421073</v>
      </c>
      <c r="L222">
        <v>0.9</v>
      </c>
      <c r="M222">
        <v>1.3</v>
      </c>
      <c r="N222">
        <f t="shared" si="26"/>
        <v>-0.4</v>
      </c>
      <c r="O222">
        <f t="shared" si="29"/>
        <v>336.79999999999995</v>
      </c>
      <c r="P222">
        <v>198</v>
      </c>
      <c r="Q222">
        <f t="shared" si="33"/>
        <v>1.0157894736842106</v>
      </c>
      <c r="R222">
        <f t="shared" si="27"/>
        <v>1.3205263157894738</v>
      </c>
      <c r="S222">
        <f t="shared" si="28"/>
        <v>-0.42052631578947375</v>
      </c>
      <c r="T222">
        <f t="shared" si="30"/>
        <v>144.45934210526315</v>
      </c>
      <c r="U222">
        <v>0</v>
      </c>
      <c r="V222">
        <v>578.5</v>
      </c>
      <c r="W222">
        <f t="shared" si="34"/>
        <v>2472.1</v>
      </c>
      <c r="X222">
        <v>11.142029543270558</v>
      </c>
      <c r="Y222">
        <f>(Y220/100)/K220</f>
        <v>1.074531914893617</v>
      </c>
    </row>
    <row r="223" spans="1:25" x14ac:dyDescent="0.25">
      <c r="A223">
        <v>7400</v>
      </c>
      <c r="B223">
        <v>24250</v>
      </c>
      <c r="C223" s="1">
        <v>43168</v>
      </c>
      <c r="E223" s="41"/>
      <c r="F223">
        <v>9.1999999999999993</v>
      </c>
      <c r="G223">
        <v>3.7</v>
      </c>
      <c r="H223">
        <v>12</v>
      </c>
      <c r="I223">
        <f t="shared" si="31"/>
        <v>1548.1000000000001</v>
      </c>
      <c r="J223">
        <f t="shared" si="32"/>
        <v>32.299999999999997</v>
      </c>
      <c r="K223" s="14" t="s">
        <v>36</v>
      </c>
      <c r="L223">
        <v>1.3</v>
      </c>
      <c r="M223">
        <v>0.6</v>
      </c>
      <c r="N223">
        <f t="shared" si="26"/>
        <v>0.70000000000000007</v>
      </c>
      <c r="O223">
        <f t="shared" si="29"/>
        <v>337.49999999999994</v>
      </c>
      <c r="P223">
        <v>199</v>
      </c>
      <c r="Q223">
        <f t="shared" si="33"/>
        <v>1.0197368421052631</v>
      </c>
      <c r="R223">
        <f t="shared" si="27"/>
        <v>0.61184210526315785</v>
      </c>
      <c r="S223">
        <f t="shared" si="28"/>
        <v>0.68815789473684219</v>
      </c>
      <c r="T223">
        <f t="shared" si="30"/>
        <v>145.14749999999998</v>
      </c>
      <c r="U223" s="15" t="s">
        <v>43</v>
      </c>
      <c r="V223">
        <v>265.89999999999998</v>
      </c>
      <c r="W223">
        <f t="shared" si="34"/>
        <v>2738</v>
      </c>
      <c r="X223">
        <v>11.202820532251364</v>
      </c>
      <c r="Y223" s="15" t="s">
        <v>48</v>
      </c>
    </row>
    <row r="224" spans="1:25" x14ac:dyDescent="0.25">
      <c r="A224">
        <v>7400</v>
      </c>
      <c r="B224">
        <v>24250</v>
      </c>
      <c r="C224" s="1">
        <v>43169</v>
      </c>
      <c r="E224" s="41"/>
      <c r="F224">
        <v>11.8</v>
      </c>
      <c r="G224">
        <v>10.4</v>
      </c>
      <c r="H224">
        <v>12.9</v>
      </c>
      <c r="I224">
        <f t="shared" si="31"/>
        <v>1559.9</v>
      </c>
      <c r="J224">
        <f t="shared" si="32"/>
        <v>44.099999999999994</v>
      </c>
      <c r="K224" s="9">
        <f>MIN(G219:G256)</f>
        <v>-3.2</v>
      </c>
      <c r="L224">
        <v>3.4</v>
      </c>
      <c r="M224">
        <v>0.9</v>
      </c>
      <c r="N224">
        <f t="shared" si="26"/>
        <v>2.5</v>
      </c>
      <c r="O224">
        <f t="shared" si="29"/>
        <v>339.99999999999994</v>
      </c>
      <c r="P224">
        <v>200</v>
      </c>
      <c r="Q224">
        <f t="shared" si="33"/>
        <v>1.0236842105263158</v>
      </c>
      <c r="R224">
        <f t="shared" si="27"/>
        <v>0.9213157894736842</v>
      </c>
      <c r="S224">
        <f t="shared" si="28"/>
        <v>2.4786842105263158</v>
      </c>
      <c r="T224">
        <f t="shared" si="30"/>
        <v>147.6261842105263</v>
      </c>
      <c r="U224" s="11">
        <f>MIN(T219:T256)</f>
        <v>133.23552631578951</v>
      </c>
      <c r="V224">
        <v>300.5</v>
      </c>
      <c r="W224">
        <f t="shared" si="34"/>
        <v>3038.5</v>
      </c>
      <c r="X224">
        <v>11.263723032850207</v>
      </c>
      <c r="Y224">
        <v>24</v>
      </c>
    </row>
    <row r="225" spans="1:24" x14ac:dyDescent="0.25">
      <c r="A225">
        <v>7400</v>
      </c>
      <c r="B225">
        <v>24250</v>
      </c>
      <c r="C225" s="1">
        <v>43170</v>
      </c>
      <c r="E225" s="41"/>
      <c r="F225">
        <v>11.5</v>
      </c>
      <c r="G225">
        <v>10.1</v>
      </c>
      <c r="H225">
        <v>15.6</v>
      </c>
      <c r="I225">
        <f t="shared" si="31"/>
        <v>1571.4</v>
      </c>
      <c r="J225">
        <f t="shared" si="32"/>
        <v>55.599999999999994</v>
      </c>
      <c r="K225" s="14" t="s">
        <v>37</v>
      </c>
      <c r="L225">
        <v>6.8</v>
      </c>
      <c r="M225">
        <v>1.4</v>
      </c>
      <c r="N225">
        <f t="shared" si="26"/>
        <v>5.4</v>
      </c>
      <c r="O225">
        <f t="shared" si="29"/>
        <v>345.39999999999992</v>
      </c>
      <c r="P225">
        <v>201</v>
      </c>
      <c r="Q225">
        <f t="shared" si="33"/>
        <v>1.0276315789473685</v>
      </c>
      <c r="R225">
        <f t="shared" si="27"/>
        <v>1.4386842105263158</v>
      </c>
      <c r="S225">
        <f t="shared" si="28"/>
        <v>5.361315789473684</v>
      </c>
      <c r="T225">
        <f t="shared" si="30"/>
        <v>152.98749999999998</v>
      </c>
      <c r="U225" s="15" t="s">
        <v>44</v>
      </c>
      <c r="V225">
        <v>478.5</v>
      </c>
      <c r="W225">
        <f t="shared" si="34"/>
        <v>3517</v>
      </c>
      <c r="X225">
        <v>11.324727683768561</v>
      </c>
    </row>
    <row r="226" spans="1:24" x14ac:dyDescent="0.25">
      <c r="A226">
        <v>7400</v>
      </c>
      <c r="B226">
        <v>24250</v>
      </c>
      <c r="C226" s="1">
        <v>43171</v>
      </c>
      <c r="E226" s="41"/>
      <c r="F226">
        <v>8.6999999999999993</v>
      </c>
      <c r="G226">
        <v>8</v>
      </c>
      <c r="H226">
        <v>10.1</v>
      </c>
      <c r="I226">
        <f t="shared" si="31"/>
        <v>1580.1000000000001</v>
      </c>
      <c r="J226">
        <f t="shared" si="32"/>
        <v>64.3</v>
      </c>
      <c r="K226" s="8">
        <f>MAX(H219:H256)</f>
        <v>22.5</v>
      </c>
      <c r="L226">
        <v>3.8</v>
      </c>
      <c r="M226">
        <v>0.9</v>
      </c>
      <c r="N226">
        <f t="shared" si="26"/>
        <v>2.9</v>
      </c>
      <c r="O226">
        <f t="shared" si="29"/>
        <v>348.2999999999999</v>
      </c>
      <c r="P226">
        <v>202</v>
      </c>
      <c r="Q226">
        <f t="shared" si="33"/>
        <v>1.0315789473684209</v>
      </c>
      <c r="R226">
        <f t="shared" si="27"/>
        <v>0.92842105263157881</v>
      </c>
      <c r="S226">
        <f t="shared" si="28"/>
        <v>2.871578947368421</v>
      </c>
      <c r="T226">
        <f t="shared" si="30"/>
        <v>153.9</v>
      </c>
      <c r="U226" s="11">
        <f>MAX(T219:T256)</f>
        <v>153.9</v>
      </c>
      <c r="V226">
        <v>476.8</v>
      </c>
      <c r="W226">
        <f t="shared" si="34"/>
        <v>3993.8</v>
      </c>
      <c r="X226">
        <v>11.385825310743583</v>
      </c>
    </row>
    <row r="227" spans="1:24" x14ac:dyDescent="0.25">
      <c r="A227">
        <v>7400</v>
      </c>
      <c r="B227">
        <v>24250</v>
      </c>
      <c r="C227" s="1">
        <v>43172</v>
      </c>
      <c r="E227" s="41"/>
      <c r="F227">
        <v>7.2</v>
      </c>
      <c r="G227">
        <v>6.9</v>
      </c>
      <c r="H227">
        <v>7.9</v>
      </c>
      <c r="I227">
        <f t="shared" si="31"/>
        <v>1587.3000000000002</v>
      </c>
      <c r="J227">
        <f t="shared" si="32"/>
        <v>71.5</v>
      </c>
      <c r="K227" s="14" t="s">
        <v>38</v>
      </c>
      <c r="L227">
        <v>0.6</v>
      </c>
      <c r="M227">
        <v>0.7</v>
      </c>
      <c r="N227">
        <f t="shared" si="26"/>
        <v>-9.9999999999999978E-2</v>
      </c>
      <c r="O227">
        <f t="shared" si="29"/>
        <v>348.19999999999987</v>
      </c>
      <c r="P227">
        <v>203</v>
      </c>
      <c r="Q227">
        <f t="shared" si="33"/>
        <v>1.0355263157894736</v>
      </c>
      <c r="R227">
        <f t="shared" si="27"/>
        <v>0.7248684210526315</v>
      </c>
      <c r="S227">
        <f t="shared" si="28"/>
        <v>-0.12486842105263152</v>
      </c>
      <c r="T227">
        <f t="shared" si="30"/>
        <v>153.77513157894737</v>
      </c>
      <c r="U227" s="15" t="s">
        <v>45</v>
      </c>
      <c r="V227">
        <v>276.39999999999998</v>
      </c>
      <c r="W227">
        <f t="shared" si="34"/>
        <v>4270.2</v>
      </c>
      <c r="X227">
        <v>11.447006911393457</v>
      </c>
    </row>
    <row r="228" spans="1:24" x14ac:dyDescent="0.25">
      <c r="A228">
        <v>7400</v>
      </c>
      <c r="B228">
        <v>24250</v>
      </c>
      <c r="C228" s="1">
        <v>43173</v>
      </c>
      <c r="E228" s="41"/>
      <c r="F228">
        <v>7.7</v>
      </c>
      <c r="G228">
        <v>3.2</v>
      </c>
      <c r="H228">
        <v>11.9</v>
      </c>
      <c r="I228">
        <f t="shared" si="31"/>
        <v>1595.0000000000002</v>
      </c>
      <c r="J228">
        <f t="shared" si="32"/>
        <v>79.2</v>
      </c>
      <c r="K228" s="8">
        <v>0</v>
      </c>
      <c r="L228">
        <v>0.3</v>
      </c>
      <c r="M228">
        <v>1.2</v>
      </c>
      <c r="N228">
        <f t="shared" si="26"/>
        <v>-0.89999999999999991</v>
      </c>
      <c r="O228">
        <f t="shared" si="29"/>
        <v>347.2999999999999</v>
      </c>
      <c r="P228">
        <v>204</v>
      </c>
      <c r="Q228">
        <f t="shared" si="33"/>
        <v>1.0394736842105263</v>
      </c>
      <c r="R228">
        <f t="shared" si="27"/>
        <v>1.2473684210526315</v>
      </c>
      <c r="S228">
        <f t="shared" si="28"/>
        <v>-0.94736842105263142</v>
      </c>
      <c r="T228">
        <f t="shared" si="30"/>
        <v>152.82776315789474</v>
      </c>
      <c r="U228" s="11">
        <f>AVERAGE(T219:T256)</f>
        <v>148.82570290858726</v>
      </c>
      <c r="V228">
        <v>672</v>
      </c>
      <c r="W228">
        <f t="shared" si="34"/>
        <v>4942.2</v>
      </c>
      <c r="X228">
        <v>11.508263639941013</v>
      </c>
    </row>
    <row r="229" spans="1:24" x14ac:dyDescent="0.25">
      <c r="A229">
        <v>7400</v>
      </c>
      <c r="B229">
        <v>24250</v>
      </c>
      <c r="C229" s="1">
        <v>43174</v>
      </c>
      <c r="E229" s="41"/>
      <c r="F229">
        <v>8.5</v>
      </c>
      <c r="G229">
        <v>7.1</v>
      </c>
      <c r="H229">
        <v>9.4</v>
      </c>
      <c r="I229">
        <f t="shared" si="31"/>
        <v>1603.5000000000002</v>
      </c>
      <c r="J229">
        <f t="shared" si="32"/>
        <v>87.7</v>
      </c>
      <c r="K229" s="14" t="s">
        <v>39</v>
      </c>
      <c r="L229">
        <v>11.8</v>
      </c>
      <c r="M229">
        <v>0.7</v>
      </c>
      <c r="N229">
        <f t="shared" si="26"/>
        <v>11.100000000000001</v>
      </c>
      <c r="O229">
        <f t="shared" si="29"/>
        <v>358.39999999999992</v>
      </c>
      <c r="P229">
        <v>205</v>
      </c>
      <c r="Q229">
        <f t="shared" si="33"/>
        <v>1.043421052631579</v>
      </c>
      <c r="R229">
        <f t="shared" si="27"/>
        <v>0.73039473684210532</v>
      </c>
      <c r="S229">
        <f t="shared" si="28"/>
        <v>11.069605263157895</v>
      </c>
      <c r="T229">
        <f t="shared" si="30"/>
        <v>153.9</v>
      </c>
      <c r="V229">
        <v>299.39999999999998</v>
      </c>
      <c r="W229">
        <f t="shared" si="34"/>
        <v>5241.5999999999995</v>
      </c>
      <c r="X229">
        <v>11.569586791830782</v>
      </c>
    </row>
    <row r="230" spans="1:24" x14ac:dyDescent="0.25">
      <c r="A230">
        <v>7400</v>
      </c>
      <c r="B230">
        <v>24250</v>
      </c>
      <c r="C230" s="1">
        <v>43175</v>
      </c>
      <c r="E230" s="41"/>
      <c r="F230">
        <v>8.5</v>
      </c>
      <c r="G230">
        <v>6.4</v>
      </c>
      <c r="H230">
        <v>10.9</v>
      </c>
      <c r="I230">
        <f t="shared" si="31"/>
        <v>1612.0000000000002</v>
      </c>
      <c r="J230">
        <f t="shared" si="32"/>
        <v>96.2</v>
      </c>
      <c r="K230" s="8">
        <v>17</v>
      </c>
      <c r="L230">
        <v>7.1</v>
      </c>
      <c r="M230">
        <v>0.8</v>
      </c>
      <c r="N230">
        <f t="shared" si="26"/>
        <v>6.3</v>
      </c>
      <c r="O230">
        <f t="shared" si="29"/>
        <v>364.69999999999993</v>
      </c>
      <c r="P230">
        <v>206</v>
      </c>
      <c r="Q230">
        <f t="shared" si="33"/>
        <v>1.0473684210526315</v>
      </c>
      <c r="R230">
        <f t="shared" si="27"/>
        <v>0.83789473684210525</v>
      </c>
      <c r="S230">
        <f t="shared" si="28"/>
        <v>6.2621052631578946</v>
      </c>
      <c r="T230">
        <f t="shared" si="30"/>
        <v>153.9</v>
      </c>
      <c r="U230" s="26">
        <f>(U228*100)/153.9</f>
        <v>96.702860889270468</v>
      </c>
      <c r="V230">
        <v>488.3</v>
      </c>
      <c r="W230">
        <f t="shared" si="34"/>
        <v>5729.9</v>
      </c>
      <c r="X230">
        <v>11.630967788253608</v>
      </c>
    </row>
    <row r="231" spans="1:24" x14ac:dyDescent="0.25">
      <c r="A231">
        <v>7400</v>
      </c>
      <c r="B231">
        <v>24250</v>
      </c>
      <c r="C231" s="1">
        <v>43176</v>
      </c>
      <c r="E231" s="41"/>
      <c r="F231">
        <v>3.7</v>
      </c>
      <c r="G231">
        <v>1</v>
      </c>
      <c r="H231">
        <v>6.2</v>
      </c>
      <c r="I231">
        <f t="shared" si="31"/>
        <v>1615.7000000000003</v>
      </c>
      <c r="J231">
        <f t="shared" si="32"/>
        <v>99.9</v>
      </c>
      <c r="K231" s="14" t="s">
        <v>40</v>
      </c>
      <c r="L231">
        <v>6.5</v>
      </c>
      <c r="M231">
        <v>0.3</v>
      </c>
      <c r="N231">
        <f t="shared" si="26"/>
        <v>6.2</v>
      </c>
      <c r="O231">
        <f t="shared" si="29"/>
        <v>370.89999999999992</v>
      </c>
      <c r="P231">
        <v>207</v>
      </c>
      <c r="Q231">
        <f t="shared" si="33"/>
        <v>1.0513157894736842</v>
      </c>
      <c r="R231">
        <f t="shared" si="27"/>
        <v>0.31539473684210523</v>
      </c>
      <c r="S231">
        <f t="shared" si="28"/>
        <v>6.1846052631578949</v>
      </c>
      <c r="T231">
        <f t="shared" si="30"/>
        <v>153.9</v>
      </c>
      <c r="V231">
        <v>297.89999999999998</v>
      </c>
      <c r="W231">
        <f t="shared" si="34"/>
        <v>6027.7999999999993</v>
      </c>
      <c r="X231">
        <v>11.692398160591704</v>
      </c>
    </row>
    <row r="232" spans="1:24" x14ac:dyDescent="0.25">
      <c r="A232">
        <v>7400</v>
      </c>
      <c r="B232">
        <v>24250</v>
      </c>
      <c r="C232" s="1">
        <v>43177</v>
      </c>
      <c r="E232" s="41"/>
      <c r="F232">
        <v>-1.8</v>
      </c>
      <c r="G232">
        <v>-2.8</v>
      </c>
      <c r="H232">
        <v>-1.2</v>
      </c>
      <c r="I232">
        <v>1615.7</v>
      </c>
      <c r="J232">
        <v>99.9</v>
      </c>
      <c r="K232" s="8">
        <v>5</v>
      </c>
      <c r="L232">
        <v>0</v>
      </c>
      <c r="M232">
        <v>0.3</v>
      </c>
      <c r="N232">
        <f t="shared" si="26"/>
        <v>-0.3</v>
      </c>
      <c r="O232">
        <f t="shared" si="29"/>
        <v>370.59999999999991</v>
      </c>
      <c r="P232">
        <v>208</v>
      </c>
      <c r="Q232">
        <f t="shared" si="33"/>
        <v>1.0552631578947369</v>
      </c>
      <c r="R232">
        <f t="shared" si="27"/>
        <v>0.31657894736842107</v>
      </c>
      <c r="S232">
        <f t="shared" si="28"/>
        <v>-0.31657894736842107</v>
      </c>
      <c r="T232">
        <f t="shared" si="30"/>
        <v>153.58342105263159</v>
      </c>
      <c r="V232">
        <v>284.8</v>
      </c>
      <c r="W232">
        <f t="shared" si="34"/>
        <v>6312.5999999999995</v>
      </c>
      <c r="X232">
        <v>11.75386953479623</v>
      </c>
    </row>
    <row r="233" spans="1:24" x14ac:dyDescent="0.25">
      <c r="A233">
        <v>7400</v>
      </c>
      <c r="B233">
        <v>24250</v>
      </c>
      <c r="C233" s="1">
        <v>43178</v>
      </c>
      <c r="E233" s="41"/>
      <c r="F233">
        <v>-0.6</v>
      </c>
      <c r="G233">
        <v>-2.2000000000000002</v>
      </c>
      <c r="H233">
        <v>0.5</v>
      </c>
      <c r="I233">
        <v>1615.7</v>
      </c>
      <c r="J233">
        <v>99.9</v>
      </c>
      <c r="L233">
        <v>0</v>
      </c>
      <c r="M233">
        <v>0.4</v>
      </c>
      <c r="N233">
        <f t="shared" si="26"/>
        <v>-0.4</v>
      </c>
      <c r="O233">
        <f t="shared" si="29"/>
        <v>370.19999999999993</v>
      </c>
      <c r="P233">
        <v>209</v>
      </c>
      <c r="Q233">
        <f t="shared" si="33"/>
        <v>1.0592105263157894</v>
      </c>
      <c r="R233">
        <f t="shared" si="27"/>
        <v>0.42368421052631577</v>
      </c>
      <c r="S233">
        <f t="shared" si="28"/>
        <v>-0.42368421052631577</v>
      </c>
      <c r="T233">
        <f t="shared" si="30"/>
        <v>153.15973684210527</v>
      </c>
      <c r="V233">
        <v>325.8</v>
      </c>
      <c r="W233">
        <f t="shared" si="34"/>
        <v>6638.4</v>
      </c>
      <c r="X233">
        <v>11.815373615708543</v>
      </c>
    </row>
    <row r="234" spans="1:24" x14ac:dyDescent="0.25">
      <c r="A234">
        <v>7400</v>
      </c>
      <c r="B234">
        <v>24250</v>
      </c>
      <c r="C234" s="1">
        <v>43179</v>
      </c>
      <c r="E234" s="41"/>
      <c r="F234">
        <v>0.7</v>
      </c>
      <c r="G234">
        <v>-3.2</v>
      </c>
      <c r="H234">
        <v>3.8</v>
      </c>
      <c r="I234">
        <f t="shared" si="31"/>
        <v>1616.4</v>
      </c>
      <c r="J234">
        <f t="shared" si="32"/>
        <v>100.60000000000001</v>
      </c>
      <c r="L234">
        <v>0</v>
      </c>
      <c r="M234">
        <v>1</v>
      </c>
      <c r="N234">
        <f t="shared" si="26"/>
        <v>-1</v>
      </c>
      <c r="O234">
        <f t="shared" si="29"/>
        <v>369.19999999999993</v>
      </c>
      <c r="P234">
        <v>210</v>
      </c>
      <c r="Q234">
        <f t="shared" si="33"/>
        <v>1.0631578947368421</v>
      </c>
      <c r="R234">
        <f t="shared" si="27"/>
        <v>1.0631578947368421</v>
      </c>
      <c r="S234">
        <f t="shared" si="28"/>
        <v>-1.0631578947368421</v>
      </c>
      <c r="T234">
        <f t="shared" si="30"/>
        <v>152.09657894736844</v>
      </c>
      <c r="V234">
        <v>724.4</v>
      </c>
      <c r="W234">
        <f t="shared" si="34"/>
        <v>7362.7999999999993</v>
      </c>
      <c r="X234">
        <v>11.876902171335606</v>
      </c>
    </row>
    <row r="235" spans="1:24" x14ac:dyDescent="0.25">
      <c r="A235">
        <v>7400</v>
      </c>
      <c r="B235">
        <v>24250</v>
      </c>
      <c r="C235" s="1">
        <v>43180</v>
      </c>
      <c r="E235" s="41"/>
      <c r="F235">
        <v>1.5</v>
      </c>
      <c r="G235">
        <v>-2.2999999999999998</v>
      </c>
      <c r="H235">
        <v>5.4</v>
      </c>
      <c r="I235">
        <f t="shared" si="31"/>
        <v>1617.9</v>
      </c>
      <c r="J235">
        <f t="shared" si="32"/>
        <v>102.10000000000001</v>
      </c>
      <c r="L235">
        <v>0</v>
      </c>
      <c r="M235">
        <v>1.7</v>
      </c>
      <c r="N235">
        <f t="shared" si="26"/>
        <v>-1.7</v>
      </c>
      <c r="O235">
        <f t="shared" si="29"/>
        <v>367.49999999999994</v>
      </c>
      <c r="P235">
        <v>211</v>
      </c>
      <c r="Q235">
        <f t="shared" si="33"/>
        <v>1.0671052631578948</v>
      </c>
      <c r="R235">
        <f t="shared" si="27"/>
        <v>1.8140789473684211</v>
      </c>
      <c r="S235">
        <f t="shared" si="28"/>
        <v>-1.8140789473684211</v>
      </c>
      <c r="T235">
        <f t="shared" si="30"/>
        <v>150.28250000000003</v>
      </c>
      <c r="V235">
        <v>1656.6</v>
      </c>
      <c r="W235">
        <f t="shared" si="34"/>
        <v>9019.4</v>
      </c>
      <c r="X235">
        <v>11.938447017089441</v>
      </c>
    </row>
    <row r="236" spans="1:24" x14ac:dyDescent="0.25">
      <c r="A236">
        <v>7400</v>
      </c>
      <c r="B236">
        <v>24250</v>
      </c>
      <c r="C236" s="1">
        <v>43181</v>
      </c>
      <c r="E236" s="41"/>
      <c r="F236">
        <v>2.9</v>
      </c>
      <c r="G236">
        <v>-1.2</v>
      </c>
      <c r="H236">
        <v>5.8</v>
      </c>
      <c r="I236">
        <f t="shared" si="31"/>
        <v>1620.8000000000002</v>
      </c>
      <c r="J236">
        <f t="shared" si="32"/>
        <v>105.00000000000001</v>
      </c>
      <c r="L236">
        <v>1.4</v>
      </c>
      <c r="M236">
        <v>0.4</v>
      </c>
      <c r="N236">
        <f t="shared" si="26"/>
        <v>0.99999999999999989</v>
      </c>
      <c r="O236">
        <f t="shared" si="29"/>
        <v>368.49999999999994</v>
      </c>
      <c r="P236">
        <v>212</v>
      </c>
      <c r="Q236">
        <f t="shared" si="33"/>
        <v>1.0710526315789473</v>
      </c>
      <c r="R236">
        <f t="shared" si="27"/>
        <v>0.42842105263157892</v>
      </c>
      <c r="S236">
        <f t="shared" si="28"/>
        <v>0.97157894736842099</v>
      </c>
      <c r="T236">
        <f t="shared" si="30"/>
        <v>151.25407894736844</v>
      </c>
      <c r="V236">
        <v>341.9</v>
      </c>
      <c r="W236">
        <f t="shared" si="34"/>
        <v>9361.2999999999993</v>
      </c>
      <c r="X236">
        <v>12</v>
      </c>
    </row>
    <row r="237" spans="1:24" x14ac:dyDescent="0.25">
      <c r="A237">
        <v>7400</v>
      </c>
      <c r="B237">
        <v>24250</v>
      </c>
      <c r="C237" s="1">
        <v>43182</v>
      </c>
      <c r="E237" s="41"/>
      <c r="F237">
        <v>5.0999999999999996</v>
      </c>
      <c r="G237">
        <v>3.7</v>
      </c>
      <c r="H237">
        <v>6.3</v>
      </c>
      <c r="I237">
        <f t="shared" si="31"/>
        <v>1625.9</v>
      </c>
      <c r="J237">
        <f t="shared" si="32"/>
        <v>110.10000000000001</v>
      </c>
      <c r="L237">
        <v>0</v>
      </c>
      <c r="M237">
        <v>0.9</v>
      </c>
      <c r="N237">
        <f t="shared" si="26"/>
        <v>-0.9</v>
      </c>
      <c r="O237">
        <f t="shared" si="29"/>
        <v>367.59999999999997</v>
      </c>
      <c r="P237">
        <v>213</v>
      </c>
      <c r="Q237">
        <f t="shared" si="33"/>
        <v>1.075</v>
      </c>
      <c r="R237">
        <f t="shared" si="27"/>
        <v>0.96750000000000003</v>
      </c>
      <c r="S237">
        <f t="shared" si="28"/>
        <v>-0.96750000000000003</v>
      </c>
      <c r="T237">
        <f t="shared" si="30"/>
        <v>150.28657894736844</v>
      </c>
      <c r="V237">
        <v>310.60000000000002</v>
      </c>
      <c r="W237">
        <f t="shared" si="34"/>
        <v>9671.9</v>
      </c>
      <c r="X237">
        <v>12.061552982910559</v>
      </c>
    </row>
    <row r="238" spans="1:24" x14ac:dyDescent="0.25">
      <c r="A238">
        <v>7400</v>
      </c>
      <c r="B238">
        <v>24250</v>
      </c>
      <c r="C238" s="1">
        <v>43183</v>
      </c>
      <c r="E238" s="41"/>
      <c r="F238">
        <v>6.2</v>
      </c>
      <c r="G238">
        <v>0.6</v>
      </c>
      <c r="H238">
        <v>11.7</v>
      </c>
      <c r="I238">
        <f t="shared" si="31"/>
        <v>1632.1000000000001</v>
      </c>
      <c r="J238">
        <f t="shared" si="32"/>
        <v>116.30000000000001</v>
      </c>
      <c r="L238">
        <v>0</v>
      </c>
      <c r="M238">
        <v>2.2000000000000002</v>
      </c>
      <c r="N238">
        <f t="shared" si="26"/>
        <v>-2.2000000000000002</v>
      </c>
      <c r="O238">
        <f t="shared" si="29"/>
        <v>365.4</v>
      </c>
      <c r="P238">
        <v>214</v>
      </c>
      <c r="Q238">
        <f t="shared" si="33"/>
        <v>1.0789473684210527</v>
      </c>
      <c r="R238">
        <f t="shared" si="27"/>
        <v>2.3736842105263158</v>
      </c>
      <c r="S238">
        <f t="shared" si="28"/>
        <v>-2.3736842105263158</v>
      </c>
      <c r="T238">
        <f t="shared" si="30"/>
        <v>147.91289473684213</v>
      </c>
      <c r="V238">
        <v>1622.7</v>
      </c>
      <c r="W238">
        <f t="shared" si="34"/>
        <v>11294.6</v>
      </c>
      <c r="X238">
        <v>12.123097828664392</v>
      </c>
    </row>
    <row r="239" spans="1:24" x14ac:dyDescent="0.25">
      <c r="A239">
        <v>7400</v>
      </c>
      <c r="B239">
        <v>24250</v>
      </c>
      <c r="C239" s="1">
        <v>43184</v>
      </c>
      <c r="E239" s="41"/>
      <c r="F239">
        <v>7.7</v>
      </c>
      <c r="G239">
        <v>0.3</v>
      </c>
      <c r="H239">
        <v>13.6</v>
      </c>
      <c r="I239">
        <f t="shared" si="31"/>
        <v>1639.8000000000002</v>
      </c>
      <c r="J239">
        <f t="shared" si="32"/>
        <v>124.00000000000001</v>
      </c>
      <c r="L239">
        <v>0</v>
      </c>
      <c r="M239">
        <v>2</v>
      </c>
      <c r="N239">
        <f t="shared" si="26"/>
        <v>-2</v>
      </c>
      <c r="O239">
        <f t="shared" si="29"/>
        <v>363.4</v>
      </c>
      <c r="P239">
        <v>215</v>
      </c>
      <c r="Q239">
        <f t="shared" si="33"/>
        <v>1.0828947368421051</v>
      </c>
      <c r="R239">
        <f t="shared" si="27"/>
        <v>2.1657894736842103</v>
      </c>
      <c r="S239">
        <f t="shared" si="28"/>
        <v>-2.1657894736842103</v>
      </c>
      <c r="T239">
        <f t="shared" si="30"/>
        <v>145.74710526315792</v>
      </c>
      <c r="V239">
        <v>1433</v>
      </c>
      <c r="W239">
        <f t="shared" si="34"/>
        <v>12727.6</v>
      </c>
      <c r="X239">
        <v>12.184626384291455</v>
      </c>
    </row>
    <row r="240" spans="1:24" x14ac:dyDescent="0.25">
      <c r="A240">
        <v>7400</v>
      </c>
      <c r="B240">
        <v>24250</v>
      </c>
      <c r="C240" s="1">
        <v>43185</v>
      </c>
      <c r="E240" s="41"/>
      <c r="F240">
        <v>7.2</v>
      </c>
      <c r="G240">
        <v>5.7</v>
      </c>
      <c r="H240">
        <v>9.1999999999999993</v>
      </c>
      <c r="I240">
        <f t="shared" si="31"/>
        <v>1647.0000000000002</v>
      </c>
      <c r="J240">
        <f t="shared" si="32"/>
        <v>131.20000000000002</v>
      </c>
      <c r="L240">
        <v>1.6</v>
      </c>
      <c r="M240">
        <v>0.8</v>
      </c>
      <c r="N240">
        <f t="shared" si="26"/>
        <v>0.8</v>
      </c>
      <c r="O240">
        <f t="shared" si="29"/>
        <v>364.2</v>
      </c>
      <c r="P240">
        <v>216</v>
      </c>
      <c r="Q240">
        <f t="shared" si="33"/>
        <v>1.0868421052631578</v>
      </c>
      <c r="R240">
        <f t="shared" si="27"/>
        <v>0.86947368421052629</v>
      </c>
      <c r="S240">
        <f t="shared" si="28"/>
        <v>0.7305263157894738</v>
      </c>
      <c r="T240">
        <f t="shared" si="30"/>
        <v>146.47763157894738</v>
      </c>
      <c r="V240">
        <v>404.4</v>
      </c>
      <c r="W240">
        <f t="shared" si="34"/>
        <v>13132</v>
      </c>
      <c r="X240">
        <v>12.24613046520377</v>
      </c>
    </row>
    <row r="241" spans="1:24" x14ac:dyDescent="0.25">
      <c r="A241">
        <v>7400</v>
      </c>
      <c r="B241">
        <v>24250</v>
      </c>
      <c r="C241" s="1">
        <v>43186</v>
      </c>
      <c r="E241" s="41"/>
      <c r="F241">
        <v>6.8</v>
      </c>
      <c r="G241">
        <v>4.5999999999999996</v>
      </c>
      <c r="H241">
        <v>9.3000000000000007</v>
      </c>
      <c r="I241">
        <f t="shared" si="31"/>
        <v>1653.8000000000002</v>
      </c>
      <c r="J241">
        <f t="shared" si="32"/>
        <v>138.00000000000003</v>
      </c>
      <c r="L241">
        <v>5.5</v>
      </c>
      <c r="M241">
        <v>0.7</v>
      </c>
      <c r="N241">
        <f t="shared" si="26"/>
        <v>4.8</v>
      </c>
      <c r="O241">
        <f t="shared" si="29"/>
        <v>369</v>
      </c>
      <c r="P241">
        <v>217</v>
      </c>
      <c r="Q241">
        <f t="shared" si="33"/>
        <v>1.0907894736842105</v>
      </c>
      <c r="R241">
        <f t="shared" si="27"/>
        <v>0.76355263157894737</v>
      </c>
      <c r="S241">
        <f t="shared" si="28"/>
        <v>4.7364473684210529</v>
      </c>
      <c r="T241">
        <f t="shared" si="30"/>
        <v>151.21407894736842</v>
      </c>
      <c r="V241">
        <v>414</v>
      </c>
      <c r="W241">
        <f t="shared" si="34"/>
        <v>13546</v>
      </c>
      <c r="X241">
        <v>12.307601839408294</v>
      </c>
    </row>
    <row r="242" spans="1:24" x14ac:dyDescent="0.25">
      <c r="A242">
        <v>7400</v>
      </c>
      <c r="B242">
        <v>24250</v>
      </c>
      <c r="C242" s="1">
        <v>43187</v>
      </c>
      <c r="E242" s="41"/>
      <c r="F242">
        <v>7.4</v>
      </c>
      <c r="G242">
        <v>5.9</v>
      </c>
      <c r="H242">
        <v>11.4</v>
      </c>
      <c r="I242">
        <f t="shared" si="31"/>
        <v>1661.2000000000003</v>
      </c>
      <c r="J242">
        <f t="shared" si="32"/>
        <v>145.40000000000003</v>
      </c>
      <c r="L242">
        <v>9.4</v>
      </c>
      <c r="M242">
        <v>0.9</v>
      </c>
      <c r="N242">
        <f t="shared" si="26"/>
        <v>8.5</v>
      </c>
      <c r="O242">
        <f t="shared" si="29"/>
        <v>377.5</v>
      </c>
      <c r="P242">
        <v>218</v>
      </c>
      <c r="Q242">
        <f t="shared" si="33"/>
        <v>1.094736842105263</v>
      </c>
      <c r="R242">
        <f t="shared" si="27"/>
        <v>0.98526315789473673</v>
      </c>
      <c r="S242">
        <f t="shared" si="28"/>
        <v>8.4147368421052633</v>
      </c>
      <c r="T242">
        <f t="shared" si="30"/>
        <v>153.9</v>
      </c>
      <c r="V242">
        <v>375.2</v>
      </c>
      <c r="W242">
        <f t="shared" si="34"/>
        <v>13921.2</v>
      </c>
      <c r="X242">
        <v>12.369032211746392</v>
      </c>
    </row>
    <row r="243" spans="1:24" x14ac:dyDescent="0.25">
      <c r="A243">
        <v>7400</v>
      </c>
      <c r="B243">
        <v>24250</v>
      </c>
      <c r="C243" s="1">
        <v>43188</v>
      </c>
      <c r="E243" s="41"/>
      <c r="F243">
        <v>6.1</v>
      </c>
      <c r="G243">
        <v>1.8</v>
      </c>
      <c r="H243">
        <v>9.5</v>
      </c>
      <c r="I243">
        <f t="shared" si="31"/>
        <v>1667.3000000000002</v>
      </c>
      <c r="J243">
        <f t="shared" si="32"/>
        <v>151.50000000000003</v>
      </c>
      <c r="L243">
        <v>0.1</v>
      </c>
      <c r="M243">
        <v>1.6</v>
      </c>
      <c r="N243">
        <f t="shared" si="26"/>
        <v>-1.5</v>
      </c>
      <c r="O243">
        <f t="shared" si="29"/>
        <v>376</v>
      </c>
      <c r="P243">
        <v>219</v>
      </c>
      <c r="Q243">
        <f t="shared" si="33"/>
        <v>1.0986842105263157</v>
      </c>
      <c r="R243">
        <f t="shared" si="27"/>
        <v>1.7578947368421052</v>
      </c>
      <c r="S243">
        <f t="shared" si="28"/>
        <v>-1.6578947368421051</v>
      </c>
      <c r="T243">
        <f t="shared" si="30"/>
        <v>152.2421052631579</v>
      </c>
      <c r="V243">
        <v>1172.7</v>
      </c>
      <c r="W243">
        <f t="shared" si="34"/>
        <v>15093.900000000001</v>
      </c>
      <c r="X243">
        <v>12.430413208169217</v>
      </c>
    </row>
    <row r="244" spans="1:24" x14ac:dyDescent="0.25">
      <c r="A244">
        <v>7400</v>
      </c>
      <c r="B244">
        <v>24250</v>
      </c>
      <c r="C244" s="1">
        <v>43189</v>
      </c>
      <c r="E244" s="41"/>
      <c r="F244">
        <v>6.1</v>
      </c>
      <c r="G244">
        <v>3</v>
      </c>
      <c r="H244">
        <v>11</v>
      </c>
      <c r="I244">
        <f t="shared" si="31"/>
        <v>1673.4</v>
      </c>
      <c r="J244">
        <f t="shared" si="32"/>
        <v>157.60000000000002</v>
      </c>
      <c r="L244">
        <v>2.2000000000000002</v>
      </c>
      <c r="M244">
        <v>1.5</v>
      </c>
      <c r="N244">
        <f t="shared" si="26"/>
        <v>0.70000000000000018</v>
      </c>
      <c r="O244">
        <f t="shared" si="29"/>
        <v>376.7</v>
      </c>
      <c r="P244">
        <v>220</v>
      </c>
      <c r="Q244">
        <f t="shared" si="33"/>
        <v>1.1026315789473684</v>
      </c>
      <c r="R244">
        <f t="shared" si="27"/>
        <v>1.6539473684210526</v>
      </c>
      <c r="S244">
        <f t="shared" si="28"/>
        <v>0.54605263157894757</v>
      </c>
      <c r="T244">
        <f t="shared" si="30"/>
        <v>152.78815789473686</v>
      </c>
      <c r="V244">
        <v>909</v>
      </c>
      <c r="W244">
        <f t="shared" si="34"/>
        <v>16002.900000000001</v>
      </c>
      <c r="X244">
        <v>12.491736360058988</v>
      </c>
    </row>
    <row r="245" spans="1:24" x14ac:dyDescent="0.25">
      <c r="A245">
        <v>7400</v>
      </c>
      <c r="B245">
        <v>24250</v>
      </c>
      <c r="C245" s="1">
        <v>43190</v>
      </c>
      <c r="E245" s="41"/>
      <c r="F245">
        <v>6.5</v>
      </c>
      <c r="G245">
        <v>1.2</v>
      </c>
      <c r="H245">
        <v>12.4</v>
      </c>
      <c r="I245">
        <f t="shared" si="31"/>
        <v>1679.9</v>
      </c>
      <c r="J245">
        <f t="shared" si="32"/>
        <v>164.10000000000002</v>
      </c>
      <c r="L245">
        <v>0.1</v>
      </c>
      <c r="M245">
        <v>1.6</v>
      </c>
      <c r="N245">
        <f t="shared" si="26"/>
        <v>-1.5</v>
      </c>
      <c r="O245">
        <f t="shared" si="29"/>
        <v>375.2</v>
      </c>
      <c r="P245">
        <v>221</v>
      </c>
      <c r="Q245">
        <f t="shared" si="33"/>
        <v>1.1065789473684209</v>
      </c>
      <c r="R245">
        <f t="shared" si="27"/>
        <v>1.7705263157894735</v>
      </c>
      <c r="S245">
        <f t="shared" si="28"/>
        <v>-1.6705263157894734</v>
      </c>
      <c r="T245">
        <f t="shared" si="30"/>
        <v>151.1176315789474</v>
      </c>
      <c r="V245">
        <v>1113.9000000000001</v>
      </c>
      <c r="W245">
        <f t="shared" si="34"/>
        <v>17116.800000000003</v>
      </c>
      <c r="X245">
        <v>12.552993088606542</v>
      </c>
    </row>
    <row r="246" spans="1:24" x14ac:dyDescent="0.25">
      <c r="A246">
        <v>7400</v>
      </c>
      <c r="B246">
        <v>24250</v>
      </c>
      <c r="C246" s="1">
        <v>43191</v>
      </c>
      <c r="E246" s="41"/>
      <c r="F246">
        <v>6.5</v>
      </c>
      <c r="G246">
        <v>5.3</v>
      </c>
      <c r="H246">
        <v>8.1999999999999993</v>
      </c>
      <c r="I246">
        <f t="shared" si="31"/>
        <v>1686.4</v>
      </c>
      <c r="J246">
        <f t="shared" si="32"/>
        <v>170.60000000000002</v>
      </c>
      <c r="L246">
        <v>0.5</v>
      </c>
      <c r="M246">
        <v>1.1000000000000001</v>
      </c>
      <c r="N246">
        <f t="shared" si="26"/>
        <v>-0.60000000000000009</v>
      </c>
      <c r="O246">
        <f t="shared" si="29"/>
        <v>374.59999999999997</v>
      </c>
      <c r="P246">
        <v>222</v>
      </c>
      <c r="Q246">
        <f t="shared" si="33"/>
        <v>1.1105263157894736</v>
      </c>
      <c r="R246">
        <f t="shared" si="27"/>
        <v>1.2215789473684211</v>
      </c>
      <c r="S246">
        <f t="shared" si="28"/>
        <v>-0.7215789473684211</v>
      </c>
      <c r="T246">
        <f t="shared" si="30"/>
        <v>150.39605263157898</v>
      </c>
      <c r="V246">
        <v>738.7</v>
      </c>
      <c r="W246">
        <f t="shared" si="34"/>
        <v>17855.500000000004</v>
      </c>
      <c r="X246">
        <v>12.614174689256417</v>
      </c>
    </row>
    <row r="247" spans="1:24" x14ac:dyDescent="0.25">
      <c r="A247">
        <v>7400</v>
      </c>
      <c r="B247">
        <v>24250</v>
      </c>
      <c r="C247" s="1">
        <v>43192</v>
      </c>
      <c r="E247" s="41"/>
      <c r="F247">
        <v>9.3000000000000007</v>
      </c>
      <c r="G247">
        <v>4.0999999999999996</v>
      </c>
      <c r="H247">
        <v>13.1</v>
      </c>
      <c r="I247">
        <f t="shared" si="31"/>
        <v>1695.7</v>
      </c>
      <c r="J247">
        <f t="shared" si="32"/>
        <v>179.90000000000003</v>
      </c>
      <c r="L247">
        <v>0.5</v>
      </c>
      <c r="M247">
        <v>1.9</v>
      </c>
      <c r="N247">
        <f t="shared" si="26"/>
        <v>-1.4</v>
      </c>
      <c r="O247">
        <f t="shared" si="29"/>
        <v>373.2</v>
      </c>
      <c r="P247">
        <v>223</v>
      </c>
      <c r="Q247">
        <f t="shared" si="33"/>
        <v>1.1144736842105263</v>
      </c>
      <c r="R247">
        <f t="shared" si="27"/>
        <v>2.1174999999999997</v>
      </c>
      <c r="S247">
        <f t="shared" si="28"/>
        <v>-1.6174999999999997</v>
      </c>
      <c r="T247">
        <f t="shared" si="30"/>
        <v>148.77855263157898</v>
      </c>
      <c r="V247">
        <v>1034.4000000000001</v>
      </c>
      <c r="W247">
        <f t="shared" si="34"/>
        <v>18889.900000000005</v>
      </c>
      <c r="X247">
        <v>12.675272316231437</v>
      </c>
    </row>
    <row r="248" spans="1:24" x14ac:dyDescent="0.25">
      <c r="A248">
        <v>7400</v>
      </c>
      <c r="B248">
        <v>24250</v>
      </c>
      <c r="C248" s="1">
        <v>43193</v>
      </c>
      <c r="E248" s="41"/>
      <c r="F248">
        <v>9.8000000000000007</v>
      </c>
      <c r="G248">
        <v>8.8000000000000007</v>
      </c>
      <c r="H248">
        <v>11.4</v>
      </c>
      <c r="I248">
        <f t="shared" si="31"/>
        <v>1705.5</v>
      </c>
      <c r="J248">
        <f t="shared" si="32"/>
        <v>189.70000000000005</v>
      </c>
      <c r="L248">
        <v>7.1</v>
      </c>
      <c r="M248">
        <v>1.4</v>
      </c>
      <c r="N248">
        <f t="shared" si="26"/>
        <v>5.6999999999999993</v>
      </c>
      <c r="O248">
        <f t="shared" si="29"/>
        <v>378.9</v>
      </c>
      <c r="P248">
        <v>224</v>
      </c>
      <c r="Q248">
        <f t="shared" si="33"/>
        <v>1.118421052631579</v>
      </c>
      <c r="R248">
        <f t="shared" si="27"/>
        <v>1.5657894736842104</v>
      </c>
      <c r="S248">
        <f t="shared" si="28"/>
        <v>5.534210526315789</v>
      </c>
      <c r="T248">
        <f t="shared" si="30"/>
        <v>153.9</v>
      </c>
      <c r="V248">
        <v>558.79999999999995</v>
      </c>
      <c r="W248">
        <f t="shared" si="34"/>
        <v>19448.700000000004</v>
      </c>
      <c r="X248">
        <v>12.736276967149792</v>
      </c>
    </row>
    <row r="249" spans="1:24" x14ac:dyDescent="0.25">
      <c r="A249">
        <v>7400</v>
      </c>
      <c r="B249">
        <v>24250</v>
      </c>
      <c r="C249" s="1">
        <v>43194</v>
      </c>
      <c r="E249" s="41"/>
      <c r="F249">
        <v>9.9</v>
      </c>
      <c r="G249">
        <v>8</v>
      </c>
      <c r="H249">
        <v>10.9</v>
      </c>
      <c r="I249">
        <f t="shared" si="31"/>
        <v>1715.4</v>
      </c>
      <c r="J249">
        <f t="shared" si="32"/>
        <v>199.60000000000005</v>
      </c>
      <c r="L249">
        <v>9.6</v>
      </c>
      <c r="M249">
        <v>0.9</v>
      </c>
      <c r="N249">
        <f t="shared" si="26"/>
        <v>8.6999999999999993</v>
      </c>
      <c r="O249">
        <f t="shared" si="29"/>
        <v>387.59999999999997</v>
      </c>
      <c r="P249">
        <v>225</v>
      </c>
      <c r="Q249">
        <f t="shared" si="33"/>
        <v>1.1223684210526315</v>
      </c>
      <c r="R249">
        <f t="shared" si="27"/>
        <v>1.0101315789473684</v>
      </c>
      <c r="S249">
        <f t="shared" si="28"/>
        <v>8.5898684210526319</v>
      </c>
      <c r="T249">
        <f t="shared" si="30"/>
        <v>153.9</v>
      </c>
      <c r="V249">
        <v>586.79999999999995</v>
      </c>
      <c r="W249">
        <f t="shared" si="34"/>
        <v>20035.500000000004</v>
      </c>
      <c r="X249">
        <v>12.797179467748634</v>
      </c>
    </row>
    <row r="250" spans="1:24" x14ac:dyDescent="0.25">
      <c r="A250">
        <v>7400</v>
      </c>
      <c r="B250">
        <v>24250</v>
      </c>
      <c r="C250" s="1">
        <v>43195</v>
      </c>
      <c r="E250" s="41"/>
      <c r="F250">
        <v>7.8</v>
      </c>
      <c r="G250">
        <v>7.6</v>
      </c>
      <c r="H250">
        <v>9</v>
      </c>
      <c r="I250">
        <f t="shared" si="31"/>
        <v>1723.2</v>
      </c>
      <c r="J250">
        <f t="shared" si="32"/>
        <v>207.40000000000006</v>
      </c>
      <c r="L250">
        <v>0</v>
      </c>
      <c r="M250">
        <v>1.7</v>
      </c>
      <c r="N250">
        <f t="shared" si="26"/>
        <v>-1.7</v>
      </c>
      <c r="O250">
        <f t="shared" si="29"/>
        <v>385.9</v>
      </c>
      <c r="P250">
        <v>226</v>
      </c>
      <c r="Q250">
        <f t="shared" si="33"/>
        <v>1.1263157894736842</v>
      </c>
      <c r="R250">
        <f t="shared" si="27"/>
        <v>1.9147368421052631</v>
      </c>
      <c r="S250">
        <f t="shared" si="28"/>
        <v>-1.9147368421052631</v>
      </c>
      <c r="T250">
        <f t="shared" si="30"/>
        <v>151.98526315789474</v>
      </c>
      <c r="V250">
        <v>1012.5</v>
      </c>
      <c r="W250">
        <f t="shared" si="34"/>
        <v>21048.000000000004</v>
      </c>
      <c r="X250">
        <v>12.85797045672944</v>
      </c>
    </row>
    <row r="251" spans="1:24" x14ac:dyDescent="0.25">
      <c r="A251">
        <v>7400</v>
      </c>
      <c r="B251">
        <v>24250</v>
      </c>
      <c r="C251" s="1">
        <v>43196</v>
      </c>
      <c r="E251" s="41"/>
      <c r="F251">
        <v>10.6</v>
      </c>
      <c r="G251">
        <v>3.8</v>
      </c>
      <c r="H251">
        <v>16.100000000000001</v>
      </c>
      <c r="I251">
        <f t="shared" si="31"/>
        <v>1733.8</v>
      </c>
      <c r="J251">
        <f t="shared" si="32"/>
        <v>218.00000000000006</v>
      </c>
      <c r="L251">
        <v>0</v>
      </c>
      <c r="M251">
        <v>3.3</v>
      </c>
      <c r="N251">
        <f t="shared" si="26"/>
        <v>-3.3</v>
      </c>
      <c r="O251">
        <f t="shared" si="29"/>
        <v>382.59999999999997</v>
      </c>
      <c r="P251">
        <v>227</v>
      </c>
      <c r="Q251">
        <f t="shared" si="33"/>
        <v>1.1302631578947369</v>
      </c>
      <c r="R251">
        <f t="shared" si="27"/>
        <v>3.7298684210526316</v>
      </c>
      <c r="S251">
        <f t="shared" si="28"/>
        <v>-3.7298684210526316</v>
      </c>
      <c r="T251">
        <f t="shared" si="30"/>
        <v>148.25539473684211</v>
      </c>
      <c r="V251">
        <v>1995.7</v>
      </c>
      <c r="W251">
        <f t="shared" si="34"/>
        <v>23043.700000000004</v>
      </c>
      <c r="X251">
        <v>12.918640370741659</v>
      </c>
    </row>
    <row r="252" spans="1:24" x14ac:dyDescent="0.25">
      <c r="A252">
        <v>7400</v>
      </c>
      <c r="B252">
        <v>24250</v>
      </c>
      <c r="C252" s="1">
        <v>43197</v>
      </c>
      <c r="E252" s="41"/>
      <c r="F252">
        <v>14.3</v>
      </c>
      <c r="G252">
        <v>9</v>
      </c>
      <c r="H252">
        <v>20</v>
      </c>
      <c r="I252">
        <f t="shared" si="31"/>
        <v>1748.1</v>
      </c>
      <c r="J252">
        <f t="shared" si="32"/>
        <v>232.30000000000007</v>
      </c>
      <c r="L252">
        <v>0</v>
      </c>
      <c r="M252">
        <v>4.0999999999999996</v>
      </c>
      <c r="N252">
        <f t="shared" si="26"/>
        <v>-4.0999999999999996</v>
      </c>
      <c r="O252">
        <f t="shared" si="29"/>
        <v>378.49999999999994</v>
      </c>
      <c r="P252">
        <v>228</v>
      </c>
      <c r="Q252">
        <f t="shared" si="33"/>
        <v>1.1342105263157893</v>
      </c>
      <c r="R252">
        <f t="shared" si="27"/>
        <v>4.6502631578947362</v>
      </c>
      <c r="S252">
        <f t="shared" si="28"/>
        <v>-4.6502631578947362</v>
      </c>
      <c r="T252">
        <f t="shared" si="30"/>
        <v>143.60513157894738</v>
      </c>
      <c r="V252">
        <v>2009.6</v>
      </c>
      <c r="W252">
        <f t="shared" si="34"/>
        <v>25053.300000000003</v>
      </c>
      <c r="X252">
        <v>12.979179429522624</v>
      </c>
    </row>
    <row r="253" spans="1:24" x14ac:dyDescent="0.25">
      <c r="A253">
        <v>7400</v>
      </c>
      <c r="B253">
        <v>24250</v>
      </c>
      <c r="C253" s="1">
        <v>43198</v>
      </c>
      <c r="E253" s="41"/>
      <c r="F253">
        <v>15.5</v>
      </c>
      <c r="G253">
        <v>10.7</v>
      </c>
      <c r="H253">
        <v>22.5</v>
      </c>
      <c r="I253">
        <f t="shared" si="31"/>
        <v>1763.6</v>
      </c>
      <c r="J253">
        <f t="shared" si="32"/>
        <v>247.80000000000007</v>
      </c>
      <c r="L253">
        <v>0.4</v>
      </c>
      <c r="M253">
        <v>3.3</v>
      </c>
      <c r="N253">
        <f t="shared" si="26"/>
        <v>-2.9</v>
      </c>
      <c r="O253">
        <f t="shared" si="29"/>
        <v>375.59999999999997</v>
      </c>
      <c r="P253">
        <v>229</v>
      </c>
      <c r="Q253">
        <f t="shared" si="33"/>
        <v>1.138157894736842</v>
      </c>
      <c r="R253">
        <f t="shared" si="27"/>
        <v>3.7559210526315785</v>
      </c>
      <c r="S253">
        <f t="shared" si="28"/>
        <v>-3.3559210526315786</v>
      </c>
      <c r="T253">
        <f t="shared" si="30"/>
        <v>140.24921052631581</v>
      </c>
      <c r="V253">
        <v>1484.7</v>
      </c>
      <c r="W253">
        <f t="shared" si="34"/>
        <v>26538.000000000004</v>
      </c>
      <c r="X253">
        <v>13.039577621213244</v>
      </c>
    </row>
    <row r="254" spans="1:24" x14ac:dyDescent="0.25">
      <c r="A254">
        <v>7400</v>
      </c>
      <c r="B254">
        <v>24250</v>
      </c>
      <c r="C254" s="1">
        <v>43199</v>
      </c>
      <c r="E254" s="41"/>
      <c r="F254">
        <v>12.5</v>
      </c>
      <c r="G254">
        <v>11.3</v>
      </c>
      <c r="H254">
        <v>16.2</v>
      </c>
      <c r="I254">
        <f t="shared" si="31"/>
        <v>1776.1</v>
      </c>
      <c r="J254">
        <f t="shared" si="32"/>
        <v>260.30000000000007</v>
      </c>
      <c r="L254">
        <v>0.9</v>
      </c>
      <c r="M254">
        <v>1.5</v>
      </c>
      <c r="N254">
        <f t="shared" si="26"/>
        <v>-0.6</v>
      </c>
      <c r="O254">
        <f t="shared" si="29"/>
        <v>374.99999999999994</v>
      </c>
      <c r="P254">
        <v>230</v>
      </c>
      <c r="Q254">
        <f t="shared" si="33"/>
        <v>1.1421052631578947</v>
      </c>
      <c r="R254">
        <f t="shared" si="27"/>
        <v>1.7131578947368422</v>
      </c>
      <c r="S254">
        <f t="shared" si="28"/>
        <v>-0.81315789473684219</v>
      </c>
      <c r="T254">
        <f t="shared" si="30"/>
        <v>139.43605263157897</v>
      </c>
      <c r="V254">
        <v>822.1</v>
      </c>
      <c r="W254">
        <f t="shared" si="34"/>
        <v>27360.100000000002</v>
      </c>
      <c r="X254">
        <v>13.099824687870656</v>
      </c>
    </row>
    <row r="255" spans="1:24" x14ac:dyDescent="0.25">
      <c r="A255">
        <v>7400</v>
      </c>
      <c r="B255">
        <v>24250</v>
      </c>
      <c r="C255" s="1">
        <v>43200</v>
      </c>
      <c r="E255" s="41"/>
      <c r="F255">
        <v>10.4</v>
      </c>
      <c r="G255">
        <v>9.5</v>
      </c>
      <c r="H255">
        <v>13.8</v>
      </c>
      <c r="I255">
        <f t="shared" si="31"/>
        <v>1786.5</v>
      </c>
      <c r="J255">
        <f t="shared" si="32"/>
        <v>270.70000000000005</v>
      </c>
      <c r="L255">
        <v>0</v>
      </c>
      <c r="M255">
        <v>2.4</v>
      </c>
      <c r="N255">
        <f t="shared" si="26"/>
        <v>-2.4</v>
      </c>
      <c r="O255">
        <f t="shared" si="29"/>
        <v>372.59999999999997</v>
      </c>
      <c r="P255">
        <v>231</v>
      </c>
      <c r="Q255">
        <f t="shared" si="33"/>
        <v>1.1460526315789472</v>
      </c>
      <c r="R255">
        <f t="shared" si="27"/>
        <v>2.750526315789473</v>
      </c>
      <c r="S255">
        <f t="shared" si="28"/>
        <v>-2.750526315789473</v>
      </c>
      <c r="T255">
        <f t="shared" si="30"/>
        <v>136.6855263157895</v>
      </c>
      <c r="V255">
        <v>1183.2</v>
      </c>
      <c r="W255">
        <f t="shared" si="34"/>
        <v>28543.300000000003</v>
      </c>
      <c r="X255">
        <v>13.159910111200794</v>
      </c>
    </row>
    <row r="256" spans="1:24" s="4" customFormat="1" ht="15.75" thickBot="1" x14ac:dyDescent="0.3">
      <c r="A256" s="4">
        <v>7400</v>
      </c>
      <c r="B256" s="4">
        <v>24250</v>
      </c>
      <c r="C256" s="5">
        <v>43201</v>
      </c>
      <c r="E256" s="42"/>
      <c r="F256" s="4">
        <v>11.3</v>
      </c>
      <c r="G256" s="4">
        <v>4.8</v>
      </c>
      <c r="H256" s="4">
        <v>17.7</v>
      </c>
      <c r="I256" s="4">
        <f t="shared" si="31"/>
        <v>1797.8</v>
      </c>
      <c r="J256" s="4">
        <f t="shared" si="32"/>
        <v>282.00000000000006</v>
      </c>
      <c r="L256" s="4">
        <v>0</v>
      </c>
      <c r="M256" s="4">
        <v>3</v>
      </c>
      <c r="N256" s="4">
        <f t="shared" si="26"/>
        <v>-3</v>
      </c>
      <c r="O256" s="4">
        <f t="shared" si="29"/>
        <v>369.59999999999997</v>
      </c>
      <c r="P256" s="4">
        <v>232</v>
      </c>
      <c r="Q256" s="4">
        <f t="shared" si="33"/>
        <v>1.1499999999999999</v>
      </c>
      <c r="R256" s="4">
        <f t="shared" si="27"/>
        <v>3.4499999999999997</v>
      </c>
      <c r="S256" s="4">
        <f t="shared" si="28"/>
        <v>-3.4499999999999997</v>
      </c>
      <c r="T256" s="4">
        <f t="shared" si="30"/>
        <v>133.23552631578951</v>
      </c>
      <c r="V256" s="4">
        <v>1758.5</v>
      </c>
      <c r="W256" s="4">
        <f t="shared" si="34"/>
        <v>30301.800000000003</v>
      </c>
      <c r="X256" s="4">
        <v>13.219823098535738</v>
      </c>
    </row>
    <row r="257" spans="1:25" x14ac:dyDescent="0.25">
      <c r="A257">
        <v>7400</v>
      </c>
      <c r="B257">
        <v>24250</v>
      </c>
      <c r="C257" s="1">
        <v>43202</v>
      </c>
      <c r="D257" t="s">
        <v>29</v>
      </c>
      <c r="E257" s="37" t="s">
        <v>55</v>
      </c>
      <c r="F257">
        <v>9.9</v>
      </c>
      <c r="G257">
        <v>9</v>
      </c>
      <c r="H257">
        <v>11.6</v>
      </c>
      <c r="I257">
        <f t="shared" si="31"/>
        <v>1807.7</v>
      </c>
      <c r="J257">
        <f>F257</f>
        <v>9.9</v>
      </c>
      <c r="K257" s="16" t="s">
        <v>34</v>
      </c>
      <c r="L257">
        <v>0.1</v>
      </c>
      <c r="M257">
        <v>1.3</v>
      </c>
      <c r="N257">
        <f t="shared" si="26"/>
        <v>-1.2</v>
      </c>
      <c r="O257">
        <f t="shared" si="29"/>
        <v>368.4</v>
      </c>
      <c r="P257">
        <v>233</v>
      </c>
      <c r="Q257">
        <v>1.1499999999999999</v>
      </c>
      <c r="R257">
        <f t="shared" si="27"/>
        <v>1.4949999999999999</v>
      </c>
      <c r="S257">
        <f t="shared" si="28"/>
        <v>-1.3949999999999998</v>
      </c>
      <c r="T257">
        <f t="shared" si="30"/>
        <v>131.8405263157895</v>
      </c>
      <c r="U257" s="18" t="s">
        <v>41</v>
      </c>
      <c r="V257">
        <v>843</v>
      </c>
      <c r="W257">
        <f>V257</f>
        <v>843</v>
      </c>
      <c r="X257">
        <v>13.279552569082698</v>
      </c>
      <c r="Y257" s="18" t="s">
        <v>46</v>
      </c>
    </row>
    <row r="258" spans="1:25" x14ac:dyDescent="0.25">
      <c r="A258">
        <v>7400</v>
      </c>
      <c r="B258">
        <v>24250</v>
      </c>
      <c r="C258" s="1">
        <v>43203</v>
      </c>
      <c r="E258" s="38"/>
      <c r="F258">
        <v>10.9</v>
      </c>
      <c r="G258">
        <v>5.9</v>
      </c>
      <c r="H258">
        <v>16.3</v>
      </c>
      <c r="I258">
        <f t="shared" si="31"/>
        <v>1818.6000000000001</v>
      </c>
      <c r="J258">
        <f t="shared" si="32"/>
        <v>20.8</v>
      </c>
      <c r="K258" s="8">
        <v>272.8</v>
      </c>
      <c r="L258">
        <v>0</v>
      </c>
      <c r="M258">
        <v>2.2000000000000002</v>
      </c>
      <c r="N258">
        <f t="shared" si="26"/>
        <v>-2.2000000000000002</v>
      </c>
      <c r="O258">
        <f t="shared" si="29"/>
        <v>366.2</v>
      </c>
      <c r="P258">
        <v>234</v>
      </c>
      <c r="Q258">
        <v>1.1499999999999999</v>
      </c>
      <c r="R258">
        <f t="shared" si="27"/>
        <v>2.5299999999999998</v>
      </c>
      <c r="S258">
        <f t="shared" si="28"/>
        <v>-2.5299999999999998</v>
      </c>
      <c r="T258">
        <f t="shared" si="30"/>
        <v>129.3105263157895</v>
      </c>
      <c r="U258">
        <v>0</v>
      </c>
      <c r="V258">
        <v>1292.2</v>
      </c>
      <c r="W258">
        <f t="shared" si="34"/>
        <v>2135.1999999999998</v>
      </c>
      <c r="X258">
        <v>13.339087140473605</v>
      </c>
      <c r="Y258">
        <v>33316.800000000003</v>
      </c>
    </row>
    <row r="259" spans="1:25" x14ac:dyDescent="0.25">
      <c r="A259">
        <v>7400</v>
      </c>
      <c r="B259">
        <v>24250</v>
      </c>
      <c r="C259" s="1">
        <v>43204</v>
      </c>
      <c r="E259" s="38"/>
      <c r="F259">
        <v>11.6</v>
      </c>
      <c r="G259">
        <v>7.1</v>
      </c>
      <c r="H259">
        <v>16.600000000000001</v>
      </c>
      <c r="I259">
        <f t="shared" si="31"/>
        <v>1830.2</v>
      </c>
      <c r="J259">
        <f t="shared" si="32"/>
        <v>32.4</v>
      </c>
      <c r="K259" s="16" t="s">
        <v>35</v>
      </c>
      <c r="L259">
        <v>0.7</v>
      </c>
      <c r="M259">
        <v>1.4</v>
      </c>
      <c r="N259">
        <f t="shared" si="26"/>
        <v>-0.7</v>
      </c>
      <c r="O259">
        <f t="shared" si="29"/>
        <v>365.5</v>
      </c>
      <c r="P259">
        <v>235</v>
      </c>
      <c r="Q259">
        <v>1.1499999999999999</v>
      </c>
      <c r="R259">
        <f t="shared" si="27"/>
        <v>1.6099999999999999</v>
      </c>
      <c r="S259">
        <f t="shared" si="28"/>
        <v>-0.90999999999999992</v>
      </c>
      <c r="T259">
        <f t="shared" si="30"/>
        <v>128.40052631578951</v>
      </c>
      <c r="U259" s="18" t="s">
        <v>42</v>
      </c>
      <c r="V259">
        <v>835.5</v>
      </c>
      <c r="W259">
        <f t="shared" si="34"/>
        <v>2970.7</v>
      </c>
      <c r="X259">
        <v>13.398415115646507</v>
      </c>
      <c r="Y259" s="18" t="s">
        <v>47</v>
      </c>
    </row>
    <row r="260" spans="1:25" x14ac:dyDescent="0.25">
      <c r="A260">
        <v>7400</v>
      </c>
      <c r="B260">
        <v>24250</v>
      </c>
      <c r="C260" s="1">
        <v>43205</v>
      </c>
      <c r="E260" s="38"/>
      <c r="F260">
        <v>12.5</v>
      </c>
      <c r="G260">
        <v>7.1</v>
      </c>
      <c r="H260">
        <v>17.100000000000001</v>
      </c>
      <c r="I260">
        <f t="shared" si="31"/>
        <v>1842.7</v>
      </c>
      <c r="J260">
        <f t="shared" si="32"/>
        <v>44.9</v>
      </c>
      <c r="K260" s="25">
        <f>AVERAGE(F257:F277)</f>
        <v>12.990476190476191</v>
      </c>
      <c r="L260">
        <v>0</v>
      </c>
      <c r="M260">
        <v>2.4</v>
      </c>
      <c r="N260">
        <f t="shared" si="26"/>
        <v>-2.4</v>
      </c>
      <c r="O260">
        <f t="shared" si="29"/>
        <v>363.1</v>
      </c>
      <c r="P260">
        <v>236</v>
      </c>
      <c r="Q260">
        <v>1.1499999999999999</v>
      </c>
      <c r="R260">
        <f t="shared" si="27"/>
        <v>2.76</v>
      </c>
      <c r="S260">
        <f t="shared" si="28"/>
        <v>-2.76</v>
      </c>
      <c r="T260">
        <f t="shared" si="30"/>
        <v>125.6405263157895</v>
      </c>
      <c r="U260">
        <v>0</v>
      </c>
      <c r="V260">
        <v>1605.4</v>
      </c>
      <c r="W260">
        <f t="shared" si="34"/>
        <v>4576.1000000000004</v>
      </c>
      <c r="X260">
        <v>13.457524470092261</v>
      </c>
      <c r="Y260" s="11">
        <f>(Y258/100)/K258</f>
        <v>1.2212903225806451</v>
      </c>
    </row>
    <row r="261" spans="1:25" x14ac:dyDescent="0.25">
      <c r="A261">
        <v>7400</v>
      </c>
      <c r="B261">
        <v>24250</v>
      </c>
      <c r="C261" s="1">
        <v>43206</v>
      </c>
      <c r="E261" s="38"/>
      <c r="F261">
        <v>11.6</v>
      </c>
      <c r="G261">
        <v>7.5</v>
      </c>
      <c r="H261">
        <v>15.9</v>
      </c>
      <c r="I261">
        <f t="shared" si="31"/>
        <v>1854.3</v>
      </c>
      <c r="J261">
        <f t="shared" si="32"/>
        <v>56.5</v>
      </c>
      <c r="K261" s="16" t="s">
        <v>36</v>
      </c>
      <c r="L261">
        <v>0</v>
      </c>
      <c r="M261">
        <v>2.4</v>
      </c>
      <c r="N261">
        <f t="shared" ref="N261:N324" si="35">L261-M261</f>
        <v>-2.4</v>
      </c>
      <c r="O261">
        <f t="shared" si="29"/>
        <v>360.70000000000005</v>
      </c>
      <c r="P261">
        <v>237</v>
      </c>
      <c r="Q261">
        <v>1.1499999999999999</v>
      </c>
      <c r="R261">
        <f t="shared" ref="R261:R324" si="36">Q261*M261</f>
        <v>2.76</v>
      </c>
      <c r="S261">
        <f t="shared" ref="S261:S324" si="37">L261-R261</f>
        <v>-2.76</v>
      </c>
      <c r="T261">
        <f t="shared" si="30"/>
        <v>122.8805263157895</v>
      </c>
      <c r="U261" s="18" t="s">
        <v>43</v>
      </c>
      <c r="V261">
        <v>1573.4</v>
      </c>
      <c r="W261">
        <f t="shared" si="34"/>
        <v>6149.5</v>
      </c>
      <c r="X261">
        <v>13.51640283950244</v>
      </c>
      <c r="Y261" s="18" t="s">
        <v>48</v>
      </c>
    </row>
    <row r="262" spans="1:25" x14ac:dyDescent="0.25">
      <c r="A262">
        <v>7400</v>
      </c>
      <c r="B262">
        <v>24250</v>
      </c>
      <c r="C262" s="1">
        <v>43207</v>
      </c>
      <c r="E262" s="38"/>
      <c r="F262">
        <v>12.3</v>
      </c>
      <c r="G262">
        <v>5</v>
      </c>
      <c r="H262">
        <v>18.8</v>
      </c>
      <c r="I262">
        <f t="shared" si="31"/>
        <v>1866.6</v>
      </c>
      <c r="J262">
        <f t="shared" si="32"/>
        <v>68.8</v>
      </c>
      <c r="K262" s="9">
        <f>MIN(G257:G277)</f>
        <v>3.2</v>
      </c>
      <c r="L262">
        <v>0</v>
      </c>
      <c r="M262">
        <v>3.9</v>
      </c>
      <c r="N262">
        <f t="shared" si="35"/>
        <v>-3.9</v>
      </c>
      <c r="O262">
        <f t="shared" ref="O262:O325" si="38">O261+N262</f>
        <v>356.80000000000007</v>
      </c>
      <c r="P262">
        <v>238</v>
      </c>
      <c r="Q262">
        <v>1.1499999999999999</v>
      </c>
      <c r="R262">
        <f t="shared" si="36"/>
        <v>4.4849999999999994</v>
      </c>
      <c r="S262">
        <f t="shared" si="37"/>
        <v>-4.4849999999999994</v>
      </c>
      <c r="T262">
        <f t="shared" si="30"/>
        <v>118.3955263157895</v>
      </c>
      <c r="U262" s="11">
        <f>MIN(T257:T277)</f>
        <v>77.140526315789501</v>
      </c>
      <c r="V262">
        <v>2299.9</v>
      </c>
      <c r="W262">
        <f t="shared" si="34"/>
        <v>8449.4</v>
      </c>
      <c r="X262">
        <v>13.575037507856859</v>
      </c>
      <c r="Y262">
        <v>4</v>
      </c>
    </row>
    <row r="263" spans="1:25" x14ac:dyDescent="0.25">
      <c r="A263">
        <v>7400</v>
      </c>
      <c r="B263">
        <v>24250</v>
      </c>
      <c r="C263" s="1">
        <v>43208</v>
      </c>
      <c r="E263" s="38"/>
      <c r="F263">
        <v>16.600000000000001</v>
      </c>
      <c r="G263">
        <v>8.1999999999999993</v>
      </c>
      <c r="H263">
        <v>24.2</v>
      </c>
      <c r="I263">
        <f t="shared" si="31"/>
        <v>1883.1999999999998</v>
      </c>
      <c r="J263">
        <f t="shared" si="32"/>
        <v>85.4</v>
      </c>
      <c r="K263" s="16" t="s">
        <v>37</v>
      </c>
      <c r="L263">
        <v>0</v>
      </c>
      <c r="M263">
        <v>5.3</v>
      </c>
      <c r="N263">
        <f t="shared" si="35"/>
        <v>-5.3</v>
      </c>
      <c r="O263">
        <f t="shared" si="38"/>
        <v>351.50000000000006</v>
      </c>
      <c r="P263">
        <v>239</v>
      </c>
      <c r="Q263">
        <v>1.1499999999999999</v>
      </c>
      <c r="R263">
        <f t="shared" si="36"/>
        <v>6.0949999999999998</v>
      </c>
      <c r="S263">
        <f t="shared" si="37"/>
        <v>-6.0949999999999998</v>
      </c>
      <c r="T263">
        <f t="shared" si="30"/>
        <v>112.3005263157895</v>
      </c>
      <c r="U263" s="18" t="s">
        <v>44</v>
      </c>
      <c r="V263">
        <v>2385.3000000000002</v>
      </c>
      <c r="W263">
        <f t="shared" si="34"/>
        <v>10834.7</v>
      </c>
      <c r="X263">
        <v>13.633415395991667</v>
      </c>
    </row>
    <row r="264" spans="1:25" x14ac:dyDescent="0.25">
      <c r="A264">
        <v>7400</v>
      </c>
      <c r="B264">
        <v>24250</v>
      </c>
      <c r="C264" s="1">
        <v>43209</v>
      </c>
      <c r="E264" s="38"/>
      <c r="F264">
        <v>18.8</v>
      </c>
      <c r="G264">
        <v>12.1</v>
      </c>
      <c r="H264">
        <v>25</v>
      </c>
      <c r="I264">
        <f t="shared" si="31"/>
        <v>1901.9999999999998</v>
      </c>
      <c r="J264">
        <f t="shared" si="32"/>
        <v>104.2</v>
      </c>
      <c r="K264" s="8">
        <f>MAX(H257:H277)</f>
        <v>26.3</v>
      </c>
      <c r="L264">
        <v>0</v>
      </c>
      <c r="M264">
        <v>5.0999999999999996</v>
      </c>
      <c r="N264">
        <f t="shared" si="35"/>
        <v>-5.0999999999999996</v>
      </c>
      <c r="O264">
        <f t="shared" si="38"/>
        <v>346.40000000000003</v>
      </c>
      <c r="P264">
        <v>240</v>
      </c>
      <c r="Q264">
        <v>1.1499999999999999</v>
      </c>
      <c r="R264">
        <f t="shared" si="36"/>
        <v>5.8649999999999993</v>
      </c>
      <c r="S264">
        <f t="shared" si="37"/>
        <v>-5.8649999999999993</v>
      </c>
      <c r="T264">
        <f t="shared" si="30"/>
        <v>106.4355263157895</v>
      </c>
      <c r="U264" s="11">
        <f>MAX(T257:T277)</f>
        <v>131.8405263157895</v>
      </c>
      <c r="V264">
        <v>2270.3000000000002</v>
      </c>
      <c r="W264">
        <f t="shared" si="34"/>
        <v>13105</v>
      </c>
      <c r="X264">
        <v>13.691523050691627</v>
      </c>
    </row>
    <row r="265" spans="1:25" x14ac:dyDescent="0.25">
      <c r="A265">
        <v>7400</v>
      </c>
      <c r="B265">
        <v>24250</v>
      </c>
      <c r="C265" s="1">
        <v>43210</v>
      </c>
      <c r="E265" s="38"/>
      <c r="F265">
        <v>19.899999999999999</v>
      </c>
      <c r="G265">
        <v>13</v>
      </c>
      <c r="H265">
        <v>26.3</v>
      </c>
      <c r="I265">
        <f t="shared" si="31"/>
        <v>1921.8999999999999</v>
      </c>
      <c r="J265">
        <f t="shared" si="32"/>
        <v>124.1</v>
      </c>
      <c r="K265" s="16" t="s">
        <v>38</v>
      </c>
      <c r="L265">
        <v>0</v>
      </c>
      <c r="M265">
        <v>5.2</v>
      </c>
      <c r="N265">
        <f t="shared" si="35"/>
        <v>-5.2</v>
      </c>
      <c r="O265">
        <f t="shared" si="38"/>
        <v>341.20000000000005</v>
      </c>
      <c r="P265">
        <v>241</v>
      </c>
      <c r="Q265">
        <v>1.1499999999999999</v>
      </c>
      <c r="R265">
        <f t="shared" si="36"/>
        <v>5.9799999999999995</v>
      </c>
      <c r="S265">
        <f t="shared" si="37"/>
        <v>-5.9799999999999995</v>
      </c>
      <c r="T265">
        <f t="shared" si="30"/>
        <v>100.4555263157895</v>
      </c>
      <c r="U265" s="18" t="s">
        <v>45</v>
      </c>
      <c r="V265">
        <v>2310.1</v>
      </c>
      <c r="W265">
        <f t="shared" si="34"/>
        <v>15415.1</v>
      </c>
      <c r="X265">
        <v>13.749346634352847</v>
      </c>
    </row>
    <row r="266" spans="1:25" x14ac:dyDescent="0.25">
      <c r="A266">
        <v>7400</v>
      </c>
      <c r="B266">
        <v>24250</v>
      </c>
      <c r="C266" s="1">
        <v>43211</v>
      </c>
      <c r="E266" s="38"/>
      <c r="F266">
        <v>19.8</v>
      </c>
      <c r="G266">
        <v>14</v>
      </c>
      <c r="H266">
        <v>25.1</v>
      </c>
      <c r="I266">
        <f t="shared" si="31"/>
        <v>1941.6999999999998</v>
      </c>
      <c r="J266">
        <f t="shared" si="32"/>
        <v>143.9</v>
      </c>
      <c r="K266" s="8">
        <v>3</v>
      </c>
      <c r="L266">
        <v>0</v>
      </c>
      <c r="M266">
        <v>4.7</v>
      </c>
      <c r="N266">
        <f t="shared" si="35"/>
        <v>-4.7</v>
      </c>
      <c r="O266">
        <f t="shared" si="38"/>
        <v>336.50000000000006</v>
      </c>
      <c r="P266">
        <v>242</v>
      </c>
      <c r="Q266">
        <v>1.1499999999999999</v>
      </c>
      <c r="R266">
        <f t="shared" si="36"/>
        <v>5.4049999999999994</v>
      </c>
      <c r="S266">
        <f t="shared" si="37"/>
        <v>-5.4049999999999994</v>
      </c>
      <c r="T266">
        <f t="shared" si="30"/>
        <v>95.050526315789497</v>
      </c>
      <c r="U266" s="11">
        <f>AVERAGE(T257:T277)</f>
        <v>102.54695488721806</v>
      </c>
      <c r="V266">
        <v>2231.9</v>
      </c>
      <c r="W266">
        <f t="shared" si="34"/>
        <v>17647</v>
      </c>
      <c r="X266">
        <v>13.806871915264951</v>
      </c>
    </row>
    <row r="267" spans="1:25" x14ac:dyDescent="0.25">
      <c r="A267">
        <v>7400</v>
      </c>
      <c r="B267">
        <v>24250</v>
      </c>
      <c r="C267" s="1">
        <v>43212</v>
      </c>
      <c r="E267" s="38"/>
      <c r="F267">
        <v>19</v>
      </c>
      <c r="G267">
        <v>14.4</v>
      </c>
      <c r="H267">
        <v>24.4</v>
      </c>
      <c r="I267">
        <f t="shared" si="31"/>
        <v>1960.6999999999998</v>
      </c>
      <c r="J267">
        <f t="shared" si="32"/>
        <v>162.9</v>
      </c>
      <c r="K267" s="16" t="s">
        <v>39</v>
      </c>
      <c r="L267">
        <v>0.6</v>
      </c>
      <c r="M267">
        <v>4.3</v>
      </c>
      <c r="N267">
        <f t="shared" si="35"/>
        <v>-3.6999999999999997</v>
      </c>
      <c r="O267">
        <f t="shared" si="38"/>
        <v>332.80000000000007</v>
      </c>
      <c r="P267">
        <v>243</v>
      </c>
      <c r="Q267">
        <v>1.1499999999999999</v>
      </c>
      <c r="R267">
        <f t="shared" si="36"/>
        <v>4.9449999999999994</v>
      </c>
      <c r="S267">
        <f t="shared" si="37"/>
        <v>-4.3449999999999998</v>
      </c>
      <c r="T267">
        <f t="shared" si="30"/>
        <v>90.705526315789498</v>
      </c>
      <c r="V267">
        <v>1879</v>
      </c>
      <c r="W267">
        <f t="shared" si="34"/>
        <v>19526</v>
      </c>
      <c r="X267">
        <v>13.864084258564485</v>
      </c>
    </row>
    <row r="268" spans="1:25" x14ac:dyDescent="0.25">
      <c r="A268">
        <v>7400</v>
      </c>
      <c r="B268">
        <v>24250</v>
      </c>
      <c r="C268" s="1">
        <v>43213</v>
      </c>
      <c r="E268" s="38"/>
      <c r="F268">
        <v>14.7</v>
      </c>
      <c r="G268">
        <v>13.5</v>
      </c>
      <c r="H268">
        <v>17.399999999999999</v>
      </c>
      <c r="I268">
        <f t="shared" si="31"/>
        <v>1975.3999999999999</v>
      </c>
      <c r="J268">
        <f t="shared" si="32"/>
        <v>177.6</v>
      </c>
      <c r="K268" s="8">
        <v>3</v>
      </c>
      <c r="L268">
        <v>0</v>
      </c>
      <c r="M268">
        <v>2.4</v>
      </c>
      <c r="N268">
        <f t="shared" si="35"/>
        <v>-2.4</v>
      </c>
      <c r="O268">
        <f t="shared" si="38"/>
        <v>330.40000000000009</v>
      </c>
      <c r="P268">
        <v>244</v>
      </c>
      <c r="Q268">
        <v>1.1499999999999999</v>
      </c>
      <c r="R268">
        <f t="shared" si="36"/>
        <v>2.76</v>
      </c>
      <c r="S268">
        <f t="shared" si="37"/>
        <v>-2.76</v>
      </c>
      <c r="T268">
        <f t="shared" si="30"/>
        <v>87.945526315789493</v>
      </c>
      <c r="U268" s="26">
        <f>(U266*100)/153.9</f>
        <v>66.632199406899332</v>
      </c>
      <c r="V268">
        <v>1333.7</v>
      </c>
      <c r="W268">
        <f t="shared" si="34"/>
        <v>20859.7</v>
      </c>
      <c r="X268">
        <v>13.920968617913987</v>
      </c>
    </row>
    <row r="269" spans="1:25" x14ac:dyDescent="0.25">
      <c r="A269">
        <v>7400</v>
      </c>
      <c r="B269">
        <v>24250</v>
      </c>
      <c r="C269" s="1">
        <v>43214</v>
      </c>
      <c r="E269" s="38"/>
      <c r="F269">
        <v>13.2</v>
      </c>
      <c r="G269">
        <v>8.6999999999999993</v>
      </c>
      <c r="H269">
        <v>17.7</v>
      </c>
      <c r="I269">
        <f t="shared" si="31"/>
        <v>1988.6</v>
      </c>
      <c r="J269">
        <f t="shared" si="32"/>
        <v>190.79999999999998</v>
      </c>
      <c r="K269" s="16" t="s">
        <v>40</v>
      </c>
      <c r="L269">
        <v>0</v>
      </c>
      <c r="M269">
        <v>3.3</v>
      </c>
      <c r="N269">
        <f t="shared" si="35"/>
        <v>-3.3</v>
      </c>
      <c r="O269">
        <f t="shared" si="38"/>
        <v>327.10000000000008</v>
      </c>
      <c r="P269">
        <v>245</v>
      </c>
      <c r="Q269">
        <v>1.1499999999999999</v>
      </c>
      <c r="R269">
        <f t="shared" si="36"/>
        <v>3.7949999999999995</v>
      </c>
      <c r="S269">
        <f t="shared" si="37"/>
        <v>-3.7949999999999995</v>
      </c>
      <c r="T269">
        <f t="shared" si="30"/>
        <v>84.150526315789492</v>
      </c>
      <c r="V269">
        <v>2014</v>
      </c>
      <c r="W269">
        <f t="shared" si="34"/>
        <v>22873.7</v>
      </c>
      <c r="X269">
        <v>13.977509527963987</v>
      </c>
    </row>
    <row r="270" spans="1:25" x14ac:dyDescent="0.25">
      <c r="A270">
        <v>7400</v>
      </c>
      <c r="B270">
        <v>24250</v>
      </c>
      <c r="C270" s="1">
        <v>43215</v>
      </c>
      <c r="E270" s="38"/>
      <c r="F270">
        <v>11.4</v>
      </c>
      <c r="G270">
        <v>9.1</v>
      </c>
      <c r="H270">
        <v>14.2</v>
      </c>
      <c r="I270">
        <f t="shared" si="31"/>
        <v>2000</v>
      </c>
      <c r="J270">
        <f t="shared" si="32"/>
        <v>202.2</v>
      </c>
      <c r="K270" s="17">
        <v>0</v>
      </c>
      <c r="L270">
        <v>1.5</v>
      </c>
      <c r="M270">
        <v>1.5</v>
      </c>
      <c r="N270">
        <f t="shared" si="35"/>
        <v>0</v>
      </c>
      <c r="O270">
        <f t="shared" si="38"/>
        <v>327.10000000000008</v>
      </c>
      <c r="P270">
        <v>246</v>
      </c>
      <c r="Q270">
        <v>1.1499999999999999</v>
      </c>
      <c r="R270">
        <f t="shared" si="36"/>
        <v>1.7249999999999999</v>
      </c>
      <c r="S270">
        <f t="shared" si="37"/>
        <v>-0.22499999999999987</v>
      </c>
      <c r="T270">
        <f t="shared" si="30"/>
        <v>83.925526315789497</v>
      </c>
      <c r="V270">
        <v>790.9</v>
      </c>
      <c r="W270">
        <f t="shared" si="34"/>
        <v>23664.600000000002</v>
      </c>
      <c r="X270">
        <v>14.033691097657861</v>
      </c>
    </row>
    <row r="271" spans="1:25" x14ac:dyDescent="0.25">
      <c r="A271">
        <v>7400</v>
      </c>
      <c r="B271">
        <v>24250</v>
      </c>
      <c r="C271" s="1">
        <v>43216</v>
      </c>
      <c r="E271" s="38"/>
      <c r="F271">
        <v>9</v>
      </c>
      <c r="G271">
        <v>5.3</v>
      </c>
      <c r="H271">
        <v>12.2</v>
      </c>
      <c r="I271">
        <f t="shared" si="31"/>
        <v>2009</v>
      </c>
      <c r="J271">
        <f t="shared" si="32"/>
        <v>211.2</v>
      </c>
      <c r="L271">
        <v>0</v>
      </c>
      <c r="M271">
        <v>2.5</v>
      </c>
      <c r="N271">
        <f t="shared" si="35"/>
        <v>-2.5</v>
      </c>
      <c r="O271">
        <f t="shared" si="38"/>
        <v>324.60000000000008</v>
      </c>
      <c r="P271">
        <v>247</v>
      </c>
      <c r="Q271">
        <v>1.1499999999999999</v>
      </c>
      <c r="R271">
        <f t="shared" si="36"/>
        <v>2.875</v>
      </c>
      <c r="S271">
        <f t="shared" si="37"/>
        <v>-2.875</v>
      </c>
      <c r="T271">
        <f t="shared" si="30"/>
        <v>81.050526315789497</v>
      </c>
      <c r="V271">
        <v>1765.8</v>
      </c>
      <c r="W271">
        <f t="shared" si="34"/>
        <v>25430.400000000001</v>
      </c>
      <c r="X271">
        <v>14.089497004442038</v>
      </c>
    </row>
    <row r="272" spans="1:25" x14ac:dyDescent="0.25">
      <c r="A272">
        <v>7400</v>
      </c>
      <c r="B272">
        <v>24250</v>
      </c>
      <c r="C272" s="1">
        <v>43217</v>
      </c>
      <c r="E272" s="38"/>
      <c r="F272">
        <v>12.3</v>
      </c>
      <c r="G272">
        <v>5.8</v>
      </c>
      <c r="H272">
        <v>17.5</v>
      </c>
      <c r="I272">
        <f t="shared" si="31"/>
        <v>2021.3</v>
      </c>
      <c r="J272">
        <f t="shared" si="32"/>
        <v>223.5</v>
      </c>
      <c r="L272">
        <v>0</v>
      </c>
      <c r="M272">
        <v>3.4</v>
      </c>
      <c r="N272">
        <f t="shared" si="35"/>
        <v>-3.4</v>
      </c>
      <c r="O272">
        <f t="shared" si="38"/>
        <v>321.2000000000001</v>
      </c>
      <c r="P272">
        <v>248</v>
      </c>
      <c r="Q272">
        <v>1.1499999999999999</v>
      </c>
      <c r="R272">
        <f t="shared" si="36"/>
        <v>3.9099999999999997</v>
      </c>
      <c r="S272">
        <f t="shared" si="37"/>
        <v>-3.9099999999999997</v>
      </c>
      <c r="T272">
        <f t="shared" si="30"/>
        <v>77.140526315789501</v>
      </c>
      <c r="V272">
        <v>1824.3</v>
      </c>
      <c r="W272">
        <f t="shared" si="34"/>
        <v>27254.7</v>
      </c>
      <c r="X272">
        <v>14.144910489446692</v>
      </c>
    </row>
    <row r="273" spans="1:25" x14ac:dyDescent="0.25">
      <c r="A273">
        <v>7400</v>
      </c>
      <c r="B273">
        <v>24250</v>
      </c>
      <c r="C273" s="1">
        <v>43218</v>
      </c>
      <c r="E273" s="38"/>
      <c r="F273">
        <v>11.1</v>
      </c>
      <c r="G273">
        <v>9.5</v>
      </c>
      <c r="H273">
        <v>14.4</v>
      </c>
      <c r="I273">
        <f t="shared" si="31"/>
        <v>2032.3999999999999</v>
      </c>
      <c r="J273">
        <f t="shared" si="32"/>
        <v>234.6</v>
      </c>
      <c r="L273">
        <v>8.4</v>
      </c>
      <c r="M273">
        <v>2.4</v>
      </c>
      <c r="N273">
        <f t="shared" si="35"/>
        <v>6</v>
      </c>
      <c r="O273">
        <f t="shared" si="38"/>
        <v>327.2000000000001</v>
      </c>
      <c r="P273">
        <v>249</v>
      </c>
      <c r="Q273">
        <v>1.1499999999999999</v>
      </c>
      <c r="R273">
        <f t="shared" si="36"/>
        <v>2.76</v>
      </c>
      <c r="S273">
        <f t="shared" si="37"/>
        <v>5.6400000000000006</v>
      </c>
      <c r="T273">
        <f t="shared" si="30"/>
        <v>82.780526315789501</v>
      </c>
      <c r="V273">
        <v>1105.2</v>
      </c>
      <c r="W273">
        <f t="shared" si="34"/>
        <v>28359.9</v>
      </c>
      <c r="X273">
        <v>14.19991435370433</v>
      </c>
    </row>
    <row r="274" spans="1:25" x14ac:dyDescent="0.25">
      <c r="A274">
        <v>7400</v>
      </c>
      <c r="B274">
        <v>24250</v>
      </c>
      <c r="C274" s="1">
        <v>43219</v>
      </c>
      <c r="E274" s="38"/>
      <c r="F274">
        <v>12.1</v>
      </c>
      <c r="G274">
        <v>7.5</v>
      </c>
      <c r="H274">
        <v>17.2</v>
      </c>
      <c r="I274">
        <f t="shared" si="31"/>
        <v>2044.4999999999998</v>
      </c>
      <c r="J274">
        <f t="shared" si="32"/>
        <v>246.7</v>
      </c>
      <c r="L274">
        <v>19.100000000000001</v>
      </c>
      <c r="M274">
        <v>1.6</v>
      </c>
      <c r="N274">
        <f t="shared" si="35"/>
        <v>17.5</v>
      </c>
      <c r="O274">
        <f t="shared" si="38"/>
        <v>344.7000000000001</v>
      </c>
      <c r="P274">
        <v>250</v>
      </c>
      <c r="Q274">
        <v>1.1499999999999999</v>
      </c>
      <c r="R274">
        <f t="shared" si="36"/>
        <v>1.8399999999999999</v>
      </c>
      <c r="S274">
        <f t="shared" si="37"/>
        <v>17.260000000000002</v>
      </c>
      <c r="T274">
        <f t="shared" si="30"/>
        <v>100.04052631578951</v>
      </c>
      <c r="V274">
        <v>916.8</v>
      </c>
      <c r="W274">
        <f t="shared" si="34"/>
        <v>29276.7</v>
      </c>
      <c r="X274">
        <v>14.254490955476077</v>
      </c>
    </row>
    <row r="275" spans="1:25" x14ac:dyDescent="0.25">
      <c r="A275">
        <v>7400</v>
      </c>
      <c r="B275">
        <v>24250</v>
      </c>
      <c r="C275" s="1">
        <v>43220</v>
      </c>
      <c r="E275" s="38"/>
      <c r="F275">
        <v>7.9</v>
      </c>
      <c r="G275">
        <v>5.9</v>
      </c>
      <c r="H275">
        <v>9.4</v>
      </c>
      <c r="I275">
        <f t="shared" si="31"/>
        <v>2052.3999999999996</v>
      </c>
      <c r="J275">
        <f t="shared" si="32"/>
        <v>254.6</v>
      </c>
      <c r="L275">
        <v>2.1</v>
      </c>
      <c r="M275">
        <v>0.9</v>
      </c>
      <c r="N275">
        <f t="shared" si="35"/>
        <v>1.2000000000000002</v>
      </c>
      <c r="O275">
        <f t="shared" si="38"/>
        <v>345.90000000000009</v>
      </c>
      <c r="P275">
        <v>251</v>
      </c>
      <c r="Q275">
        <v>1.1499999999999999</v>
      </c>
      <c r="R275">
        <f t="shared" si="36"/>
        <v>1.0349999999999999</v>
      </c>
      <c r="S275">
        <f t="shared" si="37"/>
        <v>1.0650000000000002</v>
      </c>
      <c r="T275">
        <f t="shared" si="30"/>
        <v>101.1055263157895</v>
      </c>
      <c r="V275">
        <v>581.79999999999995</v>
      </c>
      <c r="W275">
        <f t="shared" si="34"/>
        <v>29858.5</v>
      </c>
      <c r="X275">
        <v>14.308622208757326</v>
      </c>
    </row>
    <row r="276" spans="1:25" x14ac:dyDescent="0.25">
      <c r="A276">
        <v>7400</v>
      </c>
      <c r="B276">
        <v>24250</v>
      </c>
      <c r="C276" s="1">
        <v>43221</v>
      </c>
      <c r="E276" s="38"/>
      <c r="F276">
        <v>7.6</v>
      </c>
      <c r="G276">
        <v>4.7</v>
      </c>
      <c r="H276">
        <v>11.5</v>
      </c>
      <c r="I276">
        <f t="shared" si="31"/>
        <v>2059.9999999999995</v>
      </c>
      <c r="J276">
        <f t="shared" si="32"/>
        <v>262.2</v>
      </c>
      <c r="L276">
        <v>0</v>
      </c>
      <c r="M276">
        <v>2.2999999999999998</v>
      </c>
      <c r="N276">
        <f t="shared" si="35"/>
        <v>-2.2999999999999998</v>
      </c>
      <c r="O276">
        <f t="shared" si="38"/>
        <v>343.60000000000008</v>
      </c>
      <c r="P276">
        <v>252</v>
      </c>
      <c r="Q276">
        <v>1.1499999999999999</v>
      </c>
      <c r="R276">
        <f t="shared" si="36"/>
        <v>2.6449999999999996</v>
      </c>
      <c r="S276">
        <f t="shared" si="37"/>
        <v>-2.6449999999999996</v>
      </c>
      <c r="T276">
        <f t="shared" si="30"/>
        <v>98.460526315789508</v>
      </c>
      <c r="V276">
        <v>1743.6</v>
      </c>
      <c r="W276">
        <f t="shared" si="34"/>
        <v>31602.1</v>
      </c>
      <c r="X276">
        <v>14.3622895830364</v>
      </c>
    </row>
    <row r="277" spans="1:25" s="4" customFormat="1" ht="15.75" thickBot="1" x14ac:dyDescent="0.3">
      <c r="A277" s="4">
        <v>7400</v>
      </c>
      <c r="B277" s="4">
        <v>24250</v>
      </c>
      <c r="C277" s="5">
        <v>43222</v>
      </c>
      <c r="D277" s="4" t="s">
        <v>30</v>
      </c>
      <c r="E277" s="39"/>
      <c r="F277" s="4">
        <v>10.6</v>
      </c>
      <c r="G277" s="4">
        <v>3.2</v>
      </c>
      <c r="H277" s="4">
        <v>15.4</v>
      </c>
      <c r="I277" s="4">
        <f t="shared" si="31"/>
        <v>2070.5999999999995</v>
      </c>
      <c r="J277" s="4">
        <f t="shared" si="32"/>
        <v>272.8</v>
      </c>
      <c r="L277" s="4">
        <v>0</v>
      </c>
      <c r="M277" s="4">
        <v>2.6</v>
      </c>
      <c r="N277" s="4">
        <f t="shared" si="35"/>
        <v>-2.6</v>
      </c>
      <c r="O277" s="4">
        <f t="shared" si="38"/>
        <v>341.00000000000006</v>
      </c>
      <c r="P277" s="4">
        <v>253</v>
      </c>
      <c r="Q277" s="4">
        <v>1.1499999999999999</v>
      </c>
      <c r="R277" s="4">
        <f t="shared" si="36"/>
        <v>2.9899999999999998</v>
      </c>
      <c r="S277" s="4">
        <f t="shared" si="37"/>
        <v>-2.9899999999999998</v>
      </c>
      <c r="T277" s="4">
        <f t="shared" si="30"/>
        <v>95.470526315789513</v>
      </c>
      <c r="V277" s="4">
        <v>1714.7</v>
      </c>
      <c r="W277" s="4">
        <f t="shared" si="34"/>
        <v>33316.799999999996</v>
      </c>
      <c r="X277" s="4">
        <v>14.415474104381234</v>
      </c>
    </row>
    <row r="278" spans="1:25" x14ac:dyDescent="0.25">
      <c r="A278">
        <v>7400</v>
      </c>
      <c r="B278">
        <v>24250</v>
      </c>
      <c r="C278" s="1">
        <v>43223</v>
      </c>
      <c r="E278" s="34" t="s">
        <v>56</v>
      </c>
      <c r="F278">
        <v>11</v>
      </c>
      <c r="G278">
        <v>8.8000000000000007</v>
      </c>
      <c r="H278">
        <v>14.2</v>
      </c>
      <c r="I278">
        <f t="shared" si="31"/>
        <v>2081.5999999999995</v>
      </c>
      <c r="J278">
        <f>F278</f>
        <v>11</v>
      </c>
      <c r="K278" s="19" t="s">
        <v>34</v>
      </c>
      <c r="L278">
        <v>0</v>
      </c>
      <c r="M278">
        <v>2.7</v>
      </c>
      <c r="N278">
        <f t="shared" si="35"/>
        <v>-2.7</v>
      </c>
      <c r="O278">
        <f t="shared" si="38"/>
        <v>338.30000000000007</v>
      </c>
      <c r="P278">
        <v>254</v>
      </c>
      <c r="Q278">
        <v>1.1499999999999999</v>
      </c>
      <c r="R278">
        <f t="shared" si="36"/>
        <v>3.105</v>
      </c>
      <c r="S278">
        <f t="shared" si="37"/>
        <v>-3.105</v>
      </c>
      <c r="T278">
        <f t="shared" si="30"/>
        <v>92.365526315789509</v>
      </c>
      <c r="U278" s="20" t="s">
        <v>41</v>
      </c>
      <c r="V278">
        <v>1465.7</v>
      </c>
      <c r="W278">
        <f>V278</f>
        <v>1465.7</v>
      </c>
      <c r="X278">
        <v>14.468156357930379</v>
      </c>
      <c r="Y278" s="20" t="s">
        <v>46</v>
      </c>
    </row>
    <row r="279" spans="1:25" x14ac:dyDescent="0.25">
      <c r="A279">
        <v>7400</v>
      </c>
      <c r="B279">
        <v>24250</v>
      </c>
      <c r="C279" s="1">
        <v>43224</v>
      </c>
      <c r="E279" s="35"/>
      <c r="F279">
        <v>13.1</v>
      </c>
      <c r="G279">
        <v>6.5</v>
      </c>
      <c r="H279">
        <v>18.600000000000001</v>
      </c>
      <c r="I279">
        <f t="shared" si="31"/>
        <v>2094.6999999999994</v>
      </c>
      <c r="J279">
        <f t="shared" si="32"/>
        <v>24.1</v>
      </c>
      <c r="K279" s="8">
        <v>308.5</v>
      </c>
      <c r="L279">
        <v>0</v>
      </c>
      <c r="M279">
        <v>4.7</v>
      </c>
      <c r="N279">
        <f t="shared" si="35"/>
        <v>-4.7</v>
      </c>
      <c r="O279">
        <f t="shared" si="38"/>
        <v>333.60000000000008</v>
      </c>
      <c r="P279">
        <v>255</v>
      </c>
      <c r="Q279">
        <v>1.1499999999999999</v>
      </c>
      <c r="R279">
        <f t="shared" si="36"/>
        <v>5.4049999999999994</v>
      </c>
      <c r="S279">
        <f t="shared" si="37"/>
        <v>-5.4049999999999994</v>
      </c>
      <c r="T279">
        <f t="shared" si="30"/>
        <v>86.960526315789508</v>
      </c>
      <c r="U279">
        <v>0</v>
      </c>
      <c r="V279">
        <v>2909.8</v>
      </c>
      <c r="W279">
        <f t="shared" si="34"/>
        <v>4375.5</v>
      </c>
      <c r="X279">
        <v>14.520316491865328</v>
      </c>
      <c r="Y279">
        <v>42013.2</v>
      </c>
    </row>
    <row r="280" spans="1:25" x14ac:dyDescent="0.25">
      <c r="A280">
        <v>7400</v>
      </c>
      <c r="B280">
        <v>24250</v>
      </c>
      <c r="C280" s="1">
        <v>43225</v>
      </c>
      <c r="E280" s="35"/>
      <c r="F280">
        <v>16.399999999999999</v>
      </c>
      <c r="G280">
        <v>9.6</v>
      </c>
      <c r="H280">
        <v>21.7</v>
      </c>
      <c r="I280">
        <f t="shared" si="31"/>
        <v>2111.0999999999995</v>
      </c>
      <c r="J280">
        <f t="shared" si="32"/>
        <v>40.5</v>
      </c>
      <c r="K280" s="19" t="s">
        <v>35</v>
      </c>
      <c r="L280">
        <v>0</v>
      </c>
      <c r="M280">
        <v>5.2</v>
      </c>
      <c r="N280">
        <f t="shared" si="35"/>
        <v>-5.2</v>
      </c>
      <c r="O280">
        <f t="shared" si="38"/>
        <v>328.40000000000009</v>
      </c>
      <c r="P280">
        <v>256</v>
      </c>
      <c r="Q280">
        <v>1.1499999999999999</v>
      </c>
      <c r="R280">
        <f t="shared" si="36"/>
        <v>5.9799999999999995</v>
      </c>
      <c r="S280">
        <f t="shared" si="37"/>
        <v>-5.9799999999999995</v>
      </c>
      <c r="T280">
        <f t="shared" si="30"/>
        <v>80.980526315789504</v>
      </c>
      <c r="U280" s="20" t="s">
        <v>42</v>
      </c>
      <c r="V280">
        <v>2909.8</v>
      </c>
      <c r="W280">
        <f t="shared" si="34"/>
        <v>7285.3</v>
      </c>
      <c r="X280">
        <v>14.571934222941609</v>
      </c>
      <c r="Y280" s="20" t="s">
        <v>47</v>
      </c>
    </row>
    <row r="281" spans="1:25" x14ac:dyDescent="0.25">
      <c r="A281">
        <v>7400</v>
      </c>
      <c r="B281">
        <v>24250</v>
      </c>
      <c r="C281" s="1">
        <v>43226</v>
      </c>
      <c r="E281" s="35"/>
      <c r="F281">
        <v>18.3</v>
      </c>
      <c r="G281">
        <v>12.9</v>
      </c>
      <c r="H281">
        <v>24.2</v>
      </c>
      <c r="I281">
        <f t="shared" si="31"/>
        <v>2129.3999999999996</v>
      </c>
      <c r="J281">
        <f t="shared" si="32"/>
        <v>58.8</v>
      </c>
      <c r="K281" s="25">
        <f>AVERAGE(F278:F298)</f>
        <v>14.690476190476188</v>
      </c>
      <c r="L281">
        <v>0</v>
      </c>
      <c r="M281">
        <v>5.8</v>
      </c>
      <c r="N281">
        <f t="shared" si="35"/>
        <v>-5.8</v>
      </c>
      <c r="O281">
        <f t="shared" si="38"/>
        <v>322.60000000000008</v>
      </c>
      <c r="P281">
        <v>257</v>
      </c>
      <c r="Q281">
        <v>1.1499999999999999</v>
      </c>
      <c r="R281">
        <f t="shared" si="36"/>
        <v>6.669999999999999</v>
      </c>
      <c r="S281">
        <f t="shared" si="37"/>
        <v>-6.669999999999999</v>
      </c>
      <c r="T281">
        <f t="shared" si="30"/>
        <v>74.310526315789502</v>
      </c>
      <c r="U281">
        <v>4</v>
      </c>
      <c r="V281">
        <v>2921.3</v>
      </c>
      <c r="W281">
        <f t="shared" si="34"/>
        <v>10206.6</v>
      </c>
      <c r="X281">
        <v>14.622988843655857</v>
      </c>
      <c r="Y281">
        <f>(Y279/100)/K279</f>
        <v>1.3618541329011344</v>
      </c>
    </row>
    <row r="282" spans="1:25" x14ac:dyDescent="0.25">
      <c r="A282">
        <v>7400</v>
      </c>
      <c r="B282">
        <v>24250</v>
      </c>
      <c r="C282" s="1">
        <v>43227</v>
      </c>
      <c r="E282" s="35"/>
      <c r="F282">
        <v>17.600000000000001</v>
      </c>
      <c r="G282">
        <v>12.2</v>
      </c>
      <c r="H282">
        <v>23.4</v>
      </c>
      <c r="I282">
        <f t="shared" si="31"/>
        <v>2146.9999999999995</v>
      </c>
      <c r="J282">
        <f t="shared" si="32"/>
        <v>76.400000000000006</v>
      </c>
      <c r="K282" s="19" t="s">
        <v>36</v>
      </c>
      <c r="L282">
        <v>0</v>
      </c>
      <c r="M282">
        <v>5.6</v>
      </c>
      <c r="N282">
        <f t="shared" si="35"/>
        <v>-5.6</v>
      </c>
      <c r="O282">
        <f t="shared" si="38"/>
        <v>317.00000000000006</v>
      </c>
      <c r="P282">
        <v>258</v>
      </c>
      <c r="Q282">
        <v>1.1499999999999999</v>
      </c>
      <c r="R282">
        <f t="shared" si="36"/>
        <v>6.4399999999999995</v>
      </c>
      <c r="S282">
        <f t="shared" si="37"/>
        <v>-6.4399999999999995</v>
      </c>
      <c r="T282">
        <f t="shared" ref="T282:T341" si="39">MIN(T281+S282,153.9)</f>
        <v>67.870526315789505</v>
      </c>
      <c r="U282" s="20" t="s">
        <v>43</v>
      </c>
      <c r="V282">
        <v>2793.2</v>
      </c>
      <c r="W282">
        <f t="shared" si="34"/>
        <v>12999.8</v>
      </c>
      <c r="X282">
        <v>14.673459231125456</v>
      </c>
      <c r="Y282" s="20" t="s">
        <v>48</v>
      </c>
    </row>
    <row r="283" spans="1:25" x14ac:dyDescent="0.25">
      <c r="A283">
        <v>7400</v>
      </c>
      <c r="B283">
        <v>24250</v>
      </c>
      <c r="C283" s="1">
        <v>43228</v>
      </c>
      <c r="E283" s="35"/>
      <c r="F283">
        <v>18.600000000000001</v>
      </c>
      <c r="G283">
        <v>12.3</v>
      </c>
      <c r="H283">
        <v>24</v>
      </c>
      <c r="I283">
        <f t="shared" ref="I283:I346" si="40">I282+F283</f>
        <v>2165.5999999999995</v>
      </c>
      <c r="J283">
        <f t="shared" ref="J283:J346" si="41">F283+J282</f>
        <v>95</v>
      </c>
      <c r="K283" s="9">
        <f>MIN(G278:G298)</f>
        <v>6.5</v>
      </c>
      <c r="L283">
        <v>0</v>
      </c>
      <c r="M283">
        <v>5.4</v>
      </c>
      <c r="N283">
        <f t="shared" si="35"/>
        <v>-5.4</v>
      </c>
      <c r="O283">
        <f t="shared" si="38"/>
        <v>311.60000000000008</v>
      </c>
      <c r="P283">
        <v>259</v>
      </c>
      <c r="Q283">
        <v>1.1499999999999999</v>
      </c>
      <c r="R283">
        <f t="shared" si="36"/>
        <v>6.21</v>
      </c>
      <c r="S283">
        <f t="shared" si="37"/>
        <v>-6.21</v>
      </c>
      <c r="T283">
        <f t="shared" si="39"/>
        <v>61.660526315789504</v>
      </c>
      <c r="U283" s="11">
        <f>MIN(T278:T298)</f>
        <v>46.980526315789511</v>
      </c>
      <c r="V283">
        <v>2832.9</v>
      </c>
      <c r="W283">
        <f t="shared" ref="W283:W346" si="42">W282+V283</f>
        <v>15832.699999999999</v>
      </c>
      <c r="X283">
        <v>14.723323857755968</v>
      </c>
      <c r="Y283">
        <v>2</v>
      </c>
    </row>
    <row r="284" spans="1:25" x14ac:dyDescent="0.25">
      <c r="A284">
        <v>7400</v>
      </c>
      <c r="B284">
        <v>24250</v>
      </c>
      <c r="C284" s="1">
        <v>43229</v>
      </c>
      <c r="E284" s="35"/>
      <c r="F284">
        <v>17.399999999999999</v>
      </c>
      <c r="G284">
        <v>12.9</v>
      </c>
      <c r="H284">
        <v>23</v>
      </c>
      <c r="I284">
        <f t="shared" si="40"/>
        <v>2182.9999999999995</v>
      </c>
      <c r="J284">
        <f t="shared" si="41"/>
        <v>112.4</v>
      </c>
      <c r="K284" s="19" t="s">
        <v>37</v>
      </c>
      <c r="L284">
        <v>1</v>
      </c>
      <c r="M284">
        <v>5</v>
      </c>
      <c r="N284">
        <f t="shared" si="35"/>
        <v>-4</v>
      </c>
      <c r="O284">
        <f t="shared" si="38"/>
        <v>307.60000000000008</v>
      </c>
      <c r="P284">
        <v>260</v>
      </c>
      <c r="Q284">
        <v>1.1499999999999999</v>
      </c>
      <c r="R284">
        <f t="shared" si="36"/>
        <v>5.75</v>
      </c>
      <c r="S284">
        <f t="shared" si="37"/>
        <v>-4.75</v>
      </c>
      <c r="T284">
        <f t="shared" si="39"/>
        <v>56.910526315789504</v>
      </c>
      <c r="U284" s="20" t="s">
        <v>44</v>
      </c>
      <c r="V284">
        <v>2711.7</v>
      </c>
      <c r="W284">
        <f t="shared" si="42"/>
        <v>18544.399999999998</v>
      </c>
      <c r="X284">
        <v>14.772560803769609</v>
      </c>
    </row>
    <row r="285" spans="1:25" x14ac:dyDescent="0.25">
      <c r="A285">
        <v>7400</v>
      </c>
      <c r="B285">
        <v>24250</v>
      </c>
      <c r="C285" s="1">
        <v>43230</v>
      </c>
      <c r="E285" s="35"/>
      <c r="F285">
        <v>12.4</v>
      </c>
      <c r="G285">
        <v>11.4</v>
      </c>
      <c r="H285">
        <v>15</v>
      </c>
      <c r="I285">
        <f t="shared" si="40"/>
        <v>2195.3999999999996</v>
      </c>
      <c r="J285">
        <f t="shared" si="41"/>
        <v>124.80000000000001</v>
      </c>
      <c r="K285" s="8">
        <f>MAX(H278:H298)</f>
        <v>24.2</v>
      </c>
      <c r="L285">
        <v>0</v>
      </c>
      <c r="M285">
        <v>2.6</v>
      </c>
      <c r="N285">
        <f t="shared" si="35"/>
        <v>-2.6</v>
      </c>
      <c r="O285">
        <f t="shared" si="38"/>
        <v>305.00000000000006</v>
      </c>
      <c r="P285">
        <v>261</v>
      </c>
      <c r="Q285">
        <v>1.1499999999999999</v>
      </c>
      <c r="R285">
        <f t="shared" si="36"/>
        <v>2.9899999999999998</v>
      </c>
      <c r="S285">
        <f t="shared" si="37"/>
        <v>-2.9899999999999998</v>
      </c>
      <c r="T285">
        <f t="shared" si="39"/>
        <v>53.920526315789502</v>
      </c>
      <c r="U285" s="11">
        <f>MAX(T278:T298)</f>
        <v>92.365526315789509</v>
      </c>
      <c r="V285">
        <v>1196.9000000000001</v>
      </c>
      <c r="W285">
        <f t="shared" si="42"/>
        <v>19741.3</v>
      </c>
      <c r="X285">
        <v>14.821147771665304</v>
      </c>
    </row>
    <row r="286" spans="1:25" x14ac:dyDescent="0.25">
      <c r="A286">
        <v>7400</v>
      </c>
      <c r="B286">
        <v>24250</v>
      </c>
      <c r="C286" s="1">
        <v>43231</v>
      </c>
      <c r="E286" s="35"/>
      <c r="F286">
        <v>13.7</v>
      </c>
      <c r="G286">
        <v>6.9</v>
      </c>
      <c r="H286">
        <v>19.399999999999999</v>
      </c>
      <c r="I286">
        <f t="shared" si="40"/>
        <v>2209.0999999999995</v>
      </c>
      <c r="J286">
        <f t="shared" si="41"/>
        <v>138.5</v>
      </c>
      <c r="K286" s="19" t="s">
        <v>38</v>
      </c>
      <c r="L286">
        <v>0</v>
      </c>
      <c r="M286">
        <v>4</v>
      </c>
      <c r="N286">
        <f t="shared" si="35"/>
        <v>-4</v>
      </c>
      <c r="O286">
        <f t="shared" si="38"/>
        <v>301.00000000000006</v>
      </c>
      <c r="P286">
        <v>262</v>
      </c>
      <c r="Q286">
        <v>1.1499999999999999</v>
      </c>
      <c r="R286">
        <f t="shared" si="36"/>
        <v>4.5999999999999996</v>
      </c>
      <c r="S286">
        <f t="shared" si="37"/>
        <v>-4.5999999999999996</v>
      </c>
      <c r="T286">
        <f t="shared" si="39"/>
        <v>49.3205263157895</v>
      </c>
      <c r="U286" s="20" t="s">
        <v>45</v>
      </c>
      <c r="V286">
        <v>2321.5</v>
      </c>
      <c r="W286">
        <f t="shared" si="42"/>
        <v>22062.799999999999</v>
      </c>
      <c r="X286">
        <v>14.869062102677258</v>
      </c>
    </row>
    <row r="287" spans="1:25" x14ac:dyDescent="0.25">
      <c r="A287">
        <v>7400</v>
      </c>
      <c r="B287">
        <v>24250</v>
      </c>
      <c r="C287" s="1">
        <v>43232</v>
      </c>
      <c r="E287" s="35"/>
      <c r="F287">
        <v>15.4</v>
      </c>
      <c r="G287">
        <v>9.6</v>
      </c>
      <c r="H287">
        <v>22.3</v>
      </c>
      <c r="I287">
        <f t="shared" si="40"/>
        <v>2224.4999999999995</v>
      </c>
      <c r="J287">
        <f t="shared" si="41"/>
        <v>153.9</v>
      </c>
      <c r="K287" s="8">
        <v>0</v>
      </c>
      <c r="L287">
        <v>8.3000000000000007</v>
      </c>
      <c r="M287">
        <v>3.3</v>
      </c>
      <c r="N287">
        <f t="shared" si="35"/>
        <v>5.0000000000000009</v>
      </c>
      <c r="O287">
        <f t="shared" si="38"/>
        <v>306.00000000000006</v>
      </c>
      <c r="P287">
        <v>263</v>
      </c>
      <c r="Q287">
        <v>1.1499999999999999</v>
      </c>
      <c r="R287">
        <f t="shared" si="36"/>
        <v>3.7949999999999995</v>
      </c>
      <c r="S287">
        <f t="shared" si="37"/>
        <v>4.5050000000000008</v>
      </c>
      <c r="T287">
        <f t="shared" si="39"/>
        <v>53.825526315789503</v>
      </c>
      <c r="U287" s="11">
        <f>AVERAGE(T278:T298)</f>
        <v>64.091240601503799</v>
      </c>
      <c r="V287">
        <v>1573.6</v>
      </c>
      <c r="W287">
        <f t="shared" si="42"/>
        <v>23636.399999999998</v>
      </c>
      <c r="X287">
        <v>14.9162807952947</v>
      </c>
    </row>
    <row r="288" spans="1:25" x14ac:dyDescent="0.25">
      <c r="A288">
        <v>7400</v>
      </c>
      <c r="B288">
        <v>24250</v>
      </c>
      <c r="C288" s="1">
        <v>43233</v>
      </c>
      <c r="E288" s="35"/>
      <c r="F288">
        <v>10.1</v>
      </c>
      <c r="G288">
        <v>8.8000000000000007</v>
      </c>
      <c r="H288">
        <v>11</v>
      </c>
      <c r="I288">
        <f t="shared" si="40"/>
        <v>2234.5999999999995</v>
      </c>
      <c r="J288">
        <f t="shared" si="41"/>
        <v>164</v>
      </c>
      <c r="K288" s="19" t="s">
        <v>39</v>
      </c>
      <c r="L288">
        <v>15.6</v>
      </c>
      <c r="M288">
        <v>0.9</v>
      </c>
      <c r="N288">
        <f t="shared" si="35"/>
        <v>14.7</v>
      </c>
      <c r="O288">
        <f t="shared" si="38"/>
        <v>320.70000000000005</v>
      </c>
      <c r="P288">
        <v>264</v>
      </c>
      <c r="Q288">
        <v>1.1499999999999999</v>
      </c>
      <c r="R288">
        <f t="shared" si="36"/>
        <v>1.0349999999999999</v>
      </c>
      <c r="S288">
        <f t="shared" si="37"/>
        <v>14.565</v>
      </c>
      <c r="T288">
        <f t="shared" si="39"/>
        <v>68.390526315789501</v>
      </c>
      <c r="V288">
        <v>595.20000000000005</v>
      </c>
      <c r="W288">
        <f t="shared" si="42"/>
        <v>24231.599999999999</v>
      </c>
      <c r="X288">
        <v>14.962780525899991</v>
      </c>
    </row>
    <row r="289" spans="1:25" x14ac:dyDescent="0.25">
      <c r="A289">
        <v>7400</v>
      </c>
      <c r="B289">
        <v>24250</v>
      </c>
      <c r="C289" s="1">
        <v>43234</v>
      </c>
      <c r="E289" s="35"/>
      <c r="F289">
        <v>11.7</v>
      </c>
      <c r="G289">
        <v>10.1</v>
      </c>
      <c r="H289">
        <v>13.1</v>
      </c>
      <c r="I289">
        <f t="shared" si="40"/>
        <v>2246.2999999999993</v>
      </c>
      <c r="J289">
        <f t="shared" si="41"/>
        <v>175.7</v>
      </c>
      <c r="K289" s="8">
        <v>0</v>
      </c>
      <c r="L289">
        <v>7.2</v>
      </c>
      <c r="M289">
        <v>1.1000000000000001</v>
      </c>
      <c r="N289">
        <f t="shared" si="35"/>
        <v>6.1</v>
      </c>
      <c r="O289">
        <f t="shared" si="38"/>
        <v>326.80000000000007</v>
      </c>
      <c r="P289">
        <v>265</v>
      </c>
      <c r="Q289">
        <v>1.1499999999999999</v>
      </c>
      <c r="R289">
        <f t="shared" si="36"/>
        <v>1.2649999999999999</v>
      </c>
      <c r="S289">
        <f t="shared" si="37"/>
        <v>5.9350000000000005</v>
      </c>
      <c r="T289">
        <f t="shared" si="39"/>
        <v>74.325526315789503</v>
      </c>
      <c r="U289" s="26">
        <f>(U287*100)/153.9</f>
        <v>41.644730735220136</v>
      </c>
      <c r="V289">
        <v>661.6</v>
      </c>
      <c r="W289">
        <f t="shared" si="42"/>
        <v>24893.199999999997</v>
      </c>
      <c r="X289">
        <v>15.008537671576134</v>
      </c>
    </row>
    <row r="290" spans="1:25" x14ac:dyDescent="0.25">
      <c r="A290">
        <v>7400</v>
      </c>
      <c r="B290">
        <v>24250</v>
      </c>
      <c r="C290" s="1">
        <v>43235</v>
      </c>
      <c r="E290" s="35"/>
      <c r="F290">
        <v>14.9</v>
      </c>
      <c r="G290">
        <v>11.1</v>
      </c>
      <c r="H290">
        <v>18.5</v>
      </c>
      <c r="I290">
        <f t="shared" si="40"/>
        <v>2261.1999999999994</v>
      </c>
      <c r="J290">
        <f t="shared" si="41"/>
        <v>190.6</v>
      </c>
      <c r="K290" s="19" t="s">
        <v>40</v>
      </c>
      <c r="L290">
        <v>0.1</v>
      </c>
      <c r="M290">
        <v>2.5</v>
      </c>
      <c r="N290">
        <f t="shared" si="35"/>
        <v>-2.4</v>
      </c>
      <c r="O290">
        <f t="shared" si="38"/>
        <v>324.40000000000009</v>
      </c>
      <c r="P290">
        <v>266</v>
      </c>
      <c r="Q290">
        <v>1.1499999999999999</v>
      </c>
      <c r="R290">
        <f t="shared" si="36"/>
        <v>2.875</v>
      </c>
      <c r="S290">
        <f t="shared" si="37"/>
        <v>-2.7749999999999999</v>
      </c>
      <c r="T290">
        <f t="shared" si="39"/>
        <v>71.550526315789497</v>
      </c>
      <c r="V290">
        <v>1526.3</v>
      </c>
      <c r="W290">
        <f t="shared" si="42"/>
        <v>26419.499999999996</v>
      </c>
      <c r="X290">
        <v>15.053528335127302</v>
      </c>
    </row>
    <row r="291" spans="1:25" x14ac:dyDescent="0.25">
      <c r="A291">
        <v>7400</v>
      </c>
      <c r="B291">
        <v>24250</v>
      </c>
      <c r="C291" s="1">
        <v>43236</v>
      </c>
      <c r="E291" s="35"/>
      <c r="F291">
        <v>14.7</v>
      </c>
      <c r="G291">
        <v>11.7</v>
      </c>
      <c r="H291">
        <v>18.100000000000001</v>
      </c>
      <c r="I291">
        <f t="shared" si="40"/>
        <v>2275.8999999999992</v>
      </c>
      <c r="J291">
        <f t="shared" si="41"/>
        <v>205.29999999999998</v>
      </c>
      <c r="K291" s="17">
        <v>0</v>
      </c>
      <c r="L291">
        <v>1.1000000000000001</v>
      </c>
      <c r="M291">
        <v>2.4</v>
      </c>
      <c r="N291">
        <f t="shared" si="35"/>
        <v>-1.2999999999999998</v>
      </c>
      <c r="O291">
        <f t="shared" si="38"/>
        <v>323.10000000000008</v>
      </c>
      <c r="P291">
        <v>267</v>
      </c>
      <c r="Q291">
        <v>1.1499999999999999</v>
      </c>
      <c r="R291">
        <f t="shared" si="36"/>
        <v>2.76</v>
      </c>
      <c r="S291">
        <f t="shared" si="37"/>
        <v>-1.6599999999999997</v>
      </c>
      <c r="T291">
        <f t="shared" si="39"/>
        <v>69.890526315789501</v>
      </c>
      <c r="V291">
        <v>1571.2</v>
      </c>
      <c r="W291">
        <f t="shared" si="42"/>
        <v>27990.699999999997</v>
      </c>
      <c r="X291">
        <v>15.09772837234769</v>
      </c>
    </row>
    <row r="292" spans="1:25" x14ac:dyDescent="0.25">
      <c r="A292">
        <v>7400</v>
      </c>
      <c r="B292">
        <v>24250</v>
      </c>
      <c r="C292" s="1">
        <v>43237</v>
      </c>
      <c r="E292" s="35"/>
      <c r="F292">
        <v>13.7</v>
      </c>
      <c r="G292">
        <v>11.1</v>
      </c>
      <c r="H292">
        <v>16.899999999999999</v>
      </c>
      <c r="I292">
        <f t="shared" si="40"/>
        <v>2289.599999999999</v>
      </c>
      <c r="J292">
        <f t="shared" si="41"/>
        <v>218.99999999999997</v>
      </c>
      <c r="L292">
        <v>0</v>
      </c>
      <c r="M292">
        <v>4</v>
      </c>
      <c r="N292">
        <f t="shared" si="35"/>
        <v>-4</v>
      </c>
      <c r="O292">
        <f t="shared" si="38"/>
        <v>319.10000000000008</v>
      </c>
      <c r="P292">
        <v>268</v>
      </c>
      <c r="Q292">
        <v>1.1499999999999999</v>
      </c>
      <c r="R292">
        <f t="shared" si="36"/>
        <v>4.5999999999999996</v>
      </c>
      <c r="S292">
        <f t="shared" si="37"/>
        <v>-4.5999999999999996</v>
      </c>
      <c r="T292">
        <f t="shared" si="39"/>
        <v>65.290526315789506</v>
      </c>
      <c r="V292">
        <v>2338.8000000000002</v>
      </c>
      <c r="W292">
        <f t="shared" si="42"/>
        <v>30329.499999999996</v>
      </c>
      <c r="X292">
        <v>15.141113421564457</v>
      </c>
    </row>
    <row r="293" spans="1:25" x14ac:dyDescent="0.25">
      <c r="A293">
        <v>7400</v>
      </c>
      <c r="B293">
        <v>24250</v>
      </c>
      <c r="C293" s="1">
        <v>43238</v>
      </c>
      <c r="E293" s="35"/>
      <c r="F293">
        <v>12</v>
      </c>
      <c r="G293">
        <v>7.9</v>
      </c>
      <c r="H293">
        <v>16.7</v>
      </c>
      <c r="I293">
        <f t="shared" si="40"/>
        <v>2301.599999999999</v>
      </c>
      <c r="J293">
        <f t="shared" si="41"/>
        <v>230.99999999999997</v>
      </c>
      <c r="L293">
        <v>0</v>
      </c>
      <c r="M293">
        <v>4.3</v>
      </c>
      <c r="N293">
        <f t="shared" si="35"/>
        <v>-4.3</v>
      </c>
      <c r="O293">
        <f t="shared" si="38"/>
        <v>314.80000000000007</v>
      </c>
      <c r="P293">
        <v>269</v>
      </c>
      <c r="Q293">
        <v>1.1499999999999999</v>
      </c>
      <c r="R293">
        <f t="shared" si="36"/>
        <v>4.9449999999999994</v>
      </c>
      <c r="S293">
        <f t="shared" si="37"/>
        <v>-4.9449999999999994</v>
      </c>
      <c r="T293">
        <f t="shared" si="39"/>
        <v>60.345526315789506</v>
      </c>
      <c r="V293">
        <v>2896</v>
      </c>
      <c r="W293">
        <f t="shared" si="42"/>
        <v>33225.5</v>
      </c>
      <c r="X293">
        <v>15.18365893546996</v>
      </c>
    </row>
    <row r="294" spans="1:25" x14ac:dyDescent="0.25">
      <c r="A294">
        <v>7400</v>
      </c>
      <c r="B294">
        <v>24250</v>
      </c>
      <c r="C294" s="1">
        <v>43239</v>
      </c>
      <c r="E294" s="35"/>
      <c r="F294">
        <v>13</v>
      </c>
      <c r="G294">
        <v>7.8</v>
      </c>
      <c r="H294">
        <v>17.8</v>
      </c>
      <c r="I294">
        <f t="shared" si="40"/>
        <v>2314.599999999999</v>
      </c>
      <c r="J294">
        <f t="shared" si="41"/>
        <v>243.99999999999997</v>
      </c>
      <c r="L294">
        <v>0</v>
      </c>
      <c r="M294">
        <v>3.4</v>
      </c>
      <c r="N294">
        <f t="shared" si="35"/>
        <v>-3.4</v>
      </c>
      <c r="O294">
        <f t="shared" si="38"/>
        <v>311.40000000000009</v>
      </c>
      <c r="P294">
        <v>270</v>
      </c>
      <c r="Q294">
        <v>1.1499999999999999</v>
      </c>
      <c r="R294">
        <f t="shared" si="36"/>
        <v>3.9099999999999997</v>
      </c>
      <c r="S294">
        <f t="shared" si="37"/>
        <v>-3.9099999999999997</v>
      </c>
      <c r="T294">
        <f t="shared" si="39"/>
        <v>56.43552631578951</v>
      </c>
      <c r="V294">
        <v>2165.6</v>
      </c>
      <c r="W294">
        <f t="shared" si="42"/>
        <v>35391.1</v>
      </c>
      <c r="X294">
        <v>15.225340215246714</v>
      </c>
    </row>
    <row r="295" spans="1:25" x14ac:dyDescent="0.25">
      <c r="A295">
        <v>7400</v>
      </c>
      <c r="B295">
        <v>24250</v>
      </c>
      <c r="C295" s="1">
        <v>43240</v>
      </c>
      <c r="E295" s="35"/>
      <c r="F295">
        <v>14.2</v>
      </c>
      <c r="G295">
        <v>8.5</v>
      </c>
      <c r="H295">
        <v>21.4</v>
      </c>
      <c r="I295">
        <f t="shared" si="40"/>
        <v>2328.7999999999988</v>
      </c>
      <c r="J295">
        <f t="shared" si="41"/>
        <v>258.2</v>
      </c>
      <c r="L295">
        <v>1.3</v>
      </c>
      <c r="M295">
        <v>3.8</v>
      </c>
      <c r="N295">
        <f t="shared" si="35"/>
        <v>-2.5</v>
      </c>
      <c r="O295">
        <f t="shared" si="38"/>
        <v>308.90000000000009</v>
      </c>
      <c r="P295">
        <v>271</v>
      </c>
      <c r="Q295">
        <v>1.1499999999999999</v>
      </c>
      <c r="R295">
        <f t="shared" si="36"/>
        <v>4.3699999999999992</v>
      </c>
      <c r="S295">
        <f t="shared" si="37"/>
        <v>-3.0699999999999994</v>
      </c>
      <c r="T295">
        <f t="shared" si="39"/>
        <v>53.365526315789509</v>
      </c>
      <c r="V295">
        <v>2111.6</v>
      </c>
      <c r="W295">
        <f t="shared" si="42"/>
        <v>37502.699999999997</v>
      </c>
      <c r="X295">
        <v>15.266132446975645</v>
      </c>
    </row>
    <row r="296" spans="1:25" x14ac:dyDescent="0.25">
      <c r="A296">
        <v>7400</v>
      </c>
      <c r="B296">
        <v>24250</v>
      </c>
      <c r="C296" s="1">
        <v>43241</v>
      </c>
      <c r="E296" s="35"/>
      <c r="F296">
        <v>16.899999999999999</v>
      </c>
      <c r="G296">
        <v>9.9</v>
      </c>
      <c r="H296">
        <v>22.2</v>
      </c>
      <c r="I296">
        <f t="shared" si="40"/>
        <v>2345.6999999999989</v>
      </c>
      <c r="J296">
        <f t="shared" si="41"/>
        <v>275.09999999999997</v>
      </c>
      <c r="L296">
        <v>1.2</v>
      </c>
      <c r="M296">
        <v>2.9</v>
      </c>
      <c r="N296">
        <f t="shared" si="35"/>
        <v>-1.7</v>
      </c>
      <c r="O296">
        <f t="shared" si="38"/>
        <v>307.2000000000001</v>
      </c>
      <c r="P296">
        <v>272</v>
      </c>
      <c r="Q296">
        <v>1.1499999999999999</v>
      </c>
      <c r="R296">
        <f t="shared" si="36"/>
        <v>3.3349999999999995</v>
      </c>
      <c r="S296">
        <f t="shared" si="37"/>
        <v>-2.1349999999999998</v>
      </c>
      <c r="T296">
        <f t="shared" si="39"/>
        <v>51.230526315789511</v>
      </c>
      <c r="V296">
        <v>1828.5</v>
      </c>
      <c r="W296">
        <f t="shared" si="42"/>
        <v>39331.199999999997</v>
      </c>
      <c r="X296">
        <v>15.306010740304181</v>
      </c>
    </row>
    <row r="297" spans="1:25" x14ac:dyDescent="0.25">
      <c r="A297">
        <v>7400</v>
      </c>
      <c r="B297">
        <v>24250</v>
      </c>
      <c r="C297" s="1">
        <v>43242</v>
      </c>
      <c r="E297" s="35"/>
      <c r="F297">
        <v>17</v>
      </c>
      <c r="G297">
        <v>13.9</v>
      </c>
      <c r="H297">
        <v>20.9</v>
      </c>
      <c r="I297">
        <f t="shared" si="40"/>
        <v>2362.6999999999989</v>
      </c>
      <c r="J297">
        <f t="shared" si="41"/>
        <v>292.09999999999997</v>
      </c>
      <c r="L297">
        <v>1.4</v>
      </c>
      <c r="M297">
        <v>2.2999999999999998</v>
      </c>
      <c r="N297">
        <f t="shared" si="35"/>
        <v>-0.89999999999999991</v>
      </c>
      <c r="O297">
        <f t="shared" si="38"/>
        <v>306.30000000000013</v>
      </c>
      <c r="P297">
        <v>273</v>
      </c>
      <c r="Q297">
        <v>1.1499999999999999</v>
      </c>
      <c r="R297">
        <f t="shared" si="36"/>
        <v>2.6449999999999996</v>
      </c>
      <c r="S297">
        <f t="shared" si="37"/>
        <v>-1.2449999999999997</v>
      </c>
      <c r="T297">
        <f t="shared" si="39"/>
        <v>49.985526315789514</v>
      </c>
      <c r="V297">
        <v>1254.9000000000001</v>
      </c>
      <c r="W297">
        <f t="shared" si="42"/>
        <v>40586.1</v>
      </c>
      <c r="X297">
        <v>15.344950169335739</v>
      </c>
    </row>
    <row r="298" spans="1:25" s="4" customFormat="1" ht="15.75" thickBot="1" x14ac:dyDescent="0.3">
      <c r="A298" s="4">
        <v>7400</v>
      </c>
      <c r="B298" s="4">
        <v>24250</v>
      </c>
      <c r="C298" s="5">
        <v>43243</v>
      </c>
      <c r="E298" s="36"/>
      <c r="F298" s="4">
        <v>16.399999999999999</v>
      </c>
      <c r="G298" s="4">
        <v>12.7</v>
      </c>
      <c r="H298" s="4">
        <v>21.5</v>
      </c>
      <c r="I298" s="4">
        <f t="shared" si="40"/>
        <v>2379.099999999999</v>
      </c>
      <c r="J298" s="4">
        <f t="shared" si="41"/>
        <v>308.49999999999994</v>
      </c>
      <c r="L298" s="4">
        <v>0.1</v>
      </c>
      <c r="M298" s="4">
        <v>2.7</v>
      </c>
      <c r="N298" s="4">
        <f t="shared" si="35"/>
        <v>-2.6</v>
      </c>
      <c r="O298" s="4">
        <f t="shared" si="38"/>
        <v>303.7000000000001</v>
      </c>
      <c r="P298" s="4">
        <v>274</v>
      </c>
      <c r="Q298" s="4">
        <v>1.1499999999999999</v>
      </c>
      <c r="R298" s="4">
        <f t="shared" si="36"/>
        <v>3.105</v>
      </c>
      <c r="S298" s="4">
        <f t="shared" si="37"/>
        <v>-3.0049999999999999</v>
      </c>
      <c r="T298" s="4">
        <f t="shared" si="39"/>
        <v>46.980526315789511</v>
      </c>
      <c r="V298" s="4">
        <v>1427.1</v>
      </c>
      <c r="W298" s="4">
        <f t="shared" si="42"/>
        <v>42013.2</v>
      </c>
      <c r="X298" s="4">
        <v>15.382925815685921</v>
      </c>
    </row>
    <row r="299" spans="1:25" x14ac:dyDescent="0.25">
      <c r="A299">
        <v>7400</v>
      </c>
      <c r="B299">
        <v>24250</v>
      </c>
      <c r="C299" s="1">
        <v>43244</v>
      </c>
      <c r="E299" s="31" t="s">
        <v>57</v>
      </c>
      <c r="F299">
        <v>18.399999999999999</v>
      </c>
      <c r="G299">
        <v>13</v>
      </c>
      <c r="H299">
        <v>23</v>
      </c>
      <c r="I299">
        <f t="shared" si="40"/>
        <v>2397.4999999999991</v>
      </c>
      <c r="J299">
        <f>F299</f>
        <v>18.399999999999999</v>
      </c>
      <c r="K299" s="21" t="s">
        <v>34</v>
      </c>
      <c r="L299">
        <v>0</v>
      </c>
      <c r="M299">
        <v>3.5</v>
      </c>
      <c r="N299">
        <f t="shared" si="35"/>
        <v>-3.5</v>
      </c>
      <c r="O299">
        <f t="shared" si="38"/>
        <v>300.2000000000001</v>
      </c>
      <c r="P299">
        <v>275</v>
      </c>
      <c r="Q299">
        <f>1.15+((P299-274)/48)*(0.35-1.15)</f>
        <v>1.1333333333333333</v>
      </c>
      <c r="R299">
        <f t="shared" si="36"/>
        <v>3.9666666666666668</v>
      </c>
      <c r="S299">
        <f t="shared" si="37"/>
        <v>-3.9666666666666668</v>
      </c>
      <c r="T299">
        <f t="shared" si="39"/>
        <v>43.013859649122843</v>
      </c>
      <c r="U299" s="22" t="s">
        <v>41</v>
      </c>
      <c r="V299">
        <v>1928.8</v>
      </c>
      <c r="W299">
        <f>V299</f>
        <v>1928.8</v>
      </c>
      <c r="X299">
        <v>15.419912813633868</v>
      </c>
      <c r="Y299" s="22" t="s">
        <v>46</v>
      </c>
    </row>
    <row r="300" spans="1:25" x14ac:dyDescent="0.25">
      <c r="A300">
        <v>7400</v>
      </c>
      <c r="B300">
        <v>24250</v>
      </c>
      <c r="C300" s="1">
        <v>43245</v>
      </c>
      <c r="E300" s="32"/>
      <c r="F300">
        <v>20.3</v>
      </c>
      <c r="G300">
        <v>13.6</v>
      </c>
      <c r="H300">
        <v>25.2</v>
      </c>
      <c r="I300">
        <f t="shared" si="40"/>
        <v>2417.7999999999993</v>
      </c>
      <c r="J300">
        <f t="shared" si="41"/>
        <v>38.700000000000003</v>
      </c>
      <c r="K300" s="8">
        <v>318.5</v>
      </c>
      <c r="L300">
        <v>0</v>
      </c>
      <c r="M300">
        <v>3.6</v>
      </c>
      <c r="N300">
        <f t="shared" si="35"/>
        <v>-3.6</v>
      </c>
      <c r="O300">
        <f t="shared" si="38"/>
        <v>296.60000000000008</v>
      </c>
      <c r="P300">
        <v>276</v>
      </c>
      <c r="Q300">
        <f t="shared" ref="Q300:Q346" si="43">1.15+((P300-274)/48)*(0.35-1.15)</f>
        <v>1.1166666666666667</v>
      </c>
      <c r="R300">
        <f t="shared" si="36"/>
        <v>4.0200000000000005</v>
      </c>
      <c r="S300">
        <f t="shared" si="37"/>
        <v>-4.0200000000000005</v>
      </c>
      <c r="T300">
        <f t="shared" si="39"/>
        <v>38.99385964912284</v>
      </c>
      <c r="U300">
        <v>0</v>
      </c>
      <c r="V300">
        <v>1866</v>
      </c>
      <c r="W300">
        <f t="shared" si="42"/>
        <v>3794.8</v>
      </c>
      <c r="X300">
        <v>15.455886397279169</v>
      </c>
      <c r="Y300">
        <v>26221.8</v>
      </c>
    </row>
    <row r="301" spans="1:25" x14ac:dyDescent="0.25">
      <c r="A301">
        <v>7400</v>
      </c>
      <c r="B301">
        <v>24250</v>
      </c>
      <c r="C301" s="1">
        <v>43246</v>
      </c>
      <c r="E301" s="32"/>
      <c r="F301">
        <v>21.3</v>
      </c>
      <c r="G301">
        <v>16.5</v>
      </c>
      <c r="H301">
        <v>27.5</v>
      </c>
      <c r="I301">
        <f t="shared" si="40"/>
        <v>2439.0999999999995</v>
      </c>
      <c r="J301">
        <f t="shared" si="41"/>
        <v>60</v>
      </c>
      <c r="K301" s="21" t="s">
        <v>35</v>
      </c>
      <c r="L301">
        <v>0</v>
      </c>
      <c r="M301">
        <v>5.0999999999999996</v>
      </c>
      <c r="N301">
        <f t="shared" si="35"/>
        <v>-5.0999999999999996</v>
      </c>
      <c r="O301">
        <f t="shared" si="38"/>
        <v>291.50000000000006</v>
      </c>
      <c r="P301">
        <v>277</v>
      </c>
      <c r="Q301">
        <f t="shared" si="43"/>
        <v>1.0999999999999999</v>
      </c>
      <c r="R301">
        <f t="shared" si="36"/>
        <v>5.6099999999999985</v>
      </c>
      <c r="S301">
        <f t="shared" si="37"/>
        <v>-5.6099999999999985</v>
      </c>
      <c r="T301">
        <f t="shared" si="39"/>
        <v>33.38385964912284</v>
      </c>
      <c r="U301" s="22" t="s">
        <v>42</v>
      </c>
      <c r="V301">
        <v>2277.5</v>
      </c>
      <c r="W301">
        <f t="shared" si="42"/>
        <v>6072.3</v>
      </c>
      <c r="X301">
        <v>15.490821949596164</v>
      </c>
      <c r="Y301" s="22" t="s">
        <v>47</v>
      </c>
    </row>
    <row r="302" spans="1:25" x14ac:dyDescent="0.25">
      <c r="A302">
        <v>7400</v>
      </c>
      <c r="B302">
        <v>24250</v>
      </c>
      <c r="C302" s="1">
        <v>43247</v>
      </c>
      <c r="E302" s="32"/>
      <c r="F302">
        <v>22.6</v>
      </c>
      <c r="G302">
        <v>17.7</v>
      </c>
      <c r="H302">
        <v>27.7</v>
      </c>
      <c r="I302">
        <f t="shared" si="40"/>
        <v>2461.6999999999994</v>
      </c>
      <c r="J302">
        <f t="shared" si="41"/>
        <v>82.6</v>
      </c>
      <c r="K302" s="8">
        <f>AVERAGE(F299:F314)</f>
        <v>19.906250000000004</v>
      </c>
      <c r="L302">
        <v>0.9</v>
      </c>
      <c r="M302">
        <v>3.1</v>
      </c>
      <c r="N302">
        <f t="shared" si="35"/>
        <v>-2.2000000000000002</v>
      </c>
      <c r="O302">
        <f t="shared" si="38"/>
        <v>289.30000000000007</v>
      </c>
      <c r="P302">
        <v>278</v>
      </c>
      <c r="Q302">
        <f t="shared" si="43"/>
        <v>1.0833333333333333</v>
      </c>
      <c r="R302">
        <f t="shared" si="36"/>
        <v>3.3583333333333334</v>
      </c>
      <c r="S302">
        <f t="shared" si="37"/>
        <v>-2.4583333333333335</v>
      </c>
      <c r="T302">
        <f t="shared" si="39"/>
        <v>30.925526315789508</v>
      </c>
      <c r="U302">
        <v>16</v>
      </c>
      <c r="V302">
        <v>1414.7</v>
      </c>
      <c r="W302">
        <f t="shared" si="42"/>
        <v>7487</v>
      </c>
      <c r="X302">
        <v>15.524695053258322</v>
      </c>
      <c r="Y302">
        <f>(Y300/100)/K300</f>
        <v>0.82329042386185247</v>
      </c>
    </row>
    <row r="303" spans="1:25" x14ac:dyDescent="0.25">
      <c r="A303">
        <v>7400</v>
      </c>
      <c r="B303">
        <v>24250</v>
      </c>
      <c r="C303" s="1">
        <v>43248</v>
      </c>
      <c r="E303" s="32"/>
      <c r="F303">
        <v>19.399999999999999</v>
      </c>
      <c r="G303">
        <v>17.5</v>
      </c>
      <c r="H303">
        <v>25.2</v>
      </c>
      <c r="I303">
        <f t="shared" si="40"/>
        <v>2481.0999999999995</v>
      </c>
      <c r="J303">
        <f t="shared" si="41"/>
        <v>102</v>
      </c>
      <c r="K303" s="21" t="s">
        <v>36</v>
      </c>
      <c r="L303">
        <v>0.1</v>
      </c>
      <c r="M303">
        <v>3.2</v>
      </c>
      <c r="N303">
        <f t="shared" si="35"/>
        <v>-3.1</v>
      </c>
      <c r="O303">
        <f t="shared" si="38"/>
        <v>286.20000000000005</v>
      </c>
      <c r="P303">
        <v>279</v>
      </c>
      <c r="Q303">
        <f t="shared" si="43"/>
        <v>1.0666666666666667</v>
      </c>
      <c r="R303">
        <f t="shared" si="36"/>
        <v>3.4133333333333336</v>
      </c>
      <c r="S303">
        <f t="shared" si="37"/>
        <v>-3.3133333333333335</v>
      </c>
      <c r="T303">
        <f t="shared" si="39"/>
        <v>27.612192982456175</v>
      </c>
      <c r="U303" s="22" t="s">
        <v>43</v>
      </c>
      <c r="V303">
        <v>1537.3</v>
      </c>
      <c r="W303">
        <f t="shared" si="42"/>
        <v>9024.2999999999993</v>
      </c>
      <c r="X303">
        <v>15.557481543085673</v>
      </c>
      <c r="Y303" s="22" t="s">
        <v>48</v>
      </c>
    </row>
    <row r="304" spans="1:25" x14ac:dyDescent="0.25">
      <c r="A304">
        <v>7400</v>
      </c>
      <c r="B304">
        <v>24250</v>
      </c>
      <c r="C304" s="1">
        <v>43249</v>
      </c>
      <c r="E304" s="32"/>
      <c r="F304">
        <v>18.7</v>
      </c>
      <c r="G304">
        <v>15.7</v>
      </c>
      <c r="H304">
        <v>22.2</v>
      </c>
      <c r="I304">
        <f t="shared" si="40"/>
        <v>2499.7999999999993</v>
      </c>
      <c r="J304">
        <f t="shared" si="41"/>
        <v>120.7</v>
      </c>
      <c r="K304" s="9">
        <f>MIN(G299:G314)</f>
        <v>13</v>
      </c>
      <c r="L304">
        <v>4.2</v>
      </c>
      <c r="M304">
        <v>2.2999999999999998</v>
      </c>
      <c r="N304">
        <f t="shared" si="35"/>
        <v>1.9000000000000004</v>
      </c>
      <c r="O304">
        <f t="shared" si="38"/>
        <v>288.10000000000002</v>
      </c>
      <c r="P304">
        <v>280</v>
      </c>
      <c r="Q304">
        <f t="shared" si="43"/>
        <v>1.0499999999999998</v>
      </c>
      <c r="R304">
        <f t="shared" si="36"/>
        <v>2.4149999999999996</v>
      </c>
      <c r="S304">
        <f t="shared" si="37"/>
        <v>1.7850000000000006</v>
      </c>
      <c r="T304">
        <f t="shared" si="39"/>
        <v>29.397192982456176</v>
      </c>
      <c r="U304" s="11">
        <f>MIN(T299:T314)</f>
        <v>23.233859649122842</v>
      </c>
      <c r="V304">
        <v>1248.2</v>
      </c>
      <c r="W304">
        <f t="shared" si="42"/>
        <v>10272.5</v>
      </c>
      <c r="X304">
        <v>15.589157559948465</v>
      </c>
      <c r="Y304">
        <v>0</v>
      </c>
    </row>
    <row r="305" spans="1:25" x14ac:dyDescent="0.25">
      <c r="A305">
        <v>7400</v>
      </c>
      <c r="B305">
        <v>24250</v>
      </c>
      <c r="C305" s="1">
        <v>43250</v>
      </c>
      <c r="E305" s="32"/>
      <c r="F305">
        <v>18.8</v>
      </c>
      <c r="G305">
        <v>15.3</v>
      </c>
      <c r="H305">
        <v>24.4</v>
      </c>
      <c r="I305">
        <f t="shared" si="40"/>
        <v>2518.5999999999995</v>
      </c>
      <c r="J305">
        <f t="shared" si="41"/>
        <v>139.5</v>
      </c>
      <c r="K305" s="21" t="s">
        <v>37</v>
      </c>
      <c r="L305">
        <v>2</v>
      </c>
      <c r="M305">
        <v>2.7</v>
      </c>
      <c r="N305">
        <f t="shared" si="35"/>
        <v>-0.70000000000000018</v>
      </c>
      <c r="O305">
        <f t="shared" si="38"/>
        <v>287.40000000000003</v>
      </c>
      <c r="P305">
        <v>281</v>
      </c>
      <c r="Q305">
        <f t="shared" si="43"/>
        <v>1.0333333333333332</v>
      </c>
      <c r="R305">
        <f t="shared" si="36"/>
        <v>2.79</v>
      </c>
      <c r="S305">
        <f t="shared" si="37"/>
        <v>-0.79</v>
      </c>
      <c r="T305">
        <f t="shared" si="39"/>
        <v>28.607192982456176</v>
      </c>
      <c r="U305" s="22" t="s">
        <v>44</v>
      </c>
      <c r="V305">
        <v>1200.4000000000001</v>
      </c>
      <c r="W305">
        <f t="shared" si="42"/>
        <v>11472.9</v>
      </c>
      <c r="X305">
        <v>15.619699605940459</v>
      </c>
    </row>
    <row r="306" spans="1:25" x14ac:dyDescent="0.25">
      <c r="A306">
        <v>7400</v>
      </c>
      <c r="B306">
        <v>24250</v>
      </c>
      <c r="C306" s="1">
        <v>43251</v>
      </c>
      <c r="E306" s="32"/>
      <c r="F306">
        <v>20.3</v>
      </c>
      <c r="G306">
        <v>15.8</v>
      </c>
      <c r="H306">
        <v>24.2</v>
      </c>
      <c r="I306">
        <f t="shared" si="40"/>
        <v>2538.8999999999996</v>
      </c>
      <c r="J306">
        <f t="shared" si="41"/>
        <v>159.80000000000001</v>
      </c>
      <c r="K306" s="8">
        <f>MAX(H299:H314)</f>
        <v>27.7</v>
      </c>
      <c r="L306">
        <v>4.7</v>
      </c>
      <c r="M306">
        <v>3.7</v>
      </c>
      <c r="N306">
        <f t="shared" si="35"/>
        <v>1</v>
      </c>
      <c r="O306">
        <f t="shared" si="38"/>
        <v>288.40000000000003</v>
      </c>
      <c r="P306">
        <v>282</v>
      </c>
      <c r="Q306">
        <f t="shared" si="43"/>
        <v>1.0166666666666666</v>
      </c>
      <c r="R306">
        <f t="shared" si="36"/>
        <v>3.7616666666666667</v>
      </c>
      <c r="S306">
        <f t="shared" si="37"/>
        <v>0.93833333333333346</v>
      </c>
      <c r="T306">
        <f t="shared" si="39"/>
        <v>29.545526315789509</v>
      </c>
      <c r="U306" s="11">
        <f>MAX(T299:T314)</f>
        <v>43.013859649122843</v>
      </c>
      <c r="V306">
        <v>2017.8</v>
      </c>
      <c r="W306">
        <f t="shared" si="42"/>
        <v>13490.699999999999</v>
      </c>
      <c r="X306">
        <v>15.649084600615561</v>
      </c>
    </row>
    <row r="307" spans="1:25" x14ac:dyDescent="0.25">
      <c r="A307">
        <v>7400</v>
      </c>
      <c r="B307">
        <v>24250</v>
      </c>
      <c r="C307" s="1">
        <v>43252</v>
      </c>
      <c r="E307" s="32"/>
      <c r="F307">
        <v>17.600000000000001</v>
      </c>
      <c r="G307">
        <v>15.5</v>
      </c>
      <c r="H307">
        <v>20.6</v>
      </c>
      <c r="I307">
        <f t="shared" si="40"/>
        <v>2556.4999999999995</v>
      </c>
      <c r="J307">
        <f t="shared" si="41"/>
        <v>177.4</v>
      </c>
      <c r="K307" s="21" t="s">
        <v>38</v>
      </c>
      <c r="L307">
        <v>2.1</v>
      </c>
      <c r="M307">
        <v>1.7</v>
      </c>
      <c r="N307">
        <f t="shared" si="35"/>
        <v>0.40000000000000013</v>
      </c>
      <c r="O307">
        <f t="shared" si="38"/>
        <v>288.8</v>
      </c>
      <c r="P307">
        <v>283</v>
      </c>
      <c r="Q307">
        <f t="shared" si="43"/>
        <v>0.99999999999999989</v>
      </c>
      <c r="R307">
        <f t="shared" si="36"/>
        <v>1.6999999999999997</v>
      </c>
      <c r="S307">
        <f t="shared" si="37"/>
        <v>0.40000000000000036</v>
      </c>
      <c r="T307">
        <f t="shared" si="39"/>
        <v>29.945526315789508</v>
      </c>
      <c r="U307" s="22" t="s">
        <v>45</v>
      </c>
      <c r="V307">
        <v>956.4</v>
      </c>
      <c r="W307">
        <f t="shared" si="42"/>
        <v>14447.099999999999</v>
      </c>
      <c r="X307">
        <v>15.677289938062522</v>
      </c>
    </row>
    <row r="308" spans="1:25" x14ac:dyDescent="0.25">
      <c r="A308">
        <v>7400</v>
      </c>
      <c r="B308">
        <v>24250</v>
      </c>
      <c r="C308" s="1">
        <v>43253</v>
      </c>
      <c r="E308" s="32"/>
      <c r="F308">
        <v>18.399999999999999</v>
      </c>
      <c r="G308">
        <v>15.1</v>
      </c>
      <c r="H308">
        <v>22.1</v>
      </c>
      <c r="I308">
        <f t="shared" si="40"/>
        <v>2574.8999999999996</v>
      </c>
      <c r="J308">
        <f t="shared" si="41"/>
        <v>195.8</v>
      </c>
      <c r="K308" s="8">
        <v>8</v>
      </c>
      <c r="L308">
        <v>0</v>
      </c>
      <c r="M308">
        <v>3.5</v>
      </c>
      <c r="N308">
        <f t="shared" si="35"/>
        <v>-3.5</v>
      </c>
      <c r="O308">
        <f t="shared" si="38"/>
        <v>285.3</v>
      </c>
      <c r="P308">
        <v>284</v>
      </c>
      <c r="Q308">
        <f t="shared" si="43"/>
        <v>0.98333333333333328</v>
      </c>
      <c r="R308">
        <f t="shared" si="36"/>
        <v>3.4416666666666664</v>
      </c>
      <c r="S308">
        <f t="shared" si="37"/>
        <v>-3.4416666666666664</v>
      </c>
      <c r="T308">
        <f t="shared" si="39"/>
        <v>26.503859649122841</v>
      </c>
      <c r="U308" s="11">
        <f>AVERAGE(T299:T314)</f>
        <v>30.664067982456178</v>
      </c>
      <c r="V308">
        <v>1846.8</v>
      </c>
      <c r="W308">
        <f t="shared" si="42"/>
        <v>16293.899999999998</v>
      </c>
      <c r="X308">
        <v>15.704293544574016</v>
      </c>
    </row>
    <row r="309" spans="1:25" x14ac:dyDescent="0.25">
      <c r="A309">
        <v>7400</v>
      </c>
      <c r="B309">
        <v>24250</v>
      </c>
      <c r="C309" s="1">
        <v>43254</v>
      </c>
      <c r="E309" s="32"/>
      <c r="F309">
        <v>19.899999999999999</v>
      </c>
      <c r="G309">
        <v>13.8</v>
      </c>
      <c r="H309">
        <v>24.2</v>
      </c>
      <c r="I309">
        <f t="shared" si="40"/>
        <v>2594.7999999999997</v>
      </c>
      <c r="J309">
        <f t="shared" si="41"/>
        <v>215.70000000000002</v>
      </c>
      <c r="K309" s="21" t="s">
        <v>39</v>
      </c>
      <c r="L309">
        <v>0.5</v>
      </c>
      <c r="M309">
        <v>3.9</v>
      </c>
      <c r="N309">
        <f t="shared" si="35"/>
        <v>-3.4</v>
      </c>
      <c r="O309">
        <f t="shared" si="38"/>
        <v>281.90000000000003</v>
      </c>
      <c r="P309">
        <v>285</v>
      </c>
      <c r="Q309">
        <f t="shared" si="43"/>
        <v>0.96666666666666656</v>
      </c>
      <c r="R309">
        <f t="shared" si="36"/>
        <v>3.7699999999999996</v>
      </c>
      <c r="S309">
        <f t="shared" si="37"/>
        <v>-3.2699999999999996</v>
      </c>
      <c r="T309">
        <f t="shared" si="39"/>
        <v>23.233859649122842</v>
      </c>
      <c r="V309">
        <v>2205.1</v>
      </c>
      <c r="W309">
        <f t="shared" si="42"/>
        <v>18498.999999999996</v>
      </c>
      <c r="X309">
        <v>15.730073936649232</v>
      </c>
    </row>
    <row r="310" spans="1:25" x14ac:dyDescent="0.25">
      <c r="A310">
        <v>7400</v>
      </c>
      <c r="B310">
        <v>24250</v>
      </c>
      <c r="C310" s="1">
        <v>43255</v>
      </c>
      <c r="E310" s="32"/>
      <c r="F310">
        <v>21.3</v>
      </c>
      <c r="G310">
        <v>16.7</v>
      </c>
      <c r="H310">
        <v>25.4</v>
      </c>
      <c r="I310">
        <f t="shared" si="40"/>
        <v>2616.1</v>
      </c>
      <c r="J310">
        <f t="shared" si="41"/>
        <v>237.00000000000003</v>
      </c>
      <c r="K310" s="8">
        <v>0</v>
      </c>
      <c r="L310">
        <v>3.4</v>
      </c>
      <c r="M310">
        <v>2.8</v>
      </c>
      <c r="N310">
        <f t="shared" si="35"/>
        <v>0.60000000000000009</v>
      </c>
      <c r="O310">
        <f t="shared" si="38"/>
        <v>282.50000000000006</v>
      </c>
      <c r="P310">
        <v>286</v>
      </c>
      <c r="Q310">
        <f t="shared" si="43"/>
        <v>0.95</v>
      </c>
      <c r="R310">
        <f t="shared" si="36"/>
        <v>2.6599999999999997</v>
      </c>
      <c r="S310">
        <f t="shared" si="37"/>
        <v>0.74000000000000021</v>
      </c>
      <c r="T310">
        <f t="shared" si="39"/>
        <v>23.973859649122844</v>
      </c>
      <c r="U310" s="26">
        <f>(U308*100)/153.9</f>
        <v>19.924670553902647</v>
      </c>
      <c r="V310">
        <v>1436.5</v>
      </c>
      <c r="W310">
        <f t="shared" si="42"/>
        <v>19935.499999999996</v>
      </c>
      <c r="X310">
        <v>15.754610279053152</v>
      </c>
    </row>
    <row r="311" spans="1:25" x14ac:dyDescent="0.25">
      <c r="A311">
        <v>7400</v>
      </c>
      <c r="B311">
        <v>24250</v>
      </c>
      <c r="C311" s="1">
        <v>43256</v>
      </c>
      <c r="E311" s="32"/>
      <c r="F311">
        <v>20.2</v>
      </c>
      <c r="G311">
        <v>18.5</v>
      </c>
      <c r="H311">
        <v>25.7</v>
      </c>
      <c r="I311">
        <f t="shared" si="40"/>
        <v>2636.2999999999997</v>
      </c>
      <c r="J311">
        <f t="shared" si="41"/>
        <v>257.20000000000005</v>
      </c>
      <c r="K311" s="21" t="s">
        <v>40</v>
      </c>
      <c r="L311">
        <v>9.3000000000000007</v>
      </c>
      <c r="M311">
        <v>3</v>
      </c>
      <c r="N311">
        <f t="shared" si="35"/>
        <v>6.3000000000000007</v>
      </c>
      <c r="O311">
        <f t="shared" si="38"/>
        <v>288.80000000000007</v>
      </c>
      <c r="P311">
        <v>287</v>
      </c>
      <c r="Q311">
        <f t="shared" si="43"/>
        <v>0.93333333333333324</v>
      </c>
      <c r="R311">
        <f t="shared" si="36"/>
        <v>2.8</v>
      </c>
      <c r="S311">
        <f t="shared" si="37"/>
        <v>6.5000000000000009</v>
      </c>
      <c r="T311">
        <f t="shared" si="39"/>
        <v>30.473859649122844</v>
      </c>
      <c r="V311">
        <v>1141.5</v>
      </c>
      <c r="W311">
        <f t="shared" si="42"/>
        <v>21076.999999999996</v>
      </c>
      <c r="X311">
        <v>15.777882442641531</v>
      </c>
    </row>
    <row r="312" spans="1:25" x14ac:dyDescent="0.25">
      <c r="A312">
        <v>7400</v>
      </c>
      <c r="B312">
        <v>24250</v>
      </c>
      <c r="C312" s="1">
        <v>43257</v>
      </c>
      <c r="E312" s="32"/>
      <c r="F312">
        <v>20.9</v>
      </c>
      <c r="G312">
        <v>16.600000000000001</v>
      </c>
      <c r="H312">
        <v>25.5</v>
      </c>
      <c r="I312">
        <f t="shared" si="40"/>
        <v>2657.2</v>
      </c>
      <c r="J312">
        <f t="shared" si="41"/>
        <v>278.10000000000002</v>
      </c>
      <c r="K312" s="17">
        <v>0</v>
      </c>
      <c r="L312">
        <v>5</v>
      </c>
      <c r="M312">
        <v>2.9</v>
      </c>
      <c r="N312">
        <f t="shared" si="35"/>
        <v>2.1</v>
      </c>
      <c r="O312">
        <f t="shared" si="38"/>
        <v>290.90000000000009</v>
      </c>
      <c r="P312">
        <v>288</v>
      </c>
      <c r="Q312">
        <f t="shared" si="43"/>
        <v>0.91666666666666652</v>
      </c>
      <c r="R312">
        <f t="shared" si="36"/>
        <v>2.6583333333333328</v>
      </c>
      <c r="S312">
        <f t="shared" si="37"/>
        <v>2.3416666666666672</v>
      </c>
      <c r="T312">
        <f t="shared" si="39"/>
        <v>32.815526315789512</v>
      </c>
      <c r="V312">
        <v>1510.3</v>
      </c>
      <c r="W312">
        <f t="shared" si="42"/>
        <v>22587.299999999996</v>
      </c>
      <c r="X312">
        <v>15.799871061648192</v>
      </c>
    </row>
    <row r="313" spans="1:25" x14ac:dyDescent="0.25">
      <c r="A313">
        <v>7400</v>
      </c>
      <c r="B313">
        <v>24250</v>
      </c>
      <c r="C313" s="1">
        <v>43258</v>
      </c>
      <c r="E313" s="32"/>
      <c r="F313">
        <v>19.8</v>
      </c>
      <c r="G313">
        <v>15.4</v>
      </c>
      <c r="H313">
        <v>24</v>
      </c>
      <c r="I313">
        <f t="shared" si="40"/>
        <v>2677</v>
      </c>
      <c r="J313">
        <f t="shared" si="41"/>
        <v>297.90000000000003</v>
      </c>
      <c r="L313">
        <v>2.2000000000000002</v>
      </c>
      <c r="M313">
        <v>2.6</v>
      </c>
      <c r="N313">
        <f t="shared" si="35"/>
        <v>-0.39999999999999991</v>
      </c>
      <c r="O313">
        <f t="shared" si="38"/>
        <v>290.50000000000011</v>
      </c>
      <c r="P313">
        <v>289</v>
      </c>
      <c r="Q313">
        <f t="shared" si="43"/>
        <v>0.89999999999999991</v>
      </c>
      <c r="R313">
        <f t="shared" si="36"/>
        <v>2.34</v>
      </c>
      <c r="S313">
        <f t="shared" si="37"/>
        <v>-0.13999999999999968</v>
      </c>
      <c r="T313">
        <f t="shared" si="39"/>
        <v>32.675526315789512</v>
      </c>
      <c r="V313">
        <v>1190.8</v>
      </c>
      <c r="W313">
        <f t="shared" si="42"/>
        <v>23778.099999999995</v>
      </c>
      <c r="X313">
        <v>15.820557590121339</v>
      </c>
    </row>
    <row r="314" spans="1:25" s="4" customFormat="1" ht="15.75" thickBot="1" x14ac:dyDescent="0.3">
      <c r="A314" s="4">
        <v>7400</v>
      </c>
      <c r="B314" s="4">
        <v>24250</v>
      </c>
      <c r="C314" s="5">
        <v>43259</v>
      </c>
      <c r="E314" s="33"/>
      <c r="F314" s="4">
        <v>20.6</v>
      </c>
      <c r="G314" s="4">
        <v>16.2</v>
      </c>
      <c r="H314" s="4">
        <v>25.1</v>
      </c>
      <c r="I314" s="4">
        <f t="shared" si="40"/>
        <v>2697.6</v>
      </c>
      <c r="J314" s="4">
        <f t="shared" si="41"/>
        <v>318.50000000000006</v>
      </c>
      <c r="L314" s="4">
        <v>1</v>
      </c>
      <c r="M314" s="4">
        <v>4.7</v>
      </c>
      <c r="N314" s="4">
        <f t="shared" si="35"/>
        <v>-3.7</v>
      </c>
      <c r="O314" s="4">
        <f t="shared" si="38"/>
        <v>286.80000000000013</v>
      </c>
      <c r="P314" s="4">
        <v>290</v>
      </c>
      <c r="Q314" s="4">
        <f t="shared" si="43"/>
        <v>0.8833333333333333</v>
      </c>
      <c r="R314" s="4">
        <f t="shared" si="36"/>
        <v>4.1516666666666664</v>
      </c>
      <c r="S314" s="4">
        <f t="shared" si="37"/>
        <v>-3.1516666666666664</v>
      </c>
      <c r="T314" s="4">
        <f t="shared" si="39"/>
        <v>29.523859649122844</v>
      </c>
      <c r="V314" s="4">
        <v>2443.6999999999998</v>
      </c>
      <c r="W314" s="4">
        <f t="shared" si="42"/>
        <v>26221.799999999996</v>
      </c>
      <c r="X314" s="4">
        <v>15.839924357187931</v>
      </c>
    </row>
    <row r="315" spans="1:25" x14ac:dyDescent="0.25">
      <c r="A315">
        <v>7400</v>
      </c>
      <c r="B315">
        <v>24250</v>
      </c>
      <c r="C315" s="1">
        <v>43260</v>
      </c>
      <c r="E315" s="28" t="s">
        <v>58</v>
      </c>
      <c r="F315">
        <v>21.2</v>
      </c>
      <c r="G315">
        <v>17.2</v>
      </c>
      <c r="H315">
        <v>26.2</v>
      </c>
      <c r="I315">
        <f t="shared" si="40"/>
        <v>2718.7999999999997</v>
      </c>
      <c r="J315">
        <f>F315</f>
        <v>21.2</v>
      </c>
      <c r="K315" s="23" t="s">
        <v>34</v>
      </c>
      <c r="L315">
        <v>0.8</v>
      </c>
      <c r="M315">
        <v>3.3</v>
      </c>
      <c r="N315">
        <f t="shared" si="35"/>
        <v>-2.5</v>
      </c>
      <c r="O315">
        <f t="shared" si="38"/>
        <v>284.30000000000013</v>
      </c>
      <c r="P315">
        <v>291</v>
      </c>
      <c r="Q315">
        <f t="shared" si="43"/>
        <v>0.86666666666666659</v>
      </c>
      <c r="R315">
        <f t="shared" si="36"/>
        <v>2.8599999999999994</v>
      </c>
      <c r="S315">
        <f t="shared" si="37"/>
        <v>-2.0599999999999996</v>
      </c>
      <c r="T315">
        <f t="shared" si="39"/>
        <v>27.463859649122845</v>
      </c>
      <c r="U315" s="24" t="s">
        <v>41</v>
      </c>
      <c r="V315">
        <v>1496.1</v>
      </c>
      <c r="W315">
        <f>V315</f>
        <v>1496.1</v>
      </c>
      <c r="X315">
        <v>15.85795462082053</v>
      </c>
      <c r="Y315" s="24" t="s">
        <v>46</v>
      </c>
    </row>
    <row r="316" spans="1:25" x14ac:dyDescent="0.25">
      <c r="A316">
        <v>7400</v>
      </c>
      <c r="B316">
        <v>24250</v>
      </c>
      <c r="C316" s="1">
        <v>43261</v>
      </c>
      <c r="E316" s="29"/>
      <c r="F316">
        <v>20.7</v>
      </c>
      <c r="G316">
        <v>17.899999999999999</v>
      </c>
      <c r="H316">
        <v>25.3</v>
      </c>
      <c r="I316">
        <f t="shared" si="40"/>
        <v>2739.4999999999995</v>
      </c>
      <c r="J316">
        <f t="shared" si="41"/>
        <v>41.9</v>
      </c>
      <c r="K316" s="8">
        <v>407.2</v>
      </c>
      <c r="L316">
        <v>0.5</v>
      </c>
      <c r="M316">
        <v>2.8</v>
      </c>
      <c r="N316">
        <f t="shared" si="35"/>
        <v>-2.2999999999999998</v>
      </c>
      <c r="O316">
        <f t="shared" si="38"/>
        <v>282.00000000000011</v>
      </c>
      <c r="P316">
        <v>292</v>
      </c>
      <c r="Q316">
        <f t="shared" si="43"/>
        <v>0.84999999999999987</v>
      </c>
      <c r="R316">
        <f t="shared" si="36"/>
        <v>2.3799999999999994</v>
      </c>
      <c r="S316">
        <f t="shared" si="37"/>
        <v>-1.8799999999999994</v>
      </c>
      <c r="T316">
        <f t="shared" si="39"/>
        <v>25.583859649122846</v>
      </c>
      <c r="U316">
        <v>4</v>
      </c>
      <c r="V316">
        <v>1302.5999999999999</v>
      </c>
      <c r="W316">
        <f t="shared" si="42"/>
        <v>2798.7</v>
      </c>
      <c r="X316">
        <v>15.874632619779124</v>
      </c>
      <c r="Y316">
        <v>42098.6</v>
      </c>
    </row>
    <row r="317" spans="1:25" x14ac:dyDescent="0.25">
      <c r="A317">
        <v>7400</v>
      </c>
      <c r="B317">
        <v>24250</v>
      </c>
      <c r="C317" s="1">
        <v>43262</v>
      </c>
      <c r="E317" s="29"/>
      <c r="F317">
        <v>18.5</v>
      </c>
      <c r="G317">
        <v>17.2</v>
      </c>
      <c r="H317">
        <v>20</v>
      </c>
      <c r="I317">
        <f t="shared" si="40"/>
        <v>2757.9999999999995</v>
      </c>
      <c r="J317">
        <f t="shared" si="41"/>
        <v>60.4</v>
      </c>
      <c r="K317" s="23" t="s">
        <v>35</v>
      </c>
      <c r="L317">
        <v>11.1</v>
      </c>
      <c r="M317">
        <v>1.4</v>
      </c>
      <c r="N317">
        <f t="shared" si="35"/>
        <v>9.6999999999999993</v>
      </c>
      <c r="O317">
        <f t="shared" si="38"/>
        <v>291.7000000000001</v>
      </c>
      <c r="P317">
        <v>293</v>
      </c>
      <c r="Q317">
        <f t="shared" si="43"/>
        <v>0.83333333333333326</v>
      </c>
      <c r="R317">
        <f t="shared" si="36"/>
        <v>1.1666666666666665</v>
      </c>
      <c r="S317">
        <f t="shared" si="37"/>
        <v>9.9333333333333336</v>
      </c>
      <c r="T317">
        <f t="shared" si="39"/>
        <v>35.51719298245618</v>
      </c>
      <c r="U317" s="24" t="s">
        <v>42</v>
      </c>
      <c r="V317">
        <v>772.5</v>
      </c>
      <c r="W317">
        <f t="shared" si="42"/>
        <v>3571.2</v>
      </c>
      <c r="X317">
        <v>15.889943623401937</v>
      </c>
      <c r="Y317" s="24" t="s">
        <v>47</v>
      </c>
    </row>
    <row r="318" spans="1:25" x14ac:dyDescent="0.25">
      <c r="A318">
        <v>7400</v>
      </c>
      <c r="B318">
        <v>24250</v>
      </c>
      <c r="C318" s="1">
        <v>43263</v>
      </c>
      <c r="E318" s="29"/>
      <c r="F318">
        <v>16.399999999999999</v>
      </c>
      <c r="G318">
        <v>16</v>
      </c>
      <c r="H318">
        <v>17.600000000000001</v>
      </c>
      <c r="I318">
        <f t="shared" si="40"/>
        <v>2774.3999999999996</v>
      </c>
      <c r="J318">
        <f t="shared" si="41"/>
        <v>76.8</v>
      </c>
      <c r="K318" s="8">
        <f>AVERAGE(F315:F336)</f>
        <v>18.509090909090911</v>
      </c>
      <c r="L318">
        <v>3</v>
      </c>
      <c r="M318">
        <v>1.2</v>
      </c>
      <c r="N318">
        <f t="shared" si="35"/>
        <v>1.8</v>
      </c>
      <c r="O318">
        <f t="shared" si="38"/>
        <v>293.50000000000011</v>
      </c>
      <c r="P318">
        <v>294</v>
      </c>
      <c r="Q318">
        <f t="shared" si="43"/>
        <v>0.81666666666666665</v>
      </c>
      <c r="R318">
        <f t="shared" si="36"/>
        <v>0.98</v>
      </c>
      <c r="S318">
        <f t="shared" si="37"/>
        <v>2.02</v>
      </c>
      <c r="T318">
        <f t="shared" si="39"/>
        <v>37.537192982456183</v>
      </c>
      <c r="U318">
        <v>18</v>
      </c>
      <c r="V318">
        <v>522.6</v>
      </c>
      <c r="W318">
        <f t="shared" si="42"/>
        <v>4093.7999999999997</v>
      </c>
      <c r="X318">
        <v>15.903873978923858</v>
      </c>
      <c r="Y318">
        <f>(Y316/100)/K316</f>
        <v>1.0338555992141454</v>
      </c>
    </row>
    <row r="319" spans="1:25" x14ac:dyDescent="0.25">
      <c r="A319">
        <v>7400</v>
      </c>
      <c r="B319">
        <v>24250</v>
      </c>
      <c r="C319" s="1">
        <v>43264</v>
      </c>
      <c r="E319" s="29"/>
      <c r="F319">
        <v>14.5</v>
      </c>
      <c r="G319">
        <v>12.6</v>
      </c>
      <c r="H319">
        <v>18.100000000000001</v>
      </c>
      <c r="I319">
        <f t="shared" si="40"/>
        <v>2788.8999999999996</v>
      </c>
      <c r="J319">
        <f t="shared" si="41"/>
        <v>91.3</v>
      </c>
      <c r="K319" s="23" t="s">
        <v>36</v>
      </c>
      <c r="L319">
        <v>0</v>
      </c>
      <c r="M319">
        <v>2.8</v>
      </c>
      <c r="N319">
        <f t="shared" si="35"/>
        <v>-2.8</v>
      </c>
      <c r="O319">
        <f t="shared" si="38"/>
        <v>290.7000000000001</v>
      </c>
      <c r="P319">
        <v>295</v>
      </c>
      <c r="Q319">
        <f t="shared" si="43"/>
        <v>0.79999999999999993</v>
      </c>
      <c r="R319">
        <f t="shared" si="36"/>
        <v>2.2399999999999998</v>
      </c>
      <c r="S319">
        <f t="shared" si="37"/>
        <v>-2.2399999999999998</v>
      </c>
      <c r="T319">
        <f t="shared" si="39"/>
        <v>35.297192982456181</v>
      </c>
      <c r="U319" s="24" t="s">
        <v>43</v>
      </c>
      <c r="V319">
        <v>1200.8</v>
      </c>
      <c r="W319">
        <f t="shared" si="42"/>
        <v>5294.5999999999995</v>
      </c>
      <c r="X319">
        <v>15.916411156009341</v>
      </c>
      <c r="Y319" s="24" t="s">
        <v>48</v>
      </c>
    </row>
    <row r="320" spans="1:25" x14ac:dyDescent="0.25">
      <c r="A320">
        <v>7400</v>
      </c>
      <c r="B320">
        <v>24250</v>
      </c>
      <c r="C320" s="1">
        <v>43265</v>
      </c>
      <c r="E320" s="29"/>
      <c r="F320">
        <v>15.5</v>
      </c>
      <c r="G320">
        <v>9.6</v>
      </c>
      <c r="H320">
        <v>20.100000000000001</v>
      </c>
      <c r="I320">
        <f t="shared" si="40"/>
        <v>2804.3999999999996</v>
      </c>
      <c r="J320">
        <f t="shared" si="41"/>
        <v>106.8</v>
      </c>
      <c r="K320" s="9">
        <f>MIN(G315:G336)</f>
        <v>8.4</v>
      </c>
      <c r="L320">
        <v>0.9</v>
      </c>
      <c r="M320">
        <v>3.5</v>
      </c>
      <c r="N320">
        <f t="shared" si="35"/>
        <v>-2.6</v>
      </c>
      <c r="O320">
        <f t="shared" si="38"/>
        <v>288.10000000000008</v>
      </c>
      <c r="P320">
        <v>296</v>
      </c>
      <c r="Q320">
        <f t="shared" si="43"/>
        <v>0.78333333333333321</v>
      </c>
      <c r="R320">
        <f t="shared" si="36"/>
        <v>2.7416666666666663</v>
      </c>
      <c r="S320">
        <f t="shared" si="37"/>
        <v>-1.8416666666666663</v>
      </c>
      <c r="T320">
        <f t="shared" si="39"/>
        <v>33.455526315789513</v>
      </c>
      <c r="U320" s="11">
        <v>0</v>
      </c>
      <c r="V320">
        <v>2134.9</v>
      </c>
      <c r="W320">
        <f t="shared" si="42"/>
        <v>7429.5</v>
      </c>
      <c r="X320">
        <v>15.927543788198088</v>
      </c>
      <c r="Y320">
        <v>4</v>
      </c>
    </row>
    <row r="321" spans="1:24" x14ac:dyDescent="0.25">
      <c r="A321">
        <v>7400</v>
      </c>
      <c r="B321">
        <v>24250</v>
      </c>
      <c r="C321" s="1">
        <v>43266</v>
      </c>
      <c r="E321" s="29"/>
      <c r="F321">
        <v>19</v>
      </c>
      <c r="G321">
        <v>15.5</v>
      </c>
      <c r="H321">
        <v>23.4</v>
      </c>
      <c r="I321">
        <f t="shared" si="40"/>
        <v>2823.3999999999996</v>
      </c>
      <c r="J321">
        <f t="shared" si="41"/>
        <v>125.8</v>
      </c>
      <c r="K321" s="23" t="s">
        <v>37</v>
      </c>
      <c r="L321">
        <v>0</v>
      </c>
      <c r="M321">
        <v>4.0999999999999996</v>
      </c>
      <c r="N321">
        <f t="shared" si="35"/>
        <v>-4.0999999999999996</v>
      </c>
      <c r="O321">
        <f t="shared" si="38"/>
        <v>284.00000000000006</v>
      </c>
      <c r="P321">
        <v>297</v>
      </c>
      <c r="Q321">
        <f t="shared" si="43"/>
        <v>0.76666666666666661</v>
      </c>
      <c r="R321">
        <f t="shared" si="36"/>
        <v>3.1433333333333326</v>
      </c>
      <c r="S321">
        <f t="shared" si="37"/>
        <v>-3.1433333333333326</v>
      </c>
      <c r="T321">
        <f t="shared" si="39"/>
        <v>30.312192982456182</v>
      </c>
      <c r="U321" s="24" t="s">
        <v>44</v>
      </c>
      <c r="V321">
        <v>2046.8</v>
      </c>
      <c r="W321">
        <f t="shared" si="42"/>
        <v>9476.2999999999993</v>
      </c>
      <c r="X321">
        <v>15.937261710976999</v>
      </c>
    </row>
    <row r="322" spans="1:24" x14ac:dyDescent="0.25">
      <c r="A322">
        <v>7400</v>
      </c>
      <c r="B322">
        <v>24250</v>
      </c>
      <c r="C322" s="1">
        <v>43267</v>
      </c>
      <c r="E322" s="29"/>
      <c r="F322">
        <v>17.7</v>
      </c>
      <c r="G322">
        <v>14.3</v>
      </c>
      <c r="H322">
        <v>21.3</v>
      </c>
      <c r="I322">
        <f t="shared" si="40"/>
        <v>2841.0999999999995</v>
      </c>
      <c r="J322">
        <f t="shared" si="41"/>
        <v>143.5</v>
      </c>
      <c r="K322" s="8">
        <f>MAX(H315:H336)</f>
        <v>31</v>
      </c>
      <c r="L322">
        <v>0.2</v>
      </c>
      <c r="M322">
        <v>3.2</v>
      </c>
      <c r="N322">
        <f t="shared" si="35"/>
        <v>-3</v>
      </c>
      <c r="O322">
        <f t="shared" si="38"/>
        <v>281.00000000000006</v>
      </c>
      <c r="P322">
        <v>298</v>
      </c>
      <c r="Q322">
        <f t="shared" si="43"/>
        <v>0.75</v>
      </c>
      <c r="R322">
        <f t="shared" si="36"/>
        <v>2.4000000000000004</v>
      </c>
      <c r="S322">
        <f t="shared" si="37"/>
        <v>-2.2000000000000002</v>
      </c>
      <c r="T322">
        <f t="shared" si="39"/>
        <v>28.112192982456182</v>
      </c>
      <c r="U322" s="11">
        <f>MAX(T315:T332)</f>
        <v>37.537192982456183</v>
      </c>
      <c r="V322">
        <v>1745</v>
      </c>
      <c r="W322">
        <f t="shared" si="42"/>
        <v>11221.3</v>
      </c>
      <c r="X322">
        <v>15.945555996210102</v>
      </c>
    </row>
    <row r="323" spans="1:24" x14ac:dyDescent="0.25">
      <c r="A323">
        <v>7400</v>
      </c>
      <c r="B323">
        <v>24250</v>
      </c>
      <c r="C323" s="1">
        <v>43268</v>
      </c>
      <c r="E323" s="29"/>
      <c r="F323">
        <v>16.3</v>
      </c>
      <c r="G323">
        <v>13.2</v>
      </c>
      <c r="H323">
        <v>19.7</v>
      </c>
      <c r="I323">
        <f t="shared" si="40"/>
        <v>2857.3999999999996</v>
      </c>
      <c r="J323">
        <f t="shared" si="41"/>
        <v>159.80000000000001</v>
      </c>
      <c r="K323" s="23" t="s">
        <v>38</v>
      </c>
      <c r="L323">
        <v>0</v>
      </c>
      <c r="M323">
        <v>3.1</v>
      </c>
      <c r="N323">
        <f t="shared" si="35"/>
        <v>-3.1</v>
      </c>
      <c r="O323">
        <f t="shared" si="38"/>
        <v>277.90000000000003</v>
      </c>
      <c r="P323">
        <v>299</v>
      </c>
      <c r="Q323">
        <f t="shared" si="43"/>
        <v>0.73333333333333317</v>
      </c>
      <c r="R323">
        <f t="shared" si="36"/>
        <v>2.273333333333333</v>
      </c>
      <c r="S323">
        <f t="shared" si="37"/>
        <v>-2.273333333333333</v>
      </c>
      <c r="T323">
        <f t="shared" si="39"/>
        <v>25.838859649122849</v>
      </c>
      <c r="U323" s="24" t="s">
        <v>45</v>
      </c>
      <c r="V323">
        <v>1682.6</v>
      </c>
      <c r="W323">
        <f t="shared" si="42"/>
        <v>12903.9</v>
      </c>
      <c r="X323">
        <v>15.952418982679996</v>
      </c>
    </row>
    <row r="324" spans="1:24" x14ac:dyDescent="0.25">
      <c r="A324">
        <v>7400</v>
      </c>
      <c r="B324">
        <v>24250</v>
      </c>
      <c r="C324" s="1">
        <v>43269</v>
      </c>
      <c r="E324" s="29"/>
      <c r="F324">
        <v>17.399999999999999</v>
      </c>
      <c r="G324">
        <v>11.3</v>
      </c>
      <c r="H324">
        <v>22.2</v>
      </c>
      <c r="I324">
        <f t="shared" si="40"/>
        <v>2874.7999999999997</v>
      </c>
      <c r="J324">
        <f t="shared" si="41"/>
        <v>177.20000000000002</v>
      </c>
      <c r="K324" s="8">
        <v>8</v>
      </c>
      <c r="L324">
        <v>0</v>
      </c>
      <c r="M324">
        <v>1.7</v>
      </c>
      <c r="N324">
        <f t="shared" si="35"/>
        <v>-1.7</v>
      </c>
      <c r="O324">
        <f t="shared" si="38"/>
        <v>276.20000000000005</v>
      </c>
      <c r="P324">
        <v>300</v>
      </c>
      <c r="Q324">
        <f t="shared" si="43"/>
        <v>0.71666666666666656</v>
      </c>
      <c r="R324">
        <f t="shared" si="36"/>
        <v>1.218333333333333</v>
      </c>
      <c r="S324">
        <f t="shared" si="37"/>
        <v>-1.218333333333333</v>
      </c>
      <c r="T324">
        <f t="shared" si="39"/>
        <v>24.620526315789515</v>
      </c>
      <c r="U324" s="11">
        <f>AVERAGE(T315:T336)</f>
        <v>18.339900318979304</v>
      </c>
      <c r="V324">
        <v>825.5</v>
      </c>
      <c r="W324">
        <f t="shared" si="42"/>
        <v>13729.4</v>
      </c>
      <c r="X324">
        <v>15.957844302518852</v>
      </c>
    </row>
    <row r="325" spans="1:24" x14ac:dyDescent="0.25">
      <c r="A325">
        <v>7400</v>
      </c>
      <c r="B325">
        <v>24250</v>
      </c>
      <c r="C325" s="1">
        <v>43270</v>
      </c>
      <c r="E325" s="29"/>
      <c r="F325">
        <v>18.5</v>
      </c>
      <c r="G325">
        <v>14.3</v>
      </c>
      <c r="H325">
        <v>23.1</v>
      </c>
      <c r="I325">
        <f t="shared" si="40"/>
        <v>2893.2999999999997</v>
      </c>
      <c r="J325">
        <f t="shared" si="41"/>
        <v>195.70000000000002</v>
      </c>
      <c r="K325" s="23" t="s">
        <v>39</v>
      </c>
      <c r="L325">
        <v>0.1</v>
      </c>
      <c r="M325">
        <v>1.9</v>
      </c>
      <c r="N325">
        <f t="shared" ref="N325:N367" si="44">L325-M325</f>
        <v>-1.7999999999999998</v>
      </c>
      <c r="O325">
        <f t="shared" si="38"/>
        <v>274.40000000000003</v>
      </c>
      <c r="P325">
        <v>301</v>
      </c>
      <c r="Q325">
        <f t="shared" si="43"/>
        <v>0.7</v>
      </c>
      <c r="R325">
        <f t="shared" ref="R325:R367" si="45">Q325*M325</f>
        <v>1.3299999999999998</v>
      </c>
      <c r="S325">
        <f t="shared" ref="S325:S367" si="46">L325-R325</f>
        <v>-1.2299999999999998</v>
      </c>
      <c r="T325">
        <f t="shared" si="39"/>
        <v>23.390526315789515</v>
      </c>
      <c r="V325">
        <v>663.4</v>
      </c>
      <c r="W325">
        <f t="shared" si="42"/>
        <v>14392.8</v>
      </c>
      <c r="X325">
        <v>15.961826903334625</v>
      </c>
    </row>
    <row r="326" spans="1:24" x14ac:dyDescent="0.25">
      <c r="A326">
        <v>7400</v>
      </c>
      <c r="B326">
        <v>24250</v>
      </c>
      <c r="C326" s="1">
        <v>43271</v>
      </c>
      <c r="E326" s="29"/>
      <c r="F326">
        <v>21.5</v>
      </c>
      <c r="G326">
        <v>15.6</v>
      </c>
      <c r="H326">
        <v>27.1</v>
      </c>
      <c r="I326">
        <f t="shared" si="40"/>
        <v>2914.7999999999997</v>
      </c>
      <c r="J326">
        <f t="shared" si="41"/>
        <v>217.20000000000002</v>
      </c>
      <c r="K326" s="8">
        <v>0</v>
      </c>
      <c r="L326">
        <v>0</v>
      </c>
      <c r="M326">
        <v>6.2</v>
      </c>
      <c r="N326">
        <f t="shared" si="44"/>
        <v>-6.2</v>
      </c>
      <c r="O326">
        <f t="shared" ref="O326:O367" si="47">O325+N326</f>
        <v>268.20000000000005</v>
      </c>
      <c r="P326">
        <v>302</v>
      </c>
      <c r="Q326">
        <f t="shared" si="43"/>
        <v>0.68333333333333324</v>
      </c>
      <c r="R326">
        <f t="shared" si="45"/>
        <v>4.2366666666666664</v>
      </c>
      <c r="S326">
        <f t="shared" si="46"/>
        <v>-4.2366666666666664</v>
      </c>
      <c r="T326">
        <f t="shared" si="39"/>
        <v>19.15385964912285</v>
      </c>
      <c r="U326" s="26">
        <f>(U324*100)/153.9</f>
        <v>11.916764339817611</v>
      </c>
      <c r="V326">
        <v>2930</v>
      </c>
      <c r="W326">
        <f t="shared" si="42"/>
        <v>17322.8</v>
      </c>
      <c r="X326">
        <v>15.964363065868062</v>
      </c>
    </row>
    <row r="327" spans="1:24" x14ac:dyDescent="0.25">
      <c r="A327">
        <v>7400</v>
      </c>
      <c r="B327">
        <v>24250</v>
      </c>
      <c r="C327" s="1">
        <v>43272</v>
      </c>
      <c r="E327" s="29"/>
      <c r="F327">
        <v>16.8</v>
      </c>
      <c r="G327">
        <v>17.100000000000001</v>
      </c>
      <c r="H327">
        <v>20.2</v>
      </c>
      <c r="I327">
        <f t="shared" si="40"/>
        <v>2931.6</v>
      </c>
      <c r="J327">
        <f t="shared" si="41"/>
        <v>234.00000000000003</v>
      </c>
      <c r="K327" s="23" t="s">
        <v>40</v>
      </c>
      <c r="L327">
        <v>0</v>
      </c>
      <c r="M327">
        <v>3.8</v>
      </c>
      <c r="N327">
        <f t="shared" si="44"/>
        <v>-3.8</v>
      </c>
      <c r="O327">
        <f t="shared" si="47"/>
        <v>264.40000000000003</v>
      </c>
      <c r="P327">
        <v>303</v>
      </c>
      <c r="Q327">
        <f t="shared" si="43"/>
        <v>0.66666666666666663</v>
      </c>
      <c r="R327">
        <f t="shared" si="45"/>
        <v>2.5333333333333332</v>
      </c>
      <c r="S327">
        <f t="shared" si="46"/>
        <v>-2.5333333333333332</v>
      </c>
      <c r="T327">
        <f t="shared" si="39"/>
        <v>16.620526315789519</v>
      </c>
      <c r="V327">
        <v>1306.3</v>
      </c>
      <c r="W327">
        <f t="shared" si="42"/>
        <v>18629.099999999999</v>
      </c>
      <c r="X327">
        <v>15.965450417048178</v>
      </c>
    </row>
    <row r="328" spans="1:24" x14ac:dyDescent="0.25">
      <c r="A328">
        <v>7400</v>
      </c>
      <c r="B328">
        <v>24250</v>
      </c>
      <c r="C328" s="1">
        <v>43273</v>
      </c>
      <c r="E328" s="29"/>
      <c r="F328">
        <v>14.1</v>
      </c>
      <c r="G328">
        <v>8.4</v>
      </c>
      <c r="H328">
        <v>18.8</v>
      </c>
      <c r="I328">
        <f t="shared" si="40"/>
        <v>2945.7</v>
      </c>
      <c r="J328">
        <f t="shared" si="41"/>
        <v>248.10000000000002</v>
      </c>
      <c r="K328" s="17">
        <v>0</v>
      </c>
      <c r="L328">
        <v>0</v>
      </c>
      <c r="M328">
        <v>4.0999999999999996</v>
      </c>
      <c r="N328">
        <f t="shared" si="44"/>
        <v>-4.0999999999999996</v>
      </c>
      <c r="O328">
        <f t="shared" si="47"/>
        <v>260.3</v>
      </c>
      <c r="P328">
        <v>304</v>
      </c>
      <c r="Q328">
        <f t="shared" si="43"/>
        <v>0.64999999999999991</v>
      </c>
      <c r="R328">
        <f t="shared" si="45"/>
        <v>2.6649999999999996</v>
      </c>
      <c r="S328">
        <f t="shared" si="46"/>
        <v>-2.6649999999999996</v>
      </c>
      <c r="T328">
        <f t="shared" si="39"/>
        <v>13.95552631578952</v>
      </c>
      <c r="V328">
        <v>1996.2</v>
      </c>
      <c r="W328">
        <f t="shared" si="42"/>
        <v>20625.3</v>
      </c>
      <c r="X328">
        <v>15.965087938347812</v>
      </c>
    </row>
    <row r="329" spans="1:24" x14ac:dyDescent="0.25">
      <c r="A329">
        <v>7400</v>
      </c>
      <c r="B329">
        <v>24250</v>
      </c>
      <c r="C329" s="1">
        <v>43274</v>
      </c>
      <c r="E329" s="29"/>
      <c r="F329">
        <v>15</v>
      </c>
      <c r="G329">
        <v>8.4</v>
      </c>
      <c r="H329">
        <v>19.5</v>
      </c>
      <c r="I329">
        <f t="shared" si="40"/>
        <v>2960.7</v>
      </c>
      <c r="J329">
        <f t="shared" si="41"/>
        <v>263.10000000000002</v>
      </c>
      <c r="L329">
        <v>0</v>
      </c>
      <c r="M329">
        <v>4.7</v>
      </c>
      <c r="N329">
        <f t="shared" si="44"/>
        <v>-4.7</v>
      </c>
      <c r="O329">
        <f t="shared" si="47"/>
        <v>255.60000000000002</v>
      </c>
      <c r="P329">
        <v>305</v>
      </c>
      <c r="Q329">
        <f t="shared" si="43"/>
        <v>0.6333333333333333</v>
      </c>
      <c r="R329">
        <f t="shared" si="45"/>
        <v>2.9766666666666666</v>
      </c>
      <c r="S329">
        <f t="shared" si="46"/>
        <v>-2.9766666666666666</v>
      </c>
      <c r="T329">
        <f t="shared" si="39"/>
        <v>10.978859649122853</v>
      </c>
      <c r="V329">
        <v>2953.1</v>
      </c>
      <c r="W329">
        <f t="shared" si="42"/>
        <v>23578.399999999998</v>
      </c>
      <c r="X329">
        <v>15.963275969375914</v>
      </c>
    </row>
    <row r="330" spans="1:24" x14ac:dyDescent="0.25">
      <c r="A330">
        <v>7400</v>
      </c>
      <c r="B330">
        <v>24250</v>
      </c>
      <c r="C330" s="1">
        <v>43275</v>
      </c>
      <c r="E330" s="29"/>
      <c r="F330">
        <v>16.399999999999999</v>
      </c>
      <c r="G330">
        <v>12</v>
      </c>
      <c r="H330">
        <v>20.8</v>
      </c>
      <c r="I330">
        <f t="shared" si="40"/>
        <v>2977.1</v>
      </c>
      <c r="J330">
        <f t="shared" si="41"/>
        <v>279.5</v>
      </c>
      <c r="L330">
        <v>0</v>
      </c>
      <c r="M330">
        <v>5</v>
      </c>
      <c r="N330">
        <f t="shared" si="44"/>
        <v>-5</v>
      </c>
      <c r="O330">
        <f t="shared" si="47"/>
        <v>250.60000000000002</v>
      </c>
      <c r="P330">
        <v>306</v>
      </c>
      <c r="Q330">
        <f t="shared" si="43"/>
        <v>0.6166666666666667</v>
      </c>
      <c r="R330">
        <f t="shared" si="45"/>
        <v>3.0833333333333335</v>
      </c>
      <c r="S330">
        <f t="shared" si="46"/>
        <v>-3.0833333333333335</v>
      </c>
      <c r="T330">
        <f t="shared" si="39"/>
        <v>7.8955263157895192</v>
      </c>
      <c r="V330">
        <v>2604.3000000000002</v>
      </c>
      <c r="W330">
        <f t="shared" si="42"/>
        <v>26182.699999999997</v>
      </c>
      <c r="X330">
        <v>15.960016206679363</v>
      </c>
    </row>
    <row r="331" spans="1:24" x14ac:dyDescent="0.25">
      <c r="A331">
        <v>7400</v>
      </c>
      <c r="B331">
        <v>24250</v>
      </c>
      <c r="C331" s="1">
        <v>43276</v>
      </c>
      <c r="E331" s="29"/>
      <c r="F331">
        <v>17.5</v>
      </c>
      <c r="G331">
        <v>11.8</v>
      </c>
      <c r="H331">
        <v>22.2</v>
      </c>
      <c r="I331">
        <f t="shared" si="40"/>
        <v>2994.6</v>
      </c>
      <c r="J331">
        <f t="shared" si="41"/>
        <v>297</v>
      </c>
      <c r="L331">
        <v>0</v>
      </c>
      <c r="M331">
        <v>3.4</v>
      </c>
      <c r="N331">
        <f t="shared" si="44"/>
        <v>-3.4</v>
      </c>
      <c r="O331">
        <f t="shared" si="47"/>
        <v>247.20000000000002</v>
      </c>
      <c r="P331">
        <v>307</v>
      </c>
      <c r="Q331">
        <f t="shared" si="43"/>
        <v>0.6</v>
      </c>
      <c r="R331">
        <f t="shared" si="45"/>
        <v>2.04</v>
      </c>
      <c r="S331">
        <f t="shared" si="46"/>
        <v>-2.04</v>
      </c>
      <c r="T331">
        <f t="shared" si="39"/>
        <v>5.8555263157895192</v>
      </c>
      <c r="V331">
        <v>1615.2</v>
      </c>
      <c r="W331">
        <f t="shared" si="42"/>
        <v>27797.899999999998</v>
      </c>
      <c r="X331">
        <v>15.955311697763367</v>
      </c>
    </row>
    <row r="332" spans="1:24" x14ac:dyDescent="0.25">
      <c r="A332">
        <v>7400</v>
      </c>
      <c r="B332">
        <v>24250</v>
      </c>
      <c r="C332" s="1">
        <v>43277</v>
      </c>
      <c r="E332" s="29"/>
      <c r="F332">
        <v>19.8</v>
      </c>
      <c r="G332">
        <v>13.5</v>
      </c>
      <c r="H332">
        <v>25.2</v>
      </c>
      <c r="I332">
        <f t="shared" si="40"/>
        <v>3014.4</v>
      </c>
      <c r="J332">
        <f t="shared" si="41"/>
        <v>316.8</v>
      </c>
      <c r="L332">
        <v>0</v>
      </c>
      <c r="M332">
        <v>6.8</v>
      </c>
      <c r="N332">
        <f t="shared" si="44"/>
        <v>-6.8</v>
      </c>
      <c r="O332">
        <f t="shared" si="47"/>
        <v>240.4</v>
      </c>
      <c r="P332">
        <v>308</v>
      </c>
      <c r="Q332">
        <f t="shared" si="43"/>
        <v>0.58333333333333326</v>
      </c>
      <c r="R332">
        <f t="shared" si="45"/>
        <v>3.9666666666666659</v>
      </c>
      <c r="S332">
        <f t="shared" si="46"/>
        <v>-3.9666666666666659</v>
      </c>
      <c r="T332">
        <f t="shared" si="39"/>
        <v>1.8888596491228533</v>
      </c>
      <c r="V332">
        <v>3283.8</v>
      </c>
      <c r="W332">
        <f t="shared" si="42"/>
        <v>31081.699999999997</v>
      </c>
      <c r="X332">
        <v>15.949166830375814</v>
      </c>
    </row>
    <row r="333" spans="1:24" x14ac:dyDescent="0.25">
      <c r="A333">
        <v>7400</v>
      </c>
      <c r="B333">
        <v>24250</v>
      </c>
      <c r="C333" s="1">
        <v>43278</v>
      </c>
      <c r="E333" s="29"/>
      <c r="F333">
        <v>21.1</v>
      </c>
      <c r="G333">
        <v>13.8</v>
      </c>
      <c r="H333">
        <v>26.8</v>
      </c>
      <c r="I333">
        <f t="shared" si="40"/>
        <v>3035.5</v>
      </c>
      <c r="J333">
        <f t="shared" si="41"/>
        <v>337.90000000000003</v>
      </c>
      <c r="L333">
        <v>0</v>
      </c>
      <c r="M333">
        <v>7</v>
      </c>
      <c r="N333">
        <f t="shared" si="44"/>
        <v>-7</v>
      </c>
      <c r="O333">
        <f t="shared" si="47"/>
        <v>233.4</v>
      </c>
      <c r="P333">
        <v>309</v>
      </c>
      <c r="Q333">
        <f t="shared" si="43"/>
        <v>0.56666666666666665</v>
      </c>
      <c r="R333">
        <f t="shared" si="45"/>
        <v>3.9666666666666668</v>
      </c>
      <c r="S333">
        <f t="shared" si="46"/>
        <v>-3.9666666666666668</v>
      </c>
      <c r="T333">
        <v>0</v>
      </c>
      <c r="V333">
        <v>3313.7</v>
      </c>
      <c r="W333">
        <f t="shared" si="42"/>
        <v>34395.399999999994</v>
      </c>
      <c r="X333">
        <v>15.94158731713658</v>
      </c>
    </row>
    <row r="334" spans="1:24" x14ac:dyDescent="0.25">
      <c r="A334">
        <v>7400</v>
      </c>
      <c r="B334">
        <v>24250</v>
      </c>
      <c r="C334" s="1">
        <v>43279</v>
      </c>
      <c r="E334" s="29"/>
      <c r="F334">
        <v>21.3</v>
      </c>
      <c r="G334">
        <v>16.2</v>
      </c>
      <c r="H334">
        <v>26</v>
      </c>
      <c r="I334">
        <f t="shared" si="40"/>
        <v>3056.8</v>
      </c>
      <c r="J334">
        <f t="shared" si="41"/>
        <v>359.20000000000005</v>
      </c>
      <c r="L334">
        <v>0</v>
      </c>
      <c r="M334">
        <v>7.8</v>
      </c>
      <c r="N334">
        <f t="shared" si="44"/>
        <v>-7.8</v>
      </c>
      <c r="O334">
        <f t="shared" si="47"/>
        <v>225.6</v>
      </c>
      <c r="P334">
        <v>310</v>
      </c>
      <c r="Q334">
        <f t="shared" si="43"/>
        <v>0.54999999999999993</v>
      </c>
      <c r="R334">
        <f t="shared" si="45"/>
        <v>4.2899999999999991</v>
      </c>
      <c r="S334">
        <f t="shared" si="46"/>
        <v>-4.2899999999999991</v>
      </c>
      <c r="T334">
        <v>0</v>
      </c>
      <c r="V334">
        <v>3317.9</v>
      </c>
      <c r="W334">
        <f t="shared" si="42"/>
        <v>37713.299999999996</v>
      </c>
      <c r="X334">
        <v>15.932580175627324</v>
      </c>
    </row>
    <row r="335" spans="1:24" x14ac:dyDescent="0.25">
      <c r="A335">
        <v>7400</v>
      </c>
      <c r="B335">
        <v>24250</v>
      </c>
      <c r="C335" s="1">
        <v>43280</v>
      </c>
      <c r="E335" s="29"/>
      <c r="F335">
        <v>22.8</v>
      </c>
      <c r="G335">
        <v>16.8</v>
      </c>
      <c r="H335">
        <v>27.7</v>
      </c>
      <c r="I335">
        <f t="shared" si="40"/>
        <v>3079.6000000000004</v>
      </c>
      <c r="J335">
        <f t="shared" si="41"/>
        <v>382.00000000000006</v>
      </c>
      <c r="L335">
        <v>0</v>
      </c>
      <c r="M335">
        <v>5.5</v>
      </c>
      <c r="N335">
        <f t="shared" si="44"/>
        <v>-5.5</v>
      </c>
      <c r="O335">
        <f t="shared" si="47"/>
        <v>220.1</v>
      </c>
      <c r="P335">
        <v>311</v>
      </c>
      <c r="Q335">
        <f t="shared" si="43"/>
        <v>0.53333333333333321</v>
      </c>
      <c r="R335">
        <f t="shared" si="45"/>
        <v>2.9333333333333327</v>
      </c>
      <c r="S335">
        <f t="shared" si="46"/>
        <v>-2.9333333333333327</v>
      </c>
      <c r="T335">
        <v>0</v>
      </c>
      <c r="V335">
        <v>1931.9</v>
      </c>
      <c r="W335">
        <f t="shared" si="42"/>
        <v>39645.199999999997</v>
      </c>
      <c r="X335">
        <v>15.922153704090398</v>
      </c>
    </row>
    <row r="336" spans="1:24" s="4" customFormat="1" ht="15.75" thickBot="1" x14ac:dyDescent="0.3">
      <c r="A336" s="4">
        <v>7400</v>
      </c>
      <c r="B336" s="4">
        <v>24250</v>
      </c>
      <c r="C336" s="5">
        <v>43281</v>
      </c>
      <c r="E336" s="30"/>
      <c r="F336" s="4">
        <v>25.2</v>
      </c>
      <c r="G336" s="4">
        <v>18</v>
      </c>
      <c r="H336" s="4">
        <v>31</v>
      </c>
      <c r="I336" s="4">
        <f t="shared" si="40"/>
        <v>3104.8</v>
      </c>
      <c r="J336" s="4">
        <f t="shared" si="41"/>
        <v>407.20000000000005</v>
      </c>
      <c r="L336" s="4">
        <v>0</v>
      </c>
      <c r="M336" s="4">
        <v>6.8</v>
      </c>
      <c r="N336" s="4">
        <f t="shared" si="44"/>
        <v>-6.8</v>
      </c>
      <c r="O336" s="4">
        <f t="shared" si="47"/>
        <v>213.29999999999998</v>
      </c>
      <c r="P336" s="4">
        <v>312</v>
      </c>
      <c r="Q336" s="4">
        <f t="shared" si="43"/>
        <v>0.51666666666666661</v>
      </c>
      <c r="R336" s="4">
        <f t="shared" si="45"/>
        <v>3.5133333333333328</v>
      </c>
      <c r="S336" s="4">
        <f t="shared" si="46"/>
        <v>-3.5133333333333328</v>
      </c>
      <c r="T336" s="4">
        <v>0</v>
      </c>
      <c r="V336" s="4">
        <v>2453.4</v>
      </c>
      <c r="W336" s="4">
        <f t="shared" si="42"/>
        <v>42098.6</v>
      </c>
      <c r="X336" s="4">
        <v>15.910317452916555</v>
      </c>
    </row>
    <row r="337" spans="1:24" x14ac:dyDescent="0.25">
      <c r="A337">
        <v>7400</v>
      </c>
      <c r="B337">
        <v>24250</v>
      </c>
      <c r="C337" s="1">
        <v>43282</v>
      </c>
      <c r="F337">
        <v>24.8</v>
      </c>
      <c r="G337">
        <v>20.6</v>
      </c>
      <c r="H337">
        <v>30.3</v>
      </c>
      <c r="I337">
        <f t="shared" si="40"/>
        <v>3129.6000000000004</v>
      </c>
      <c r="J337">
        <f>F337</f>
        <v>24.8</v>
      </c>
      <c r="L337">
        <v>0</v>
      </c>
      <c r="M337">
        <v>9</v>
      </c>
      <c r="N337">
        <f t="shared" si="44"/>
        <v>-9</v>
      </c>
      <c r="O337">
        <f t="shared" si="47"/>
        <v>204.29999999999998</v>
      </c>
      <c r="P337">
        <v>313</v>
      </c>
      <c r="Q337">
        <f t="shared" si="43"/>
        <v>0.5</v>
      </c>
      <c r="R337">
        <f t="shared" si="45"/>
        <v>4.5</v>
      </c>
      <c r="S337">
        <f t="shared" si="46"/>
        <v>-4.5</v>
      </c>
      <c r="T337">
        <v>0</v>
      </c>
      <c r="V337">
        <v>2911.3</v>
      </c>
      <c r="W337">
        <f>V337</f>
        <v>2911.3</v>
      </c>
      <c r="X337">
        <v>15.897082192129908</v>
      </c>
    </row>
    <row r="338" spans="1:24" x14ac:dyDescent="0.25">
      <c r="A338">
        <v>7400</v>
      </c>
      <c r="B338">
        <v>24250</v>
      </c>
      <c r="C338" s="1">
        <v>43283</v>
      </c>
      <c r="F338">
        <v>21.2</v>
      </c>
      <c r="G338">
        <v>17.5</v>
      </c>
      <c r="H338">
        <v>27.1</v>
      </c>
      <c r="I338">
        <f t="shared" si="40"/>
        <v>3150.8</v>
      </c>
      <c r="J338">
        <f t="shared" si="41"/>
        <v>46</v>
      </c>
      <c r="L338">
        <v>1.1000000000000001</v>
      </c>
      <c r="M338">
        <v>5.8</v>
      </c>
      <c r="N338">
        <f t="shared" si="44"/>
        <v>-4.6999999999999993</v>
      </c>
      <c r="O338">
        <f t="shared" si="47"/>
        <v>199.6</v>
      </c>
      <c r="P338">
        <v>314</v>
      </c>
      <c r="Q338">
        <f t="shared" si="43"/>
        <v>0.48333333333333328</v>
      </c>
      <c r="R338">
        <f t="shared" si="45"/>
        <v>2.8033333333333328</v>
      </c>
      <c r="S338">
        <f t="shared" si="46"/>
        <v>-1.7033333333333327</v>
      </c>
      <c r="T338">
        <v>0</v>
      </c>
      <c r="V338">
        <v>2022.5</v>
      </c>
      <c r="W338">
        <f t="shared" si="42"/>
        <v>4933.8</v>
      </c>
      <c r="X338">
        <v>15.88245987510475</v>
      </c>
    </row>
    <row r="339" spans="1:24" x14ac:dyDescent="0.25">
      <c r="A339">
        <v>7400</v>
      </c>
      <c r="B339">
        <v>24250</v>
      </c>
      <c r="C339" s="1">
        <v>43284</v>
      </c>
      <c r="F339">
        <v>22.7</v>
      </c>
      <c r="G339">
        <v>18.5</v>
      </c>
      <c r="H339">
        <v>28.5</v>
      </c>
      <c r="I339">
        <f t="shared" si="40"/>
        <v>3173.5</v>
      </c>
      <c r="J339">
        <f t="shared" si="41"/>
        <v>68.7</v>
      </c>
      <c r="L339">
        <v>1.8</v>
      </c>
      <c r="M339">
        <v>5</v>
      </c>
      <c r="N339">
        <f t="shared" si="44"/>
        <v>-3.2</v>
      </c>
      <c r="O339">
        <f t="shared" si="47"/>
        <v>196.4</v>
      </c>
      <c r="P339">
        <v>315</v>
      </c>
      <c r="Q339">
        <f t="shared" si="43"/>
        <v>0.46666666666666667</v>
      </c>
      <c r="R339">
        <f t="shared" si="45"/>
        <v>2.3333333333333335</v>
      </c>
      <c r="S339">
        <f t="shared" si="46"/>
        <v>-0.53333333333333344</v>
      </c>
      <c r="T339">
        <v>0</v>
      </c>
      <c r="V339">
        <v>2025.1</v>
      </c>
      <c r="W339">
        <f t="shared" si="42"/>
        <v>6958.9</v>
      </c>
      <c r="X339">
        <v>15.866463598771977</v>
      </c>
    </row>
    <row r="340" spans="1:24" x14ac:dyDescent="0.25">
      <c r="A340">
        <v>7400</v>
      </c>
      <c r="B340">
        <v>24250</v>
      </c>
      <c r="C340" s="1">
        <v>43285</v>
      </c>
      <c r="F340">
        <v>23.5</v>
      </c>
      <c r="G340">
        <v>17.899999999999999</v>
      </c>
      <c r="H340">
        <v>28.7</v>
      </c>
      <c r="I340">
        <f t="shared" si="40"/>
        <v>3197</v>
      </c>
      <c r="J340">
        <f t="shared" si="41"/>
        <v>92.2</v>
      </c>
      <c r="L340">
        <v>2.5</v>
      </c>
      <c r="M340">
        <v>4.5</v>
      </c>
      <c r="N340">
        <f t="shared" si="44"/>
        <v>-2</v>
      </c>
      <c r="O340">
        <f t="shared" si="47"/>
        <v>194.4</v>
      </c>
      <c r="P340">
        <v>316</v>
      </c>
      <c r="Q340">
        <f t="shared" si="43"/>
        <v>0.44999999999999996</v>
      </c>
      <c r="R340">
        <f t="shared" si="45"/>
        <v>2.0249999999999999</v>
      </c>
      <c r="S340">
        <f t="shared" si="46"/>
        <v>0.47500000000000009</v>
      </c>
      <c r="T340">
        <f t="shared" si="39"/>
        <v>0.47500000000000009</v>
      </c>
      <c r="V340">
        <v>1877.1</v>
      </c>
      <c r="W340">
        <f t="shared" si="42"/>
        <v>8836</v>
      </c>
      <c r="X340">
        <v>15.849107560592966</v>
      </c>
    </row>
    <row r="341" spans="1:24" x14ac:dyDescent="0.25">
      <c r="A341">
        <v>7400</v>
      </c>
      <c r="B341">
        <v>24250</v>
      </c>
      <c r="C341" s="1">
        <v>43286</v>
      </c>
      <c r="F341">
        <v>19.2</v>
      </c>
      <c r="G341">
        <v>17.3</v>
      </c>
      <c r="H341">
        <v>21.6</v>
      </c>
      <c r="I341">
        <f t="shared" si="40"/>
        <v>3216.2</v>
      </c>
      <c r="J341">
        <f t="shared" si="41"/>
        <v>111.4</v>
      </c>
      <c r="L341">
        <v>0.6</v>
      </c>
      <c r="M341">
        <v>2</v>
      </c>
      <c r="N341">
        <f t="shared" si="44"/>
        <v>-1.4</v>
      </c>
      <c r="O341">
        <f t="shared" si="47"/>
        <v>193</v>
      </c>
      <c r="P341">
        <v>317</v>
      </c>
      <c r="Q341">
        <f t="shared" si="43"/>
        <v>0.43333333333333324</v>
      </c>
      <c r="R341">
        <f t="shared" si="45"/>
        <v>0.86666666666666647</v>
      </c>
      <c r="S341">
        <f t="shared" si="46"/>
        <v>-0.2666666666666665</v>
      </c>
      <c r="T341">
        <f t="shared" si="39"/>
        <v>0.20833333333333359</v>
      </c>
      <c r="V341">
        <v>955.6</v>
      </c>
      <c r="W341">
        <f t="shared" si="42"/>
        <v>9791.6</v>
      </c>
      <c r="X341">
        <v>15.830407012595392</v>
      </c>
    </row>
    <row r="342" spans="1:24" x14ac:dyDescent="0.25">
      <c r="A342">
        <v>7400</v>
      </c>
      <c r="B342">
        <v>24250</v>
      </c>
      <c r="C342" s="1">
        <v>43287</v>
      </c>
      <c r="F342">
        <v>21.8</v>
      </c>
      <c r="G342">
        <v>16.899999999999999</v>
      </c>
      <c r="H342">
        <v>27.1</v>
      </c>
      <c r="I342">
        <f t="shared" si="40"/>
        <v>3238</v>
      </c>
      <c r="J342">
        <f t="shared" si="41"/>
        <v>133.20000000000002</v>
      </c>
      <c r="L342">
        <v>0</v>
      </c>
      <c r="M342">
        <v>5.4</v>
      </c>
      <c r="N342">
        <f t="shared" si="44"/>
        <v>-5.4</v>
      </c>
      <c r="O342">
        <f t="shared" si="47"/>
        <v>187.6</v>
      </c>
      <c r="P342">
        <v>318</v>
      </c>
      <c r="Q342">
        <f t="shared" si="43"/>
        <v>0.41666666666666663</v>
      </c>
      <c r="R342">
        <f t="shared" si="45"/>
        <v>2.25</v>
      </c>
      <c r="S342">
        <f t="shared" si="46"/>
        <v>-2.25</v>
      </c>
      <c r="T342">
        <v>0</v>
      </c>
      <c r="V342">
        <v>2284.4</v>
      </c>
      <c r="W342">
        <f t="shared" si="42"/>
        <v>12076</v>
      </c>
      <c r="X342">
        <v>15.810378212778868</v>
      </c>
    </row>
    <row r="343" spans="1:24" x14ac:dyDescent="0.25">
      <c r="A343">
        <v>7400</v>
      </c>
      <c r="B343">
        <v>24250</v>
      </c>
      <c r="C343" s="1">
        <v>43288</v>
      </c>
      <c r="F343">
        <v>23.1</v>
      </c>
      <c r="G343">
        <v>16.8</v>
      </c>
      <c r="H343">
        <v>28.5</v>
      </c>
      <c r="I343">
        <f t="shared" si="40"/>
        <v>3261.1</v>
      </c>
      <c r="J343">
        <f t="shared" si="41"/>
        <v>156.30000000000001</v>
      </c>
      <c r="L343">
        <v>0</v>
      </c>
      <c r="M343">
        <v>5.9</v>
      </c>
      <c r="N343">
        <f t="shared" si="44"/>
        <v>-5.9</v>
      </c>
      <c r="O343">
        <f t="shared" si="47"/>
        <v>181.7</v>
      </c>
      <c r="P343">
        <v>319</v>
      </c>
      <c r="Q343">
        <f t="shared" si="43"/>
        <v>0.4</v>
      </c>
      <c r="R343">
        <f t="shared" si="45"/>
        <v>2.3600000000000003</v>
      </c>
      <c r="S343">
        <f t="shared" si="46"/>
        <v>-2.3600000000000003</v>
      </c>
      <c r="T343">
        <v>0</v>
      </c>
      <c r="V343">
        <v>2388.4</v>
      </c>
      <c r="W343">
        <f t="shared" si="42"/>
        <v>14464.4</v>
      </c>
      <c r="X343">
        <v>15.789038374208106</v>
      </c>
    </row>
    <row r="344" spans="1:24" x14ac:dyDescent="0.25">
      <c r="A344">
        <v>7400</v>
      </c>
      <c r="B344">
        <v>24250</v>
      </c>
      <c r="C344" s="1">
        <v>43289</v>
      </c>
      <c r="F344">
        <v>21.8</v>
      </c>
      <c r="G344">
        <v>16.899999999999999</v>
      </c>
      <c r="H344">
        <v>26.7</v>
      </c>
      <c r="I344">
        <f t="shared" si="40"/>
        <v>3282.9</v>
      </c>
      <c r="J344">
        <f t="shared" si="41"/>
        <v>178.10000000000002</v>
      </c>
      <c r="L344">
        <v>0</v>
      </c>
      <c r="M344">
        <v>5.5</v>
      </c>
      <c r="N344">
        <f t="shared" si="44"/>
        <v>-5.5</v>
      </c>
      <c r="O344">
        <f t="shared" si="47"/>
        <v>176.2</v>
      </c>
      <c r="P344">
        <v>320</v>
      </c>
      <c r="Q344">
        <f t="shared" si="43"/>
        <v>0.3833333333333333</v>
      </c>
      <c r="R344">
        <f t="shared" si="45"/>
        <v>2.1083333333333334</v>
      </c>
      <c r="S344">
        <f t="shared" si="46"/>
        <v>-2.1083333333333334</v>
      </c>
      <c r="T344">
        <v>0</v>
      </c>
      <c r="V344">
        <v>2222.6</v>
      </c>
      <c r="W344">
        <f t="shared" si="42"/>
        <v>16687</v>
      </c>
      <c r="X344">
        <v>15.766405612117637</v>
      </c>
    </row>
    <row r="345" spans="1:24" x14ac:dyDescent="0.25">
      <c r="A345">
        <v>7400</v>
      </c>
      <c r="B345">
        <v>24250</v>
      </c>
      <c r="C345" s="1">
        <v>43290</v>
      </c>
      <c r="F345">
        <v>20.8</v>
      </c>
      <c r="G345">
        <v>16</v>
      </c>
      <c r="H345">
        <v>25.7</v>
      </c>
      <c r="I345">
        <f t="shared" si="40"/>
        <v>3303.7000000000003</v>
      </c>
      <c r="J345">
        <f t="shared" si="41"/>
        <v>198.90000000000003</v>
      </c>
      <c r="L345">
        <v>0</v>
      </c>
      <c r="M345">
        <v>7</v>
      </c>
      <c r="N345">
        <f t="shared" si="44"/>
        <v>-7</v>
      </c>
      <c r="O345">
        <f t="shared" si="47"/>
        <v>169.2</v>
      </c>
      <c r="P345">
        <v>321</v>
      </c>
      <c r="Q345">
        <f t="shared" si="43"/>
        <v>0.3666666666666667</v>
      </c>
      <c r="R345">
        <f t="shared" si="45"/>
        <v>2.5666666666666669</v>
      </c>
      <c r="S345">
        <f t="shared" si="46"/>
        <v>-2.5666666666666669</v>
      </c>
      <c r="T345">
        <v>0</v>
      </c>
      <c r="V345">
        <v>2916.5</v>
      </c>
      <c r="W345">
        <f t="shared" si="42"/>
        <v>19603.5</v>
      </c>
      <c r="X345">
        <v>15.742498889355335</v>
      </c>
    </row>
    <row r="346" spans="1:24" s="4" customFormat="1" ht="15.75" thickBot="1" x14ac:dyDescent="0.3">
      <c r="A346" s="4">
        <v>7400</v>
      </c>
      <c r="B346" s="4">
        <v>24250</v>
      </c>
      <c r="C346" s="5">
        <v>43291</v>
      </c>
      <c r="D346" s="4" t="s">
        <v>31</v>
      </c>
      <c r="F346" s="4">
        <v>17.8</v>
      </c>
      <c r="G346" s="4">
        <v>15.9</v>
      </c>
      <c r="H346" s="4">
        <v>20.5</v>
      </c>
      <c r="I346" s="6">
        <f t="shared" si="40"/>
        <v>3321.5000000000005</v>
      </c>
      <c r="J346" s="6">
        <f t="shared" si="41"/>
        <v>216.70000000000005</v>
      </c>
      <c r="L346" s="4">
        <v>0</v>
      </c>
      <c r="M346" s="4">
        <v>3.8</v>
      </c>
      <c r="N346" s="4">
        <f t="shared" si="44"/>
        <v>-3.8</v>
      </c>
      <c r="O346" s="4">
        <f t="shared" si="47"/>
        <v>165.39999999999998</v>
      </c>
      <c r="P346" s="6">
        <v>322</v>
      </c>
      <c r="Q346" s="6">
        <f t="shared" si="43"/>
        <v>0.35</v>
      </c>
      <c r="R346" s="4">
        <f t="shared" si="45"/>
        <v>1.3299999999999998</v>
      </c>
      <c r="S346" s="4">
        <f t="shared" si="46"/>
        <v>-1.3299999999999998</v>
      </c>
      <c r="T346" s="6">
        <v>0</v>
      </c>
      <c r="V346" s="4">
        <v>1214.2</v>
      </c>
      <c r="W346" s="6">
        <f t="shared" si="42"/>
        <v>20817.7</v>
      </c>
      <c r="X346" s="4">
        <v>15.717337960491587</v>
      </c>
    </row>
    <row r="347" spans="1:24" x14ac:dyDescent="0.25">
      <c r="A347">
        <v>7400</v>
      </c>
      <c r="B347">
        <v>24250</v>
      </c>
      <c r="C347" s="1">
        <v>43292</v>
      </c>
      <c r="F347">
        <v>18.399999999999999</v>
      </c>
      <c r="G347">
        <v>15</v>
      </c>
      <c r="H347">
        <v>22</v>
      </c>
      <c r="I347">
        <f t="shared" ref="I347:I367" si="48">I346+F347</f>
        <v>3339.9000000000005</v>
      </c>
      <c r="J347">
        <f t="shared" ref="J347:J367" si="49">F347+J346</f>
        <v>235.10000000000005</v>
      </c>
      <c r="L347">
        <v>0</v>
      </c>
      <c r="M347">
        <v>4</v>
      </c>
      <c r="N347">
        <f t="shared" si="44"/>
        <v>-4</v>
      </c>
      <c r="O347">
        <f t="shared" si="47"/>
        <v>161.39999999999998</v>
      </c>
      <c r="R347">
        <f t="shared" si="45"/>
        <v>0</v>
      </c>
      <c r="S347">
        <f t="shared" si="46"/>
        <v>0</v>
      </c>
      <c r="V347">
        <v>1532.3</v>
      </c>
      <c r="W347">
        <f t="shared" ref="W347:W367" si="50">W346+V347</f>
        <v>22350</v>
      </c>
    </row>
    <row r="348" spans="1:24" x14ac:dyDescent="0.25">
      <c r="A348">
        <v>7400</v>
      </c>
      <c r="B348">
        <v>24250</v>
      </c>
      <c r="C348" s="1">
        <v>43293</v>
      </c>
      <c r="F348">
        <v>19.399999999999999</v>
      </c>
      <c r="G348">
        <v>14.3</v>
      </c>
      <c r="H348">
        <v>24</v>
      </c>
      <c r="I348">
        <f t="shared" si="48"/>
        <v>3359.3000000000006</v>
      </c>
      <c r="J348">
        <f t="shared" si="49"/>
        <v>254.50000000000006</v>
      </c>
      <c r="L348">
        <v>0</v>
      </c>
      <c r="M348">
        <v>4.5</v>
      </c>
      <c r="N348">
        <f t="shared" si="44"/>
        <v>-4.5</v>
      </c>
      <c r="O348">
        <f t="shared" si="47"/>
        <v>156.89999999999998</v>
      </c>
      <c r="R348">
        <f t="shared" si="45"/>
        <v>0</v>
      </c>
      <c r="S348">
        <f t="shared" si="46"/>
        <v>0</v>
      </c>
      <c r="V348">
        <v>2120.9</v>
      </c>
      <c r="W348">
        <f t="shared" si="50"/>
        <v>24470.9</v>
      </c>
    </row>
    <row r="349" spans="1:24" x14ac:dyDescent="0.25">
      <c r="A349">
        <v>7400</v>
      </c>
      <c r="B349">
        <v>24250</v>
      </c>
      <c r="C349" s="1">
        <v>43294</v>
      </c>
      <c r="F349">
        <v>22.2</v>
      </c>
      <c r="G349">
        <v>16.600000000000001</v>
      </c>
      <c r="H349">
        <v>28.3</v>
      </c>
      <c r="I349">
        <f t="shared" si="48"/>
        <v>3381.5000000000005</v>
      </c>
      <c r="J349">
        <f t="shared" si="49"/>
        <v>276.70000000000005</v>
      </c>
      <c r="L349">
        <v>0</v>
      </c>
      <c r="M349">
        <v>5</v>
      </c>
      <c r="N349">
        <f t="shared" si="44"/>
        <v>-5</v>
      </c>
      <c r="O349">
        <f t="shared" si="47"/>
        <v>151.89999999999998</v>
      </c>
      <c r="R349">
        <f t="shared" si="45"/>
        <v>0</v>
      </c>
      <c r="S349">
        <f t="shared" si="46"/>
        <v>0</v>
      </c>
      <c r="V349">
        <v>1953.8</v>
      </c>
      <c r="W349">
        <f t="shared" si="50"/>
        <v>26424.7</v>
      </c>
    </row>
    <row r="350" spans="1:24" x14ac:dyDescent="0.25">
      <c r="A350">
        <v>7400</v>
      </c>
      <c r="B350">
        <v>24250</v>
      </c>
      <c r="C350" s="1">
        <v>43295</v>
      </c>
      <c r="F350">
        <v>23.5</v>
      </c>
      <c r="G350">
        <v>17.600000000000001</v>
      </c>
      <c r="H350">
        <v>29.2</v>
      </c>
      <c r="I350">
        <f t="shared" si="48"/>
        <v>3405.0000000000005</v>
      </c>
      <c r="J350">
        <f t="shared" si="49"/>
        <v>300.20000000000005</v>
      </c>
      <c r="L350">
        <v>1</v>
      </c>
      <c r="M350">
        <v>5.7</v>
      </c>
      <c r="N350">
        <f t="shared" si="44"/>
        <v>-4.7</v>
      </c>
      <c r="O350">
        <f t="shared" si="47"/>
        <v>147.19999999999999</v>
      </c>
      <c r="R350">
        <f t="shared" si="45"/>
        <v>0</v>
      </c>
      <c r="S350">
        <f t="shared" si="46"/>
        <v>1</v>
      </c>
      <c r="V350">
        <v>2141.6</v>
      </c>
      <c r="W350">
        <f t="shared" si="50"/>
        <v>28566.3</v>
      </c>
    </row>
    <row r="351" spans="1:24" x14ac:dyDescent="0.25">
      <c r="A351">
        <v>7400</v>
      </c>
      <c r="B351">
        <v>24250</v>
      </c>
      <c r="C351" s="1">
        <v>43296</v>
      </c>
      <c r="F351">
        <v>21.7</v>
      </c>
      <c r="G351">
        <v>18.2</v>
      </c>
      <c r="H351">
        <v>26.5</v>
      </c>
      <c r="I351">
        <f t="shared" si="48"/>
        <v>3426.7000000000003</v>
      </c>
      <c r="J351">
        <f t="shared" si="49"/>
        <v>321.90000000000003</v>
      </c>
      <c r="L351">
        <v>3.1</v>
      </c>
      <c r="M351">
        <v>4</v>
      </c>
      <c r="N351">
        <f t="shared" si="44"/>
        <v>-0.89999999999999991</v>
      </c>
      <c r="O351">
        <f t="shared" si="47"/>
        <v>146.29999999999998</v>
      </c>
      <c r="R351">
        <f t="shared" si="45"/>
        <v>0</v>
      </c>
      <c r="S351">
        <f t="shared" si="46"/>
        <v>3.1</v>
      </c>
      <c r="V351">
        <v>1377.1</v>
      </c>
      <c r="W351">
        <f t="shared" si="50"/>
        <v>29943.399999999998</v>
      </c>
    </row>
    <row r="352" spans="1:24" x14ac:dyDescent="0.25">
      <c r="A352">
        <v>7400</v>
      </c>
      <c r="B352">
        <v>24250</v>
      </c>
      <c r="C352" s="1">
        <v>43297</v>
      </c>
      <c r="F352">
        <v>23.1</v>
      </c>
      <c r="G352">
        <v>16.600000000000001</v>
      </c>
      <c r="H352">
        <v>28.8</v>
      </c>
      <c r="I352">
        <f t="shared" si="48"/>
        <v>3449.8</v>
      </c>
      <c r="J352">
        <f t="shared" si="49"/>
        <v>345.00000000000006</v>
      </c>
      <c r="L352">
        <v>0</v>
      </c>
      <c r="M352">
        <v>5.7</v>
      </c>
      <c r="N352">
        <f t="shared" si="44"/>
        <v>-5.7</v>
      </c>
      <c r="O352">
        <f t="shared" si="47"/>
        <v>140.6</v>
      </c>
      <c r="R352">
        <f t="shared" si="45"/>
        <v>0</v>
      </c>
      <c r="S352">
        <f t="shared" si="46"/>
        <v>0</v>
      </c>
      <c r="V352">
        <v>2496.1</v>
      </c>
      <c r="W352">
        <f t="shared" si="50"/>
        <v>32439.499999999996</v>
      </c>
    </row>
    <row r="353" spans="1:23" x14ac:dyDescent="0.25">
      <c r="A353">
        <v>7400</v>
      </c>
      <c r="B353">
        <v>24250</v>
      </c>
      <c r="C353" s="1">
        <v>43298</v>
      </c>
      <c r="F353">
        <v>21.3</v>
      </c>
      <c r="G353">
        <v>17.399999999999999</v>
      </c>
      <c r="H353">
        <v>26.2</v>
      </c>
      <c r="I353">
        <f t="shared" si="48"/>
        <v>3471.1000000000004</v>
      </c>
      <c r="J353">
        <f t="shared" si="49"/>
        <v>366.30000000000007</v>
      </c>
      <c r="L353">
        <v>0</v>
      </c>
      <c r="M353">
        <v>5</v>
      </c>
      <c r="N353">
        <f t="shared" si="44"/>
        <v>-5</v>
      </c>
      <c r="O353">
        <f t="shared" si="47"/>
        <v>135.6</v>
      </c>
      <c r="R353">
        <f t="shared" si="45"/>
        <v>0</v>
      </c>
      <c r="S353">
        <f t="shared" si="46"/>
        <v>0</v>
      </c>
      <c r="V353">
        <v>1991.7</v>
      </c>
      <c r="W353">
        <f t="shared" si="50"/>
        <v>34431.199999999997</v>
      </c>
    </row>
    <row r="354" spans="1:23" x14ac:dyDescent="0.25">
      <c r="A354">
        <v>7400</v>
      </c>
      <c r="B354">
        <v>24250</v>
      </c>
      <c r="C354" s="1">
        <v>43299</v>
      </c>
      <c r="F354">
        <v>21.5</v>
      </c>
      <c r="G354">
        <v>15.9</v>
      </c>
      <c r="H354">
        <v>26.4</v>
      </c>
      <c r="I354">
        <f t="shared" si="48"/>
        <v>3492.6000000000004</v>
      </c>
      <c r="J354">
        <f t="shared" si="49"/>
        <v>387.80000000000007</v>
      </c>
      <c r="L354">
        <v>0</v>
      </c>
      <c r="M354">
        <v>4.3</v>
      </c>
      <c r="N354">
        <f t="shared" si="44"/>
        <v>-4.3</v>
      </c>
      <c r="O354">
        <f t="shared" si="47"/>
        <v>131.29999999999998</v>
      </c>
      <c r="R354">
        <f t="shared" si="45"/>
        <v>0</v>
      </c>
      <c r="S354">
        <f t="shared" si="46"/>
        <v>0</v>
      </c>
      <c r="V354">
        <v>1436.1</v>
      </c>
      <c r="W354">
        <f t="shared" si="50"/>
        <v>35867.299999999996</v>
      </c>
    </row>
    <row r="355" spans="1:23" x14ac:dyDescent="0.25">
      <c r="A355">
        <v>7400</v>
      </c>
      <c r="B355">
        <v>24250</v>
      </c>
      <c r="C355" s="1">
        <v>43300</v>
      </c>
      <c r="F355">
        <v>22.4</v>
      </c>
      <c r="G355">
        <v>17.2</v>
      </c>
      <c r="H355">
        <v>28.4</v>
      </c>
      <c r="I355">
        <f t="shared" si="48"/>
        <v>3515.0000000000005</v>
      </c>
      <c r="J355">
        <f t="shared" si="49"/>
        <v>410.20000000000005</v>
      </c>
      <c r="L355">
        <v>0</v>
      </c>
      <c r="M355">
        <v>6.3</v>
      </c>
      <c r="N355">
        <f t="shared" si="44"/>
        <v>-6.3</v>
      </c>
      <c r="O355">
        <f t="shared" si="47"/>
        <v>124.99999999999999</v>
      </c>
      <c r="R355">
        <f t="shared" si="45"/>
        <v>0</v>
      </c>
      <c r="S355">
        <f t="shared" si="46"/>
        <v>0</v>
      </c>
      <c r="V355">
        <v>2339</v>
      </c>
      <c r="W355">
        <f t="shared" si="50"/>
        <v>38206.299999999996</v>
      </c>
    </row>
    <row r="356" spans="1:23" x14ac:dyDescent="0.25">
      <c r="A356">
        <v>7400</v>
      </c>
      <c r="B356">
        <v>24250</v>
      </c>
      <c r="C356" s="1">
        <v>43301</v>
      </c>
      <c r="F356">
        <v>21.1</v>
      </c>
      <c r="G356">
        <v>17.5</v>
      </c>
      <c r="H356">
        <v>24.9</v>
      </c>
      <c r="I356">
        <f t="shared" si="48"/>
        <v>3536.1000000000004</v>
      </c>
      <c r="J356">
        <f t="shared" si="49"/>
        <v>431.30000000000007</v>
      </c>
      <c r="L356">
        <v>7.4</v>
      </c>
      <c r="M356">
        <v>2.2000000000000002</v>
      </c>
      <c r="N356">
        <f t="shared" si="44"/>
        <v>5.2</v>
      </c>
      <c r="O356">
        <f t="shared" si="47"/>
        <v>130.19999999999999</v>
      </c>
      <c r="R356">
        <f t="shared" si="45"/>
        <v>0</v>
      </c>
      <c r="S356">
        <f t="shared" si="46"/>
        <v>7.4</v>
      </c>
      <c r="V356">
        <v>985.3</v>
      </c>
      <c r="W356">
        <f t="shared" si="50"/>
        <v>39191.599999999999</v>
      </c>
    </row>
    <row r="357" spans="1:23" x14ac:dyDescent="0.25">
      <c r="A357">
        <v>7400</v>
      </c>
      <c r="B357">
        <v>24250</v>
      </c>
      <c r="C357" s="1">
        <v>43302</v>
      </c>
      <c r="F357">
        <v>19.100000000000001</v>
      </c>
      <c r="G357">
        <v>15.8</v>
      </c>
      <c r="H357">
        <v>23</v>
      </c>
      <c r="I357">
        <f t="shared" si="48"/>
        <v>3555.2000000000003</v>
      </c>
      <c r="J357">
        <f t="shared" si="49"/>
        <v>450.40000000000009</v>
      </c>
      <c r="L357">
        <v>0</v>
      </c>
      <c r="M357">
        <v>3.1</v>
      </c>
      <c r="N357">
        <f t="shared" si="44"/>
        <v>-3.1</v>
      </c>
      <c r="O357">
        <f t="shared" si="47"/>
        <v>127.1</v>
      </c>
      <c r="R357">
        <f t="shared" si="45"/>
        <v>0</v>
      </c>
      <c r="S357">
        <f t="shared" si="46"/>
        <v>0</v>
      </c>
      <c r="V357">
        <v>1351.6</v>
      </c>
      <c r="W357">
        <f t="shared" si="50"/>
        <v>40543.199999999997</v>
      </c>
    </row>
    <row r="358" spans="1:23" x14ac:dyDescent="0.25">
      <c r="A358">
        <v>7400</v>
      </c>
      <c r="B358">
        <v>24250</v>
      </c>
      <c r="C358" s="1">
        <v>43303</v>
      </c>
      <c r="F358">
        <v>20.8</v>
      </c>
      <c r="G358">
        <v>13.4</v>
      </c>
      <c r="H358">
        <v>26.4</v>
      </c>
      <c r="I358">
        <f t="shared" si="48"/>
        <v>3576.0000000000005</v>
      </c>
      <c r="J358">
        <f t="shared" si="49"/>
        <v>471.2000000000001</v>
      </c>
      <c r="L358">
        <v>0</v>
      </c>
      <c r="M358">
        <v>4</v>
      </c>
      <c r="N358">
        <f t="shared" si="44"/>
        <v>-4</v>
      </c>
      <c r="O358">
        <f t="shared" si="47"/>
        <v>123.1</v>
      </c>
      <c r="R358">
        <f t="shared" si="45"/>
        <v>0</v>
      </c>
      <c r="S358">
        <f t="shared" si="46"/>
        <v>0</v>
      </c>
      <c r="V358">
        <v>1716.7</v>
      </c>
      <c r="W358">
        <f t="shared" si="50"/>
        <v>42259.899999999994</v>
      </c>
    </row>
    <row r="359" spans="1:23" x14ac:dyDescent="0.25">
      <c r="A359">
        <v>7400</v>
      </c>
      <c r="B359">
        <v>24250</v>
      </c>
      <c r="C359" s="1">
        <v>43304</v>
      </c>
      <c r="F359">
        <v>23.6</v>
      </c>
      <c r="G359">
        <v>17.3</v>
      </c>
      <c r="H359">
        <v>28.8</v>
      </c>
      <c r="I359">
        <f t="shared" si="48"/>
        <v>3599.6000000000004</v>
      </c>
      <c r="J359">
        <f t="shared" si="49"/>
        <v>494.80000000000013</v>
      </c>
      <c r="L359">
        <v>0</v>
      </c>
      <c r="M359">
        <v>4.5999999999999996</v>
      </c>
      <c r="N359">
        <f t="shared" si="44"/>
        <v>-4.5999999999999996</v>
      </c>
      <c r="O359">
        <f t="shared" si="47"/>
        <v>118.5</v>
      </c>
      <c r="R359">
        <f t="shared" si="45"/>
        <v>0</v>
      </c>
      <c r="S359">
        <f t="shared" si="46"/>
        <v>0</v>
      </c>
      <c r="V359">
        <v>1671.2</v>
      </c>
      <c r="W359">
        <f t="shared" si="50"/>
        <v>43931.099999999991</v>
      </c>
    </row>
    <row r="360" spans="1:23" x14ac:dyDescent="0.25">
      <c r="A360">
        <v>7400</v>
      </c>
      <c r="B360">
        <v>24250</v>
      </c>
      <c r="C360" s="1">
        <v>43305</v>
      </c>
      <c r="F360">
        <v>25.1</v>
      </c>
      <c r="G360">
        <v>18.899999999999999</v>
      </c>
      <c r="H360">
        <v>30.8</v>
      </c>
      <c r="I360">
        <f t="shared" si="48"/>
        <v>3624.7000000000003</v>
      </c>
      <c r="J360">
        <f t="shared" si="49"/>
        <v>519.90000000000009</v>
      </c>
      <c r="L360">
        <v>0</v>
      </c>
      <c r="M360">
        <v>6.1</v>
      </c>
      <c r="N360">
        <f t="shared" si="44"/>
        <v>-6.1</v>
      </c>
      <c r="O360">
        <f t="shared" si="47"/>
        <v>112.4</v>
      </c>
      <c r="R360">
        <f t="shared" si="45"/>
        <v>0</v>
      </c>
      <c r="S360">
        <f t="shared" si="46"/>
        <v>0</v>
      </c>
      <c r="V360">
        <v>2484.8000000000002</v>
      </c>
      <c r="W360">
        <f t="shared" si="50"/>
        <v>46415.899999999994</v>
      </c>
    </row>
    <row r="361" spans="1:23" x14ac:dyDescent="0.25">
      <c r="A361">
        <v>7400</v>
      </c>
      <c r="B361">
        <v>24250</v>
      </c>
      <c r="C361" s="1">
        <v>43306</v>
      </c>
      <c r="F361">
        <v>26</v>
      </c>
      <c r="G361">
        <v>20.399999999999999</v>
      </c>
      <c r="H361">
        <v>32</v>
      </c>
      <c r="I361">
        <f t="shared" si="48"/>
        <v>3650.7000000000003</v>
      </c>
      <c r="J361">
        <f t="shared" si="49"/>
        <v>545.90000000000009</v>
      </c>
      <c r="L361">
        <v>0.1</v>
      </c>
      <c r="M361">
        <v>6</v>
      </c>
      <c r="N361">
        <f t="shared" si="44"/>
        <v>-5.9</v>
      </c>
      <c r="O361">
        <f t="shared" si="47"/>
        <v>106.5</v>
      </c>
      <c r="R361">
        <f t="shared" si="45"/>
        <v>0</v>
      </c>
      <c r="S361">
        <f t="shared" si="46"/>
        <v>0.1</v>
      </c>
      <c r="V361">
        <v>2270.9</v>
      </c>
      <c r="W361">
        <f t="shared" si="50"/>
        <v>48686.799999999996</v>
      </c>
    </row>
    <row r="362" spans="1:23" x14ac:dyDescent="0.25">
      <c r="A362">
        <v>7400</v>
      </c>
      <c r="B362">
        <v>24250</v>
      </c>
      <c r="C362" s="1">
        <v>43307</v>
      </c>
      <c r="F362">
        <v>27.9</v>
      </c>
      <c r="G362">
        <v>20.9</v>
      </c>
      <c r="H362">
        <v>34.5</v>
      </c>
      <c r="I362">
        <f t="shared" si="48"/>
        <v>3678.6000000000004</v>
      </c>
      <c r="J362">
        <f t="shared" si="49"/>
        <v>573.80000000000007</v>
      </c>
      <c r="L362">
        <v>0.2</v>
      </c>
      <c r="M362">
        <v>6.9</v>
      </c>
      <c r="N362">
        <f t="shared" si="44"/>
        <v>-6.7</v>
      </c>
      <c r="O362">
        <f t="shared" si="47"/>
        <v>99.8</v>
      </c>
      <c r="R362">
        <f t="shared" si="45"/>
        <v>0</v>
      </c>
      <c r="S362">
        <f t="shared" si="46"/>
        <v>0.2</v>
      </c>
      <c r="V362">
        <v>2367.9</v>
      </c>
      <c r="W362">
        <f t="shared" si="50"/>
        <v>51054.7</v>
      </c>
    </row>
    <row r="363" spans="1:23" x14ac:dyDescent="0.25">
      <c r="A363">
        <v>7400</v>
      </c>
      <c r="B363">
        <v>24250</v>
      </c>
      <c r="C363" s="1">
        <v>43308</v>
      </c>
      <c r="F363">
        <v>27.8</v>
      </c>
      <c r="G363">
        <v>23.4</v>
      </c>
      <c r="H363">
        <v>35.6</v>
      </c>
      <c r="I363">
        <f t="shared" si="48"/>
        <v>3706.4000000000005</v>
      </c>
      <c r="J363">
        <f t="shared" si="49"/>
        <v>601.6</v>
      </c>
      <c r="L363">
        <v>4.4000000000000004</v>
      </c>
      <c r="M363">
        <v>8.1</v>
      </c>
      <c r="N363">
        <f t="shared" si="44"/>
        <v>-3.6999999999999993</v>
      </c>
      <c r="O363">
        <f t="shared" si="47"/>
        <v>96.1</v>
      </c>
      <c r="R363">
        <f t="shared" si="45"/>
        <v>0</v>
      </c>
      <c r="S363">
        <f t="shared" si="46"/>
        <v>4.4000000000000004</v>
      </c>
      <c r="V363">
        <v>2642.7</v>
      </c>
      <c r="W363">
        <f t="shared" si="50"/>
        <v>53697.399999999994</v>
      </c>
    </row>
    <row r="364" spans="1:23" x14ac:dyDescent="0.25">
      <c r="A364">
        <v>7400</v>
      </c>
      <c r="B364">
        <v>24250</v>
      </c>
      <c r="C364" s="1">
        <v>43309</v>
      </c>
      <c r="F364">
        <v>21.1</v>
      </c>
      <c r="G364">
        <v>19.7</v>
      </c>
      <c r="H364">
        <v>23.9</v>
      </c>
      <c r="I364">
        <f t="shared" si="48"/>
        <v>3727.5000000000005</v>
      </c>
      <c r="J364">
        <f t="shared" si="49"/>
        <v>622.70000000000005</v>
      </c>
      <c r="L364">
        <v>0</v>
      </c>
      <c r="M364">
        <v>4.4000000000000004</v>
      </c>
      <c r="N364">
        <f t="shared" si="44"/>
        <v>-4.4000000000000004</v>
      </c>
      <c r="O364">
        <f t="shared" si="47"/>
        <v>91.699999999999989</v>
      </c>
      <c r="R364">
        <f t="shared" si="45"/>
        <v>0</v>
      </c>
      <c r="S364">
        <f t="shared" si="46"/>
        <v>0</v>
      </c>
      <c r="V364">
        <v>1682.5</v>
      </c>
      <c r="W364">
        <f t="shared" si="50"/>
        <v>55379.899999999994</v>
      </c>
    </row>
    <row r="365" spans="1:23" x14ac:dyDescent="0.25">
      <c r="A365">
        <v>7400</v>
      </c>
      <c r="B365">
        <v>24250</v>
      </c>
      <c r="C365" s="1">
        <v>43310</v>
      </c>
      <c r="F365">
        <v>22</v>
      </c>
      <c r="G365">
        <v>16</v>
      </c>
      <c r="H365">
        <v>27.2</v>
      </c>
      <c r="I365">
        <f t="shared" si="48"/>
        <v>3749.5000000000005</v>
      </c>
      <c r="J365">
        <f t="shared" si="49"/>
        <v>644.70000000000005</v>
      </c>
      <c r="L365">
        <v>0</v>
      </c>
      <c r="M365">
        <v>4.5</v>
      </c>
      <c r="N365">
        <f t="shared" si="44"/>
        <v>-4.5</v>
      </c>
      <c r="O365">
        <f t="shared" si="47"/>
        <v>87.199999999999989</v>
      </c>
      <c r="R365">
        <f t="shared" si="45"/>
        <v>0</v>
      </c>
      <c r="S365">
        <f t="shared" si="46"/>
        <v>0</v>
      </c>
      <c r="V365">
        <v>1615.3</v>
      </c>
      <c r="W365">
        <f t="shared" si="50"/>
        <v>56995.199999999997</v>
      </c>
    </row>
    <row r="366" spans="1:23" x14ac:dyDescent="0.25">
      <c r="A366">
        <v>7400</v>
      </c>
      <c r="B366">
        <v>24250</v>
      </c>
      <c r="C366" s="1">
        <v>43311</v>
      </c>
      <c r="F366">
        <v>23</v>
      </c>
      <c r="G366">
        <v>17.3</v>
      </c>
      <c r="H366">
        <v>27.5</v>
      </c>
      <c r="I366">
        <f t="shared" si="48"/>
        <v>3772.5000000000005</v>
      </c>
      <c r="J366">
        <f t="shared" si="49"/>
        <v>667.7</v>
      </c>
      <c r="L366">
        <v>0</v>
      </c>
      <c r="M366">
        <v>5.6</v>
      </c>
      <c r="N366">
        <f t="shared" si="44"/>
        <v>-5.6</v>
      </c>
      <c r="O366">
        <f t="shared" si="47"/>
        <v>81.599999999999994</v>
      </c>
      <c r="R366">
        <f t="shared" si="45"/>
        <v>0</v>
      </c>
      <c r="S366">
        <f t="shared" si="46"/>
        <v>0</v>
      </c>
      <c r="V366">
        <v>2398.4</v>
      </c>
      <c r="W366">
        <f t="shared" si="50"/>
        <v>59393.599999999999</v>
      </c>
    </row>
    <row r="367" spans="1:23" x14ac:dyDescent="0.25">
      <c r="A367">
        <v>7400</v>
      </c>
      <c r="B367">
        <v>24250</v>
      </c>
      <c r="C367" s="1">
        <v>43312</v>
      </c>
      <c r="F367">
        <v>24.1</v>
      </c>
      <c r="G367">
        <v>18.8</v>
      </c>
      <c r="H367">
        <v>28.8</v>
      </c>
      <c r="I367">
        <f t="shared" si="48"/>
        <v>3796.6000000000004</v>
      </c>
      <c r="J367">
        <f t="shared" si="49"/>
        <v>691.80000000000007</v>
      </c>
      <c r="L367">
        <v>0</v>
      </c>
      <c r="M367">
        <v>4.7</v>
      </c>
      <c r="N367">
        <f t="shared" si="44"/>
        <v>-4.7</v>
      </c>
      <c r="O367">
        <f t="shared" si="47"/>
        <v>76.899999999999991</v>
      </c>
      <c r="R367">
        <f t="shared" si="45"/>
        <v>0</v>
      </c>
      <c r="S367">
        <f t="shared" si="46"/>
        <v>0</v>
      </c>
      <c r="V367">
        <v>1745.8</v>
      </c>
      <c r="W367">
        <f t="shared" si="50"/>
        <v>61139.4</v>
      </c>
    </row>
  </sheetData>
  <mergeCells count="10">
    <mergeCell ref="F2:K2"/>
    <mergeCell ref="L2:U2"/>
    <mergeCell ref="V2:X2"/>
    <mergeCell ref="E315:E336"/>
    <mergeCell ref="E299:E314"/>
    <mergeCell ref="E278:E298"/>
    <mergeCell ref="E257:E277"/>
    <mergeCell ref="E219:E256"/>
    <mergeCell ref="E100:E218"/>
    <mergeCell ref="E25:E99"/>
  </mergeCells>
  <conditionalFormatting sqref="V4:V367">
    <cfRule type="cellIs" dxfId="25" priority="26" operator="lessThan">
      <formula>900</formula>
    </cfRule>
  </conditionalFormatting>
  <conditionalFormatting sqref="S4:S367">
    <cfRule type="cellIs" dxfId="24" priority="25" operator="lessThan">
      <formula>0</formula>
    </cfRule>
  </conditionalFormatting>
  <conditionalFormatting sqref="N4:N367">
    <cfRule type="cellIs" dxfId="23" priority="24" operator="equal">
      <formula>0</formula>
    </cfRule>
    <cfRule type="cellIs" dxfId="22" priority="23" operator="lessThan">
      <formula>0</formula>
    </cfRule>
  </conditionalFormatting>
  <conditionalFormatting sqref="F4:H367">
    <cfRule type="cellIs" dxfId="21" priority="22" operator="greaterThanOrEqual">
      <formula>25</formula>
    </cfRule>
    <cfRule type="cellIs" dxfId="20" priority="21" operator="between">
      <formula>5</formula>
      <formula>0</formula>
    </cfRule>
    <cfRule type="cellIs" dxfId="19" priority="20" operator="lessThan">
      <formula>0</formula>
    </cfRule>
  </conditionalFormatting>
  <conditionalFormatting sqref="T25:T367">
    <cfRule type="cellIs" dxfId="18" priority="19" operator="lessThan">
      <formula>51.3</formula>
    </cfRule>
    <cfRule type="cellIs" dxfId="17" priority="18" operator="equal">
      <formula>0</formula>
    </cfRule>
  </conditionalFormatting>
  <conditionalFormatting sqref="K26 K34 K38 K36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U26">
    <cfRule type="cellIs" dxfId="14" priority="14" operator="equal">
      <formula>0</formula>
    </cfRule>
    <cfRule type="cellIs" dxfId="13" priority="15" operator="lessThanOrEqual">
      <formula>63.2</formula>
    </cfRule>
  </conditionalFormatting>
  <conditionalFormatting sqref="K101 K109 K113 K111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K220 K228 K232 K230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K258 K270 K268 K266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K279 K287 K289 K291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K300 K310">
    <cfRule type="cellIs" dxfId="4" priority="4" operator="lessThanOrEqual">
      <formula>0</formula>
    </cfRule>
    <cfRule type="cellIs" dxfId="3" priority="5" operator="lessThanOrEqual">
      <formula>5</formula>
    </cfRule>
  </conditionalFormatting>
  <conditionalFormatting sqref="K316 K326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X25:X346 Y101 Y220 Y258 Y279 Y300 Y316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EUR18CHL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2019-11-08T14:36:33Z</dcterms:created>
  <dcterms:modified xsi:type="dcterms:W3CDTF">2019-11-12T10:26:28Z</dcterms:modified>
</cp:coreProperties>
</file>