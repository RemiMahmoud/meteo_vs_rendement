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19200" windowHeight="10860"/>
  </bookViews>
  <sheets>
    <sheet name="MAD18FAU" sheetId="1" r:id="rId1"/>
  </sheets>
  <calcPr calcId="162913"/>
</workbook>
</file>

<file path=xl/calcChain.xml><?xml version="1.0" encoding="utf-8"?>
<calcChain xmlns="http://schemas.openxmlformats.org/spreadsheetml/2006/main">
  <c r="AA226" i="1" l="1"/>
  <c r="AA218" i="1"/>
  <c r="L314" i="1" l="1"/>
  <c r="L316" i="1"/>
  <c r="L318" i="1"/>
  <c r="Z251" i="1" l="1"/>
  <c r="L300" i="1"/>
  <c r="L298" i="1"/>
  <c r="L296" i="1"/>
  <c r="L276" i="1"/>
  <c r="L274" i="1"/>
  <c r="L272" i="1"/>
  <c r="L255" i="1"/>
  <c r="L253" i="1"/>
  <c r="L251" i="1"/>
  <c r="L224" i="1"/>
  <c r="L222" i="1"/>
  <c r="L220" i="1"/>
  <c r="L130" i="1"/>
  <c r="L128" i="1"/>
  <c r="L126" i="1"/>
  <c r="L44" i="1"/>
  <c r="L42" i="1"/>
  <c r="L40" i="1"/>
  <c r="Z314" i="1"/>
  <c r="Z296" i="1"/>
  <c r="Z272" i="1"/>
  <c r="Z220" i="1"/>
  <c r="Z126" i="1"/>
  <c r="Z40" i="1"/>
  <c r="X333" i="1" l="1"/>
  <c r="K333" i="1"/>
  <c r="X311" i="1"/>
  <c r="K311" i="1"/>
  <c r="X293" i="1"/>
  <c r="K293" i="1"/>
  <c r="R294" i="1"/>
  <c r="R295" i="1"/>
  <c r="R296" i="1"/>
  <c r="R297" i="1"/>
  <c r="R298" i="1"/>
  <c r="R299" i="1"/>
  <c r="R300" i="1"/>
  <c r="R301" i="1"/>
  <c r="S301" i="1" s="1"/>
  <c r="T301" i="1" s="1"/>
  <c r="R302" i="1"/>
  <c r="S302" i="1" s="1"/>
  <c r="T302" i="1" s="1"/>
  <c r="R303" i="1"/>
  <c r="R304" i="1"/>
  <c r="R305" i="1"/>
  <c r="R306" i="1"/>
  <c r="R307" i="1"/>
  <c r="R308" i="1"/>
  <c r="R309" i="1"/>
  <c r="S309" i="1" s="1"/>
  <c r="T309" i="1" s="1"/>
  <c r="R310" i="1"/>
  <c r="S310" i="1" s="1"/>
  <c r="T310" i="1" s="1"/>
  <c r="R311" i="1"/>
  <c r="R312" i="1"/>
  <c r="R313" i="1"/>
  <c r="R314" i="1"/>
  <c r="R315" i="1"/>
  <c r="R316" i="1"/>
  <c r="R317" i="1"/>
  <c r="S317" i="1" s="1"/>
  <c r="T317" i="1" s="1"/>
  <c r="R318" i="1"/>
  <c r="S318" i="1" s="1"/>
  <c r="T318" i="1" s="1"/>
  <c r="R319" i="1"/>
  <c r="R320" i="1"/>
  <c r="R321" i="1"/>
  <c r="R322" i="1"/>
  <c r="R323" i="1"/>
  <c r="R324" i="1"/>
  <c r="R325" i="1"/>
  <c r="S325" i="1" s="1"/>
  <c r="T325" i="1" s="1"/>
  <c r="R326" i="1"/>
  <c r="S326" i="1" s="1"/>
  <c r="T326" i="1" s="1"/>
  <c r="R327" i="1"/>
  <c r="R328" i="1"/>
  <c r="R329" i="1"/>
  <c r="R330" i="1"/>
  <c r="R331" i="1"/>
  <c r="R332" i="1"/>
  <c r="R333" i="1"/>
  <c r="S333" i="1" s="1"/>
  <c r="T333" i="1" s="1"/>
  <c r="R334" i="1"/>
  <c r="S334" i="1" s="1"/>
  <c r="T334" i="1" s="1"/>
  <c r="R335" i="1"/>
  <c r="R336" i="1"/>
  <c r="R337" i="1"/>
  <c r="R338" i="1"/>
  <c r="R339" i="1"/>
  <c r="R340" i="1"/>
  <c r="R341" i="1"/>
  <c r="S341" i="1" s="1"/>
  <c r="T341" i="1" s="1"/>
  <c r="R342" i="1"/>
  <c r="S342" i="1" s="1"/>
  <c r="T342" i="1" s="1"/>
  <c r="R343" i="1"/>
  <c r="R344" i="1"/>
  <c r="R345" i="1"/>
  <c r="R346" i="1"/>
  <c r="R347" i="1"/>
  <c r="R348" i="1"/>
  <c r="R349" i="1"/>
  <c r="S349" i="1" s="1"/>
  <c r="T349" i="1" s="1"/>
  <c r="R350" i="1"/>
  <c r="S350" i="1" s="1"/>
  <c r="T350" i="1" s="1"/>
  <c r="R351" i="1"/>
  <c r="R352" i="1"/>
  <c r="R353" i="1"/>
  <c r="R293" i="1"/>
  <c r="X269" i="1"/>
  <c r="K269" i="1"/>
  <c r="K248" i="1"/>
  <c r="X248" i="1"/>
  <c r="R218" i="1"/>
  <c r="R219" i="1"/>
  <c r="S219" i="1" s="1"/>
  <c r="T219" i="1" s="1"/>
  <c r="R220" i="1"/>
  <c r="R221" i="1"/>
  <c r="R222" i="1"/>
  <c r="S222" i="1" s="1"/>
  <c r="T222" i="1" s="1"/>
  <c r="R223" i="1"/>
  <c r="S223" i="1" s="1"/>
  <c r="T223" i="1" s="1"/>
  <c r="R224" i="1"/>
  <c r="S224" i="1" s="1"/>
  <c r="T224" i="1" s="1"/>
  <c r="R225" i="1"/>
  <c r="S225" i="1" s="1"/>
  <c r="T225" i="1" s="1"/>
  <c r="R226" i="1"/>
  <c r="R227" i="1"/>
  <c r="S227" i="1" s="1"/>
  <c r="T227" i="1" s="1"/>
  <c r="R228" i="1"/>
  <c r="R229" i="1"/>
  <c r="R230" i="1"/>
  <c r="S230" i="1" s="1"/>
  <c r="T230" i="1" s="1"/>
  <c r="R231" i="1"/>
  <c r="R232" i="1"/>
  <c r="R233" i="1"/>
  <c r="S233" i="1" s="1"/>
  <c r="T233" i="1" s="1"/>
  <c r="R234" i="1"/>
  <c r="R235" i="1"/>
  <c r="S235" i="1" s="1"/>
  <c r="T235" i="1" s="1"/>
  <c r="R236" i="1"/>
  <c r="R237" i="1"/>
  <c r="R238" i="1"/>
  <c r="S238" i="1" s="1"/>
  <c r="T238" i="1" s="1"/>
  <c r="R239" i="1"/>
  <c r="S239" i="1" s="1"/>
  <c r="T239" i="1" s="1"/>
  <c r="R240" i="1"/>
  <c r="S240" i="1" s="1"/>
  <c r="T240" i="1" s="1"/>
  <c r="R241" i="1"/>
  <c r="S241" i="1" s="1"/>
  <c r="T241" i="1" s="1"/>
  <c r="R242" i="1"/>
  <c r="R243" i="1"/>
  <c r="S243" i="1" s="1"/>
  <c r="T243" i="1" s="1"/>
  <c r="R244" i="1"/>
  <c r="R245" i="1"/>
  <c r="R246" i="1"/>
  <c r="S246" i="1" s="1"/>
  <c r="T246" i="1" s="1"/>
  <c r="R247" i="1"/>
  <c r="S247" i="1" s="1"/>
  <c r="T247" i="1" s="1"/>
  <c r="R217" i="1"/>
  <c r="S217" i="1" s="1"/>
  <c r="T217" i="1" s="1"/>
  <c r="X217" i="1"/>
  <c r="K217" i="1"/>
  <c r="X123" i="1"/>
  <c r="K123" i="1"/>
  <c r="R45" i="1"/>
  <c r="S45" i="1" s="1"/>
  <c r="T45" i="1" s="1"/>
  <c r="R46" i="1"/>
  <c r="R47" i="1"/>
  <c r="R48" i="1"/>
  <c r="R49" i="1"/>
  <c r="S49" i="1" s="1"/>
  <c r="T49" i="1" s="1"/>
  <c r="R50" i="1"/>
  <c r="R51" i="1"/>
  <c r="R52" i="1"/>
  <c r="R53" i="1"/>
  <c r="S53" i="1" s="1"/>
  <c r="T53" i="1" s="1"/>
  <c r="R54" i="1"/>
  <c r="S54" i="1" s="1"/>
  <c r="T54" i="1" s="1"/>
  <c r="R55" i="1"/>
  <c r="S55" i="1" s="1"/>
  <c r="T55" i="1" s="1"/>
  <c r="R56" i="1"/>
  <c r="R57" i="1"/>
  <c r="S57" i="1" s="1"/>
  <c r="T57" i="1" s="1"/>
  <c r="R58" i="1"/>
  <c r="R59" i="1"/>
  <c r="R60" i="1"/>
  <c r="R61" i="1"/>
  <c r="S61" i="1" s="1"/>
  <c r="T61" i="1" s="1"/>
  <c r="R62" i="1"/>
  <c r="S62" i="1" s="1"/>
  <c r="T62" i="1" s="1"/>
  <c r="R63" i="1"/>
  <c r="S63" i="1" s="1"/>
  <c r="T63" i="1" s="1"/>
  <c r="R64" i="1"/>
  <c r="R65" i="1"/>
  <c r="S65" i="1" s="1"/>
  <c r="T65" i="1" s="1"/>
  <c r="R66" i="1"/>
  <c r="R67" i="1"/>
  <c r="R68" i="1"/>
  <c r="R69" i="1"/>
  <c r="S69" i="1" s="1"/>
  <c r="T69" i="1" s="1"/>
  <c r="R70" i="1"/>
  <c r="S70" i="1" s="1"/>
  <c r="T70" i="1" s="1"/>
  <c r="R71" i="1"/>
  <c r="S71" i="1" s="1"/>
  <c r="T71" i="1" s="1"/>
  <c r="R72" i="1"/>
  <c r="R73" i="1"/>
  <c r="S73" i="1" s="1"/>
  <c r="T73" i="1" s="1"/>
  <c r="R74" i="1"/>
  <c r="R75" i="1"/>
  <c r="R76" i="1"/>
  <c r="R77" i="1"/>
  <c r="S77" i="1" s="1"/>
  <c r="T77" i="1" s="1"/>
  <c r="R78" i="1"/>
  <c r="R79" i="1"/>
  <c r="R80" i="1"/>
  <c r="R81" i="1"/>
  <c r="S81" i="1" s="1"/>
  <c r="T81" i="1" s="1"/>
  <c r="R82" i="1"/>
  <c r="R83" i="1"/>
  <c r="R84" i="1"/>
  <c r="R85" i="1"/>
  <c r="S85" i="1" s="1"/>
  <c r="T85" i="1" s="1"/>
  <c r="R86" i="1"/>
  <c r="S86" i="1" s="1"/>
  <c r="T86" i="1" s="1"/>
  <c r="R87" i="1"/>
  <c r="S87" i="1" s="1"/>
  <c r="T87" i="1" s="1"/>
  <c r="R88" i="1"/>
  <c r="R89" i="1"/>
  <c r="S89" i="1" s="1"/>
  <c r="T89" i="1" s="1"/>
  <c r="R90" i="1"/>
  <c r="R91" i="1"/>
  <c r="R92" i="1"/>
  <c r="R93" i="1"/>
  <c r="S93" i="1" s="1"/>
  <c r="T93" i="1" s="1"/>
  <c r="R94" i="1"/>
  <c r="S94" i="1" s="1"/>
  <c r="T94" i="1" s="1"/>
  <c r="R95" i="1"/>
  <c r="S95" i="1" s="1"/>
  <c r="T95" i="1" s="1"/>
  <c r="R96" i="1"/>
  <c r="R97" i="1"/>
  <c r="S97" i="1" s="1"/>
  <c r="T97" i="1" s="1"/>
  <c r="R98" i="1"/>
  <c r="R99" i="1"/>
  <c r="R100" i="1"/>
  <c r="R101" i="1"/>
  <c r="S101" i="1" s="1"/>
  <c r="T101" i="1" s="1"/>
  <c r="R102" i="1"/>
  <c r="S102" i="1" s="1"/>
  <c r="T102" i="1" s="1"/>
  <c r="R103" i="1"/>
  <c r="S103" i="1" s="1"/>
  <c r="T103" i="1" s="1"/>
  <c r="R104" i="1"/>
  <c r="R105" i="1"/>
  <c r="S105" i="1" s="1"/>
  <c r="T105" i="1" s="1"/>
  <c r="R106" i="1"/>
  <c r="R107" i="1"/>
  <c r="R108" i="1"/>
  <c r="R109" i="1"/>
  <c r="S109" i="1" s="1"/>
  <c r="T109" i="1" s="1"/>
  <c r="R110" i="1"/>
  <c r="R111" i="1"/>
  <c r="R112" i="1"/>
  <c r="R113" i="1"/>
  <c r="S113" i="1" s="1"/>
  <c r="T113" i="1" s="1"/>
  <c r="R114" i="1"/>
  <c r="R115" i="1"/>
  <c r="R116" i="1"/>
  <c r="R117" i="1"/>
  <c r="S117" i="1" s="1"/>
  <c r="T117" i="1" s="1"/>
  <c r="R118" i="1"/>
  <c r="S118" i="1" s="1"/>
  <c r="T118" i="1" s="1"/>
  <c r="R119" i="1"/>
  <c r="S119" i="1" s="1"/>
  <c r="T119" i="1" s="1"/>
  <c r="R120" i="1"/>
  <c r="R121" i="1"/>
  <c r="S121" i="1" s="1"/>
  <c r="T121" i="1" s="1"/>
  <c r="R122" i="1"/>
  <c r="R44" i="1"/>
  <c r="X37" i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K37" i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J37" i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S1" i="1"/>
  <c r="T10" i="1"/>
  <c r="T11" i="1"/>
  <c r="T12" i="1"/>
  <c r="T18" i="1"/>
  <c r="T19" i="1"/>
  <c r="T20" i="1"/>
  <c r="T26" i="1"/>
  <c r="T27" i="1"/>
  <c r="T28" i="1"/>
  <c r="T34" i="1"/>
  <c r="T35" i="1"/>
  <c r="T36" i="1"/>
  <c r="T56" i="1"/>
  <c r="T72" i="1"/>
  <c r="T96" i="1"/>
  <c r="T120" i="1"/>
  <c r="T290" i="1"/>
  <c r="T292" i="1"/>
  <c r="T354" i="1"/>
  <c r="T360" i="1"/>
  <c r="T361" i="1"/>
  <c r="T362" i="1"/>
  <c r="T4" i="1"/>
  <c r="S5" i="1"/>
  <c r="T5" i="1" s="1"/>
  <c r="S6" i="1"/>
  <c r="T6" i="1" s="1"/>
  <c r="S7" i="1"/>
  <c r="T7" i="1" s="1"/>
  <c r="S8" i="1"/>
  <c r="T8" i="1" s="1"/>
  <c r="S9" i="1"/>
  <c r="T9" i="1" s="1"/>
  <c r="S10" i="1"/>
  <c r="S11" i="1"/>
  <c r="S12" i="1"/>
  <c r="S13" i="1"/>
  <c r="T13" i="1" s="1"/>
  <c r="S14" i="1"/>
  <c r="T14" i="1" s="1"/>
  <c r="S15" i="1"/>
  <c r="T15" i="1" s="1"/>
  <c r="S16" i="1"/>
  <c r="T16" i="1" s="1"/>
  <c r="S17" i="1"/>
  <c r="T17" i="1" s="1"/>
  <c r="S18" i="1"/>
  <c r="S19" i="1"/>
  <c r="S20" i="1"/>
  <c r="S21" i="1"/>
  <c r="T21" i="1" s="1"/>
  <c r="S22" i="1"/>
  <c r="T22" i="1" s="1"/>
  <c r="S23" i="1"/>
  <c r="T23" i="1" s="1"/>
  <c r="S24" i="1"/>
  <c r="T24" i="1" s="1"/>
  <c r="S25" i="1"/>
  <c r="T25" i="1" s="1"/>
  <c r="S26" i="1"/>
  <c r="S27" i="1"/>
  <c r="S28" i="1"/>
  <c r="S29" i="1"/>
  <c r="T29" i="1" s="1"/>
  <c r="S30" i="1"/>
  <c r="T30" i="1" s="1"/>
  <c r="S31" i="1"/>
  <c r="T31" i="1" s="1"/>
  <c r="S32" i="1"/>
  <c r="T32" i="1" s="1"/>
  <c r="S33" i="1"/>
  <c r="T33" i="1" s="1"/>
  <c r="S34" i="1"/>
  <c r="S35" i="1"/>
  <c r="S36" i="1"/>
  <c r="S37" i="1"/>
  <c r="T37" i="1" s="1"/>
  <c r="S38" i="1"/>
  <c r="T38" i="1" s="1"/>
  <c r="S39" i="1"/>
  <c r="T39" i="1" s="1"/>
  <c r="S40" i="1"/>
  <c r="T40" i="1" s="1"/>
  <c r="S41" i="1"/>
  <c r="T41" i="1" s="1"/>
  <c r="U41" i="1" s="1"/>
  <c r="S42" i="1"/>
  <c r="T42" i="1" s="1"/>
  <c r="S43" i="1"/>
  <c r="T43" i="1" s="1"/>
  <c r="S44" i="1"/>
  <c r="T44" i="1" s="1"/>
  <c r="S46" i="1"/>
  <c r="T46" i="1" s="1"/>
  <c r="S47" i="1"/>
  <c r="T47" i="1" s="1"/>
  <c r="S48" i="1"/>
  <c r="T48" i="1" s="1"/>
  <c r="S50" i="1"/>
  <c r="T50" i="1" s="1"/>
  <c r="S51" i="1"/>
  <c r="T51" i="1" s="1"/>
  <c r="S52" i="1"/>
  <c r="T52" i="1" s="1"/>
  <c r="S56" i="1"/>
  <c r="S58" i="1"/>
  <c r="T58" i="1" s="1"/>
  <c r="S59" i="1"/>
  <c r="T59" i="1" s="1"/>
  <c r="S60" i="1"/>
  <c r="T60" i="1" s="1"/>
  <c r="S64" i="1"/>
  <c r="T64" i="1" s="1"/>
  <c r="S66" i="1"/>
  <c r="T66" i="1" s="1"/>
  <c r="S67" i="1"/>
  <c r="T67" i="1" s="1"/>
  <c r="S68" i="1"/>
  <c r="T68" i="1" s="1"/>
  <c r="S72" i="1"/>
  <c r="S74" i="1"/>
  <c r="T74" i="1" s="1"/>
  <c r="S75" i="1"/>
  <c r="T75" i="1" s="1"/>
  <c r="S76" i="1"/>
  <c r="T76" i="1" s="1"/>
  <c r="S78" i="1"/>
  <c r="T78" i="1" s="1"/>
  <c r="S79" i="1"/>
  <c r="T79" i="1" s="1"/>
  <c r="S80" i="1"/>
  <c r="T80" i="1" s="1"/>
  <c r="S82" i="1"/>
  <c r="T82" i="1" s="1"/>
  <c r="S83" i="1"/>
  <c r="T83" i="1" s="1"/>
  <c r="S84" i="1"/>
  <c r="T84" i="1" s="1"/>
  <c r="S88" i="1"/>
  <c r="T88" i="1" s="1"/>
  <c r="S90" i="1"/>
  <c r="T90" i="1" s="1"/>
  <c r="S91" i="1"/>
  <c r="T91" i="1" s="1"/>
  <c r="S92" i="1"/>
  <c r="T92" i="1" s="1"/>
  <c r="S96" i="1"/>
  <c r="S98" i="1"/>
  <c r="T98" i="1" s="1"/>
  <c r="S99" i="1"/>
  <c r="T99" i="1" s="1"/>
  <c r="S100" i="1"/>
  <c r="T100" i="1" s="1"/>
  <c r="S104" i="1"/>
  <c r="T104" i="1" s="1"/>
  <c r="S106" i="1"/>
  <c r="T106" i="1" s="1"/>
  <c r="S107" i="1"/>
  <c r="T107" i="1" s="1"/>
  <c r="S108" i="1"/>
  <c r="T108" i="1" s="1"/>
  <c r="S110" i="1"/>
  <c r="T110" i="1" s="1"/>
  <c r="S111" i="1"/>
  <c r="T111" i="1" s="1"/>
  <c r="S112" i="1"/>
  <c r="T112" i="1" s="1"/>
  <c r="S114" i="1"/>
  <c r="T114" i="1" s="1"/>
  <c r="S115" i="1"/>
  <c r="T115" i="1" s="1"/>
  <c r="S116" i="1"/>
  <c r="T116" i="1" s="1"/>
  <c r="S120" i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8" i="1"/>
  <c r="T218" i="1" s="1"/>
  <c r="S220" i="1"/>
  <c r="T220" i="1" s="1"/>
  <c r="S221" i="1"/>
  <c r="T221" i="1" s="1"/>
  <c r="S226" i="1"/>
  <c r="T226" i="1" s="1"/>
  <c r="S228" i="1"/>
  <c r="T228" i="1" s="1"/>
  <c r="S229" i="1"/>
  <c r="T229" i="1" s="1"/>
  <c r="S231" i="1"/>
  <c r="T231" i="1" s="1"/>
  <c r="S232" i="1"/>
  <c r="T232" i="1" s="1"/>
  <c r="S234" i="1"/>
  <c r="T234" i="1" s="1"/>
  <c r="S236" i="1"/>
  <c r="T236" i="1" s="1"/>
  <c r="S237" i="1"/>
  <c r="T237" i="1" s="1"/>
  <c r="S242" i="1"/>
  <c r="T242" i="1" s="1"/>
  <c r="S244" i="1"/>
  <c r="T244" i="1" s="1"/>
  <c r="S245" i="1"/>
  <c r="T245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S291" i="1"/>
  <c r="T291" i="1" s="1"/>
  <c r="S292" i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51" i="1"/>
  <c r="T351" i="1" s="1"/>
  <c r="S352" i="1"/>
  <c r="T352" i="1" s="1"/>
  <c r="S353" i="1"/>
  <c r="T353" i="1" s="1"/>
  <c r="S354" i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S361" i="1"/>
  <c r="S362" i="1"/>
  <c r="S363" i="1"/>
  <c r="T363" i="1" s="1"/>
  <c r="S364" i="1"/>
  <c r="T364" i="1" s="1"/>
  <c r="S365" i="1"/>
  <c r="T365" i="1" s="1"/>
  <c r="S366" i="1"/>
  <c r="T366" i="1" s="1"/>
  <c r="S367" i="1"/>
  <c r="T367" i="1" s="1"/>
  <c r="S4" i="1"/>
  <c r="O5" i="1"/>
  <c r="O6" i="1"/>
  <c r="O7" i="1"/>
  <c r="O8" i="1"/>
  <c r="O9" i="1"/>
  <c r="O10" i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2" i="1" s="1"/>
  <c r="P33" i="1" s="1"/>
  <c r="P34" i="1" s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U42" i="1" l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X124" i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K124" i="1"/>
  <c r="K125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5" i="1" s="1"/>
  <c r="K216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U124" i="1" l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V42" i="1"/>
  <c r="V44" i="1"/>
  <c r="V46" i="1"/>
  <c r="V48" i="1" s="1"/>
  <c r="U218" i="1" l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V128" i="1"/>
  <c r="V130" i="1"/>
  <c r="V132" i="1"/>
  <c r="V134" i="1" s="1"/>
  <c r="V224" i="1" l="1"/>
  <c r="V222" i="1"/>
  <c r="V226" i="1"/>
  <c r="V228" i="1" s="1"/>
  <c r="U249" i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V257" i="1"/>
  <c r="V259" i="1" s="1"/>
  <c r="V255" i="1" l="1"/>
  <c r="V253" i="1"/>
  <c r="U270" i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V278" i="1" l="1"/>
  <c r="V280" i="1" s="1"/>
  <c r="V276" i="1"/>
  <c r="V274" i="1"/>
  <c r="U294" i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V298" i="1"/>
  <c r="V302" i="1"/>
  <c r="V304" i="1" s="1"/>
  <c r="V300" i="1" l="1"/>
  <c r="U312" i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V320" i="1" l="1"/>
  <c r="V322" i="1" s="1"/>
  <c r="V316" i="1"/>
  <c r="V318" i="1"/>
</calcChain>
</file>

<file path=xl/sharedStrings.xml><?xml version="1.0" encoding="utf-8"?>
<sst xmlns="http://schemas.openxmlformats.org/spreadsheetml/2006/main" count="159" uniqueCount="67">
  <si>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</si>
  <si>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</si>
  <si>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</si>
  <si>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</si>
  <si>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</si>
  <si>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</si>
  <si>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</si>
  <si>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</si>
  <si>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</si>
  <si>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</si>
  <si>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</t>
  </si>
  <si>
    <t>Période</t>
  </si>
  <si>
    <t>GDD/cumul</t>
  </si>
  <si>
    <t>GDD/période</t>
  </si>
  <si>
    <t>IPC</t>
  </si>
  <si>
    <t>Temperature</t>
  </si>
  <si>
    <t>P-ETP</t>
  </si>
  <si>
    <t>RU avant semis</t>
  </si>
  <si>
    <t>i</t>
  </si>
  <si>
    <t>kc</t>
  </si>
  <si>
    <t>ETM</t>
  </si>
  <si>
    <t>P-ETM</t>
  </si>
  <si>
    <t>WSCi</t>
  </si>
  <si>
    <t>WATER</t>
  </si>
  <si>
    <t>RU</t>
  </si>
  <si>
    <t>1/3</t>
  </si>
  <si>
    <t>SSI/période</t>
  </si>
  <si>
    <t>Photopériode</t>
  </si>
  <si>
    <t>SOLAR</t>
  </si>
  <si>
    <t>h</t>
  </si>
  <si>
    <t>fh</t>
  </si>
  <si>
    <t>flo</t>
  </si>
  <si>
    <t>fin flo</t>
  </si>
  <si>
    <t>semis</t>
  </si>
  <si>
    <t>levée</t>
  </si>
  <si>
    <t>Récolte</t>
  </si>
  <si>
    <t>s</t>
  </si>
  <si>
    <t>f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</si>
  <si>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</si>
  <si>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</si>
  <si>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</si>
  <si>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</si>
  <si>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</si>
  <si>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</si>
  <si>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</si>
  <si>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</si>
  <si>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</si>
  <si>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</si>
  <si>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</si>
  <si>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</si>
  <si>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</si>
  <si>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</si>
  <si>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</si>
  <si>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</si>
  <si>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FALL</t>
  </si>
  <si>
    <t>CLIMATIC WINTER</t>
  </si>
  <si>
    <t>BOLTING</t>
  </si>
  <si>
    <t>FLOWERING</t>
  </si>
  <si>
    <t>P300</t>
  </si>
  <si>
    <t>P600</t>
  </si>
  <si>
    <t>P1000</t>
  </si>
  <si>
    <t>N30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</si>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</sst>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quotePrefix="1" applyFont="1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14" fontId="16" fillId="0" borderId="10" xfId="0" applyNumberFormat="1" applyFont="1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0" borderId="11" xfId="0" applyFont="1" applyBorder="1"/>
    <xf numFmtId="0" fontId="16" fillId="33" borderId="0" xfId="0" applyFont="1" applyFill="1"/>
    <xf numFmtId="2" fontId="0" fillId="0" borderId="0" xfId="0" applyNumberFormat="1"/>
    <xf numFmtId="164" fontId="0" fillId="0" borderId="0" xfId="0" applyNumberFormat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16" fillId="0" borderId="0" xfId="0" applyFont="1" applyAlignment="1">
      <alignment horizontal="center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Border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Border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Border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Border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Border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Border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9" borderId="12" xfId="0" applyFont="1" applyFill="1" applyBorder="1" applyAlignment="1">
      <alignment horizontal="center" vertical="center" textRotation="255" wrapText="1"/>
    </xf>
    <xf numFmtId="0" fontId="16" fillId="39" borderId="0" xfId="0" applyFont="1" applyFill="1" applyBorder="1" applyAlignment="1">
      <alignment horizontal="center" vertical="center" textRotation="255" wrapText="1"/>
    </xf>
    <xf numFmtId="0" fontId="16" fillId="39" borderId="10" xfId="0" applyFont="1" applyFill="1" applyBorder="1" applyAlignment="1">
      <alignment horizontal="center" vertical="center" textRotation="255" wrapText="1"/>
    </xf>
    <xf numFmtId="0" fontId="0" fillId="40" borderId="0" xfId="0" applyFill="1"/>
    <xf numFmtId="14" fontId="0" fillId="40" borderId="0" xfId="0" applyNumberFormat="1" applyFill="1"/>
    <xf numFmtId="0" fontId="0" fillId="41" borderId="0" xfId="0" applyFill="1"/>
    <xf numFmtId="0" fontId="16" fillId="41" borderId="1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-0.49998474074526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7"/>
  <sheetViews>
    <sheetView tabSelected="1" zoomScale="85" zoomScaleNormal="85" workbookViewId="0">
      <pane xSplit="6" ySplit="3" topLeftCell="H193" activePane="bottomRight" state="frozen"/>
      <selection pane="topRight" activeCell="G1" sqref="G1"/>
      <selection pane="bottomLeft" activeCell="A4" sqref="A4"/>
      <selection pane="bottomRight" activeCell="AA218" sqref="AA218"/>
    </sheetView>
  </sheetViews>
  <sheetFormatPr baseColWidth="10" defaultRowHeight="15" x14ac:dyDescent="0.25"/>
  <sheetData>
    <row r="1" spans="1:26" s="2" customFormat="1" x14ac:dyDescent="0.25">
      <c r="P1" s="2" t="s">
        <v>24</v>
      </c>
      <c r="Q1" s="2">
        <v>138.9</v>
      </c>
      <c r="R1" s="3" t="s">
        <v>25</v>
      </c>
      <c r="S1" s="2">
        <f>Q1/3</f>
        <v>46.300000000000004</v>
      </c>
    </row>
    <row r="2" spans="1:26" s="2" customFormat="1" x14ac:dyDescent="0.25">
      <c r="G2" s="28" t="s">
        <v>15</v>
      </c>
      <c r="H2" s="28"/>
      <c r="I2" s="28"/>
      <c r="J2" s="28"/>
      <c r="K2" s="28"/>
      <c r="L2" s="28"/>
      <c r="M2" s="28" t="s">
        <v>23</v>
      </c>
      <c r="N2" s="28"/>
      <c r="O2" s="28"/>
      <c r="P2" s="28"/>
      <c r="Q2" s="28"/>
      <c r="R2" s="28"/>
      <c r="S2" s="28"/>
      <c r="T2" s="28"/>
      <c r="U2" s="28"/>
      <c r="V2" s="28"/>
      <c r="W2" s="28" t="s">
        <v>28</v>
      </c>
      <c r="X2" s="28"/>
      <c r="Y2" s="28"/>
      <c r="Z2" s="28"/>
    </row>
    <row r="3" spans="1:26" s="2" customFormat="1" x14ac:dyDescent="0.2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4</v>
      </c>
      <c r="H3" s="2" t="s">
        <v>7</v>
      </c>
      <c r="I3" s="2" t="s">
        <v>8</v>
      </c>
      <c r="J3" s="2" t="s">
        <v>12</v>
      </c>
      <c r="K3" s="2" t="s">
        <v>13</v>
      </c>
      <c r="L3" s="2" t="s">
        <v>14</v>
      </c>
      <c r="M3" s="2" t="s">
        <v>3</v>
      </c>
      <c r="N3" s="2" t="s">
        <v>6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14</v>
      </c>
      <c r="W3" s="2" t="s">
        <v>5</v>
      </c>
      <c r="X3" s="2" t="s">
        <v>26</v>
      </c>
      <c r="Y3" s="2" t="s">
        <v>27</v>
      </c>
      <c r="Z3" s="2" t="s">
        <v>14</v>
      </c>
    </row>
    <row r="4" spans="1:26" x14ac:dyDescent="0.25">
      <c r="A4">
        <v>5320</v>
      </c>
      <c r="B4">
        <v>23210</v>
      </c>
      <c r="C4" s="1">
        <v>42949</v>
      </c>
      <c r="G4">
        <v>21.9</v>
      </c>
      <c r="H4">
        <v>15.7</v>
      </c>
      <c r="I4">
        <v>27.7</v>
      </c>
      <c r="M4">
        <v>0</v>
      </c>
      <c r="N4">
        <v>5.3</v>
      </c>
      <c r="O4">
        <f>M4-N4</f>
        <v>-5.3</v>
      </c>
      <c r="P4">
        <v>0</v>
      </c>
      <c r="S4">
        <f>R4*N4</f>
        <v>0</v>
      </c>
      <c r="T4">
        <f>M4-S4</f>
        <v>0</v>
      </c>
      <c r="W4">
        <v>2166.3000000000002</v>
      </c>
    </row>
    <row r="5" spans="1:26" x14ac:dyDescent="0.25">
      <c r="A5">
        <v>5320</v>
      </c>
      <c r="B5">
        <v>23210</v>
      </c>
      <c r="C5" s="1">
        <v>42950</v>
      </c>
      <c r="G5">
        <v>22.3</v>
      </c>
      <c r="H5">
        <v>17</v>
      </c>
      <c r="I5">
        <v>26.3</v>
      </c>
      <c r="M5">
        <v>0.1</v>
      </c>
      <c r="N5">
        <v>4.9000000000000004</v>
      </c>
      <c r="O5">
        <f t="shared" ref="O5:O68" si="0">M5-N5</f>
        <v>-4.8000000000000007</v>
      </c>
      <c r="P5">
        <v>0</v>
      </c>
      <c r="S5">
        <f t="shared" ref="S5:S68" si="1">R5*N5</f>
        <v>0</v>
      </c>
      <c r="T5">
        <f t="shared" ref="T5:T68" si="2">M5-S5</f>
        <v>0.1</v>
      </c>
      <c r="W5">
        <v>1508</v>
      </c>
    </row>
    <row r="6" spans="1:26" x14ac:dyDescent="0.25">
      <c r="A6">
        <v>5320</v>
      </c>
      <c r="B6">
        <v>23210</v>
      </c>
      <c r="C6" s="1">
        <v>42951</v>
      </c>
      <c r="G6">
        <v>21.4</v>
      </c>
      <c r="H6">
        <v>17.7</v>
      </c>
      <c r="I6">
        <v>24.8</v>
      </c>
      <c r="M6">
        <v>0</v>
      </c>
      <c r="N6">
        <v>2.9</v>
      </c>
      <c r="O6">
        <f t="shared" si="0"/>
        <v>-2.9</v>
      </c>
      <c r="P6">
        <v>0</v>
      </c>
      <c r="S6">
        <f t="shared" si="1"/>
        <v>0</v>
      </c>
      <c r="T6">
        <f t="shared" si="2"/>
        <v>0</v>
      </c>
      <c r="W6">
        <v>564.70000000000005</v>
      </c>
    </row>
    <row r="7" spans="1:26" x14ac:dyDescent="0.25">
      <c r="A7">
        <v>5320</v>
      </c>
      <c r="B7">
        <v>23210</v>
      </c>
      <c r="C7" s="1">
        <v>42952</v>
      </c>
      <c r="G7">
        <v>19.2</v>
      </c>
      <c r="H7">
        <v>16.3</v>
      </c>
      <c r="I7">
        <v>22.3</v>
      </c>
      <c r="M7">
        <v>0</v>
      </c>
      <c r="N7">
        <v>3</v>
      </c>
      <c r="O7">
        <f t="shared" si="0"/>
        <v>-3</v>
      </c>
      <c r="P7">
        <v>0</v>
      </c>
      <c r="S7">
        <f t="shared" si="1"/>
        <v>0</v>
      </c>
      <c r="T7">
        <f t="shared" si="2"/>
        <v>0</v>
      </c>
      <c r="W7">
        <v>879.1</v>
      </c>
    </row>
    <row r="8" spans="1:26" x14ac:dyDescent="0.25">
      <c r="A8">
        <v>5320</v>
      </c>
      <c r="B8">
        <v>23210</v>
      </c>
      <c r="C8" s="1">
        <v>42953</v>
      </c>
      <c r="G8">
        <v>17.3</v>
      </c>
      <c r="H8">
        <v>11.8</v>
      </c>
      <c r="I8">
        <v>23.2</v>
      </c>
      <c r="M8">
        <v>0</v>
      </c>
      <c r="N8">
        <v>4.2</v>
      </c>
      <c r="O8">
        <f t="shared" si="0"/>
        <v>-4.2</v>
      </c>
      <c r="P8">
        <v>0</v>
      </c>
      <c r="S8">
        <f t="shared" si="1"/>
        <v>0</v>
      </c>
      <c r="T8">
        <f t="shared" si="2"/>
        <v>0</v>
      </c>
      <c r="W8">
        <v>2079.4</v>
      </c>
    </row>
    <row r="9" spans="1:26" x14ac:dyDescent="0.25">
      <c r="A9">
        <v>5320</v>
      </c>
      <c r="B9">
        <v>23210</v>
      </c>
      <c r="C9" s="1">
        <v>42954</v>
      </c>
      <c r="G9">
        <v>19.5</v>
      </c>
      <c r="H9">
        <v>12.7</v>
      </c>
      <c r="I9">
        <v>25</v>
      </c>
      <c r="M9">
        <v>2.2000000000000002</v>
      </c>
      <c r="N9">
        <v>4.5999999999999996</v>
      </c>
      <c r="O9">
        <f t="shared" si="0"/>
        <v>-2.3999999999999995</v>
      </c>
      <c r="P9">
        <v>0</v>
      </c>
      <c r="S9">
        <f t="shared" si="1"/>
        <v>0</v>
      </c>
      <c r="T9">
        <f t="shared" si="2"/>
        <v>2.2000000000000002</v>
      </c>
      <c r="W9">
        <v>2067.9</v>
      </c>
    </row>
    <row r="10" spans="1:26" x14ac:dyDescent="0.25">
      <c r="A10">
        <v>5320</v>
      </c>
      <c r="B10">
        <v>23210</v>
      </c>
      <c r="C10" s="1">
        <v>42955</v>
      </c>
      <c r="G10">
        <v>15.8</v>
      </c>
      <c r="H10">
        <v>14.9</v>
      </c>
      <c r="I10">
        <v>17.5</v>
      </c>
      <c r="M10">
        <v>2.8</v>
      </c>
      <c r="N10">
        <v>1.7</v>
      </c>
      <c r="O10">
        <f t="shared" si="0"/>
        <v>1.0999999999999999</v>
      </c>
      <c r="P10">
        <f>P9+O10</f>
        <v>1.0999999999999999</v>
      </c>
      <c r="S10">
        <f t="shared" si="1"/>
        <v>0</v>
      </c>
      <c r="T10">
        <f t="shared" si="2"/>
        <v>2.8</v>
      </c>
      <c r="W10">
        <v>738.5</v>
      </c>
    </row>
    <row r="11" spans="1:26" x14ac:dyDescent="0.25">
      <c r="A11">
        <v>5320</v>
      </c>
      <c r="B11">
        <v>23210</v>
      </c>
      <c r="C11" s="1">
        <v>42956</v>
      </c>
      <c r="G11">
        <v>13</v>
      </c>
      <c r="H11">
        <v>12.2</v>
      </c>
      <c r="I11">
        <v>13.5</v>
      </c>
      <c r="M11">
        <v>12</v>
      </c>
      <c r="N11">
        <v>0.9</v>
      </c>
      <c r="O11">
        <f t="shared" si="0"/>
        <v>11.1</v>
      </c>
      <c r="P11">
        <f t="shared" ref="P11:P34" si="3">P10+O11</f>
        <v>12.2</v>
      </c>
      <c r="S11">
        <f t="shared" si="1"/>
        <v>0</v>
      </c>
      <c r="T11">
        <f t="shared" si="2"/>
        <v>12</v>
      </c>
      <c r="W11">
        <v>780.6</v>
      </c>
    </row>
    <row r="12" spans="1:26" x14ac:dyDescent="0.25">
      <c r="A12">
        <v>5320</v>
      </c>
      <c r="B12">
        <v>23210</v>
      </c>
      <c r="C12" s="1">
        <v>42957</v>
      </c>
      <c r="G12">
        <v>14.1</v>
      </c>
      <c r="H12">
        <v>12.5</v>
      </c>
      <c r="I12">
        <v>16</v>
      </c>
      <c r="M12">
        <v>9.5</v>
      </c>
      <c r="N12">
        <v>1.4</v>
      </c>
      <c r="O12">
        <f t="shared" si="0"/>
        <v>8.1</v>
      </c>
      <c r="P12">
        <f t="shared" si="3"/>
        <v>20.299999999999997</v>
      </c>
      <c r="S12">
        <f t="shared" si="1"/>
        <v>0</v>
      </c>
      <c r="T12">
        <f t="shared" si="2"/>
        <v>9.5</v>
      </c>
      <c r="W12">
        <v>851.8</v>
      </c>
    </row>
    <row r="13" spans="1:26" x14ac:dyDescent="0.25">
      <c r="A13">
        <v>5320</v>
      </c>
      <c r="B13">
        <v>23210</v>
      </c>
      <c r="C13" s="1">
        <v>42958</v>
      </c>
      <c r="G13">
        <v>16.100000000000001</v>
      </c>
      <c r="H13">
        <v>13.6</v>
      </c>
      <c r="I13">
        <v>19.7</v>
      </c>
      <c r="M13">
        <v>1.5</v>
      </c>
      <c r="N13">
        <v>2.2999999999999998</v>
      </c>
      <c r="O13">
        <f t="shared" si="0"/>
        <v>-0.79999999999999982</v>
      </c>
      <c r="P13">
        <f t="shared" si="3"/>
        <v>19.499999999999996</v>
      </c>
      <c r="S13">
        <f t="shared" si="1"/>
        <v>0</v>
      </c>
      <c r="T13">
        <f t="shared" si="2"/>
        <v>1.5</v>
      </c>
      <c r="W13">
        <v>1226.9000000000001</v>
      </c>
    </row>
    <row r="14" spans="1:26" x14ac:dyDescent="0.25">
      <c r="A14">
        <v>5320</v>
      </c>
      <c r="B14">
        <v>23210</v>
      </c>
      <c r="C14" s="1">
        <v>42959</v>
      </c>
      <c r="G14">
        <v>16.7</v>
      </c>
      <c r="H14">
        <v>12.2</v>
      </c>
      <c r="I14">
        <v>19.100000000000001</v>
      </c>
      <c r="M14">
        <v>3.3</v>
      </c>
      <c r="N14">
        <v>0.9</v>
      </c>
      <c r="O14">
        <f t="shared" si="0"/>
        <v>2.4</v>
      </c>
      <c r="P14">
        <f t="shared" si="3"/>
        <v>21.899999999999995</v>
      </c>
      <c r="S14">
        <f t="shared" si="1"/>
        <v>0</v>
      </c>
      <c r="T14">
        <f t="shared" si="2"/>
        <v>3.3</v>
      </c>
      <c r="W14">
        <v>501.6</v>
      </c>
    </row>
    <row r="15" spans="1:26" x14ac:dyDescent="0.25">
      <c r="A15">
        <v>5320</v>
      </c>
      <c r="B15">
        <v>23210</v>
      </c>
      <c r="C15" s="1">
        <v>42960</v>
      </c>
      <c r="G15">
        <v>17.600000000000001</v>
      </c>
      <c r="H15">
        <v>14.4</v>
      </c>
      <c r="I15">
        <v>21.6</v>
      </c>
      <c r="M15">
        <v>0</v>
      </c>
      <c r="N15">
        <v>2.2000000000000002</v>
      </c>
      <c r="O15">
        <f t="shared" si="0"/>
        <v>-2.2000000000000002</v>
      </c>
      <c r="P15">
        <f t="shared" si="3"/>
        <v>19.699999999999996</v>
      </c>
      <c r="S15">
        <f t="shared" si="1"/>
        <v>0</v>
      </c>
      <c r="T15">
        <f t="shared" si="2"/>
        <v>0</v>
      </c>
      <c r="W15">
        <v>943.2</v>
      </c>
    </row>
    <row r="16" spans="1:26" x14ac:dyDescent="0.25">
      <c r="A16">
        <v>5320</v>
      </c>
      <c r="B16">
        <v>23210</v>
      </c>
      <c r="C16" s="1">
        <v>42961</v>
      </c>
      <c r="G16">
        <v>21.5</v>
      </c>
      <c r="H16">
        <v>14.3</v>
      </c>
      <c r="I16">
        <v>26.9</v>
      </c>
      <c r="M16">
        <v>0</v>
      </c>
      <c r="N16">
        <v>2.8</v>
      </c>
      <c r="O16">
        <f t="shared" si="0"/>
        <v>-2.8</v>
      </c>
      <c r="P16">
        <f t="shared" si="3"/>
        <v>16.899999999999995</v>
      </c>
      <c r="S16">
        <f t="shared" si="1"/>
        <v>0</v>
      </c>
      <c r="T16">
        <f t="shared" si="2"/>
        <v>0</v>
      </c>
      <c r="W16">
        <v>1421.5</v>
      </c>
    </row>
    <row r="17" spans="1:23" x14ac:dyDescent="0.25">
      <c r="A17">
        <v>5320</v>
      </c>
      <c r="B17">
        <v>23210</v>
      </c>
      <c r="C17" s="1">
        <v>42962</v>
      </c>
      <c r="G17">
        <v>22</v>
      </c>
      <c r="H17">
        <v>20.9</v>
      </c>
      <c r="I17">
        <v>23.8</v>
      </c>
      <c r="M17">
        <v>5</v>
      </c>
      <c r="N17">
        <v>3.3</v>
      </c>
      <c r="O17">
        <f t="shared" si="0"/>
        <v>1.7000000000000002</v>
      </c>
      <c r="P17">
        <f t="shared" si="3"/>
        <v>18.599999999999994</v>
      </c>
      <c r="S17">
        <f t="shared" si="1"/>
        <v>0</v>
      </c>
      <c r="T17">
        <f t="shared" si="2"/>
        <v>5</v>
      </c>
      <c r="W17">
        <v>1582.4</v>
      </c>
    </row>
    <row r="18" spans="1:23" x14ac:dyDescent="0.25">
      <c r="A18">
        <v>5320</v>
      </c>
      <c r="B18">
        <v>23210</v>
      </c>
      <c r="C18" s="1">
        <v>42963</v>
      </c>
      <c r="G18">
        <v>19.600000000000001</v>
      </c>
      <c r="H18">
        <v>15.9</v>
      </c>
      <c r="I18">
        <v>23.3</v>
      </c>
      <c r="M18">
        <v>0</v>
      </c>
      <c r="N18">
        <v>2</v>
      </c>
      <c r="O18">
        <f t="shared" si="0"/>
        <v>-2</v>
      </c>
      <c r="P18">
        <f t="shared" si="3"/>
        <v>16.599999999999994</v>
      </c>
      <c r="S18">
        <f t="shared" si="1"/>
        <v>0</v>
      </c>
      <c r="T18">
        <f t="shared" si="2"/>
        <v>0</v>
      </c>
      <c r="W18">
        <v>975.2</v>
      </c>
    </row>
    <row r="19" spans="1:23" x14ac:dyDescent="0.25">
      <c r="A19">
        <v>5320</v>
      </c>
      <c r="B19">
        <v>23210</v>
      </c>
      <c r="C19" s="1">
        <v>42964</v>
      </c>
      <c r="G19">
        <v>20.2</v>
      </c>
      <c r="H19">
        <v>16.7</v>
      </c>
      <c r="I19">
        <v>23</v>
      </c>
      <c r="M19">
        <v>11.6</v>
      </c>
      <c r="N19">
        <v>1.8</v>
      </c>
      <c r="O19">
        <f t="shared" si="0"/>
        <v>9.7999999999999989</v>
      </c>
      <c r="P19">
        <f t="shared" si="3"/>
        <v>26.399999999999991</v>
      </c>
      <c r="S19">
        <f t="shared" si="1"/>
        <v>0</v>
      </c>
      <c r="T19">
        <f t="shared" si="2"/>
        <v>11.6</v>
      </c>
      <c r="W19">
        <v>923.2</v>
      </c>
    </row>
    <row r="20" spans="1:23" x14ac:dyDescent="0.25">
      <c r="A20">
        <v>5320</v>
      </c>
      <c r="B20">
        <v>23210</v>
      </c>
      <c r="C20" s="1">
        <v>42965</v>
      </c>
      <c r="G20">
        <v>18.2</v>
      </c>
      <c r="H20">
        <v>18.3</v>
      </c>
      <c r="I20">
        <v>20.9</v>
      </c>
      <c r="M20">
        <v>5.2</v>
      </c>
      <c r="N20">
        <v>1.7</v>
      </c>
      <c r="O20">
        <f t="shared" si="0"/>
        <v>3.5</v>
      </c>
      <c r="P20">
        <f t="shared" si="3"/>
        <v>29.899999999999991</v>
      </c>
      <c r="S20">
        <f t="shared" si="1"/>
        <v>0</v>
      </c>
      <c r="T20">
        <f t="shared" si="2"/>
        <v>5.2</v>
      </c>
      <c r="W20">
        <v>590.5</v>
      </c>
    </row>
    <row r="21" spans="1:23" x14ac:dyDescent="0.25">
      <c r="A21">
        <v>5320</v>
      </c>
      <c r="B21">
        <v>23210</v>
      </c>
      <c r="C21" s="1">
        <v>42966</v>
      </c>
      <c r="G21">
        <v>15.6</v>
      </c>
      <c r="H21">
        <v>10.6</v>
      </c>
      <c r="I21">
        <v>19.7</v>
      </c>
      <c r="M21">
        <v>0</v>
      </c>
      <c r="N21">
        <v>3</v>
      </c>
      <c r="O21">
        <f t="shared" si="0"/>
        <v>-3</v>
      </c>
      <c r="P21">
        <f t="shared" si="3"/>
        <v>26.899999999999991</v>
      </c>
      <c r="S21">
        <f t="shared" si="1"/>
        <v>0</v>
      </c>
      <c r="T21">
        <f t="shared" si="2"/>
        <v>0</v>
      </c>
      <c r="W21">
        <v>1791.6</v>
      </c>
    </row>
    <row r="22" spans="1:23" x14ac:dyDescent="0.25">
      <c r="A22">
        <v>5320</v>
      </c>
      <c r="B22">
        <v>23210</v>
      </c>
      <c r="C22" s="1">
        <v>42967</v>
      </c>
      <c r="G22">
        <v>17.399999999999999</v>
      </c>
      <c r="H22">
        <v>12</v>
      </c>
      <c r="I22">
        <v>21.4</v>
      </c>
      <c r="M22">
        <v>0</v>
      </c>
      <c r="N22">
        <v>3</v>
      </c>
      <c r="O22">
        <f t="shared" si="0"/>
        <v>-3</v>
      </c>
      <c r="P22">
        <f t="shared" si="3"/>
        <v>23.899999999999991</v>
      </c>
      <c r="S22">
        <f t="shared" si="1"/>
        <v>0</v>
      </c>
      <c r="T22">
        <f t="shared" si="2"/>
        <v>0</v>
      </c>
      <c r="W22">
        <v>1652.6</v>
      </c>
    </row>
    <row r="23" spans="1:23" x14ac:dyDescent="0.25">
      <c r="A23">
        <v>5320</v>
      </c>
      <c r="B23">
        <v>23210</v>
      </c>
      <c r="C23" s="1">
        <v>42968</v>
      </c>
      <c r="G23">
        <v>21.3</v>
      </c>
      <c r="H23">
        <v>16.100000000000001</v>
      </c>
      <c r="I23">
        <v>26</v>
      </c>
      <c r="M23">
        <v>0</v>
      </c>
      <c r="N23">
        <v>2.9</v>
      </c>
      <c r="O23">
        <f t="shared" si="0"/>
        <v>-2.9</v>
      </c>
      <c r="P23">
        <f t="shared" si="3"/>
        <v>20.999999999999993</v>
      </c>
      <c r="S23">
        <f t="shared" si="1"/>
        <v>0</v>
      </c>
      <c r="T23">
        <f t="shared" si="2"/>
        <v>0</v>
      </c>
      <c r="W23">
        <v>1279.5999999999999</v>
      </c>
    </row>
    <row r="24" spans="1:23" x14ac:dyDescent="0.25">
      <c r="A24">
        <v>5320</v>
      </c>
      <c r="B24">
        <v>23210</v>
      </c>
      <c r="C24" s="1">
        <v>42969</v>
      </c>
      <c r="G24">
        <v>22.9</v>
      </c>
      <c r="H24">
        <v>16.600000000000001</v>
      </c>
      <c r="I24">
        <v>28.4</v>
      </c>
      <c r="M24">
        <v>0</v>
      </c>
      <c r="N24">
        <v>3.9</v>
      </c>
      <c r="O24">
        <f t="shared" si="0"/>
        <v>-3.9</v>
      </c>
      <c r="P24">
        <f t="shared" si="3"/>
        <v>17.099999999999994</v>
      </c>
      <c r="S24">
        <f t="shared" si="1"/>
        <v>0</v>
      </c>
      <c r="T24">
        <f t="shared" si="2"/>
        <v>0</v>
      </c>
      <c r="W24">
        <v>1658.2</v>
      </c>
    </row>
    <row r="25" spans="1:23" x14ac:dyDescent="0.25">
      <c r="A25">
        <v>5320</v>
      </c>
      <c r="B25">
        <v>23210</v>
      </c>
      <c r="C25" s="1">
        <v>42970</v>
      </c>
      <c r="G25">
        <v>20.100000000000001</v>
      </c>
      <c r="H25">
        <v>18.399999999999999</v>
      </c>
      <c r="I25">
        <v>23.3</v>
      </c>
      <c r="M25">
        <v>0</v>
      </c>
      <c r="N25">
        <v>1.9</v>
      </c>
      <c r="O25">
        <f t="shared" si="0"/>
        <v>-1.9</v>
      </c>
      <c r="P25">
        <f t="shared" si="3"/>
        <v>15.199999999999994</v>
      </c>
      <c r="S25">
        <f t="shared" si="1"/>
        <v>0</v>
      </c>
      <c r="T25">
        <f t="shared" si="2"/>
        <v>0</v>
      </c>
      <c r="W25">
        <v>746.1</v>
      </c>
    </row>
    <row r="26" spans="1:23" x14ac:dyDescent="0.25">
      <c r="A26">
        <v>5320</v>
      </c>
      <c r="B26">
        <v>23210</v>
      </c>
      <c r="C26" s="1">
        <v>42971</v>
      </c>
      <c r="G26">
        <v>20.6</v>
      </c>
      <c r="H26">
        <v>15.6</v>
      </c>
      <c r="I26">
        <v>24.3</v>
      </c>
      <c r="M26">
        <v>0</v>
      </c>
      <c r="N26">
        <v>2.9</v>
      </c>
      <c r="O26">
        <f t="shared" si="0"/>
        <v>-2.9</v>
      </c>
      <c r="P26">
        <f t="shared" si="3"/>
        <v>12.299999999999994</v>
      </c>
      <c r="S26">
        <f t="shared" si="1"/>
        <v>0</v>
      </c>
      <c r="T26">
        <f t="shared" si="2"/>
        <v>0</v>
      </c>
      <c r="W26">
        <v>1393.1</v>
      </c>
    </row>
    <row r="27" spans="1:23" x14ac:dyDescent="0.25">
      <c r="A27">
        <v>5320</v>
      </c>
      <c r="B27">
        <v>23210</v>
      </c>
      <c r="C27" s="1">
        <v>42972</v>
      </c>
      <c r="G27">
        <v>21.1</v>
      </c>
      <c r="H27">
        <v>17.7</v>
      </c>
      <c r="I27">
        <v>24.6</v>
      </c>
      <c r="M27">
        <v>4.8</v>
      </c>
      <c r="N27">
        <v>2.4</v>
      </c>
      <c r="O27">
        <f t="shared" si="0"/>
        <v>2.4</v>
      </c>
      <c r="P27">
        <f t="shared" si="3"/>
        <v>14.699999999999994</v>
      </c>
      <c r="S27">
        <f t="shared" si="1"/>
        <v>0</v>
      </c>
      <c r="T27">
        <f t="shared" si="2"/>
        <v>4.8</v>
      </c>
      <c r="W27">
        <v>1178</v>
      </c>
    </row>
    <row r="28" spans="1:23" x14ac:dyDescent="0.25">
      <c r="A28">
        <v>5320</v>
      </c>
      <c r="B28">
        <v>23210</v>
      </c>
      <c r="C28" s="1">
        <v>42973</v>
      </c>
      <c r="G28">
        <v>21.9</v>
      </c>
      <c r="H28">
        <v>15.1</v>
      </c>
      <c r="I28">
        <v>27.3</v>
      </c>
      <c r="M28">
        <v>0</v>
      </c>
      <c r="N28">
        <v>3.4</v>
      </c>
      <c r="O28">
        <f t="shared" si="0"/>
        <v>-3.4</v>
      </c>
      <c r="P28">
        <f t="shared" si="3"/>
        <v>11.299999999999994</v>
      </c>
      <c r="S28">
        <f t="shared" si="1"/>
        <v>0</v>
      </c>
      <c r="T28">
        <f t="shared" si="2"/>
        <v>0</v>
      </c>
      <c r="W28">
        <v>1876.4</v>
      </c>
    </row>
    <row r="29" spans="1:23" x14ac:dyDescent="0.25">
      <c r="A29">
        <v>5320</v>
      </c>
      <c r="B29">
        <v>23210</v>
      </c>
      <c r="C29" s="1">
        <v>42974</v>
      </c>
      <c r="G29">
        <v>24.4</v>
      </c>
      <c r="H29">
        <v>19</v>
      </c>
      <c r="I29">
        <v>29.5</v>
      </c>
      <c r="M29">
        <v>0</v>
      </c>
      <c r="N29">
        <v>4</v>
      </c>
      <c r="O29">
        <f t="shared" si="0"/>
        <v>-4</v>
      </c>
      <c r="P29">
        <f t="shared" si="3"/>
        <v>7.2999999999999936</v>
      </c>
      <c r="S29">
        <f t="shared" si="1"/>
        <v>0</v>
      </c>
      <c r="T29">
        <f t="shared" si="2"/>
        <v>0</v>
      </c>
      <c r="W29">
        <v>1850.5</v>
      </c>
    </row>
    <row r="30" spans="1:23" x14ac:dyDescent="0.25">
      <c r="A30">
        <v>5320</v>
      </c>
      <c r="B30">
        <v>23210</v>
      </c>
      <c r="C30" s="1">
        <v>42975</v>
      </c>
      <c r="G30">
        <v>25</v>
      </c>
      <c r="H30">
        <v>19.2</v>
      </c>
      <c r="I30">
        <v>30.2</v>
      </c>
      <c r="M30">
        <v>0</v>
      </c>
      <c r="N30">
        <v>3.2</v>
      </c>
      <c r="O30">
        <f t="shared" si="0"/>
        <v>-3.2</v>
      </c>
      <c r="P30">
        <f t="shared" si="3"/>
        <v>4.0999999999999934</v>
      </c>
      <c r="S30">
        <f t="shared" si="1"/>
        <v>0</v>
      </c>
      <c r="T30">
        <f t="shared" si="2"/>
        <v>0</v>
      </c>
      <c r="W30">
        <v>1170.3</v>
      </c>
    </row>
    <row r="31" spans="1:23" x14ac:dyDescent="0.25">
      <c r="A31">
        <v>5320</v>
      </c>
      <c r="B31">
        <v>23210</v>
      </c>
      <c r="C31" s="1">
        <v>42976</v>
      </c>
      <c r="G31">
        <v>26.4</v>
      </c>
      <c r="H31">
        <v>19.3</v>
      </c>
      <c r="I31">
        <v>33.1</v>
      </c>
      <c r="M31">
        <v>0</v>
      </c>
      <c r="N31">
        <v>5</v>
      </c>
      <c r="O31">
        <f t="shared" si="0"/>
        <v>-5</v>
      </c>
      <c r="P31">
        <v>0</v>
      </c>
      <c r="S31">
        <f t="shared" si="1"/>
        <v>0</v>
      </c>
      <c r="T31">
        <f t="shared" si="2"/>
        <v>0</v>
      </c>
      <c r="W31">
        <v>1821.8</v>
      </c>
    </row>
    <row r="32" spans="1:23" x14ac:dyDescent="0.25">
      <c r="A32">
        <v>5320</v>
      </c>
      <c r="B32">
        <v>23210</v>
      </c>
      <c r="C32" s="1">
        <v>42977</v>
      </c>
      <c r="G32">
        <v>18.2</v>
      </c>
      <c r="H32">
        <v>16.2</v>
      </c>
      <c r="I32">
        <v>22.1</v>
      </c>
      <c r="M32">
        <v>5.3</v>
      </c>
      <c r="N32">
        <v>1.6</v>
      </c>
      <c r="O32">
        <f t="shared" si="0"/>
        <v>3.6999999999999997</v>
      </c>
      <c r="P32">
        <f t="shared" si="3"/>
        <v>3.6999999999999997</v>
      </c>
      <c r="S32">
        <f t="shared" si="1"/>
        <v>0</v>
      </c>
      <c r="T32">
        <f t="shared" si="2"/>
        <v>5.3</v>
      </c>
      <c r="W32">
        <v>652.9</v>
      </c>
    </row>
    <row r="33" spans="1:26" x14ac:dyDescent="0.25">
      <c r="A33">
        <v>5320</v>
      </c>
      <c r="B33">
        <v>23210</v>
      </c>
      <c r="C33" s="1">
        <v>42978</v>
      </c>
      <c r="G33">
        <v>15.3</v>
      </c>
      <c r="H33">
        <v>9.6</v>
      </c>
      <c r="I33">
        <v>19.399999999999999</v>
      </c>
      <c r="M33">
        <v>0</v>
      </c>
      <c r="N33">
        <v>2.8</v>
      </c>
      <c r="O33">
        <f t="shared" si="0"/>
        <v>-2.8</v>
      </c>
      <c r="P33">
        <f t="shared" si="3"/>
        <v>0.89999999999999991</v>
      </c>
      <c r="S33">
        <f t="shared" si="1"/>
        <v>0</v>
      </c>
      <c r="T33">
        <f t="shared" si="2"/>
        <v>0</v>
      </c>
      <c r="W33">
        <v>1702.2</v>
      </c>
    </row>
    <row r="34" spans="1:26" x14ac:dyDescent="0.25">
      <c r="A34">
        <v>5320</v>
      </c>
      <c r="B34">
        <v>23210</v>
      </c>
      <c r="C34" s="1">
        <v>42979</v>
      </c>
      <c r="G34">
        <v>14.8</v>
      </c>
      <c r="H34">
        <v>10.9</v>
      </c>
      <c r="I34">
        <v>19.5</v>
      </c>
      <c r="M34">
        <v>1.2</v>
      </c>
      <c r="N34">
        <v>1.6</v>
      </c>
      <c r="O34">
        <f t="shared" si="0"/>
        <v>-0.40000000000000013</v>
      </c>
      <c r="P34">
        <f t="shared" si="3"/>
        <v>0.49999999999999978</v>
      </c>
      <c r="S34">
        <f t="shared" si="1"/>
        <v>0</v>
      </c>
      <c r="T34">
        <f t="shared" si="2"/>
        <v>1.2</v>
      </c>
      <c r="W34">
        <v>1100</v>
      </c>
    </row>
    <row r="35" spans="1:26" x14ac:dyDescent="0.25">
      <c r="A35">
        <v>5320</v>
      </c>
      <c r="B35">
        <v>23210</v>
      </c>
      <c r="C35" s="1">
        <v>42980</v>
      </c>
      <c r="G35">
        <v>15</v>
      </c>
      <c r="H35">
        <v>10.3</v>
      </c>
      <c r="I35">
        <v>20.100000000000001</v>
      </c>
      <c r="M35">
        <v>0</v>
      </c>
      <c r="N35">
        <v>2.8</v>
      </c>
      <c r="O35">
        <f t="shared" si="0"/>
        <v>-2.8</v>
      </c>
      <c r="P35">
        <v>0</v>
      </c>
      <c r="S35">
        <f t="shared" si="1"/>
        <v>0</v>
      </c>
      <c r="T35">
        <f t="shared" si="2"/>
        <v>0</v>
      </c>
      <c r="W35">
        <v>1551.8</v>
      </c>
    </row>
    <row r="36" spans="1:26" s="4" customFormat="1" ht="15.75" thickBot="1" x14ac:dyDescent="0.3">
      <c r="A36" s="4">
        <v>5320</v>
      </c>
      <c r="B36" s="4">
        <v>23210</v>
      </c>
      <c r="C36" s="5">
        <v>42981</v>
      </c>
      <c r="G36" s="4">
        <v>15.7</v>
      </c>
      <c r="H36" s="4">
        <v>10.199999999999999</v>
      </c>
      <c r="I36" s="4">
        <v>21.7</v>
      </c>
      <c r="M36" s="4">
        <v>0.5</v>
      </c>
      <c r="N36" s="4">
        <v>1.6</v>
      </c>
      <c r="O36" s="4">
        <f t="shared" si="0"/>
        <v>-1.1000000000000001</v>
      </c>
      <c r="P36" s="4">
        <v>0</v>
      </c>
      <c r="S36" s="4">
        <f t="shared" si="1"/>
        <v>0</v>
      </c>
      <c r="T36" s="4">
        <f t="shared" si="2"/>
        <v>0.5</v>
      </c>
      <c r="W36" s="4">
        <v>620.1</v>
      </c>
    </row>
    <row r="37" spans="1:26" x14ac:dyDescent="0.25">
      <c r="A37">
        <v>5320</v>
      </c>
      <c r="B37">
        <v>23210</v>
      </c>
      <c r="C37" s="1">
        <v>42982</v>
      </c>
      <c r="D37" t="s">
        <v>33</v>
      </c>
      <c r="F37" s="29" t="s">
        <v>54</v>
      </c>
      <c r="G37">
        <v>19.100000000000001</v>
      </c>
      <c r="H37">
        <v>14.7</v>
      </c>
      <c r="I37">
        <v>22.9</v>
      </c>
      <c r="J37">
        <f>G37</f>
        <v>19.100000000000001</v>
      </c>
      <c r="K37">
        <f>G37</f>
        <v>19.100000000000001</v>
      </c>
      <c r="L37" s="8" t="s">
        <v>38</v>
      </c>
      <c r="M37">
        <v>0</v>
      </c>
      <c r="N37">
        <v>1.8</v>
      </c>
      <c r="O37">
        <f t="shared" si="0"/>
        <v>-1.8</v>
      </c>
      <c r="Q37">
        <v>1</v>
      </c>
      <c r="R37">
        <v>0.35</v>
      </c>
      <c r="S37">
        <f t="shared" si="1"/>
        <v>0.63</v>
      </c>
      <c r="T37">
        <f t="shared" si="2"/>
        <v>-0.63</v>
      </c>
      <c r="U37">
        <v>0</v>
      </c>
      <c r="V37" s="12" t="s">
        <v>45</v>
      </c>
      <c r="W37">
        <v>633.20000000000005</v>
      </c>
      <c r="X37">
        <f>W37</f>
        <v>633.20000000000005</v>
      </c>
      <c r="Y37">
        <v>12.976216050599046</v>
      </c>
      <c r="Z37" s="12" t="s">
        <v>50</v>
      </c>
    </row>
    <row r="38" spans="1:26" x14ac:dyDescent="0.25">
      <c r="A38">
        <v>5320</v>
      </c>
      <c r="B38">
        <v>23210</v>
      </c>
      <c r="C38" s="1">
        <v>42983</v>
      </c>
      <c r="F38" s="30"/>
      <c r="G38">
        <v>19.5</v>
      </c>
      <c r="H38">
        <v>17</v>
      </c>
      <c r="I38">
        <v>22.1</v>
      </c>
      <c r="J38">
        <f>J37+G38</f>
        <v>38.6</v>
      </c>
      <c r="K38">
        <f>K37+G38</f>
        <v>38.6</v>
      </c>
      <c r="L38" s="9">
        <v>1017.6</v>
      </c>
      <c r="M38">
        <v>0</v>
      </c>
      <c r="N38">
        <v>2</v>
      </c>
      <c r="O38">
        <f t="shared" si="0"/>
        <v>-2</v>
      </c>
      <c r="Q38">
        <v>2</v>
      </c>
      <c r="R38">
        <v>0.35</v>
      </c>
      <c r="S38">
        <f t="shared" si="1"/>
        <v>0.7</v>
      </c>
      <c r="T38">
        <f t="shared" si="2"/>
        <v>-0.7</v>
      </c>
      <c r="U38">
        <v>0</v>
      </c>
      <c r="V38">
        <v>4</v>
      </c>
      <c r="W38">
        <v>818.4</v>
      </c>
      <c r="X38">
        <f>X37+W38</f>
        <v>1451.6</v>
      </c>
      <c r="Y38">
        <v>12.917754123882139</v>
      </c>
      <c r="Z38">
        <v>58649</v>
      </c>
    </row>
    <row r="39" spans="1:26" x14ac:dyDescent="0.25">
      <c r="A39">
        <v>5320</v>
      </c>
      <c r="B39">
        <v>23210</v>
      </c>
      <c r="C39" s="1">
        <v>42984</v>
      </c>
      <c r="F39" s="30"/>
      <c r="G39">
        <v>16.5</v>
      </c>
      <c r="H39">
        <v>14</v>
      </c>
      <c r="I39">
        <v>18.7</v>
      </c>
      <c r="J39">
        <f t="shared" ref="J39:J102" si="4">J38+G39</f>
        <v>55.1</v>
      </c>
      <c r="K39">
        <f t="shared" ref="K39:K102" si="5">K38+G39</f>
        <v>55.1</v>
      </c>
      <c r="L39" s="8" t="s">
        <v>39</v>
      </c>
      <c r="M39">
        <v>0</v>
      </c>
      <c r="N39">
        <v>2.2999999999999998</v>
      </c>
      <c r="O39">
        <f t="shared" si="0"/>
        <v>-2.2999999999999998</v>
      </c>
      <c r="Q39">
        <v>3</v>
      </c>
      <c r="R39">
        <v>0.35</v>
      </c>
      <c r="S39">
        <f t="shared" si="1"/>
        <v>0.80499999999999994</v>
      </c>
      <c r="T39">
        <f t="shared" si="2"/>
        <v>-0.80499999999999994</v>
      </c>
      <c r="U39">
        <v>0</v>
      </c>
      <c r="V39" s="12" t="s">
        <v>46</v>
      </c>
      <c r="W39">
        <v>785.6</v>
      </c>
      <c r="X39">
        <f t="shared" ref="X39:X102" si="6">X38+W39</f>
        <v>2237.1999999999998</v>
      </c>
      <c r="Y39">
        <v>12.859157093582558</v>
      </c>
      <c r="Z39" s="12" t="s">
        <v>51</v>
      </c>
    </row>
    <row r="40" spans="1:26" x14ac:dyDescent="0.25">
      <c r="A40">
        <v>5320</v>
      </c>
      <c r="B40">
        <v>23210</v>
      </c>
      <c r="C40" s="1">
        <v>42985</v>
      </c>
      <c r="F40" s="30"/>
      <c r="G40">
        <v>15.5</v>
      </c>
      <c r="H40">
        <v>10.7</v>
      </c>
      <c r="I40">
        <v>18.5</v>
      </c>
      <c r="J40">
        <f t="shared" si="4"/>
        <v>70.599999999999994</v>
      </c>
      <c r="K40">
        <f t="shared" si="5"/>
        <v>70.599999999999994</v>
      </c>
      <c r="L40" s="10">
        <f>AVERAGE(G37:G122)</f>
        <v>11.832558139534886</v>
      </c>
      <c r="M40">
        <v>0</v>
      </c>
      <c r="N40">
        <v>1.5</v>
      </c>
      <c r="O40">
        <f t="shared" si="0"/>
        <v>-1.5</v>
      </c>
      <c r="Q40">
        <v>4</v>
      </c>
      <c r="R40">
        <v>0.35</v>
      </c>
      <c r="S40">
        <f t="shared" si="1"/>
        <v>0.52499999999999991</v>
      </c>
      <c r="T40">
        <f t="shared" si="2"/>
        <v>-0.52499999999999991</v>
      </c>
      <c r="U40">
        <v>0</v>
      </c>
      <c r="V40">
        <v>13</v>
      </c>
      <c r="W40">
        <v>481.8</v>
      </c>
      <c r="X40">
        <f t="shared" si="6"/>
        <v>2719</v>
      </c>
      <c r="Y40">
        <v>12.800434752506012</v>
      </c>
      <c r="Z40">
        <f>(Z38/100)/L38</f>
        <v>0.57634630503144657</v>
      </c>
    </row>
    <row r="41" spans="1:26" x14ac:dyDescent="0.25">
      <c r="A41">
        <v>5320</v>
      </c>
      <c r="B41">
        <v>23210</v>
      </c>
      <c r="C41" s="1">
        <v>42986</v>
      </c>
      <c r="F41" s="30"/>
      <c r="G41">
        <v>16.5</v>
      </c>
      <c r="H41">
        <v>15.1</v>
      </c>
      <c r="I41">
        <v>18.3</v>
      </c>
      <c r="J41">
        <f t="shared" si="4"/>
        <v>87.1</v>
      </c>
      <c r="K41">
        <f t="shared" si="5"/>
        <v>87.1</v>
      </c>
      <c r="L41" s="8" t="s">
        <v>40</v>
      </c>
      <c r="M41">
        <v>33</v>
      </c>
      <c r="N41">
        <v>1.6</v>
      </c>
      <c r="O41">
        <f t="shared" si="0"/>
        <v>31.4</v>
      </c>
      <c r="Q41">
        <v>5</v>
      </c>
      <c r="R41">
        <v>0.35</v>
      </c>
      <c r="S41">
        <f t="shared" si="1"/>
        <v>0.55999999999999994</v>
      </c>
      <c r="T41">
        <f t="shared" si="2"/>
        <v>32.44</v>
      </c>
      <c r="U41">
        <f>MIN(U40+T41,138.9)</f>
        <v>32.44</v>
      </c>
      <c r="V41" s="12" t="s">
        <v>47</v>
      </c>
      <c r="W41">
        <v>425.8</v>
      </c>
      <c r="X41">
        <f t="shared" si="6"/>
        <v>3144.8</v>
      </c>
      <c r="Y41">
        <v>12.741596680276725</v>
      </c>
      <c r="Z41" s="12" t="s">
        <v>52</v>
      </c>
    </row>
    <row r="42" spans="1:26" x14ac:dyDescent="0.25">
      <c r="A42">
        <v>5320</v>
      </c>
      <c r="B42">
        <v>23210</v>
      </c>
      <c r="C42" s="1">
        <v>42987</v>
      </c>
      <c r="F42" s="30"/>
      <c r="G42">
        <v>14</v>
      </c>
      <c r="H42">
        <v>12.8</v>
      </c>
      <c r="I42">
        <v>17.100000000000001</v>
      </c>
      <c r="J42">
        <f t="shared" si="4"/>
        <v>101.1</v>
      </c>
      <c r="K42">
        <f t="shared" si="5"/>
        <v>101.1</v>
      </c>
      <c r="L42" s="11">
        <f>MIN(H37:H122)</f>
        <v>-2.2000000000000002</v>
      </c>
      <c r="M42">
        <v>0.4</v>
      </c>
      <c r="N42">
        <v>2</v>
      </c>
      <c r="O42">
        <f t="shared" si="0"/>
        <v>-1.6</v>
      </c>
      <c r="Q42">
        <v>6</v>
      </c>
      <c r="R42">
        <v>0.35</v>
      </c>
      <c r="S42">
        <f t="shared" si="1"/>
        <v>0.7</v>
      </c>
      <c r="T42">
        <f t="shared" si="2"/>
        <v>-0.29999999999999993</v>
      </c>
      <c r="U42">
        <f t="shared" ref="U42:U105" si="7">MIN(U41+T42,138.9)</f>
        <v>32.14</v>
      </c>
      <c r="V42" s="13">
        <f>MIN(U37:U122)</f>
        <v>0</v>
      </c>
      <c r="W42">
        <v>924.5</v>
      </c>
      <c r="X42">
        <f t="shared" si="6"/>
        <v>4069.3</v>
      </c>
      <c r="Y42">
        <v>12.682652257280065</v>
      </c>
      <c r="Z42">
        <v>63</v>
      </c>
    </row>
    <row r="43" spans="1:26" x14ac:dyDescent="0.25">
      <c r="A43">
        <v>5320</v>
      </c>
      <c r="B43">
        <v>23210</v>
      </c>
      <c r="C43" s="1">
        <v>42988</v>
      </c>
      <c r="D43" t="s">
        <v>34</v>
      </c>
      <c r="F43" s="30"/>
      <c r="G43">
        <v>14.9</v>
      </c>
      <c r="H43">
        <v>11</v>
      </c>
      <c r="I43">
        <v>17.399999999999999</v>
      </c>
      <c r="J43">
        <f t="shared" si="4"/>
        <v>116</v>
      </c>
      <c r="K43">
        <f t="shared" si="5"/>
        <v>116</v>
      </c>
      <c r="L43" s="8" t="s">
        <v>41</v>
      </c>
      <c r="M43">
        <v>0.5</v>
      </c>
      <c r="N43">
        <v>1.2</v>
      </c>
      <c r="O43">
        <f t="shared" si="0"/>
        <v>-0.7</v>
      </c>
      <c r="Q43">
        <v>7</v>
      </c>
      <c r="R43">
        <v>0.35</v>
      </c>
      <c r="S43">
        <f t="shared" si="1"/>
        <v>0.42</v>
      </c>
      <c r="T43">
        <f t="shared" si="2"/>
        <v>8.0000000000000016E-2</v>
      </c>
      <c r="U43">
        <f t="shared" si="7"/>
        <v>32.22</v>
      </c>
      <c r="V43" s="12" t="s">
        <v>48</v>
      </c>
      <c r="W43">
        <v>618.29999999999995</v>
      </c>
      <c r="X43">
        <f t="shared" si="6"/>
        <v>4687.6000000000004</v>
      </c>
      <c r="Y43">
        <v>12.623610678784285</v>
      </c>
    </row>
    <row r="44" spans="1:26" x14ac:dyDescent="0.25">
      <c r="A44">
        <v>5320</v>
      </c>
      <c r="B44">
        <v>23210</v>
      </c>
      <c r="C44" s="1">
        <v>42989</v>
      </c>
      <c r="F44" s="30"/>
      <c r="G44">
        <v>14.7</v>
      </c>
      <c r="H44">
        <v>11.7</v>
      </c>
      <c r="I44">
        <v>18.2</v>
      </c>
      <c r="J44">
        <f t="shared" si="4"/>
        <v>130.69999999999999</v>
      </c>
      <c r="K44">
        <f t="shared" si="5"/>
        <v>130.69999999999999</v>
      </c>
      <c r="L44" s="9">
        <f>MAX(I37:I122)</f>
        <v>24.7</v>
      </c>
      <c r="M44">
        <v>0.2</v>
      </c>
      <c r="N44">
        <v>2.6</v>
      </c>
      <c r="O44">
        <f t="shared" si="0"/>
        <v>-2.4</v>
      </c>
      <c r="Q44">
        <v>8</v>
      </c>
      <c r="R44">
        <f>0.35+((Q44-7)/79)*(1-0.35)</f>
        <v>0.35822784810126579</v>
      </c>
      <c r="S44">
        <f t="shared" si="1"/>
        <v>0.93139240506329113</v>
      </c>
      <c r="T44">
        <f t="shared" si="2"/>
        <v>-0.73139240506329117</v>
      </c>
      <c r="U44">
        <f t="shared" si="7"/>
        <v>31.488607594936706</v>
      </c>
      <c r="V44" s="13">
        <f>MAX(U37:U122)</f>
        <v>68.160759493670867</v>
      </c>
      <c r="W44">
        <v>1134.4000000000001</v>
      </c>
      <c r="X44">
        <f t="shared" si="6"/>
        <v>5822</v>
      </c>
      <c r="Y44">
        <v>12.564480969222107</v>
      </c>
    </row>
    <row r="45" spans="1:26" x14ac:dyDescent="0.25">
      <c r="A45">
        <v>5320</v>
      </c>
      <c r="B45">
        <v>23210</v>
      </c>
      <c r="C45" s="1">
        <v>42990</v>
      </c>
      <c r="F45" s="30"/>
      <c r="G45">
        <v>15</v>
      </c>
      <c r="H45">
        <v>11.5</v>
      </c>
      <c r="I45">
        <v>18.399999999999999</v>
      </c>
      <c r="J45">
        <f t="shared" si="4"/>
        <v>145.69999999999999</v>
      </c>
      <c r="K45">
        <f t="shared" si="5"/>
        <v>145.69999999999999</v>
      </c>
      <c r="L45" s="8" t="s">
        <v>42</v>
      </c>
      <c r="M45">
        <v>0.4</v>
      </c>
      <c r="N45">
        <v>2.5</v>
      </c>
      <c r="O45">
        <f t="shared" si="0"/>
        <v>-2.1</v>
      </c>
      <c r="Q45">
        <v>9</v>
      </c>
      <c r="R45">
        <f t="shared" ref="R45:R108" si="8">0.35+((Q45-7)/79)*(1-0.35)</f>
        <v>0.3664556962025316</v>
      </c>
      <c r="S45">
        <f t="shared" si="1"/>
        <v>0.916139240506329</v>
      </c>
      <c r="T45">
        <f t="shared" si="2"/>
        <v>-0.51613924050632898</v>
      </c>
      <c r="U45">
        <f t="shared" si="7"/>
        <v>30.972468354430376</v>
      </c>
      <c r="V45" s="12" t="s">
        <v>49</v>
      </c>
      <c r="W45">
        <v>819.4</v>
      </c>
      <c r="X45">
        <f t="shared" si="6"/>
        <v>6641.4</v>
      </c>
      <c r="Y45">
        <v>12.505271996614168</v>
      </c>
    </row>
    <row r="46" spans="1:26" x14ac:dyDescent="0.25">
      <c r="A46">
        <v>5320</v>
      </c>
      <c r="B46">
        <v>23210</v>
      </c>
      <c r="C46" s="1">
        <v>42991</v>
      </c>
      <c r="F46" s="30"/>
      <c r="G46">
        <v>17.100000000000001</v>
      </c>
      <c r="H46">
        <v>15.4</v>
      </c>
      <c r="I46">
        <v>19.3</v>
      </c>
      <c r="J46">
        <f t="shared" si="4"/>
        <v>162.79999999999998</v>
      </c>
      <c r="K46">
        <f t="shared" si="5"/>
        <v>162.79999999999998</v>
      </c>
      <c r="L46" s="9">
        <v>0</v>
      </c>
      <c r="M46">
        <v>17.2</v>
      </c>
      <c r="N46">
        <v>1.6</v>
      </c>
      <c r="O46">
        <f t="shared" si="0"/>
        <v>15.6</v>
      </c>
      <c r="Q46">
        <v>10</v>
      </c>
      <c r="R46">
        <f t="shared" si="8"/>
        <v>0.37468354430379747</v>
      </c>
      <c r="S46">
        <f t="shared" si="1"/>
        <v>0.59949367088607597</v>
      </c>
      <c r="T46">
        <f t="shared" si="2"/>
        <v>16.600506329113923</v>
      </c>
      <c r="U46">
        <f t="shared" si="7"/>
        <v>47.572974683544302</v>
      </c>
      <c r="V46" s="13">
        <f>AVERAGE(U37:U122)</f>
        <v>48.602325581395363</v>
      </c>
      <c r="W46">
        <v>426.1</v>
      </c>
      <c r="X46">
        <f t="shared" si="6"/>
        <v>7067.5</v>
      </c>
      <c r="Y46">
        <v>12.445992487117708</v>
      </c>
    </row>
    <row r="47" spans="1:26" x14ac:dyDescent="0.25">
      <c r="A47">
        <v>5320</v>
      </c>
      <c r="B47">
        <v>23210</v>
      </c>
      <c r="C47" s="1">
        <v>42992</v>
      </c>
      <c r="F47" s="30"/>
      <c r="G47">
        <v>12.9</v>
      </c>
      <c r="H47">
        <v>11.6</v>
      </c>
      <c r="I47">
        <v>15.7</v>
      </c>
      <c r="J47">
        <f t="shared" si="4"/>
        <v>175.7</v>
      </c>
      <c r="K47">
        <f t="shared" si="5"/>
        <v>175.7</v>
      </c>
      <c r="L47" s="8" t="s">
        <v>43</v>
      </c>
      <c r="M47">
        <v>0.4</v>
      </c>
      <c r="N47">
        <v>2</v>
      </c>
      <c r="O47">
        <f t="shared" si="0"/>
        <v>-1.6</v>
      </c>
      <c r="Q47">
        <v>11</v>
      </c>
      <c r="R47">
        <f t="shared" si="8"/>
        <v>0.38291139240506328</v>
      </c>
      <c r="S47">
        <f t="shared" si="1"/>
        <v>0.76582278481012656</v>
      </c>
      <c r="T47">
        <f t="shared" si="2"/>
        <v>-0.36582278481012653</v>
      </c>
      <c r="U47">
        <f t="shared" si="7"/>
        <v>47.207151898734175</v>
      </c>
      <c r="W47">
        <v>947.1</v>
      </c>
      <c r="X47">
        <f t="shared" si="6"/>
        <v>8014.6</v>
      </c>
      <c r="Y47">
        <v>12.386651039685011</v>
      </c>
    </row>
    <row r="48" spans="1:26" x14ac:dyDescent="0.25">
      <c r="A48">
        <v>5320</v>
      </c>
      <c r="B48">
        <v>23210</v>
      </c>
      <c r="C48" s="1">
        <v>42993</v>
      </c>
      <c r="F48" s="30"/>
      <c r="G48">
        <v>11.5</v>
      </c>
      <c r="H48">
        <v>7.9</v>
      </c>
      <c r="I48">
        <v>16.3</v>
      </c>
      <c r="J48">
        <f t="shared" si="4"/>
        <v>187.2</v>
      </c>
      <c r="K48">
        <f t="shared" si="5"/>
        <v>187.2</v>
      </c>
      <c r="L48" s="9">
        <v>17</v>
      </c>
      <c r="M48">
        <v>4.5</v>
      </c>
      <c r="N48">
        <v>1.9</v>
      </c>
      <c r="O48">
        <f t="shared" si="0"/>
        <v>2.6</v>
      </c>
      <c r="Q48">
        <v>12</v>
      </c>
      <c r="R48">
        <f t="shared" si="8"/>
        <v>0.39113924050632909</v>
      </c>
      <c r="S48">
        <f t="shared" si="1"/>
        <v>0.74316455696202521</v>
      </c>
      <c r="T48">
        <f t="shared" si="2"/>
        <v>3.7568354430379749</v>
      </c>
      <c r="U48">
        <f t="shared" si="7"/>
        <v>50.963987341772153</v>
      </c>
      <c r="V48" s="14">
        <f>(V46*100)/138.9</f>
        <v>34.990875148592771</v>
      </c>
      <c r="W48">
        <v>1252.3</v>
      </c>
      <c r="X48">
        <f t="shared" si="6"/>
        <v>9266.9</v>
      </c>
      <c r="Y48">
        <v>12.327256140817161</v>
      </c>
    </row>
    <row r="49" spans="1:25" x14ac:dyDescent="0.25">
      <c r="A49">
        <v>5320</v>
      </c>
      <c r="B49">
        <v>23210</v>
      </c>
      <c r="C49" s="1">
        <v>42994</v>
      </c>
      <c r="F49" s="30"/>
      <c r="G49">
        <v>11.7</v>
      </c>
      <c r="H49">
        <v>8.6</v>
      </c>
      <c r="I49">
        <v>14.2</v>
      </c>
      <c r="J49">
        <f t="shared" si="4"/>
        <v>198.89999999999998</v>
      </c>
      <c r="K49">
        <f t="shared" si="5"/>
        <v>198.89999999999998</v>
      </c>
      <c r="L49" s="8" t="s">
        <v>44</v>
      </c>
      <c r="M49">
        <v>1.1000000000000001</v>
      </c>
      <c r="N49">
        <v>1.2</v>
      </c>
      <c r="O49">
        <f t="shared" si="0"/>
        <v>-9.9999999999999867E-2</v>
      </c>
      <c r="Q49">
        <v>13</v>
      </c>
      <c r="R49">
        <f t="shared" si="8"/>
        <v>0.3993670886075949</v>
      </c>
      <c r="S49">
        <f t="shared" si="1"/>
        <v>0.47924050632911386</v>
      </c>
      <c r="T49">
        <f t="shared" si="2"/>
        <v>0.62075949367088623</v>
      </c>
      <c r="U49">
        <f t="shared" si="7"/>
        <v>51.584746835443042</v>
      </c>
      <c r="W49">
        <v>1036.7</v>
      </c>
      <c r="X49">
        <f t="shared" si="6"/>
        <v>10303.6</v>
      </c>
      <c r="Y49">
        <v>12.267816179399698</v>
      </c>
    </row>
    <row r="50" spans="1:25" x14ac:dyDescent="0.25">
      <c r="A50">
        <v>5320</v>
      </c>
      <c r="B50">
        <v>23210</v>
      </c>
      <c r="C50" s="1">
        <v>42995</v>
      </c>
      <c r="F50" s="30"/>
      <c r="G50">
        <v>10.1</v>
      </c>
      <c r="H50">
        <v>8.6</v>
      </c>
      <c r="I50">
        <v>12.4</v>
      </c>
      <c r="J50">
        <f t="shared" si="4"/>
        <v>208.99999999999997</v>
      </c>
      <c r="K50">
        <f t="shared" si="5"/>
        <v>208.99999999999997</v>
      </c>
      <c r="L50" s="9">
        <v>3</v>
      </c>
      <c r="M50">
        <v>2</v>
      </c>
      <c r="N50">
        <v>0.6</v>
      </c>
      <c r="O50">
        <f t="shared" si="0"/>
        <v>1.4</v>
      </c>
      <c r="Q50">
        <v>14</v>
      </c>
      <c r="R50">
        <f t="shared" si="8"/>
        <v>0.40759493670886071</v>
      </c>
      <c r="S50">
        <f t="shared" si="1"/>
        <v>0.2445569620253164</v>
      </c>
      <c r="T50">
        <f t="shared" si="2"/>
        <v>1.7554430379746835</v>
      </c>
      <c r="U50">
        <f t="shared" si="7"/>
        <v>53.340189873417728</v>
      </c>
      <c r="W50">
        <v>586.70000000000005</v>
      </c>
      <c r="X50">
        <f t="shared" si="6"/>
        <v>10890.300000000001</v>
      </c>
      <c r="Y50">
        <v>12.208339461607519</v>
      </c>
    </row>
    <row r="51" spans="1:25" x14ac:dyDescent="0.25">
      <c r="A51">
        <v>5320</v>
      </c>
      <c r="B51">
        <v>23210</v>
      </c>
      <c r="C51" s="1">
        <v>42996</v>
      </c>
      <c r="F51" s="30"/>
      <c r="G51">
        <v>10</v>
      </c>
      <c r="H51">
        <v>5.2</v>
      </c>
      <c r="I51">
        <v>15.8</v>
      </c>
      <c r="J51">
        <f t="shared" si="4"/>
        <v>218.99999999999997</v>
      </c>
      <c r="K51">
        <f t="shared" si="5"/>
        <v>218.99999999999997</v>
      </c>
      <c r="M51">
        <v>2.5</v>
      </c>
      <c r="N51">
        <v>1.6</v>
      </c>
      <c r="O51">
        <f t="shared" si="0"/>
        <v>0.89999999999999991</v>
      </c>
      <c r="Q51">
        <v>15</v>
      </c>
      <c r="R51">
        <f t="shared" si="8"/>
        <v>0.41582278481012658</v>
      </c>
      <c r="S51">
        <f t="shared" si="1"/>
        <v>0.66531645569620257</v>
      </c>
      <c r="T51">
        <f t="shared" si="2"/>
        <v>1.8346835443037974</v>
      </c>
      <c r="U51">
        <f t="shared" si="7"/>
        <v>55.174873417721528</v>
      </c>
      <c r="W51">
        <v>1069.2</v>
      </c>
      <c r="X51">
        <f t="shared" si="6"/>
        <v>11959.500000000002</v>
      </c>
      <c r="Y51">
        <v>12.148834225867137</v>
      </c>
    </row>
    <row r="52" spans="1:25" x14ac:dyDescent="0.25">
      <c r="A52">
        <v>5320</v>
      </c>
      <c r="B52">
        <v>23210</v>
      </c>
      <c r="C52" s="1">
        <v>42997</v>
      </c>
      <c r="F52" s="30"/>
      <c r="G52">
        <v>11.6</v>
      </c>
      <c r="H52">
        <v>8.6</v>
      </c>
      <c r="I52">
        <v>14.6</v>
      </c>
      <c r="J52">
        <f t="shared" si="4"/>
        <v>230.59999999999997</v>
      </c>
      <c r="K52">
        <f t="shared" si="5"/>
        <v>230.59999999999997</v>
      </c>
      <c r="M52">
        <v>0.5</v>
      </c>
      <c r="N52">
        <v>1.5</v>
      </c>
      <c r="O52">
        <f t="shared" si="0"/>
        <v>-1</v>
      </c>
      <c r="Q52">
        <v>16</v>
      </c>
      <c r="R52">
        <f t="shared" si="8"/>
        <v>0.42405063291139239</v>
      </c>
      <c r="S52">
        <f t="shared" si="1"/>
        <v>0.63607594936708856</v>
      </c>
      <c r="T52">
        <f t="shared" si="2"/>
        <v>-0.13607594936708856</v>
      </c>
      <c r="U52">
        <f t="shared" si="7"/>
        <v>55.038797468354439</v>
      </c>
      <c r="W52">
        <v>1112</v>
      </c>
      <c r="X52">
        <f t="shared" si="6"/>
        <v>13071.500000000002</v>
      </c>
      <c r="Y52">
        <v>12.089308657865041</v>
      </c>
    </row>
    <row r="53" spans="1:25" x14ac:dyDescent="0.25">
      <c r="A53">
        <v>5320</v>
      </c>
      <c r="B53">
        <v>23210</v>
      </c>
      <c r="C53" s="1">
        <v>42998</v>
      </c>
      <c r="F53" s="30"/>
      <c r="G53">
        <v>12</v>
      </c>
      <c r="H53">
        <v>6.4</v>
      </c>
      <c r="I53">
        <v>17.899999999999999</v>
      </c>
      <c r="J53">
        <f t="shared" si="4"/>
        <v>242.59999999999997</v>
      </c>
      <c r="K53">
        <f t="shared" si="5"/>
        <v>242.59999999999997</v>
      </c>
      <c r="M53">
        <v>0.1</v>
      </c>
      <c r="N53">
        <v>2.1</v>
      </c>
      <c r="O53">
        <f t="shared" si="0"/>
        <v>-2</v>
      </c>
      <c r="Q53">
        <v>17</v>
      </c>
      <c r="R53">
        <f t="shared" si="8"/>
        <v>0.4322784810126582</v>
      </c>
      <c r="S53">
        <f t="shared" si="1"/>
        <v>0.9077848101265823</v>
      </c>
      <c r="T53">
        <f t="shared" si="2"/>
        <v>-0.80778481012658232</v>
      </c>
      <c r="U53">
        <f t="shared" si="7"/>
        <v>54.231012658227854</v>
      </c>
      <c r="W53">
        <v>1431.1</v>
      </c>
      <c r="X53">
        <f t="shared" si="6"/>
        <v>14502.600000000002</v>
      </c>
      <c r="Y53">
        <v>12.029770905591384</v>
      </c>
    </row>
    <row r="54" spans="1:25" x14ac:dyDescent="0.25">
      <c r="A54">
        <v>5320</v>
      </c>
      <c r="B54">
        <v>23210</v>
      </c>
      <c r="C54" s="1">
        <v>42999</v>
      </c>
      <c r="F54" s="30"/>
      <c r="G54">
        <v>13.6</v>
      </c>
      <c r="H54">
        <v>7.6</v>
      </c>
      <c r="I54">
        <v>19.7</v>
      </c>
      <c r="J54">
        <f t="shared" si="4"/>
        <v>256.2</v>
      </c>
      <c r="K54">
        <f t="shared" si="5"/>
        <v>256.2</v>
      </c>
      <c r="M54">
        <v>0</v>
      </c>
      <c r="N54">
        <v>3</v>
      </c>
      <c r="O54">
        <f t="shared" si="0"/>
        <v>-3</v>
      </c>
      <c r="Q54">
        <v>18</v>
      </c>
      <c r="R54">
        <f t="shared" si="8"/>
        <v>0.44050632911392401</v>
      </c>
      <c r="S54">
        <f t="shared" si="1"/>
        <v>1.3215189873417721</v>
      </c>
      <c r="T54">
        <f t="shared" si="2"/>
        <v>-1.3215189873417721</v>
      </c>
      <c r="U54">
        <f t="shared" si="7"/>
        <v>52.909493670886079</v>
      </c>
      <c r="W54">
        <v>1845.5</v>
      </c>
      <c r="X54">
        <f t="shared" si="6"/>
        <v>16348.100000000002</v>
      </c>
      <c r="Y54">
        <v>11.970229094408614</v>
      </c>
    </row>
    <row r="55" spans="1:25" x14ac:dyDescent="0.25">
      <c r="A55">
        <v>5320</v>
      </c>
      <c r="B55">
        <v>23210</v>
      </c>
      <c r="C55" s="1">
        <v>43000</v>
      </c>
      <c r="F55" s="30"/>
      <c r="G55">
        <v>13.5</v>
      </c>
      <c r="H55">
        <v>10.8</v>
      </c>
      <c r="I55">
        <v>18.3</v>
      </c>
      <c r="J55">
        <f t="shared" si="4"/>
        <v>269.7</v>
      </c>
      <c r="K55">
        <f t="shared" si="5"/>
        <v>269.7</v>
      </c>
      <c r="M55">
        <v>0.1</v>
      </c>
      <c r="N55">
        <v>0.9</v>
      </c>
      <c r="O55">
        <f t="shared" si="0"/>
        <v>-0.8</v>
      </c>
      <c r="Q55">
        <v>19</v>
      </c>
      <c r="R55">
        <f t="shared" si="8"/>
        <v>0.44873417721518988</v>
      </c>
      <c r="S55">
        <f t="shared" si="1"/>
        <v>0.4038607594936709</v>
      </c>
      <c r="T55">
        <f t="shared" si="2"/>
        <v>-0.30386075949367086</v>
      </c>
      <c r="U55">
        <f t="shared" si="7"/>
        <v>52.605632911392405</v>
      </c>
      <c r="W55">
        <v>551.20000000000005</v>
      </c>
      <c r="X55">
        <f t="shared" si="6"/>
        <v>16899.300000000003</v>
      </c>
      <c r="Y55">
        <v>11.910691342134957</v>
      </c>
    </row>
    <row r="56" spans="1:25" x14ac:dyDescent="0.25">
      <c r="A56">
        <v>5320</v>
      </c>
      <c r="B56">
        <v>23210</v>
      </c>
      <c r="C56" s="1">
        <v>43001</v>
      </c>
      <c r="F56" s="30"/>
      <c r="G56">
        <v>14.2</v>
      </c>
      <c r="H56">
        <v>7.9</v>
      </c>
      <c r="I56">
        <v>20.100000000000001</v>
      </c>
      <c r="J56">
        <f t="shared" si="4"/>
        <v>283.89999999999998</v>
      </c>
      <c r="K56">
        <f t="shared" si="5"/>
        <v>283.89999999999998</v>
      </c>
      <c r="M56">
        <v>0</v>
      </c>
      <c r="N56">
        <v>2.4</v>
      </c>
      <c r="O56">
        <f t="shared" si="0"/>
        <v>-2.4</v>
      </c>
      <c r="Q56">
        <v>20</v>
      </c>
      <c r="R56">
        <f t="shared" si="8"/>
        <v>0.45696202531645569</v>
      </c>
      <c r="S56">
        <f t="shared" si="1"/>
        <v>1.0967088607594937</v>
      </c>
      <c r="T56">
        <f t="shared" si="2"/>
        <v>-1.0967088607594937</v>
      </c>
      <c r="U56">
        <f t="shared" si="7"/>
        <v>51.508924050632913</v>
      </c>
      <c r="W56">
        <v>1610.2</v>
      </c>
      <c r="X56">
        <f t="shared" si="6"/>
        <v>18509.500000000004</v>
      </c>
      <c r="Y56">
        <v>11.851165774132864</v>
      </c>
    </row>
    <row r="57" spans="1:25" x14ac:dyDescent="0.25">
      <c r="A57">
        <v>5320</v>
      </c>
      <c r="B57">
        <v>23210</v>
      </c>
      <c r="C57" s="1">
        <v>43002</v>
      </c>
      <c r="F57" s="30"/>
      <c r="G57">
        <v>17.399999999999999</v>
      </c>
      <c r="H57">
        <v>11.3</v>
      </c>
      <c r="I57">
        <v>23.9</v>
      </c>
      <c r="J57">
        <f t="shared" si="4"/>
        <v>301.29999999999995</v>
      </c>
      <c r="K57">
        <f t="shared" si="5"/>
        <v>301.29999999999995</v>
      </c>
      <c r="M57">
        <v>0</v>
      </c>
      <c r="N57">
        <v>2.5</v>
      </c>
      <c r="O57">
        <f t="shared" si="0"/>
        <v>-2.5</v>
      </c>
      <c r="Q57">
        <v>21</v>
      </c>
      <c r="R57">
        <f t="shared" si="8"/>
        <v>0.4651898734177215</v>
      </c>
      <c r="S57">
        <f t="shared" si="1"/>
        <v>1.1629746835443038</v>
      </c>
      <c r="T57">
        <f t="shared" si="2"/>
        <v>-1.1629746835443038</v>
      </c>
      <c r="U57">
        <f t="shared" si="7"/>
        <v>50.345949367088608</v>
      </c>
      <c r="W57">
        <v>1275.4000000000001</v>
      </c>
      <c r="X57">
        <f t="shared" si="6"/>
        <v>19784.900000000005</v>
      </c>
      <c r="Y57">
        <v>11.791660538392479</v>
      </c>
    </row>
    <row r="58" spans="1:25" x14ac:dyDescent="0.25">
      <c r="A58">
        <v>5320</v>
      </c>
      <c r="B58">
        <v>23210</v>
      </c>
      <c r="C58" s="1">
        <v>43003</v>
      </c>
      <c r="F58" s="30"/>
      <c r="G58">
        <v>16.2</v>
      </c>
      <c r="H58">
        <v>14.3</v>
      </c>
      <c r="I58">
        <v>19.399999999999999</v>
      </c>
      <c r="J58">
        <f t="shared" si="4"/>
        <v>317.49999999999994</v>
      </c>
      <c r="K58">
        <f t="shared" si="5"/>
        <v>317.49999999999994</v>
      </c>
      <c r="M58">
        <v>0.6</v>
      </c>
      <c r="N58">
        <v>1.1000000000000001</v>
      </c>
      <c r="O58">
        <f t="shared" si="0"/>
        <v>-0.50000000000000011</v>
      </c>
      <c r="Q58">
        <v>22</v>
      </c>
      <c r="R58">
        <f t="shared" si="8"/>
        <v>0.47341772151898731</v>
      </c>
      <c r="S58">
        <f t="shared" si="1"/>
        <v>0.52075949367088603</v>
      </c>
      <c r="T58">
        <f t="shared" si="2"/>
        <v>7.9240506329113947E-2</v>
      </c>
      <c r="U58">
        <f t="shared" si="7"/>
        <v>50.425189873417722</v>
      </c>
      <c r="W58">
        <v>712.2</v>
      </c>
      <c r="X58">
        <f t="shared" si="6"/>
        <v>20497.100000000006</v>
      </c>
      <c r="Y58">
        <v>11.7321838206003</v>
      </c>
    </row>
    <row r="59" spans="1:25" x14ac:dyDescent="0.25">
      <c r="A59">
        <v>5320</v>
      </c>
      <c r="B59">
        <v>23210</v>
      </c>
      <c r="C59" s="1">
        <v>43004</v>
      </c>
      <c r="F59" s="30"/>
      <c r="G59">
        <v>15.3</v>
      </c>
      <c r="H59">
        <v>12.5</v>
      </c>
      <c r="I59">
        <v>17.899999999999999</v>
      </c>
      <c r="J59">
        <f t="shared" si="4"/>
        <v>332.79999999999995</v>
      </c>
      <c r="K59">
        <f t="shared" si="5"/>
        <v>332.79999999999995</v>
      </c>
      <c r="M59">
        <v>0.2</v>
      </c>
      <c r="N59">
        <v>1</v>
      </c>
      <c r="O59">
        <f t="shared" si="0"/>
        <v>-0.8</v>
      </c>
      <c r="Q59">
        <v>23</v>
      </c>
      <c r="R59">
        <f t="shared" si="8"/>
        <v>0.48164556962025318</v>
      </c>
      <c r="S59">
        <f t="shared" si="1"/>
        <v>0.48164556962025318</v>
      </c>
      <c r="T59">
        <f t="shared" si="2"/>
        <v>-0.28164556962025317</v>
      </c>
      <c r="U59">
        <f t="shared" si="7"/>
        <v>50.143544303797469</v>
      </c>
      <c r="W59">
        <v>708.9</v>
      </c>
      <c r="X59">
        <f t="shared" si="6"/>
        <v>21206.000000000007</v>
      </c>
      <c r="Y59">
        <v>11.672743859182836</v>
      </c>
    </row>
    <row r="60" spans="1:25" x14ac:dyDescent="0.25">
      <c r="A60">
        <v>5320</v>
      </c>
      <c r="B60">
        <v>23210</v>
      </c>
      <c r="C60" s="1">
        <v>43005</v>
      </c>
      <c r="F60" s="30"/>
      <c r="G60">
        <v>15.6</v>
      </c>
      <c r="H60">
        <v>10.1</v>
      </c>
      <c r="I60">
        <v>21.1</v>
      </c>
      <c r="J60">
        <f t="shared" si="4"/>
        <v>348.4</v>
      </c>
      <c r="K60">
        <f t="shared" si="5"/>
        <v>348.4</v>
      </c>
      <c r="M60">
        <v>1.1000000000000001</v>
      </c>
      <c r="N60">
        <v>1.7</v>
      </c>
      <c r="O60">
        <f t="shared" si="0"/>
        <v>-0.59999999999999987</v>
      </c>
      <c r="Q60">
        <v>24</v>
      </c>
      <c r="R60">
        <f t="shared" si="8"/>
        <v>0.48987341772151899</v>
      </c>
      <c r="S60">
        <f t="shared" si="1"/>
        <v>0.83278481012658223</v>
      </c>
      <c r="T60">
        <f t="shared" si="2"/>
        <v>0.26721518987341786</v>
      </c>
      <c r="U60">
        <f t="shared" si="7"/>
        <v>50.410759493670888</v>
      </c>
      <c r="W60">
        <v>1045.0999999999999</v>
      </c>
      <c r="X60">
        <f t="shared" si="6"/>
        <v>22251.100000000006</v>
      </c>
      <c r="Y60">
        <v>11.613348960314989</v>
      </c>
    </row>
    <row r="61" spans="1:25" x14ac:dyDescent="0.25">
      <c r="A61">
        <v>5320</v>
      </c>
      <c r="B61">
        <v>23210</v>
      </c>
      <c r="C61" s="1">
        <v>43006</v>
      </c>
      <c r="F61" s="30"/>
      <c r="G61">
        <v>17.600000000000001</v>
      </c>
      <c r="H61">
        <v>14.4</v>
      </c>
      <c r="I61">
        <v>21.7</v>
      </c>
      <c r="J61">
        <f t="shared" si="4"/>
        <v>366</v>
      </c>
      <c r="K61">
        <f t="shared" si="5"/>
        <v>366</v>
      </c>
      <c r="M61">
        <v>0</v>
      </c>
      <c r="N61">
        <v>1.1000000000000001</v>
      </c>
      <c r="O61">
        <f t="shared" si="0"/>
        <v>-1.1000000000000001</v>
      </c>
      <c r="Q61">
        <v>25</v>
      </c>
      <c r="R61">
        <f t="shared" si="8"/>
        <v>0.4981012658227848</v>
      </c>
      <c r="S61">
        <f t="shared" si="1"/>
        <v>0.54791139240506337</v>
      </c>
      <c r="T61">
        <f t="shared" si="2"/>
        <v>-0.54791139240506337</v>
      </c>
      <c r="U61">
        <f t="shared" si="7"/>
        <v>49.862848101265826</v>
      </c>
      <c r="W61">
        <v>700.3</v>
      </c>
      <c r="X61">
        <f t="shared" si="6"/>
        <v>22951.400000000005</v>
      </c>
      <c r="Y61">
        <v>11.55400751288229</v>
      </c>
    </row>
    <row r="62" spans="1:25" x14ac:dyDescent="0.25">
      <c r="A62">
        <v>5320</v>
      </c>
      <c r="B62">
        <v>23210</v>
      </c>
      <c r="C62" s="1">
        <v>43007</v>
      </c>
      <c r="F62" s="30"/>
      <c r="G62">
        <v>19</v>
      </c>
      <c r="H62">
        <v>14.7</v>
      </c>
      <c r="I62">
        <v>24.6</v>
      </c>
      <c r="J62">
        <f t="shared" si="4"/>
        <v>385</v>
      </c>
      <c r="K62">
        <f t="shared" si="5"/>
        <v>385</v>
      </c>
      <c r="M62">
        <v>4.3</v>
      </c>
      <c r="N62">
        <v>2.8</v>
      </c>
      <c r="O62">
        <f t="shared" si="0"/>
        <v>1.5</v>
      </c>
      <c r="Q62">
        <v>26</v>
      </c>
      <c r="R62">
        <f t="shared" si="8"/>
        <v>0.50632911392405067</v>
      </c>
      <c r="S62">
        <f t="shared" si="1"/>
        <v>1.4177215189873418</v>
      </c>
      <c r="T62">
        <f t="shared" si="2"/>
        <v>2.882278481012658</v>
      </c>
      <c r="U62">
        <f t="shared" si="7"/>
        <v>52.74512658227848</v>
      </c>
      <c r="W62">
        <v>1347.7</v>
      </c>
      <c r="X62">
        <f t="shared" si="6"/>
        <v>24299.100000000006</v>
      </c>
      <c r="Y62">
        <v>11.494728003385832</v>
      </c>
    </row>
    <row r="63" spans="1:25" x14ac:dyDescent="0.25">
      <c r="A63">
        <v>5320</v>
      </c>
      <c r="B63">
        <v>23210</v>
      </c>
      <c r="C63" s="1">
        <v>43008</v>
      </c>
      <c r="F63" s="30"/>
      <c r="G63">
        <v>14.8</v>
      </c>
      <c r="H63">
        <v>12.9</v>
      </c>
      <c r="I63">
        <v>17.399999999999999</v>
      </c>
      <c r="J63">
        <f t="shared" si="4"/>
        <v>399.8</v>
      </c>
      <c r="K63">
        <f t="shared" si="5"/>
        <v>399.8</v>
      </c>
      <c r="M63">
        <v>0.7</v>
      </c>
      <c r="N63">
        <v>1.9</v>
      </c>
      <c r="O63">
        <f t="shared" si="0"/>
        <v>-1.2</v>
      </c>
      <c r="Q63">
        <v>27</v>
      </c>
      <c r="R63">
        <f t="shared" si="8"/>
        <v>0.51455696202531642</v>
      </c>
      <c r="S63">
        <f t="shared" si="1"/>
        <v>0.97765822784810119</v>
      </c>
      <c r="T63">
        <f t="shared" si="2"/>
        <v>-0.27765822784810124</v>
      </c>
      <c r="U63">
        <f t="shared" si="7"/>
        <v>52.46746835443038</v>
      </c>
      <c r="W63">
        <v>851.9</v>
      </c>
      <c r="X63">
        <f t="shared" si="6"/>
        <v>25151.000000000007</v>
      </c>
      <c r="Y63">
        <v>11.435519030777895</v>
      </c>
    </row>
    <row r="64" spans="1:25" x14ac:dyDescent="0.25">
      <c r="A64">
        <v>5320</v>
      </c>
      <c r="B64">
        <v>23210</v>
      </c>
      <c r="C64" s="1">
        <v>43009</v>
      </c>
      <c r="F64" s="30"/>
      <c r="G64">
        <v>14.3</v>
      </c>
      <c r="H64">
        <v>12.7</v>
      </c>
      <c r="I64">
        <v>15.9</v>
      </c>
      <c r="J64">
        <f t="shared" si="4"/>
        <v>414.1</v>
      </c>
      <c r="K64">
        <f t="shared" si="5"/>
        <v>414.1</v>
      </c>
      <c r="M64">
        <v>2.2999999999999998</v>
      </c>
      <c r="N64">
        <v>0.7</v>
      </c>
      <c r="O64">
        <f t="shared" si="0"/>
        <v>1.5999999999999999</v>
      </c>
      <c r="Q64">
        <v>28</v>
      </c>
      <c r="R64">
        <f t="shared" si="8"/>
        <v>0.52278481012658218</v>
      </c>
      <c r="S64">
        <f t="shared" si="1"/>
        <v>0.36594936708860748</v>
      </c>
      <c r="T64">
        <f t="shared" si="2"/>
        <v>1.9340506329113922</v>
      </c>
      <c r="U64">
        <f t="shared" si="7"/>
        <v>54.401518987341774</v>
      </c>
      <c r="W64">
        <v>414.8</v>
      </c>
      <c r="X64">
        <f t="shared" si="6"/>
        <v>25565.800000000007</v>
      </c>
      <c r="Y64">
        <v>11.376389321215715</v>
      </c>
    </row>
    <row r="65" spans="1:25" x14ac:dyDescent="0.25">
      <c r="A65">
        <v>5320</v>
      </c>
      <c r="B65">
        <v>23210</v>
      </c>
      <c r="C65" s="1">
        <v>43010</v>
      </c>
      <c r="F65" s="30"/>
      <c r="G65">
        <v>17.399999999999999</v>
      </c>
      <c r="H65">
        <v>15</v>
      </c>
      <c r="I65">
        <v>19.399999999999999</v>
      </c>
      <c r="J65">
        <f t="shared" si="4"/>
        <v>431.5</v>
      </c>
      <c r="K65">
        <f t="shared" si="5"/>
        <v>431.5</v>
      </c>
      <c r="M65">
        <v>2.8</v>
      </c>
      <c r="N65">
        <v>1.1000000000000001</v>
      </c>
      <c r="O65">
        <f t="shared" si="0"/>
        <v>1.6999999999999997</v>
      </c>
      <c r="Q65">
        <v>29</v>
      </c>
      <c r="R65">
        <f t="shared" si="8"/>
        <v>0.53101265822784804</v>
      </c>
      <c r="S65">
        <f t="shared" si="1"/>
        <v>0.58411392405063289</v>
      </c>
      <c r="T65">
        <f t="shared" si="2"/>
        <v>2.215886075949367</v>
      </c>
      <c r="U65">
        <f t="shared" si="7"/>
        <v>56.617405063291145</v>
      </c>
      <c r="W65">
        <v>717.7</v>
      </c>
      <c r="X65">
        <f t="shared" si="6"/>
        <v>26283.500000000007</v>
      </c>
      <c r="Y65">
        <v>11.317347742719935</v>
      </c>
    </row>
    <row r="66" spans="1:25" x14ac:dyDescent="0.25">
      <c r="A66">
        <v>5320</v>
      </c>
      <c r="B66">
        <v>23210</v>
      </c>
      <c r="C66" s="1">
        <v>43011</v>
      </c>
      <c r="F66" s="30"/>
      <c r="G66">
        <v>13.8</v>
      </c>
      <c r="H66">
        <v>12.8</v>
      </c>
      <c r="I66">
        <v>17.5</v>
      </c>
      <c r="J66">
        <f t="shared" si="4"/>
        <v>445.3</v>
      </c>
      <c r="K66">
        <f t="shared" si="5"/>
        <v>445.3</v>
      </c>
      <c r="M66">
        <v>0</v>
      </c>
      <c r="N66">
        <v>2</v>
      </c>
      <c r="O66">
        <f t="shared" si="0"/>
        <v>-2</v>
      </c>
      <c r="Q66">
        <v>30</v>
      </c>
      <c r="R66">
        <f t="shared" si="8"/>
        <v>0.53924050632911391</v>
      </c>
      <c r="S66">
        <f t="shared" si="1"/>
        <v>1.0784810126582278</v>
      </c>
      <c r="T66">
        <f t="shared" si="2"/>
        <v>-1.0784810126582278</v>
      </c>
      <c r="U66">
        <f t="shared" si="7"/>
        <v>55.538924050632914</v>
      </c>
      <c r="W66">
        <v>890.2</v>
      </c>
      <c r="X66">
        <f t="shared" si="6"/>
        <v>27173.700000000008</v>
      </c>
      <c r="Y66">
        <v>11.258403319723275</v>
      </c>
    </row>
    <row r="67" spans="1:25" x14ac:dyDescent="0.25">
      <c r="A67">
        <v>5320</v>
      </c>
      <c r="B67">
        <v>23210</v>
      </c>
      <c r="C67" s="1">
        <v>43012</v>
      </c>
      <c r="F67" s="30"/>
      <c r="G67">
        <v>11.3</v>
      </c>
      <c r="H67">
        <v>5.9</v>
      </c>
      <c r="I67">
        <v>17.600000000000001</v>
      </c>
      <c r="J67">
        <f t="shared" si="4"/>
        <v>456.6</v>
      </c>
      <c r="K67">
        <f t="shared" si="5"/>
        <v>456.6</v>
      </c>
      <c r="M67">
        <v>0.1</v>
      </c>
      <c r="N67">
        <v>2.2999999999999998</v>
      </c>
      <c r="O67">
        <f t="shared" si="0"/>
        <v>-2.1999999999999997</v>
      </c>
      <c r="Q67">
        <v>31</v>
      </c>
      <c r="R67">
        <f t="shared" si="8"/>
        <v>0.54746835443037978</v>
      </c>
      <c r="S67">
        <f t="shared" si="1"/>
        <v>1.2591772151898735</v>
      </c>
      <c r="T67">
        <f t="shared" si="2"/>
        <v>-1.1591772151898734</v>
      </c>
      <c r="U67">
        <f t="shared" si="7"/>
        <v>54.379746835443044</v>
      </c>
      <c r="W67">
        <v>1372</v>
      </c>
      <c r="X67">
        <f t="shared" si="6"/>
        <v>28545.700000000008</v>
      </c>
      <c r="Y67">
        <v>11.199565247493991</v>
      </c>
    </row>
    <row r="68" spans="1:25" x14ac:dyDescent="0.25">
      <c r="A68">
        <v>5320</v>
      </c>
      <c r="B68">
        <v>23210</v>
      </c>
      <c r="C68" s="1">
        <v>43013</v>
      </c>
      <c r="F68" s="30"/>
      <c r="G68">
        <v>11</v>
      </c>
      <c r="H68">
        <v>6.3</v>
      </c>
      <c r="I68">
        <v>16.2</v>
      </c>
      <c r="J68">
        <f t="shared" si="4"/>
        <v>467.6</v>
      </c>
      <c r="K68">
        <f t="shared" si="5"/>
        <v>467.6</v>
      </c>
      <c r="M68">
        <v>0.5</v>
      </c>
      <c r="N68">
        <v>1.1000000000000001</v>
      </c>
      <c r="O68">
        <f t="shared" si="0"/>
        <v>-0.60000000000000009</v>
      </c>
      <c r="Q68">
        <v>32</v>
      </c>
      <c r="R68">
        <f t="shared" si="8"/>
        <v>0.55569620253164553</v>
      </c>
      <c r="S68">
        <f t="shared" si="1"/>
        <v>0.61126582278481012</v>
      </c>
      <c r="T68">
        <f t="shared" si="2"/>
        <v>-0.11126582278481012</v>
      </c>
      <c r="U68">
        <f t="shared" si="7"/>
        <v>54.268481012658235</v>
      </c>
      <c r="W68">
        <v>597.5</v>
      </c>
      <c r="X68">
        <f t="shared" si="6"/>
        <v>29143.200000000008</v>
      </c>
      <c r="Y68">
        <v>11.140842906417442</v>
      </c>
    </row>
    <row r="69" spans="1:25" x14ac:dyDescent="0.25">
      <c r="A69">
        <v>5320</v>
      </c>
      <c r="B69">
        <v>23210</v>
      </c>
      <c r="C69" s="1">
        <v>43014</v>
      </c>
      <c r="F69" s="30"/>
      <c r="G69">
        <v>9.9</v>
      </c>
      <c r="H69">
        <v>7.3</v>
      </c>
      <c r="I69">
        <v>14.5</v>
      </c>
      <c r="J69">
        <f t="shared" si="4"/>
        <v>477.5</v>
      </c>
      <c r="K69">
        <f t="shared" si="5"/>
        <v>477.5</v>
      </c>
      <c r="M69">
        <v>0</v>
      </c>
      <c r="N69">
        <v>1.3</v>
      </c>
      <c r="O69">
        <f t="shared" ref="O69:O132" si="9">M69-N69</f>
        <v>-1.3</v>
      </c>
      <c r="Q69">
        <v>33</v>
      </c>
      <c r="R69">
        <f t="shared" si="8"/>
        <v>0.5639240506329114</v>
      </c>
      <c r="S69">
        <f t="shared" ref="S69:S132" si="10">R69*N69</f>
        <v>0.7331012658227849</v>
      </c>
      <c r="T69">
        <f t="shared" ref="T69:T132" si="11">M69-S69</f>
        <v>-0.7331012658227849</v>
      </c>
      <c r="U69">
        <f t="shared" si="7"/>
        <v>53.535379746835453</v>
      </c>
      <c r="W69">
        <v>729.3</v>
      </c>
      <c r="X69">
        <f t="shared" si="6"/>
        <v>29872.500000000007</v>
      </c>
      <c r="Y69">
        <v>11.082245876117859</v>
      </c>
    </row>
    <row r="70" spans="1:25" x14ac:dyDescent="0.25">
      <c r="A70">
        <v>5320</v>
      </c>
      <c r="B70">
        <v>23210</v>
      </c>
      <c r="C70" s="1">
        <v>43015</v>
      </c>
      <c r="F70" s="30"/>
      <c r="G70">
        <v>10.6</v>
      </c>
      <c r="H70">
        <v>2.8</v>
      </c>
      <c r="I70">
        <v>15.7</v>
      </c>
      <c r="J70">
        <f t="shared" si="4"/>
        <v>488.1</v>
      </c>
      <c r="K70">
        <f t="shared" si="5"/>
        <v>488.1</v>
      </c>
      <c r="M70">
        <v>1.9</v>
      </c>
      <c r="N70">
        <v>1.8</v>
      </c>
      <c r="O70">
        <f t="shared" si="9"/>
        <v>9.9999999999999867E-2</v>
      </c>
      <c r="Q70">
        <v>34</v>
      </c>
      <c r="R70">
        <f t="shared" si="8"/>
        <v>0.57215189873417716</v>
      </c>
      <c r="S70">
        <f t="shared" si="10"/>
        <v>1.029873417721519</v>
      </c>
      <c r="T70">
        <f t="shared" si="11"/>
        <v>0.87012658227848094</v>
      </c>
      <c r="U70">
        <f t="shared" si="7"/>
        <v>54.405506329113933</v>
      </c>
      <c r="W70">
        <v>1384.9</v>
      </c>
      <c r="X70">
        <f t="shared" si="6"/>
        <v>31257.400000000009</v>
      </c>
      <c r="Y70">
        <v>11.023783949400954</v>
      </c>
    </row>
    <row r="71" spans="1:25" x14ac:dyDescent="0.25">
      <c r="A71">
        <v>5320</v>
      </c>
      <c r="B71">
        <v>23210</v>
      </c>
      <c r="C71" s="1">
        <v>43016</v>
      </c>
      <c r="F71" s="30"/>
      <c r="G71">
        <v>13.6</v>
      </c>
      <c r="H71">
        <v>12.2</v>
      </c>
      <c r="I71">
        <v>16.5</v>
      </c>
      <c r="J71">
        <f t="shared" si="4"/>
        <v>501.70000000000005</v>
      </c>
      <c r="K71">
        <f t="shared" si="5"/>
        <v>501.70000000000005</v>
      </c>
      <c r="M71">
        <v>0.1</v>
      </c>
      <c r="N71">
        <v>1</v>
      </c>
      <c r="O71">
        <f t="shared" si="9"/>
        <v>-0.9</v>
      </c>
      <c r="Q71">
        <v>35</v>
      </c>
      <c r="R71">
        <f t="shared" si="8"/>
        <v>0.58037974683544302</v>
      </c>
      <c r="S71">
        <f t="shared" si="10"/>
        <v>0.58037974683544302</v>
      </c>
      <c r="T71">
        <f t="shared" si="11"/>
        <v>-0.48037974683544304</v>
      </c>
      <c r="U71">
        <f t="shared" si="7"/>
        <v>53.925126582278487</v>
      </c>
      <c r="W71">
        <v>395.7</v>
      </c>
      <c r="X71">
        <f t="shared" si="6"/>
        <v>31653.100000000009</v>
      </c>
      <c r="Y71">
        <v>10.965467145996568</v>
      </c>
    </row>
    <row r="72" spans="1:25" x14ac:dyDescent="0.25">
      <c r="A72">
        <v>5320</v>
      </c>
      <c r="B72">
        <v>23210</v>
      </c>
      <c r="C72" s="1">
        <v>43017</v>
      </c>
      <c r="F72" s="30"/>
      <c r="G72">
        <v>12.8</v>
      </c>
      <c r="H72">
        <v>8.4</v>
      </c>
      <c r="I72">
        <v>17.399999999999999</v>
      </c>
      <c r="J72">
        <f t="shared" si="4"/>
        <v>514.5</v>
      </c>
      <c r="K72">
        <f t="shared" si="5"/>
        <v>514.5</v>
      </c>
      <c r="M72">
        <v>0</v>
      </c>
      <c r="N72">
        <v>0.6</v>
      </c>
      <c r="O72">
        <f t="shared" si="9"/>
        <v>-0.6</v>
      </c>
      <c r="Q72">
        <v>36</v>
      </c>
      <c r="R72">
        <f t="shared" si="8"/>
        <v>0.58860759493670889</v>
      </c>
      <c r="S72">
        <f t="shared" si="10"/>
        <v>0.35316455696202531</v>
      </c>
      <c r="T72">
        <f t="shared" si="11"/>
        <v>-0.35316455696202531</v>
      </c>
      <c r="U72">
        <f t="shared" si="7"/>
        <v>53.571962025316459</v>
      </c>
      <c r="W72">
        <v>366.9</v>
      </c>
      <c r="X72">
        <f t="shared" si="6"/>
        <v>32020.000000000011</v>
      </c>
      <c r="Y72">
        <v>10.907305726078926</v>
      </c>
    </row>
    <row r="73" spans="1:25" x14ac:dyDescent="0.25">
      <c r="A73">
        <v>5320</v>
      </c>
      <c r="B73">
        <v>23210</v>
      </c>
      <c r="C73" s="1">
        <v>43018</v>
      </c>
      <c r="F73" s="30"/>
      <c r="G73">
        <v>14.6</v>
      </c>
      <c r="H73">
        <v>12.9</v>
      </c>
      <c r="I73">
        <v>16.3</v>
      </c>
      <c r="J73">
        <f t="shared" si="4"/>
        <v>529.1</v>
      </c>
      <c r="K73">
        <f t="shared" si="5"/>
        <v>529.1</v>
      </c>
      <c r="M73">
        <v>0</v>
      </c>
      <c r="N73">
        <v>0.8</v>
      </c>
      <c r="O73">
        <f t="shared" si="9"/>
        <v>-0.8</v>
      </c>
      <c r="Q73">
        <v>37</v>
      </c>
      <c r="R73">
        <f t="shared" si="8"/>
        <v>0.59683544303797476</v>
      </c>
      <c r="S73">
        <f t="shared" si="10"/>
        <v>0.47746835443037983</v>
      </c>
      <c r="T73">
        <f t="shared" si="11"/>
        <v>-0.47746835443037983</v>
      </c>
      <c r="U73">
        <f t="shared" si="7"/>
        <v>53.094493670886081</v>
      </c>
      <c r="W73">
        <v>528.4</v>
      </c>
      <c r="X73">
        <f t="shared" si="6"/>
        <v>32548.400000000012</v>
      </c>
      <c r="Y73">
        <v>10.849310203540412</v>
      </c>
    </row>
    <row r="74" spans="1:25" x14ac:dyDescent="0.25">
      <c r="A74">
        <v>5320</v>
      </c>
      <c r="B74">
        <v>23210</v>
      </c>
      <c r="C74" s="1">
        <v>43019</v>
      </c>
      <c r="F74" s="30"/>
      <c r="G74">
        <v>15.7</v>
      </c>
      <c r="H74">
        <v>12.6</v>
      </c>
      <c r="I74">
        <v>19.5</v>
      </c>
      <c r="J74">
        <f t="shared" si="4"/>
        <v>544.80000000000007</v>
      </c>
      <c r="K74">
        <f t="shared" si="5"/>
        <v>544.80000000000007</v>
      </c>
      <c r="M74">
        <v>0</v>
      </c>
      <c r="N74">
        <v>1.4</v>
      </c>
      <c r="O74">
        <f t="shared" si="9"/>
        <v>-1.4</v>
      </c>
      <c r="Q74">
        <v>38</v>
      </c>
      <c r="R74">
        <f t="shared" si="8"/>
        <v>0.6050632911392404</v>
      </c>
      <c r="S74">
        <f t="shared" si="10"/>
        <v>0.84708860759493654</v>
      </c>
      <c r="T74">
        <f t="shared" si="11"/>
        <v>-0.84708860759493654</v>
      </c>
      <c r="U74">
        <f t="shared" si="7"/>
        <v>52.247405063291147</v>
      </c>
      <c r="W74">
        <v>605.4</v>
      </c>
      <c r="X74">
        <f t="shared" si="6"/>
        <v>33153.80000000001</v>
      </c>
      <c r="Y74">
        <v>10.791491358992857</v>
      </c>
    </row>
    <row r="75" spans="1:25" x14ac:dyDescent="0.25">
      <c r="A75">
        <v>5320</v>
      </c>
      <c r="B75">
        <v>23210</v>
      </c>
      <c r="C75" s="1">
        <v>43020</v>
      </c>
      <c r="F75" s="30"/>
      <c r="G75">
        <v>16.600000000000001</v>
      </c>
      <c r="H75">
        <v>14.3</v>
      </c>
      <c r="I75">
        <v>19.899999999999999</v>
      </c>
      <c r="J75">
        <f t="shared" si="4"/>
        <v>561.40000000000009</v>
      </c>
      <c r="K75">
        <f t="shared" si="5"/>
        <v>561.40000000000009</v>
      </c>
      <c r="M75">
        <v>0.1</v>
      </c>
      <c r="N75">
        <v>1.3</v>
      </c>
      <c r="O75">
        <f t="shared" si="9"/>
        <v>-1.2</v>
      </c>
      <c r="Q75">
        <v>39</v>
      </c>
      <c r="R75">
        <f t="shared" si="8"/>
        <v>0.61329113924050627</v>
      </c>
      <c r="S75">
        <f t="shared" si="10"/>
        <v>0.79727848101265819</v>
      </c>
      <c r="T75">
        <f t="shared" si="11"/>
        <v>-0.69727848101265821</v>
      </c>
      <c r="U75">
        <f t="shared" si="7"/>
        <v>51.550126582278487</v>
      </c>
      <c r="W75">
        <v>276.60000000000002</v>
      </c>
      <c r="X75">
        <f t="shared" si="6"/>
        <v>33430.400000000009</v>
      </c>
      <c r="Y75">
        <v>10.733860252468599</v>
      </c>
    </row>
    <row r="76" spans="1:25" x14ac:dyDescent="0.25">
      <c r="A76">
        <v>5320</v>
      </c>
      <c r="B76">
        <v>23210</v>
      </c>
      <c r="C76" s="1">
        <v>43021</v>
      </c>
      <c r="F76" s="30"/>
      <c r="G76">
        <v>15.4</v>
      </c>
      <c r="H76">
        <v>10.4</v>
      </c>
      <c r="I76">
        <v>21.1</v>
      </c>
      <c r="J76">
        <f t="shared" si="4"/>
        <v>576.80000000000007</v>
      </c>
      <c r="K76">
        <f t="shared" si="5"/>
        <v>576.80000000000007</v>
      </c>
      <c r="M76">
        <v>0.1</v>
      </c>
      <c r="N76">
        <v>1.5</v>
      </c>
      <c r="O76">
        <f t="shared" si="9"/>
        <v>-1.4</v>
      </c>
      <c r="Q76">
        <v>40</v>
      </c>
      <c r="R76">
        <f t="shared" si="8"/>
        <v>0.62151898734177213</v>
      </c>
      <c r="S76">
        <f t="shared" si="10"/>
        <v>0.9322784810126582</v>
      </c>
      <c r="T76">
        <f t="shared" si="11"/>
        <v>-0.83227848101265822</v>
      </c>
      <c r="U76">
        <f t="shared" si="7"/>
        <v>50.71784810126583</v>
      </c>
      <c r="W76">
        <v>828.2</v>
      </c>
      <c r="X76">
        <f t="shared" si="6"/>
        <v>34258.600000000006</v>
      </c>
      <c r="Y76">
        <v>10.676428235791482</v>
      </c>
    </row>
    <row r="77" spans="1:25" x14ac:dyDescent="0.25">
      <c r="A77">
        <v>5320</v>
      </c>
      <c r="B77">
        <v>23210</v>
      </c>
      <c r="C77" s="1">
        <v>43022</v>
      </c>
      <c r="F77" s="30"/>
      <c r="G77">
        <v>14.8</v>
      </c>
      <c r="H77">
        <v>7.9</v>
      </c>
      <c r="I77">
        <v>21.8</v>
      </c>
      <c r="J77">
        <f t="shared" si="4"/>
        <v>591.6</v>
      </c>
      <c r="K77">
        <f t="shared" si="5"/>
        <v>591.6</v>
      </c>
      <c r="M77">
        <v>0.1</v>
      </c>
      <c r="N77">
        <v>2.4</v>
      </c>
      <c r="O77">
        <f t="shared" si="9"/>
        <v>-2.2999999999999998</v>
      </c>
      <c r="Q77">
        <v>41</v>
      </c>
      <c r="R77">
        <f t="shared" si="8"/>
        <v>0.629746835443038</v>
      </c>
      <c r="S77">
        <f t="shared" si="10"/>
        <v>1.5113924050632912</v>
      </c>
      <c r="T77">
        <f t="shared" si="11"/>
        <v>-1.4113924050632911</v>
      </c>
      <c r="U77">
        <f t="shared" si="7"/>
        <v>49.306455696202541</v>
      </c>
      <c r="W77">
        <v>1261.4000000000001</v>
      </c>
      <c r="X77">
        <f t="shared" si="6"/>
        <v>35520.000000000007</v>
      </c>
      <c r="Y77">
        <v>10.61920696458594</v>
      </c>
    </row>
    <row r="78" spans="1:25" x14ac:dyDescent="0.25">
      <c r="A78">
        <v>5320</v>
      </c>
      <c r="B78">
        <v>23210</v>
      </c>
      <c r="C78" s="1">
        <v>43023</v>
      </c>
      <c r="F78" s="30"/>
      <c r="G78">
        <v>16.7</v>
      </c>
      <c r="H78">
        <v>9.9</v>
      </c>
      <c r="I78">
        <v>23</v>
      </c>
      <c r="J78">
        <f t="shared" si="4"/>
        <v>608.30000000000007</v>
      </c>
      <c r="K78">
        <f t="shared" si="5"/>
        <v>608.30000000000007</v>
      </c>
      <c r="M78">
        <v>0</v>
      </c>
      <c r="N78">
        <v>2.4</v>
      </c>
      <c r="O78">
        <f t="shared" si="9"/>
        <v>-2.4</v>
      </c>
      <c r="Q78">
        <v>42</v>
      </c>
      <c r="R78">
        <f t="shared" si="8"/>
        <v>0.63797468354430376</v>
      </c>
      <c r="S78">
        <f t="shared" si="10"/>
        <v>1.5311392405063289</v>
      </c>
      <c r="T78">
        <f t="shared" si="11"/>
        <v>-1.5311392405063289</v>
      </c>
      <c r="U78">
        <f t="shared" si="7"/>
        <v>47.775316455696213</v>
      </c>
      <c r="W78">
        <v>1275.0999999999999</v>
      </c>
      <c r="X78">
        <f t="shared" si="6"/>
        <v>36795.100000000006</v>
      </c>
      <c r="Y78">
        <v>10.562208409890127</v>
      </c>
    </row>
    <row r="79" spans="1:25" x14ac:dyDescent="0.25">
      <c r="A79">
        <v>5320</v>
      </c>
      <c r="B79">
        <v>23210</v>
      </c>
      <c r="C79" s="1">
        <v>43024</v>
      </c>
      <c r="F79" s="30"/>
      <c r="G79">
        <v>17.5</v>
      </c>
      <c r="H79">
        <v>12.5</v>
      </c>
      <c r="I79">
        <v>24.7</v>
      </c>
      <c r="J79">
        <f t="shared" si="4"/>
        <v>625.80000000000007</v>
      </c>
      <c r="K79">
        <f t="shared" si="5"/>
        <v>625.80000000000007</v>
      </c>
      <c r="M79">
        <v>0</v>
      </c>
      <c r="N79">
        <v>2.8</v>
      </c>
      <c r="O79">
        <f t="shared" si="9"/>
        <v>-2.8</v>
      </c>
      <c r="Q79">
        <v>43</v>
      </c>
      <c r="R79">
        <f t="shared" si="8"/>
        <v>0.64620253164556962</v>
      </c>
      <c r="S79">
        <f t="shared" si="10"/>
        <v>1.8093670886075948</v>
      </c>
      <c r="T79">
        <f t="shared" si="11"/>
        <v>-1.8093670886075948</v>
      </c>
      <c r="U79">
        <f t="shared" si="7"/>
        <v>45.965949367088619</v>
      </c>
      <c r="W79">
        <v>1271.7</v>
      </c>
      <c r="X79">
        <f t="shared" si="6"/>
        <v>38066.800000000003</v>
      </c>
      <c r="Y79">
        <v>10.505444869336907</v>
      </c>
    </row>
    <row r="80" spans="1:25" x14ac:dyDescent="0.25">
      <c r="A80">
        <v>5320</v>
      </c>
      <c r="B80">
        <v>23210</v>
      </c>
      <c r="C80" s="1">
        <v>43025</v>
      </c>
      <c r="F80" s="30"/>
      <c r="G80">
        <v>16.600000000000001</v>
      </c>
      <c r="H80">
        <v>12.6</v>
      </c>
      <c r="I80">
        <v>21.6</v>
      </c>
      <c r="J80">
        <f t="shared" si="4"/>
        <v>642.40000000000009</v>
      </c>
      <c r="K80">
        <f t="shared" si="5"/>
        <v>642.40000000000009</v>
      </c>
      <c r="M80">
        <v>0</v>
      </c>
      <c r="N80">
        <v>2.1</v>
      </c>
      <c r="O80">
        <f t="shared" si="9"/>
        <v>-2.1</v>
      </c>
      <c r="Q80">
        <v>44</v>
      </c>
      <c r="R80">
        <f t="shared" si="8"/>
        <v>0.65443037974683538</v>
      </c>
      <c r="S80">
        <f t="shared" si="10"/>
        <v>1.3743037974683543</v>
      </c>
      <c r="T80">
        <f t="shared" si="11"/>
        <v>-1.3743037974683543</v>
      </c>
      <c r="U80">
        <f t="shared" si="7"/>
        <v>44.591645569620262</v>
      </c>
      <c r="W80">
        <v>1296.4000000000001</v>
      </c>
      <c r="X80">
        <f t="shared" si="6"/>
        <v>39363.200000000004</v>
      </c>
      <c r="Y80">
        <v>10.448928977864206</v>
      </c>
    </row>
    <row r="81" spans="1:25" x14ac:dyDescent="0.25">
      <c r="A81">
        <v>5320</v>
      </c>
      <c r="B81">
        <v>23210</v>
      </c>
      <c r="C81" s="1">
        <v>43026</v>
      </c>
      <c r="F81" s="30"/>
      <c r="G81">
        <v>15.4</v>
      </c>
      <c r="H81">
        <v>12.3</v>
      </c>
      <c r="I81">
        <v>19</v>
      </c>
      <c r="J81">
        <f t="shared" si="4"/>
        <v>657.80000000000007</v>
      </c>
      <c r="K81">
        <f t="shared" si="5"/>
        <v>657.80000000000007</v>
      </c>
      <c r="M81">
        <v>0.4</v>
      </c>
      <c r="N81">
        <v>1</v>
      </c>
      <c r="O81">
        <f t="shared" si="9"/>
        <v>-0.6</v>
      </c>
      <c r="Q81">
        <v>45</v>
      </c>
      <c r="R81">
        <f t="shared" si="8"/>
        <v>0.66265822784810124</v>
      </c>
      <c r="S81">
        <f t="shared" si="10"/>
        <v>0.66265822784810124</v>
      </c>
      <c r="T81">
        <f t="shared" si="11"/>
        <v>-0.26265822784810122</v>
      </c>
      <c r="U81">
        <f t="shared" si="7"/>
        <v>44.328987341772162</v>
      </c>
      <c r="W81">
        <v>578.4</v>
      </c>
      <c r="X81">
        <f t="shared" si="6"/>
        <v>39941.600000000006</v>
      </c>
      <c r="Y81">
        <v>10.392673717913894</v>
      </c>
    </row>
    <row r="82" spans="1:25" x14ac:dyDescent="0.25">
      <c r="A82">
        <v>5320</v>
      </c>
      <c r="B82">
        <v>23210</v>
      </c>
      <c r="C82" s="1">
        <v>43027</v>
      </c>
      <c r="F82" s="30"/>
      <c r="G82">
        <v>15.8</v>
      </c>
      <c r="H82">
        <v>12.7</v>
      </c>
      <c r="I82">
        <v>19.399999999999999</v>
      </c>
      <c r="J82">
        <f t="shared" si="4"/>
        <v>673.6</v>
      </c>
      <c r="K82">
        <f t="shared" si="5"/>
        <v>673.6</v>
      </c>
      <c r="M82">
        <v>3.3</v>
      </c>
      <c r="N82">
        <v>1.8</v>
      </c>
      <c r="O82">
        <f t="shared" si="9"/>
        <v>1.4999999999999998</v>
      </c>
      <c r="Q82">
        <v>46</v>
      </c>
      <c r="R82">
        <f t="shared" si="8"/>
        <v>0.67088607594936711</v>
      </c>
      <c r="S82">
        <f t="shared" si="10"/>
        <v>1.2075949367088608</v>
      </c>
      <c r="T82">
        <f t="shared" si="11"/>
        <v>2.0924050632911388</v>
      </c>
      <c r="U82">
        <f t="shared" si="7"/>
        <v>46.421392405063301</v>
      </c>
      <c r="W82">
        <v>624.70000000000005</v>
      </c>
      <c r="X82">
        <f t="shared" si="6"/>
        <v>40566.300000000003</v>
      </c>
      <c r="Y82">
        <v>10.336692429076072</v>
      </c>
    </row>
    <row r="83" spans="1:25" x14ac:dyDescent="0.25">
      <c r="A83">
        <v>5320</v>
      </c>
      <c r="B83">
        <v>23210</v>
      </c>
      <c r="C83" s="1">
        <v>43028</v>
      </c>
      <c r="F83" s="30"/>
      <c r="G83">
        <v>13.6</v>
      </c>
      <c r="H83">
        <v>10.7</v>
      </c>
      <c r="I83">
        <v>16.100000000000001</v>
      </c>
      <c r="J83">
        <f t="shared" si="4"/>
        <v>687.2</v>
      </c>
      <c r="K83">
        <f t="shared" si="5"/>
        <v>687.2</v>
      </c>
      <c r="M83">
        <v>1</v>
      </c>
      <c r="N83">
        <v>1.6</v>
      </c>
      <c r="O83">
        <f t="shared" si="9"/>
        <v>-0.60000000000000009</v>
      </c>
      <c r="Q83">
        <v>47</v>
      </c>
      <c r="R83">
        <f t="shared" si="8"/>
        <v>0.67911392405063298</v>
      </c>
      <c r="S83">
        <f t="shared" si="10"/>
        <v>1.0865822784810129</v>
      </c>
      <c r="T83">
        <f t="shared" si="11"/>
        <v>-8.6582278481012853E-2</v>
      </c>
      <c r="U83">
        <f t="shared" si="7"/>
        <v>46.33481012658229</v>
      </c>
      <c r="W83">
        <v>839.8</v>
      </c>
      <c r="X83">
        <f t="shared" si="6"/>
        <v>41406.100000000006</v>
      </c>
      <c r="Y83">
        <v>10.280998817133149</v>
      </c>
    </row>
    <row r="84" spans="1:25" x14ac:dyDescent="0.25">
      <c r="A84">
        <v>5320</v>
      </c>
      <c r="B84">
        <v>23210</v>
      </c>
      <c r="C84" s="1">
        <v>43029</v>
      </c>
      <c r="F84" s="30"/>
      <c r="G84">
        <v>13.3</v>
      </c>
      <c r="H84">
        <v>12.1</v>
      </c>
      <c r="I84">
        <v>15.6</v>
      </c>
      <c r="J84">
        <f t="shared" si="4"/>
        <v>700.5</v>
      </c>
      <c r="K84">
        <f t="shared" si="5"/>
        <v>700.5</v>
      </c>
      <c r="M84">
        <v>1.6</v>
      </c>
      <c r="N84">
        <v>1.9</v>
      </c>
      <c r="O84">
        <f t="shared" si="9"/>
        <v>-0.29999999999999982</v>
      </c>
      <c r="Q84">
        <v>48</v>
      </c>
      <c r="R84">
        <f t="shared" si="8"/>
        <v>0.68734177215189873</v>
      </c>
      <c r="S84">
        <f t="shared" si="10"/>
        <v>1.3059493670886075</v>
      </c>
      <c r="T84">
        <f t="shared" si="11"/>
        <v>0.29405063291139255</v>
      </c>
      <c r="U84">
        <f t="shared" si="7"/>
        <v>46.628860759493683</v>
      </c>
      <c r="W84">
        <v>713.1</v>
      </c>
      <c r="X84">
        <f t="shared" si="6"/>
        <v>42119.200000000004</v>
      </c>
      <c r="Y84">
        <v>10.225606962455876</v>
      </c>
    </row>
    <row r="85" spans="1:25" x14ac:dyDescent="0.25">
      <c r="A85">
        <v>5320</v>
      </c>
      <c r="B85">
        <v>23210</v>
      </c>
      <c r="C85" s="1">
        <v>43030</v>
      </c>
      <c r="F85" s="30"/>
      <c r="G85">
        <v>10.1</v>
      </c>
      <c r="H85">
        <v>7.8</v>
      </c>
      <c r="I85">
        <v>12.3</v>
      </c>
      <c r="J85">
        <f t="shared" si="4"/>
        <v>710.6</v>
      </c>
      <c r="K85">
        <f t="shared" si="5"/>
        <v>710.6</v>
      </c>
      <c r="M85">
        <v>0.7</v>
      </c>
      <c r="N85">
        <v>1.4</v>
      </c>
      <c r="O85">
        <f t="shared" si="9"/>
        <v>-0.7</v>
      </c>
      <c r="Q85">
        <v>49</v>
      </c>
      <c r="R85">
        <f t="shared" si="8"/>
        <v>0.69556962025316449</v>
      </c>
      <c r="S85">
        <f t="shared" si="10"/>
        <v>0.97379746835443026</v>
      </c>
      <c r="T85">
        <f t="shared" si="11"/>
        <v>-0.27379746835443031</v>
      </c>
      <c r="U85">
        <f t="shared" si="7"/>
        <v>46.355063291139253</v>
      </c>
      <c r="W85">
        <v>718.9</v>
      </c>
      <c r="X85">
        <f t="shared" si="6"/>
        <v>42838.100000000006</v>
      </c>
      <c r="Y85">
        <v>10.170531327700928</v>
      </c>
    </row>
    <row r="86" spans="1:25" x14ac:dyDescent="0.25">
      <c r="A86">
        <v>5320</v>
      </c>
      <c r="B86">
        <v>23210</v>
      </c>
      <c r="C86" s="1">
        <v>43031</v>
      </c>
      <c r="F86" s="30"/>
      <c r="G86">
        <v>12.1</v>
      </c>
      <c r="H86">
        <v>9.5</v>
      </c>
      <c r="I86">
        <v>14</v>
      </c>
      <c r="J86">
        <f t="shared" si="4"/>
        <v>722.7</v>
      </c>
      <c r="K86">
        <f t="shared" si="5"/>
        <v>722.7</v>
      </c>
      <c r="M86">
        <v>2</v>
      </c>
      <c r="N86">
        <v>0.5</v>
      </c>
      <c r="O86">
        <f t="shared" si="9"/>
        <v>1.5</v>
      </c>
      <c r="Q86">
        <v>50</v>
      </c>
      <c r="R86">
        <f t="shared" si="8"/>
        <v>0.70379746835443036</v>
      </c>
      <c r="S86">
        <f t="shared" si="10"/>
        <v>0.35189873417721518</v>
      </c>
      <c r="T86">
        <f t="shared" si="11"/>
        <v>1.6481012658227847</v>
      </c>
      <c r="U86">
        <f t="shared" si="7"/>
        <v>48.003164556962034</v>
      </c>
      <c r="W86">
        <v>289.39999999999998</v>
      </c>
      <c r="X86">
        <f t="shared" si="6"/>
        <v>43127.500000000007</v>
      </c>
      <c r="Y86">
        <v>10.115786764757431</v>
      </c>
    </row>
    <row r="87" spans="1:25" x14ac:dyDescent="0.25">
      <c r="A87">
        <v>5320</v>
      </c>
      <c r="B87">
        <v>23210</v>
      </c>
      <c r="C87" s="1">
        <v>43032</v>
      </c>
      <c r="F87" s="30"/>
      <c r="G87">
        <v>15.2</v>
      </c>
      <c r="H87">
        <v>13</v>
      </c>
      <c r="I87">
        <v>17.5</v>
      </c>
      <c r="J87">
        <f t="shared" si="4"/>
        <v>737.90000000000009</v>
      </c>
      <c r="K87">
        <f t="shared" si="5"/>
        <v>737.90000000000009</v>
      </c>
      <c r="M87">
        <v>0.1</v>
      </c>
      <c r="N87">
        <v>0.3</v>
      </c>
      <c r="O87">
        <f t="shared" si="9"/>
        <v>-0.19999999999999998</v>
      </c>
      <c r="Q87">
        <v>51</v>
      </c>
      <c r="R87">
        <f t="shared" si="8"/>
        <v>0.71202531645569622</v>
      </c>
      <c r="S87">
        <f t="shared" si="10"/>
        <v>0.21360759493670886</v>
      </c>
      <c r="T87">
        <f t="shared" si="11"/>
        <v>-0.11360759493670886</v>
      </c>
      <c r="U87">
        <f t="shared" si="7"/>
        <v>47.889556962025324</v>
      </c>
      <c r="W87">
        <v>206.3</v>
      </c>
      <c r="X87">
        <f t="shared" si="6"/>
        <v>43333.80000000001</v>
      </c>
      <c r="Y87">
        <v>10.06138852088746</v>
      </c>
    </row>
    <row r="88" spans="1:25" x14ac:dyDescent="0.25">
      <c r="A88">
        <v>5320</v>
      </c>
      <c r="B88">
        <v>23210</v>
      </c>
      <c r="C88" s="1">
        <v>43033</v>
      </c>
      <c r="F88" s="30"/>
      <c r="G88">
        <v>14.9</v>
      </c>
      <c r="H88">
        <v>13.8</v>
      </c>
      <c r="I88">
        <v>17.8</v>
      </c>
      <c r="J88">
        <f t="shared" si="4"/>
        <v>752.80000000000007</v>
      </c>
      <c r="K88">
        <f t="shared" si="5"/>
        <v>752.80000000000007</v>
      </c>
      <c r="M88">
        <v>0.2</v>
      </c>
      <c r="N88">
        <v>0.8</v>
      </c>
      <c r="O88">
        <f t="shared" si="9"/>
        <v>-0.60000000000000009</v>
      </c>
      <c r="Q88">
        <v>52</v>
      </c>
      <c r="R88">
        <f t="shared" si="8"/>
        <v>0.72025316455696209</v>
      </c>
      <c r="S88">
        <f t="shared" si="10"/>
        <v>0.57620253164556967</v>
      </c>
      <c r="T88">
        <f t="shared" si="11"/>
        <v>-0.37620253164556966</v>
      </c>
      <c r="U88">
        <f t="shared" si="7"/>
        <v>47.513354430379756</v>
      </c>
      <c r="W88">
        <v>536.29999999999995</v>
      </c>
      <c r="X88">
        <f t="shared" si="6"/>
        <v>43870.100000000013</v>
      </c>
      <c r="Y88">
        <v>10.007352244003352</v>
      </c>
    </row>
    <row r="89" spans="1:25" x14ac:dyDescent="0.25">
      <c r="A89">
        <v>5320</v>
      </c>
      <c r="B89">
        <v>23210</v>
      </c>
      <c r="C89" s="1">
        <v>43034</v>
      </c>
      <c r="F89" s="30"/>
      <c r="G89">
        <v>14.4</v>
      </c>
      <c r="H89">
        <v>9</v>
      </c>
      <c r="I89">
        <v>20.3</v>
      </c>
      <c r="J89">
        <f t="shared" si="4"/>
        <v>767.2</v>
      </c>
      <c r="K89">
        <f t="shared" si="5"/>
        <v>767.2</v>
      </c>
      <c r="M89">
        <v>0.2</v>
      </c>
      <c r="N89">
        <v>1.5</v>
      </c>
      <c r="O89">
        <f t="shared" si="9"/>
        <v>-1.3</v>
      </c>
      <c r="Q89">
        <v>53</v>
      </c>
      <c r="R89">
        <f t="shared" si="8"/>
        <v>0.72848101265822784</v>
      </c>
      <c r="S89">
        <f t="shared" si="10"/>
        <v>1.0927215189873418</v>
      </c>
      <c r="T89">
        <f t="shared" si="11"/>
        <v>-0.89272151898734187</v>
      </c>
      <c r="U89">
        <f t="shared" si="7"/>
        <v>46.620632911392413</v>
      </c>
      <c r="W89">
        <v>800.7</v>
      </c>
      <c r="X89">
        <f t="shared" si="6"/>
        <v>44670.80000000001</v>
      </c>
      <c r="Y89">
        <v>9.9536939870224952</v>
      </c>
    </row>
    <row r="90" spans="1:25" x14ac:dyDescent="0.25">
      <c r="A90">
        <v>5320</v>
      </c>
      <c r="B90">
        <v>23210</v>
      </c>
      <c r="C90" s="1">
        <v>43035</v>
      </c>
      <c r="F90" s="30"/>
      <c r="G90">
        <v>11.3</v>
      </c>
      <c r="H90">
        <v>10.8</v>
      </c>
      <c r="I90">
        <v>14.7</v>
      </c>
      <c r="J90">
        <f t="shared" si="4"/>
        <v>778.5</v>
      </c>
      <c r="K90">
        <f t="shared" si="5"/>
        <v>778.5</v>
      </c>
      <c r="M90">
        <v>0.2</v>
      </c>
      <c r="N90">
        <v>0.7</v>
      </c>
      <c r="O90">
        <f t="shared" si="9"/>
        <v>-0.49999999999999994</v>
      </c>
      <c r="Q90">
        <v>54</v>
      </c>
      <c r="R90">
        <f t="shared" si="8"/>
        <v>0.7367088607594936</v>
      </c>
      <c r="S90">
        <f t="shared" si="10"/>
        <v>0.5156962025316455</v>
      </c>
      <c r="T90">
        <f t="shared" si="11"/>
        <v>-0.31569620253164549</v>
      </c>
      <c r="U90">
        <f t="shared" si="7"/>
        <v>46.304936708860765</v>
      </c>
      <c r="W90">
        <v>337.1</v>
      </c>
      <c r="X90">
        <f t="shared" si="6"/>
        <v>45007.900000000009</v>
      </c>
      <c r="Y90">
        <v>9.9004302112383478</v>
      </c>
    </row>
    <row r="91" spans="1:25" x14ac:dyDescent="0.25">
      <c r="A91">
        <v>5320</v>
      </c>
      <c r="B91">
        <v>23210</v>
      </c>
      <c r="C91" s="1">
        <v>43036</v>
      </c>
      <c r="F91" s="30"/>
      <c r="G91">
        <v>7.8</v>
      </c>
      <c r="H91">
        <v>2.2999999999999998</v>
      </c>
      <c r="I91">
        <v>13</v>
      </c>
      <c r="J91">
        <f t="shared" si="4"/>
        <v>786.3</v>
      </c>
      <c r="K91">
        <f t="shared" si="5"/>
        <v>786.3</v>
      </c>
      <c r="M91">
        <v>0.2</v>
      </c>
      <c r="N91">
        <v>1.3</v>
      </c>
      <c r="O91">
        <f t="shared" si="9"/>
        <v>-1.1000000000000001</v>
      </c>
      <c r="Q91">
        <v>55</v>
      </c>
      <c r="R91">
        <f t="shared" si="8"/>
        <v>0.74493670886075947</v>
      </c>
      <c r="S91">
        <f t="shared" si="10"/>
        <v>0.96841772151898731</v>
      </c>
      <c r="T91">
        <f t="shared" si="11"/>
        <v>-0.76841772151898735</v>
      </c>
      <c r="U91">
        <f t="shared" si="7"/>
        <v>45.536518987341779</v>
      </c>
      <c r="W91">
        <v>809.8</v>
      </c>
      <c r="X91">
        <f t="shared" si="6"/>
        <v>45817.700000000012</v>
      </c>
      <c r="Y91">
        <v>9.847577788644541</v>
      </c>
    </row>
    <row r="92" spans="1:25" x14ac:dyDescent="0.25">
      <c r="A92">
        <v>5320</v>
      </c>
      <c r="B92">
        <v>23210</v>
      </c>
      <c r="C92" s="1">
        <v>43037</v>
      </c>
      <c r="F92" s="30"/>
      <c r="G92">
        <v>11.2</v>
      </c>
      <c r="H92">
        <v>8.1</v>
      </c>
      <c r="I92">
        <v>13.8</v>
      </c>
      <c r="J92">
        <f t="shared" si="4"/>
        <v>797.5</v>
      </c>
      <c r="K92">
        <f t="shared" si="5"/>
        <v>797.5</v>
      </c>
      <c r="M92">
        <v>2.7</v>
      </c>
      <c r="N92">
        <v>0.4</v>
      </c>
      <c r="O92">
        <f t="shared" si="9"/>
        <v>2.3000000000000003</v>
      </c>
      <c r="Q92">
        <v>56</v>
      </c>
      <c r="R92">
        <f t="shared" si="8"/>
        <v>0.75316455696202533</v>
      </c>
      <c r="S92">
        <f t="shared" si="10"/>
        <v>0.30126582278481018</v>
      </c>
      <c r="T92">
        <f t="shared" si="11"/>
        <v>2.3987341772151902</v>
      </c>
      <c r="U92">
        <f t="shared" si="7"/>
        <v>47.935253164556968</v>
      </c>
      <c r="W92">
        <v>144.80000000000001</v>
      </c>
      <c r="X92">
        <f t="shared" si="6"/>
        <v>45962.500000000015</v>
      </c>
      <c r="Y92">
        <v>9.7951540031473492</v>
      </c>
    </row>
    <row r="93" spans="1:25" x14ac:dyDescent="0.25">
      <c r="A93">
        <v>5320</v>
      </c>
      <c r="B93">
        <v>23210</v>
      </c>
      <c r="C93" s="1">
        <v>43038</v>
      </c>
      <c r="F93" s="30"/>
      <c r="G93">
        <v>7.2</v>
      </c>
      <c r="H93">
        <v>4.0999999999999996</v>
      </c>
      <c r="I93">
        <v>11.4</v>
      </c>
      <c r="J93">
        <f t="shared" si="4"/>
        <v>804.7</v>
      </c>
      <c r="K93">
        <f t="shared" si="5"/>
        <v>804.7</v>
      </c>
      <c r="M93">
        <v>0</v>
      </c>
      <c r="N93">
        <v>0.8</v>
      </c>
      <c r="O93">
        <f t="shared" si="9"/>
        <v>-0.8</v>
      </c>
      <c r="Q93">
        <v>57</v>
      </c>
      <c r="R93">
        <f t="shared" si="8"/>
        <v>0.7613924050632912</v>
      </c>
      <c r="S93">
        <f t="shared" si="10"/>
        <v>0.60911392405063303</v>
      </c>
      <c r="T93">
        <f t="shared" si="11"/>
        <v>-0.60911392405063303</v>
      </c>
      <c r="U93">
        <f t="shared" si="7"/>
        <v>47.326139240506336</v>
      </c>
      <c r="W93">
        <v>486.6</v>
      </c>
      <c r="X93">
        <f t="shared" si="6"/>
        <v>46449.100000000013</v>
      </c>
      <c r="Y93">
        <v>9.7431765506003458</v>
      </c>
    </row>
    <row r="94" spans="1:25" x14ac:dyDescent="0.25">
      <c r="A94">
        <v>5320</v>
      </c>
      <c r="B94">
        <v>23210</v>
      </c>
      <c r="C94" s="1">
        <v>43039</v>
      </c>
      <c r="F94" s="30"/>
      <c r="G94">
        <v>6.4</v>
      </c>
      <c r="H94">
        <v>2.5</v>
      </c>
      <c r="I94">
        <v>11.3</v>
      </c>
      <c r="J94">
        <f t="shared" si="4"/>
        <v>811.1</v>
      </c>
      <c r="K94">
        <f t="shared" si="5"/>
        <v>811.1</v>
      </c>
      <c r="M94">
        <v>0</v>
      </c>
      <c r="N94">
        <v>1.4</v>
      </c>
      <c r="O94">
        <f t="shared" si="9"/>
        <v>-1.4</v>
      </c>
      <c r="Q94">
        <v>58</v>
      </c>
      <c r="R94">
        <f t="shared" si="8"/>
        <v>0.76962025316455696</v>
      </c>
      <c r="S94">
        <f t="shared" si="10"/>
        <v>1.0774683544303796</v>
      </c>
      <c r="T94">
        <f t="shared" si="11"/>
        <v>-1.0774683544303796</v>
      </c>
      <c r="U94">
        <f t="shared" si="7"/>
        <v>46.248670886075956</v>
      </c>
      <c r="W94">
        <v>1101.5999999999999</v>
      </c>
      <c r="X94">
        <f t="shared" si="6"/>
        <v>47550.700000000012</v>
      </c>
      <c r="Y94">
        <v>9.6916635375939926</v>
      </c>
    </row>
    <row r="95" spans="1:25" x14ac:dyDescent="0.25">
      <c r="A95">
        <v>5320</v>
      </c>
      <c r="B95">
        <v>23210</v>
      </c>
      <c r="C95" s="1">
        <v>43040</v>
      </c>
      <c r="F95" s="30"/>
      <c r="G95">
        <v>8.3000000000000007</v>
      </c>
      <c r="H95">
        <v>3.5</v>
      </c>
      <c r="I95">
        <v>13.3</v>
      </c>
      <c r="J95">
        <f t="shared" si="4"/>
        <v>819.4</v>
      </c>
      <c r="K95">
        <f t="shared" si="5"/>
        <v>819.4</v>
      </c>
      <c r="M95">
        <v>0</v>
      </c>
      <c r="N95">
        <v>1.4</v>
      </c>
      <c r="O95">
        <f t="shared" si="9"/>
        <v>-1.4</v>
      </c>
      <c r="Q95">
        <v>59</v>
      </c>
      <c r="R95">
        <f t="shared" si="8"/>
        <v>0.77784810126582271</v>
      </c>
      <c r="S95">
        <f t="shared" si="10"/>
        <v>1.0889873417721516</v>
      </c>
      <c r="T95">
        <f t="shared" si="11"/>
        <v>-1.0889873417721516</v>
      </c>
      <c r="U95">
        <f t="shared" si="7"/>
        <v>45.159683544303803</v>
      </c>
      <c r="W95">
        <v>993.6</v>
      </c>
      <c r="X95">
        <f t="shared" si="6"/>
        <v>48544.30000000001</v>
      </c>
      <c r="Y95">
        <v>9.6406334789320773</v>
      </c>
    </row>
    <row r="96" spans="1:25" x14ac:dyDescent="0.25">
      <c r="A96">
        <v>5320</v>
      </c>
      <c r="B96">
        <v>23210</v>
      </c>
      <c r="C96" s="1">
        <v>43041</v>
      </c>
      <c r="F96" s="30"/>
      <c r="G96">
        <v>11.6</v>
      </c>
      <c r="H96">
        <v>9.3000000000000007</v>
      </c>
      <c r="I96">
        <v>13.7</v>
      </c>
      <c r="J96">
        <f t="shared" si="4"/>
        <v>831</v>
      </c>
      <c r="K96">
        <f t="shared" si="5"/>
        <v>831</v>
      </c>
      <c r="M96">
        <v>0.2</v>
      </c>
      <c r="N96">
        <v>0.3</v>
      </c>
      <c r="O96">
        <f t="shared" si="9"/>
        <v>-9.9999999999999978E-2</v>
      </c>
      <c r="Q96">
        <v>60</v>
      </c>
      <c r="R96">
        <f t="shared" si="8"/>
        <v>0.78607594936708858</v>
      </c>
      <c r="S96">
        <f t="shared" si="10"/>
        <v>0.23582278481012656</v>
      </c>
      <c r="T96">
        <f t="shared" si="11"/>
        <v>-3.5822784810126546E-2</v>
      </c>
      <c r="U96">
        <f t="shared" si="7"/>
        <v>45.123860759493674</v>
      </c>
      <c r="W96">
        <v>402</v>
      </c>
      <c r="X96">
        <f t="shared" si="6"/>
        <v>48946.30000000001</v>
      </c>
      <c r="Y96">
        <v>9.5901052937264595</v>
      </c>
    </row>
    <row r="97" spans="1:25" x14ac:dyDescent="0.25">
      <c r="A97">
        <v>5320</v>
      </c>
      <c r="B97">
        <v>23210</v>
      </c>
      <c r="C97" s="1">
        <v>43042</v>
      </c>
      <c r="F97" s="30"/>
      <c r="G97">
        <v>10.9</v>
      </c>
      <c r="H97">
        <v>5.5</v>
      </c>
      <c r="I97">
        <v>15.7</v>
      </c>
      <c r="J97">
        <f t="shared" si="4"/>
        <v>841.9</v>
      </c>
      <c r="K97">
        <f t="shared" si="5"/>
        <v>841.9</v>
      </c>
      <c r="M97">
        <v>0</v>
      </c>
      <c r="N97">
        <v>1.2</v>
      </c>
      <c r="O97">
        <f t="shared" si="9"/>
        <v>-1.2</v>
      </c>
      <c r="Q97">
        <v>61</v>
      </c>
      <c r="R97">
        <f t="shared" si="8"/>
        <v>0.79430379746835444</v>
      </c>
      <c r="S97">
        <f t="shared" si="10"/>
        <v>0.95316455696202529</v>
      </c>
      <c r="T97">
        <f t="shared" si="11"/>
        <v>-0.95316455696202529</v>
      </c>
      <c r="U97">
        <f t="shared" si="7"/>
        <v>44.170696202531651</v>
      </c>
      <c r="W97">
        <v>939.7</v>
      </c>
      <c r="X97">
        <f t="shared" si="6"/>
        <v>49886.000000000007</v>
      </c>
      <c r="Y97">
        <v>9.5400983000414996</v>
      </c>
    </row>
    <row r="98" spans="1:25" x14ac:dyDescent="0.25">
      <c r="A98">
        <v>5320</v>
      </c>
      <c r="B98">
        <v>23210</v>
      </c>
      <c r="C98" s="1">
        <v>43043</v>
      </c>
      <c r="F98" s="30"/>
      <c r="G98">
        <v>11.9</v>
      </c>
      <c r="H98">
        <v>10.1</v>
      </c>
      <c r="I98">
        <v>15.9</v>
      </c>
      <c r="J98">
        <f t="shared" si="4"/>
        <v>853.8</v>
      </c>
      <c r="K98">
        <f t="shared" si="5"/>
        <v>853.8</v>
      </c>
      <c r="M98">
        <v>7.2</v>
      </c>
      <c r="N98">
        <v>1.1000000000000001</v>
      </c>
      <c r="O98">
        <f t="shared" si="9"/>
        <v>6.1</v>
      </c>
      <c r="Q98">
        <v>62</v>
      </c>
      <c r="R98">
        <f t="shared" si="8"/>
        <v>0.80253164556962031</v>
      </c>
      <c r="S98">
        <f t="shared" si="10"/>
        <v>0.88278481012658239</v>
      </c>
      <c r="T98">
        <f t="shared" si="11"/>
        <v>6.3172151898734175</v>
      </c>
      <c r="U98">
        <f t="shared" si="7"/>
        <v>50.487911392405067</v>
      </c>
      <c r="W98">
        <v>371.1</v>
      </c>
      <c r="X98">
        <f t="shared" si="6"/>
        <v>50257.100000000006</v>
      </c>
      <c r="Y98">
        <v>9.4906322080200471</v>
      </c>
    </row>
    <row r="99" spans="1:25" x14ac:dyDescent="0.25">
      <c r="A99">
        <v>5320</v>
      </c>
      <c r="B99">
        <v>23210</v>
      </c>
      <c r="C99" s="1">
        <v>43044</v>
      </c>
      <c r="F99" s="30"/>
      <c r="G99">
        <v>6.7</v>
      </c>
      <c r="H99">
        <v>5.4</v>
      </c>
      <c r="I99">
        <v>10</v>
      </c>
      <c r="J99">
        <f t="shared" si="4"/>
        <v>860.5</v>
      </c>
      <c r="K99">
        <f t="shared" si="5"/>
        <v>860.5</v>
      </c>
      <c r="M99">
        <v>1.3</v>
      </c>
      <c r="N99">
        <v>0.7</v>
      </c>
      <c r="O99">
        <f t="shared" si="9"/>
        <v>0.60000000000000009</v>
      </c>
      <c r="Q99">
        <v>63</v>
      </c>
      <c r="R99">
        <f t="shared" si="8"/>
        <v>0.81075949367088607</v>
      </c>
      <c r="S99">
        <f t="shared" si="10"/>
        <v>0.56753164556962021</v>
      </c>
      <c r="T99">
        <f t="shared" si="11"/>
        <v>0.73246835443037983</v>
      </c>
      <c r="U99">
        <f t="shared" si="7"/>
        <v>51.220379746835448</v>
      </c>
      <c r="W99">
        <v>480.8</v>
      </c>
      <c r="X99">
        <f t="shared" si="6"/>
        <v>50737.900000000009</v>
      </c>
      <c r="Y99">
        <v>9.4417271114236438</v>
      </c>
    </row>
    <row r="100" spans="1:25" x14ac:dyDescent="0.25">
      <c r="A100">
        <v>5320</v>
      </c>
      <c r="B100">
        <v>23210</v>
      </c>
      <c r="C100" s="1">
        <v>43045</v>
      </c>
      <c r="F100" s="30"/>
      <c r="G100">
        <v>4.2</v>
      </c>
      <c r="H100">
        <v>2.4</v>
      </c>
      <c r="I100">
        <v>9.8000000000000007</v>
      </c>
      <c r="J100">
        <f t="shared" si="4"/>
        <v>864.7</v>
      </c>
      <c r="K100">
        <f t="shared" si="5"/>
        <v>864.7</v>
      </c>
      <c r="M100">
        <v>0.3</v>
      </c>
      <c r="N100">
        <v>1</v>
      </c>
      <c r="O100">
        <f t="shared" si="9"/>
        <v>-0.7</v>
      </c>
      <c r="Q100">
        <v>64</v>
      </c>
      <c r="R100">
        <f t="shared" si="8"/>
        <v>0.81898734177215182</v>
      </c>
      <c r="S100">
        <f t="shared" si="10"/>
        <v>0.81898734177215182</v>
      </c>
      <c r="T100">
        <f t="shared" si="11"/>
        <v>-0.51898734177215178</v>
      </c>
      <c r="U100">
        <f t="shared" si="7"/>
        <v>50.701392405063295</v>
      </c>
      <c r="W100">
        <v>815.4</v>
      </c>
      <c r="X100">
        <f t="shared" si="6"/>
        <v>51553.30000000001</v>
      </c>
      <c r="Y100">
        <v>9.393403477521133</v>
      </c>
    </row>
    <row r="101" spans="1:25" x14ac:dyDescent="0.25">
      <c r="A101">
        <v>5320</v>
      </c>
      <c r="B101">
        <v>23210</v>
      </c>
      <c r="C101" s="1">
        <v>43046</v>
      </c>
      <c r="F101" s="30"/>
      <c r="G101">
        <v>3</v>
      </c>
      <c r="H101">
        <v>-2.2000000000000002</v>
      </c>
      <c r="I101">
        <v>9.1</v>
      </c>
      <c r="J101">
        <f t="shared" si="4"/>
        <v>867.7</v>
      </c>
      <c r="K101">
        <f t="shared" si="5"/>
        <v>867.7</v>
      </c>
      <c r="M101">
        <v>1.1000000000000001</v>
      </c>
      <c r="N101">
        <v>1.1000000000000001</v>
      </c>
      <c r="O101">
        <f t="shared" si="9"/>
        <v>0</v>
      </c>
      <c r="Q101">
        <v>65</v>
      </c>
      <c r="R101">
        <f t="shared" si="8"/>
        <v>0.82721518987341769</v>
      </c>
      <c r="S101">
        <f t="shared" si="10"/>
        <v>0.9099367088607595</v>
      </c>
      <c r="T101">
        <f t="shared" si="11"/>
        <v>0.19006329113924059</v>
      </c>
      <c r="U101">
        <f t="shared" si="7"/>
        <v>50.891455696202534</v>
      </c>
      <c r="W101">
        <v>934.3</v>
      </c>
      <c r="X101">
        <f t="shared" si="6"/>
        <v>52487.600000000013</v>
      </c>
      <c r="Y101">
        <v>9.3456821352619333</v>
      </c>
    </row>
    <row r="102" spans="1:25" x14ac:dyDescent="0.25">
      <c r="A102">
        <v>5320</v>
      </c>
      <c r="B102">
        <v>23210</v>
      </c>
      <c r="C102" s="1">
        <v>43047</v>
      </c>
      <c r="F102" s="30"/>
      <c r="G102">
        <v>6</v>
      </c>
      <c r="H102">
        <v>3.4</v>
      </c>
      <c r="I102">
        <v>7.1</v>
      </c>
      <c r="J102">
        <f t="shared" si="4"/>
        <v>873.7</v>
      </c>
      <c r="K102">
        <f t="shared" si="5"/>
        <v>873.7</v>
      </c>
      <c r="M102">
        <v>1.7</v>
      </c>
      <c r="N102">
        <v>0.1</v>
      </c>
      <c r="O102">
        <f t="shared" si="9"/>
        <v>1.5999999999999999</v>
      </c>
      <c r="Q102">
        <v>66</v>
      </c>
      <c r="R102">
        <f t="shared" si="8"/>
        <v>0.83544303797468356</v>
      </c>
      <c r="S102">
        <f t="shared" si="10"/>
        <v>8.3544303797468356E-2</v>
      </c>
      <c r="T102">
        <f t="shared" si="11"/>
        <v>1.6164556962025316</v>
      </c>
      <c r="U102">
        <f t="shared" si="7"/>
        <v>52.507911392405063</v>
      </c>
      <c r="W102">
        <v>132.69999999999999</v>
      </c>
      <c r="X102">
        <f t="shared" si="6"/>
        <v>52620.30000000001</v>
      </c>
      <c r="Y102">
        <v>9.2985842616728878</v>
      </c>
    </row>
    <row r="103" spans="1:25" x14ac:dyDescent="0.25">
      <c r="A103">
        <v>5320</v>
      </c>
      <c r="B103">
        <v>23210</v>
      </c>
      <c r="C103" s="1">
        <v>43048</v>
      </c>
      <c r="F103" s="30"/>
      <c r="G103">
        <v>7.6</v>
      </c>
      <c r="H103">
        <v>6.2</v>
      </c>
      <c r="I103">
        <v>9.1999999999999993</v>
      </c>
      <c r="J103">
        <f t="shared" ref="J103:J166" si="12">J102+G103</f>
        <v>881.30000000000007</v>
      </c>
      <c r="K103">
        <f t="shared" ref="K103:K166" si="13">K102+G103</f>
        <v>881.30000000000007</v>
      </c>
      <c r="M103">
        <v>0.9</v>
      </c>
      <c r="N103">
        <v>0.2</v>
      </c>
      <c r="O103">
        <f t="shared" si="9"/>
        <v>0.7</v>
      </c>
      <c r="Q103">
        <v>67</v>
      </c>
      <c r="R103">
        <f t="shared" si="8"/>
        <v>0.84367088607594942</v>
      </c>
      <c r="S103">
        <f t="shared" si="10"/>
        <v>0.16873417721518991</v>
      </c>
      <c r="T103">
        <f t="shared" si="11"/>
        <v>0.73126582278481012</v>
      </c>
      <c r="U103">
        <f t="shared" si="7"/>
        <v>53.239177215189876</v>
      </c>
      <c r="W103">
        <v>142.9</v>
      </c>
      <c r="X103">
        <f t="shared" ref="X103:X166" si="14">X102+W103</f>
        <v>52763.200000000012</v>
      </c>
      <c r="Y103">
        <v>9.2521313664211018</v>
      </c>
    </row>
    <row r="104" spans="1:25" x14ac:dyDescent="0.25">
      <c r="A104">
        <v>5320</v>
      </c>
      <c r="B104">
        <v>23210</v>
      </c>
      <c r="C104" s="1">
        <v>43049</v>
      </c>
      <c r="F104" s="30"/>
      <c r="G104">
        <v>9.6</v>
      </c>
      <c r="H104">
        <v>7.6</v>
      </c>
      <c r="I104">
        <v>10.9</v>
      </c>
      <c r="J104">
        <f t="shared" si="12"/>
        <v>890.90000000000009</v>
      </c>
      <c r="K104">
        <f t="shared" si="13"/>
        <v>890.90000000000009</v>
      </c>
      <c r="M104">
        <v>1.5</v>
      </c>
      <c r="N104">
        <v>0.2</v>
      </c>
      <c r="O104">
        <f t="shared" si="9"/>
        <v>1.3</v>
      </c>
      <c r="Q104">
        <v>68</v>
      </c>
      <c r="R104">
        <f t="shared" si="8"/>
        <v>0.85189873417721518</v>
      </c>
      <c r="S104">
        <f t="shared" si="10"/>
        <v>0.17037974683544305</v>
      </c>
      <c r="T104">
        <f t="shared" si="11"/>
        <v>1.3296202531645569</v>
      </c>
      <c r="U104">
        <f t="shared" si="7"/>
        <v>54.568797468354433</v>
      </c>
      <c r="W104">
        <v>255.1</v>
      </c>
      <c r="X104">
        <f t="shared" si="14"/>
        <v>53018.30000000001</v>
      </c>
      <c r="Y104">
        <v>9.2063452744892906</v>
      </c>
    </row>
    <row r="105" spans="1:25" x14ac:dyDescent="0.25">
      <c r="A105">
        <v>5320</v>
      </c>
      <c r="B105">
        <v>23210</v>
      </c>
      <c r="C105" s="1">
        <v>43050</v>
      </c>
      <c r="F105" s="30"/>
      <c r="G105">
        <v>11.3</v>
      </c>
      <c r="H105">
        <v>9</v>
      </c>
      <c r="I105">
        <v>12.8</v>
      </c>
      <c r="J105">
        <f t="shared" si="12"/>
        <v>902.2</v>
      </c>
      <c r="K105">
        <f t="shared" si="13"/>
        <v>902.2</v>
      </c>
      <c r="M105">
        <v>2.9</v>
      </c>
      <c r="N105">
        <v>0.3</v>
      </c>
      <c r="O105">
        <f t="shared" si="9"/>
        <v>2.6</v>
      </c>
      <c r="Q105">
        <v>69</v>
      </c>
      <c r="R105">
        <f t="shared" si="8"/>
        <v>0.86012658227848093</v>
      </c>
      <c r="S105">
        <f t="shared" si="10"/>
        <v>0.25803797468354428</v>
      </c>
      <c r="T105">
        <f t="shared" si="11"/>
        <v>2.6419620253164555</v>
      </c>
      <c r="U105">
        <f t="shared" si="7"/>
        <v>57.210759493670885</v>
      </c>
      <c r="W105">
        <v>145</v>
      </c>
      <c r="X105">
        <f t="shared" si="14"/>
        <v>53163.30000000001</v>
      </c>
      <c r="Y105">
        <v>9.1612481069152167</v>
      </c>
    </row>
    <row r="106" spans="1:25" x14ac:dyDescent="0.25">
      <c r="A106">
        <v>5320</v>
      </c>
      <c r="B106">
        <v>23210</v>
      </c>
      <c r="C106" s="1">
        <v>43051</v>
      </c>
      <c r="F106" s="30"/>
      <c r="G106">
        <v>8.1999999999999993</v>
      </c>
      <c r="H106">
        <v>5</v>
      </c>
      <c r="I106">
        <v>11.2</v>
      </c>
      <c r="J106">
        <f t="shared" si="12"/>
        <v>910.40000000000009</v>
      </c>
      <c r="K106">
        <f t="shared" si="13"/>
        <v>910.40000000000009</v>
      </c>
      <c r="M106">
        <v>2.2999999999999998</v>
      </c>
      <c r="N106">
        <v>0.3</v>
      </c>
      <c r="O106">
        <f t="shared" si="9"/>
        <v>1.9999999999999998</v>
      </c>
      <c r="Q106">
        <v>70</v>
      </c>
      <c r="R106">
        <f t="shared" si="8"/>
        <v>0.8683544303797468</v>
      </c>
      <c r="S106">
        <f t="shared" si="10"/>
        <v>0.26050632911392402</v>
      </c>
      <c r="T106">
        <f t="shared" si="11"/>
        <v>2.0394936708860758</v>
      </c>
      <c r="U106">
        <f t="shared" ref="U106:U169" si="15">MIN(U105+T106,138.9)</f>
        <v>59.250253164556959</v>
      </c>
      <c r="W106">
        <v>352</v>
      </c>
      <c r="X106">
        <f t="shared" si="14"/>
        <v>53515.30000000001</v>
      </c>
      <c r="Y106">
        <v>9.1168622595525157</v>
      </c>
    </row>
    <row r="107" spans="1:25" x14ac:dyDescent="0.25">
      <c r="A107">
        <v>5320</v>
      </c>
      <c r="B107">
        <v>23210</v>
      </c>
      <c r="C107" s="1">
        <v>43052</v>
      </c>
      <c r="F107" s="30"/>
      <c r="G107">
        <v>4</v>
      </c>
      <c r="H107">
        <v>2.2000000000000002</v>
      </c>
      <c r="I107">
        <v>9</v>
      </c>
      <c r="J107">
        <f t="shared" si="12"/>
        <v>914.40000000000009</v>
      </c>
      <c r="K107">
        <f t="shared" si="13"/>
        <v>914.40000000000009</v>
      </c>
      <c r="M107">
        <v>0</v>
      </c>
      <c r="N107">
        <v>1</v>
      </c>
      <c r="O107">
        <f t="shared" si="9"/>
        <v>-1</v>
      </c>
      <c r="Q107">
        <v>71</v>
      </c>
      <c r="R107">
        <f t="shared" si="8"/>
        <v>0.87658227848101267</v>
      </c>
      <c r="S107">
        <f t="shared" si="10"/>
        <v>0.87658227848101267</v>
      </c>
      <c r="T107">
        <f t="shared" si="11"/>
        <v>-0.87658227848101267</v>
      </c>
      <c r="U107">
        <f t="shared" si="15"/>
        <v>58.373670886075949</v>
      </c>
      <c r="W107">
        <v>342.3</v>
      </c>
      <c r="X107">
        <f t="shared" si="14"/>
        <v>53857.600000000013</v>
      </c>
      <c r="Y107">
        <v>9.0732103798170289</v>
      </c>
    </row>
    <row r="108" spans="1:25" x14ac:dyDescent="0.25">
      <c r="A108">
        <v>5320</v>
      </c>
      <c r="B108">
        <v>23210</v>
      </c>
      <c r="C108" s="1">
        <v>43053</v>
      </c>
      <c r="F108" s="30"/>
      <c r="G108">
        <v>3.6</v>
      </c>
      <c r="H108">
        <v>-0.1</v>
      </c>
      <c r="I108">
        <v>8.9</v>
      </c>
      <c r="J108">
        <f t="shared" si="12"/>
        <v>918.00000000000011</v>
      </c>
      <c r="K108">
        <f t="shared" si="13"/>
        <v>918.00000000000011</v>
      </c>
      <c r="M108">
        <v>0</v>
      </c>
      <c r="N108">
        <v>1</v>
      </c>
      <c r="O108">
        <f t="shared" si="9"/>
        <v>-1</v>
      </c>
      <c r="Q108">
        <v>72</v>
      </c>
      <c r="R108">
        <f t="shared" si="8"/>
        <v>0.88481012658227853</v>
      </c>
      <c r="S108">
        <f t="shared" si="10"/>
        <v>0.88481012658227853</v>
      </c>
      <c r="T108">
        <f t="shared" si="11"/>
        <v>-0.88481012658227853</v>
      </c>
      <c r="U108">
        <f t="shared" si="15"/>
        <v>57.488860759493669</v>
      </c>
      <c r="W108">
        <v>738.7</v>
      </c>
      <c r="X108">
        <f t="shared" si="14"/>
        <v>54596.30000000001</v>
      </c>
      <c r="Y108">
        <v>9.0303153413903008</v>
      </c>
    </row>
    <row r="109" spans="1:25" x14ac:dyDescent="0.25">
      <c r="A109">
        <v>5320</v>
      </c>
      <c r="B109">
        <v>23210</v>
      </c>
      <c r="C109" s="1">
        <v>43054</v>
      </c>
      <c r="D109" t="s">
        <v>36</v>
      </c>
      <c r="F109" s="30"/>
      <c r="G109">
        <v>5.0999999999999996</v>
      </c>
      <c r="H109">
        <v>1.6</v>
      </c>
      <c r="I109">
        <v>8.8000000000000007</v>
      </c>
      <c r="J109">
        <f t="shared" si="12"/>
        <v>923.10000000000014</v>
      </c>
      <c r="K109">
        <f t="shared" si="13"/>
        <v>923.10000000000014</v>
      </c>
      <c r="M109">
        <v>0.1</v>
      </c>
      <c r="N109">
        <v>0.7</v>
      </c>
      <c r="O109">
        <f t="shared" si="9"/>
        <v>-0.6</v>
      </c>
      <c r="Q109">
        <v>73</v>
      </c>
      <c r="R109">
        <f t="shared" ref="R109:R122" si="16">0.35+((Q109-7)/79)*(1-0.35)</f>
        <v>0.89303797468354429</v>
      </c>
      <c r="S109">
        <f t="shared" si="10"/>
        <v>0.62512658227848095</v>
      </c>
      <c r="T109">
        <f t="shared" si="11"/>
        <v>-0.52512658227848097</v>
      </c>
      <c r="U109">
        <f t="shared" si="15"/>
        <v>56.963734177215187</v>
      </c>
      <c r="W109">
        <v>429.7</v>
      </c>
      <c r="X109">
        <f t="shared" si="14"/>
        <v>55026.000000000007</v>
      </c>
      <c r="Y109">
        <v>8.98820021686047</v>
      </c>
    </row>
    <row r="110" spans="1:25" x14ac:dyDescent="0.25">
      <c r="A110">
        <v>5320</v>
      </c>
      <c r="B110">
        <v>23210</v>
      </c>
      <c r="C110" s="1">
        <v>43055</v>
      </c>
      <c r="E110">
        <v>1</v>
      </c>
      <c r="F110" s="30"/>
      <c r="G110">
        <v>4.3</v>
      </c>
      <c r="H110">
        <v>3.6</v>
      </c>
      <c r="I110">
        <v>4.9000000000000004</v>
      </c>
      <c r="J110">
        <f t="shared" si="12"/>
        <v>927.40000000000009</v>
      </c>
      <c r="K110">
        <f t="shared" si="13"/>
        <v>927.40000000000009</v>
      </c>
      <c r="M110">
        <v>0</v>
      </c>
      <c r="N110">
        <v>0.3</v>
      </c>
      <c r="O110">
        <f t="shared" si="9"/>
        <v>-0.3</v>
      </c>
      <c r="Q110">
        <v>74</v>
      </c>
      <c r="R110">
        <f t="shared" si="16"/>
        <v>0.90126582278481016</v>
      </c>
      <c r="S110">
        <f t="shared" si="10"/>
        <v>0.27037974683544302</v>
      </c>
      <c r="T110">
        <f t="shared" si="11"/>
        <v>-0.27037974683544302</v>
      </c>
      <c r="U110">
        <f t="shared" si="15"/>
        <v>56.693354430379742</v>
      </c>
      <c r="W110">
        <v>227.9</v>
      </c>
      <c r="X110">
        <f t="shared" si="14"/>
        <v>55253.900000000009</v>
      </c>
      <c r="Y110">
        <v>8.9468882482903354</v>
      </c>
    </row>
    <row r="111" spans="1:25" x14ac:dyDescent="0.25">
      <c r="A111">
        <v>5320</v>
      </c>
      <c r="B111">
        <v>23210</v>
      </c>
      <c r="C111" s="1">
        <v>43056</v>
      </c>
      <c r="F111" s="30"/>
      <c r="G111">
        <v>6.6</v>
      </c>
      <c r="H111">
        <v>3.4</v>
      </c>
      <c r="I111">
        <v>9.1999999999999993</v>
      </c>
      <c r="J111">
        <f t="shared" si="12"/>
        <v>934.00000000000011</v>
      </c>
      <c r="K111">
        <f t="shared" si="13"/>
        <v>934.00000000000011</v>
      </c>
      <c r="M111">
        <v>0.1</v>
      </c>
      <c r="N111">
        <v>0.1</v>
      </c>
      <c r="O111">
        <f t="shared" si="9"/>
        <v>0</v>
      </c>
      <c r="Q111">
        <v>75</v>
      </c>
      <c r="R111">
        <f t="shared" si="16"/>
        <v>0.90949367088607602</v>
      </c>
      <c r="S111">
        <f t="shared" si="10"/>
        <v>9.0949367088607611E-2</v>
      </c>
      <c r="T111">
        <f t="shared" si="11"/>
        <v>9.050632911392395E-3</v>
      </c>
      <c r="U111">
        <f t="shared" si="15"/>
        <v>56.702405063291131</v>
      </c>
      <c r="W111">
        <v>210.5</v>
      </c>
      <c r="X111">
        <f t="shared" si="14"/>
        <v>55464.400000000009</v>
      </c>
      <c r="Y111">
        <v>8.9064028157127701</v>
      </c>
    </row>
    <row r="112" spans="1:25" x14ac:dyDescent="0.25">
      <c r="A112">
        <v>5320</v>
      </c>
      <c r="B112">
        <v>23210</v>
      </c>
      <c r="C112" s="1">
        <v>43057</v>
      </c>
      <c r="F112" s="30"/>
      <c r="G112">
        <v>5.5</v>
      </c>
      <c r="H112">
        <v>3.6</v>
      </c>
      <c r="I112">
        <v>8</v>
      </c>
      <c r="J112">
        <f t="shared" si="12"/>
        <v>939.50000000000011</v>
      </c>
      <c r="K112">
        <f t="shared" si="13"/>
        <v>939.50000000000011</v>
      </c>
      <c r="M112">
        <v>0.1</v>
      </c>
      <c r="N112">
        <v>0.3</v>
      </c>
      <c r="O112">
        <f t="shared" si="9"/>
        <v>-0.19999999999999998</v>
      </c>
      <c r="Q112">
        <v>76</v>
      </c>
      <c r="R112">
        <f t="shared" si="16"/>
        <v>0.91772151898734178</v>
      </c>
      <c r="S112">
        <f t="shared" si="10"/>
        <v>0.2753164556962025</v>
      </c>
      <c r="T112">
        <f t="shared" si="11"/>
        <v>-0.17531645569620249</v>
      </c>
      <c r="U112">
        <f t="shared" si="15"/>
        <v>56.527088607594926</v>
      </c>
      <c r="W112">
        <v>186.6</v>
      </c>
      <c r="X112">
        <f t="shared" si="14"/>
        <v>55651.000000000007</v>
      </c>
      <c r="Y112">
        <v>8.8667674035651594</v>
      </c>
    </row>
    <row r="113" spans="1:26" x14ac:dyDescent="0.25">
      <c r="A113">
        <v>5320</v>
      </c>
      <c r="B113">
        <v>23210</v>
      </c>
      <c r="C113" s="1">
        <v>43058</v>
      </c>
      <c r="F113" s="30"/>
      <c r="G113">
        <v>5.9</v>
      </c>
      <c r="H113">
        <v>3.7</v>
      </c>
      <c r="I113">
        <v>7.8</v>
      </c>
      <c r="J113">
        <f t="shared" si="12"/>
        <v>945.40000000000009</v>
      </c>
      <c r="K113">
        <f t="shared" si="13"/>
        <v>945.40000000000009</v>
      </c>
      <c r="M113">
        <v>0.2</v>
      </c>
      <c r="N113">
        <v>0.2</v>
      </c>
      <c r="O113">
        <f t="shared" si="9"/>
        <v>0</v>
      </c>
      <c r="Q113">
        <v>77</v>
      </c>
      <c r="R113">
        <f t="shared" si="16"/>
        <v>0.92594936708860753</v>
      </c>
      <c r="S113">
        <f t="shared" si="10"/>
        <v>0.18518987341772153</v>
      </c>
      <c r="T113">
        <f t="shared" si="11"/>
        <v>1.4810126582278482E-2</v>
      </c>
      <c r="U113">
        <f t="shared" si="15"/>
        <v>56.541898734177202</v>
      </c>
      <c r="W113">
        <v>270.5</v>
      </c>
      <c r="X113">
        <f t="shared" si="14"/>
        <v>55921.500000000007</v>
      </c>
      <c r="Y113">
        <v>8.828005565086789</v>
      </c>
    </row>
    <row r="114" spans="1:26" x14ac:dyDescent="0.25">
      <c r="A114">
        <v>5320</v>
      </c>
      <c r="B114">
        <v>23210</v>
      </c>
      <c r="C114" s="1">
        <v>43059</v>
      </c>
      <c r="F114" s="30"/>
      <c r="G114">
        <v>7.5</v>
      </c>
      <c r="H114">
        <v>4.5</v>
      </c>
      <c r="I114">
        <v>9.1999999999999993</v>
      </c>
      <c r="J114">
        <f t="shared" si="12"/>
        <v>952.90000000000009</v>
      </c>
      <c r="K114">
        <f t="shared" si="13"/>
        <v>952.90000000000009</v>
      </c>
      <c r="M114">
        <v>0.1</v>
      </c>
      <c r="N114">
        <v>0.1</v>
      </c>
      <c r="O114">
        <f t="shared" si="9"/>
        <v>0</v>
      </c>
      <c r="Q114">
        <v>78</v>
      </c>
      <c r="R114">
        <f t="shared" si="16"/>
        <v>0.9341772151898734</v>
      </c>
      <c r="S114">
        <f t="shared" si="10"/>
        <v>9.3417721518987348E-2</v>
      </c>
      <c r="T114">
        <f t="shared" si="11"/>
        <v>6.5822784810126572E-3</v>
      </c>
      <c r="U114">
        <f t="shared" si="15"/>
        <v>56.548481012658215</v>
      </c>
      <c r="W114">
        <v>196.4</v>
      </c>
      <c r="X114">
        <f t="shared" si="14"/>
        <v>56117.900000000009</v>
      </c>
      <c r="Y114">
        <v>8.7901408847164699</v>
      </c>
    </row>
    <row r="115" spans="1:26" x14ac:dyDescent="0.25">
      <c r="A115">
        <v>5320</v>
      </c>
      <c r="B115">
        <v>23210</v>
      </c>
      <c r="C115" s="1">
        <v>43060</v>
      </c>
      <c r="F115" s="30"/>
      <c r="G115">
        <v>8</v>
      </c>
      <c r="H115">
        <v>7.5</v>
      </c>
      <c r="I115">
        <v>8.5</v>
      </c>
      <c r="J115">
        <f t="shared" si="12"/>
        <v>960.90000000000009</v>
      </c>
      <c r="K115">
        <f t="shared" si="13"/>
        <v>960.90000000000009</v>
      </c>
      <c r="M115">
        <v>0</v>
      </c>
      <c r="N115">
        <v>0.3</v>
      </c>
      <c r="O115">
        <f t="shared" si="9"/>
        <v>-0.3</v>
      </c>
      <c r="Q115">
        <v>79</v>
      </c>
      <c r="R115">
        <f t="shared" si="16"/>
        <v>0.94240506329113927</v>
      </c>
      <c r="S115">
        <f t="shared" si="10"/>
        <v>0.28272151898734177</v>
      </c>
      <c r="T115">
        <f t="shared" si="11"/>
        <v>-0.28272151898734177</v>
      </c>
      <c r="U115">
        <f t="shared" si="15"/>
        <v>56.26575949367087</v>
      </c>
      <c r="W115">
        <v>248.7</v>
      </c>
      <c r="X115">
        <f t="shared" si="14"/>
        <v>56366.600000000006</v>
      </c>
      <c r="Y115">
        <v>8.7531969385416808</v>
      </c>
    </row>
    <row r="116" spans="1:26" x14ac:dyDescent="0.25">
      <c r="A116">
        <v>5320</v>
      </c>
      <c r="B116">
        <v>23210</v>
      </c>
      <c r="C116" s="1">
        <v>43061</v>
      </c>
      <c r="F116" s="30"/>
      <c r="G116">
        <v>10.6</v>
      </c>
      <c r="H116">
        <v>5.6</v>
      </c>
      <c r="I116">
        <v>13.4</v>
      </c>
      <c r="J116">
        <f t="shared" si="12"/>
        <v>971.50000000000011</v>
      </c>
      <c r="K116">
        <f t="shared" si="13"/>
        <v>971.50000000000011</v>
      </c>
      <c r="M116">
        <v>0.1</v>
      </c>
      <c r="N116">
        <v>1.4</v>
      </c>
      <c r="O116">
        <f t="shared" si="9"/>
        <v>-1.2999999999999998</v>
      </c>
      <c r="Q116">
        <v>80</v>
      </c>
      <c r="R116">
        <f t="shared" si="16"/>
        <v>0.95063291139240513</v>
      </c>
      <c r="S116">
        <f t="shared" si="10"/>
        <v>1.330886075949367</v>
      </c>
      <c r="T116">
        <f t="shared" si="11"/>
        <v>-1.2308860759493669</v>
      </c>
      <c r="U116">
        <f t="shared" si="15"/>
        <v>55.034873417721506</v>
      </c>
      <c r="W116">
        <v>658</v>
      </c>
      <c r="X116">
        <f t="shared" si="14"/>
        <v>57024.600000000006</v>
      </c>
      <c r="Y116">
        <v>8.7171972528654145</v>
      </c>
    </row>
    <row r="117" spans="1:26" x14ac:dyDescent="0.25">
      <c r="A117">
        <v>5320</v>
      </c>
      <c r="B117">
        <v>23210</v>
      </c>
      <c r="C117" s="1">
        <v>43062</v>
      </c>
      <c r="F117" s="30"/>
      <c r="G117">
        <v>13.8</v>
      </c>
      <c r="H117">
        <v>12.4</v>
      </c>
      <c r="I117">
        <v>15.9</v>
      </c>
      <c r="J117">
        <f t="shared" si="12"/>
        <v>985.30000000000007</v>
      </c>
      <c r="K117">
        <f t="shared" si="13"/>
        <v>985.30000000000007</v>
      </c>
      <c r="M117">
        <v>5.8</v>
      </c>
      <c r="N117">
        <v>2.1</v>
      </c>
      <c r="O117">
        <f t="shared" si="9"/>
        <v>3.6999999999999997</v>
      </c>
      <c r="Q117">
        <v>81</v>
      </c>
      <c r="R117">
        <f t="shared" si="16"/>
        <v>0.95886075949367089</v>
      </c>
      <c r="S117">
        <f t="shared" si="10"/>
        <v>2.0136075949367092</v>
      </c>
      <c r="T117">
        <f t="shared" si="11"/>
        <v>3.7863924050632907</v>
      </c>
      <c r="U117">
        <f t="shared" si="15"/>
        <v>58.821265822784795</v>
      </c>
      <c r="W117">
        <v>362.8</v>
      </c>
      <c r="X117">
        <f t="shared" si="14"/>
        <v>57387.400000000009</v>
      </c>
      <c r="Y117">
        <v>8.6821652609724786</v>
      </c>
    </row>
    <row r="118" spans="1:26" x14ac:dyDescent="0.25">
      <c r="A118">
        <v>5320</v>
      </c>
      <c r="B118">
        <v>23210</v>
      </c>
      <c r="C118" s="1">
        <v>43063</v>
      </c>
      <c r="F118" s="30"/>
      <c r="G118">
        <v>11.1</v>
      </c>
      <c r="H118">
        <v>9.1</v>
      </c>
      <c r="I118">
        <v>13.2</v>
      </c>
      <c r="J118">
        <f t="shared" si="12"/>
        <v>996.40000000000009</v>
      </c>
      <c r="K118">
        <f t="shared" si="13"/>
        <v>996.40000000000009</v>
      </c>
      <c r="M118">
        <v>0.9</v>
      </c>
      <c r="N118">
        <v>0.6</v>
      </c>
      <c r="O118">
        <f t="shared" si="9"/>
        <v>0.30000000000000004</v>
      </c>
      <c r="Q118">
        <v>82</v>
      </c>
      <c r="R118">
        <f t="shared" si="16"/>
        <v>0.96708860759493664</v>
      </c>
      <c r="S118">
        <f t="shared" si="10"/>
        <v>0.58025316455696196</v>
      </c>
      <c r="T118">
        <f t="shared" si="11"/>
        <v>0.31974683544303806</v>
      </c>
      <c r="U118">
        <f t="shared" si="15"/>
        <v>59.141012658227837</v>
      </c>
      <c r="W118">
        <v>120.5</v>
      </c>
      <c r="X118">
        <f t="shared" si="14"/>
        <v>57507.900000000009</v>
      </c>
      <c r="Y118">
        <v>8.6481242581931532</v>
      </c>
    </row>
    <row r="119" spans="1:26" x14ac:dyDescent="0.25">
      <c r="A119">
        <v>5320</v>
      </c>
      <c r="B119">
        <v>23210</v>
      </c>
      <c r="C119" s="1">
        <v>43064</v>
      </c>
      <c r="E119">
        <v>2</v>
      </c>
      <c r="F119" s="30"/>
      <c r="G119">
        <v>4.5</v>
      </c>
      <c r="H119">
        <v>2.8</v>
      </c>
      <c r="I119">
        <v>6.4</v>
      </c>
      <c r="J119">
        <f t="shared" si="12"/>
        <v>1000.9000000000001</v>
      </c>
      <c r="K119">
        <f t="shared" si="13"/>
        <v>1000.9000000000001</v>
      </c>
      <c r="M119">
        <v>0.2</v>
      </c>
      <c r="N119">
        <v>0.3</v>
      </c>
      <c r="O119">
        <f t="shared" si="9"/>
        <v>-9.9999999999999978E-2</v>
      </c>
      <c r="Q119">
        <v>83</v>
      </c>
      <c r="R119">
        <f t="shared" si="16"/>
        <v>0.97531645569620251</v>
      </c>
      <c r="S119">
        <f t="shared" si="10"/>
        <v>0.29259493670886072</v>
      </c>
      <c r="T119">
        <f t="shared" si="11"/>
        <v>-9.2594936708860709E-2</v>
      </c>
      <c r="U119">
        <f t="shared" si="15"/>
        <v>59.048417721518973</v>
      </c>
      <c r="W119">
        <v>272.60000000000002</v>
      </c>
      <c r="X119">
        <f t="shared" si="14"/>
        <v>57780.500000000007</v>
      </c>
      <c r="Y119">
        <v>8.6150973553787029</v>
      </c>
    </row>
    <row r="120" spans="1:26" x14ac:dyDescent="0.25">
      <c r="A120">
        <v>5320</v>
      </c>
      <c r="B120">
        <v>23210</v>
      </c>
      <c r="C120" s="1">
        <v>43065</v>
      </c>
      <c r="E120">
        <v>3</v>
      </c>
      <c r="F120" s="30"/>
      <c r="G120">
        <v>3.6</v>
      </c>
      <c r="H120">
        <v>-0.7</v>
      </c>
      <c r="I120">
        <v>7.3</v>
      </c>
      <c r="J120">
        <f t="shared" si="12"/>
        <v>1004.5000000000001</v>
      </c>
      <c r="K120">
        <f t="shared" si="13"/>
        <v>1004.5000000000001</v>
      </c>
      <c r="M120">
        <v>0.1</v>
      </c>
      <c r="N120">
        <v>0.4</v>
      </c>
      <c r="O120">
        <f t="shared" si="9"/>
        <v>-0.30000000000000004</v>
      </c>
      <c r="Q120">
        <v>84</v>
      </c>
      <c r="R120">
        <f t="shared" si="16"/>
        <v>0.98354430379746838</v>
      </c>
      <c r="S120">
        <f t="shared" si="10"/>
        <v>0.39341772151898735</v>
      </c>
      <c r="T120">
        <f t="shared" si="11"/>
        <v>-0.29341772151898737</v>
      </c>
      <c r="U120">
        <f t="shared" si="15"/>
        <v>58.754999999999988</v>
      </c>
      <c r="W120">
        <v>474</v>
      </c>
      <c r="X120">
        <f t="shared" si="14"/>
        <v>58254.500000000007</v>
      </c>
      <c r="Y120">
        <v>8.5831074309201227</v>
      </c>
    </row>
    <row r="121" spans="1:26" x14ac:dyDescent="0.25">
      <c r="A121">
        <v>5320</v>
      </c>
      <c r="B121">
        <v>23210</v>
      </c>
      <c r="C121" s="1">
        <v>43066</v>
      </c>
      <c r="F121" s="30"/>
      <c r="G121">
        <v>6.7</v>
      </c>
      <c r="H121">
        <v>3.8</v>
      </c>
      <c r="I121">
        <v>8.5</v>
      </c>
      <c r="J121">
        <f t="shared" si="12"/>
        <v>1011.2000000000002</v>
      </c>
      <c r="K121">
        <f t="shared" si="13"/>
        <v>1011.2000000000002</v>
      </c>
      <c r="M121">
        <v>9</v>
      </c>
      <c r="N121">
        <v>0.7</v>
      </c>
      <c r="O121">
        <f t="shared" si="9"/>
        <v>8.3000000000000007</v>
      </c>
      <c r="Q121">
        <v>85</v>
      </c>
      <c r="R121">
        <f t="shared" si="16"/>
        <v>0.99177215189873424</v>
      </c>
      <c r="S121">
        <f t="shared" si="10"/>
        <v>0.69424050632911394</v>
      </c>
      <c r="T121">
        <f t="shared" si="11"/>
        <v>8.3057594936708856</v>
      </c>
      <c r="U121">
        <f t="shared" si="15"/>
        <v>67.060759493670872</v>
      </c>
      <c r="W121">
        <v>203.9</v>
      </c>
      <c r="X121">
        <f t="shared" si="14"/>
        <v>58458.400000000009</v>
      </c>
      <c r="Y121">
        <v>8.5521770814587139</v>
      </c>
    </row>
    <row r="122" spans="1:26" s="6" customFormat="1" ht="15.75" thickBot="1" x14ac:dyDescent="0.3">
      <c r="A122" s="6">
        <v>5320</v>
      </c>
      <c r="B122" s="6">
        <v>23210</v>
      </c>
      <c r="C122" s="7">
        <v>43067</v>
      </c>
      <c r="F122" s="31"/>
      <c r="G122" s="6">
        <v>6.4</v>
      </c>
      <c r="H122" s="6">
        <v>5.4</v>
      </c>
      <c r="I122" s="6">
        <v>9</v>
      </c>
      <c r="J122" s="6">
        <f t="shared" si="12"/>
        <v>1017.6000000000001</v>
      </c>
      <c r="K122" s="6">
        <f t="shared" si="13"/>
        <v>1017.6000000000001</v>
      </c>
      <c r="M122" s="6">
        <v>1.8</v>
      </c>
      <c r="N122" s="6">
        <v>0.7</v>
      </c>
      <c r="O122" s="6">
        <f t="shared" si="9"/>
        <v>1.1000000000000001</v>
      </c>
      <c r="Q122" s="6">
        <v>86</v>
      </c>
      <c r="R122" s="6">
        <f t="shared" si="16"/>
        <v>1</v>
      </c>
      <c r="S122" s="6">
        <f t="shared" si="10"/>
        <v>0.7</v>
      </c>
      <c r="T122" s="6">
        <f t="shared" si="11"/>
        <v>1.1000000000000001</v>
      </c>
      <c r="U122" s="6">
        <f t="shared" si="15"/>
        <v>68.160759493670867</v>
      </c>
      <c r="W122" s="6">
        <v>190.6</v>
      </c>
      <c r="X122" s="6">
        <f t="shared" si="14"/>
        <v>58649.000000000007</v>
      </c>
      <c r="Y122" s="6">
        <v>8.5223285714539703</v>
      </c>
    </row>
    <row r="123" spans="1:26" x14ac:dyDescent="0.25">
      <c r="A123">
        <v>5320</v>
      </c>
      <c r="B123">
        <v>23210</v>
      </c>
      <c r="C123" s="1">
        <v>43068</v>
      </c>
      <c r="D123" t="s">
        <v>29</v>
      </c>
      <c r="E123">
        <v>4</v>
      </c>
      <c r="F123" s="32" t="s">
        <v>55</v>
      </c>
      <c r="G123">
        <v>2</v>
      </c>
      <c r="H123">
        <v>-0.7</v>
      </c>
      <c r="I123">
        <v>5.4</v>
      </c>
      <c r="J123">
        <f t="shared" si="12"/>
        <v>1019.6000000000001</v>
      </c>
      <c r="K123">
        <f>G123</f>
        <v>2</v>
      </c>
      <c r="L123" s="15" t="s">
        <v>38</v>
      </c>
      <c r="M123">
        <v>0.2</v>
      </c>
      <c r="N123">
        <v>0.3</v>
      </c>
      <c r="O123">
        <f t="shared" si="9"/>
        <v>-9.9999999999999978E-2</v>
      </c>
      <c r="Q123">
        <v>87</v>
      </c>
      <c r="R123">
        <v>1</v>
      </c>
      <c r="S123">
        <f t="shared" si="10"/>
        <v>0.3</v>
      </c>
      <c r="T123">
        <f t="shared" si="11"/>
        <v>-9.9999999999999978E-2</v>
      </c>
      <c r="U123">
        <f t="shared" si="15"/>
        <v>68.060759493670872</v>
      </c>
      <c r="V123" s="16" t="s">
        <v>45</v>
      </c>
      <c r="W123">
        <v>373.2</v>
      </c>
      <c r="X123">
        <f>W123</f>
        <v>373.2</v>
      </c>
      <c r="Y123">
        <v>8.493583781791207</v>
      </c>
      <c r="Z123" s="16" t="s">
        <v>50</v>
      </c>
    </row>
    <row r="124" spans="1:26" x14ac:dyDescent="0.25">
      <c r="A124">
        <v>5320</v>
      </c>
      <c r="B124">
        <v>23210</v>
      </c>
      <c r="C124" s="1">
        <v>43069</v>
      </c>
      <c r="E124">
        <v>5</v>
      </c>
      <c r="F124" s="33"/>
      <c r="G124">
        <v>1.3</v>
      </c>
      <c r="H124">
        <v>-0.4</v>
      </c>
      <c r="I124">
        <v>4.5</v>
      </c>
      <c r="J124">
        <f t="shared" si="12"/>
        <v>1020.9000000000001</v>
      </c>
      <c r="K124">
        <f t="shared" si="13"/>
        <v>3.3</v>
      </c>
      <c r="L124" s="9">
        <v>453.6</v>
      </c>
      <c r="M124">
        <v>0.6</v>
      </c>
      <c r="N124">
        <v>0.5</v>
      </c>
      <c r="O124">
        <f t="shared" si="9"/>
        <v>9.9999999999999978E-2</v>
      </c>
      <c r="Q124">
        <v>88</v>
      </c>
      <c r="R124">
        <v>1</v>
      </c>
      <c r="S124">
        <f t="shared" si="10"/>
        <v>0.5</v>
      </c>
      <c r="T124">
        <f t="shared" si="11"/>
        <v>9.9999999999999978E-2</v>
      </c>
      <c r="U124">
        <f t="shared" si="15"/>
        <v>68.160759493670867</v>
      </c>
      <c r="V124">
        <v>0</v>
      </c>
      <c r="W124">
        <v>229.2</v>
      </c>
      <c r="X124">
        <f t="shared" si="14"/>
        <v>602.4</v>
      </c>
      <c r="Y124">
        <v>8.4659641576276954</v>
      </c>
      <c r="Z124">
        <v>31894.6</v>
      </c>
    </row>
    <row r="125" spans="1:26" x14ac:dyDescent="0.25">
      <c r="A125">
        <v>5320</v>
      </c>
      <c r="B125">
        <v>23210</v>
      </c>
      <c r="C125" s="1">
        <v>43070</v>
      </c>
      <c r="E125">
        <v>6</v>
      </c>
      <c r="F125" s="33"/>
      <c r="G125">
        <v>1.1000000000000001</v>
      </c>
      <c r="H125">
        <v>-0.4</v>
      </c>
      <c r="I125">
        <v>2.1</v>
      </c>
      <c r="J125">
        <f t="shared" si="12"/>
        <v>1022.0000000000001</v>
      </c>
      <c r="K125">
        <f t="shared" si="13"/>
        <v>4.4000000000000004</v>
      </c>
      <c r="L125" s="15" t="s">
        <v>39</v>
      </c>
      <c r="M125">
        <v>0.5</v>
      </c>
      <c r="N125">
        <v>0.2</v>
      </c>
      <c r="O125">
        <f t="shared" si="9"/>
        <v>0.3</v>
      </c>
      <c r="Q125">
        <v>89</v>
      </c>
      <c r="R125">
        <v>1</v>
      </c>
      <c r="S125">
        <f t="shared" si="10"/>
        <v>0.2</v>
      </c>
      <c r="T125">
        <f t="shared" si="11"/>
        <v>0.3</v>
      </c>
      <c r="U125">
        <f t="shared" si="15"/>
        <v>68.460759493670864</v>
      </c>
      <c r="V125" s="16" t="s">
        <v>46</v>
      </c>
      <c r="W125">
        <v>173.9</v>
      </c>
      <c r="X125">
        <f t="shared" si="14"/>
        <v>776.3</v>
      </c>
      <c r="Y125">
        <v>8.4394906556918308</v>
      </c>
      <c r="Z125" s="16" t="s">
        <v>51</v>
      </c>
    </row>
    <row r="126" spans="1:26" x14ac:dyDescent="0.25">
      <c r="A126">
        <v>5320</v>
      </c>
      <c r="B126">
        <v>23210</v>
      </c>
      <c r="C126" s="1">
        <v>43071</v>
      </c>
      <c r="E126">
        <v>7</v>
      </c>
      <c r="F126" s="33"/>
      <c r="G126">
        <v>-0.3</v>
      </c>
      <c r="H126">
        <v>-0.8</v>
      </c>
      <c r="I126">
        <v>0.5</v>
      </c>
      <c r="J126">
        <v>1022</v>
      </c>
      <c r="K126">
        <v>4.4000000000000004</v>
      </c>
      <c r="L126" s="10">
        <f>AVERAGE(G123:G216)</f>
        <v>4.5882978723404264</v>
      </c>
      <c r="M126">
        <v>0</v>
      </c>
      <c r="N126">
        <v>0.2</v>
      </c>
      <c r="O126">
        <f t="shared" si="9"/>
        <v>-0.2</v>
      </c>
      <c r="Q126">
        <v>90</v>
      </c>
      <c r="R126">
        <v>1</v>
      </c>
      <c r="S126">
        <f t="shared" si="10"/>
        <v>0.2</v>
      </c>
      <c r="T126">
        <f t="shared" si="11"/>
        <v>-0.2</v>
      </c>
      <c r="U126">
        <f t="shared" si="15"/>
        <v>68.260759493670861</v>
      </c>
      <c r="V126">
        <v>0</v>
      </c>
      <c r="W126">
        <v>150.80000000000001</v>
      </c>
      <c r="X126">
        <f t="shared" si="14"/>
        <v>927.09999999999991</v>
      </c>
      <c r="Y126">
        <v>8.4141836912646326</v>
      </c>
      <c r="Z126">
        <f>(Z124/100)/L124</f>
        <v>0.70314373897707216</v>
      </c>
    </row>
    <row r="127" spans="1:26" x14ac:dyDescent="0.25">
      <c r="A127">
        <v>5320</v>
      </c>
      <c r="B127">
        <v>23210</v>
      </c>
      <c r="C127" s="1">
        <v>43072</v>
      </c>
      <c r="E127">
        <v>8</v>
      </c>
      <c r="F127" s="33"/>
      <c r="G127">
        <v>0</v>
      </c>
      <c r="H127">
        <v>-2.4</v>
      </c>
      <c r="I127">
        <v>4.3</v>
      </c>
      <c r="J127">
        <f t="shared" si="12"/>
        <v>1022</v>
      </c>
      <c r="K127">
        <f t="shared" si="13"/>
        <v>4.4000000000000004</v>
      </c>
      <c r="L127" s="15" t="s">
        <v>40</v>
      </c>
      <c r="M127">
        <v>0.8</v>
      </c>
      <c r="N127">
        <v>0.4</v>
      </c>
      <c r="O127">
        <f t="shared" si="9"/>
        <v>0.4</v>
      </c>
      <c r="Q127">
        <v>91</v>
      </c>
      <c r="R127">
        <v>1</v>
      </c>
      <c r="S127">
        <f t="shared" si="10"/>
        <v>0.4</v>
      </c>
      <c r="T127">
        <f t="shared" si="11"/>
        <v>0.4</v>
      </c>
      <c r="U127">
        <f t="shared" si="15"/>
        <v>68.660759493670867</v>
      </c>
      <c r="V127" s="16" t="s">
        <v>47</v>
      </c>
      <c r="W127">
        <v>180.4</v>
      </c>
      <c r="X127">
        <f t="shared" si="14"/>
        <v>1107.5</v>
      </c>
      <c r="Y127">
        <v>8.3900630850866094</v>
      </c>
      <c r="Z127" s="16" t="s">
        <v>52</v>
      </c>
    </row>
    <row r="128" spans="1:26" x14ac:dyDescent="0.25">
      <c r="A128">
        <v>5320</v>
      </c>
      <c r="B128">
        <v>23210</v>
      </c>
      <c r="C128" s="1">
        <v>43073</v>
      </c>
      <c r="F128" s="33"/>
      <c r="G128">
        <v>5.5</v>
      </c>
      <c r="H128">
        <v>1.9</v>
      </c>
      <c r="I128">
        <v>7.3</v>
      </c>
      <c r="J128">
        <f t="shared" si="12"/>
        <v>1027.5</v>
      </c>
      <c r="K128">
        <f t="shared" si="13"/>
        <v>9.9</v>
      </c>
      <c r="L128" s="11">
        <f>MIN(H123:H216)</f>
        <v>-9.3000000000000007</v>
      </c>
      <c r="M128">
        <v>0</v>
      </c>
      <c r="N128">
        <v>0.1</v>
      </c>
      <c r="O128">
        <f t="shared" si="9"/>
        <v>-0.1</v>
      </c>
      <c r="Q128">
        <v>92</v>
      </c>
      <c r="R128">
        <v>1</v>
      </c>
      <c r="S128">
        <f t="shared" si="10"/>
        <v>0.1</v>
      </c>
      <c r="T128">
        <f t="shared" si="11"/>
        <v>-0.1</v>
      </c>
      <c r="U128">
        <f t="shared" si="15"/>
        <v>68.560759493670872</v>
      </c>
      <c r="V128" s="13">
        <f>MIN(U123:U216)</f>
        <v>68.060759493670872</v>
      </c>
      <c r="W128">
        <v>189.2</v>
      </c>
      <c r="X128">
        <f t="shared" si="14"/>
        <v>1296.7</v>
      </c>
      <c r="Y128">
        <v>8.3671480104452698</v>
      </c>
      <c r="Z128">
        <v>86</v>
      </c>
    </row>
    <row r="129" spans="1:26" x14ac:dyDescent="0.25">
      <c r="A129">
        <v>5320</v>
      </c>
      <c r="B129">
        <v>23210</v>
      </c>
      <c r="C129" s="1">
        <v>43074</v>
      </c>
      <c r="F129" s="33"/>
      <c r="G129">
        <v>6</v>
      </c>
      <c r="H129">
        <v>4.8</v>
      </c>
      <c r="I129">
        <v>7.1</v>
      </c>
      <c r="J129">
        <f t="shared" si="12"/>
        <v>1033.5</v>
      </c>
      <c r="K129">
        <f t="shared" si="13"/>
        <v>15.9</v>
      </c>
      <c r="L129" s="15" t="s">
        <v>41</v>
      </c>
      <c r="M129">
        <v>0</v>
      </c>
      <c r="N129">
        <v>0.1</v>
      </c>
      <c r="O129">
        <f t="shared" si="9"/>
        <v>-0.1</v>
      </c>
      <c r="Q129">
        <v>93</v>
      </c>
      <c r="R129">
        <v>1</v>
      </c>
      <c r="S129">
        <f t="shared" si="10"/>
        <v>0.1</v>
      </c>
      <c r="T129">
        <f t="shared" si="11"/>
        <v>-0.1</v>
      </c>
      <c r="U129">
        <f t="shared" si="15"/>
        <v>68.460759493670878</v>
      </c>
      <c r="V129" s="16" t="s">
        <v>48</v>
      </c>
      <c r="W129">
        <v>148.80000000000001</v>
      </c>
      <c r="X129">
        <f t="shared" si="14"/>
        <v>1445.5</v>
      </c>
      <c r="Y129">
        <v>8.3454569407092141</v>
      </c>
      <c r="Z129" t="s">
        <v>53</v>
      </c>
    </row>
    <row r="130" spans="1:26" x14ac:dyDescent="0.25">
      <c r="A130">
        <v>5320</v>
      </c>
      <c r="B130">
        <v>23210</v>
      </c>
      <c r="C130" s="1">
        <v>43075</v>
      </c>
      <c r="E130">
        <v>9</v>
      </c>
      <c r="F130" s="33"/>
      <c r="G130">
        <v>3.1</v>
      </c>
      <c r="H130">
        <v>2.1</v>
      </c>
      <c r="I130">
        <v>3.8</v>
      </c>
      <c r="J130">
        <f t="shared" si="12"/>
        <v>1036.5999999999999</v>
      </c>
      <c r="K130">
        <f t="shared" si="13"/>
        <v>19</v>
      </c>
      <c r="L130" s="9">
        <f>MAX(I123:I216)</f>
        <v>14</v>
      </c>
      <c r="M130">
        <v>0</v>
      </c>
      <c r="N130">
        <v>0.2</v>
      </c>
      <c r="O130">
        <f t="shared" si="9"/>
        <v>-0.2</v>
      </c>
      <c r="Q130">
        <v>94</v>
      </c>
      <c r="R130">
        <v>1</v>
      </c>
      <c r="S130">
        <f t="shared" si="10"/>
        <v>0.2</v>
      </c>
      <c r="T130">
        <f t="shared" si="11"/>
        <v>-0.2</v>
      </c>
      <c r="U130">
        <f t="shared" si="15"/>
        <v>68.260759493670875</v>
      </c>
      <c r="V130" s="13">
        <f>MAX(U123:U216)</f>
        <v>138.9</v>
      </c>
      <c r="W130">
        <v>101.8</v>
      </c>
      <c r="X130">
        <f t="shared" si="14"/>
        <v>1547.3</v>
      </c>
      <c r="Y130">
        <v>8.3250075975835713</v>
      </c>
      <c r="Z130">
        <v>25</v>
      </c>
    </row>
    <row r="131" spans="1:26" x14ac:dyDescent="0.25">
      <c r="A131">
        <v>5320</v>
      </c>
      <c r="B131">
        <v>23210</v>
      </c>
      <c r="C131" s="1">
        <v>43076</v>
      </c>
      <c r="E131">
        <v>10</v>
      </c>
      <c r="F131" s="33"/>
      <c r="G131">
        <v>4.2</v>
      </c>
      <c r="H131">
        <v>-0.3</v>
      </c>
      <c r="I131">
        <v>7.9</v>
      </c>
      <c r="J131">
        <f t="shared" si="12"/>
        <v>1040.8</v>
      </c>
      <c r="K131">
        <f t="shared" si="13"/>
        <v>23.2</v>
      </c>
      <c r="L131" s="15" t="s">
        <v>42</v>
      </c>
      <c r="M131">
        <v>5.2</v>
      </c>
      <c r="N131">
        <v>0.2</v>
      </c>
      <c r="O131">
        <f t="shared" si="9"/>
        <v>5</v>
      </c>
      <c r="Q131">
        <v>95</v>
      </c>
      <c r="R131">
        <v>1</v>
      </c>
      <c r="S131">
        <f t="shared" si="10"/>
        <v>0.2</v>
      </c>
      <c r="T131">
        <f t="shared" si="11"/>
        <v>5</v>
      </c>
      <c r="U131">
        <f t="shared" si="15"/>
        <v>73.260759493670875</v>
      </c>
      <c r="V131" s="16" t="s">
        <v>49</v>
      </c>
      <c r="W131">
        <v>137.4</v>
      </c>
      <c r="X131">
        <f t="shared" si="14"/>
        <v>1684.7</v>
      </c>
      <c r="Y131">
        <v>8.3058169003681552</v>
      </c>
    </row>
    <row r="132" spans="1:26" x14ac:dyDescent="0.25">
      <c r="A132">
        <v>5320</v>
      </c>
      <c r="B132">
        <v>23210</v>
      </c>
      <c r="C132" s="1">
        <v>43077</v>
      </c>
      <c r="E132">
        <v>11</v>
      </c>
      <c r="F132" s="33"/>
      <c r="G132">
        <v>3.4</v>
      </c>
      <c r="H132">
        <v>1.2</v>
      </c>
      <c r="I132">
        <v>6.2</v>
      </c>
      <c r="J132">
        <f t="shared" si="12"/>
        <v>1044.2</v>
      </c>
      <c r="K132">
        <f t="shared" si="13"/>
        <v>26.599999999999998</v>
      </c>
      <c r="L132" s="9">
        <v>0</v>
      </c>
      <c r="M132">
        <v>0.8</v>
      </c>
      <c r="N132">
        <v>0.6</v>
      </c>
      <c r="O132">
        <f t="shared" si="9"/>
        <v>0.20000000000000007</v>
      </c>
      <c r="Q132">
        <v>96</v>
      </c>
      <c r="R132">
        <v>1</v>
      </c>
      <c r="S132">
        <f t="shared" si="10"/>
        <v>0.6</v>
      </c>
      <c r="T132">
        <f t="shared" si="11"/>
        <v>0.20000000000000007</v>
      </c>
      <c r="U132">
        <f t="shared" si="15"/>
        <v>73.460759493670878</v>
      </c>
      <c r="V132" s="13">
        <f>AVERAGE(U123:U216)</f>
        <v>123.19796660382433</v>
      </c>
      <c r="W132">
        <v>227.1</v>
      </c>
      <c r="X132">
        <f t="shared" si="14"/>
        <v>1911.8</v>
      </c>
      <c r="Y132">
        <v>8.287900916504169</v>
      </c>
    </row>
    <row r="133" spans="1:26" x14ac:dyDescent="0.25">
      <c r="A133">
        <v>5320</v>
      </c>
      <c r="B133">
        <v>23210</v>
      </c>
      <c r="C133" s="1">
        <v>43078</v>
      </c>
      <c r="E133">
        <v>12</v>
      </c>
      <c r="F133" s="33"/>
      <c r="G133">
        <v>1.9</v>
      </c>
      <c r="H133">
        <v>-0.3</v>
      </c>
      <c r="I133">
        <v>3.8</v>
      </c>
      <c r="J133">
        <f t="shared" si="12"/>
        <v>1046.1000000000001</v>
      </c>
      <c r="K133">
        <f t="shared" si="13"/>
        <v>28.499999999999996</v>
      </c>
      <c r="L133" s="15" t="s">
        <v>43</v>
      </c>
      <c r="M133">
        <v>13.8</v>
      </c>
      <c r="N133">
        <v>0.3</v>
      </c>
      <c r="O133">
        <f t="shared" ref="O133:O196" si="17">M133-N133</f>
        <v>13.5</v>
      </c>
      <c r="Q133">
        <v>97</v>
      </c>
      <c r="R133">
        <v>1</v>
      </c>
      <c r="S133">
        <f t="shared" ref="S133:S196" si="18">R133*N133</f>
        <v>0.3</v>
      </c>
      <c r="T133">
        <f t="shared" ref="T133:T196" si="19">M133-S133</f>
        <v>13.5</v>
      </c>
      <c r="U133">
        <f t="shared" si="15"/>
        <v>86.960759493670878</v>
      </c>
      <c r="W133">
        <v>405.3</v>
      </c>
      <c r="X133">
        <f t="shared" si="14"/>
        <v>2317.1</v>
      </c>
      <c r="Y133">
        <v>8.2712748136971417</v>
      </c>
    </row>
    <row r="134" spans="1:26" x14ac:dyDescent="0.25">
      <c r="A134">
        <v>5320</v>
      </c>
      <c r="B134">
        <v>23210</v>
      </c>
      <c r="C134" s="1">
        <v>43079</v>
      </c>
      <c r="F134" s="33"/>
      <c r="G134">
        <v>7.3</v>
      </c>
      <c r="H134">
        <v>3</v>
      </c>
      <c r="I134">
        <v>10.4</v>
      </c>
      <c r="J134">
        <f t="shared" si="12"/>
        <v>1053.4000000000001</v>
      </c>
      <c r="K134">
        <f t="shared" si="13"/>
        <v>35.799999999999997</v>
      </c>
      <c r="L134" s="9">
        <v>37</v>
      </c>
      <c r="M134">
        <v>9.6999999999999993</v>
      </c>
      <c r="N134">
        <v>0.8</v>
      </c>
      <c r="O134">
        <f t="shared" si="17"/>
        <v>8.8999999999999986</v>
      </c>
      <c r="Q134">
        <v>98</v>
      </c>
      <c r="R134">
        <v>1</v>
      </c>
      <c r="S134">
        <f t="shared" si="18"/>
        <v>0.8</v>
      </c>
      <c r="T134">
        <f t="shared" si="19"/>
        <v>8.8999999999999986</v>
      </c>
      <c r="U134">
        <f t="shared" si="15"/>
        <v>95.860759493670884</v>
      </c>
      <c r="V134" s="14">
        <f>(V132*100)/138.9</f>
        <v>88.695440319527961</v>
      </c>
      <c r="W134">
        <v>277.10000000000002</v>
      </c>
      <c r="X134">
        <f t="shared" si="14"/>
        <v>2594.1999999999998</v>
      </c>
      <c r="Y134">
        <v>8.2559528139030842</v>
      </c>
    </row>
    <row r="135" spans="1:26" x14ac:dyDescent="0.25">
      <c r="A135">
        <v>5320</v>
      </c>
      <c r="B135">
        <v>23210</v>
      </c>
      <c r="C135" s="1">
        <v>43080</v>
      </c>
      <c r="F135" s="33"/>
      <c r="G135">
        <v>6.6</v>
      </c>
      <c r="H135">
        <v>4.3</v>
      </c>
      <c r="I135">
        <v>9.6</v>
      </c>
      <c r="J135">
        <f t="shared" si="12"/>
        <v>1060</v>
      </c>
      <c r="K135">
        <f t="shared" si="13"/>
        <v>42.4</v>
      </c>
      <c r="L135" s="15" t="s">
        <v>44</v>
      </c>
      <c r="M135">
        <v>0.4</v>
      </c>
      <c r="N135">
        <v>1.2</v>
      </c>
      <c r="O135">
        <f t="shared" si="17"/>
        <v>-0.79999999999999993</v>
      </c>
      <c r="Q135">
        <v>99</v>
      </c>
      <c r="R135">
        <v>1</v>
      </c>
      <c r="S135">
        <f t="shared" si="18"/>
        <v>1.2</v>
      </c>
      <c r="T135">
        <f t="shared" si="19"/>
        <v>-0.79999999999999993</v>
      </c>
      <c r="U135">
        <f t="shared" si="15"/>
        <v>95.060759493670886</v>
      </c>
      <c r="W135">
        <v>120.7</v>
      </c>
      <c r="X135">
        <f t="shared" si="14"/>
        <v>2714.8999999999996</v>
      </c>
      <c r="Y135">
        <v>8.241948149461285</v>
      </c>
    </row>
    <row r="136" spans="1:26" x14ac:dyDescent="0.25">
      <c r="A136">
        <v>5320</v>
      </c>
      <c r="B136">
        <v>23210</v>
      </c>
      <c r="C136" s="1">
        <v>43081</v>
      </c>
      <c r="E136">
        <v>13</v>
      </c>
      <c r="F136" s="33"/>
      <c r="G136">
        <v>2.1</v>
      </c>
      <c r="H136">
        <v>-1.5</v>
      </c>
      <c r="I136">
        <v>5.7</v>
      </c>
      <c r="J136">
        <f t="shared" si="12"/>
        <v>1062.0999999999999</v>
      </c>
      <c r="K136">
        <f t="shared" si="13"/>
        <v>44.5</v>
      </c>
      <c r="L136" s="9">
        <v>29</v>
      </c>
      <c r="M136">
        <v>1</v>
      </c>
      <c r="N136">
        <v>0.5</v>
      </c>
      <c r="O136">
        <f t="shared" si="17"/>
        <v>0.5</v>
      </c>
      <c r="Q136">
        <v>100</v>
      </c>
      <c r="R136">
        <v>1</v>
      </c>
      <c r="S136">
        <f t="shared" si="18"/>
        <v>0.5</v>
      </c>
      <c r="T136">
        <f t="shared" si="19"/>
        <v>0.5</v>
      </c>
      <c r="U136">
        <f t="shared" si="15"/>
        <v>95.560759493670886</v>
      </c>
      <c r="W136">
        <v>430</v>
      </c>
      <c r="X136">
        <f t="shared" si="14"/>
        <v>3144.8999999999996</v>
      </c>
      <c r="Y136">
        <v>8.2292730216508225</v>
      </c>
    </row>
    <row r="137" spans="1:26" x14ac:dyDescent="0.25">
      <c r="A137">
        <v>5320</v>
      </c>
      <c r="B137">
        <v>23210</v>
      </c>
      <c r="C137" s="1">
        <v>43082</v>
      </c>
      <c r="F137" s="33"/>
      <c r="G137">
        <v>8</v>
      </c>
      <c r="H137">
        <v>2.6</v>
      </c>
      <c r="I137">
        <v>10.1</v>
      </c>
      <c r="J137">
        <f t="shared" si="12"/>
        <v>1070.0999999999999</v>
      </c>
      <c r="K137">
        <f t="shared" si="13"/>
        <v>52.5</v>
      </c>
      <c r="M137">
        <v>4.4000000000000004</v>
      </c>
      <c r="N137">
        <v>0.4</v>
      </c>
      <c r="O137">
        <f t="shared" si="17"/>
        <v>4</v>
      </c>
      <c r="Q137">
        <v>101</v>
      </c>
      <c r="R137">
        <v>1</v>
      </c>
      <c r="S137">
        <f t="shared" si="18"/>
        <v>0.4</v>
      </c>
      <c r="T137">
        <f t="shared" si="19"/>
        <v>4</v>
      </c>
      <c r="U137">
        <f t="shared" si="15"/>
        <v>99.560759493670886</v>
      </c>
      <c r="W137">
        <v>190.4</v>
      </c>
      <c r="X137">
        <f t="shared" si="14"/>
        <v>3335.2999999999997</v>
      </c>
      <c r="Y137">
        <v>8.2179385619386824</v>
      </c>
    </row>
    <row r="138" spans="1:26" x14ac:dyDescent="0.25">
      <c r="A138">
        <v>5320</v>
      </c>
      <c r="B138">
        <v>23210</v>
      </c>
      <c r="C138" s="1">
        <v>43083</v>
      </c>
      <c r="F138" s="33"/>
      <c r="G138">
        <v>6</v>
      </c>
      <c r="H138">
        <v>5.3</v>
      </c>
      <c r="I138">
        <v>7.1</v>
      </c>
      <c r="J138">
        <f t="shared" si="12"/>
        <v>1076.0999999999999</v>
      </c>
      <c r="K138">
        <f t="shared" si="13"/>
        <v>58.5</v>
      </c>
      <c r="M138">
        <v>6.5</v>
      </c>
      <c r="N138">
        <v>1</v>
      </c>
      <c r="O138">
        <f t="shared" si="17"/>
        <v>5.5</v>
      </c>
      <c r="Q138">
        <v>102</v>
      </c>
      <c r="R138">
        <v>1</v>
      </c>
      <c r="S138">
        <f t="shared" si="18"/>
        <v>1</v>
      </c>
      <c r="T138">
        <f t="shared" si="19"/>
        <v>5.5</v>
      </c>
      <c r="U138">
        <f t="shared" si="15"/>
        <v>105.06075949367089</v>
      </c>
      <c r="W138">
        <v>178.4</v>
      </c>
      <c r="X138">
        <f t="shared" si="14"/>
        <v>3513.7</v>
      </c>
      <c r="Y138">
        <v>8.2079547961750663</v>
      </c>
    </row>
    <row r="139" spans="1:26" x14ac:dyDescent="0.25">
      <c r="A139">
        <v>5320</v>
      </c>
      <c r="B139">
        <v>23210</v>
      </c>
      <c r="C139" s="1">
        <v>43084</v>
      </c>
      <c r="E139">
        <v>14</v>
      </c>
      <c r="F139" s="33"/>
      <c r="G139">
        <v>4.5999999999999996</v>
      </c>
      <c r="H139">
        <v>3.9</v>
      </c>
      <c r="I139">
        <v>6.5</v>
      </c>
      <c r="J139">
        <f t="shared" si="12"/>
        <v>1080.6999999999998</v>
      </c>
      <c r="K139">
        <f t="shared" si="13"/>
        <v>63.1</v>
      </c>
      <c r="M139">
        <v>4.2</v>
      </c>
      <c r="N139">
        <v>1</v>
      </c>
      <c r="O139">
        <f t="shared" si="17"/>
        <v>3.2</v>
      </c>
      <c r="Q139">
        <v>103</v>
      </c>
      <c r="R139">
        <v>1</v>
      </c>
      <c r="S139">
        <f t="shared" si="18"/>
        <v>1</v>
      </c>
      <c r="T139">
        <f t="shared" si="19"/>
        <v>3.2</v>
      </c>
      <c r="U139">
        <f t="shared" si="15"/>
        <v>108.26075949367089</v>
      </c>
      <c r="W139">
        <v>183.9</v>
      </c>
      <c r="X139">
        <f t="shared" si="14"/>
        <v>3697.6</v>
      </c>
      <c r="Y139">
        <v>8.1993306119766114</v>
      </c>
    </row>
    <row r="140" spans="1:26" x14ac:dyDescent="0.25">
      <c r="A140">
        <v>5320</v>
      </c>
      <c r="B140">
        <v>23210</v>
      </c>
      <c r="C140" s="1">
        <v>43085</v>
      </c>
      <c r="E140">
        <v>15</v>
      </c>
      <c r="F140" s="33"/>
      <c r="G140">
        <v>2.5</v>
      </c>
      <c r="H140">
        <v>0.9</v>
      </c>
      <c r="I140">
        <v>5.0999999999999996</v>
      </c>
      <c r="J140">
        <f t="shared" si="12"/>
        <v>1083.1999999999998</v>
      </c>
      <c r="K140">
        <f t="shared" si="13"/>
        <v>65.599999999999994</v>
      </c>
      <c r="M140">
        <v>0.6</v>
      </c>
      <c r="N140">
        <v>0.6</v>
      </c>
      <c r="O140">
        <f t="shared" si="17"/>
        <v>0</v>
      </c>
      <c r="Q140">
        <v>104</v>
      </c>
      <c r="R140">
        <v>1</v>
      </c>
      <c r="S140">
        <f t="shared" si="18"/>
        <v>0.6</v>
      </c>
      <c r="T140">
        <f t="shared" si="19"/>
        <v>0</v>
      </c>
      <c r="U140">
        <f t="shared" si="15"/>
        <v>108.26075949367089</v>
      </c>
      <c r="W140">
        <v>314.5</v>
      </c>
      <c r="X140">
        <f t="shared" si="14"/>
        <v>4012.1</v>
      </c>
      <c r="Y140">
        <v>8.1920737295204056</v>
      </c>
    </row>
    <row r="141" spans="1:26" x14ac:dyDescent="0.25">
      <c r="A141">
        <v>5320</v>
      </c>
      <c r="B141">
        <v>23210</v>
      </c>
      <c r="C141" s="1">
        <v>43086</v>
      </c>
      <c r="E141">
        <v>16</v>
      </c>
      <c r="F141" s="33"/>
      <c r="G141">
        <v>3.3</v>
      </c>
      <c r="H141">
        <v>1.1000000000000001</v>
      </c>
      <c r="I141">
        <v>8.9</v>
      </c>
      <c r="J141">
        <f t="shared" si="12"/>
        <v>1086.4999999999998</v>
      </c>
      <c r="K141">
        <f t="shared" si="13"/>
        <v>68.899999999999991</v>
      </c>
      <c r="M141">
        <v>1.9</v>
      </c>
      <c r="N141">
        <v>0.6</v>
      </c>
      <c r="O141">
        <f t="shared" si="17"/>
        <v>1.2999999999999998</v>
      </c>
      <c r="Q141">
        <v>105</v>
      </c>
      <c r="R141">
        <v>1</v>
      </c>
      <c r="S141">
        <f t="shared" si="18"/>
        <v>0.6</v>
      </c>
      <c r="T141">
        <f t="shared" si="19"/>
        <v>1.2999999999999998</v>
      </c>
      <c r="U141">
        <f t="shared" si="15"/>
        <v>109.56075949367089</v>
      </c>
      <c r="W141">
        <v>113.6</v>
      </c>
      <c r="X141">
        <f t="shared" si="14"/>
        <v>4125.7</v>
      </c>
      <c r="Y141">
        <v>8.1861906759513214</v>
      </c>
    </row>
    <row r="142" spans="1:26" x14ac:dyDescent="0.25">
      <c r="A142">
        <v>5320</v>
      </c>
      <c r="B142">
        <v>23210</v>
      </c>
      <c r="C142" s="1">
        <v>43087</v>
      </c>
      <c r="F142" s="33"/>
      <c r="G142">
        <v>6.3</v>
      </c>
      <c r="H142">
        <v>4.3</v>
      </c>
      <c r="I142">
        <v>8.6999999999999993</v>
      </c>
      <c r="J142">
        <f t="shared" si="12"/>
        <v>1092.7999999999997</v>
      </c>
      <c r="K142">
        <f t="shared" si="13"/>
        <v>75.199999999999989</v>
      </c>
      <c r="M142">
        <v>0.9</v>
      </c>
      <c r="N142">
        <v>0.6</v>
      </c>
      <c r="O142">
        <f t="shared" si="17"/>
        <v>0.30000000000000004</v>
      </c>
      <c r="Q142">
        <v>106</v>
      </c>
      <c r="R142">
        <v>1</v>
      </c>
      <c r="S142">
        <f t="shared" si="18"/>
        <v>0.6</v>
      </c>
      <c r="T142">
        <f t="shared" si="19"/>
        <v>0.30000000000000004</v>
      </c>
      <c r="U142">
        <f t="shared" si="15"/>
        <v>109.86075949367088</v>
      </c>
      <c r="W142">
        <v>299.3</v>
      </c>
      <c r="X142">
        <f t="shared" si="14"/>
        <v>4425</v>
      </c>
      <c r="Y142">
        <v>8.181686763582368</v>
      </c>
    </row>
    <row r="143" spans="1:26" x14ac:dyDescent="0.25">
      <c r="A143">
        <v>5320</v>
      </c>
      <c r="B143">
        <v>23210</v>
      </c>
      <c r="C143" s="1">
        <v>43088</v>
      </c>
      <c r="E143">
        <v>17</v>
      </c>
      <c r="F143" s="33"/>
      <c r="G143">
        <v>1.5</v>
      </c>
      <c r="H143">
        <v>-0.1</v>
      </c>
      <c r="I143">
        <v>2.7</v>
      </c>
      <c r="J143">
        <f t="shared" si="12"/>
        <v>1094.2999999999997</v>
      </c>
      <c r="K143">
        <f t="shared" si="13"/>
        <v>76.699999999999989</v>
      </c>
      <c r="M143">
        <v>0.1</v>
      </c>
      <c r="N143">
        <v>0.2</v>
      </c>
      <c r="O143">
        <f t="shared" si="17"/>
        <v>-0.1</v>
      </c>
      <c r="Q143">
        <v>107</v>
      </c>
      <c r="R143">
        <v>1</v>
      </c>
      <c r="S143">
        <f t="shared" si="18"/>
        <v>0.2</v>
      </c>
      <c r="T143">
        <f t="shared" si="19"/>
        <v>-0.1</v>
      </c>
      <c r="U143">
        <f t="shared" si="15"/>
        <v>109.76075949367089</v>
      </c>
      <c r="W143">
        <v>230.6</v>
      </c>
      <c r="X143">
        <f t="shared" si="14"/>
        <v>4655.6000000000004</v>
      </c>
      <c r="Y143">
        <v>8.1785660720428428</v>
      </c>
    </row>
    <row r="144" spans="1:26" x14ac:dyDescent="0.25">
      <c r="A144">
        <v>5320</v>
      </c>
      <c r="B144">
        <v>23210</v>
      </c>
      <c r="C144" s="1">
        <v>43089</v>
      </c>
      <c r="E144">
        <v>18</v>
      </c>
      <c r="F144" s="33"/>
      <c r="G144">
        <v>4.9000000000000004</v>
      </c>
      <c r="H144">
        <v>1</v>
      </c>
      <c r="I144">
        <v>7</v>
      </c>
      <c r="J144">
        <f t="shared" si="12"/>
        <v>1099.1999999999998</v>
      </c>
      <c r="K144">
        <f t="shared" si="13"/>
        <v>81.599999999999994</v>
      </c>
      <c r="M144">
        <v>0.4</v>
      </c>
      <c r="N144">
        <v>0.1</v>
      </c>
      <c r="O144">
        <f t="shared" si="17"/>
        <v>0.30000000000000004</v>
      </c>
      <c r="Q144">
        <v>108</v>
      </c>
      <c r="R144">
        <v>1</v>
      </c>
      <c r="S144">
        <f t="shared" si="18"/>
        <v>0.1</v>
      </c>
      <c r="T144">
        <f t="shared" si="19"/>
        <v>0.30000000000000004</v>
      </c>
      <c r="U144">
        <f t="shared" si="15"/>
        <v>110.06075949367089</v>
      </c>
      <c r="W144">
        <v>179.2</v>
      </c>
      <c r="X144">
        <f t="shared" si="14"/>
        <v>4834.8</v>
      </c>
      <c r="Y144">
        <v>8.176831434502061</v>
      </c>
    </row>
    <row r="145" spans="1:25" x14ac:dyDescent="0.25">
      <c r="A145">
        <v>5320</v>
      </c>
      <c r="B145">
        <v>23210</v>
      </c>
      <c r="C145" s="1">
        <v>43090</v>
      </c>
      <c r="F145" s="33"/>
      <c r="G145">
        <v>7.9</v>
      </c>
      <c r="H145">
        <v>6.7</v>
      </c>
      <c r="I145">
        <v>8.6999999999999993</v>
      </c>
      <c r="J145">
        <f t="shared" si="12"/>
        <v>1107.0999999999999</v>
      </c>
      <c r="K145">
        <f t="shared" si="13"/>
        <v>89.5</v>
      </c>
      <c r="M145">
        <v>1.3</v>
      </c>
      <c r="N145">
        <v>0.2</v>
      </c>
      <c r="O145">
        <f t="shared" si="17"/>
        <v>1.1000000000000001</v>
      </c>
      <c r="Q145">
        <v>109</v>
      </c>
      <c r="R145">
        <v>1</v>
      </c>
      <c r="S145">
        <f t="shared" si="18"/>
        <v>0.2</v>
      </c>
      <c r="T145">
        <f t="shared" si="19"/>
        <v>1.1000000000000001</v>
      </c>
      <c r="U145">
        <f t="shared" si="15"/>
        <v>111.16075949367088</v>
      </c>
      <c r="W145">
        <v>180</v>
      </c>
      <c r="X145">
        <f t="shared" si="14"/>
        <v>5014.8</v>
      </c>
      <c r="Y145">
        <v>8.1764844280680578</v>
      </c>
    </row>
    <row r="146" spans="1:25" x14ac:dyDescent="0.25">
      <c r="A146">
        <v>5320</v>
      </c>
      <c r="B146">
        <v>23210</v>
      </c>
      <c r="C146" s="1">
        <v>43091</v>
      </c>
      <c r="F146" s="33"/>
      <c r="G146">
        <v>8.6</v>
      </c>
      <c r="H146">
        <v>7.6</v>
      </c>
      <c r="I146">
        <v>9.4</v>
      </c>
      <c r="J146">
        <f t="shared" si="12"/>
        <v>1115.6999999999998</v>
      </c>
      <c r="K146">
        <f t="shared" si="13"/>
        <v>98.1</v>
      </c>
      <c r="M146">
        <v>0.5</v>
      </c>
      <c r="N146">
        <v>0.2</v>
      </c>
      <c r="O146">
        <f t="shared" si="17"/>
        <v>0.3</v>
      </c>
      <c r="Q146">
        <v>110</v>
      </c>
      <c r="R146">
        <v>1</v>
      </c>
      <c r="S146">
        <f t="shared" si="18"/>
        <v>0.2</v>
      </c>
      <c r="T146">
        <f t="shared" si="19"/>
        <v>0.3</v>
      </c>
      <c r="U146">
        <f t="shared" si="15"/>
        <v>111.46075949367088</v>
      </c>
      <c r="W146">
        <v>210.2</v>
      </c>
      <c r="X146">
        <f t="shared" si="14"/>
        <v>5225</v>
      </c>
      <c r="Y146">
        <v>8.1775253684307909</v>
      </c>
    </row>
    <row r="147" spans="1:25" x14ac:dyDescent="0.25">
      <c r="A147">
        <v>5320</v>
      </c>
      <c r="B147">
        <v>23210</v>
      </c>
      <c r="C147" s="1">
        <v>43092</v>
      </c>
      <c r="F147" s="33"/>
      <c r="G147">
        <v>8.3000000000000007</v>
      </c>
      <c r="H147">
        <v>7.9</v>
      </c>
      <c r="I147">
        <v>9</v>
      </c>
      <c r="J147">
        <f t="shared" si="12"/>
        <v>1123.9999999999998</v>
      </c>
      <c r="K147">
        <f t="shared" si="13"/>
        <v>106.39999999999999</v>
      </c>
      <c r="M147">
        <v>0.3</v>
      </c>
      <c r="N147">
        <v>0.2</v>
      </c>
      <c r="O147">
        <f t="shared" si="17"/>
        <v>9.9999999999999978E-2</v>
      </c>
      <c r="Q147">
        <v>111</v>
      </c>
      <c r="R147">
        <v>1</v>
      </c>
      <c r="S147">
        <f t="shared" si="18"/>
        <v>0.2</v>
      </c>
      <c r="T147">
        <f t="shared" si="19"/>
        <v>9.9999999999999978E-2</v>
      </c>
      <c r="U147">
        <f t="shared" si="15"/>
        <v>111.56075949367087</v>
      </c>
      <c r="W147">
        <v>155.6</v>
      </c>
      <c r="X147">
        <f t="shared" si="14"/>
        <v>5380.6</v>
      </c>
      <c r="Y147">
        <v>8.1799533087888374</v>
      </c>
    </row>
    <row r="148" spans="1:25" x14ac:dyDescent="0.25">
      <c r="A148">
        <v>5320</v>
      </c>
      <c r="B148">
        <v>23210</v>
      </c>
      <c r="C148" s="1">
        <v>43093</v>
      </c>
      <c r="F148" s="33"/>
      <c r="G148">
        <v>7.6</v>
      </c>
      <c r="H148">
        <v>7.4</v>
      </c>
      <c r="I148">
        <v>8.4</v>
      </c>
      <c r="J148">
        <f t="shared" si="12"/>
        <v>1131.5999999999997</v>
      </c>
      <c r="K148">
        <f t="shared" si="13"/>
        <v>113.99999999999999</v>
      </c>
      <c r="M148">
        <v>0.4</v>
      </c>
      <c r="N148">
        <v>0.4</v>
      </c>
      <c r="O148">
        <f t="shared" si="17"/>
        <v>0</v>
      </c>
      <c r="Q148">
        <v>112</v>
      </c>
      <c r="R148">
        <v>1</v>
      </c>
      <c r="S148">
        <f t="shared" si="18"/>
        <v>0.4</v>
      </c>
      <c r="T148">
        <f t="shared" si="19"/>
        <v>0</v>
      </c>
      <c r="U148">
        <f t="shared" si="15"/>
        <v>111.56075949367087</v>
      </c>
      <c r="W148">
        <v>91.8</v>
      </c>
      <c r="X148">
        <f t="shared" si="14"/>
        <v>5472.4000000000005</v>
      </c>
      <c r="Y148">
        <v>8.183766043067358</v>
      </c>
    </row>
    <row r="149" spans="1:25" x14ac:dyDescent="0.25">
      <c r="A149">
        <v>5320</v>
      </c>
      <c r="B149">
        <v>23210</v>
      </c>
      <c r="C149" s="1">
        <v>43094</v>
      </c>
      <c r="E149">
        <v>19</v>
      </c>
      <c r="F149" s="33"/>
      <c r="G149">
        <v>4.4000000000000004</v>
      </c>
      <c r="H149">
        <v>3.9</v>
      </c>
      <c r="I149">
        <v>5.5</v>
      </c>
      <c r="J149">
        <f t="shared" si="12"/>
        <v>1135.9999999999998</v>
      </c>
      <c r="K149">
        <f t="shared" si="13"/>
        <v>118.39999999999999</v>
      </c>
      <c r="M149">
        <v>0.5</v>
      </c>
      <c r="N149">
        <v>0.4</v>
      </c>
      <c r="O149">
        <f t="shared" si="17"/>
        <v>9.9999999999999978E-2</v>
      </c>
      <c r="Q149">
        <v>113</v>
      </c>
      <c r="R149">
        <v>1</v>
      </c>
      <c r="S149">
        <f t="shared" si="18"/>
        <v>0.4</v>
      </c>
      <c r="T149">
        <f t="shared" si="19"/>
        <v>9.9999999999999978E-2</v>
      </c>
      <c r="U149">
        <f t="shared" si="15"/>
        <v>111.66075949367087</v>
      </c>
      <c r="W149">
        <v>205.3</v>
      </c>
      <c r="X149">
        <f t="shared" si="14"/>
        <v>5677.7000000000007</v>
      </c>
      <c r="Y149">
        <v>8.1889601134039705</v>
      </c>
    </row>
    <row r="150" spans="1:25" x14ac:dyDescent="0.25">
      <c r="A150">
        <v>5320</v>
      </c>
      <c r="B150">
        <v>23210</v>
      </c>
      <c r="C150" s="1">
        <v>43095</v>
      </c>
      <c r="F150" s="33"/>
      <c r="G150">
        <v>6.7</v>
      </c>
      <c r="H150">
        <v>4.0999999999999996</v>
      </c>
      <c r="I150">
        <v>7.8</v>
      </c>
      <c r="J150">
        <f t="shared" si="12"/>
        <v>1142.6999999999998</v>
      </c>
      <c r="K150">
        <f t="shared" si="13"/>
        <v>125.1</v>
      </c>
      <c r="M150">
        <v>5.8</v>
      </c>
      <c r="N150">
        <v>0.6</v>
      </c>
      <c r="O150">
        <f t="shared" si="17"/>
        <v>5.2</v>
      </c>
      <c r="Q150">
        <v>114</v>
      </c>
      <c r="R150">
        <v>1</v>
      </c>
      <c r="S150">
        <f t="shared" si="18"/>
        <v>0.6</v>
      </c>
      <c r="T150">
        <f t="shared" si="19"/>
        <v>5.2</v>
      </c>
      <c r="U150">
        <f t="shared" si="15"/>
        <v>116.86075949367087</v>
      </c>
      <c r="W150">
        <v>157.19999999999999</v>
      </c>
      <c r="X150">
        <f t="shared" si="14"/>
        <v>5834.9000000000005</v>
      </c>
      <c r="Y150">
        <v>8.1955308218480898</v>
      </c>
    </row>
    <row r="151" spans="1:25" x14ac:dyDescent="0.25">
      <c r="A151">
        <v>5320</v>
      </c>
      <c r="B151">
        <v>23210</v>
      </c>
      <c r="C151" s="1">
        <v>43096</v>
      </c>
      <c r="E151">
        <v>20</v>
      </c>
      <c r="F151" s="33"/>
      <c r="G151">
        <v>4.4000000000000004</v>
      </c>
      <c r="H151">
        <v>4</v>
      </c>
      <c r="I151">
        <v>5.3</v>
      </c>
      <c r="J151">
        <f t="shared" si="12"/>
        <v>1147.0999999999999</v>
      </c>
      <c r="K151">
        <f t="shared" si="13"/>
        <v>129.5</v>
      </c>
      <c r="M151">
        <v>0.9</v>
      </c>
      <c r="N151">
        <v>0.9</v>
      </c>
      <c r="O151">
        <f t="shared" si="17"/>
        <v>0</v>
      </c>
      <c r="Q151">
        <v>115</v>
      </c>
      <c r="R151">
        <v>1</v>
      </c>
      <c r="S151">
        <f t="shared" si="18"/>
        <v>0.9</v>
      </c>
      <c r="T151">
        <f t="shared" si="19"/>
        <v>0</v>
      </c>
      <c r="U151">
        <f t="shared" si="15"/>
        <v>116.86075949367087</v>
      </c>
      <c r="W151">
        <v>136.9</v>
      </c>
      <c r="X151">
        <f t="shared" si="14"/>
        <v>5971.8</v>
      </c>
      <c r="Y151">
        <v>8.2034722461892375</v>
      </c>
    </row>
    <row r="152" spans="1:25" x14ac:dyDescent="0.25">
      <c r="A152">
        <v>5320</v>
      </c>
      <c r="B152">
        <v>23210</v>
      </c>
      <c r="C152" s="1">
        <v>43097</v>
      </c>
      <c r="E152">
        <v>21</v>
      </c>
      <c r="F152" s="33"/>
      <c r="G152">
        <v>1.2</v>
      </c>
      <c r="H152">
        <v>-0.4</v>
      </c>
      <c r="I152">
        <v>3.9</v>
      </c>
      <c r="J152">
        <f t="shared" si="12"/>
        <v>1148.3</v>
      </c>
      <c r="K152">
        <f t="shared" si="13"/>
        <v>130.69999999999999</v>
      </c>
      <c r="M152">
        <v>1.2</v>
      </c>
      <c r="N152">
        <v>0.5</v>
      </c>
      <c r="O152">
        <f t="shared" si="17"/>
        <v>0.7</v>
      </c>
      <c r="Q152">
        <v>116</v>
      </c>
      <c r="R152">
        <v>1</v>
      </c>
      <c r="S152">
        <f t="shared" si="18"/>
        <v>0.5</v>
      </c>
      <c r="T152">
        <f t="shared" si="19"/>
        <v>0.7</v>
      </c>
      <c r="U152">
        <f t="shared" si="15"/>
        <v>117.56075949367087</v>
      </c>
      <c r="W152">
        <v>552</v>
      </c>
      <c r="X152">
        <f t="shared" si="14"/>
        <v>6523.8</v>
      </c>
      <c r="Y152">
        <v>8.2127772598004913</v>
      </c>
    </row>
    <row r="153" spans="1:25" x14ac:dyDescent="0.25">
      <c r="A153">
        <v>5320</v>
      </c>
      <c r="B153">
        <v>23210</v>
      </c>
      <c r="C153" s="1">
        <v>43098</v>
      </c>
      <c r="F153" s="33"/>
      <c r="G153">
        <v>6</v>
      </c>
      <c r="H153">
        <v>0</v>
      </c>
      <c r="I153">
        <v>13.2</v>
      </c>
      <c r="J153">
        <f t="shared" si="12"/>
        <v>1154.3</v>
      </c>
      <c r="K153">
        <f t="shared" si="13"/>
        <v>136.69999999999999</v>
      </c>
      <c r="M153">
        <v>7.6</v>
      </c>
      <c r="N153">
        <v>0.7</v>
      </c>
      <c r="O153">
        <f t="shared" si="17"/>
        <v>6.8999999999999995</v>
      </c>
      <c r="Q153">
        <v>117</v>
      </c>
      <c r="R153">
        <v>1</v>
      </c>
      <c r="S153">
        <f t="shared" si="18"/>
        <v>0.7</v>
      </c>
      <c r="T153">
        <f t="shared" si="19"/>
        <v>6.8999999999999995</v>
      </c>
      <c r="U153">
        <f t="shared" si="15"/>
        <v>124.46075949367088</v>
      </c>
      <c r="W153">
        <v>123.2</v>
      </c>
      <c r="X153">
        <f t="shared" si="14"/>
        <v>6647</v>
      </c>
      <c r="Y153">
        <v>8.2234375553555719</v>
      </c>
    </row>
    <row r="154" spans="1:25" x14ac:dyDescent="0.25">
      <c r="A154">
        <v>5320</v>
      </c>
      <c r="B154">
        <v>23210</v>
      </c>
      <c r="C154" s="1">
        <v>43099</v>
      </c>
      <c r="F154" s="33"/>
      <c r="G154">
        <v>12.8</v>
      </c>
      <c r="H154">
        <v>9.1999999999999993</v>
      </c>
      <c r="I154">
        <v>13.4</v>
      </c>
      <c r="J154">
        <f t="shared" si="12"/>
        <v>1167.0999999999999</v>
      </c>
      <c r="K154">
        <f t="shared" si="13"/>
        <v>149.5</v>
      </c>
      <c r="M154">
        <v>0.1</v>
      </c>
      <c r="N154">
        <v>0.2</v>
      </c>
      <c r="O154">
        <f t="shared" si="17"/>
        <v>-0.1</v>
      </c>
      <c r="Q154">
        <v>118</v>
      </c>
      <c r="R154">
        <v>1</v>
      </c>
      <c r="S154">
        <f t="shared" si="18"/>
        <v>0.2</v>
      </c>
      <c r="T154">
        <f t="shared" si="19"/>
        <v>-0.1</v>
      </c>
      <c r="U154">
        <f t="shared" si="15"/>
        <v>124.36075949367088</v>
      </c>
      <c r="W154">
        <v>93.1</v>
      </c>
      <c r="X154">
        <f t="shared" si="14"/>
        <v>6740.1</v>
      </c>
      <c r="Y154">
        <v>8.2354436722521456</v>
      </c>
    </row>
    <row r="155" spans="1:25" x14ac:dyDescent="0.25">
      <c r="A155">
        <v>5320</v>
      </c>
      <c r="B155">
        <v>23210</v>
      </c>
      <c r="C155" s="1">
        <v>43100</v>
      </c>
      <c r="F155" s="33"/>
      <c r="G155">
        <v>11.4</v>
      </c>
      <c r="H155">
        <v>9.6999999999999993</v>
      </c>
      <c r="I155">
        <v>14</v>
      </c>
      <c r="J155">
        <f t="shared" si="12"/>
        <v>1178.5</v>
      </c>
      <c r="K155">
        <f t="shared" si="13"/>
        <v>160.9</v>
      </c>
      <c r="M155">
        <v>2.6</v>
      </c>
      <c r="N155">
        <v>2</v>
      </c>
      <c r="O155">
        <f t="shared" si="17"/>
        <v>0.60000000000000009</v>
      </c>
      <c r="Q155">
        <v>119</v>
      </c>
      <c r="R155">
        <v>1</v>
      </c>
      <c r="S155">
        <f t="shared" si="18"/>
        <v>2</v>
      </c>
      <c r="T155">
        <f t="shared" si="19"/>
        <v>0.60000000000000009</v>
      </c>
      <c r="U155">
        <f t="shared" si="15"/>
        <v>124.96075949367088</v>
      </c>
      <c r="W155">
        <v>305.3</v>
      </c>
      <c r="X155">
        <f t="shared" si="14"/>
        <v>7045.4000000000005</v>
      </c>
      <c r="Y155">
        <v>8.2487850275498307</v>
      </c>
    </row>
    <row r="156" spans="1:25" x14ac:dyDescent="0.25">
      <c r="A156">
        <v>5320</v>
      </c>
      <c r="B156">
        <v>23210</v>
      </c>
      <c r="C156" s="1">
        <v>43101</v>
      </c>
      <c r="F156" s="33"/>
      <c r="G156">
        <v>7.5</v>
      </c>
      <c r="H156">
        <v>6.2</v>
      </c>
      <c r="I156">
        <v>9.5</v>
      </c>
      <c r="J156">
        <f t="shared" si="12"/>
        <v>1186</v>
      </c>
      <c r="K156">
        <f t="shared" si="13"/>
        <v>168.4</v>
      </c>
      <c r="M156">
        <v>2.2000000000000002</v>
      </c>
      <c r="N156">
        <v>1.3</v>
      </c>
      <c r="O156">
        <f t="shared" si="17"/>
        <v>0.90000000000000013</v>
      </c>
      <c r="Q156">
        <v>120</v>
      </c>
      <c r="R156">
        <v>1</v>
      </c>
      <c r="S156">
        <f t="shared" si="18"/>
        <v>1.3</v>
      </c>
      <c r="T156">
        <f t="shared" si="19"/>
        <v>0.90000000000000013</v>
      </c>
      <c r="U156">
        <f t="shared" si="15"/>
        <v>125.86075949367088</v>
      </c>
      <c r="W156">
        <v>136.5</v>
      </c>
      <c r="X156">
        <f t="shared" si="14"/>
        <v>7181.9000000000005</v>
      </c>
      <c r="Y156">
        <v>8.2634499502099796</v>
      </c>
    </row>
    <row r="157" spans="1:25" x14ac:dyDescent="0.25">
      <c r="A157">
        <v>5320</v>
      </c>
      <c r="B157">
        <v>23210</v>
      </c>
      <c r="C157" s="1">
        <v>43102</v>
      </c>
      <c r="F157" s="33"/>
      <c r="G157">
        <v>8.6999999999999993</v>
      </c>
      <c r="H157">
        <v>5.2</v>
      </c>
      <c r="I157">
        <v>12.8</v>
      </c>
      <c r="J157">
        <f t="shared" si="12"/>
        <v>1194.7</v>
      </c>
      <c r="K157">
        <f t="shared" si="13"/>
        <v>177.1</v>
      </c>
      <c r="M157">
        <v>2.4</v>
      </c>
      <c r="N157">
        <v>0.8</v>
      </c>
      <c r="O157">
        <f t="shared" si="17"/>
        <v>1.5999999999999999</v>
      </c>
      <c r="Q157">
        <v>121</v>
      </c>
      <c r="R157">
        <v>1</v>
      </c>
      <c r="S157">
        <f t="shared" si="18"/>
        <v>0.8</v>
      </c>
      <c r="T157">
        <f t="shared" si="19"/>
        <v>1.5999999999999999</v>
      </c>
      <c r="U157">
        <f t="shared" si="15"/>
        <v>127.46075949367088</v>
      </c>
      <c r="W157">
        <v>149.5</v>
      </c>
      <c r="X157">
        <f t="shared" si="14"/>
        <v>7331.4000000000005</v>
      </c>
      <c r="Y157">
        <v>8.2794257184050437</v>
      </c>
    </row>
    <row r="158" spans="1:25" x14ac:dyDescent="0.25">
      <c r="A158">
        <v>5320</v>
      </c>
      <c r="B158">
        <v>23210</v>
      </c>
      <c r="C158" s="1">
        <v>43103</v>
      </c>
      <c r="F158" s="33"/>
      <c r="G158">
        <v>10.9</v>
      </c>
      <c r="H158">
        <v>9.6</v>
      </c>
      <c r="I158">
        <v>13</v>
      </c>
      <c r="J158">
        <f t="shared" si="12"/>
        <v>1205.6000000000001</v>
      </c>
      <c r="K158">
        <f t="shared" si="13"/>
        <v>188</v>
      </c>
      <c r="M158">
        <v>6.1</v>
      </c>
      <c r="N158">
        <v>2</v>
      </c>
      <c r="O158">
        <f t="shared" si="17"/>
        <v>4.0999999999999996</v>
      </c>
      <c r="Q158">
        <v>122</v>
      </c>
      <c r="R158">
        <v>1</v>
      </c>
      <c r="S158">
        <f t="shared" si="18"/>
        <v>2</v>
      </c>
      <c r="T158">
        <f t="shared" si="19"/>
        <v>4.0999999999999996</v>
      </c>
      <c r="U158">
        <f t="shared" si="15"/>
        <v>131.56075949367087</v>
      </c>
      <c r="W158">
        <v>394.7</v>
      </c>
      <c r="X158">
        <f t="shared" si="14"/>
        <v>7726.1</v>
      </c>
      <c r="Y158">
        <v>8.2966985996490656</v>
      </c>
    </row>
    <row r="159" spans="1:25" x14ac:dyDescent="0.25">
      <c r="A159">
        <v>5320</v>
      </c>
      <c r="B159">
        <v>23210</v>
      </c>
      <c r="C159" s="1">
        <v>43104</v>
      </c>
      <c r="F159" s="33"/>
      <c r="G159">
        <v>11.5</v>
      </c>
      <c r="H159">
        <v>9.5</v>
      </c>
      <c r="I159">
        <v>13.5</v>
      </c>
      <c r="J159">
        <f t="shared" si="12"/>
        <v>1217.1000000000001</v>
      </c>
      <c r="K159">
        <f t="shared" si="13"/>
        <v>199.5</v>
      </c>
      <c r="M159">
        <v>5.4</v>
      </c>
      <c r="N159">
        <v>0.8</v>
      </c>
      <c r="O159">
        <f t="shared" si="17"/>
        <v>4.6000000000000005</v>
      </c>
      <c r="Q159">
        <v>123</v>
      </c>
      <c r="R159">
        <v>1</v>
      </c>
      <c r="S159">
        <f t="shared" si="18"/>
        <v>0.8</v>
      </c>
      <c r="T159">
        <f t="shared" si="19"/>
        <v>4.6000000000000005</v>
      </c>
      <c r="U159">
        <f t="shared" si="15"/>
        <v>136.16075949367087</v>
      </c>
      <c r="W159">
        <v>114.2</v>
      </c>
      <c r="X159">
        <f t="shared" si="14"/>
        <v>7840.3</v>
      </c>
      <c r="Y159">
        <v>8.3152538934871156</v>
      </c>
    </row>
    <row r="160" spans="1:25" x14ac:dyDescent="0.25">
      <c r="A160">
        <v>5320</v>
      </c>
      <c r="B160">
        <v>23210</v>
      </c>
      <c r="C160" s="1">
        <v>43105</v>
      </c>
      <c r="F160" s="33"/>
      <c r="G160">
        <v>8.9</v>
      </c>
      <c r="H160">
        <v>7.9</v>
      </c>
      <c r="I160">
        <v>10.8</v>
      </c>
      <c r="J160">
        <f t="shared" si="12"/>
        <v>1226.0000000000002</v>
      </c>
      <c r="K160">
        <f t="shared" si="13"/>
        <v>208.4</v>
      </c>
      <c r="M160">
        <v>0.9</v>
      </c>
      <c r="N160">
        <v>0.7</v>
      </c>
      <c r="O160">
        <f t="shared" si="17"/>
        <v>0.20000000000000007</v>
      </c>
      <c r="Q160">
        <v>124</v>
      </c>
      <c r="R160">
        <v>1</v>
      </c>
      <c r="S160">
        <f t="shared" si="18"/>
        <v>0.7</v>
      </c>
      <c r="T160">
        <f t="shared" si="19"/>
        <v>0.20000000000000007</v>
      </c>
      <c r="U160">
        <f t="shared" si="15"/>
        <v>136.36075949367086</v>
      </c>
      <c r="W160">
        <v>153.19999999999999</v>
      </c>
      <c r="X160">
        <f t="shared" si="14"/>
        <v>7993.5</v>
      </c>
      <c r="Y160">
        <v>8.3350759764709519</v>
      </c>
    </row>
    <row r="161" spans="1:25" x14ac:dyDescent="0.25">
      <c r="A161">
        <v>5320</v>
      </c>
      <c r="B161">
        <v>23210</v>
      </c>
      <c r="C161" s="1">
        <v>43106</v>
      </c>
      <c r="F161" s="33"/>
      <c r="G161">
        <v>6.7</v>
      </c>
      <c r="H161">
        <v>6</v>
      </c>
      <c r="I161">
        <v>7.4</v>
      </c>
      <c r="J161">
        <f t="shared" si="12"/>
        <v>1232.7000000000003</v>
      </c>
      <c r="K161">
        <f t="shared" si="13"/>
        <v>215.1</v>
      </c>
      <c r="M161">
        <v>4.5</v>
      </c>
      <c r="N161">
        <v>0.2</v>
      </c>
      <c r="O161">
        <f t="shared" si="17"/>
        <v>4.3</v>
      </c>
      <c r="Q161">
        <v>125</v>
      </c>
      <c r="R161">
        <v>1</v>
      </c>
      <c r="S161">
        <f t="shared" si="18"/>
        <v>0.2</v>
      </c>
      <c r="T161">
        <f t="shared" si="19"/>
        <v>4.3</v>
      </c>
      <c r="U161">
        <f t="shared" si="15"/>
        <v>138.9</v>
      </c>
      <c r="W161">
        <v>110.9</v>
      </c>
      <c r="X161">
        <f t="shared" si="14"/>
        <v>8104.4</v>
      </c>
      <c r="Y161">
        <v>8.3561483491401756</v>
      </c>
    </row>
    <row r="162" spans="1:25" x14ac:dyDescent="0.25">
      <c r="A162">
        <v>5320</v>
      </c>
      <c r="B162">
        <v>23210</v>
      </c>
      <c r="C162" s="1">
        <v>43107</v>
      </c>
      <c r="F162" s="33"/>
      <c r="G162">
        <v>6.9</v>
      </c>
      <c r="H162">
        <v>6.6</v>
      </c>
      <c r="I162">
        <v>7.2</v>
      </c>
      <c r="J162">
        <f t="shared" si="12"/>
        <v>1239.6000000000004</v>
      </c>
      <c r="K162">
        <f t="shared" si="13"/>
        <v>222</v>
      </c>
      <c r="M162">
        <v>0.2</v>
      </c>
      <c r="N162">
        <v>0.6</v>
      </c>
      <c r="O162">
        <f t="shared" si="17"/>
        <v>-0.39999999999999997</v>
      </c>
      <c r="Q162">
        <v>126</v>
      </c>
      <c r="R162">
        <v>1</v>
      </c>
      <c r="S162">
        <f t="shared" si="18"/>
        <v>0.6</v>
      </c>
      <c r="T162">
        <f t="shared" si="19"/>
        <v>-0.39999999999999997</v>
      </c>
      <c r="U162">
        <f t="shared" si="15"/>
        <v>138.5</v>
      </c>
      <c r="W162">
        <v>99</v>
      </c>
      <c r="X162">
        <f t="shared" si="14"/>
        <v>8203.4</v>
      </c>
      <c r="Y162">
        <v>8.3784536847233806</v>
      </c>
    </row>
    <row r="163" spans="1:25" x14ac:dyDescent="0.25">
      <c r="A163">
        <v>5320</v>
      </c>
      <c r="B163">
        <v>23210</v>
      </c>
      <c r="C163" s="1">
        <v>43108</v>
      </c>
      <c r="F163" s="33"/>
      <c r="G163">
        <v>6.3</v>
      </c>
      <c r="H163">
        <v>6.3</v>
      </c>
      <c r="I163">
        <v>7.2</v>
      </c>
      <c r="J163">
        <f t="shared" si="12"/>
        <v>1245.9000000000003</v>
      </c>
      <c r="K163">
        <f t="shared" si="13"/>
        <v>228.3</v>
      </c>
      <c r="M163">
        <v>0.2</v>
      </c>
      <c r="N163">
        <v>0.7</v>
      </c>
      <c r="O163">
        <f t="shared" si="17"/>
        <v>-0.49999999999999994</v>
      </c>
      <c r="Q163">
        <v>127</v>
      </c>
      <c r="R163">
        <v>1</v>
      </c>
      <c r="S163">
        <f t="shared" si="18"/>
        <v>0.7</v>
      </c>
      <c r="T163">
        <f t="shared" si="19"/>
        <v>-0.49999999999999994</v>
      </c>
      <c r="U163">
        <f t="shared" si="15"/>
        <v>138</v>
      </c>
      <c r="W163">
        <v>290</v>
      </c>
      <c r="X163">
        <f t="shared" si="14"/>
        <v>8493.4</v>
      </c>
      <c r="Y163">
        <v>8.4019738792716492</v>
      </c>
    </row>
    <row r="164" spans="1:25" x14ac:dyDescent="0.25">
      <c r="A164">
        <v>5320</v>
      </c>
      <c r="B164">
        <v>23210</v>
      </c>
      <c r="C164" s="1">
        <v>43109</v>
      </c>
      <c r="F164" s="33"/>
      <c r="G164">
        <v>6</v>
      </c>
      <c r="H164">
        <v>3.4</v>
      </c>
      <c r="I164">
        <v>8.1999999999999993</v>
      </c>
      <c r="J164">
        <f t="shared" si="12"/>
        <v>1251.9000000000003</v>
      </c>
      <c r="K164">
        <f t="shared" si="13"/>
        <v>234.3</v>
      </c>
      <c r="M164">
        <v>3.5</v>
      </c>
      <c r="N164">
        <v>0.2</v>
      </c>
      <c r="O164">
        <f t="shared" si="17"/>
        <v>3.3</v>
      </c>
      <c r="Q164">
        <v>128</v>
      </c>
      <c r="R164">
        <v>1</v>
      </c>
      <c r="S164">
        <f t="shared" si="18"/>
        <v>0.2</v>
      </c>
      <c r="T164">
        <f t="shared" si="19"/>
        <v>3.3</v>
      </c>
      <c r="U164">
        <f t="shared" si="15"/>
        <v>138.9</v>
      </c>
      <c r="W164">
        <v>122.7</v>
      </c>
      <c r="X164">
        <f t="shared" si="14"/>
        <v>8616.1</v>
      </c>
      <c r="Y164">
        <v>8.4266901029372363</v>
      </c>
    </row>
    <row r="165" spans="1:25" x14ac:dyDescent="0.25">
      <c r="A165">
        <v>5320</v>
      </c>
      <c r="B165">
        <v>23210</v>
      </c>
      <c r="C165" s="1">
        <v>43110</v>
      </c>
      <c r="F165" s="33"/>
      <c r="G165">
        <v>7.2</v>
      </c>
      <c r="H165">
        <v>6.9</v>
      </c>
      <c r="I165">
        <v>8.4</v>
      </c>
      <c r="J165">
        <f t="shared" si="12"/>
        <v>1259.1000000000004</v>
      </c>
      <c r="K165">
        <f t="shared" si="13"/>
        <v>241.5</v>
      </c>
      <c r="M165">
        <v>1.6</v>
      </c>
      <c r="N165">
        <v>0.4</v>
      </c>
      <c r="O165">
        <f t="shared" si="17"/>
        <v>1.2000000000000002</v>
      </c>
      <c r="Q165">
        <v>129</v>
      </c>
      <c r="R165">
        <v>1</v>
      </c>
      <c r="S165">
        <f t="shared" si="18"/>
        <v>0.4</v>
      </c>
      <c r="T165">
        <f t="shared" si="19"/>
        <v>1.2000000000000002</v>
      </c>
      <c r="U165">
        <f t="shared" si="15"/>
        <v>138.9</v>
      </c>
      <c r="W165">
        <v>127.6</v>
      </c>
      <c r="X165">
        <f t="shared" si="14"/>
        <v>8743.7000000000007</v>
      </c>
      <c r="Y165">
        <v>8.4525828521136397</v>
      </c>
    </row>
    <row r="166" spans="1:25" x14ac:dyDescent="0.25">
      <c r="A166">
        <v>5320</v>
      </c>
      <c r="B166">
        <v>23210</v>
      </c>
      <c r="C166" s="1">
        <v>43111</v>
      </c>
      <c r="F166" s="33"/>
      <c r="G166">
        <v>6.9</v>
      </c>
      <c r="H166">
        <v>5.6</v>
      </c>
      <c r="I166">
        <v>8.6</v>
      </c>
      <c r="J166">
        <f t="shared" si="12"/>
        <v>1266.0000000000005</v>
      </c>
      <c r="K166">
        <f t="shared" si="13"/>
        <v>248.4</v>
      </c>
      <c r="M166">
        <v>0.1</v>
      </c>
      <c r="N166">
        <v>0.4</v>
      </c>
      <c r="O166">
        <f t="shared" si="17"/>
        <v>-0.30000000000000004</v>
      </c>
      <c r="Q166">
        <v>130</v>
      </c>
      <c r="R166">
        <v>1</v>
      </c>
      <c r="S166">
        <f t="shared" si="18"/>
        <v>0.4</v>
      </c>
      <c r="T166">
        <f t="shared" si="19"/>
        <v>-0.30000000000000004</v>
      </c>
      <c r="U166">
        <f t="shared" si="15"/>
        <v>138.6</v>
      </c>
      <c r="W166">
        <v>167.3</v>
      </c>
      <c r="X166">
        <f t="shared" si="14"/>
        <v>8911</v>
      </c>
      <c r="Y166">
        <v>8.4796320021586293</v>
      </c>
    </row>
    <row r="167" spans="1:25" x14ac:dyDescent="0.25">
      <c r="A167">
        <v>5320</v>
      </c>
      <c r="B167">
        <v>23210</v>
      </c>
      <c r="C167" s="1">
        <v>43112</v>
      </c>
      <c r="E167">
        <v>22</v>
      </c>
      <c r="F167" s="33"/>
      <c r="G167">
        <v>4.9000000000000004</v>
      </c>
      <c r="H167">
        <v>4.5</v>
      </c>
      <c r="I167">
        <v>6.1</v>
      </c>
      <c r="J167">
        <f t="shared" ref="J167:J230" si="20">J166+G167</f>
        <v>1270.9000000000005</v>
      </c>
      <c r="K167">
        <f t="shared" ref="K167:K230" si="21">K166+G167</f>
        <v>253.3</v>
      </c>
      <c r="M167">
        <v>0</v>
      </c>
      <c r="N167">
        <v>0.3</v>
      </c>
      <c r="O167">
        <f t="shared" si="17"/>
        <v>-0.3</v>
      </c>
      <c r="Q167">
        <v>131</v>
      </c>
      <c r="R167">
        <v>1</v>
      </c>
      <c r="S167">
        <f t="shared" si="18"/>
        <v>0.3</v>
      </c>
      <c r="T167">
        <f t="shared" si="19"/>
        <v>-0.3</v>
      </c>
      <c r="U167">
        <f t="shared" si="15"/>
        <v>138.29999999999998</v>
      </c>
      <c r="W167">
        <v>135.19999999999999</v>
      </c>
      <c r="X167">
        <f t="shared" ref="X167:X230" si="22">X166+W167</f>
        <v>9046.2000000000007</v>
      </c>
      <c r="Y167">
        <v>8.507816860429676</v>
      </c>
    </row>
    <row r="168" spans="1:25" x14ac:dyDescent="0.25">
      <c r="A168">
        <v>5320</v>
      </c>
      <c r="B168">
        <v>23210</v>
      </c>
      <c r="C168" s="1">
        <v>43113</v>
      </c>
      <c r="E168">
        <v>23</v>
      </c>
      <c r="F168" s="33"/>
      <c r="G168">
        <v>2.9</v>
      </c>
      <c r="H168">
        <v>1.8</v>
      </c>
      <c r="I168">
        <v>3.5</v>
      </c>
      <c r="J168">
        <f t="shared" si="20"/>
        <v>1273.8000000000006</v>
      </c>
      <c r="K168">
        <f t="shared" si="21"/>
        <v>256.2</v>
      </c>
      <c r="M168">
        <v>0</v>
      </c>
      <c r="N168">
        <v>0.1</v>
      </c>
      <c r="O168">
        <f t="shared" si="17"/>
        <v>-0.1</v>
      </c>
      <c r="Q168">
        <v>132</v>
      </c>
      <c r="R168">
        <v>1</v>
      </c>
      <c r="S168">
        <f t="shared" si="18"/>
        <v>0.1</v>
      </c>
      <c r="T168">
        <f t="shared" si="19"/>
        <v>-0.1</v>
      </c>
      <c r="U168">
        <f t="shared" si="15"/>
        <v>138.19999999999999</v>
      </c>
      <c r="W168">
        <v>204.8</v>
      </c>
      <c r="X168">
        <f t="shared" si="22"/>
        <v>9251</v>
      </c>
      <c r="Y168">
        <v>8.5371162193709402</v>
      </c>
    </row>
    <row r="169" spans="1:25" x14ac:dyDescent="0.25">
      <c r="A169">
        <v>5320</v>
      </c>
      <c r="B169">
        <v>23210</v>
      </c>
      <c r="C169" s="1">
        <v>43114</v>
      </c>
      <c r="E169">
        <v>24</v>
      </c>
      <c r="F169" s="33"/>
      <c r="G169">
        <v>2.9</v>
      </c>
      <c r="H169">
        <v>1.3</v>
      </c>
      <c r="I169">
        <v>5.8</v>
      </c>
      <c r="J169">
        <f t="shared" si="20"/>
        <v>1276.7000000000007</v>
      </c>
      <c r="K169">
        <f t="shared" si="21"/>
        <v>259.09999999999997</v>
      </c>
      <c r="M169">
        <v>0.1</v>
      </c>
      <c r="N169">
        <v>0.5</v>
      </c>
      <c r="O169">
        <f t="shared" si="17"/>
        <v>-0.4</v>
      </c>
      <c r="Q169">
        <v>133</v>
      </c>
      <c r="R169">
        <v>1</v>
      </c>
      <c r="S169">
        <f t="shared" si="18"/>
        <v>0.5</v>
      </c>
      <c r="T169">
        <f t="shared" si="19"/>
        <v>-0.4</v>
      </c>
      <c r="U169">
        <f t="shared" si="15"/>
        <v>137.79999999999998</v>
      </c>
      <c r="W169">
        <v>283.3</v>
      </c>
      <c r="X169">
        <f t="shared" si="22"/>
        <v>9534.2999999999993</v>
      </c>
      <c r="Y169">
        <v>8.5675084094025102</v>
      </c>
    </row>
    <row r="170" spans="1:25" x14ac:dyDescent="0.25">
      <c r="A170">
        <v>5320</v>
      </c>
      <c r="B170">
        <v>23210</v>
      </c>
      <c r="C170" s="1">
        <v>43115</v>
      </c>
      <c r="F170" s="33"/>
      <c r="G170">
        <v>7.1</v>
      </c>
      <c r="H170">
        <v>1.4</v>
      </c>
      <c r="I170">
        <v>9.6999999999999993</v>
      </c>
      <c r="J170">
        <f t="shared" si="20"/>
        <v>1283.8000000000006</v>
      </c>
      <c r="K170">
        <f t="shared" si="21"/>
        <v>266.2</v>
      </c>
      <c r="M170">
        <v>8.6999999999999993</v>
      </c>
      <c r="N170">
        <v>0.1</v>
      </c>
      <c r="O170">
        <f t="shared" si="17"/>
        <v>8.6</v>
      </c>
      <c r="Q170">
        <v>134</v>
      </c>
      <c r="R170">
        <v>1</v>
      </c>
      <c r="S170">
        <f t="shared" si="18"/>
        <v>0.1</v>
      </c>
      <c r="T170">
        <f t="shared" si="19"/>
        <v>8.6</v>
      </c>
      <c r="U170">
        <f t="shared" ref="U170:U233" si="23">MIN(U169+T170,138.9)</f>
        <v>138.9</v>
      </c>
      <c r="W170">
        <v>124.9</v>
      </c>
      <c r="X170">
        <f t="shared" si="22"/>
        <v>9659.1999999999989</v>
      </c>
      <c r="Y170">
        <v>8.5989713513754893</v>
      </c>
    </row>
    <row r="171" spans="1:25" x14ac:dyDescent="0.25">
      <c r="A171">
        <v>5320</v>
      </c>
      <c r="B171">
        <v>23210</v>
      </c>
      <c r="C171" s="1">
        <v>43116</v>
      </c>
      <c r="F171" s="33"/>
      <c r="G171">
        <v>8.8000000000000007</v>
      </c>
      <c r="H171">
        <v>8</v>
      </c>
      <c r="I171">
        <v>10.8</v>
      </c>
      <c r="J171">
        <f t="shared" si="20"/>
        <v>1292.6000000000006</v>
      </c>
      <c r="K171">
        <f t="shared" si="21"/>
        <v>275</v>
      </c>
      <c r="M171">
        <v>5</v>
      </c>
      <c r="N171">
        <v>1.3</v>
      </c>
      <c r="O171">
        <f t="shared" si="17"/>
        <v>3.7</v>
      </c>
      <c r="Q171">
        <v>135</v>
      </c>
      <c r="R171">
        <v>1</v>
      </c>
      <c r="S171">
        <f t="shared" si="18"/>
        <v>1.3</v>
      </c>
      <c r="T171">
        <f t="shared" si="19"/>
        <v>3.7</v>
      </c>
      <c r="U171">
        <f t="shared" si="23"/>
        <v>138.9</v>
      </c>
      <c r="W171">
        <v>140.4</v>
      </c>
      <c r="X171">
        <f t="shared" si="22"/>
        <v>9799.5999999999985</v>
      </c>
      <c r="Y171">
        <v>8.6314826083709857</v>
      </c>
    </row>
    <row r="172" spans="1:25" x14ac:dyDescent="0.25">
      <c r="A172">
        <v>5320</v>
      </c>
      <c r="B172">
        <v>23210</v>
      </c>
      <c r="C172" s="1">
        <v>43117</v>
      </c>
      <c r="F172" s="33"/>
      <c r="G172">
        <v>5.6</v>
      </c>
      <c r="H172">
        <v>4.4000000000000004</v>
      </c>
      <c r="I172">
        <v>9.1</v>
      </c>
      <c r="J172">
        <f t="shared" si="20"/>
        <v>1298.2000000000005</v>
      </c>
      <c r="K172">
        <f t="shared" si="21"/>
        <v>280.60000000000002</v>
      </c>
      <c r="M172">
        <v>0.6</v>
      </c>
      <c r="N172">
        <v>1.6</v>
      </c>
      <c r="O172">
        <f t="shared" si="17"/>
        <v>-1</v>
      </c>
      <c r="Q172">
        <v>136</v>
      </c>
      <c r="R172">
        <v>1</v>
      </c>
      <c r="S172">
        <f t="shared" si="18"/>
        <v>1.6</v>
      </c>
      <c r="T172">
        <f t="shared" si="19"/>
        <v>-1</v>
      </c>
      <c r="U172">
        <f t="shared" si="23"/>
        <v>137.9</v>
      </c>
      <c r="W172">
        <v>434.7</v>
      </c>
      <c r="X172">
        <f t="shared" si="22"/>
        <v>10234.299999999999</v>
      </c>
      <c r="Y172">
        <v>8.6650194366361735</v>
      </c>
    </row>
    <row r="173" spans="1:25" x14ac:dyDescent="0.25">
      <c r="A173">
        <v>5320</v>
      </c>
      <c r="B173">
        <v>23210</v>
      </c>
      <c r="C173" s="1">
        <v>43118</v>
      </c>
      <c r="F173" s="33"/>
      <c r="G173">
        <v>9.1999999999999993</v>
      </c>
      <c r="H173">
        <v>5.2</v>
      </c>
      <c r="I173">
        <v>10.8</v>
      </c>
      <c r="J173">
        <f t="shared" si="20"/>
        <v>1307.4000000000005</v>
      </c>
      <c r="K173">
        <f t="shared" si="21"/>
        <v>289.8</v>
      </c>
      <c r="M173">
        <v>5.3</v>
      </c>
      <c r="N173">
        <v>0.2</v>
      </c>
      <c r="O173">
        <f t="shared" si="17"/>
        <v>5.0999999999999996</v>
      </c>
      <c r="Q173">
        <v>137</v>
      </c>
      <c r="R173">
        <v>1</v>
      </c>
      <c r="S173">
        <f t="shared" si="18"/>
        <v>0.2</v>
      </c>
      <c r="T173">
        <f t="shared" si="19"/>
        <v>5.0999999999999996</v>
      </c>
      <c r="U173">
        <f t="shared" si="23"/>
        <v>138.9</v>
      </c>
      <c r="W173">
        <v>129.69999999999999</v>
      </c>
      <c r="X173">
        <f t="shared" si="22"/>
        <v>10364</v>
      </c>
      <c r="Y173">
        <v>8.6995588354668225</v>
      </c>
    </row>
    <row r="174" spans="1:25" x14ac:dyDescent="0.25">
      <c r="A174">
        <v>5320</v>
      </c>
      <c r="B174">
        <v>23210</v>
      </c>
      <c r="C174" s="1">
        <v>43119</v>
      </c>
      <c r="E174">
        <v>25</v>
      </c>
      <c r="F174" s="33"/>
      <c r="G174">
        <v>4.7</v>
      </c>
      <c r="H174">
        <v>3.4</v>
      </c>
      <c r="I174">
        <v>7.1</v>
      </c>
      <c r="J174">
        <f t="shared" si="20"/>
        <v>1312.1000000000006</v>
      </c>
      <c r="K174">
        <f t="shared" si="21"/>
        <v>294.5</v>
      </c>
      <c r="M174">
        <v>6.2</v>
      </c>
      <c r="N174">
        <v>0.8</v>
      </c>
      <c r="O174">
        <f t="shared" si="17"/>
        <v>5.4</v>
      </c>
      <c r="Q174">
        <v>138</v>
      </c>
      <c r="R174">
        <v>1</v>
      </c>
      <c r="S174">
        <f t="shared" si="18"/>
        <v>0.8</v>
      </c>
      <c r="T174">
        <f t="shared" si="19"/>
        <v>5.4</v>
      </c>
      <c r="U174">
        <f t="shared" si="23"/>
        <v>138.9</v>
      </c>
      <c r="W174">
        <v>316.60000000000002</v>
      </c>
      <c r="X174">
        <f t="shared" si="22"/>
        <v>10680.6</v>
      </c>
      <c r="Y174">
        <v>8.7350775958622737</v>
      </c>
    </row>
    <row r="175" spans="1:25" x14ac:dyDescent="0.25">
      <c r="A175">
        <v>5320</v>
      </c>
      <c r="B175">
        <v>23210</v>
      </c>
      <c r="C175" s="1">
        <v>43120</v>
      </c>
      <c r="F175" s="33"/>
      <c r="G175">
        <v>9.1</v>
      </c>
      <c r="H175">
        <v>3</v>
      </c>
      <c r="I175">
        <v>12.2</v>
      </c>
      <c r="J175">
        <f t="shared" si="20"/>
        <v>1321.2000000000005</v>
      </c>
      <c r="K175">
        <f t="shared" si="21"/>
        <v>303.60000000000002</v>
      </c>
      <c r="M175">
        <v>6.9</v>
      </c>
      <c r="N175">
        <v>0.1</v>
      </c>
      <c r="O175">
        <f t="shared" si="17"/>
        <v>6.8000000000000007</v>
      </c>
      <c r="Q175">
        <v>139</v>
      </c>
      <c r="R175">
        <v>1</v>
      </c>
      <c r="S175">
        <f t="shared" si="18"/>
        <v>0.1</v>
      </c>
      <c r="T175">
        <f t="shared" si="19"/>
        <v>6.8000000000000007</v>
      </c>
      <c r="U175">
        <f t="shared" si="23"/>
        <v>138.9</v>
      </c>
      <c r="W175">
        <v>203</v>
      </c>
      <c r="X175">
        <f t="shared" si="22"/>
        <v>10883.6</v>
      </c>
      <c r="Y175">
        <v>8.7715523477958008</v>
      </c>
    </row>
    <row r="176" spans="1:25" x14ac:dyDescent="0.25">
      <c r="A176">
        <v>5320</v>
      </c>
      <c r="B176">
        <v>23210</v>
      </c>
      <c r="C176" s="1">
        <v>43121</v>
      </c>
      <c r="F176" s="33"/>
      <c r="G176">
        <v>9.5</v>
      </c>
      <c r="H176">
        <v>7.8</v>
      </c>
      <c r="I176">
        <v>11.8</v>
      </c>
      <c r="J176">
        <f t="shared" si="20"/>
        <v>1330.7000000000005</v>
      </c>
      <c r="K176">
        <f t="shared" si="21"/>
        <v>313.10000000000002</v>
      </c>
      <c r="M176">
        <v>1.9</v>
      </c>
      <c r="N176">
        <v>0.7</v>
      </c>
      <c r="O176">
        <f t="shared" si="17"/>
        <v>1.2</v>
      </c>
      <c r="Q176">
        <v>140</v>
      </c>
      <c r="R176">
        <v>1</v>
      </c>
      <c r="S176">
        <f t="shared" si="18"/>
        <v>0.7</v>
      </c>
      <c r="T176">
        <f t="shared" si="19"/>
        <v>1.2</v>
      </c>
      <c r="U176">
        <f t="shared" si="23"/>
        <v>138.9</v>
      </c>
      <c r="W176">
        <v>207</v>
      </c>
      <c r="X176">
        <f t="shared" si="22"/>
        <v>11090.6</v>
      </c>
      <c r="Y176">
        <v>8.8089596059603839</v>
      </c>
    </row>
    <row r="177" spans="1:25" x14ac:dyDescent="0.25">
      <c r="A177">
        <v>5320</v>
      </c>
      <c r="B177">
        <v>23210</v>
      </c>
      <c r="C177" s="1">
        <v>43122</v>
      </c>
      <c r="F177" s="33"/>
      <c r="G177">
        <v>9.9</v>
      </c>
      <c r="H177">
        <v>7.1</v>
      </c>
      <c r="I177">
        <v>12.6</v>
      </c>
      <c r="J177">
        <f t="shared" si="20"/>
        <v>1340.6000000000006</v>
      </c>
      <c r="K177">
        <f t="shared" si="21"/>
        <v>323</v>
      </c>
      <c r="M177">
        <v>1.1000000000000001</v>
      </c>
      <c r="N177">
        <v>0.6</v>
      </c>
      <c r="O177">
        <f t="shared" si="17"/>
        <v>0.50000000000000011</v>
      </c>
      <c r="Q177">
        <v>141</v>
      </c>
      <c r="R177">
        <v>1</v>
      </c>
      <c r="S177">
        <f t="shared" si="18"/>
        <v>0.6</v>
      </c>
      <c r="T177">
        <f t="shared" si="19"/>
        <v>0.50000000000000011</v>
      </c>
      <c r="U177">
        <f t="shared" si="23"/>
        <v>138.9</v>
      </c>
      <c r="W177">
        <v>114.7</v>
      </c>
      <c r="X177">
        <f t="shared" si="22"/>
        <v>11205.300000000001</v>
      </c>
      <c r="Y177">
        <v>8.8472758138670144</v>
      </c>
    </row>
    <row r="178" spans="1:25" x14ac:dyDescent="0.25">
      <c r="A178">
        <v>5320</v>
      </c>
      <c r="B178">
        <v>23210</v>
      </c>
      <c r="C178" s="1">
        <v>43123</v>
      </c>
      <c r="F178" s="33"/>
      <c r="G178">
        <v>8.6999999999999993</v>
      </c>
      <c r="H178">
        <v>5.5</v>
      </c>
      <c r="I178">
        <v>11</v>
      </c>
      <c r="J178">
        <f t="shared" si="20"/>
        <v>1349.3000000000006</v>
      </c>
      <c r="K178">
        <f t="shared" si="21"/>
        <v>331.7</v>
      </c>
      <c r="M178">
        <v>0.3</v>
      </c>
      <c r="N178">
        <v>0.2</v>
      </c>
      <c r="O178">
        <f t="shared" si="17"/>
        <v>9.9999999999999978E-2</v>
      </c>
      <c r="Q178">
        <v>142</v>
      </c>
      <c r="R178">
        <v>1</v>
      </c>
      <c r="S178">
        <f t="shared" si="18"/>
        <v>0.2</v>
      </c>
      <c r="T178">
        <f t="shared" si="19"/>
        <v>9.9999999999999978E-2</v>
      </c>
      <c r="U178">
        <f t="shared" si="23"/>
        <v>138.9</v>
      </c>
      <c r="W178">
        <v>200.4</v>
      </c>
      <c r="X178">
        <f t="shared" si="22"/>
        <v>11405.7</v>
      </c>
      <c r="Y178">
        <v>8.8864773861893127</v>
      </c>
    </row>
    <row r="179" spans="1:25" x14ac:dyDescent="0.25">
      <c r="A179">
        <v>5320</v>
      </c>
      <c r="B179">
        <v>23210</v>
      </c>
      <c r="C179" s="1">
        <v>43124</v>
      </c>
      <c r="F179" s="33"/>
      <c r="G179">
        <v>11.3</v>
      </c>
      <c r="H179">
        <v>10.9</v>
      </c>
      <c r="I179">
        <v>12.1</v>
      </c>
      <c r="J179">
        <f t="shared" si="20"/>
        <v>1360.6000000000006</v>
      </c>
      <c r="K179">
        <f t="shared" si="21"/>
        <v>343</v>
      </c>
      <c r="M179">
        <v>4.5999999999999996</v>
      </c>
      <c r="N179">
        <v>0.9</v>
      </c>
      <c r="O179">
        <f t="shared" si="17"/>
        <v>3.6999999999999997</v>
      </c>
      <c r="Q179">
        <v>143</v>
      </c>
      <c r="R179">
        <v>1</v>
      </c>
      <c r="S179">
        <f t="shared" si="18"/>
        <v>0.9</v>
      </c>
      <c r="T179">
        <f t="shared" si="19"/>
        <v>3.6999999999999997</v>
      </c>
      <c r="U179">
        <f t="shared" si="23"/>
        <v>138.9</v>
      </c>
      <c r="W179">
        <v>249.1</v>
      </c>
      <c r="X179">
        <f t="shared" si="22"/>
        <v>11654.800000000001</v>
      </c>
      <c r="Y179">
        <v>8.9265407492647775</v>
      </c>
    </row>
    <row r="180" spans="1:25" x14ac:dyDescent="0.25">
      <c r="A180">
        <v>5320</v>
      </c>
      <c r="B180">
        <v>23210</v>
      </c>
      <c r="C180" s="1">
        <v>43125</v>
      </c>
      <c r="D180" t="s">
        <v>37</v>
      </c>
      <c r="F180" s="33"/>
      <c r="G180">
        <v>7.8</v>
      </c>
      <c r="H180">
        <v>7.4</v>
      </c>
      <c r="I180">
        <v>8.1999999999999993</v>
      </c>
      <c r="J180">
        <f t="shared" si="20"/>
        <v>1368.4000000000005</v>
      </c>
      <c r="K180">
        <f t="shared" si="21"/>
        <v>350.8</v>
      </c>
      <c r="M180">
        <v>6.6</v>
      </c>
      <c r="N180">
        <v>0.3</v>
      </c>
      <c r="O180">
        <f t="shared" si="17"/>
        <v>6.3</v>
      </c>
      <c r="Q180">
        <v>144</v>
      </c>
      <c r="R180">
        <v>1</v>
      </c>
      <c r="S180">
        <f t="shared" si="18"/>
        <v>0.3</v>
      </c>
      <c r="T180">
        <f t="shared" si="19"/>
        <v>6.3</v>
      </c>
      <c r="U180">
        <f t="shared" si="23"/>
        <v>138.9</v>
      </c>
      <c r="W180">
        <v>147.9</v>
      </c>
      <c r="X180">
        <f t="shared" si="22"/>
        <v>11802.7</v>
      </c>
      <c r="Y180">
        <v>8.9674423796787313</v>
      </c>
    </row>
    <row r="181" spans="1:25" x14ac:dyDescent="0.25">
      <c r="A181">
        <v>5320</v>
      </c>
      <c r="B181">
        <v>23210</v>
      </c>
      <c r="C181" s="1">
        <v>43126</v>
      </c>
      <c r="F181" s="33"/>
      <c r="G181">
        <v>4.5</v>
      </c>
      <c r="H181">
        <v>4</v>
      </c>
      <c r="I181">
        <v>5.6</v>
      </c>
      <c r="J181">
        <f t="shared" si="20"/>
        <v>1372.9000000000005</v>
      </c>
      <c r="K181">
        <f t="shared" si="21"/>
        <v>355.3</v>
      </c>
      <c r="M181">
        <v>0.2</v>
      </c>
      <c r="N181">
        <v>0.2</v>
      </c>
      <c r="O181">
        <f t="shared" si="17"/>
        <v>0</v>
      </c>
      <c r="Q181">
        <v>145</v>
      </c>
      <c r="R181">
        <v>1</v>
      </c>
      <c r="S181">
        <f t="shared" si="18"/>
        <v>0.2</v>
      </c>
      <c r="T181">
        <f t="shared" si="19"/>
        <v>0</v>
      </c>
      <c r="U181">
        <f t="shared" si="23"/>
        <v>138.9</v>
      </c>
      <c r="W181">
        <v>241.3</v>
      </c>
      <c r="X181">
        <f t="shared" si="22"/>
        <v>12044</v>
      </c>
      <c r="Y181">
        <v>9.0091588408723204</v>
      </c>
    </row>
    <row r="182" spans="1:25" x14ac:dyDescent="0.25">
      <c r="A182">
        <v>5320</v>
      </c>
      <c r="B182">
        <v>23210</v>
      </c>
      <c r="C182" s="1">
        <v>43127</v>
      </c>
      <c r="F182" s="33"/>
      <c r="G182">
        <v>2.2999999999999998</v>
      </c>
      <c r="H182">
        <v>1.1000000000000001</v>
      </c>
      <c r="I182">
        <v>4.2</v>
      </c>
      <c r="J182">
        <f t="shared" si="20"/>
        <v>1375.2000000000005</v>
      </c>
      <c r="K182">
        <f t="shared" si="21"/>
        <v>357.6</v>
      </c>
      <c r="M182">
        <v>0.2</v>
      </c>
      <c r="N182">
        <v>0.5</v>
      </c>
      <c r="O182">
        <f t="shared" si="17"/>
        <v>-0.3</v>
      </c>
      <c r="Q182">
        <v>146</v>
      </c>
      <c r="R182">
        <v>1</v>
      </c>
      <c r="S182">
        <f t="shared" si="18"/>
        <v>0.5</v>
      </c>
      <c r="T182">
        <f t="shared" si="19"/>
        <v>-0.3</v>
      </c>
      <c r="U182">
        <f t="shared" si="23"/>
        <v>138.6</v>
      </c>
      <c r="W182">
        <v>433.8</v>
      </c>
      <c r="X182">
        <f t="shared" si="22"/>
        <v>12477.8</v>
      </c>
      <c r="Y182">
        <v>9.0516668177304123</v>
      </c>
    </row>
    <row r="183" spans="1:25" x14ac:dyDescent="0.25">
      <c r="A183">
        <v>5320</v>
      </c>
      <c r="B183">
        <v>23210</v>
      </c>
      <c r="C183" s="1">
        <v>43128</v>
      </c>
      <c r="F183" s="33"/>
      <c r="G183">
        <v>6.7</v>
      </c>
      <c r="H183">
        <v>2.9</v>
      </c>
      <c r="I183">
        <v>8.9</v>
      </c>
      <c r="J183">
        <f t="shared" si="20"/>
        <v>1381.9000000000005</v>
      </c>
      <c r="K183">
        <f t="shared" si="21"/>
        <v>364.3</v>
      </c>
      <c r="M183">
        <v>1.1000000000000001</v>
      </c>
      <c r="N183">
        <v>0.2</v>
      </c>
      <c r="O183">
        <f t="shared" si="17"/>
        <v>0.90000000000000013</v>
      </c>
      <c r="Q183">
        <v>147</v>
      </c>
      <c r="R183">
        <v>1</v>
      </c>
      <c r="S183">
        <f t="shared" si="18"/>
        <v>0.2</v>
      </c>
      <c r="T183">
        <f t="shared" si="19"/>
        <v>0.90000000000000013</v>
      </c>
      <c r="U183">
        <f t="shared" si="23"/>
        <v>138.9</v>
      </c>
      <c r="W183">
        <v>101.7</v>
      </c>
      <c r="X183">
        <f t="shared" si="22"/>
        <v>12579.5</v>
      </c>
      <c r="Y183">
        <v>9.0949431491188708</v>
      </c>
    </row>
    <row r="184" spans="1:25" x14ac:dyDescent="0.25">
      <c r="A184">
        <v>5320</v>
      </c>
      <c r="B184">
        <v>23210</v>
      </c>
      <c r="C184" s="1">
        <v>43129</v>
      </c>
      <c r="F184" s="33"/>
      <c r="G184">
        <v>8.9</v>
      </c>
      <c r="H184">
        <v>8.6</v>
      </c>
      <c r="I184">
        <v>9.8000000000000007</v>
      </c>
      <c r="J184">
        <f t="shared" si="20"/>
        <v>1390.8000000000006</v>
      </c>
      <c r="K184">
        <f t="shared" si="21"/>
        <v>373.2</v>
      </c>
      <c r="M184">
        <v>0.4</v>
      </c>
      <c r="N184">
        <v>0.4</v>
      </c>
      <c r="O184">
        <f t="shared" si="17"/>
        <v>0</v>
      </c>
      <c r="Q184">
        <v>148</v>
      </c>
      <c r="R184">
        <v>1</v>
      </c>
      <c r="S184">
        <f t="shared" si="18"/>
        <v>0.4</v>
      </c>
      <c r="T184">
        <f t="shared" si="19"/>
        <v>0</v>
      </c>
      <c r="U184">
        <f t="shared" si="23"/>
        <v>138.9</v>
      </c>
      <c r="W184">
        <v>142.9</v>
      </c>
      <c r="X184">
        <f t="shared" si="22"/>
        <v>12722.4</v>
      </c>
      <c r="Y184">
        <v>9.1389648583535354</v>
      </c>
    </row>
    <row r="185" spans="1:25" x14ac:dyDescent="0.25">
      <c r="A185">
        <v>5320</v>
      </c>
      <c r="B185">
        <v>23210</v>
      </c>
      <c r="C185" s="1">
        <v>43130</v>
      </c>
      <c r="F185" s="33"/>
      <c r="G185">
        <v>9</v>
      </c>
      <c r="H185">
        <v>7.6</v>
      </c>
      <c r="I185">
        <v>10.199999999999999</v>
      </c>
      <c r="J185">
        <f t="shared" si="20"/>
        <v>1399.8000000000006</v>
      </c>
      <c r="K185">
        <f t="shared" si="21"/>
        <v>382.2</v>
      </c>
      <c r="M185">
        <v>0.3</v>
      </c>
      <c r="N185">
        <v>0.4</v>
      </c>
      <c r="O185">
        <f t="shared" si="17"/>
        <v>-0.10000000000000003</v>
      </c>
      <c r="Q185">
        <v>149</v>
      </c>
      <c r="R185">
        <v>1</v>
      </c>
      <c r="S185">
        <f t="shared" si="18"/>
        <v>0.4</v>
      </c>
      <c r="T185">
        <f t="shared" si="19"/>
        <v>-0.10000000000000003</v>
      </c>
      <c r="U185">
        <f t="shared" si="23"/>
        <v>138.80000000000001</v>
      </c>
      <c r="W185">
        <v>209.7</v>
      </c>
      <c r="X185">
        <f t="shared" si="22"/>
        <v>12932.1</v>
      </c>
      <c r="Y185">
        <v>9.1837091815950931</v>
      </c>
    </row>
    <row r="186" spans="1:25" x14ac:dyDescent="0.25">
      <c r="A186">
        <v>5320</v>
      </c>
      <c r="B186">
        <v>23210</v>
      </c>
      <c r="C186" s="1">
        <v>43131</v>
      </c>
      <c r="F186" s="33"/>
      <c r="G186">
        <v>7.3</v>
      </c>
      <c r="H186">
        <v>7.3</v>
      </c>
      <c r="I186">
        <v>8.1999999999999993</v>
      </c>
      <c r="J186">
        <f t="shared" si="20"/>
        <v>1407.1000000000006</v>
      </c>
      <c r="K186">
        <f t="shared" si="21"/>
        <v>389.5</v>
      </c>
      <c r="M186">
        <v>14</v>
      </c>
      <c r="N186">
        <v>0.7</v>
      </c>
      <c r="O186">
        <f t="shared" si="17"/>
        <v>13.3</v>
      </c>
      <c r="Q186">
        <v>150</v>
      </c>
      <c r="R186">
        <v>1</v>
      </c>
      <c r="S186">
        <f t="shared" si="18"/>
        <v>0.7</v>
      </c>
      <c r="T186">
        <f t="shared" si="19"/>
        <v>13.3</v>
      </c>
      <c r="U186">
        <f t="shared" si="23"/>
        <v>138.9</v>
      </c>
      <c r="W186">
        <v>141.6</v>
      </c>
      <c r="X186">
        <f t="shared" si="22"/>
        <v>13073.7</v>
      </c>
      <c r="Y186">
        <v>9.2291535941749903</v>
      </c>
    </row>
    <row r="187" spans="1:25" x14ac:dyDescent="0.25">
      <c r="A187">
        <v>5320</v>
      </c>
      <c r="B187">
        <v>23210</v>
      </c>
      <c r="C187" s="1">
        <v>43132</v>
      </c>
      <c r="F187" s="33"/>
      <c r="G187">
        <v>3.6</v>
      </c>
      <c r="H187">
        <v>2.4</v>
      </c>
      <c r="I187">
        <v>6.3</v>
      </c>
      <c r="J187">
        <f t="shared" si="20"/>
        <v>1410.7000000000005</v>
      </c>
      <c r="K187">
        <f t="shared" si="21"/>
        <v>393.1</v>
      </c>
      <c r="M187">
        <v>0.1</v>
      </c>
      <c r="N187">
        <v>0.7</v>
      </c>
      <c r="O187">
        <f t="shared" si="17"/>
        <v>-0.6</v>
      </c>
      <c r="Q187">
        <v>151</v>
      </c>
      <c r="R187">
        <v>1</v>
      </c>
      <c r="S187">
        <f t="shared" si="18"/>
        <v>0.7</v>
      </c>
      <c r="T187">
        <f t="shared" si="19"/>
        <v>-0.6</v>
      </c>
      <c r="U187">
        <f t="shared" si="23"/>
        <v>138.30000000000001</v>
      </c>
      <c r="W187">
        <v>347.2</v>
      </c>
      <c r="X187">
        <f t="shared" si="22"/>
        <v>13420.900000000001</v>
      </c>
      <c r="Y187">
        <v>9.2752758348674824</v>
      </c>
    </row>
    <row r="188" spans="1:25" x14ac:dyDescent="0.25">
      <c r="A188">
        <v>5320</v>
      </c>
      <c r="B188">
        <v>23210</v>
      </c>
      <c r="C188" s="1">
        <v>43133</v>
      </c>
      <c r="F188" s="33"/>
      <c r="G188">
        <v>2.4</v>
      </c>
      <c r="H188">
        <v>-0.6</v>
      </c>
      <c r="I188">
        <v>6</v>
      </c>
      <c r="J188">
        <f t="shared" si="20"/>
        <v>1413.1000000000006</v>
      </c>
      <c r="K188">
        <f t="shared" si="21"/>
        <v>395.5</v>
      </c>
      <c r="M188">
        <v>0.5</v>
      </c>
      <c r="N188">
        <v>0.5</v>
      </c>
      <c r="O188">
        <f t="shared" si="17"/>
        <v>0</v>
      </c>
      <c r="Q188">
        <v>152</v>
      </c>
      <c r="R188">
        <v>1</v>
      </c>
      <c r="S188">
        <f t="shared" si="18"/>
        <v>0.5</v>
      </c>
      <c r="T188">
        <f t="shared" si="19"/>
        <v>0</v>
      </c>
      <c r="U188">
        <f t="shared" si="23"/>
        <v>138.30000000000001</v>
      </c>
      <c r="W188">
        <v>503.4</v>
      </c>
      <c r="X188">
        <f t="shared" si="22"/>
        <v>13924.300000000001</v>
      </c>
      <c r="Y188">
        <v>9.3220539281320214</v>
      </c>
    </row>
    <row r="189" spans="1:25" x14ac:dyDescent="0.25">
      <c r="A189">
        <v>5320</v>
      </c>
      <c r="B189">
        <v>23210</v>
      </c>
      <c r="C189" s="1">
        <v>43134</v>
      </c>
      <c r="F189" s="33"/>
      <c r="G189">
        <v>3</v>
      </c>
      <c r="H189">
        <v>0.6</v>
      </c>
      <c r="I189">
        <v>4.4000000000000004</v>
      </c>
      <c r="J189">
        <f t="shared" si="20"/>
        <v>1416.1000000000006</v>
      </c>
      <c r="K189">
        <f t="shared" si="21"/>
        <v>398.5</v>
      </c>
      <c r="M189">
        <v>1.2</v>
      </c>
      <c r="N189">
        <v>0.1</v>
      </c>
      <c r="O189">
        <f t="shared" si="17"/>
        <v>1.0999999999999999</v>
      </c>
      <c r="Q189">
        <v>153</v>
      </c>
      <c r="R189">
        <v>1</v>
      </c>
      <c r="S189">
        <f t="shared" si="18"/>
        <v>0.1</v>
      </c>
      <c r="T189">
        <f t="shared" si="19"/>
        <v>1.0999999999999999</v>
      </c>
      <c r="U189">
        <f t="shared" si="23"/>
        <v>138.9</v>
      </c>
      <c r="W189">
        <v>169</v>
      </c>
      <c r="X189">
        <f t="shared" si="22"/>
        <v>14093.300000000001</v>
      </c>
      <c r="Y189">
        <v>9.3694662043581936</v>
      </c>
    </row>
    <row r="190" spans="1:25" x14ac:dyDescent="0.25">
      <c r="A190">
        <v>5320</v>
      </c>
      <c r="B190">
        <v>23210</v>
      </c>
      <c r="C190" s="1">
        <v>43135</v>
      </c>
      <c r="F190" s="33"/>
      <c r="G190">
        <v>2.2000000000000002</v>
      </c>
      <c r="H190">
        <v>0.4</v>
      </c>
      <c r="I190">
        <v>3.6</v>
      </c>
      <c r="J190">
        <f t="shared" si="20"/>
        <v>1418.3000000000006</v>
      </c>
      <c r="K190">
        <f t="shared" si="21"/>
        <v>400.7</v>
      </c>
      <c r="M190">
        <v>1.9</v>
      </c>
      <c r="N190">
        <v>0.3</v>
      </c>
      <c r="O190">
        <f t="shared" si="17"/>
        <v>1.5999999999999999</v>
      </c>
      <c r="Q190">
        <v>154</v>
      </c>
      <c r="R190">
        <v>1</v>
      </c>
      <c r="S190">
        <f t="shared" si="18"/>
        <v>0.3</v>
      </c>
      <c r="T190">
        <f t="shared" si="19"/>
        <v>1.5999999999999999</v>
      </c>
      <c r="U190">
        <f t="shared" si="23"/>
        <v>138.9</v>
      </c>
      <c r="W190">
        <v>176.8</v>
      </c>
      <c r="X190">
        <f t="shared" si="22"/>
        <v>14270.1</v>
      </c>
      <c r="Y190">
        <v>9.4174913181526065</v>
      </c>
    </row>
    <row r="191" spans="1:25" x14ac:dyDescent="0.25">
      <c r="A191">
        <v>5320</v>
      </c>
      <c r="B191">
        <v>23210</v>
      </c>
      <c r="C191" s="1">
        <v>43136</v>
      </c>
      <c r="F191" s="33"/>
      <c r="G191">
        <v>-0.3</v>
      </c>
      <c r="H191">
        <v>-1.8</v>
      </c>
      <c r="I191">
        <v>0.3</v>
      </c>
      <c r="J191">
        <v>1418.3</v>
      </c>
      <c r="K191">
        <f t="shared" si="21"/>
        <v>400.4</v>
      </c>
      <c r="M191">
        <v>1.3</v>
      </c>
      <c r="N191">
        <v>0.4</v>
      </c>
      <c r="O191">
        <f t="shared" si="17"/>
        <v>0.9</v>
      </c>
      <c r="Q191">
        <v>155</v>
      </c>
      <c r="R191">
        <v>1</v>
      </c>
      <c r="S191">
        <f t="shared" si="18"/>
        <v>0.4</v>
      </c>
      <c r="T191">
        <f t="shared" si="19"/>
        <v>0.9</v>
      </c>
      <c r="U191">
        <f t="shared" si="23"/>
        <v>138.9</v>
      </c>
      <c r="W191">
        <v>275.60000000000002</v>
      </c>
      <c r="X191">
        <f t="shared" si="22"/>
        <v>14545.7</v>
      </c>
      <c r="Y191">
        <v>9.4661082647134211</v>
      </c>
    </row>
    <row r="192" spans="1:25" x14ac:dyDescent="0.25">
      <c r="A192">
        <v>5320</v>
      </c>
      <c r="B192">
        <v>23210</v>
      </c>
      <c r="C192" s="1">
        <v>43137</v>
      </c>
      <c r="F192" s="33"/>
      <c r="G192">
        <v>-0.4</v>
      </c>
      <c r="H192">
        <v>-1.2</v>
      </c>
      <c r="I192">
        <v>0.1</v>
      </c>
      <c r="J192">
        <v>1418.3</v>
      </c>
      <c r="K192">
        <v>400.4</v>
      </c>
      <c r="M192">
        <v>1.7</v>
      </c>
      <c r="N192">
        <v>0.3</v>
      </c>
      <c r="O192">
        <f t="shared" si="17"/>
        <v>1.4</v>
      </c>
      <c r="Q192">
        <v>156</v>
      </c>
      <c r="R192">
        <v>1</v>
      </c>
      <c r="S192">
        <f t="shared" si="18"/>
        <v>0.3</v>
      </c>
      <c r="T192">
        <f t="shared" si="19"/>
        <v>1.4</v>
      </c>
      <c r="U192">
        <f t="shared" si="23"/>
        <v>138.9</v>
      </c>
      <c r="W192">
        <v>186.5</v>
      </c>
      <c r="X192">
        <f t="shared" si="22"/>
        <v>14732.2</v>
      </c>
      <c r="Y192">
        <v>9.5152963943435314</v>
      </c>
    </row>
    <row r="193" spans="1:25" x14ac:dyDescent="0.25">
      <c r="A193">
        <v>5320</v>
      </c>
      <c r="B193">
        <v>23210</v>
      </c>
      <c r="C193" s="1">
        <v>43138</v>
      </c>
      <c r="F193" s="33"/>
      <c r="G193">
        <v>-2.1</v>
      </c>
      <c r="H193">
        <v>-4.2</v>
      </c>
      <c r="I193">
        <v>-1</v>
      </c>
      <c r="J193">
        <v>1418.3</v>
      </c>
      <c r="K193">
        <v>400.4</v>
      </c>
      <c r="M193">
        <v>0</v>
      </c>
      <c r="N193">
        <v>0.2</v>
      </c>
      <c r="O193">
        <f t="shared" si="17"/>
        <v>-0.2</v>
      </c>
      <c r="Q193">
        <v>157</v>
      </c>
      <c r="R193">
        <v>1</v>
      </c>
      <c r="S193">
        <f t="shared" si="18"/>
        <v>0.2</v>
      </c>
      <c r="T193">
        <f t="shared" si="19"/>
        <v>-0.2</v>
      </c>
      <c r="U193">
        <f t="shared" si="23"/>
        <v>138.70000000000002</v>
      </c>
      <c r="W193">
        <v>194.6</v>
      </c>
      <c r="X193">
        <f t="shared" si="22"/>
        <v>14926.800000000001</v>
      </c>
      <c r="Y193">
        <v>9.565035425158074</v>
      </c>
    </row>
    <row r="194" spans="1:25" x14ac:dyDescent="0.25">
      <c r="A194">
        <v>5320</v>
      </c>
      <c r="B194">
        <v>23210</v>
      </c>
      <c r="C194" s="1">
        <v>43139</v>
      </c>
      <c r="F194" s="33"/>
      <c r="G194">
        <v>-4.4000000000000004</v>
      </c>
      <c r="H194">
        <v>-6.3</v>
      </c>
      <c r="I194">
        <v>-1.9</v>
      </c>
      <c r="J194">
        <v>1418.3</v>
      </c>
      <c r="K194">
        <v>400.4</v>
      </c>
      <c r="M194">
        <v>0</v>
      </c>
      <c r="N194">
        <v>0.7</v>
      </c>
      <c r="O194">
        <f t="shared" si="17"/>
        <v>-0.7</v>
      </c>
      <c r="Q194">
        <v>158</v>
      </c>
      <c r="R194">
        <v>1</v>
      </c>
      <c r="S194">
        <f t="shared" si="18"/>
        <v>0.7</v>
      </c>
      <c r="T194">
        <f t="shared" si="19"/>
        <v>-0.7</v>
      </c>
      <c r="U194">
        <f t="shared" si="23"/>
        <v>138.00000000000003</v>
      </c>
      <c r="W194">
        <v>845.9</v>
      </c>
      <c r="X194">
        <f t="shared" si="22"/>
        <v>15772.7</v>
      </c>
      <c r="Y194">
        <v>9.6153054540456839</v>
      </c>
    </row>
    <row r="195" spans="1:25" x14ac:dyDescent="0.25">
      <c r="A195">
        <v>5320</v>
      </c>
      <c r="B195">
        <v>23210</v>
      </c>
      <c r="C195" s="1">
        <v>43140</v>
      </c>
      <c r="F195" s="33"/>
      <c r="G195">
        <v>-2.6</v>
      </c>
      <c r="H195">
        <v>-7</v>
      </c>
      <c r="I195">
        <v>0.3</v>
      </c>
      <c r="J195">
        <v>1418.3</v>
      </c>
      <c r="K195">
        <v>400.4</v>
      </c>
      <c r="M195">
        <v>1.2</v>
      </c>
      <c r="N195">
        <v>0.1</v>
      </c>
      <c r="O195">
        <f t="shared" si="17"/>
        <v>1.0999999999999999</v>
      </c>
      <c r="Q195">
        <v>159</v>
      </c>
      <c r="R195">
        <v>1</v>
      </c>
      <c r="S195">
        <f t="shared" si="18"/>
        <v>0.1</v>
      </c>
      <c r="T195">
        <f t="shared" si="19"/>
        <v>1.0999999999999999</v>
      </c>
      <c r="U195">
        <f t="shared" si="23"/>
        <v>138.9</v>
      </c>
      <c r="W195">
        <v>253.3</v>
      </c>
      <c r="X195">
        <f t="shared" si="22"/>
        <v>16026</v>
      </c>
      <c r="Y195">
        <v>9.6660869659459472</v>
      </c>
    </row>
    <row r="196" spans="1:25" x14ac:dyDescent="0.25">
      <c r="A196">
        <v>5320</v>
      </c>
      <c r="B196">
        <v>23210</v>
      </c>
      <c r="C196" s="1">
        <v>43141</v>
      </c>
      <c r="F196" s="33"/>
      <c r="G196">
        <v>-0.3</v>
      </c>
      <c r="H196">
        <v>-6.4</v>
      </c>
      <c r="I196">
        <v>6</v>
      </c>
      <c r="J196">
        <v>1418.3</v>
      </c>
      <c r="K196">
        <v>400.4</v>
      </c>
      <c r="M196">
        <v>2.7</v>
      </c>
      <c r="N196">
        <v>0.9</v>
      </c>
      <c r="O196">
        <f t="shared" si="17"/>
        <v>1.8000000000000003</v>
      </c>
      <c r="Q196">
        <v>160</v>
      </c>
      <c r="R196">
        <v>1</v>
      </c>
      <c r="S196">
        <f t="shared" si="18"/>
        <v>0.9</v>
      </c>
      <c r="T196">
        <f t="shared" si="19"/>
        <v>1.8000000000000003</v>
      </c>
      <c r="U196">
        <f t="shared" si="23"/>
        <v>138.9</v>
      </c>
      <c r="W196">
        <v>966.9</v>
      </c>
      <c r="X196">
        <f t="shared" si="22"/>
        <v>16992.900000000001</v>
      </c>
      <c r="Y196">
        <v>9.7173608415080004</v>
      </c>
    </row>
    <row r="197" spans="1:25" x14ac:dyDescent="0.25">
      <c r="A197">
        <v>5320</v>
      </c>
      <c r="B197">
        <v>23210</v>
      </c>
      <c r="C197" s="1">
        <v>43142</v>
      </c>
      <c r="F197" s="33"/>
      <c r="G197">
        <v>4.9000000000000004</v>
      </c>
      <c r="H197">
        <v>2.8</v>
      </c>
      <c r="I197">
        <v>8.5</v>
      </c>
      <c r="J197">
        <f t="shared" si="20"/>
        <v>1423.2</v>
      </c>
      <c r="K197">
        <f t="shared" si="21"/>
        <v>405.29999999999995</v>
      </c>
      <c r="M197">
        <v>0.8</v>
      </c>
      <c r="N197">
        <v>1.2</v>
      </c>
      <c r="O197">
        <f t="shared" ref="O197:O260" si="24">M197-N197</f>
        <v>-0.39999999999999991</v>
      </c>
      <c r="Q197">
        <v>161</v>
      </c>
      <c r="R197">
        <v>1</v>
      </c>
      <c r="S197">
        <f t="shared" ref="S197:S260" si="25">R197*N197</f>
        <v>1.2</v>
      </c>
      <c r="T197">
        <f t="shared" ref="T197:T260" si="26">M197-S197</f>
        <v>-0.39999999999999991</v>
      </c>
      <c r="U197">
        <f t="shared" si="23"/>
        <v>138.5</v>
      </c>
      <c r="W197">
        <v>847.5</v>
      </c>
      <c r="X197">
        <f t="shared" si="22"/>
        <v>17840.400000000001</v>
      </c>
      <c r="Y197">
        <v>9.7691083631968212</v>
      </c>
    </row>
    <row r="198" spans="1:25" x14ac:dyDescent="0.25">
      <c r="A198">
        <v>5320</v>
      </c>
      <c r="B198">
        <v>23210</v>
      </c>
      <c r="C198" s="1">
        <v>43143</v>
      </c>
      <c r="F198" s="33"/>
      <c r="G198">
        <v>1</v>
      </c>
      <c r="H198">
        <v>-2.7</v>
      </c>
      <c r="I198">
        <v>5</v>
      </c>
      <c r="J198">
        <f t="shared" si="20"/>
        <v>1424.2</v>
      </c>
      <c r="K198">
        <f t="shared" si="21"/>
        <v>406.29999999999995</v>
      </c>
      <c r="M198">
        <v>0</v>
      </c>
      <c r="N198">
        <v>0.9</v>
      </c>
      <c r="O198">
        <f t="shared" si="24"/>
        <v>-0.9</v>
      </c>
      <c r="Q198">
        <v>162</v>
      </c>
      <c r="R198">
        <v>1</v>
      </c>
      <c r="S198">
        <f t="shared" si="25"/>
        <v>0.9</v>
      </c>
      <c r="T198">
        <f t="shared" si="26"/>
        <v>-0.9</v>
      </c>
      <c r="U198">
        <f t="shared" si="23"/>
        <v>137.6</v>
      </c>
      <c r="W198">
        <v>1051.8</v>
      </c>
      <c r="X198">
        <f t="shared" si="22"/>
        <v>18892.2</v>
      </c>
      <c r="Y198">
        <v>9.8213112199150956</v>
      </c>
    </row>
    <row r="199" spans="1:25" x14ac:dyDescent="0.25">
      <c r="A199">
        <v>5320</v>
      </c>
      <c r="B199">
        <v>23210</v>
      </c>
      <c r="C199" s="1">
        <v>43144</v>
      </c>
      <c r="F199" s="33"/>
      <c r="G199">
        <v>0.1</v>
      </c>
      <c r="H199">
        <v>-0.5</v>
      </c>
      <c r="I199">
        <v>0.7</v>
      </c>
      <c r="J199">
        <f t="shared" si="20"/>
        <v>1424.3</v>
      </c>
      <c r="K199">
        <f t="shared" si="21"/>
        <v>406.4</v>
      </c>
      <c r="M199">
        <v>0.9</v>
      </c>
      <c r="N199">
        <v>0.4</v>
      </c>
      <c r="O199">
        <f t="shared" si="24"/>
        <v>0.5</v>
      </c>
      <c r="Q199">
        <v>163</v>
      </c>
      <c r="R199">
        <v>1</v>
      </c>
      <c r="S199">
        <f t="shared" si="25"/>
        <v>0.4</v>
      </c>
      <c r="T199">
        <f t="shared" si="26"/>
        <v>0.5</v>
      </c>
      <c r="U199">
        <f t="shared" si="23"/>
        <v>138.1</v>
      </c>
      <c r="W199">
        <v>259.5</v>
      </c>
      <c r="X199">
        <f t="shared" si="22"/>
        <v>19151.7</v>
      </c>
      <c r="Y199">
        <v>9.8739515102090305</v>
      </c>
    </row>
    <row r="200" spans="1:25" x14ac:dyDescent="0.25">
      <c r="A200">
        <v>5320</v>
      </c>
      <c r="B200">
        <v>23210</v>
      </c>
      <c r="C200" s="1">
        <v>43145</v>
      </c>
      <c r="F200" s="33"/>
      <c r="G200">
        <v>1.8</v>
      </c>
      <c r="H200">
        <v>-2.5</v>
      </c>
      <c r="I200">
        <v>9.5</v>
      </c>
      <c r="J200">
        <f t="shared" si="20"/>
        <v>1426.1</v>
      </c>
      <c r="K200">
        <f t="shared" si="21"/>
        <v>408.2</v>
      </c>
      <c r="M200">
        <v>3.5</v>
      </c>
      <c r="N200">
        <v>0.9</v>
      </c>
      <c r="O200">
        <f t="shared" si="24"/>
        <v>2.6</v>
      </c>
      <c r="Q200">
        <v>164</v>
      </c>
      <c r="R200">
        <v>1</v>
      </c>
      <c r="S200">
        <f t="shared" si="25"/>
        <v>0.9</v>
      </c>
      <c r="T200">
        <f t="shared" si="26"/>
        <v>2.6</v>
      </c>
      <c r="U200">
        <f t="shared" si="23"/>
        <v>138.9</v>
      </c>
      <c r="W200">
        <v>361.9</v>
      </c>
      <c r="X200">
        <f t="shared" si="22"/>
        <v>19513.600000000002</v>
      </c>
      <c r="Y200">
        <v>9.927011744126812</v>
      </c>
    </row>
    <row r="201" spans="1:25" x14ac:dyDescent="0.25">
      <c r="A201">
        <v>5320</v>
      </c>
      <c r="B201">
        <v>23210</v>
      </c>
      <c r="C201" s="1">
        <v>43146</v>
      </c>
      <c r="F201" s="33"/>
      <c r="G201">
        <v>9.3000000000000007</v>
      </c>
      <c r="H201">
        <v>4.3</v>
      </c>
      <c r="I201">
        <v>11.9</v>
      </c>
      <c r="J201">
        <f t="shared" si="20"/>
        <v>1435.3999999999999</v>
      </c>
      <c r="K201">
        <f t="shared" si="21"/>
        <v>417.5</v>
      </c>
      <c r="M201" s="52">
        <v>3.9</v>
      </c>
      <c r="N201">
        <v>0.4</v>
      </c>
      <c r="O201">
        <f t="shared" si="24"/>
        <v>3.5</v>
      </c>
      <c r="Q201">
        <v>165</v>
      </c>
      <c r="R201">
        <v>1</v>
      </c>
      <c r="S201">
        <f t="shared" si="25"/>
        <v>0.4</v>
      </c>
      <c r="T201">
        <f t="shared" si="26"/>
        <v>3.5</v>
      </c>
      <c r="U201">
        <f t="shared" si="23"/>
        <v>138.9</v>
      </c>
      <c r="W201">
        <v>300.10000000000002</v>
      </c>
      <c r="X201">
        <f t="shared" si="22"/>
        <v>19813.7</v>
      </c>
      <c r="Y201">
        <v>9.9804748437979924</v>
      </c>
    </row>
    <row r="202" spans="1:25" x14ac:dyDescent="0.25">
      <c r="A202">
        <v>5320</v>
      </c>
      <c r="B202">
        <v>23210</v>
      </c>
      <c r="C202" s="1">
        <v>43147</v>
      </c>
      <c r="F202" s="33"/>
      <c r="G202">
        <v>6</v>
      </c>
      <c r="H202">
        <v>2.9</v>
      </c>
      <c r="I202">
        <v>8.6999999999999993</v>
      </c>
      <c r="J202">
        <f t="shared" si="20"/>
        <v>1441.3999999999999</v>
      </c>
      <c r="K202">
        <f t="shared" si="21"/>
        <v>423.5</v>
      </c>
      <c r="M202" s="52">
        <v>7.6</v>
      </c>
      <c r="N202">
        <v>0.6</v>
      </c>
      <c r="O202">
        <f t="shared" si="24"/>
        <v>7</v>
      </c>
      <c r="Q202">
        <v>166</v>
      </c>
      <c r="R202">
        <v>1</v>
      </c>
      <c r="S202">
        <f t="shared" si="25"/>
        <v>0.6</v>
      </c>
      <c r="T202">
        <f t="shared" si="26"/>
        <v>7</v>
      </c>
      <c r="U202">
        <f t="shared" si="23"/>
        <v>138.9</v>
      </c>
      <c r="W202">
        <v>681.7</v>
      </c>
      <c r="X202">
        <f t="shared" si="22"/>
        <v>20495.400000000001</v>
      </c>
      <c r="Y202">
        <v>10.034324142801603</v>
      </c>
    </row>
    <row r="203" spans="1:25" x14ac:dyDescent="0.25">
      <c r="A203">
        <v>5320</v>
      </c>
      <c r="B203">
        <v>23210</v>
      </c>
      <c r="C203" s="1">
        <v>43148</v>
      </c>
      <c r="F203" s="33"/>
      <c r="G203">
        <v>4.5</v>
      </c>
      <c r="H203">
        <v>4.0999999999999996</v>
      </c>
      <c r="I203">
        <v>6.3</v>
      </c>
      <c r="J203">
        <f t="shared" si="20"/>
        <v>1445.8999999999999</v>
      </c>
      <c r="K203">
        <f t="shared" si="21"/>
        <v>428</v>
      </c>
      <c r="M203" s="52">
        <v>1.5</v>
      </c>
      <c r="N203">
        <v>0.5</v>
      </c>
      <c r="O203">
        <f t="shared" si="24"/>
        <v>1</v>
      </c>
      <c r="Q203">
        <v>167</v>
      </c>
      <c r="R203">
        <v>1</v>
      </c>
      <c r="S203">
        <f t="shared" si="25"/>
        <v>0.5</v>
      </c>
      <c r="T203">
        <f t="shared" si="26"/>
        <v>1</v>
      </c>
      <c r="U203">
        <f t="shared" si="23"/>
        <v>138.9</v>
      </c>
      <c r="W203">
        <v>202</v>
      </c>
      <c r="X203">
        <f t="shared" si="22"/>
        <v>20697.400000000001</v>
      </c>
      <c r="Y203">
        <v>10.088543384389657</v>
      </c>
    </row>
    <row r="204" spans="1:25" x14ac:dyDescent="0.25">
      <c r="A204">
        <v>5320</v>
      </c>
      <c r="B204">
        <v>23210</v>
      </c>
      <c r="C204" s="1">
        <v>43149</v>
      </c>
      <c r="F204" s="33"/>
      <c r="G204">
        <v>3.6</v>
      </c>
      <c r="H204">
        <v>-0.4</v>
      </c>
      <c r="I204">
        <v>7.6</v>
      </c>
      <c r="J204">
        <f t="shared" si="20"/>
        <v>1449.4999999999998</v>
      </c>
      <c r="K204">
        <f t="shared" si="21"/>
        <v>431.6</v>
      </c>
      <c r="M204" s="52">
        <v>0</v>
      </c>
      <c r="N204">
        <v>0.5</v>
      </c>
      <c r="O204">
        <f t="shared" si="24"/>
        <v>-0.5</v>
      </c>
      <c r="Q204">
        <v>168</v>
      </c>
      <c r="R204">
        <v>1</v>
      </c>
      <c r="S204">
        <f t="shared" si="25"/>
        <v>0.5</v>
      </c>
      <c r="T204">
        <f t="shared" si="26"/>
        <v>-0.5</v>
      </c>
      <c r="U204">
        <f t="shared" si="23"/>
        <v>138.4</v>
      </c>
      <c r="W204">
        <v>418.1</v>
      </c>
      <c r="X204">
        <f t="shared" si="22"/>
        <v>21115.5</v>
      </c>
      <c r="Y204">
        <v>10.143116718631623</v>
      </c>
    </row>
    <row r="205" spans="1:25" x14ac:dyDescent="0.25">
      <c r="A205">
        <v>5320</v>
      </c>
      <c r="B205">
        <v>23210</v>
      </c>
      <c r="C205" s="1">
        <v>43150</v>
      </c>
      <c r="F205" s="33"/>
      <c r="G205">
        <v>5.5</v>
      </c>
      <c r="H205">
        <v>2.2000000000000002</v>
      </c>
      <c r="I205">
        <v>8.4</v>
      </c>
      <c r="J205">
        <f t="shared" si="20"/>
        <v>1454.9999999999998</v>
      </c>
      <c r="K205">
        <f t="shared" si="21"/>
        <v>437.1</v>
      </c>
      <c r="M205" s="52">
        <v>2.5</v>
      </c>
      <c r="N205">
        <v>0.4</v>
      </c>
      <c r="O205">
        <f t="shared" si="24"/>
        <v>2.1</v>
      </c>
      <c r="Q205">
        <v>169</v>
      </c>
      <c r="R205">
        <v>1</v>
      </c>
      <c r="S205">
        <f t="shared" si="25"/>
        <v>0.4</v>
      </c>
      <c r="T205">
        <f t="shared" si="26"/>
        <v>2.1</v>
      </c>
      <c r="U205">
        <f t="shared" si="23"/>
        <v>138.9</v>
      </c>
      <c r="W205">
        <v>221.8</v>
      </c>
      <c r="X205">
        <f t="shared" si="22"/>
        <v>21337.3</v>
      </c>
      <c r="Y205">
        <v>10.198028698543709</v>
      </c>
    </row>
    <row r="206" spans="1:25" x14ac:dyDescent="0.25">
      <c r="A206">
        <v>5320</v>
      </c>
      <c r="B206">
        <v>23210</v>
      </c>
      <c r="C206" s="1">
        <v>43151</v>
      </c>
      <c r="F206" s="33"/>
      <c r="G206">
        <v>6.6</v>
      </c>
      <c r="H206">
        <v>6.3</v>
      </c>
      <c r="I206">
        <v>8.1</v>
      </c>
      <c r="J206">
        <f t="shared" si="20"/>
        <v>1461.5999999999997</v>
      </c>
      <c r="K206">
        <f t="shared" si="21"/>
        <v>443.70000000000005</v>
      </c>
      <c r="M206" s="52">
        <v>6.9</v>
      </c>
      <c r="N206">
        <v>0.4</v>
      </c>
      <c r="O206">
        <f t="shared" si="24"/>
        <v>6.5</v>
      </c>
      <c r="Q206">
        <v>170</v>
      </c>
      <c r="R206">
        <v>1</v>
      </c>
      <c r="S206">
        <f t="shared" si="25"/>
        <v>0.4</v>
      </c>
      <c r="T206">
        <f t="shared" si="26"/>
        <v>6.5</v>
      </c>
      <c r="U206">
        <f t="shared" si="23"/>
        <v>138.9</v>
      </c>
      <c r="W206">
        <v>219.9</v>
      </c>
      <c r="X206">
        <f t="shared" si="22"/>
        <v>21557.200000000001</v>
      </c>
      <c r="Y206">
        <v>10.253264275265293</v>
      </c>
    </row>
    <row r="207" spans="1:25" x14ac:dyDescent="0.25">
      <c r="A207">
        <v>5320</v>
      </c>
      <c r="B207">
        <v>23210</v>
      </c>
      <c r="C207" s="1">
        <v>43152</v>
      </c>
      <c r="F207" s="33"/>
      <c r="G207">
        <v>2.2000000000000002</v>
      </c>
      <c r="H207">
        <v>0.9</v>
      </c>
      <c r="I207">
        <v>3.9</v>
      </c>
      <c r="J207">
        <f t="shared" si="20"/>
        <v>1463.7999999999997</v>
      </c>
      <c r="K207">
        <f t="shared" si="21"/>
        <v>445.90000000000003</v>
      </c>
      <c r="M207" s="52">
        <v>0.1</v>
      </c>
      <c r="N207">
        <v>1</v>
      </c>
      <c r="O207">
        <f t="shared" si="24"/>
        <v>-0.9</v>
      </c>
      <c r="Q207">
        <v>171</v>
      </c>
      <c r="R207">
        <v>1</v>
      </c>
      <c r="S207">
        <f t="shared" si="25"/>
        <v>1</v>
      </c>
      <c r="T207">
        <f t="shared" si="26"/>
        <v>-0.9</v>
      </c>
      <c r="U207">
        <f t="shared" si="23"/>
        <v>138</v>
      </c>
      <c r="W207">
        <v>829.1</v>
      </c>
      <c r="X207">
        <f t="shared" si="22"/>
        <v>22386.3</v>
      </c>
      <c r="Y207">
        <v>10.308808792342731</v>
      </c>
    </row>
    <row r="208" spans="1:25" x14ac:dyDescent="0.25">
      <c r="A208">
        <v>5320</v>
      </c>
      <c r="B208">
        <v>23210</v>
      </c>
      <c r="C208" s="1">
        <v>43153</v>
      </c>
      <c r="F208" s="33"/>
      <c r="G208">
        <v>0.7</v>
      </c>
      <c r="H208">
        <v>-1.4</v>
      </c>
      <c r="I208">
        <v>2.4</v>
      </c>
      <c r="J208">
        <f t="shared" si="20"/>
        <v>1464.4999999999998</v>
      </c>
      <c r="K208">
        <f t="shared" si="21"/>
        <v>446.6</v>
      </c>
      <c r="M208" s="52">
        <v>0</v>
      </c>
      <c r="N208">
        <v>1.1000000000000001</v>
      </c>
      <c r="O208">
        <f t="shared" si="24"/>
        <v>-1.1000000000000001</v>
      </c>
      <c r="Q208">
        <v>172</v>
      </c>
      <c r="R208">
        <v>1</v>
      </c>
      <c r="S208">
        <f t="shared" si="25"/>
        <v>1.1000000000000001</v>
      </c>
      <c r="T208">
        <f t="shared" si="26"/>
        <v>-1.1000000000000001</v>
      </c>
      <c r="U208" s="52">
        <f t="shared" si="23"/>
        <v>136.9</v>
      </c>
      <c r="W208">
        <v>1119.3</v>
      </c>
      <c r="X208">
        <f t="shared" si="22"/>
        <v>23505.599999999999</v>
      </c>
      <c r="Y208">
        <v>10.364647979178828</v>
      </c>
    </row>
    <row r="209" spans="1:27" x14ac:dyDescent="0.25">
      <c r="A209">
        <v>5320</v>
      </c>
      <c r="B209">
        <v>23210</v>
      </c>
      <c r="C209" s="1">
        <v>43154</v>
      </c>
      <c r="F209" s="33"/>
      <c r="G209">
        <v>0.5</v>
      </c>
      <c r="H209">
        <v>-1.8</v>
      </c>
      <c r="I209">
        <v>2.2000000000000002</v>
      </c>
      <c r="J209">
        <f t="shared" si="20"/>
        <v>1464.9999999999998</v>
      </c>
      <c r="K209">
        <f t="shared" si="21"/>
        <v>447.1</v>
      </c>
      <c r="M209" s="52">
        <v>0</v>
      </c>
      <c r="N209">
        <v>1.3</v>
      </c>
      <c r="O209">
        <f t="shared" si="24"/>
        <v>-1.3</v>
      </c>
      <c r="Q209">
        <v>173</v>
      </c>
      <c r="R209">
        <v>1</v>
      </c>
      <c r="S209">
        <f t="shared" si="25"/>
        <v>1.3</v>
      </c>
      <c r="T209">
        <f t="shared" si="26"/>
        <v>-1.3</v>
      </c>
      <c r="U209" s="52">
        <f t="shared" si="23"/>
        <v>135.6</v>
      </c>
      <c r="W209">
        <v>1060.7</v>
      </c>
      <c r="X209">
        <f t="shared" si="22"/>
        <v>24566.3</v>
      </c>
      <c r="Y209">
        <v>10.420767943704064</v>
      </c>
    </row>
    <row r="210" spans="1:27" x14ac:dyDescent="0.25">
      <c r="A210">
        <v>5320</v>
      </c>
      <c r="B210">
        <v>23210</v>
      </c>
      <c r="C210" s="1">
        <v>43155</v>
      </c>
      <c r="F210" s="33"/>
      <c r="G210">
        <v>0.8</v>
      </c>
      <c r="H210">
        <v>-1.6</v>
      </c>
      <c r="I210">
        <v>2.9</v>
      </c>
      <c r="J210">
        <f t="shared" si="20"/>
        <v>1465.7999999999997</v>
      </c>
      <c r="K210">
        <f t="shared" si="21"/>
        <v>447.90000000000003</v>
      </c>
      <c r="M210" s="52">
        <v>0</v>
      </c>
      <c r="N210">
        <v>1.3</v>
      </c>
      <c r="O210">
        <f t="shared" si="24"/>
        <v>-1.3</v>
      </c>
      <c r="Q210">
        <v>174</v>
      </c>
      <c r="R210">
        <v>1</v>
      </c>
      <c r="S210">
        <f t="shared" si="25"/>
        <v>1.3</v>
      </c>
      <c r="T210">
        <f t="shared" si="26"/>
        <v>-1.3</v>
      </c>
      <c r="U210" s="52">
        <f t="shared" si="23"/>
        <v>134.29999999999998</v>
      </c>
      <c r="W210">
        <v>1101.8</v>
      </c>
      <c r="X210">
        <f t="shared" si="22"/>
        <v>25668.1</v>
      </c>
      <c r="Y210">
        <v>10.477155164323333</v>
      </c>
    </row>
    <row r="211" spans="1:27" s="50" customFormat="1" x14ac:dyDescent="0.25">
      <c r="A211" s="50">
        <v>5320</v>
      </c>
      <c r="B211" s="50">
        <v>23210</v>
      </c>
      <c r="C211" s="51">
        <v>43156</v>
      </c>
      <c r="D211" s="50" t="s">
        <v>61</v>
      </c>
      <c r="F211" s="33"/>
      <c r="G211" s="50">
        <v>-0.3</v>
      </c>
      <c r="H211" s="50">
        <v>-2.2000000000000002</v>
      </c>
      <c r="I211" s="50">
        <v>1.5</v>
      </c>
      <c r="J211" s="50">
        <v>1465.8</v>
      </c>
      <c r="K211" s="50">
        <v>447.9</v>
      </c>
      <c r="M211" s="50">
        <v>0</v>
      </c>
      <c r="N211" s="50">
        <v>1.8</v>
      </c>
      <c r="O211" s="50">
        <f t="shared" si="24"/>
        <v>-1.8</v>
      </c>
      <c r="Q211" s="50">
        <v>175</v>
      </c>
      <c r="R211" s="50">
        <v>1</v>
      </c>
      <c r="S211" s="50">
        <f t="shared" si="25"/>
        <v>1.8</v>
      </c>
      <c r="T211" s="50">
        <f t="shared" si="26"/>
        <v>-1.8</v>
      </c>
      <c r="U211" s="50">
        <f t="shared" si="23"/>
        <v>132.49999999999997</v>
      </c>
      <c r="W211" s="50">
        <v>1393.5</v>
      </c>
      <c r="X211" s="50">
        <f t="shared" si="22"/>
        <v>27061.599999999999</v>
      </c>
      <c r="Y211" s="50">
        <v>10.533796481189777</v>
      </c>
    </row>
    <row r="212" spans="1:27" x14ac:dyDescent="0.25">
      <c r="A212">
        <v>5320</v>
      </c>
      <c r="B212">
        <v>23210</v>
      </c>
      <c r="C212" s="1">
        <v>43157</v>
      </c>
      <c r="F212" s="33"/>
      <c r="G212">
        <v>-2.7</v>
      </c>
      <c r="H212">
        <v>-4.4000000000000004</v>
      </c>
      <c r="I212">
        <v>-0.8</v>
      </c>
      <c r="J212">
        <v>1465.8</v>
      </c>
      <c r="K212">
        <v>447.9</v>
      </c>
      <c r="M212" s="52">
        <v>0</v>
      </c>
      <c r="N212">
        <v>1.9</v>
      </c>
      <c r="O212">
        <f t="shared" si="24"/>
        <v>-1.9</v>
      </c>
      <c r="Q212">
        <v>176</v>
      </c>
      <c r="R212">
        <v>1</v>
      </c>
      <c r="S212">
        <f t="shared" si="25"/>
        <v>1.9</v>
      </c>
      <c r="T212">
        <f t="shared" si="26"/>
        <v>-1.9</v>
      </c>
      <c r="U212" s="52">
        <f t="shared" si="23"/>
        <v>130.59999999999997</v>
      </c>
      <c r="W212">
        <v>1457.6</v>
      </c>
      <c r="X212">
        <f t="shared" si="22"/>
        <v>28519.199999999997</v>
      </c>
      <c r="Y212">
        <v>10.590679086854733</v>
      </c>
    </row>
    <row r="213" spans="1:27" x14ac:dyDescent="0.25">
      <c r="A213">
        <v>5320</v>
      </c>
      <c r="B213">
        <v>23210</v>
      </c>
      <c r="C213" s="1">
        <v>43158</v>
      </c>
      <c r="F213" s="33"/>
      <c r="G213">
        <v>-4.8</v>
      </c>
      <c r="H213">
        <v>-6.6</v>
      </c>
      <c r="I213">
        <v>-2.6</v>
      </c>
      <c r="J213">
        <v>1465.8</v>
      </c>
      <c r="K213">
        <v>447.9</v>
      </c>
      <c r="M213" s="52">
        <v>0</v>
      </c>
      <c r="N213">
        <v>1.1000000000000001</v>
      </c>
      <c r="O213">
        <f t="shared" si="24"/>
        <v>-1.1000000000000001</v>
      </c>
      <c r="Q213">
        <v>177</v>
      </c>
      <c r="R213">
        <v>1</v>
      </c>
      <c r="S213">
        <f t="shared" si="25"/>
        <v>1.1000000000000001</v>
      </c>
      <c r="T213">
        <f t="shared" si="26"/>
        <v>-1.1000000000000001</v>
      </c>
      <c r="U213" s="52">
        <f t="shared" si="23"/>
        <v>129.49999999999997</v>
      </c>
      <c r="W213">
        <v>1453.6</v>
      </c>
      <c r="X213">
        <f t="shared" si="22"/>
        <v>29972.799999999996</v>
      </c>
      <c r="Y213">
        <v>10.647790516340617</v>
      </c>
    </row>
    <row r="214" spans="1:27" x14ac:dyDescent="0.25">
      <c r="A214">
        <v>5320</v>
      </c>
      <c r="B214">
        <v>23210</v>
      </c>
      <c r="C214" s="1">
        <v>43159</v>
      </c>
      <c r="F214" s="33"/>
      <c r="G214">
        <v>-4.4000000000000004</v>
      </c>
      <c r="H214">
        <v>-9.3000000000000007</v>
      </c>
      <c r="I214">
        <v>-1.6</v>
      </c>
      <c r="J214">
        <v>1465.8</v>
      </c>
      <c r="K214">
        <v>447.9</v>
      </c>
      <c r="M214" s="52">
        <v>0.4</v>
      </c>
      <c r="N214">
        <v>0.9</v>
      </c>
      <c r="O214">
        <f t="shared" si="24"/>
        <v>-0.5</v>
      </c>
      <c r="Q214">
        <v>178</v>
      </c>
      <c r="R214">
        <v>1</v>
      </c>
      <c r="S214">
        <f t="shared" si="25"/>
        <v>0.9</v>
      </c>
      <c r="T214">
        <f t="shared" si="26"/>
        <v>-0.5</v>
      </c>
      <c r="U214" s="52">
        <f t="shared" si="23"/>
        <v>128.99999999999997</v>
      </c>
      <c r="W214">
        <v>702.8</v>
      </c>
      <c r="X214">
        <f t="shared" si="22"/>
        <v>30675.599999999995</v>
      </c>
      <c r="Y214">
        <v>10.705118636681057</v>
      </c>
    </row>
    <row r="215" spans="1:27" x14ac:dyDescent="0.25">
      <c r="A215">
        <v>5320</v>
      </c>
      <c r="B215">
        <v>23210</v>
      </c>
      <c r="C215" s="1">
        <v>43160</v>
      </c>
      <c r="F215" s="33"/>
      <c r="G215">
        <v>0.9</v>
      </c>
      <c r="H215">
        <v>-2.7</v>
      </c>
      <c r="I215">
        <v>5.4</v>
      </c>
      <c r="J215">
        <f t="shared" si="20"/>
        <v>1466.7</v>
      </c>
      <c r="K215">
        <f t="shared" si="21"/>
        <v>448.79999999999995</v>
      </c>
      <c r="M215" s="52">
        <v>5.4</v>
      </c>
      <c r="N215">
        <v>0.8</v>
      </c>
      <c r="O215">
        <f t="shared" si="24"/>
        <v>4.6000000000000005</v>
      </c>
      <c r="Q215">
        <v>179</v>
      </c>
      <c r="R215">
        <v>1</v>
      </c>
      <c r="S215">
        <f t="shared" si="25"/>
        <v>0.8</v>
      </c>
      <c r="T215">
        <f t="shared" si="26"/>
        <v>4.6000000000000005</v>
      </c>
      <c r="U215" s="52">
        <f t="shared" si="23"/>
        <v>133.59999999999997</v>
      </c>
      <c r="W215">
        <v>580.29999999999995</v>
      </c>
      <c r="X215">
        <f t="shared" si="22"/>
        <v>31255.899999999994</v>
      </c>
      <c r="Y215">
        <v>10.762651635970267</v>
      </c>
    </row>
    <row r="216" spans="1:27" s="6" customFormat="1" ht="15.75" thickBot="1" x14ac:dyDescent="0.3">
      <c r="A216" s="6">
        <v>5320</v>
      </c>
      <c r="B216" s="6">
        <v>23210</v>
      </c>
      <c r="C216" s="7">
        <v>43161</v>
      </c>
      <c r="D216" s="6" t="s">
        <v>30</v>
      </c>
      <c r="F216" s="34"/>
      <c r="G216" s="6">
        <v>4.8</v>
      </c>
      <c r="H216" s="6">
        <v>2.7</v>
      </c>
      <c r="I216" s="6">
        <v>8.1</v>
      </c>
      <c r="J216" s="6">
        <f t="shared" si="20"/>
        <v>1471.5</v>
      </c>
      <c r="K216" s="6">
        <f t="shared" si="21"/>
        <v>453.59999999999997</v>
      </c>
      <c r="M216" s="53">
        <v>1.9</v>
      </c>
      <c r="N216" s="6">
        <v>0.9</v>
      </c>
      <c r="O216" s="6">
        <f t="shared" si="24"/>
        <v>0.99999999999999989</v>
      </c>
      <c r="Q216" s="6">
        <v>180</v>
      </c>
      <c r="R216" s="6">
        <v>1</v>
      </c>
      <c r="S216" s="6">
        <f t="shared" si="25"/>
        <v>0.9</v>
      </c>
      <c r="T216" s="6">
        <f t="shared" si="26"/>
        <v>0.99999999999999989</v>
      </c>
      <c r="U216" s="53">
        <f t="shared" si="23"/>
        <v>134.59999999999997</v>
      </c>
      <c r="W216" s="6">
        <v>638.70000000000005</v>
      </c>
      <c r="X216" s="6">
        <f t="shared" si="22"/>
        <v>31894.599999999995</v>
      </c>
      <c r="Y216" s="6">
        <v>10.820378011961322</v>
      </c>
    </row>
    <row r="217" spans="1:27" x14ac:dyDescent="0.25">
      <c r="A217">
        <v>5320</v>
      </c>
      <c r="B217">
        <v>23210</v>
      </c>
      <c r="C217" s="1">
        <v>43162</v>
      </c>
      <c r="F217" s="35" t="s">
        <v>56</v>
      </c>
      <c r="G217">
        <v>6.2</v>
      </c>
      <c r="H217">
        <v>1.5</v>
      </c>
      <c r="I217">
        <v>12.5</v>
      </c>
      <c r="J217">
        <f t="shared" si="20"/>
        <v>1477.7</v>
      </c>
      <c r="K217">
        <f>G217</f>
        <v>6.2</v>
      </c>
      <c r="L217" s="17" t="s">
        <v>38</v>
      </c>
      <c r="M217" s="52">
        <v>9.3000000000000007</v>
      </c>
      <c r="N217">
        <v>1.1000000000000001</v>
      </c>
      <c r="O217">
        <f t="shared" si="24"/>
        <v>8.2000000000000011</v>
      </c>
      <c r="Q217">
        <v>181</v>
      </c>
      <c r="R217">
        <f>1+((Q217-180)/31)*(1.15-1)</f>
        <v>1.0048387096774194</v>
      </c>
      <c r="S217">
        <f t="shared" si="25"/>
        <v>1.1053225806451614</v>
      </c>
      <c r="T217">
        <f t="shared" si="26"/>
        <v>8.1946774193548393</v>
      </c>
      <c r="U217" s="52">
        <f t="shared" si="23"/>
        <v>138.9</v>
      </c>
      <c r="V217" s="18" t="s">
        <v>45</v>
      </c>
      <c r="W217">
        <v>635.70000000000005</v>
      </c>
      <c r="X217">
        <f>W217</f>
        <v>635.70000000000005</v>
      </c>
      <c r="Y217">
        <v>10.878286560250654</v>
      </c>
      <c r="Z217" s="18" t="s">
        <v>50</v>
      </c>
      <c r="AA217" s="2" t="s">
        <v>62</v>
      </c>
    </row>
    <row r="218" spans="1:27" x14ac:dyDescent="0.25">
      <c r="A218">
        <v>5320</v>
      </c>
      <c r="B218">
        <v>23210</v>
      </c>
      <c r="C218" s="1">
        <v>43163</v>
      </c>
      <c r="F218" s="36"/>
      <c r="G218">
        <v>5.7</v>
      </c>
      <c r="H218">
        <v>3.3</v>
      </c>
      <c r="I218">
        <v>7.1</v>
      </c>
      <c r="J218">
        <f t="shared" si="20"/>
        <v>1483.4</v>
      </c>
      <c r="K218">
        <f t="shared" si="21"/>
        <v>11.9</v>
      </c>
      <c r="L218" s="9">
        <v>228.3</v>
      </c>
      <c r="M218" s="52">
        <v>7.8</v>
      </c>
      <c r="N218">
        <v>0.3</v>
      </c>
      <c r="O218">
        <f t="shared" si="24"/>
        <v>7.5</v>
      </c>
      <c r="Q218">
        <v>182</v>
      </c>
      <c r="R218">
        <f t="shared" ref="R218:R247" si="27">1+((Q218-180)/31)*(1.15-1)</f>
        <v>1.0096774193548388</v>
      </c>
      <c r="S218">
        <f t="shared" si="25"/>
        <v>0.30290322580645163</v>
      </c>
      <c r="T218">
        <f t="shared" si="26"/>
        <v>7.4970967741935484</v>
      </c>
      <c r="U218" s="52">
        <f t="shared" si="23"/>
        <v>138.9</v>
      </c>
      <c r="V218">
        <v>0</v>
      </c>
      <c r="W218">
        <v>282.2</v>
      </c>
      <c r="X218">
        <f t="shared" si="22"/>
        <v>917.90000000000009</v>
      </c>
      <c r="Y218">
        <v>10.936366362083902</v>
      </c>
      <c r="Z218">
        <v>21697</v>
      </c>
      <c r="AA218" s="13">
        <f>AVERAGE(U208:U221)</f>
        <v>134.98319124423963</v>
      </c>
    </row>
    <row r="219" spans="1:27" x14ac:dyDescent="0.25">
      <c r="A219">
        <v>5320</v>
      </c>
      <c r="B219">
        <v>23210</v>
      </c>
      <c r="C219" s="1">
        <v>43164</v>
      </c>
      <c r="F219" s="36"/>
      <c r="G219">
        <v>6.9</v>
      </c>
      <c r="H219">
        <v>2.7</v>
      </c>
      <c r="I219">
        <v>10.7</v>
      </c>
      <c r="J219">
        <f t="shared" si="20"/>
        <v>1490.3000000000002</v>
      </c>
      <c r="K219">
        <f t="shared" si="21"/>
        <v>18.8</v>
      </c>
      <c r="L219" s="17" t="s">
        <v>39</v>
      </c>
      <c r="M219" s="52">
        <v>0.2</v>
      </c>
      <c r="N219">
        <v>0.6</v>
      </c>
      <c r="O219">
        <f t="shared" si="24"/>
        <v>-0.39999999999999997</v>
      </c>
      <c r="Q219">
        <v>183</v>
      </c>
      <c r="R219">
        <f t="shared" si="27"/>
        <v>1.014516129032258</v>
      </c>
      <c r="S219">
        <f t="shared" si="25"/>
        <v>0.60870967741935478</v>
      </c>
      <c r="T219">
        <f t="shared" si="26"/>
        <v>-0.40870967741935477</v>
      </c>
      <c r="U219" s="52">
        <f t="shared" si="23"/>
        <v>138.49129032258065</v>
      </c>
      <c r="V219" s="18" t="s">
        <v>46</v>
      </c>
      <c r="W219">
        <v>530.5</v>
      </c>
      <c r="X219">
        <f t="shared" si="22"/>
        <v>1448.4</v>
      </c>
      <c r="Y219">
        <v>10.994606771816038</v>
      </c>
      <c r="Z219" s="18" t="s">
        <v>51</v>
      </c>
      <c r="AA219" s="2" t="s">
        <v>63</v>
      </c>
    </row>
    <row r="220" spans="1:27" x14ac:dyDescent="0.25">
      <c r="A220">
        <v>5320</v>
      </c>
      <c r="B220">
        <v>23210</v>
      </c>
      <c r="C220" s="1">
        <v>43165</v>
      </c>
      <c r="F220" s="36"/>
      <c r="G220">
        <v>6.4</v>
      </c>
      <c r="H220">
        <v>3.2</v>
      </c>
      <c r="I220">
        <v>10.199999999999999</v>
      </c>
      <c r="J220">
        <f t="shared" si="20"/>
        <v>1496.7000000000003</v>
      </c>
      <c r="K220">
        <f t="shared" si="21"/>
        <v>25.200000000000003</v>
      </c>
      <c r="L220" s="10">
        <f>AVERAGE(G217:G247)</f>
        <v>7.3645161290322587</v>
      </c>
      <c r="M220" s="52">
        <v>3.6</v>
      </c>
      <c r="N220">
        <v>0.8</v>
      </c>
      <c r="O220">
        <f t="shared" si="24"/>
        <v>2.8</v>
      </c>
      <c r="Q220">
        <v>184</v>
      </c>
      <c r="R220">
        <f t="shared" si="27"/>
        <v>1.0193548387096774</v>
      </c>
      <c r="S220">
        <f t="shared" si="25"/>
        <v>0.81548387096774189</v>
      </c>
      <c r="T220">
        <f t="shared" si="26"/>
        <v>2.7845161290322582</v>
      </c>
      <c r="U220" s="52">
        <f t="shared" si="23"/>
        <v>138.9</v>
      </c>
      <c r="V220">
        <v>0</v>
      </c>
      <c r="W220">
        <v>421.1</v>
      </c>
      <c r="X220">
        <f t="shared" si="22"/>
        <v>1869.5</v>
      </c>
      <c r="Y220">
        <v>11.052997404056574</v>
      </c>
      <c r="Z220">
        <f>(Z218/100)/L218</f>
        <v>0.95037231712658776</v>
      </c>
      <c r="AA220">
        <v>3</v>
      </c>
    </row>
    <row r="221" spans="1:27" x14ac:dyDescent="0.25">
      <c r="A221">
        <v>5320</v>
      </c>
      <c r="B221">
        <v>23210</v>
      </c>
      <c r="C221" s="1">
        <v>43166</v>
      </c>
      <c r="F221" s="36"/>
      <c r="G221">
        <v>6.4</v>
      </c>
      <c r="H221">
        <v>4.8</v>
      </c>
      <c r="I221">
        <v>9</v>
      </c>
      <c r="J221">
        <f t="shared" si="20"/>
        <v>1503.1000000000004</v>
      </c>
      <c r="K221">
        <f t="shared" si="21"/>
        <v>31.6</v>
      </c>
      <c r="L221" s="17" t="s">
        <v>40</v>
      </c>
      <c r="M221" s="52">
        <v>0.2</v>
      </c>
      <c r="N221">
        <v>1.1000000000000001</v>
      </c>
      <c r="O221">
        <f t="shared" si="24"/>
        <v>-0.90000000000000013</v>
      </c>
      <c r="Q221">
        <v>185</v>
      </c>
      <c r="R221">
        <f t="shared" si="27"/>
        <v>1.0241935483870968</v>
      </c>
      <c r="S221">
        <f t="shared" si="25"/>
        <v>1.1266129032258065</v>
      </c>
      <c r="T221">
        <f t="shared" si="26"/>
        <v>-0.92661290322580658</v>
      </c>
      <c r="U221" s="52">
        <f t="shared" si="23"/>
        <v>137.97338709677419</v>
      </c>
      <c r="V221" s="18" t="s">
        <v>47</v>
      </c>
      <c r="W221">
        <v>615.5</v>
      </c>
      <c r="X221">
        <f t="shared" si="22"/>
        <v>2485</v>
      </c>
      <c r="Y221">
        <v>11.111528120528689</v>
      </c>
      <c r="Z221" s="18" t="s">
        <v>52</v>
      </c>
      <c r="AA221" s="2" t="s">
        <v>64</v>
      </c>
    </row>
    <row r="222" spans="1:27" x14ac:dyDescent="0.25">
      <c r="A222">
        <v>5320</v>
      </c>
      <c r="B222">
        <v>23210</v>
      </c>
      <c r="C222" s="1">
        <v>43167</v>
      </c>
      <c r="F222" s="36"/>
      <c r="G222">
        <v>8.1</v>
      </c>
      <c r="H222">
        <v>4.3</v>
      </c>
      <c r="I222">
        <v>12</v>
      </c>
      <c r="J222">
        <f t="shared" si="20"/>
        <v>1511.2000000000003</v>
      </c>
      <c r="K222">
        <f t="shared" si="21"/>
        <v>39.700000000000003</v>
      </c>
      <c r="L222" s="11">
        <f>MIN(H217:H247)</f>
        <v>-2.4</v>
      </c>
      <c r="M222">
        <v>0.1</v>
      </c>
      <c r="N222">
        <v>1.6</v>
      </c>
      <c r="O222">
        <f t="shared" si="24"/>
        <v>-1.5</v>
      </c>
      <c r="Q222">
        <v>186</v>
      </c>
      <c r="R222">
        <f t="shared" si="27"/>
        <v>1.0290322580645161</v>
      </c>
      <c r="S222">
        <f t="shared" si="25"/>
        <v>1.6464516129032258</v>
      </c>
      <c r="T222">
        <f t="shared" si="26"/>
        <v>-1.5464516129032257</v>
      </c>
      <c r="U222">
        <f t="shared" si="23"/>
        <v>136.42693548387098</v>
      </c>
      <c r="V222" s="13">
        <f>MIN(U217:U247)</f>
        <v>132.19306451612908</v>
      </c>
      <c r="W222">
        <v>917.3</v>
      </c>
      <c r="X222">
        <f t="shared" si="22"/>
        <v>3402.3</v>
      </c>
      <c r="Y222">
        <v>11.170189016669083</v>
      </c>
      <c r="Z222">
        <v>23</v>
      </c>
      <c r="AA222">
        <v>2</v>
      </c>
    </row>
    <row r="223" spans="1:27" x14ac:dyDescent="0.25">
      <c r="A223">
        <v>5320</v>
      </c>
      <c r="B223">
        <v>23210</v>
      </c>
      <c r="C223" s="1">
        <v>43168</v>
      </c>
      <c r="F223" s="36"/>
      <c r="G223">
        <v>12.3</v>
      </c>
      <c r="H223">
        <v>7.7</v>
      </c>
      <c r="I223">
        <v>15</v>
      </c>
      <c r="J223">
        <f t="shared" si="20"/>
        <v>1523.5000000000002</v>
      </c>
      <c r="K223">
        <f t="shared" si="21"/>
        <v>52</v>
      </c>
      <c r="L223" s="17" t="s">
        <v>41</v>
      </c>
      <c r="M223">
        <v>3</v>
      </c>
      <c r="N223">
        <v>1.8</v>
      </c>
      <c r="O223">
        <f t="shared" si="24"/>
        <v>1.2</v>
      </c>
      <c r="Q223">
        <v>187</v>
      </c>
      <c r="R223">
        <f t="shared" si="27"/>
        <v>1.0338709677419355</v>
      </c>
      <c r="S223">
        <f t="shared" si="25"/>
        <v>1.860967741935484</v>
      </c>
      <c r="T223">
        <f t="shared" si="26"/>
        <v>1.139032258064516</v>
      </c>
      <c r="U223">
        <f t="shared" si="23"/>
        <v>137.56596774193548</v>
      </c>
      <c r="V223" s="18" t="s">
        <v>48</v>
      </c>
      <c r="W223">
        <v>780.8</v>
      </c>
      <c r="X223">
        <f t="shared" si="22"/>
        <v>4183.1000000000004</v>
      </c>
      <c r="Y223">
        <v>11.228970407993621</v>
      </c>
      <c r="AA223" s="2" t="s">
        <v>65</v>
      </c>
    </row>
    <row r="224" spans="1:27" x14ac:dyDescent="0.25">
      <c r="A224">
        <v>5320</v>
      </c>
      <c r="B224">
        <v>23210</v>
      </c>
      <c r="C224" s="1">
        <v>43169</v>
      </c>
      <c r="F224" s="36"/>
      <c r="G224">
        <v>13.9</v>
      </c>
      <c r="H224">
        <v>10.7</v>
      </c>
      <c r="I224">
        <v>16.8</v>
      </c>
      <c r="J224">
        <f t="shared" si="20"/>
        <v>1537.4000000000003</v>
      </c>
      <c r="K224">
        <f t="shared" si="21"/>
        <v>65.900000000000006</v>
      </c>
      <c r="L224" s="9">
        <f>MAX(I217:I247)</f>
        <v>16.8</v>
      </c>
      <c r="M224">
        <v>13.1</v>
      </c>
      <c r="N224">
        <v>1.4</v>
      </c>
      <c r="O224">
        <f t="shared" si="24"/>
        <v>11.7</v>
      </c>
      <c r="Q224">
        <v>188</v>
      </c>
      <c r="R224">
        <f t="shared" si="27"/>
        <v>1.0387096774193547</v>
      </c>
      <c r="S224">
        <f t="shared" si="25"/>
        <v>1.4541935483870965</v>
      </c>
      <c r="T224">
        <f t="shared" si="26"/>
        <v>11.645806451612904</v>
      </c>
      <c r="U224">
        <f t="shared" si="23"/>
        <v>138.9</v>
      </c>
      <c r="V224" s="13">
        <f>MAX(U217:U247)</f>
        <v>138.9</v>
      </c>
      <c r="W224">
        <v>509.3</v>
      </c>
      <c r="X224">
        <f t="shared" si="22"/>
        <v>4692.4000000000005</v>
      </c>
      <c r="Y224">
        <v>11.287862816252003</v>
      </c>
      <c r="AA224">
        <v>3</v>
      </c>
    </row>
    <row r="225" spans="1:27" x14ac:dyDescent="0.25">
      <c r="A225">
        <v>5320</v>
      </c>
      <c r="B225">
        <v>23210</v>
      </c>
      <c r="C225" s="1">
        <v>43170</v>
      </c>
      <c r="F225" s="36"/>
      <c r="G225">
        <v>12.4</v>
      </c>
      <c r="H225">
        <v>9.8000000000000007</v>
      </c>
      <c r="I225">
        <v>16.2</v>
      </c>
      <c r="J225">
        <f t="shared" si="20"/>
        <v>1549.8000000000004</v>
      </c>
      <c r="K225">
        <f t="shared" si="21"/>
        <v>78.300000000000011</v>
      </c>
      <c r="L225" s="17" t="s">
        <v>42</v>
      </c>
      <c r="M225">
        <v>0.2</v>
      </c>
      <c r="N225">
        <v>2.2999999999999998</v>
      </c>
      <c r="O225">
        <f t="shared" si="24"/>
        <v>-2.0999999999999996</v>
      </c>
      <c r="Q225">
        <v>189</v>
      </c>
      <c r="R225">
        <f t="shared" si="27"/>
        <v>1.0435483870967741</v>
      </c>
      <c r="S225">
        <f t="shared" si="25"/>
        <v>2.4001612903225804</v>
      </c>
      <c r="T225">
        <f t="shared" si="26"/>
        <v>-2.2001612903225802</v>
      </c>
      <c r="U225">
        <f t="shared" si="23"/>
        <v>136.69983870967744</v>
      </c>
      <c r="V225" s="18" t="s">
        <v>49</v>
      </c>
      <c r="W225">
        <v>647</v>
      </c>
      <c r="X225">
        <f t="shared" si="22"/>
        <v>5339.4000000000005</v>
      </c>
      <c r="Y225">
        <v>11.346856955393061</v>
      </c>
      <c r="AA225" s="2" t="s">
        <v>66</v>
      </c>
    </row>
    <row r="226" spans="1:27" x14ac:dyDescent="0.25">
      <c r="A226">
        <v>5320</v>
      </c>
      <c r="B226">
        <v>23210</v>
      </c>
      <c r="C226" s="1">
        <v>43171</v>
      </c>
      <c r="F226" s="36"/>
      <c r="G226">
        <v>10.3</v>
      </c>
      <c r="H226">
        <v>9.4</v>
      </c>
      <c r="I226">
        <v>12.8</v>
      </c>
      <c r="J226">
        <f t="shared" si="20"/>
        <v>1560.1000000000004</v>
      </c>
      <c r="K226">
        <f t="shared" si="21"/>
        <v>88.600000000000009</v>
      </c>
      <c r="L226" s="9">
        <v>0</v>
      </c>
      <c r="M226">
        <v>4.5</v>
      </c>
      <c r="N226">
        <v>2.2000000000000002</v>
      </c>
      <c r="O226">
        <f t="shared" si="24"/>
        <v>2.2999999999999998</v>
      </c>
      <c r="Q226">
        <v>190</v>
      </c>
      <c r="R226">
        <f t="shared" si="27"/>
        <v>1.0483870967741935</v>
      </c>
      <c r="S226">
        <f t="shared" si="25"/>
        <v>2.306451612903226</v>
      </c>
      <c r="T226">
        <f t="shared" si="26"/>
        <v>2.193548387096774</v>
      </c>
      <c r="U226">
        <f t="shared" si="23"/>
        <v>138.89338709677421</v>
      </c>
      <c r="V226" s="13">
        <f>AVERAGE(U217:U247)</f>
        <v>137.15292403746102</v>
      </c>
      <c r="W226">
        <v>696.9</v>
      </c>
      <c r="X226">
        <f t="shared" si="22"/>
        <v>6036.3</v>
      </c>
      <c r="Y226">
        <v>11.405943717360781</v>
      </c>
      <c r="AA226">
        <f>SUM(M212:M221)</f>
        <v>28.8</v>
      </c>
    </row>
    <row r="227" spans="1:27" x14ac:dyDescent="0.25">
      <c r="A227">
        <v>5320</v>
      </c>
      <c r="B227">
        <v>23210</v>
      </c>
      <c r="C227" s="1">
        <v>43172</v>
      </c>
      <c r="F227" s="36"/>
      <c r="G227">
        <v>7.9</v>
      </c>
      <c r="H227">
        <v>7.7</v>
      </c>
      <c r="I227">
        <v>10.3</v>
      </c>
      <c r="J227">
        <f t="shared" si="20"/>
        <v>1568.0000000000005</v>
      </c>
      <c r="K227">
        <f t="shared" si="21"/>
        <v>96.500000000000014</v>
      </c>
      <c r="L227" s="17" t="s">
        <v>43</v>
      </c>
      <c r="M227">
        <v>0</v>
      </c>
      <c r="N227">
        <v>1.8</v>
      </c>
      <c r="O227">
        <f t="shared" si="24"/>
        <v>-1.8</v>
      </c>
      <c r="Q227">
        <v>191</v>
      </c>
      <c r="R227">
        <f t="shared" si="27"/>
        <v>1.0532258064516129</v>
      </c>
      <c r="S227">
        <f t="shared" si="25"/>
        <v>1.8958064516129032</v>
      </c>
      <c r="T227">
        <f t="shared" si="26"/>
        <v>-1.8958064516129032</v>
      </c>
      <c r="U227">
        <f t="shared" si="23"/>
        <v>136.99758064516129</v>
      </c>
      <c r="W227">
        <v>1244.3</v>
      </c>
      <c r="X227">
        <f t="shared" si="22"/>
        <v>7280.6</v>
      </c>
      <c r="Y227">
        <v>11.465114157739615</v>
      </c>
    </row>
    <row r="228" spans="1:27" x14ac:dyDescent="0.25">
      <c r="A228">
        <v>5320</v>
      </c>
      <c r="B228">
        <v>23210</v>
      </c>
      <c r="C228" s="1">
        <v>43173</v>
      </c>
      <c r="F228" s="36"/>
      <c r="G228">
        <v>8.6999999999999993</v>
      </c>
      <c r="H228">
        <v>1.5</v>
      </c>
      <c r="I228">
        <v>13.9</v>
      </c>
      <c r="J228">
        <f t="shared" si="20"/>
        <v>1576.7000000000005</v>
      </c>
      <c r="K228">
        <f t="shared" si="21"/>
        <v>105.20000000000002</v>
      </c>
      <c r="L228" s="9">
        <v>14</v>
      </c>
      <c r="M228">
        <v>7.3</v>
      </c>
      <c r="N228">
        <v>1.9</v>
      </c>
      <c r="O228">
        <f t="shared" si="24"/>
        <v>5.4</v>
      </c>
      <c r="Q228">
        <v>192</v>
      </c>
      <c r="R228">
        <f t="shared" si="27"/>
        <v>1.0580645161290323</v>
      </c>
      <c r="S228">
        <f t="shared" si="25"/>
        <v>2.0103225806451612</v>
      </c>
      <c r="T228">
        <f t="shared" si="26"/>
        <v>5.2896774193548382</v>
      </c>
      <c r="U228">
        <f t="shared" si="23"/>
        <v>138.9</v>
      </c>
      <c r="V228" s="14">
        <f>(V226*100)/138.9</f>
        <v>98.742205930497491</v>
      </c>
      <c r="W228">
        <v>1279.2</v>
      </c>
      <c r="X228">
        <f t="shared" si="22"/>
        <v>8559.8000000000011</v>
      </c>
      <c r="Y228">
        <v>11.524359481266416</v>
      </c>
    </row>
    <row r="229" spans="1:27" x14ac:dyDescent="0.25">
      <c r="A229">
        <v>5320</v>
      </c>
      <c r="B229">
        <v>23210</v>
      </c>
      <c r="C229" s="1">
        <v>43174</v>
      </c>
      <c r="F229" s="36"/>
      <c r="G229">
        <v>9</v>
      </c>
      <c r="H229">
        <v>7.8</v>
      </c>
      <c r="I229">
        <v>11.1</v>
      </c>
      <c r="J229">
        <f t="shared" si="20"/>
        <v>1585.7000000000005</v>
      </c>
      <c r="K229">
        <f t="shared" si="21"/>
        <v>114.20000000000002</v>
      </c>
      <c r="L229" s="17" t="s">
        <v>44</v>
      </c>
      <c r="M229">
        <v>1.7</v>
      </c>
      <c r="N229">
        <v>0.9</v>
      </c>
      <c r="O229">
        <f t="shared" si="24"/>
        <v>0.79999999999999993</v>
      </c>
      <c r="Q229">
        <v>193</v>
      </c>
      <c r="R229">
        <f t="shared" si="27"/>
        <v>1.0629032258064517</v>
      </c>
      <c r="S229">
        <f t="shared" si="25"/>
        <v>0.9566129032258065</v>
      </c>
      <c r="T229">
        <f t="shared" si="26"/>
        <v>0.74338709677419346</v>
      </c>
      <c r="U229">
        <f t="shared" si="23"/>
        <v>138.9</v>
      </c>
      <c r="W229">
        <v>376.8</v>
      </c>
      <c r="X229">
        <f t="shared" si="22"/>
        <v>8936.6</v>
      </c>
      <c r="Y229">
        <v>11.583671027225014</v>
      </c>
    </row>
    <row r="230" spans="1:27" x14ac:dyDescent="0.25">
      <c r="A230">
        <v>5320</v>
      </c>
      <c r="B230">
        <v>23210</v>
      </c>
      <c r="C230" s="1">
        <v>43175</v>
      </c>
      <c r="F230" s="36"/>
      <c r="G230">
        <v>8</v>
      </c>
      <c r="H230">
        <v>6.3</v>
      </c>
      <c r="I230">
        <v>12</v>
      </c>
      <c r="J230">
        <f t="shared" si="20"/>
        <v>1593.7000000000005</v>
      </c>
      <c r="K230">
        <f t="shared" si="21"/>
        <v>122.20000000000002</v>
      </c>
      <c r="L230" s="9">
        <v>4</v>
      </c>
      <c r="M230">
        <v>1.8</v>
      </c>
      <c r="N230">
        <v>1.3</v>
      </c>
      <c r="O230">
        <f t="shared" si="24"/>
        <v>0.5</v>
      </c>
      <c r="Q230">
        <v>194</v>
      </c>
      <c r="R230">
        <f t="shared" si="27"/>
        <v>1.0677419354838709</v>
      </c>
      <c r="S230">
        <f t="shared" si="25"/>
        <v>1.3880645161290321</v>
      </c>
      <c r="T230">
        <f t="shared" si="26"/>
        <v>0.4119354838709679</v>
      </c>
      <c r="U230">
        <f t="shared" si="23"/>
        <v>138.9</v>
      </c>
      <c r="W230">
        <v>862</v>
      </c>
      <c r="X230">
        <f t="shared" si="22"/>
        <v>9798.6</v>
      </c>
      <c r="Y230">
        <v>11.643040254738372</v>
      </c>
    </row>
    <row r="231" spans="1:27" x14ac:dyDescent="0.25">
      <c r="A231">
        <v>5320</v>
      </c>
      <c r="B231">
        <v>23210</v>
      </c>
      <c r="C231" s="1">
        <v>43176</v>
      </c>
      <c r="F231" s="36"/>
      <c r="G231">
        <v>5.5</v>
      </c>
      <c r="H231">
        <v>2.2999999999999998</v>
      </c>
      <c r="I231">
        <v>10.1</v>
      </c>
      <c r="J231">
        <f t="shared" ref="J231:J294" si="28">J230+G231</f>
        <v>1599.2000000000005</v>
      </c>
      <c r="K231">
        <f t="shared" ref="K231:K294" si="29">K230+G231</f>
        <v>127.70000000000002</v>
      </c>
      <c r="M231">
        <v>1</v>
      </c>
      <c r="N231">
        <v>1.2</v>
      </c>
      <c r="O231">
        <f t="shared" si="24"/>
        <v>-0.19999999999999996</v>
      </c>
      <c r="Q231">
        <v>195</v>
      </c>
      <c r="R231">
        <f t="shared" si="27"/>
        <v>1.0725806451612903</v>
      </c>
      <c r="S231">
        <f t="shared" si="25"/>
        <v>1.2870967741935482</v>
      </c>
      <c r="T231">
        <f t="shared" si="26"/>
        <v>-0.28709677419354818</v>
      </c>
      <c r="U231">
        <f t="shared" si="23"/>
        <v>138.61290322580646</v>
      </c>
      <c r="W231">
        <v>1034.0999999999999</v>
      </c>
      <c r="X231">
        <f t="shared" ref="X231:X294" si="30">X230+W231</f>
        <v>10832.7</v>
      </c>
      <c r="Y231">
        <v>11.702458727972241</v>
      </c>
    </row>
    <row r="232" spans="1:27" x14ac:dyDescent="0.25">
      <c r="A232">
        <v>5320</v>
      </c>
      <c r="B232">
        <v>23210</v>
      </c>
      <c r="C232" s="1">
        <v>43177</v>
      </c>
      <c r="F232" s="36"/>
      <c r="G232">
        <v>1.7</v>
      </c>
      <c r="H232">
        <v>1.4</v>
      </c>
      <c r="I232">
        <v>2.5</v>
      </c>
      <c r="J232">
        <f t="shared" si="28"/>
        <v>1600.9000000000005</v>
      </c>
      <c r="K232">
        <f t="shared" si="29"/>
        <v>129.4</v>
      </c>
      <c r="M232">
        <v>0</v>
      </c>
      <c r="N232">
        <v>0.7</v>
      </c>
      <c r="O232">
        <f t="shared" si="24"/>
        <v>-0.7</v>
      </c>
      <c r="Q232">
        <v>196</v>
      </c>
      <c r="R232">
        <f t="shared" si="27"/>
        <v>1.0774193548387097</v>
      </c>
      <c r="S232">
        <f t="shared" si="25"/>
        <v>0.75419354838709673</v>
      </c>
      <c r="T232">
        <f t="shared" si="26"/>
        <v>-0.75419354838709673</v>
      </c>
      <c r="U232">
        <f t="shared" si="23"/>
        <v>137.85870967741937</v>
      </c>
      <c r="W232">
        <v>601.9</v>
      </c>
      <c r="X232">
        <f t="shared" si="30"/>
        <v>11434.6</v>
      </c>
      <c r="Y232">
        <v>11.761918101263378</v>
      </c>
    </row>
    <row r="233" spans="1:27" x14ac:dyDescent="0.25">
      <c r="A233">
        <v>5320</v>
      </c>
      <c r="B233">
        <v>23210</v>
      </c>
      <c r="C233" s="1">
        <v>43178</v>
      </c>
      <c r="F233" s="36"/>
      <c r="G233">
        <v>0.9</v>
      </c>
      <c r="H233">
        <v>-0.6</v>
      </c>
      <c r="I233">
        <v>1.9</v>
      </c>
      <c r="J233">
        <f t="shared" si="28"/>
        <v>1601.8000000000006</v>
      </c>
      <c r="K233">
        <f t="shared" si="29"/>
        <v>130.30000000000001</v>
      </c>
      <c r="M233">
        <v>0.2</v>
      </c>
      <c r="N233">
        <v>0.6</v>
      </c>
      <c r="O233">
        <f t="shared" si="24"/>
        <v>-0.39999999999999997</v>
      </c>
      <c r="Q233">
        <v>197</v>
      </c>
      <c r="R233">
        <f t="shared" si="27"/>
        <v>1.082258064516129</v>
      </c>
      <c r="S233">
        <f t="shared" si="25"/>
        <v>0.64935483870967736</v>
      </c>
      <c r="T233">
        <f t="shared" si="26"/>
        <v>-0.44935483870967735</v>
      </c>
      <c r="U233">
        <f t="shared" si="23"/>
        <v>137.4093548387097</v>
      </c>
      <c r="W233">
        <v>484.5</v>
      </c>
      <c r="X233">
        <f t="shared" si="30"/>
        <v>11919.1</v>
      </c>
      <c r="Y233">
        <v>11.821410104184498</v>
      </c>
    </row>
    <row r="234" spans="1:27" x14ac:dyDescent="0.25">
      <c r="A234">
        <v>5320</v>
      </c>
      <c r="B234">
        <v>23210</v>
      </c>
      <c r="C234" s="1">
        <v>43179</v>
      </c>
      <c r="F234" s="36"/>
      <c r="G234">
        <v>3</v>
      </c>
      <c r="H234">
        <v>-1.1000000000000001</v>
      </c>
      <c r="I234">
        <v>6.5</v>
      </c>
      <c r="J234">
        <f t="shared" si="28"/>
        <v>1604.8000000000006</v>
      </c>
      <c r="K234">
        <f t="shared" si="29"/>
        <v>133.30000000000001</v>
      </c>
      <c r="M234">
        <v>0</v>
      </c>
      <c r="N234">
        <v>1.5</v>
      </c>
      <c r="O234">
        <f t="shared" si="24"/>
        <v>-1.5</v>
      </c>
      <c r="Q234">
        <v>198</v>
      </c>
      <c r="R234">
        <f t="shared" si="27"/>
        <v>1.0870967741935484</v>
      </c>
      <c r="S234">
        <f t="shared" si="25"/>
        <v>1.6306451612903228</v>
      </c>
      <c r="T234">
        <f t="shared" si="26"/>
        <v>-1.6306451612903228</v>
      </c>
      <c r="U234">
        <f t="shared" ref="U234:U297" si="31">MIN(U233+T234,138.9)</f>
        <v>135.77870967741939</v>
      </c>
      <c r="W234">
        <v>1280.4000000000001</v>
      </c>
      <c r="X234">
        <f t="shared" si="30"/>
        <v>13199.5</v>
      </c>
      <c r="Y234">
        <v>11.8809265265576</v>
      </c>
    </row>
    <row r="235" spans="1:27" x14ac:dyDescent="0.25">
      <c r="A235">
        <v>5320</v>
      </c>
      <c r="B235">
        <v>23210</v>
      </c>
      <c r="C235" s="1">
        <v>43180</v>
      </c>
      <c r="F235" s="36"/>
      <c r="G235">
        <v>3</v>
      </c>
      <c r="H235">
        <v>-0.6</v>
      </c>
      <c r="I235">
        <v>6.7</v>
      </c>
      <c r="J235">
        <f t="shared" si="28"/>
        <v>1607.8000000000006</v>
      </c>
      <c r="K235">
        <f t="shared" si="29"/>
        <v>136.30000000000001</v>
      </c>
      <c r="M235">
        <v>0</v>
      </c>
      <c r="N235">
        <v>1.4</v>
      </c>
      <c r="O235">
        <f t="shared" si="24"/>
        <v>-1.4</v>
      </c>
      <c r="Q235">
        <v>199</v>
      </c>
      <c r="R235">
        <f t="shared" si="27"/>
        <v>1.0919354838709676</v>
      </c>
      <c r="S235">
        <f t="shared" si="25"/>
        <v>1.5287096774193545</v>
      </c>
      <c r="T235">
        <f t="shared" si="26"/>
        <v>-1.5287096774193545</v>
      </c>
      <c r="U235">
        <f t="shared" si="31"/>
        <v>134.25000000000003</v>
      </c>
      <c r="W235">
        <v>1237.5</v>
      </c>
      <c r="X235">
        <f t="shared" si="30"/>
        <v>14437</v>
      </c>
      <c r="Y235">
        <v>11.940459203426618</v>
      </c>
    </row>
    <row r="236" spans="1:27" x14ac:dyDescent="0.25">
      <c r="A236">
        <v>5320</v>
      </c>
      <c r="B236">
        <v>23210</v>
      </c>
      <c r="C236" s="1">
        <v>43181</v>
      </c>
      <c r="F236" s="36"/>
      <c r="G236">
        <v>3</v>
      </c>
      <c r="H236">
        <v>-2.4</v>
      </c>
      <c r="I236">
        <v>6.9</v>
      </c>
      <c r="J236">
        <f t="shared" si="28"/>
        <v>1610.8000000000006</v>
      </c>
      <c r="K236">
        <f t="shared" si="29"/>
        <v>139.30000000000001</v>
      </c>
      <c r="M236">
        <v>0</v>
      </c>
      <c r="N236">
        <v>0.6</v>
      </c>
      <c r="O236">
        <f t="shared" si="24"/>
        <v>-0.6</v>
      </c>
      <c r="Q236">
        <v>200</v>
      </c>
      <c r="R236">
        <f t="shared" si="27"/>
        <v>1.096774193548387</v>
      </c>
      <c r="S236">
        <f t="shared" si="25"/>
        <v>0.65806451612903216</v>
      </c>
      <c r="T236">
        <f t="shared" si="26"/>
        <v>-0.65806451612903216</v>
      </c>
      <c r="U236">
        <f t="shared" si="31"/>
        <v>133.591935483871</v>
      </c>
      <c r="W236">
        <v>413.8</v>
      </c>
      <c r="X236">
        <f t="shared" si="30"/>
        <v>14850.8</v>
      </c>
      <c r="Y236">
        <v>12</v>
      </c>
    </row>
    <row r="237" spans="1:27" x14ac:dyDescent="0.25">
      <c r="A237">
        <v>5320</v>
      </c>
      <c r="B237">
        <v>23210</v>
      </c>
      <c r="C237" s="1">
        <v>43182</v>
      </c>
      <c r="F237" s="36"/>
      <c r="G237">
        <v>5.3</v>
      </c>
      <c r="H237">
        <v>3.4</v>
      </c>
      <c r="I237">
        <v>6.2</v>
      </c>
      <c r="J237">
        <f t="shared" si="28"/>
        <v>1616.1000000000006</v>
      </c>
      <c r="K237">
        <f t="shared" si="29"/>
        <v>144.60000000000002</v>
      </c>
      <c r="M237">
        <v>0.7</v>
      </c>
      <c r="N237">
        <v>0.7</v>
      </c>
      <c r="O237">
        <f t="shared" si="24"/>
        <v>0</v>
      </c>
      <c r="Q237">
        <v>201</v>
      </c>
      <c r="R237">
        <f t="shared" si="27"/>
        <v>1.1016129032258064</v>
      </c>
      <c r="S237">
        <f t="shared" si="25"/>
        <v>0.7711290322580644</v>
      </c>
      <c r="T237">
        <f t="shared" si="26"/>
        <v>-7.112903225806444E-2</v>
      </c>
      <c r="U237">
        <f t="shared" si="31"/>
        <v>133.52080645161294</v>
      </c>
      <c r="W237">
        <v>455.8</v>
      </c>
      <c r="X237">
        <f t="shared" si="30"/>
        <v>15306.599999999999</v>
      </c>
      <c r="Y237">
        <v>12.059540796573382</v>
      </c>
    </row>
    <row r="238" spans="1:27" x14ac:dyDescent="0.25">
      <c r="A238">
        <v>5320</v>
      </c>
      <c r="B238">
        <v>23210</v>
      </c>
      <c r="C238" s="1">
        <v>43183</v>
      </c>
      <c r="F238" s="36"/>
      <c r="G238">
        <v>8.1</v>
      </c>
      <c r="H238">
        <v>5.7</v>
      </c>
      <c r="I238">
        <v>11.2</v>
      </c>
      <c r="J238">
        <f t="shared" si="28"/>
        <v>1624.2000000000005</v>
      </c>
      <c r="K238">
        <f t="shared" si="29"/>
        <v>152.70000000000002</v>
      </c>
      <c r="M238">
        <v>0</v>
      </c>
      <c r="N238">
        <v>1.2</v>
      </c>
      <c r="O238">
        <f t="shared" si="24"/>
        <v>-1.2</v>
      </c>
      <c r="Q238">
        <v>202</v>
      </c>
      <c r="R238">
        <f t="shared" si="27"/>
        <v>1.1064516129032258</v>
      </c>
      <c r="S238">
        <f t="shared" si="25"/>
        <v>1.3277419354838709</v>
      </c>
      <c r="T238">
        <f t="shared" si="26"/>
        <v>-1.3277419354838709</v>
      </c>
      <c r="U238">
        <f t="shared" si="31"/>
        <v>132.19306451612908</v>
      </c>
      <c r="W238">
        <v>985.5</v>
      </c>
      <c r="X238">
        <f t="shared" si="30"/>
        <v>16292.099999999999</v>
      </c>
      <c r="Y238">
        <v>12.1190734734424</v>
      </c>
    </row>
    <row r="239" spans="1:27" x14ac:dyDescent="0.25">
      <c r="A239">
        <v>5320</v>
      </c>
      <c r="B239">
        <v>23210</v>
      </c>
      <c r="C239" s="1">
        <v>43184</v>
      </c>
      <c r="F239" s="36"/>
      <c r="G239">
        <v>10.1</v>
      </c>
      <c r="H239">
        <v>5.3</v>
      </c>
      <c r="I239">
        <v>13.8</v>
      </c>
      <c r="J239">
        <f t="shared" si="28"/>
        <v>1634.3000000000004</v>
      </c>
      <c r="K239">
        <f t="shared" si="29"/>
        <v>162.80000000000001</v>
      </c>
      <c r="M239">
        <v>2.5</v>
      </c>
      <c r="N239">
        <v>0.8</v>
      </c>
      <c r="O239">
        <f t="shared" si="24"/>
        <v>1.7</v>
      </c>
      <c r="Q239">
        <v>203</v>
      </c>
      <c r="R239">
        <f t="shared" si="27"/>
        <v>1.1112903225806452</v>
      </c>
      <c r="S239">
        <f t="shared" si="25"/>
        <v>0.88903225806451625</v>
      </c>
      <c r="T239">
        <f t="shared" si="26"/>
        <v>1.6109677419354838</v>
      </c>
      <c r="U239">
        <f t="shared" si="31"/>
        <v>133.80403225806458</v>
      </c>
      <c r="W239">
        <v>551</v>
      </c>
      <c r="X239">
        <f t="shared" si="30"/>
        <v>16843.099999999999</v>
      </c>
      <c r="Y239">
        <v>12.178589895815501</v>
      </c>
    </row>
    <row r="240" spans="1:27" x14ac:dyDescent="0.25">
      <c r="A240">
        <v>5320</v>
      </c>
      <c r="B240">
        <v>23210</v>
      </c>
      <c r="C240" s="1">
        <v>43185</v>
      </c>
      <c r="F240" s="36"/>
      <c r="G240">
        <v>8.9</v>
      </c>
      <c r="H240">
        <v>6.5</v>
      </c>
      <c r="I240">
        <v>11.6</v>
      </c>
      <c r="J240">
        <f t="shared" si="28"/>
        <v>1643.2000000000005</v>
      </c>
      <c r="K240">
        <f t="shared" si="29"/>
        <v>171.70000000000002</v>
      </c>
      <c r="M240">
        <v>2.4</v>
      </c>
      <c r="N240">
        <v>1.3</v>
      </c>
      <c r="O240">
        <f t="shared" si="24"/>
        <v>1.0999999999999999</v>
      </c>
      <c r="Q240">
        <v>204</v>
      </c>
      <c r="R240">
        <f t="shared" si="27"/>
        <v>1.1161290322580644</v>
      </c>
      <c r="S240">
        <f t="shared" si="25"/>
        <v>1.4509677419354838</v>
      </c>
      <c r="T240">
        <f t="shared" si="26"/>
        <v>0.94903225806451608</v>
      </c>
      <c r="U240">
        <f t="shared" si="31"/>
        <v>134.75306451612909</v>
      </c>
      <c r="W240">
        <v>997.8</v>
      </c>
      <c r="X240">
        <f t="shared" si="30"/>
        <v>17840.899999999998</v>
      </c>
      <c r="Y240">
        <v>12.238081898736622</v>
      </c>
    </row>
    <row r="241" spans="1:26" x14ac:dyDescent="0.25">
      <c r="A241">
        <v>5320</v>
      </c>
      <c r="B241">
        <v>23210</v>
      </c>
      <c r="C241" s="1">
        <v>43186</v>
      </c>
      <c r="F241" s="36"/>
      <c r="G241">
        <v>9.4</v>
      </c>
      <c r="H241">
        <v>5.6</v>
      </c>
      <c r="I241">
        <v>12.9</v>
      </c>
      <c r="J241">
        <f t="shared" si="28"/>
        <v>1652.6000000000006</v>
      </c>
      <c r="K241">
        <f t="shared" si="29"/>
        <v>181.10000000000002</v>
      </c>
      <c r="M241">
        <v>2.9</v>
      </c>
      <c r="N241">
        <v>0.8</v>
      </c>
      <c r="O241">
        <f t="shared" si="24"/>
        <v>2.0999999999999996</v>
      </c>
      <c r="Q241">
        <v>205</v>
      </c>
      <c r="R241">
        <f t="shared" si="27"/>
        <v>1.1209677419354838</v>
      </c>
      <c r="S241">
        <f t="shared" si="25"/>
        <v>0.89677419354838706</v>
      </c>
      <c r="T241">
        <f t="shared" si="26"/>
        <v>2.0032258064516126</v>
      </c>
      <c r="U241">
        <f t="shared" si="31"/>
        <v>136.7562903225807</v>
      </c>
      <c r="W241">
        <v>613.9</v>
      </c>
      <c r="X241">
        <f t="shared" si="30"/>
        <v>18454.8</v>
      </c>
      <c r="Y241">
        <v>12.297541272027757</v>
      </c>
    </row>
    <row r="242" spans="1:26" x14ac:dyDescent="0.25">
      <c r="A242">
        <v>5320</v>
      </c>
      <c r="B242">
        <v>23210</v>
      </c>
      <c r="C242" s="1">
        <v>43187</v>
      </c>
      <c r="F242" s="36"/>
      <c r="G242">
        <v>9.3000000000000007</v>
      </c>
      <c r="H242">
        <v>8.5</v>
      </c>
      <c r="I242">
        <v>11.9</v>
      </c>
      <c r="J242">
        <f t="shared" si="28"/>
        <v>1661.9000000000005</v>
      </c>
      <c r="K242">
        <f t="shared" si="29"/>
        <v>190.40000000000003</v>
      </c>
      <c r="M242">
        <v>3.4</v>
      </c>
      <c r="N242">
        <v>1.2</v>
      </c>
      <c r="O242">
        <f t="shared" si="24"/>
        <v>2.2000000000000002</v>
      </c>
      <c r="Q242">
        <v>206</v>
      </c>
      <c r="R242">
        <f t="shared" si="27"/>
        <v>1.1258064516129032</v>
      </c>
      <c r="S242">
        <f t="shared" si="25"/>
        <v>1.3509677419354837</v>
      </c>
      <c r="T242">
        <f t="shared" si="26"/>
        <v>2.0490322580645159</v>
      </c>
      <c r="U242">
        <f t="shared" si="31"/>
        <v>138.80532258064522</v>
      </c>
      <c r="W242">
        <v>427.8</v>
      </c>
      <c r="X242">
        <f t="shared" si="30"/>
        <v>18882.599999999999</v>
      </c>
      <c r="Y242">
        <v>12.356959745261628</v>
      </c>
    </row>
    <row r="243" spans="1:26" x14ac:dyDescent="0.25">
      <c r="A243">
        <v>5320</v>
      </c>
      <c r="B243">
        <v>23210</v>
      </c>
      <c r="C243" s="1">
        <v>43188</v>
      </c>
      <c r="F243" s="36"/>
      <c r="G243">
        <v>6.1</v>
      </c>
      <c r="H243">
        <v>2.6</v>
      </c>
      <c r="I243">
        <v>10.1</v>
      </c>
      <c r="J243">
        <f t="shared" si="28"/>
        <v>1668.0000000000005</v>
      </c>
      <c r="K243">
        <f t="shared" si="29"/>
        <v>196.50000000000003</v>
      </c>
      <c r="M243">
        <v>3.1</v>
      </c>
      <c r="N243">
        <v>0.9</v>
      </c>
      <c r="O243">
        <f t="shared" si="24"/>
        <v>2.2000000000000002</v>
      </c>
      <c r="Q243">
        <v>207</v>
      </c>
      <c r="R243">
        <f t="shared" si="27"/>
        <v>1.1306451612903226</v>
      </c>
      <c r="S243">
        <f t="shared" si="25"/>
        <v>1.0175806451612903</v>
      </c>
      <c r="T243">
        <f t="shared" si="26"/>
        <v>2.0824193548387098</v>
      </c>
      <c r="U243">
        <f t="shared" si="31"/>
        <v>138.9</v>
      </c>
      <c r="W243">
        <v>645.5</v>
      </c>
      <c r="X243">
        <f t="shared" si="30"/>
        <v>19528.099999999999</v>
      </c>
      <c r="Y243">
        <v>12.416328972774986</v>
      </c>
    </row>
    <row r="244" spans="1:26" x14ac:dyDescent="0.25">
      <c r="A244">
        <v>5320</v>
      </c>
      <c r="B244">
        <v>23210</v>
      </c>
      <c r="C244" s="1">
        <v>43189</v>
      </c>
      <c r="F244" s="36"/>
      <c r="G244">
        <v>6.1</v>
      </c>
      <c r="H244">
        <v>4.0999999999999996</v>
      </c>
      <c r="I244">
        <v>8.1999999999999993</v>
      </c>
      <c r="J244">
        <f t="shared" si="28"/>
        <v>1674.1000000000004</v>
      </c>
      <c r="K244">
        <f t="shared" si="29"/>
        <v>202.60000000000002</v>
      </c>
      <c r="M244">
        <v>1.2</v>
      </c>
      <c r="N244">
        <v>0.6</v>
      </c>
      <c r="O244">
        <f t="shared" si="24"/>
        <v>0.6</v>
      </c>
      <c r="Q244">
        <v>208</v>
      </c>
      <c r="R244">
        <f t="shared" si="27"/>
        <v>1.1354838709677419</v>
      </c>
      <c r="S244">
        <f t="shared" si="25"/>
        <v>0.68129032258064515</v>
      </c>
      <c r="T244">
        <f t="shared" si="26"/>
        <v>0.51870967741935481</v>
      </c>
      <c r="U244">
        <f t="shared" si="31"/>
        <v>138.9</v>
      </c>
      <c r="W244">
        <v>363</v>
      </c>
      <c r="X244">
        <f t="shared" si="30"/>
        <v>19891.099999999999</v>
      </c>
      <c r="Y244">
        <v>12.475640518733584</v>
      </c>
    </row>
    <row r="245" spans="1:26" x14ac:dyDescent="0.25">
      <c r="A245">
        <v>5320</v>
      </c>
      <c r="B245">
        <v>23210</v>
      </c>
      <c r="C245" s="1">
        <v>43190</v>
      </c>
      <c r="F245" s="36"/>
      <c r="G245">
        <v>6.6</v>
      </c>
      <c r="H245">
        <v>2.5</v>
      </c>
      <c r="I245">
        <v>8.9</v>
      </c>
      <c r="J245">
        <f t="shared" si="28"/>
        <v>1680.7000000000003</v>
      </c>
      <c r="K245">
        <f t="shared" si="29"/>
        <v>209.20000000000002</v>
      </c>
      <c r="M245">
        <v>0.2</v>
      </c>
      <c r="N245">
        <v>0.5</v>
      </c>
      <c r="O245">
        <f t="shared" si="24"/>
        <v>-0.3</v>
      </c>
      <c r="Q245">
        <v>209</v>
      </c>
      <c r="R245">
        <f t="shared" si="27"/>
        <v>1.1403225806451611</v>
      </c>
      <c r="S245">
        <f t="shared" si="25"/>
        <v>0.57016129032258056</v>
      </c>
      <c r="T245">
        <f t="shared" si="26"/>
        <v>-0.37016129032258055</v>
      </c>
      <c r="U245">
        <f t="shared" si="31"/>
        <v>138.52983870967742</v>
      </c>
      <c r="W245">
        <v>379.8</v>
      </c>
      <c r="X245">
        <f t="shared" si="30"/>
        <v>20270.899999999998</v>
      </c>
      <c r="Y245">
        <v>12.534885842260385</v>
      </c>
    </row>
    <row r="246" spans="1:26" x14ac:dyDescent="0.25">
      <c r="A246">
        <v>5320</v>
      </c>
      <c r="B246">
        <v>23210</v>
      </c>
      <c r="C246" s="1">
        <v>43191</v>
      </c>
      <c r="F246" s="36"/>
      <c r="G246">
        <v>8.1</v>
      </c>
      <c r="H246">
        <v>4.8</v>
      </c>
      <c r="I246">
        <v>10.4</v>
      </c>
      <c r="J246">
        <f t="shared" si="28"/>
        <v>1688.8000000000002</v>
      </c>
      <c r="K246">
        <f t="shared" si="29"/>
        <v>217.3</v>
      </c>
      <c r="M246">
        <v>0</v>
      </c>
      <c r="N246">
        <v>1.4</v>
      </c>
      <c r="O246">
        <f t="shared" si="24"/>
        <v>-1.4</v>
      </c>
      <c r="Q246">
        <v>210</v>
      </c>
      <c r="R246">
        <f t="shared" si="27"/>
        <v>1.1451612903225805</v>
      </c>
      <c r="S246">
        <f t="shared" si="25"/>
        <v>1.6032258064516127</v>
      </c>
      <c r="T246">
        <f t="shared" si="26"/>
        <v>-1.6032258064516127</v>
      </c>
      <c r="U246">
        <f t="shared" si="31"/>
        <v>136.92661290322582</v>
      </c>
      <c r="W246">
        <v>645.20000000000005</v>
      </c>
      <c r="X246">
        <f t="shared" si="30"/>
        <v>20916.099999999999</v>
      </c>
      <c r="Y246">
        <v>12.594056282639217</v>
      </c>
    </row>
    <row r="247" spans="1:26" s="6" customFormat="1" ht="15.75" thickBot="1" x14ac:dyDescent="0.3">
      <c r="A247" s="6">
        <v>5320</v>
      </c>
      <c r="B247" s="6">
        <v>23210</v>
      </c>
      <c r="C247" s="7">
        <v>43192</v>
      </c>
      <c r="F247" s="37"/>
      <c r="G247" s="6">
        <v>11</v>
      </c>
      <c r="H247" s="6">
        <v>6.6</v>
      </c>
      <c r="I247" s="6">
        <v>13.7</v>
      </c>
      <c r="J247" s="6">
        <f t="shared" si="28"/>
        <v>1699.8000000000002</v>
      </c>
      <c r="K247" s="6">
        <f t="shared" si="29"/>
        <v>228.3</v>
      </c>
      <c r="M247" s="6">
        <v>0.6</v>
      </c>
      <c r="N247" s="6">
        <v>1.5</v>
      </c>
      <c r="O247" s="6">
        <f t="shared" si="24"/>
        <v>-0.9</v>
      </c>
      <c r="Q247" s="6">
        <v>211</v>
      </c>
      <c r="R247" s="6">
        <f t="shared" si="27"/>
        <v>1.1499999999999999</v>
      </c>
      <c r="S247" s="6">
        <f t="shared" si="25"/>
        <v>1.7249999999999999</v>
      </c>
      <c r="T247" s="6">
        <f t="shared" si="26"/>
        <v>-1.125</v>
      </c>
      <c r="U247" s="6">
        <f t="shared" si="31"/>
        <v>135.80161290322582</v>
      </c>
      <c r="W247" s="6">
        <v>780.9</v>
      </c>
      <c r="X247" s="6">
        <f t="shared" si="30"/>
        <v>21697</v>
      </c>
      <c r="Y247" s="6">
        <v>12.653143044606937</v>
      </c>
    </row>
    <row r="248" spans="1:26" x14ac:dyDescent="0.25">
      <c r="A248">
        <v>5320</v>
      </c>
      <c r="B248">
        <v>23210</v>
      </c>
      <c r="C248" s="1">
        <v>43193</v>
      </c>
      <c r="D248" t="s">
        <v>31</v>
      </c>
      <c r="F248" s="38" t="s">
        <v>57</v>
      </c>
      <c r="G248">
        <v>10.9</v>
      </c>
      <c r="H248">
        <v>9.4</v>
      </c>
      <c r="I248">
        <v>13.5</v>
      </c>
      <c r="J248">
        <f t="shared" si="28"/>
        <v>1710.7000000000003</v>
      </c>
      <c r="K248">
        <f>G248</f>
        <v>10.9</v>
      </c>
      <c r="L248" s="19" t="s">
        <v>38</v>
      </c>
      <c r="M248">
        <v>7.7</v>
      </c>
      <c r="N248">
        <v>1.2</v>
      </c>
      <c r="O248">
        <f t="shared" si="24"/>
        <v>6.5</v>
      </c>
      <c r="Q248">
        <v>212</v>
      </c>
      <c r="R248">
        <v>1.1499999999999999</v>
      </c>
      <c r="S248">
        <f t="shared" si="25"/>
        <v>1.38</v>
      </c>
      <c r="T248">
        <f t="shared" si="26"/>
        <v>6.32</v>
      </c>
      <c r="U248">
        <f t="shared" si="31"/>
        <v>138.9</v>
      </c>
      <c r="V248" s="21" t="s">
        <v>45</v>
      </c>
      <c r="W248">
        <v>483.6</v>
      </c>
      <c r="X248">
        <f>W248</f>
        <v>483.6</v>
      </c>
      <c r="Y248">
        <v>12.712137183747995</v>
      </c>
      <c r="Z248" s="21" t="s">
        <v>50</v>
      </c>
    </row>
    <row r="249" spans="1:26" x14ac:dyDescent="0.25">
      <c r="A249">
        <v>5320</v>
      </c>
      <c r="B249">
        <v>23210</v>
      </c>
      <c r="C249" s="1">
        <v>43194</v>
      </c>
      <c r="F249" s="39"/>
      <c r="G249">
        <v>10.9</v>
      </c>
      <c r="H249">
        <v>9.6999999999999993</v>
      </c>
      <c r="I249">
        <v>12.5</v>
      </c>
      <c r="J249">
        <f t="shared" si="28"/>
        <v>1721.6000000000004</v>
      </c>
      <c r="K249">
        <f t="shared" si="29"/>
        <v>21.8</v>
      </c>
      <c r="L249" s="9">
        <v>282.60000000000002</v>
      </c>
      <c r="M249">
        <v>4.5999999999999996</v>
      </c>
      <c r="N249">
        <v>1.7</v>
      </c>
      <c r="O249">
        <f t="shared" si="24"/>
        <v>2.8999999999999995</v>
      </c>
      <c r="Q249">
        <v>213</v>
      </c>
      <c r="R249">
        <v>1.1499999999999999</v>
      </c>
      <c r="S249">
        <f t="shared" si="25"/>
        <v>1.9549999999999998</v>
      </c>
      <c r="T249">
        <f t="shared" si="26"/>
        <v>2.6449999999999996</v>
      </c>
      <c r="U249">
        <f t="shared" si="31"/>
        <v>138.9</v>
      </c>
      <c r="V249">
        <v>0</v>
      </c>
      <c r="W249">
        <v>317.8</v>
      </c>
      <c r="X249">
        <f t="shared" si="30"/>
        <v>801.40000000000009</v>
      </c>
      <c r="Y249">
        <v>12.771029592006379</v>
      </c>
      <c r="Z249">
        <v>25894.2</v>
      </c>
    </row>
    <row r="250" spans="1:26" x14ac:dyDescent="0.25">
      <c r="A250">
        <v>5320</v>
      </c>
      <c r="B250">
        <v>23210</v>
      </c>
      <c r="C250" s="1">
        <v>43195</v>
      </c>
      <c r="F250" s="39"/>
      <c r="G250">
        <v>8.6999999999999993</v>
      </c>
      <c r="H250">
        <v>7.1</v>
      </c>
      <c r="I250">
        <v>10.8</v>
      </c>
      <c r="J250">
        <f t="shared" si="28"/>
        <v>1730.3000000000004</v>
      </c>
      <c r="K250">
        <f t="shared" si="29"/>
        <v>30.5</v>
      </c>
      <c r="L250" s="19" t="s">
        <v>39</v>
      </c>
      <c r="M250">
        <v>0</v>
      </c>
      <c r="N250">
        <v>1.3</v>
      </c>
      <c r="O250">
        <f t="shared" si="24"/>
        <v>-1.3</v>
      </c>
      <c r="Q250">
        <v>214</v>
      </c>
      <c r="R250">
        <v>1.1499999999999999</v>
      </c>
      <c r="S250">
        <f t="shared" si="25"/>
        <v>1.4949999999999999</v>
      </c>
      <c r="T250">
        <f t="shared" si="26"/>
        <v>-1.4949999999999999</v>
      </c>
      <c r="U250">
        <f t="shared" si="31"/>
        <v>137.405</v>
      </c>
      <c r="V250" s="21" t="s">
        <v>46</v>
      </c>
      <c r="W250">
        <v>672.9</v>
      </c>
      <c r="X250">
        <f t="shared" si="30"/>
        <v>1474.3000000000002</v>
      </c>
      <c r="Y250">
        <v>12.829810983330916</v>
      </c>
      <c r="Z250" s="21" t="s">
        <v>51</v>
      </c>
    </row>
    <row r="251" spans="1:26" x14ac:dyDescent="0.25">
      <c r="A251">
        <v>5320</v>
      </c>
      <c r="B251">
        <v>23210</v>
      </c>
      <c r="C251" s="1">
        <v>43196</v>
      </c>
      <c r="F251" s="39"/>
      <c r="G251">
        <v>12.2</v>
      </c>
      <c r="H251">
        <v>4.2</v>
      </c>
      <c r="I251">
        <v>18.7</v>
      </c>
      <c r="J251">
        <f t="shared" si="28"/>
        <v>1742.5000000000005</v>
      </c>
      <c r="K251">
        <f t="shared" si="29"/>
        <v>42.7</v>
      </c>
      <c r="L251" s="10">
        <f>AVERAGE(G248:G268)</f>
        <v>13.457142857142859</v>
      </c>
      <c r="M251">
        <v>1.2</v>
      </c>
      <c r="N251">
        <v>3.2</v>
      </c>
      <c r="O251">
        <f t="shared" si="24"/>
        <v>-2</v>
      </c>
      <c r="Q251">
        <v>215</v>
      </c>
      <c r="R251">
        <v>1.1499999999999999</v>
      </c>
      <c r="S251">
        <f t="shared" si="25"/>
        <v>3.6799999999999997</v>
      </c>
      <c r="T251">
        <f t="shared" si="26"/>
        <v>-2.4799999999999995</v>
      </c>
      <c r="U251">
        <f t="shared" si="31"/>
        <v>134.92500000000001</v>
      </c>
      <c r="V251">
        <v>0</v>
      </c>
      <c r="W251">
        <v>2038.6</v>
      </c>
      <c r="X251">
        <f t="shared" si="30"/>
        <v>3512.9</v>
      </c>
      <c r="Y251">
        <v>12.888471879471311</v>
      </c>
      <c r="Z251" s="13">
        <f>(Z249/100)/L249</f>
        <v>0.91628450106157111</v>
      </c>
    </row>
    <row r="252" spans="1:26" x14ac:dyDescent="0.25">
      <c r="A252">
        <v>5320</v>
      </c>
      <c r="B252">
        <v>23210</v>
      </c>
      <c r="C252" s="1">
        <v>43197</v>
      </c>
      <c r="F252" s="39"/>
      <c r="G252">
        <v>13.7</v>
      </c>
      <c r="H252">
        <v>10.9</v>
      </c>
      <c r="I252">
        <v>17.2</v>
      </c>
      <c r="J252">
        <f t="shared" si="28"/>
        <v>1756.2000000000005</v>
      </c>
      <c r="K252">
        <f t="shared" si="29"/>
        <v>56.400000000000006</v>
      </c>
      <c r="L252" s="19" t="s">
        <v>40</v>
      </c>
      <c r="M252">
        <v>2.7</v>
      </c>
      <c r="N252">
        <v>1.3</v>
      </c>
      <c r="O252">
        <f t="shared" si="24"/>
        <v>1.4000000000000001</v>
      </c>
      <c r="Q252">
        <v>216</v>
      </c>
      <c r="R252">
        <v>1.1499999999999999</v>
      </c>
      <c r="S252">
        <f t="shared" si="25"/>
        <v>1.4949999999999999</v>
      </c>
      <c r="T252">
        <f t="shared" si="26"/>
        <v>1.2050000000000003</v>
      </c>
      <c r="U252">
        <f t="shared" si="31"/>
        <v>136.13000000000002</v>
      </c>
      <c r="V252" s="21" t="s">
        <v>47</v>
      </c>
      <c r="W252">
        <v>362.9</v>
      </c>
      <c r="X252">
        <f t="shared" si="30"/>
        <v>3875.8</v>
      </c>
      <c r="Y252">
        <v>12.947002595943424</v>
      </c>
      <c r="Z252" s="21" t="s">
        <v>52</v>
      </c>
    </row>
    <row r="253" spans="1:26" x14ac:dyDescent="0.25">
      <c r="A253">
        <v>5320</v>
      </c>
      <c r="B253">
        <v>23210</v>
      </c>
      <c r="C253" s="1">
        <v>43198</v>
      </c>
      <c r="F253" s="39"/>
      <c r="G253">
        <v>13.8</v>
      </c>
      <c r="H253">
        <v>9.9</v>
      </c>
      <c r="I253">
        <v>18.7</v>
      </c>
      <c r="J253">
        <f t="shared" si="28"/>
        <v>1770.0000000000005</v>
      </c>
      <c r="K253">
        <f t="shared" si="29"/>
        <v>70.2</v>
      </c>
      <c r="L253" s="11">
        <f>MIN(H248:H268)</f>
        <v>4.2</v>
      </c>
      <c r="M253">
        <v>2</v>
      </c>
      <c r="N253">
        <v>1.1000000000000001</v>
      </c>
      <c r="O253">
        <f t="shared" si="24"/>
        <v>0.89999999999999991</v>
      </c>
      <c r="Q253">
        <v>217</v>
      </c>
      <c r="R253">
        <v>1.1499999999999999</v>
      </c>
      <c r="S253">
        <f t="shared" si="25"/>
        <v>1.2649999999999999</v>
      </c>
      <c r="T253">
        <f t="shared" si="26"/>
        <v>0.7350000000000001</v>
      </c>
      <c r="U253">
        <f t="shared" si="31"/>
        <v>136.86500000000004</v>
      </c>
      <c r="V253" s="13">
        <f>MIN(U248:U268)</f>
        <v>104.03999999999999</v>
      </c>
      <c r="W253">
        <v>619.1</v>
      </c>
      <c r="X253">
        <f t="shared" si="30"/>
        <v>4494.9000000000005</v>
      </c>
      <c r="Y253">
        <v>13.00539322818396</v>
      </c>
      <c r="Z253">
        <v>9</v>
      </c>
    </row>
    <row r="254" spans="1:26" x14ac:dyDescent="0.25">
      <c r="A254">
        <v>5320</v>
      </c>
      <c r="B254">
        <v>23210</v>
      </c>
      <c r="C254" s="1">
        <v>43199</v>
      </c>
      <c r="F254" s="39"/>
      <c r="G254">
        <v>12</v>
      </c>
      <c r="H254">
        <v>10.6</v>
      </c>
      <c r="I254">
        <v>14</v>
      </c>
      <c r="J254">
        <f t="shared" si="28"/>
        <v>1782.0000000000005</v>
      </c>
      <c r="K254">
        <f t="shared" si="29"/>
        <v>82.2</v>
      </c>
      <c r="L254" s="19" t="s">
        <v>41</v>
      </c>
      <c r="M254">
        <v>2.9</v>
      </c>
      <c r="N254">
        <v>0.8</v>
      </c>
      <c r="O254">
        <f t="shared" si="24"/>
        <v>2.0999999999999996</v>
      </c>
      <c r="Q254">
        <v>218</v>
      </c>
      <c r="R254">
        <v>1.1499999999999999</v>
      </c>
      <c r="S254">
        <f t="shared" si="25"/>
        <v>0.91999999999999993</v>
      </c>
      <c r="T254">
        <f t="shared" si="26"/>
        <v>1.98</v>
      </c>
      <c r="U254">
        <f t="shared" si="31"/>
        <v>138.84500000000003</v>
      </c>
      <c r="V254" s="21" t="s">
        <v>48</v>
      </c>
      <c r="W254">
        <v>566.9</v>
      </c>
      <c r="X254">
        <f t="shared" si="30"/>
        <v>5061.8</v>
      </c>
      <c r="Y254">
        <v>13.063633637916098</v>
      </c>
    </row>
    <row r="255" spans="1:26" x14ac:dyDescent="0.25">
      <c r="A255">
        <v>5320</v>
      </c>
      <c r="B255">
        <v>23210</v>
      </c>
      <c r="C255" s="1">
        <v>43200</v>
      </c>
      <c r="F255" s="39"/>
      <c r="G255">
        <v>9.8000000000000007</v>
      </c>
      <c r="H255">
        <v>9.3000000000000007</v>
      </c>
      <c r="I255">
        <v>10.7</v>
      </c>
      <c r="J255">
        <f t="shared" si="28"/>
        <v>1791.8000000000004</v>
      </c>
      <c r="K255">
        <f t="shared" si="29"/>
        <v>92</v>
      </c>
      <c r="L255" s="9">
        <f>MAX(I248:I268)</f>
        <v>26.9</v>
      </c>
      <c r="M255">
        <v>4.2</v>
      </c>
      <c r="N255">
        <v>0.7</v>
      </c>
      <c r="O255">
        <f t="shared" si="24"/>
        <v>3.5</v>
      </c>
      <c r="Q255">
        <v>219</v>
      </c>
      <c r="R255">
        <v>1.1499999999999999</v>
      </c>
      <c r="S255">
        <f t="shared" si="25"/>
        <v>0.80499999999999994</v>
      </c>
      <c r="T255">
        <f t="shared" si="26"/>
        <v>3.3950000000000005</v>
      </c>
      <c r="U255">
        <f t="shared" si="31"/>
        <v>138.9</v>
      </c>
      <c r="V255" s="13">
        <f>MAX(U248:U268)</f>
        <v>138.9</v>
      </c>
      <c r="W255">
        <v>489.6</v>
      </c>
      <c r="X255">
        <f t="shared" si="30"/>
        <v>5551.4000000000005</v>
      </c>
      <c r="Y255">
        <v>13.121713439749346</v>
      </c>
    </row>
    <row r="256" spans="1:26" x14ac:dyDescent="0.25">
      <c r="A256">
        <v>5320</v>
      </c>
      <c r="B256">
        <v>23210</v>
      </c>
      <c r="C256" s="1">
        <v>43201</v>
      </c>
      <c r="F256" s="39"/>
      <c r="G256">
        <v>11.4</v>
      </c>
      <c r="H256">
        <v>6.7</v>
      </c>
      <c r="I256">
        <v>16</v>
      </c>
      <c r="J256">
        <f t="shared" si="28"/>
        <v>1803.2000000000005</v>
      </c>
      <c r="K256">
        <f t="shared" si="29"/>
        <v>103.4</v>
      </c>
      <c r="L256" s="19" t="s">
        <v>42</v>
      </c>
      <c r="M256">
        <v>0.1</v>
      </c>
      <c r="N256">
        <v>2.2999999999999998</v>
      </c>
      <c r="O256">
        <f t="shared" si="24"/>
        <v>-2.1999999999999997</v>
      </c>
      <c r="Q256">
        <v>220</v>
      </c>
      <c r="R256">
        <v>1.1499999999999999</v>
      </c>
      <c r="S256">
        <f t="shared" si="25"/>
        <v>2.6449999999999996</v>
      </c>
      <c r="T256">
        <f t="shared" si="26"/>
        <v>-2.5449999999999995</v>
      </c>
      <c r="U256">
        <f t="shared" si="31"/>
        <v>136.35500000000002</v>
      </c>
      <c r="V256" s="21" t="s">
        <v>49</v>
      </c>
      <c r="W256">
        <v>1401.7</v>
      </c>
      <c r="X256">
        <f t="shared" si="30"/>
        <v>6953.1</v>
      </c>
      <c r="Y256">
        <v>13.179621988038678</v>
      </c>
    </row>
    <row r="257" spans="1:26" x14ac:dyDescent="0.25">
      <c r="A257">
        <v>5320</v>
      </c>
      <c r="B257">
        <v>23210</v>
      </c>
      <c r="C257" s="1">
        <v>43202</v>
      </c>
      <c r="F257" s="39"/>
      <c r="G257">
        <v>10.199999999999999</v>
      </c>
      <c r="H257">
        <v>9.1</v>
      </c>
      <c r="I257">
        <v>11.9</v>
      </c>
      <c r="J257">
        <f t="shared" si="28"/>
        <v>1813.4000000000005</v>
      </c>
      <c r="K257">
        <f t="shared" si="29"/>
        <v>113.60000000000001</v>
      </c>
      <c r="L257" s="9">
        <v>3</v>
      </c>
      <c r="M257">
        <v>3.9</v>
      </c>
      <c r="N257">
        <v>0.6</v>
      </c>
      <c r="O257">
        <f t="shared" si="24"/>
        <v>3.3</v>
      </c>
      <c r="Q257">
        <v>221</v>
      </c>
      <c r="R257">
        <v>1.1499999999999999</v>
      </c>
      <c r="S257">
        <f t="shared" si="25"/>
        <v>0.69</v>
      </c>
      <c r="T257">
        <f t="shared" si="26"/>
        <v>3.21</v>
      </c>
      <c r="U257">
        <f t="shared" si="31"/>
        <v>138.9</v>
      </c>
      <c r="V257" s="13">
        <f>AVERAGE(U248:U268)</f>
        <v>130.24285714285719</v>
      </c>
      <c r="W257">
        <v>481.1</v>
      </c>
      <c r="X257">
        <f t="shared" si="30"/>
        <v>7434.2000000000007</v>
      </c>
      <c r="Y257">
        <v>13.237348364029732</v>
      </c>
    </row>
    <row r="258" spans="1:26" x14ac:dyDescent="0.25">
      <c r="A258">
        <v>5320</v>
      </c>
      <c r="B258">
        <v>23210</v>
      </c>
      <c r="C258" s="1">
        <v>43203</v>
      </c>
      <c r="F258" s="39"/>
      <c r="G258">
        <v>10.8</v>
      </c>
      <c r="H258">
        <v>7.2</v>
      </c>
      <c r="I258">
        <v>14.5</v>
      </c>
      <c r="J258">
        <f t="shared" si="28"/>
        <v>1824.2000000000005</v>
      </c>
      <c r="K258">
        <f t="shared" si="29"/>
        <v>124.4</v>
      </c>
      <c r="L258" s="19" t="s">
        <v>43</v>
      </c>
      <c r="M258">
        <v>0.6</v>
      </c>
      <c r="N258">
        <v>1.9</v>
      </c>
      <c r="O258">
        <f t="shared" si="24"/>
        <v>-1.2999999999999998</v>
      </c>
      <c r="Q258">
        <v>222</v>
      </c>
      <c r="R258">
        <v>1.1499999999999999</v>
      </c>
      <c r="S258">
        <f t="shared" si="25"/>
        <v>2.1849999999999996</v>
      </c>
      <c r="T258">
        <f t="shared" si="26"/>
        <v>-1.5849999999999995</v>
      </c>
      <c r="U258">
        <f t="shared" si="31"/>
        <v>137.315</v>
      </c>
      <c r="W258">
        <v>1370.8</v>
      </c>
      <c r="X258">
        <f t="shared" si="30"/>
        <v>8805</v>
      </c>
      <c r="Y258">
        <v>13.294881363318943</v>
      </c>
    </row>
    <row r="259" spans="1:26" x14ac:dyDescent="0.25">
      <c r="A259">
        <v>5320</v>
      </c>
      <c r="B259">
        <v>23210</v>
      </c>
      <c r="C259" s="1">
        <v>43204</v>
      </c>
      <c r="F259" s="39"/>
      <c r="G259">
        <v>11.4</v>
      </c>
      <c r="H259">
        <v>7.2</v>
      </c>
      <c r="I259">
        <v>15</v>
      </c>
      <c r="J259">
        <f t="shared" si="28"/>
        <v>1835.6000000000006</v>
      </c>
      <c r="K259">
        <f t="shared" si="29"/>
        <v>135.80000000000001</v>
      </c>
      <c r="L259" s="9">
        <v>1</v>
      </c>
      <c r="M259">
        <v>2.4</v>
      </c>
      <c r="N259">
        <v>0.7</v>
      </c>
      <c r="O259">
        <f t="shared" si="24"/>
        <v>1.7</v>
      </c>
      <c r="Q259">
        <v>223</v>
      </c>
      <c r="R259">
        <v>1.1499999999999999</v>
      </c>
      <c r="S259">
        <f t="shared" si="25"/>
        <v>0.80499999999999994</v>
      </c>
      <c r="T259">
        <f t="shared" si="26"/>
        <v>1.595</v>
      </c>
      <c r="U259">
        <f t="shared" si="31"/>
        <v>138.9</v>
      </c>
      <c r="V259" s="14">
        <f>(V257*100)/138.9</f>
        <v>93.767355754396817</v>
      </c>
      <c r="W259">
        <v>626.4</v>
      </c>
      <c r="X259">
        <f t="shared" si="30"/>
        <v>9431.4</v>
      </c>
      <c r="Y259">
        <v>13.352209483659381</v>
      </c>
    </row>
    <row r="260" spans="1:26" x14ac:dyDescent="0.25">
      <c r="A260">
        <v>5320</v>
      </c>
      <c r="B260">
        <v>23210</v>
      </c>
      <c r="C260" s="1">
        <v>43205</v>
      </c>
      <c r="F260" s="39"/>
      <c r="G260">
        <v>11.5</v>
      </c>
      <c r="H260">
        <v>6.8</v>
      </c>
      <c r="I260">
        <v>15.6</v>
      </c>
      <c r="J260">
        <f t="shared" si="28"/>
        <v>1847.1000000000006</v>
      </c>
      <c r="K260">
        <f t="shared" si="29"/>
        <v>147.30000000000001</v>
      </c>
      <c r="L260" s="19" t="s">
        <v>44</v>
      </c>
      <c r="M260">
        <v>0</v>
      </c>
      <c r="N260">
        <v>1.4</v>
      </c>
      <c r="O260">
        <f t="shared" si="24"/>
        <v>-1.4</v>
      </c>
      <c r="Q260">
        <v>224</v>
      </c>
      <c r="R260">
        <v>1.1499999999999999</v>
      </c>
      <c r="S260">
        <f t="shared" si="25"/>
        <v>1.6099999999999999</v>
      </c>
      <c r="T260">
        <f t="shared" si="26"/>
        <v>-1.6099999999999999</v>
      </c>
      <c r="U260">
        <f t="shared" si="31"/>
        <v>137.29</v>
      </c>
      <c r="W260">
        <v>1094</v>
      </c>
      <c r="X260">
        <f t="shared" si="30"/>
        <v>10525.4</v>
      </c>
      <c r="Y260">
        <v>13.409320913145265</v>
      </c>
    </row>
    <row r="261" spans="1:26" x14ac:dyDescent="0.25">
      <c r="A261">
        <v>5320</v>
      </c>
      <c r="B261">
        <v>23210</v>
      </c>
      <c r="C261" s="1">
        <v>43206</v>
      </c>
      <c r="F261" s="39"/>
      <c r="G261">
        <v>11.4</v>
      </c>
      <c r="H261">
        <v>8.1</v>
      </c>
      <c r="I261">
        <v>15.1</v>
      </c>
      <c r="J261">
        <f t="shared" si="28"/>
        <v>1858.5000000000007</v>
      </c>
      <c r="K261">
        <f t="shared" si="29"/>
        <v>158.70000000000002</v>
      </c>
      <c r="L261" s="20">
        <v>0</v>
      </c>
      <c r="M261">
        <v>0</v>
      </c>
      <c r="N261">
        <v>2</v>
      </c>
      <c r="O261">
        <f t="shared" ref="O261:O324" si="32">M261-N261</f>
        <v>-2</v>
      </c>
      <c r="Q261">
        <v>225</v>
      </c>
      <c r="R261">
        <v>1.1499999999999999</v>
      </c>
      <c r="S261">
        <f t="shared" ref="S261:S324" si="33">R261*N261</f>
        <v>2.2999999999999998</v>
      </c>
      <c r="T261">
        <f t="shared" ref="T261:T324" si="34">M261-S261</f>
        <v>-2.2999999999999998</v>
      </c>
      <c r="U261">
        <f t="shared" si="31"/>
        <v>134.98999999999998</v>
      </c>
      <c r="W261">
        <v>1588.7</v>
      </c>
      <c r="X261">
        <f t="shared" si="30"/>
        <v>12114.1</v>
      </c>
      <c r="Y261">
        <v>13.466203518810222</v>
      </c>
    </row>
    <row r="262" spans="1:26" x14ac:dyDescent="0.25">
      <c r="A262">
        <v>5320</v>
      </c>
      <c r="B262">
        <v>23210</v>
      </c>
      <c r="C262" s="1">
        <v>43207</v>
      </c>
      <c r="F262" s="39"/>
      <c r="G262">
        <v>14</v>
      </c>
      <c r="H262">
        <v>5.8</v>
      </c>
      <c r="I262">
        <v>20.5</v>
      </c>
      <c r="J262">
        <f t="shared" si="28"/>
        <v>1872.5000000000007</v>
      </c>
      <c r="K262">
        <f t="shared" si="29"/>
        <v>172.70000000000002</v>
      </c>
      <c r="M262">
        <v>0</v>
      </c>
      <c r="N262">
        <v>3.9</v>
      </c>
      <c r="O262">
        <f t="shared" si="32"/>
        <v>-3.9</v>
      </c>
      <c r="Q262">
        <v>226</v>
      </c>
      <c r="R262">
        <v>1.1499999999999999</v>
      </c>
      <c r="S262">
        <f t="shared" si="33"/>
        <v>4.4849999999999994</v>
      </c>
      <c r="T262">
        <f t="shared" si="34"/>
        <v>-4.4849999999999994</v>
      </c>
      <c r="U262">
        <f t="shared" si="31"/>
        <v>130.505</v>
      </c>
      <c r="W262">
        <v>2513.1</v>
      </c>
      <c r="X262">
        <f t="shared" si="30"/>
        <v>14627.2</v>
      </c>
      <c r="Y262">
        <v>13.522844835676665</v>
      </c>
    </row>
    <row r="263" spans="1:26" x14ac:dyDescent="0.25">
      <c r="A263">
        <v>5320</v>
      </c>
      <c r="B263">
        <v>23210</v>
      </c>
      <c r="C263" s="1">
        <v>43208</v>
      </c>
      <c r="F263" s="39"/>
      <c r="G263">
        <v>17.5</v>
      </c>
      <c r="H263">
        <v>11.3</v>
      </c>
      <c r="I263">
        <v>24.3</v>
      </c>
      <c r="J263">
        <f t="shared" si="28"/>
        <v>1890.0000000000007</v>
      </c>
      <c r="K263">
        <f t="shared" si="29"/>
        <v>190.20000000000002</v>
      </c>
      <c r="M263">
        <v>0</v>
      </c>
      <c r="N263">
        <v>4.5</v>
      </c>
      <c r="O263">
        <f t="shared" si="32"/>
        <v>-4.5</v>
      </c>
      <c r="Q263">
        <v>227</v>
      </c>
      <c r="R263">
        <v>1.1499999999999999</v>
      </c>
      <c r="S263">
        <f t="shared" si="33"/>
        <v>5.1749999999999998</v>
      </c>
      <c r="T263">
        <f t="shared" si="34"/>
        <v>-5.1749999999999998</v>
      </c>
      <c r="U263">
        <f t="shared" si="31"/>
        <v>125.33</v>
      </c>
      <c r="W263">
        <v>2100.1</v>
      </c>
      <c r="X263">
        <f t="shared" si="30"/>
        <v>16727.3</v>
      </c>
      <c r="Y263">
        <v>13.579232056295936</v>
      </c>
    </row>
    <row r="264" spans="1:26" x14ac:dyDescent="0.25">
      <c r="A264">
        <v>5320</v>
      </c>
      <c r="B264">
        <v>23210</v>
      </c>
      <c r="C264" s="1">
        <v>43209</v>
      </c>
      <c r="F264" s="39"/>
      <c r="G264">
        <v>18.5</v>
      </c>
      <c r="H264">
        <v>11.3</v>
      </c>
      <c r="I264">
        <v>25.3</v>
      </c>
      <c r="J264">
        <f t="shared" si="28"/>
        <v>1908.5000000000007</v>
      </c>
      <c r="K264">
        <f t="shared" si="29"/>
        <v>208.70000000000002</v>
      </c>
      <c r="M264">
        <v>0</v>
      </c>
      <c r="N264">
        <v>4.7</v>
      </c>
      <c r="O264">
        <f t="shared" si="32"/>
        <v>-4.7</v>
      </c>
      <c r="Q264">
        <v>228</v>
      </c>
      <c r="R264">
        <v>1.1499999999999999</v>
      </c>
      <c r="S264">
        <f t="shared" si="33"/>
        <v>5.4049999999999994</v>
      </c>
      <c r="T264">
        <f t="shared" si="34"/>
        <v>-5.4049999999999994</v>
      </c>
      <c r="U264">
        <f t="shared" si="31"/>
        <v>119.925</v>
      </c>
      <c r="W264">
        <v>2546</v>
      </c>
      <c r="X264">
        <f t="shared" si="30"/>
        <v>19273.3</v>
      </c>
      <c r="Y264">
        <v>13.63535202082117</v>
      </c>
    </row>
    <row r="265" spans="1:26" x14ac:dyDescent="0.25">
      <c r="A265">
        <v>5320</v>
      </c>
      <c r="B265">
        <v>23210</v>
      </c>
      <c r="C265" s="1">
        <v>43210</v>
      </c>
      <c r="F265" s="39"/>
      <c r="G265">
        <v>19.7</v>
      </c>
      <c r="H265">
        <v>11.9</v>
      </c>
      <c r="I265">
        <v>26.8</v>
      </c>
      <c r="J265">
        <f t="shared" si="28"/>
        <v>1928.2000000000007</v>
      </c>
      <c r="K265">
        <f t="shared" si="29"/>
        <v>228.4</v>
      </c>
      <c r="M265">
        <v>0</v>
      </c>
      <c r="N265">
        <v>4.0999999999999996</v>
      </c>
      <c r="O265">
        <f t="shared" si="32"/>
        <v>-4.0999999999999996</v>
      </c>
      <c r="Q265">
        <v>229</v>
      </c>
      <c r="R265">
        <v>1.1499999999999999</v>
      </c>
      <c r="S265">
        <f t="shared" si="33"/>
        <v>4.714999999999999</v>
      </c>
      <c r="T265">
        <f t="shared" si="34"/>
        <v>-4.714999999999999</v>
      </c>
      <c r="U265">
        <f t="shared" si="31"/>
        <v>115.21</v>
      </c>
      <c r="W265">
        <v>1903.8</v>
      </c>
      <c r="X265">
        <f t="shared" si="30"/>
        <v>21177.1</v>
      </c>
      <c r="Y265">
        <v>13.691191207657269</v>
      </c>
    </row>
    <row r="266" spans="1:26" x14ac:dyDescent="0.25">
      <c r="A266">
        <v>5320</v>
      </c>
      <c r="B266">
        <v>23210</v>
      </c>
      <c r="C266" s="1">
        <v>43211</v>
      </c>
      <c r="F266" s="39"/>
      <c r="G266">
        <v>20.7</v>
      </c>
      <c r="H266">
        <v>15.7</v>
      </c>
      <c r="I266">
        <v>26.9</v>
      </c>
      <c r="J266">
        <f t="shared" si="28"/>
        <v>1948.9000000000008</v>
      </c>
      <c r="K266">
        <f t="shared" si="29"/>
        <v>249.1</v>
      </c>
      <c r="M266">
        <v>0</v>
      </c>
      <c r="N266">
        <v>4.4000000000000004</v>
      </c>
      <c r="O266">
        <f t="shared" si="32"/>
        <v>-4.4000000000000004</v>
      </c>
      <c r="Q266">
        <v>230</v>
      </c>
      <c r="R266">
        <v>1.1499999999999999</v>
      </c>
      <c r="S266">
        <f t="shared" si="33"/>
        <v>5.0599999999999996</v>
      </c>
      <c r="T266">
        <f t="shared" si="34"/>
        <v>-5.0599999999999996</v>
      </c>
      <c r="U266">
        <f t="shared" si="31"/>
        <v>110.14999999999999</v>
      </c>
      <c r="W266">
        <v>2009.2</v>
      </c>
      <c r="X266">
        <f t="shared" si="30"/>
        <v>23186.3</v>
      </c>
      <c r="Y266">
        <v>13.746735724734705</v>
      </c>
    </row>
    <row r="267" spans="1:26" x14ac:dyDescent="0.25">
      <c r="A267">
        <v>5320</v>
      </c>
      <c r="B267">
        <v>23210</v>
      </c>
      <c r="C267" s="1">
        <v>43212</v>
      </c>
      <c r="F267" s="39"/>
      <c r="G267">
        <v>19</v>
      </c>
      <c r="H267">
        <v>14.2</v>
      </c>
      <c r="I267">
        <v>24.9</v>
      </c>
      <c r="J267">
        <f t="shared" si="28"/>
        <v>1967.9000000000008</v>
      </c>
      <c r="K267">
        <f t="shared" si="29"/>
        <v>268.10000000000002</v>
      </c>
      <c r="M267">
        <v>0</v>
      </c>
      <c r="N267">
        <v>4.2</v>
      </c>
      <c r="O267">
        <f t="shared" si="32"/>
        <v>-4.2</v>
      </c>
      <c r="Q267">
        <v>231</v>
      </c>
      <c r="R267">
        <v>1.1499999999999999</v>
      </c>
      <c r="S267">
        <f t="shared" si="33"/>
        <v>4.83</v>
      </c>
      <c r="T267">
        <f t="shared" si="34"/>
        <v>-4.83</v>
      </c>
      <c r="U267">
        <f t="shared" si="31"/>
        <v>105.32</v>
      </c>
      <c r="W267">
        <v>2124.3000000000002</v>
      </c>
      <c r="X267">
        <f t="shared" si="30"/>
        <v>25310.6</v>
      </c>
      <c r="Y267">
        <v>13.801971301456291</v>
      </c>
    </row>
    <row r="268" spans="1:26" s="6" customFormat="1" ht="15.75" thickBot="1" x14ac:dyDescent="0.3">
      <c r="A268" s="6">
        <v>5320</v>
      </c>
      <c r="B268" s="6">
        <v>23210</v>
      </c>
      <c r="C268" s="7">
        <v>43213</v>
      </c>
      <c r="D268" s="6" t="s">
        <v>32</v>
      </c>
      <c r="F268" s="40"/>
      <c r="G268" s="6">
        <v>14.5</v>
      </c>
      <c r="H268" s="6">
        <v>12.4</v>
      </c>
      <c r="I268" s="6">
        <v>17.5</v>
      </c>
      <c r="J268" s="6">
        <f t="shared" si="28"/>
        <v>1982.4000000000008</v>
      </c>
      <c r="K268" s="6">
        <f t="shared" si="29"/>
        <v>282.60000000000002</v>
      </c>
      <c r="M268" s="6">
        <v>0.1</v>
      </c>
      <c r="N268" s="6">
        <v>1.2</v>
      </c>
      <c r="O268" s="6">
        <f t="shared" si="32"/>
        <v>-1.0999999999999999</v>
      </c>
      <c r="Q268" s="6">
        <v>232</v>
      </c>
      <c r="R268" s="6">
        <v>1.1499999999999999</v>
      </c>
      <c r="S268" s="6">
        <f t="shared" si="33"/>
        <v>1.38</v>
      </c>
      <c r="T268" s="6">
        <f t="shared" si="34"/>
        <v>-1.2799999999999998</v>
      </c>
      <c r="U268" s="6">
        <f t="shared" si="31"/>
        <v>104.03999999999999</v>
      </c>
      <c r="W268" s="6">
        <v>583.6</v>
      </c>
      <c r="X268" s="6">
        <f t="shared" si="30"/>
        <v>25894.199999999997</v>
      </c>
      <c r="Y268" s="6">
        <v>13.856883281368377</v>
      </c>
    </row>
    <row r="269" spans="1:26" x14ac:dyDescent="0.25">
      <c r="A269">
        <v>5320</v>
      </c>
      <c r="B269">
        <v>23210</v>
      </c>
      <c r="C269" s="1">
        <v>43214</v>
      </c>
      <c r="F269" s="41" t="s">
        <v>58</v>
      </c>
      <c r="G269">
        <v>13.6</v>
      </c>
      <c r="H269">
        <v>7.2</v>
      </c>
      <c r="I269">
        <v>19.399999999999999</v>
      </c>
      <c r="J269">
        <f t="shared" si="28"/>
        <v>1996.0000000000007</v>
      </c>
      <c r="K269">
        <f>G269</f>
        <v>13.6</v>
      </c>
      <c r="L269" s="22" t="s">
        <v>38</v>
      </c>
      <c r="M269">
        <v>0</v>
      </c>
      <c r="N269">
        <v>3</v>
      </c>
      <c r="O269">
        <f t="shared" si="32"/>
        <v>-3</v>
      </c>
      <c r="Q269">
        <v>233</v>
      </c>
      <c r="R269">
        <v>1.1499999999999999</v>
      </c>
      <c r="S269">
        <f t="shared" si="33"/>
        <v>3.4499999999999997</v>
      </c>
      <c r="T269">
        <f t="shared" si="34"/>
        <v>-3.4499999999999997</v>
      </c>
      <c r="U269">
        <f t="shared" si="31"/>
        <v>100.58999999999999</v>
      </c>
      <c r="V269" s="23" t="s">
        <v>45</v>
      </c>
      <c r="W269">
        <v>2048.4</v>
      </c>
      <c r="X269">
        <f>W269</f>
        <v>2048.4</v>
      </c>
      <c r="Y269">
        <v>13.911456615610343</v>
      </c>
      <c r="Z269" s="23" t="s">
        <v>50</v>
      </c>
    </row>
    <row r="270" spans="1:26" x14ac:dyDescent="0.25">
      <c r="A270">
        <v>5320</v>
      </c>
      <c r="B270">
        <v>23210</v>
      </c>
      <c r="C270" s="1">
        <v>43215</v>
      </c>
      <c r="F270" s="42"/>
      <c r="G270">
        <v>12.5</v>
      </c>
      <c r="H270">
        <v>9.1</v>
      </c>
      <c r="I270">
        <v>15.9</v>
      </c>
      <c r="J270">
        <f t="shared" si="28"/>
        <v>2008.5000000000007</v>
      </c>
      <c r="K270">
        <f t="shared" si="29"/>
        <v>26.1</v>
      </c>
      <c r="L270" s="9">
        <v>311.7</v>
      </c>
      <c r="M270">
        <v>1.1000000000000001</v>
      </c>
      <c r="N270">
        <v>1</v>
      </c>
      <c r="O270">
        <f t="shared" si="32"/>
        <v>0.10000000000000009</v>
      </c>
      <c r="Q270">
        <v>234</v>
      </c>
      <c r="R270">
        <v>1.1499999999999999</v>
      </c>
      <c r="S270">
        <f t="shared" si="33"/>
        <v>1.1499999999999999</v>
      </c>
      <c r="T270">
        <f t="shared" si="34"/>
        <v>-4.9999999999999822E-2</v>
      </c>
      <c r="U270">
        <f t="shared" si="31"/>
        <v>100.53999999999999</v>
      </c>
      <c r="V270">
        <v>0</v>
      </c>
      <c r="W270">
        <v>530.9</v>
      </c>
      <c r="X270">
        <f t="shared" si="30"/>
        <v>2579.3000000000002</v>
      </c>
      <c r="Y270">
        <v>13.965675857198397</v>
      </c>
      <c r="Z270">
        <v>40121.800000000003</v>
      </c>
    </row>
    <row r="271" spans="1:26" x14ac:dyDescent="0.25">
      <c r="A271">
        <v>5320</v>
      </c>
      <c r="B271">
        <v>23210</v>
      </c>
      <c r="C271" s="1">
        <v>43216</v>
      </c>
      <c r="F271" s="42"/>
      <c r="G271">
        <v>10.6</v>
      </c>
      <c r="H271">
        <v>6.2</v>
      </c>
      <c r="I271">
        <v>15</v>
      </c>
      <c r="J271">
        <f t="shared" si="28"/>
        <v>2019.1000000000006</v>
      </c>
      <c r="K271">
        <f t="shared" si="29"/>
        <v>36.700000000000003</v>
      </c>
      <c r="L271" s="22" t="s">
        <v>39</v>
      </c>
      <c r="M271">
        <v>0</v>
      </c>
      <c r="N271">
        <v>2.8</v>
      </c>
      <c r="O271">
        <f t="shared" si="32"/>
        <v>-2.8</v>
      </c>
      <c r="Q271">
        <v>235</v>
      </c>
      <c r="R271">
        <v>1.1499999999999999</v>
      </c>
      <c r="S271">
        <f t="shared" si="33"/>
        <v>3.2199999999999998</v>
      </c>
      <c r="T271">
        <f t="shared" si="34"/>
        <v>-3.2199999999999998</v>
      </c>
      <c r="U271">
        <f t="shared" si="31"/>
        <v>97.32</v>
      </c>
      <c r="V271" s="23" t="s">
        <v>46</v>
      </c>
      <c r="W271">
        <v>2000.8</v>
      </c>
      <c r="X271">
        <f t="shared" si="30"/>
        <v>4580.1000000000004</v>
      </c>
      <c r="Y271">
        <v>14.019525156202006</v>
      </c>
      <c r="Z271" s="23" t="s">
        <v>51</v>
      </c>
    </row>
    <row r="272" spans="1:26" x14ac:dyDescent="0.25">
      <c r="A272">
        <v>5320</v>
      </c>
      <c r="B272">
        <v>23210</v>
      </c>
      <c r="C272" s="1">
        <v>43217</v>
      </c>
      <c r="F272" s="42"/>
      <c r="G272">
        <v>11.8</v>
      </c>
      <c r="H272">
        <v>6.9</v>
      </c>
      <c r="I272">
        <v>17.399999999999999</v>
      </c>
      <c r="J272">
        <f t="shared" si="28"/>
        <v>2030.9000000000005</v>
      </c>
      <c r="K272">
        <f t="shared" si="29"/>
        <v>48.5</v>
      </c>
      <c r="L272" s="10">
        <f>AVERAGE(G269:G292)</f>
        <v>12.987500000000002</v>
      </c>
      <c r="M272">
        <v>0</v>
      </c>
      <c r="N272">
        <v>3</v>
      </c>
      <c r="O272">
        <f t="shared" si="32"/>
        <v>-3</v>
      </c>
      <c r="Q272">
        <v>236</v>
      </c>
      <c r="R272">
        <v>1.1499999999999999</v>
      </c>
      <c r="S272">
        <f t="shared" si="33"/>
        <v>3.4499999999999997</v>
      </c>
      <c r="T272">
        <f t="shared" si="34"/>
        <v>-3.4499999999999997</v>
      </c>
      <c r="U272">
        <f t="shared" si="31"/>
        <v>93.86999999999999</v>
      </c>
      <c r="V272">
        <v>0</v>
      </c>
      <c r="W272">
        <v>1381.7</v>
      </c>
      <c r="X272">
        <f t="shared" si="30"/>
        <v>5961.8</v>
      </c>
      <c r="Y272">
        <v>14.072988255873188</v>
      </c>
      <c r="Z272">
        <f>(Z270/100)/L270</f>
        <v>1.2871928136028232</v>
      </c>
    </row>
    <row r="273" spans="1:26" x14ac:dyDescent="0.25">
      <c r="A273">
        <v>5320</v>
      </c>
      <c r="B273">
        <v>23210</v>
      </c>
      <c r="C273" s="1">
        <v>43218</v>
      </c>
      <c r="F273" s="42"/>
      <c r="G273">
        <v>11.1</v>
      </c>
      <c r="H273">
        <v>8.3000000000000007</v>
      </c>
      <c r="I273">
        <v>13.7</v>
      </c>
      <c r="J273">
        <f t="shared" si="28"/>
        <v>2042.0000000000005</v>
      </c>
      <c r="K273">
        <f t="shared" si="29"/>
        <v>59.6</v>
      </c>
      <c r="L273" s="22" t="s">
        <v>40</v>
      </c>
      <c r="M273">
        <v>1.8</v>
      </c>
      <c r="N273">
        <v>1.8</v>
      </c>
      <c r="O273">
        <f t="shared" si="32"/>
        <v>0</v>
      </c>
      <c r="Q273">
        <v>237</v>
      </c>
      <c r="R273">
        <v>1.1499999999999999</v>
      </c>
      <c r="S273">
        <f t="shared" si="33"/>
        <v>2.0699999999999998</v>
      </c>
      <c r="T273">
        <f t="shared" si="34"/>
        <v>-0.2699999999999998</v>
      </c>
      <c r="U273">
        <f t="shared" si="31"/>
        <v>93.6</v>
      </c>
      <c r="V273" s="23" t="s">
        <v>47</v>
      </c>
      <c r="W273">
        <v>1343</v>
      </c>
      <c r="X273">
        <f t="shared" si="30"/>
        <v>7304.8</v>
      </c>
      <c r="Y273">
        <v>14.126048489790968</v>
      </c>
      <c r="Z273" s="23" t="s">
        <v>52</v>
      </c>
    </row>
    <row r="274" spans="1:26" x14ac:dyDescent="0.25">
      <c r="A274">
        <v>5320</v>
      </c>
      <c r="B274">
        <v>23210</v>
      </c>
      <c r="C274" s="1">
        <v>43219</v>
      </c>
      <c r="F274" s="42"/>
      <c r="G274">
        <v>9.9</v>
      </c>
      <c r="H274">
        <v>8.8000000000000007</v>
      </c>
      <c r="I274">
        <v>10.8</v>
      </c>
      <c r="J274">
        <f t="shared" si="28"/>
        <v>2051.9000000000005</v>
      </c>
      <c r="K274">
        <f t="shared" si="29"/>
        <v>69.5</v>
      </c>
      <c r="L274" s="11">
        <f>MIN(H269:H292)</f>
        <v>3</v>
      </c>
      <c r="M274">
        <v>15.5</v>
      </c>
      <c r="N274">
        <v>1.1000000000000001</v>
      </c>
      <c r="O274">
        <f t="shared" si="32"/>
        <v>14.4</v>
      </c>
      <c r="Q274">
        <v>238</v>
      </c>
      <c r="R274">
        <v>1.1499999999999999</v>
      </c>
      <c r="S274">
        <f t="shared" si="33"/>
        <v>1.2649999999999999</v>
      </c>
      <c r="T274">
        <f t="shared" si="34"/>
        <v>14.234999999999999</v>
      </c>
      <c r="U274">
        <f t="shared" si="31"/>
        <v>107.83499999999999</v>
      </c>
      <c r="V274" s="13">
        <f>MIN(U269:U292)</f>
        <v>64.419999999999987</v>
      </c>
      <c r="W274">
        <v>710.3</v>
      </c>
      <c r="X274">
        <f t="shared" si="30"/>
        <v>8015.1</v>
      </c>
      <c r="Y274">
        <v>14.178688780084904</v>
      </c>
      <c r="Z274">
        <v>6</v>
      </c>
    </row>
    <row r="275" spans="1:26" x14ac:dyDescent="0.25">
      <c r="A275">
        <v>5320</v>
      </c>
      <c r="B275">
        <v>23210</v>
      </c>
      <c r="C275" s="1">
        <v>43220</v>
      </c>
      <c r="F275" s="42"/>
      <c r="G275">
        <v>6.6</v>
      </c>
      <c r="H275">
        <v>6.3</v>
      </c>
      <c r="I275">
        <v>7.9</v>
      </c>
      <c r="J275">
        <f t="shared" si="28"/>
        <v>2058.5000000000005</v>
      </c>
      <c r="K275">
        <f t="shared" si="29"/>
        <v>76.099999999999994</v>
      </c>
      <c r="L275" s="22" t="s">
        <v>41</v>
      </c>
      <c r="M275">
        <v>2.4</v>
      </c>
      <c r="N275">
        <v>0.9</v>
      </c>
      <c r="O275">
        <f t="shared" si="32"/>
        <v>1.5</v>
      </c>
      <c r="Q275">
        <v>239</v>
      </c>
      <c r="R275">
        <v>1.1499999999999999</v>
      </c>
      <c r="S275">
        <f t="shared" si="33"/>
        <v>1.0349999999999999</v>
      </c>
      <c r="T275">
        <f t="shared" si="34"/>
        <v>1.365</v>
      </c>
      <c r="U275">
        <f t="shared" si="31"/>
        <v>109.19999999999999</v>
      </c>
      <c r="V275" s="23" t="s">
        <v>48</v>
      </c>
      <c r="W275">
        <v>596.4</v>
      </c>
      <c r="X275">
        <f t="shared" si="30"/>
        <v>8611.5</v>
      </c>
      <c r="Y275">
        <v>14.230891636803177</v>
      </c>
    </row>
    <row r="276" spans="1:26" x14ac:dyDescent="0.25">
      <c r="A276">
        <v>5320</v>
      </c>
      <c r="B276">
        <v>23210</v>
      </c>
      <c r="C276" s="1">
        <v>43221</v>
      </c>
      <c r="F276" s="42"/>
      <c r="G276">
        <v>7.3</v>
      </c>
      <c r="H276">
        <v>3.5</v>
      </c>
      <c r="I276">
        <v>11.5</v>
      </c>
      <c r="J276">
        <f t="shared" si="28"/>
        <v>2065.8000000000006</v>
      </c>
      <c r="K276">
        <f t="shared" si="29"/>
        <v>83.399999999999991</v>
      </c>
      <c r="L276" s="9">
        <f>MAX(I269:I292)</f>
        <v>25.3</v>
      </c>
      <c r="M276">
        <v>0.1</v>
      </c>
      <c r="N276">
        <v>1</v>
      </c>
      <c r="O276">
        <f t="shared" si="32"/>
        <v>-0.9</v>
      </c>
      <c r="Q276">
        <v>240</v>
      </c>
      <c r="R276">
        <v>1.1499999999999999</v>
      </c>
      <c r="S276">
        <f t="shared" si="33"/>
        <v>1.1499999999999999</v>
      </c>
      <c r="T276">
        <f t="shared" si="34"/>
        <v>-1.0499999999999998</v>
      </c>
      <c r="U276">
        <f t="shared" si="31"/>
        <v>108.14999999999999</v>
      </c>
      <c r="V276" s="13">
        <f>MAX(U269:U292)</f>
        <v>109.19999999999999</v>
      </c>
      <c r="W276">
        <v>860.9</v>
      </c>
      <c r="X276">
        <f t="shared" si="30"/>
        <v>9472.4</v>
      </c>
      <c r="Y276">
        <v>14.282639158492</v>
      </c>
    </row>
    <row r="277" spans="1:26" x14ac:dyDescent="0.25">
      <c r="A277">
        <v>5320</v>
      </c>
      <c r="B277">
        <v>23210</v>
      </c>
      <c r="C277" s="1">
        <v>43222</v>
      </c>
      <c r="F277" s="42"/>
      <c r="G277">
        <v>10.199999999999999</v>
      </c>
      <c r="H277">
        <v>3</v>
      </c>
      <c r="I277">
        <v>14.9</v>
      </c>
      <c r="J277">
        <f t="shared" si="28"/>
        <v>2076.0000000000005</v>
      </c>
      <c r="K277">
        <f t="shared" si="29"/>
        <v>93.6</v>
      </c>
      <c r="L277" s="22" t="s">
        <v>42</v>
      </c>
      <c r="M277">
        <v>0.2</v>
      </c>
      <c r="N277">
        <v>1.6</v>
      </c>
      <c r="O277">
        <f t="shared" si="32"/>
        <v>-1.4000000000000001</v>
      </c>
      <c r="Q277">
        <v>241</v>
      </c>
      <c r="R277">
        <v>1.1499999999999999</v>
      </c>
      <c r="S277">
        <f t="shared" si="33"/>
        <v>1.8399999999999999</v>
      </c>
      <c r="T277">
        <f t="shared" si="34"/>
        <v>-1.64</v>
      </c>
      <c r="U277">
        <f t="shared" si="31"/>
        <v>106.50999999999999</v>
      </c>
      <c r="V277" s="23" t="s">
        <v>49</v>
      </c>
      <c r="W277">
        <v>1251.0999999999999</v>
      </c>
      <c r="X277">
        <f t="shared" si="30"/>
        <v>10723.5</v>
      </c>
      <c r="Y277">
        <v>14.333913034054053</v>
      </c>
    </row>
    <row r="278" spans="1:26" x14ac:dyDescent="0.25">
      <c r="A278">
        <v>5320</v>
      </c>
      <c r="B278">
        <v>23210</v>
      </c>
      <c r="C278" s="1">
        <v>43223</v>
      </c>
      <c r="F278" s="42"/>
      <c r="G278">
        <v>11.1</v>
      </c>
      <c r="H278">
        <v>7.8</v>
      </c>
      <c r="I278">
        <v>15</v>
      </c>
      <c r="J278">
        <f t="shared" si="28"/>
        <v>2087.1000000000004</v>
      </c>
      <c r="K278">
        <f t="shared" si="29"/>
        <v>104.69999999999999</v>
      </c>
      <c r="L278" s="9">
        <v>2</v>
      </c>
      <c r="M278">
        <v>0</v>
      </c>
      <c r="N278">
        <v>2.8</v>
      </c>
      <c r="O278">
        <f t="shared" si="32"/>
        <v>-2.8</v>
      </c>
      <c r="Q278">
        <v>242</v>
      </c>
      <c r="R278">
        <v>1.1499999999999999</v>
      </c>
      <c r="S278">
        <f t="shared" si="33"/>
        <v>3.2199999999999998</v>
      </c>
      <c r="T278">
        <f t="shared" si="34"/>
        <v>-3.2199999999999998</v>
      </c>
      <c r="U278">
        <f t="shared" si="31"/>
        <v>103.28999999999999</v>
      </c>
      <c r="V278" s="13">
        <f>AVERAGE(U269:U292)</f>
        <v>87.154375000000002</v>
      </c>
      <c r="W278">
        <v>1615.7</v>
      </c>
      <c r="X278">
        <f t="shared" si="30"/>
        <v>12339.2</v>
      </c>
      <c r="Y278">
        <v>14.384694545954316</v>
      </c>
    </row>
    <row r="279" spans="1:26" x14ac:dyDescent="0.25">
      <c r="A279">
        <v>5320</v>
      </c>
      <c r="B279">
        <v>23210</v>
      </c>
      <c r="C279" s="1">
        <v>43224</v>
      </c>
      <c r="F279" s="42"/>
      <c r="G279">
        <v>12.3</v>
      </c>
      <c r="H279">
        <v>6.9</v>
      </c>
      <c r="I279">
        <v>17.100000000000001</v>
      </c>
      <c r="J279">
        <f t="shared" si="28"/>
        <v>2099.4000000000005</v>
      </c>
      <c r="K279">
        <f t="shared" si="29"/>
        <v>116.99999999999999</v>
      </c>
      <c r="L279" s="22" t="s">
        <v>43</v>
      </c>
      <c r="M279">
        <v>0</v>
      </c>
      <c r="N279">
        <v>4.4000000000000004</v>
      </c>
      <c r="O279">
        <f t="shared" si="32"/>
        <v>-4.4000000000000004</v>
      </c>
      <c r="Q279">
        <v>243</v>
      </c>
      <c r="R279">
        <v>1.1499999999999999</v>
      </c>
      <c r="S279">
        <f t="shared" si="33"/>
        <v>5.0599999999999996</v>
      </c>
      <c r="T279">
        <f t="shared" si="34"/>
        <v>-5.0599999999999996</v>
      </c>
      <c r="U279">
        <f t="shared" si="31"/>
        <v>98.22999999999999</v>
      </c>
      <c r="W279">
        <v>2881.5</v>
      </c>
      <c r="X279">
        <f t="shared" si="30"/>
        <v>15220.7</v>
      </c>
      <c r="Y279">
        <v>14.434964574841924</v>
      </c>
    </row>
    <row r="280" spans="1:26" x14ac:dyDescent="0.25">
      <c r="A280">
        <v>5320</v>
      </c>
      <c r="B280">
        <v>23210</v>
      </c>
      <c r="C280" s="1">
        <v>43225</v>
      </c>
      <c r="F280" s="42"/>
      <c r="G280">
        <v>16.100000000000001</v>
      </c>
      <c r="H280">
        <v>9.3000000000000007</v>
      </c>
      <c r="I280">
        <v>21.6</v>
      </c>
      <c r="J280">
        <f t="shared" si="28"/>
        <v>2115.5000000000005</v>
      </c>
      <c r="K280">
        <f t="shared" si="29"/>
        <v>133.1</v>
      </c>
      <c r="L280" s="9">
        <v>2</v>
      </c>
      <c r="M280">
        <v>0</v>
      </c>
      <c r="N280">
        <v>4.9000000000000004</v>
      </c>
      <c r="O280">
        <f t="shared" si="32"/>
        <v>-4.9000000000000004</v>
      </c>
      <c r="Q280">
        <v>244</v>
      </c>
      <c r="R280">
        <v>1.1499999999999999</v>
      </c>
      <c r="S280">
        <f t="shared" si="33"/>
        <v>5.6349999999999998</v>
      </c>
      <c r="T280">
        <f t="shared" si="34"/>
        <v>-5.6349999999999998</v>
      </c>
      <c r="U280">
        <f t="shared" si="31"/>
        <v>92.594999999999985</v>
      </c>
      <c r="V280" s="14">
        <f>(V278*100)/138.9</f>
        <v>62.746130309575229</v>
      </c>
      <c r="W280">
        <v>2880.3</v>
      </c>
      <c r="X280">
        <f t="shared" si="30"/>
        <v>18101</v>
      </c>
      <c r="Y280">
        <v>14.484703605656467</v>
      </c>
    </row>
    <row r="281" spans="1:26" x14ac:dyDescent="0.25">
      <c r="A281">
        <v>5320</v>
      </c>
      <c r="B281">
        <v>23210</v>
      </c>
      <c r="C281" s="1">
        <v>43226</v>
      </c>
      <c r="F281" s="42"/>
      <c r="G281">
        <v>19.3</v>
      </c>
      <c r="H281">
        <v>13.4</v>
      </c>
      <c r="I281">
        <v>24.9</v>
      </c>
      <c r="J281">
        <f t="shared" si="28"/>
        <v>2134.8000000000006</v>
      </c>
      <c r="K281">
        <f t="shared" si="29"/>
        <v>152.4</v>
      </c>
      <c r="L281" s="22" t="s">
        <v>44</v>
      </c>
      <c r="M281">
        <v>0</v>
      </c>
      <c r="N281">
        <v>5.3</v>
      </c>
      <c r="O281">
        <f t="shared" si="32"/>
        <v>-5.3</v>
      </c>
      <c r="Q281">
        <v>245</v>
      </c>
      <c r="R281">
        <v>1.1499999999999999</v>
      </c>
      <c r="S281">
        <f t="shared" si="33"/>
        <v>6.0949999999999998</v>
      </c>
      <c r="T281">
        <f t="shared" si="34"/>
        <v>-6.0949999999999998</v>
      </c>
      <c r="U281">
        <f t="shared" si="31"/>
        <v>86.499999999999986</v>
      </c>
      <c r="W281">
        <v>2939.5</v>
      </c>
      <c r="X281">
        <f t="shared" si="30"/>
        <v>21040.5</v>
      </c>
      <c r="Y281">
        <v>14.533891735286579</v>
      </c>
    </row>
    <row r="282" spans="1:26" x14ac:dyDescent="0.25">
      <c r="A282">
        <v>5320</v>
      </c>
      <c r="B282">
        <v>23210</v>
      </c>
      <c r="C282" s="1">
        <v>43227</v>
      </c>
      <c r="F282" s="42"/>
      <c r="G282">
        <v>19.5</v>
      </c>
      <c r="H282">
        <v>15</v>
      </c>
      <c r="I282">
        <v>25.3</v>
      </c>
      <c r="J282">
        <f t="shared" si="28"/>
        <v>2154.3000000000006</v>
      </c>
      <c r="K282">
        <f t="shared" si="29"/>
        <v>171.9</v>
      </c>
      <c r="L282" s="20">
        <v>0</v>
      </c>
      <c r="M282">
        <v>0</v>
      </c>
      <c r="N282">
        <v>5.5</v>
      </c>
      <c r="O282">
        <f t="shared" si="32"/>
        <v>-5.5</v>
      </c>
      <c r="Q282">
        <v>246</v>
      </c>
      <c r="R282">
        <v>1.1499999999999999</v>
      </c>
      <c r="S282">
        <f t="shared" si="33"/>
        <v>6.3249999999999993</v>
      </c>
      <c r="T282">
        <f t="shared" si="34"/>
        <v>-6.3249999999999993</v>
      </c>
      <c r="U282">
        <f t="shared" si="31"/>
        <v>80.174999999999983</v>
      </c>
      <c r="W282">
        <v>2620.5</v>
      </c>
      <c r="X282">
        <f t="shared" si="30"/>
        <v>23661</v>
      </c>
      <c r="Y282">
        <v>14.582508681847393</v>
      </c>
    </row>
    <row r="283" spans="1:26" x14ac:dyDescent="0.25">
      <c r="A283">
        <v>5320</v>
      </c>
      <c r="B283">
        <v>23210</v>
      </c>
      <c r="C283" s="1">
        <v>43228</v>
      </c>
      <c r="F283" s="42"/>
      <c r="G283">
        <v>18.7</v>
      </c>
      <c r="H283">
        <v>12.5</v>
      </c>
      <c r="I283">
        <v>25.2</v>
      </c>
      <c r="J283">
        <f t="shared" si="28"/>
        <v>2173.0000000000005</v>
      </c>
      <c r="K283">
        <f t="shared" si="29"/>
        <v>190.6</v>
      </c>
      <c r="M283">
        <v>0</v>
      </c>
      <c r="N283">
        <v>4.5</v>
      </c>
      <c r="O283">
        <f t="shared" si="32"/>
        <v>-4.5</v>
      </c>
      <c r="Q283">
        <v>247</v>
      </c>
      <c r="R283">
        <v>1.1499999999999999</v>
      </c>
      <c r="S283">
        <f t="shared" si="33"/>
        <v>5.1749999999999998</v>
      </c>
      <c r="T283">
        <f t="shared" si="34"/>
        <v>-5.1749999999999998</v>
      </c>
      <c r="U283">
        <f t="shared" si="31"/>
        <v>74.999999999999986</v>
      </c>
      <c r="W283">
        <v>2392.9</v>
      </c>
      <c r="X283">
        <f t="shared" si="30"/>
        <v>26053.9</v>
      </c>
      <c r="Y283">
        <v>14.630533795641806</v>
      </c>
    </row>
    <row r="284" spans="1:26" x14ac:dyDescent="0.25">
      <c r="A284">
        <v>5320</v>
      </c>
      <c r="B284">
        <v>23210</v>
      </c>
      <c r="C284" s="1">
        <v>43229</v>
      </c>
      <c r="F284" s="42"/>
      <c r="G284">
        <v>15.3</v>
      </c>
      <c r="H284">
        <v>12</v>
      </c>
      <c r="I284">
        <v>18.100000000000001</v>
      </c>
      <c r="J284">
        <f t="shared" si="28"/>
        <v>2188.3000000000006</v>
      </c>
      <c r="K284">
        <f t="shared" si="29"/>
        <v>205.9</v>
      </c>
      <c r="M284">
        <v>0</v>
      </c>
      <c r="N284">
        <v>1.6</v>
      </c>
      <c r="O284">
        <f t="shared" si="32"/>
        <v>-1.6</v>
      </c>
      <c r="Q284">
        <v>248</v>
      </c>
      <c r="R284">
        <v>1.1499999999999999</v>
      </c>
      <c r="S284">
        <f t="shared" si="33"/>
        <v>1.8399999999999999</v>
      </c>
      <c r="T284">
        <f t="shared" si="34"/>
        <v>-1.8399999999999999</v>
      </c>
      <c r="U284">
        <f t="shared" si="31"/>
        <v>73.159999999999982</v>
      </c>
      <c r="W284">
        <v>778.1</v>
      </c>
      <c r="X284">
        <f t="shared" si="30"/>
        <v>26832</v>
      </c>
      <c r="Y284">
        <v>14.677946071867977</v>
      </c>
    </row>
    <row r="285" spans="1:26" x14ac:dyDescent="0.25">
      <c r="A285">
        <v>5320</v>
      </c>
      <c r="B285">
        <v>23210</v>
      </c>
      <c r="C285" s="1">
        <v>43230</v>
      </c>
      <c r="F285" s="42"/>
      <c r="G285">
        <v>13</v>
      </c>
      <c r="H285">
        <v>10.7</v>
      </c>
      <c r="I285">
        <v>16.399999999999999</v>
      </c>
      <c r="J285">
        <f t="shared" si="28"/>
        <v>2201.3000000000006</v>
      </c>
      <c r="K285">
        <f t="shared" si="29"/>
        <v>218.9</v>
      </c>
      <c r="M285">
        <v>0</v>
      </c>
      <c r="N285">
        <v>3</v>
      </c>
      <c r="O285">
        <f t="shared" si="32"/>
        <v>-3</v>
      </c>
      <c r="Q285">
        <v>249</v>
      </c>
      <c r="R285">
        <v>1.1499999999999999</v>
      </c>
      <c r="S285">
        <f t="shared" si="33"/>
        <v>3.4499999999999997</v>
      </c>
      <c r="T285">
        <f t="shared" si="34"/>
        <v>-3.4499999999999997</v>
      </c>
      <c r="U285">
        <f t="shared" si="31"/>
        <v>69.70999999999998</v>
      </c>
      <c r="W285">
        <v>1546.2</v>
      </c>
      <c r="X285">
        <f t="shared" si="30"/>
        <v>28378.2</v>
      </c>
      <c r="Y285">
        <v>14.724724165132518</v>
      </c>
    </row>
    <row r="286" spans="1:26" x14ac:dyDescent="0.25">
      <c r="A286">
        <v>5320</v>
      </c>
      <c r="B286">
        <v>23210</v>
      </c>
      <c r="C286" s="1">
        <v>43231</v>
      </c>
      <c r="F286" s="42"/>
      <c r="G286">
        <v>14.1</v>
      </c>
      <c r="H286">
        <v>7.9</v>
      </c>
      <c r="I286">
        <v>19.899999999999999</v>
      </c>
      <c r="J286">
        <f t="shared" si="28"/>
        <v>2215.4000000000005</v>
      </c>
      <c r="K286">
        <f t="shared" si="29"/>
        <v>233</v>
      </c>
      <c r="M286">
        <v>0</v>
      </c>
      <c r="N286">
        <v>4.5999999999999996</v>
      </c>
      <c r="O286">
        <f t="shared" si="32"/>
        <v>-4.5999999999999996</v>
      </c>
      <c r="Q286">
        <v>250</v>
      </c>
      <c r="R286">
        <v>1.1499999999999999</v>
      </c>
      <c r="S286">
        <f t="shared" si="33"/>
        <v>5.2899999999999991</v>
      </c>
      <c r="T286">
        <f t="shared" si="34"/>
        <v>-5.2899999999999991</v>
      </c>
      <c r="U286">
        <f t="shared" si="31"/>
        <v>64.419999999999987</v>
      </c>
      <c r="W286">
        <v>2762.8</v>
      </c>
      <c r="X286">
        <f t="shared" si="30"/>
        <v>31141</v>
      </c>
      <c r="Y286">
        <v>14.770846405825008</v>
      </c>
    </row>
    <row r="287" spans="1:26" x14ac:dyDescent="0.25">
      <c r="A287">
        <v>5320</v>
      </c>
      <c r="B287">
        <v>23210</v>
      </c>
      <c r="C287" s="1">
        <v>43232</v>
      </c>
      <c r="F287" s="42"/>
      <c r="G287">
        <v>11.5</v>
      </c>
      <c r="H287">
        <v>9.4</v>
      </c>
      <c r="I287">
        <v>15.1</v>
      </c>
      <c r="J287">
        <f t="shared" si="28"/>
        <v>2226.9000000000005</v>
      </c>
      <c r="K287">
        <f t="shared" si="29"/>
        <v>244.5</v>
      </c>
      <c r="M287">
        <v>11.8</v>
      </c>
      <c r="N287">
        <v>1.6</v>
      </c>
      <c r="O287">
        <f t="shared" si="32"/>
        <v>10.200000000000001</v>
      </c>
      <c r="Q287">
        <v>251</v>
      </c>
      <c r="R287">
        <v>1.1499999999999999</v>
      </c>
      <c r="S287">
        <f t="shared" si="33"/>
        <v>1.8399999999999999</v>
      </c>
      <c r="T287">
        <f t="shared" si="34"/>
        <v>9.9600000000000009</v>
      </c>
      <c r="U287">
        <f t="shared" si="31"/>
        <v>74.38</v>
      </c>
      <c r="W287">
        <v>1011.8</v>
      </c>
      <c r="X287">
        <f t="shared" si="30"/>
        <v>32152.799999999999</v>
      </c>
      <c r="Y287">
        <v>14.816290818404905</v>
      </c>
    </row>
    <row r="288" spans="1:26" x14ac:dyDescent="0.25">
      <c r="A288">
        <v>5320</v>
      </c>
      <c r="B288">
        <v>23210</v>
      </c>
      <c r="C288" s="1">
        <v>43233</v>
      </c>
      <c r="F288" s="42"/>
      <c r="G288">
        <v>11.6</v>
      </c>
      <c r="H288">
        <v>7.8</v>
      </c>
      <c r="I288">
        <v>14.7</v>
      </c>
      <c r="J288">
        <f t="shared" si="28"/>
        <v>2238.5000000000005</v>
      </c>
      <c r="K288">
        <f t="shared" si="29"/>
        <v>256.10000000000002</v>
      </c>
      <c r="M288">
        <v>0</v>
      </c>
      <c r="N288">
        <v>2.5</v>
      </c>
      <c r="O288">
        <f t="shared" si="32"/>
        <v>-2.5</v>
      </c>
      <c r="Q288">
        <v>252</v>
      </c>
      <c r="R288">
        <v>1.1499999999999999</v>
      </c>
      <c r="S288">
        <f t="shared" si="33"/>
        <v>2.875</v>
      </c>
      <c r="T288">
        <f t="shared" si="34"/>
        <v>-2.875</v>
      </c>
      <c r="U288">
        <f t="shared" si="31"/>
        <v>71.504999999999995</v>
      </c>
      <c r="W288">
        <v>1707</v>
      </c>
      <c r="X288">
        <f t="shared" si="30"/>
        <v>33859.800000000003</v>
      </c>
      <c r="Y288">
        <v>14.861035141646463</v>
      </c>
    </row>
    <row r="289" spans="1:26" x14ac:dyDescent="0.25">
      <c r="A289">
        <v>5320</v>
      </c>
      <c r="B289">
        <v>23210</v>
      </c>
      <c r="C289" s="1">
        <v>43234</v>
      </c>
      <c r="F289" s="42"/>
      <c r="G289">
        <v>11.5</v>
      </c>
      <c r="H289">
        <v>9.6</v>
      </c>
      <c r="I289">
        <v>13.4</v>
      </c>
      <c r="J289">
        <f t="shared" si="28"/>
        <v>2250.0000000000005</v>
      </c>
      <c r="K289">
        <f t="shared" si="29"/>
        <v>267.60000000000002</v>
      </c>
      <c r="M289">
        <v>6.7</v>
      </c>
      <c r="N289">
        <v>1.4</v>
      </c>
      <c r="O289">
        <f t="shared" si="32"/>
        <v>5.3000000000000007</v>
      </c>
      <c r="Q289">
        <v>253</v>
      </c>
      <c r="R289">
        <v>1.1499999999999999</v>
      </c>
      <c r="S289">
        <f t="shared" si="33"/>
        <v>1.6099999999999999</v>
      </c>
      <c r="T289">
        <f t="shared" si="34"/>
        <v>5.09</v>
      </c>
      <c r="U289">
        <f t="shared" si="31"/>
        <v>76.594999999999999</v>
      </c>
      <c r="W289">
        <v>636.9</v>
      </c>
      <c r="X289">
        <f t="shared" si="30"/>
        <v>34496.700000000004</v>
      </c>
      <c r="Y289">
        <v>14.905056850881127</v>
      </c>
    </row>
    <row r="290" spans="1:26" x14ac:dyDescent="0.25">
      <c r="A290">
        <v>5320</v>
      </c>
      <c r="B290">
        <v>23210</v>
      </c>
      <c r="C290" s="1">
        <v>43235</v>
      </c>
      <c r="F290" s="42"/>
      <c r="G290">
        <v>15.5</v>
      </c>
      <c r="H290">
        <v>10</v>
      </c>
      <c r="I290">
        <v>20.5</v>
      </c>
      <c r="J290">
        <f t="shared" si="28"/>
        <v>2265.5000000000005</v>
      </c>
      <c r="K290">
        <f t="shared" si="29"/>
        <v>283.10000000000002</v>
      </c>
      <c r="M290">
        <v>0</v>
      </c>
      <c r="N290">
        <v>3</v>
      </c>
      <c r="O290">
        <f t="shared" si="32"/>
        <v>-3</v>
      </c>
      <c r="Q290">
        <v>254</v>
      </c>
      <c r="R290">
        <v>1.1499999999999999</v>
      </c>
      <c r="S290">
        <f t="shared" si="33"/>
        <v>3.4499999999999997</v>
      </c>
      <c r="T290">
        <f t="shared" si="34"/>
        <v>-3.4499999999999997</v>
      </c>
      <c r="U290">
        <f t="shared" si="31"/>
        <v>73.144999999999996</v>
      </c>
      <c r="W290">
        <v>1901.8</v>
      </c>
      <c r="X290">
        <f t="shared" si="30"/>
        <v>36398.500000000007</v>
      </c>
      <c r="Y290">
        <v>14.948333182269588</v>
      </c>
    </row>
    <row r="291" spans="1:26" x14ac:dyDescent="0.25">
      <c r="A291">
        <v>5320</v>
      </c>
      <c r="B291">
        <v>23210</v>
      </c>
      <c r="C291" s="1">
        <v>43236</v>
      </c>
      <c r="F291" s="42"/>
      <c r="G291">
        <v>15.1</v>
      </c>
      <c r="H291">
        <v>10.199999999999999</v>
      </c>
      <c r="I291">
        <v>21.1</v>
      </c>
      <c r="J291">
        <f t="shared" si="28"/>
        <v>2280.6000000000004</v>
      </c>
      <c r="K291">
        <f t="shared" si="29"/>
        <v>298.20000000000005</v>
      </c>
      <c r="M291">
        <v>0.7</v>
      </c>
      <c r="N291">
        <v>4</v>
      </c>
      <c r="O291">
        <f t="shared" si="32"/>
        <v>-3.3</v>
      </c>
      <c r="Q291">
        <v>255</v>
      </c>
      <c r="R291">
        <v>1.1499999999999999</v>
      </c>
      <c r="S291">
        <f t="shared" si="33"/>
        <v>4.5999999999999996</v>
      </c>
      <c r="T291">
        <f t="shared" si="34"/>
        <v>-3.8999999999999995</v>
      </c>
      <c r="U291">
        <f t="shared" si="31"/>
        <v>69.24499999999999</v>
      </c>
      <c r="W291">
        <v>2339.8000000000002</v>
      </c>
      <c r="X291">
        <f t="shared" si="30"/>
        <v>38738.30000000001</v>
      </c>
      <c r="Y291">
        <v>14.99084115912768</v>
      </c>
    </row>
    <row r="292" spans="1:26" s="6" customFormat="1" ht="15.75" thickBot="1" x14ac:dyDescent="0.3">
      <c r="A292" s="6">
        <v>5320</v>
      </c>
      <c r="B292" s="6">
        <v>23210</v>
      </c>
      <c r="C292" s="7">
        <v>43237</v>
      </c>
      <c r="D292" s="6">
        <v>300</v>
      </c>
      <c r="F292" s="43"/>
      <c r="G292" s="6">
        <v>13.5</v>
      </c>
      <c r="H292" s="6">
        <v>10.7</v>
      </c>
      <c r="I292" s="6">
        <v>18.5</v>
      </c>
      <c r="J292" s="6">
        <f t="shared" si="28"/>
        <v>2294.1000000000004</v>
      </c>
      <c r="K292" s="6">
        <f t="shared" si="29"/>
        <v>311.70000000000005</v>
      </c>
      <c r="M292" s="6">
        <v>0</v>
      </c>
      <c r="N292" s="6">
        <v>2.7</v>
      </c>
      <c r="O292" s="6">
        <f t="shared" si="32"/>
        <v>-2.7</v>
      </c>
      <c r="Q292" s="6">
        <v>256</v>
      </c>
      <c r="R292" s="6">
        <v>1.1499999999999999</v>
      </c>
      <c r="S292" s="6">
        <f t="shared" si="33"/>
        <v>3.105</v>
      </c>
      <c r="T292" s="6">
        <f t="shared" si="34"/>
        <v>-3.105</v>
      </c>
      <c r="U292" s="6">
        <f t="shared" si="31"/>
        <v>66.139999999999986</v>
      </c>
      <c r="W292" s="6">
        <v>1383.5</v>
      </c>
      <c r="X292" s="6">
        <f t="shared" si="30"/>
        <v>40121.80000000001</v>
      </c>
      <c r="Y292" s="6">
        <v>15.032557620321269</v>
      </c>
    </row>
    <row r="293" spans="1:26" x14ac:dyDescent="0.25">
      <c r="A293">
        <v>5320</v>
      </c>
      <c r="B293">
        <v>23210</v>
      </c>
      <c r="C293" s="1">
        <v>43238</v>
      </c>
      <c r="F293" s="44" t="s">
        <v>59</v>
      </c>
      <c r="G293">
        <v>13.2</v>
      </c>
      <c r="H293">
        <v>8.1999999999999993</v>
      </c>
      <c r="I293">
        <v>17.600000000000001</v>
      </c>
      <c r="J293">
        <f t="shared" si="28"/>
        <v>2307.3000000000002</v>
      </c>
      <c r="K293">
        <f>G293</f>
        <v>13.2</v>
      </c>
      <c r="L293" s="24" t="s">
        <v>38</v>
      </c>
      <c r="M293">
        <v>0</v>
      </c>
      <c r="N293">
        <v>4.4000000000000004</v>
      </c>
      <c r="O293">
        <f t="shared" si="32"/>
        <v>-4.4000000000000004</v>
      </c>
      <c r="Q293">
        <v>257</v>
      </c>
      <c r="R293">
        <f>1.15+((Q293-256)/61)*(0.35-1.15)</f>
        <v>1.1368852459016392</v>
      </c>
      <c r="S293">
        <f t="shared" si="33"/>
        <v>5.0022950819672127</v>
      </c>
      <c r="T293">
        <f t="shared" si="34"/>
        <v>-5.0022950819672127</v>
      </c>
      <c r="U293">
        <f t="shared" si="31"/>
        <v>61.137704918032775</v>
      </c>
      <c r="V293" s="25" t="s">
        <v>45</v>
      </c>
      <c r="W293">
        <v>2979.1</v>
      </c>
      <c r="X293">
        <f>W293</f>
        <v>2979.1</v>
      </c>
      <c r="Y293">
        <v>15.073459250735223</v>
      </c>
      <c r="Z293" s="25" t="s">
        <v>50</v>
      </c>
    </row>
    <row r="294" spans="1:26" x14ac:dyDescent="0.25">
      <c r="A294">
        <v>5320</v>
      </c>
      <c r="B294">
        <v>23210</v>
      </c>
      <c r="C294" s="1">
        <v>43239</v>
      </c>
      <c r="F294" s="45"/>
      <c r="G294">
        <v>13.7</v>
      </c>
      <c r="H294">
        <v>8.6</v>
      </c>
      <c r="I294">
        <v>18.5</v>
      </c>
      <c r="J294">
        <f t="shared" si="28"/>
        <v>2321</v>
      </c>
      <c r="K294">
        <f t="shared" si="29"/>
        <v>26.9</v>
      </c>
      <c r="L294" s="9">
        <v>319.2</v>
      </c>
      <c r="M294">
        <v>0</v>
      </c>
      <c r="N294">
        <v>4.5</v>
      </c>
      <c r="O294">
        <f t="shared" si="32"/>
        <v>-4.5</v>
      </c>
      <c r="Q294">
        <v>258</v>
      </c>
      <c r="R294">
        <f t="shared" ref="R294:R353" si="35">1.15+((Q294-256)/61)*(0.35-1.15)</f>
        <v>1.1237704918032787</v>
      </c>
      <c r="S294">
        <f t="shared" si="33"/>
        <v>5.0569672131147545</v>
      </c>
      <c r="T294">
        <f t="shared" si="34"/>
        <v>-5.0569672131147545</v>
      </c>
      <c r="U294">
        <f t="shared" si="31"/>
        <v>56.080737704918022</v>
      </c>
      <c r="V294">
        <v>0</v>
      </c>
      <c r="W294">
        <v>2886.4</v>
      </c>
      <c r="X294">
        <f t="shared" si="30"/>
        <v>5865.5</v>
      </c>
      <c r="Y294">
        <v>15.113522613810687</v>
      </c>
      <c r="Z294">
        <v>31979.7</v>
      </c>
    </row>
    <row r="295" spans="1:26" x14ac:dyDescent="0.25">
      <c r="A295">
        <v>5320</v>
      </c>
      <c r="B295">
        <v>23210</v>
      </c>
      <c r="C295" s="1">
        <v>43240</v>
      </c>
      <c r="F295" s="45"/>
      <c r="G295">
        <v>15.5</v>
      </c>
      <c r="H295">
        <v>8.8000000000000007</v>
      </c>
      <c r="I295">
        <v>21.2</v>
      </c>
      <c r="J295">
        <f t="shared" ref="J295:J353" si="36">J294+G295</f>
        <v>2336.5</v>
      </c>
      <c r="K295">
        <f t="shared" ref="K295:K358" si="37">K294+G295</f>
        <v>42.4</v>
      </c>
      <c r="L295" s="24" t="s">
        <v>39</v>
      </c>
      <c r="M295">
        <v>0</v>
      </c>
      <c r="N295">
        <v>4.3</v>
      </c>
      <c r="O295">
        <f t="shared" si="32"/>
        <v>-4.3</v>
      </c>
      <c r="Q295">
        <v>259</v>
      </c>
      <c r="R295">
        <f t="shared" si="35"/>
        <v>1.110655737704918</v>
      </c>
      <c r="S295">
        <f t="shared" si="33"/>
        <v>4.7758196721311474</v>
      </c>
      <c r="T295">
        <f t="shared" si="34"/>
        <v>-4.7758196721311474</v>
      </c>
      <c r="U295">
        <f t="shared" si="31"/>
        <v>51.304918032786873</v>
      </c>
      <c r="V295" s="25" t="s">
        <v>46</v>
      </c>
      <c r="W295">
        <v>2648.3</v>
      </c>
      <c r="X295">
        <f t="shared" ref="X295:X358" si="38">X294+W295</f>
        <v>8513.7999999999993</v>
      </c>
      <c r="Y295">
        <v>15.152724186132986</v>
      </c>
      <c r="Z295" s="25" t="s">
        <v>51</v>
      </c>
    </row>
    <row r="296" spans="1:26" x14ac:dyDescent="0.25">
      <c r="A296">
        <v>5320</v>
      </c>
      <c r="B296">
        <v>23210</v>
      </c>
      <c r="C296" s="1">
        <v>43241</v>
      </c>
      <c r="F296" s="45"/>
      <c r="G296">
        <v>17.100000000000001</v>
      </c>
      <c r="H296">
        <v>12.1</v>
      </c>
      <c r="I296">
        <v>22.6</v>
      </c>
      <c r="J296">
        <f t="shared" si="36"/>
        <v>2353.6</v>
      </c>
      <c r="K296">
        <f t="shared" si="37"/>
        <v>59.5</v>
      </c>
      <c r="L296" s="10">
        <f>AVERAGE(G293:G310)</f>
        <v>17.733333333333334</v>
      </c>
      <c r="M296">
        <v>0</v>
      </c>
      <c r="N296">
        <v>4.2</v>
      </c>
      <c r="O296">
        <f t="shared" si="32"/>
        <v>-4.2</v>
      </c>
      <c r="Q296">
        <v>260</v>
      </c>
      <c r="R296">
        <f t="shared" si="35"/>
        <v>1.0975409836065573</v>
      </c>
      <c r="S296">
        <f t="shared" si="33"/>
        <v>4.6096721311475406</v>
      </c>
      <c r="T296">
        <f t="shared" si="34"/>
        <v>-4.6096721311475406</v>
      </c>
      <c r="U296">
        <f t="shared" si="31"/>
        <v>46.695245901639332</v>
      </c>
      <c r="V296">
        <v>13</v>
      </c>
      <c r="W296">
        <v>2523.8000000000002</v>
      </c>
      <c r="X296">
        <f t="shared" si="38"/>
        <v>11037.599999999999</v>
      </c>
      <c r="Y296">
        <v>15.191040394039614</v>
      </c>
      <c r="Z296">
        <f>(Z294/100)/L294</f>
        <v>1.0018703007518799</v>
      </c>
    </row>
    <row r="297" spans="1:26" x14ac:dyDescent="0.25">
      <c r="A297">
        <v>5320</v>
      </c>
      <c r="B297">
        <v>23210</v>
      </c>
      <c r="C297" s="1">
        <v>43242</v>
      </c>
      <c r="F297" s="45"/>
      <c r="G297">
        <v>16.3</v>
      </c>
      <c r="H297">
        <v>11.6</v>
      </c>
      <c r="I297">
        <v>21.8</v>
      </c>
      <c r="J297">
        <f t="shared" si="36"/>
        <v>2369.9</v>
      </c>
      <c r="K297">
        <f t="shared" si="37"/>
        <v>75.8</v>
      </c>
      <c r="L297" s="24" t="s">
        <v>40</v>
      </c>
      <c r="M297">
        <v>4.3</v>
      </c>
      <c r="N297">
        <v>3.4</v>
      </c>
      <c r="O297">
        <f t="shared" si="32"/>
        <v>0.89999999999999991</v>
      </c>
      <c r="Q297">
        <v>261</v>
      </c>
      <c r="R297">
        <f t="shared" si="35"/>
        <v>1.0844262295081966</v>
      </c>
      <c r="S297">
        <f t="shared" si="33"/>
        <v>3.6870491803278682</v>
      </c>
      <c r="T297">
        <f t="shared" si="34"/>
        <v>0.61295081967213161</v>
      </c>
      <c r="U297">
        <f t="shared" si="31"/>
        <v>47.308196721311461</v>
      </c>
      <c r="V297" s="25" t="s">
        <v>47</v>
      </c>
      <c r="W297">
        <v>2069.4</v>
      </c>
      <c r="X297">
        <f t="shared" si="38"/>
        <v>13106.999999999998</v>
      </c>
      <c r="Y297">
        <v>15.228447652204199</v>
      </c>
      <c r="Z297" s="25" t="s">
        <v>52</v>
      </c>
    </row>
    <row r="298" spans="1:26" x14ac:dyDescent="0.25">
      <c r="A298">
        <v>5320</v>
      </c>
      <c r="B298">
        <v>23210</v>
      </c>
      <c r="C298" s="1">
        <v>43243</v>
      </c>
      <c r="F298" s="45"/>
      <c r="G298">
        <v>16.100000000000001</v>
      </c>
      <c r="H298">
        <v>11.7</v>
      </c>
      <c r="I298">
        <v>20.5</v>
      </c>
      <c r="J298">
        <f t="shared" si="36"/>
        <v>2386</v>
      </c>
      <c r="K298">
        <f t="shared" si="37"/>
        <v>91.9</v>
      </c>
      <c r="L298" s="11">
        <f>MIN(H293:H310)</f>
        <v>8.1999999999999993</v>
      </c>
      <c r="M298">
        <v>0.1</v>
      </c>
      <c r="N298">
        <v>2.7</v>
      </c>
      <c r="O298">
        <f t="shared" si="32"/>
        <v>-2.6</v>
      </c>
      <c r="Q298">
        <v>262</v>
      </c>
      <c r="R298">
        <f t="shared" si="35"/>
        <v>1.0713114754098361</v>
      </c>
      <c r="S298">
        <f t="shared" si="33"/>
        <v>2.8925409836065574</v>
      </c>
      <c r="T298">
        <f t="shared" si="34"/>
        <v>-2.7925409836065573</v>
      </c>
      <c r="U298">
        <f t="shared" ref="U298:U361" si="39">MIN(U297+T298,138.9)</f>
        <v>44.515655737704904</v>
      </c>
      <c r="V298" s="13">
        <f>MIN(U293:U310)</f>
        <v>35.301803278688517</v>
      </c>
      <c r="W298">
        <v>1682.2</v>
      </c>
      <c r="X298">
        <f t="shared" si="38"/>
        <v>14789.199999999999</v>
      </c>
      <c r="Y298">
        <v>15.264922404137724</v>
      </c>
      <c r="Z298">
        <v>2</v>
      </c>
    </row>
    <row r="299" spans="1:26" x14ac:dyDescent="0.25">
      <c r="A299">
        <v>5320</v>
      </c>
      <c r="B299">
        <v>23210</v>
      </c>
      <c r="C299" s="1">
        <v>43244</v>
      </c>
      <c r="F299" s="45"/>
      <c r="G299">
        <v>18.7</v>
      </c>
      <c r="H299">
        <v>12.9</v>
      </c>
      <c r="I299">
        <v>23.6</v>
      </c>
      <c r="J299">
        <f t="shared" si="36"/>
        <v>2404.6999999999998</v>
      </c>
      <c r="K299">
        <f t="shared" si="37"/>
        <v>110.60000000000001</v>
      </c>
      <c r="L299" s="24" t="s">
        <v>41</v>
      </c>
      <c r="M299">
        <v>0</v>
      </c>
      <c r="N299">
        <v>2.5</v>
      </c>
      <c r="O299">
        <f t="shared" si="32"/>
        <v>-2.5</v>
      </c>
      <c r="Q299">
        <v>263</v>
      </c>
      <c r="R299">
        <f t="shared" si="35"/>
        <v>1.0581967213114754</v>
      </c>
      <c r="S299">
        <f t="shared" si="33"/>
        <v>2.6454918032786883</v>
      </c>
      <c r="T299">
        <f t="shared" si="34"/>
        <v>-2.6454918032786883</v>
      </c>
      <c r="U299">
        <f t="shared" si="39"/>
        <v>41.870163934426216</v>
      </c>
      <c r="V299" s="25" t="s">
        <v>48</v>
      </c>
      <c r="W299">
        <v>1337.5</v>
      </c>
      <c r="X299">
        <f t="shared" si="38"/>
        <v>16126.699999999999</v>
      </c>
      <c r="Y299">
        <v>15.300441164533177</v>
      </c>
    </row>
    <row r="300" spans="1:26" x14ac:dyDescent="0.25">
      <c r="A300">
        <v>5320</v>
      </c>
      <c r="B300">
        <v>23210</v>
      </c>
      <c r="C300" s="1">
        <v>43245</v>
      </c>
      <c r="F300" s="45"/>
      <c r="G300">
        <v>18.7</v>
      </c>
      <c r="H300">
        <v>14.7</v>
      </c>
      <c r="I300">
        <v>25.2</v>
      </c>
      <c r="J300">
        <f t="shared" si="36"/>
        <v>2423.3999999999996</v>
      </c>
      <c r="K300">
        <f t="shared" si="37"/>
        <v>129.30000000000001</v>
      </c>
      <c r="L300" s="9">
        <f>MAX(I293:I310)</f>
        <v>26.1</v>
      </c>
      <c r="M300">
        <v>4.0999999999999996</v>
      </c>
      <c r="N300">
        <v>2.7</v>
      </c>
      <c r="O300">
        <f t="shared" si="32"/>
        <v>1.3999999999999995</v>
      </c>
      <c r="Q300">
        <v>264</v>
      </c>
      <c r="R300">
        <f t="shared" si="35"/>
        <v>1.0450819672131146</v>
      </c>
      <c r="S300">
        <f t="shared" si="33"/>
        <v>2.8217213114754096</v>
      </c>
      <c r="T300">
        <f t="shared" si="34"/>
        <v>1.27827868852459</v>
      </c>
      <c r="U300">
        <f t="shared" si="39"/>
        <v>43.148442622950803</v>
      </c>
      <c r="V300" s="13">
        <f>MAX(U293:U310)</f>
        <v>61.137704918032775</v>
      </c>
      <c r="W300">
        <v>1296.0999999999999</v>
      </c>
      <c r="X300">
        <f t="shared" si="38"/>
        <v>17422.8</v>
      </c>
      <c r="Y300">
        <v>15.334980563363823</v>
      </c>
    </row>
    <row r="301" spans="1:26" x14ac:dyDescent="0.25">
      <c r="A301">
        <v>5320</v>
      </c>
      <c r="B301">
        <v>23210</v>
      </c>
      <c r="C301" s="1">
        <v>43246</v>
      </c>
      <c r="F301" s="45"/>
      <c r="G301">
        <v>19.100000000000001</v>
      </c>
      <c r="H301">
        <v>15.7</v>
      </c>
      <c r="I301">
        <v>26.1</v>
      </c>
      <c r="J301">
        <f t="shared" si="36"/>
        <v>2442.4999999999995</v>
      </c>
      <c r="K301">
        <f t="shared" si="37"/>
        <v>148.4</v>
      </c>
      <c r="L301" s="24" t="s">
        <v>42</v>
      </c>
      <c r="M301">
        <v>3.8</v>
      </c>
      <c r="N301">
        <v>3.9</v>
      </c>
      <c r="O301">
        <f t="shared" si="32"/>
        <v>-0.10000000000000009</v>
      </c>
      <c r="Q301">
        <v>265</v>
      </c>
      <c r="R301">
        <f t="shared" si="35"/>
        <v>1.0319672131147539</v>
      </c>
      <c r="S301">
        <f t="shared" si="33"/>
        <v>4.0246721311475406</v>
      </c>
      <c r="T301">
        <f t="shared" si="34"/>
        <v>-0.22467213114754081</v>
      </c>
      <c r="U301">
        <f t="shared" si="39"/>
        <v>42.923770491803261</v>
      </c>
      <c r="V301" s="25" t="s">
        <v>49</v>
      </c>
      <c r="W301">
        <v>1404.8</v>
      </c>
      <c r="X301">
        <f t="shared" si="38"/>
        <v>18827.599999999999</v>
      </c>
      <c r="Y301">
        <v>15.368517391629013</v>
      </c>
    </row>
    <row r="302" spans="1:26" x14ac:dyDescent="0.25">
      <c r="A302">
        <v>5320</v>
      </c>
      <c r="B302">
        <v>23210</v>
      </c>
      <c r="C302" s="1">
        <v>43247</v>
      </c>
      <c r="F302" s="45"/>
      <c r="G302">
        <v>20.399999999999999</v>
      </c>
      <c r="H302">
        <v>15.8</v>
      </c>
      <c r="I302">
        <v>24.9</v>
      </c>
      <c r="J302">
        <f t="shared" si="36"/>
        <v>2462.8999999999996</v>
      </c>
      <c r="K302">
        <f t="shared" si="37"/>
        <v>168.8</v>
      </c>
      <c r="L302" s="9">
        <v>3</v>
      </c>
      <c r="M302">
        <v>0.1</v>
      </c>
      <c r="N302">
        <v>4.0999999999999996</v>
      </c>
      <c r="O302">
        <f t="shared" si="32"/>
        <v>-3.9999999999999996</v>
      </c>
      <c r="Q302">
        <v>266</v>
      </c>
      <c r="R302">
        <f t="shared" si="35"/>
        <v>1.0188524590163934</v>
      </c>
      <c r="S302">
        <f t="shared" si="33"/>
        <v>4.1772950819672126</v>
      </c>
      <c r="T302">
        <f t="shared" si="34"/>
        <v>-4.0772950819672129</v>
      </c>
      <c r="U302">
        <f t="shared" si="39"/>
        <v>38.846475409836046</v>
      </c>
      <c r="V302" s="13">
        <f>AVERAGE(U293:U310)</f>
        <v>43.89015027322403</v>
      </c>
      <c r="W302">
        <v>2127.5</v>
      </c>
      <c r="X302">
        <f t="shared" si="38"/>
        <v>20955.099999999999</v>
      </c>
      <c r="Y302">
        <v>15.401028648624509</v>
      </c>
    </row>
    <row r="303" spans="1:26" x14ac:dyDescent="0.25">
      <c r="A303">
        <v>5320</v>
      </c>
      <c r="B303">
        <v>23210</v>
      </c>
      <c r="C303" s="1">
        <v>43248</v>
      </c>
      <c r="F303" s="45"/>
      <c r="G303">
        <v>18.899999999999999</v>
      </c>
      <c r="H303">
        <v>16.3</v>
      </c>
      <c r="I303">
        <v>21.6</v>
      </c>
      <c r="J303">
        <f t="shared" si="36"/>
        <v>2481.7999999999997</v>
      </c>
      <c r="K303">
        <f t="shared" si="37"/>
        <v>187.70000000000002</v>
      </c>
      <c r="L303" s="24" t="s">
        <v>43</v>
      </c>
      <c r="M303">
        <v>0.2</v>
      </c>
      <c r="N303">
        <v>1.5</v>
      </c>
      <c r="O303">
        <f t="shared" si="32"/>
        <v>-1.3</v>
      </c>
      <c r="Q303">
        <v>267</v>
      </c>
      <c r="R303">
        <f t="shared" si="35"/>
        <v>1.0057377049180327</v>
      </c>
      <c r="S303">
        <f t="shared" si="33"/>
        <v>1.5086065573770491</v>
      </c>
      <c r="T303">
        <f t="shared" si="34"/>
        <v>-1.3086065573770491</v>
      </c>
      <c r="U303">
        <f t="shared" si="39"/>
        <v>37.537868852458999</v>
      </c>
      <c r="W303">
        <v>1174.0999999999999</v>
      </c>
      <c r="X303">
        <f t="shared" si="38"/>
        <v>22129.199999999997</v>
      </c>
      <c r="Y303">
        <v>15.43249159059749</v>
      </c>
    </row>
    <row r="304" spans="1:26" x14ac:dyDescent="0.25">
      <c r="A304">
        <v>5320</v>
      </c>
      <c r="B304">
        <v>23210</v>
      </c>
      <c r="C304" s="1">
        <v>43249</v>
      </c>
      <c r="F304" s="45"/>
      <c r="G304">
        <v>17.899999999999999</v>
      </c>
      <c r="H304">
        <v>15.6</v>
      </c>
      <c r="I304">
        <v>22.1</v>
      </c>
      <c r="J304">
        <f t="shared" si="36"/>
        <v>2499.6999999999998</v>
      </c>
      <c r="K304">
        <f t="shared" si="37"/>
        <v>205.60000000000002</v>
      </c>
      <c r="L304" s="9">
        <v>0</v>
      </c>
      <c r="M304">
        <v>10.4</v>
      </c>
      <c r="N304">
        <v>3.5</v>
      </c>
      <c r="O304">
        <f t="shared" si="32"/>
        <v>6.9</v>
      </c>
      <c r="Q304">
        <v>268</v>
      </c>
      <c r="R304">
        <f t="shared" si="35"/>
        <v>0.992622950819672</v>
      </c>
      <c r="S304">
        <f t="shared" si="33"/>
        <v>3.4741803278688521</v>
      </c>
      <c r="T304">
        <f t="shared" si="34"/>
        <v>6.9258196721311478</v>
      </c>
      <c r="U304">
        <f t="shared" si="39"/>
        <v>44.463688524590147</v>
      </c>
      <c r="V304" s="14">
        <f>(V302*100)/138.9</f>
        <v>31.598380326295192</v>
      </c>
      <c r="W304">
        <v>1969.5</v>
      </c>
      <c r="X304">
        <f t="shared" si="38"/>
        <v>24098.699999999997</v>
      </c>
      <c r="Y304">
        <v>15.462883780629058</v>
      </c>
    </row>
    <row r="305" spans="1:26" x14ac:dyDescent="0.25">
      <c r="A305">
        <v>5320</v>
      </c>
      <c r="B305">
        <v>23210</v>
      </c>
      <c r="C305" s="1">
        <v>43250</v>
      </c>
      <c r="F305" s="45"/>
      <c r="G305">
        <v>18.5</v>
      </c>
      <c r="H305">
        <v>15.2</v>
      </c>
      <c r="I305">
        <v>23.2</v>
      </c>
      <c r="J305">
        <f t="shared" si="36"/>
        <v>2518.1999999999998</v>
      </c>
      <c r="K305">
        <f t="shared" si="37"/>
        <v>224.10000000000002</v>
      </c>
      <c r="L305" s="24" t="s">
        <v>44</v>
      </c>
      <c r="M305">
        <v>1.5</v>
      </c>
      <c r="N305">
        <v>2.4</v>
      </c>
      <c r="O305">
        <f t="shared" si="32"/>
        <v>-0.89999999999999991</v>
      </c>
      <c r="Q305">
        <v>269</v>
      </c>
      <c r="R305">
        <f t="shared" si="35"/>
        <v>0.9795081967213114</v>
      </c>
      <c r="S305">
        <f t="shared" si="33"/>
        <v>2.3508196721311472</v>
      </c>
      <c r="T305">
        <f t="shared" si="34"/>
        <v>-0.85081967213114718</v>
      </c>
      <c r="U305">
        <f t="shared" si="39"/>
        <v>43.612868852459002</v>
      </c>
      <c r="W305">
        <v>1102.4000000000001</v>
      </c>
      <c r="X305">
        <f t="shared" si="38"/>
        <v>25201.1</v>
      </c>
      <c r="Y305">
        <v>15.492183139570324</v>
      </c>
    </row>
    <row r="306" spans="1:26" x14ac:dyDescent="0.25">
      <c r="A306">
        <v>5320</v>
      </c>
      <c r="B306">
        <v>23210</v>
      </c>
      <c r="C306" s="1">
        <v>43251</v>
      </c>
      <c r="F306" s="45"/>
      <c r="G306">
        <v>18.5</v>
      </c>
      <c r="H306">
        <v>16.3</v>
      </c>
      <c r="I306">
        <v>21.4</v>
      </c>
      <c r="J306">
        <f t="shared" si="36"/>
        <v>2536.6999999999998</v>
      </c>
      <c r="K306">
        <f t="shared" si="37"/>
        <v>242.60000000000002</v>
      </c>
      <c r="L306" s="20">
        <v>0</v>
      </c>
      <c r="M306">
        <v>0.2</v>
      </c>
      <c r="N306">
        <v>3.1</v>
      </c>
      <c r="O306">
        <f t="shared" si="32"/>
        <v>-2.9</v>
      </c>
      <c r="Q306">
        <v>270</v>
      </c>
      <c r="R306">
        <f t="shared" si="35"/>
        <v>0.96639344262295079</v>
      </c>
      <c r="S306">
        <f t="shared" si="33"/>
        <v>2.9958196721311476</v>
      </c>
      <c r="T306">
        <f t="shared" si="34"/>
        <v>-2.7958196721311475</v>
      </c>
      <c r="U306">
        <f t="shared" si="39"/>
        <v>40.817049180327857</v>
      </c>
      <c r="W306">
        <v>1683.3</v>
      </c>
      <c r="X306">
        <f t="shared" si="38"/>
        <v>26884.399999999998</v>
      </c>
      <c r="Y306">
        <v>15.520367997841369</v>
      </c>
    </row>
    <row r="307" spans="1:26" x14ac:dyDescent="0.25">
      <c r="A307">
        <v>5320</v>
      </c>
      <c r="B307">
        <v>23210</v>
      </c>
      <c r="C307" s="1">
        <v>43252</v>
      </c>
      <c r="F307" s="45"/>
      <c r="G307">
        <v>17.100000000000001</v>
      </c>
      <c r="H307">
        <v>15.6</v>
      </c>
      <c r="I307">
        <v>20.100000000000001</v>
      </c>
      <c r="J307">
        <f t="shared" si="36"/>
        <v>2553.7999999999997</v>
      </c>
      <c r="K307">
        <f t="shared" si="37"/>
        <v>259.70000000000005</v>
      </c>
      <c r="M307">
        <v>0</v>
      </c>
      <c r="N307">
        <v>1.7</v>
      </c>
      <c r="O307">
        <f t="shared" si="32"/>
        <v>-1.7</v>
      </c>
      <c r="Q307">
        <v>271</v>
      </c>
      <c r="R307">
        <f t="shared" si="35"/>
        <v>0.95327868852459008</v>
      </c>
      <c r="S307">
        <f t="shared" si="33"/>
        <v>1.6205737704918031</v>
      </c>
      <c r="T307">
        <f t="shared" si="34"/>
        <v>-1.6205737704918031</v>
      </c>
      <c r="U307">
        <f t="shared" si="39"/>
        <v>39.196475409836054</v>
      </c>
      <c r="W307">
        <v>826.4</v>
      </c>
      <c r="X307">
        <f t="shared" si="38"/>
        <v>27710.799999999999</v>
      </c>
      <c r="Y307">
        <v>15.547417147886357</v>
      </c>
    </row>
    <row r="308" spans="1:26" x14ac:dyDescent="0.25">
      <c r="A308">
        <v>5320</v>
      </c>
      <c r="B308">
        <v>23210</v>
      </c>
      <c r="C308" s="1">
        <v>43253</v>
      </c>
      <c r="F308" s="45"/>
      <c r="G308">
        <v>18.8</v>
      </c>
      <c r="H308">
        <v>12</v>
      </c>
      <c r="I308">
        <v>23.3</v>
      </c>
      <c r="J308">
        <f t="shared" si="36"/>
        <v>2572.6</v>
      </c>
      <c r="K308">
        <f t="shared" si="37"/>
        <v>278.50000000000006</v>
      </c>
      <c r="M308">
        <v>0</v>
      </c>
      <c r="N308">
        <v>1.6</v>
      </c>
      <c r="O308">
        <f t="shared" si="32"/>
        <v>-1.6</v>
      </c>
      <c r="Q308">
        <v>272</v>
      </c>
      <c r="R308">
        <f t="shared" si="35"/>
        <v>0.94016393442622936</v>
      </c>
      <c r="S308">
        <f t="shared" si="33"/>
        <v>1.5042622950819671</v>
      </c>
      <c r="T308">
        <f t="shared" si="34"/>
        <v>-1.5042622950819671</v>
      </c>
      <c r="U308">
        <f t="shared" si="39"/>
        <v>37.69221311475409</v>
      </c>
      <c r="W308">
        <v>870</v>
      </c>
      <c r="X308">
        <f t="shared" si="38"/>
        <v>28580.799999999999</v>
      </c>
      <c r="Y308">
        <v>15.573309897062765</v>
      </c>
    </row>
    <row r="309" spans="1:26" x14ac:dyDescent="0.25">
      <c r="A309">
        <v>5320</v>
      </c>
      <c r="B309">
        <v>23210</v>
      </c>
      <c r="C309" s="1">
        <v>43254</v>
      </c>
      <c r="F309" s="45"/>
      <c r="G309">
        <v>20.7</v>
      </c>
      <c r="H309">
        <v>16.8</v>
      </c>
      <c r="I309">
        <v>25.7</v>
      </c>
      <c r="J309">
        <f t="shared" si="36"/>
        <v>2593.2999999999997</v>
      </c>
      <c r="K309">
        <f t="shared" si="37"/>
        <v>299.20000000000005</v>
      </c>
      <c r="M309">
        <v>3.4</v>
      </c>
      <c r="N309">
        <v>3.8</v>
      </c>
      <c r="O309">
        <f t="shared" si="32"/>
        <v>-0.39999999999999991</v>
      </c>
      <c r="Q309">
        <v>273</v>
      </c>
      <c r="R309">
        <f t="shared" si="35"/>
        <v>0.92704918032786876</v>
      </c>
      <c r="S309">
        <f t="shared" si="33"/>
        <v>3.522786885245901</v>
      </c>
      <c r="T309">
        <f t="shared" si="34"/>
        <v>-0.12278688524590109</v>
      </c>
      <c r="U309">
        <f t="shared" si="39"/>
        <v>37.569426229508188</v>
      </c>
      <c r="W309">
        <v>1879.6</v>
      </c>
      <c r="X309">
        <f t="shared" si="38"/>
        <v>30460.399999999998</v>
      </c>
      <c r="Y309">
        <v>15.598026120728351</v>
      </c>
    </row>
    <row r="310" spans="1:26" s="6" customFormat="1" ht="15.75" thickBot="1" x14ac:dyDescent="0.3">
      <c r="A310" s="6">
        <v>5320</v>
      </c>
      <c r="B310" s="6">
        <v>23210</v>
      </c>
      <c r="C310" s="7">
        <v>43255</v>
      </c>
      <c r="D310" s="6">
        <v>600</v>
      </c>
      <c r="F310" s="46"/>
      <c r="G310" s="6">
        <v>20</v>
      </c>
      <c r="H310" s="6">
        <v>16.8</v>
      </c>
      <c r="I310" s="6">
        <v>24.3</v>
      </c>
      <c r="J310" s="6">
        <f t="shared" si="36"/>
        <v>2613.2999999999997</v>
      </c>
      <c r="K310" s="6">
        <f t="shared" si="37"/>
        <v>319.20000000000005</v>
      </c>
      <c r="M310" s="6">
        <v>0.2</v>
      </c>
      <c r="N310" s="6">
        <v>2.7</v>
      </c>
      <c r="O310" s="6">
        <f t="shared" si="32"/>
        <v>-2.5</v>
      </c>
      <c r="Q310" s="6">
        <v>274</v>
      </c>
      <c r="R310" s="6">
        <f t="shared" si="35"/>
        <v>0.91393442622950816</v>
      </c>
      <c r="S310" s="6">
        <f t="shared" si="33"/>
        <v>2.4676229508196723</v>
      </c>
      <c r="T310" s="6">
        <f t="shared" si="34"/>
        <v>-2.2676229508196721</v>
      </c>
      <c r="U310" s="6">
        <f t="shared" si="39"/>
        <v>35.301803278688517</v>
      </c>
      <c r="W310" s="6">
        <v>1519.3</v>
      </c>
      <c r="X310" s="6">
        <f t="shared" si="38"/>
        <v>31979.699999999997</v>
      </c>
      <c r="Y310" s="6">
        <v>15.621546315276618</v>
      </c>
    </row>
    <row r="311" spans="1:26" x14ac:dyDescent="0.25">
      <c r="A311">
        <v>5320</v>
      </c>
      <c r="B311">
        <v>23210</v>
      </c>
      <c r="C311" s="1">
        <v>43256</v>
      </c>
      <c r="F311" s="47" t="s">
        <v>60</v>
      </c>
      <c r="G311">
        <v>18.399999999999999</v>
      </c>
      <c r="H311">
        <v>15.2</v>
      </c>
      <c r="I311">
        <v>21.1</v>
      </c>
      <c r="J311">
        <f t="shared" si="36"/>
        <v>2631.7</v>
      </c>
      <c r="K311">
        <f>G311</f>
        <v>18.399999999999999</v>
      </c>
      <c r="L311" s="26" t="s">
        <v>38</v>
      </c>
      <c r="M311">
        <v>12.6</v>
      </c>
      <c r="N311">
        <v>1.1000000000000001</v>
      </c>
      <c r="O311">
        <f t="shared" si="32"/>
        <v>11.5</v>
      </c>
      <c r="Q311">
        <v>275</v>
      </c>
      <c r="R311">
        <f t="shared" si="35"/>
        <v>0.90081967213114744</v>
      </c>
      <c r="S311">
        <f t="shared" si="33"/>
        <v>0.99090163934426223</v>
      </c>
      <c r="T311">
        <f t="shared" si="34"/>
        <v>11.609098360655738</v>
      </c>
      <c r="U311">
        <f t="shared" si="39"/>
        <v>46.910901639344253</v>
      </c>
      <c r="V311" s="27" t="s">
        <v>45</v>
      </c>
      <c r="W311">
        <v>711.2</v>
      </c>
      <c r="X311">
        <f>W311</f>
        <v>711.2</v>
      </c>
      <c r="Y311">
        <v>15.643851650859824</v>
      </c>
      <c r="Z311" s="27" t="s">
        <v>50</v>
      </c>
    </row>
    <row r="312" spans="1:26" x14ac:dyDescent="0.25">
      <c r="A312">
        <v>5320</v>
      </c>
      <c r="B312">
        <v>23210</v>
      </c>
      <c r="C312" s="1">
        <v>43257</v>
      </c>
      <c r="F312" s="48"/>
      <c r="G312">
        <v>17.8</v>
      </c>
      <c r="H312">
        <v>15.7</v>
      </c>
      <c r="I312">
        <v>20.3</v>
      </c>
      <c r="J312">
        <f t="shared" si="36"/>
        <v>2649.5</v>
      </c>
      <c r="K312">
        <f t="shared" si="37"/>
        <v>36.200000000000003</v>
      </c>
      <c r="L312" s="9">
        <v>405.3</v>
      </c>
      <c r="M312">
        <v>6.3</v>
      </c>
      <c r="N312">
        <v>1.4</v>
      </c>
      <c r="O312">
        <f t="shared" si="32"/>
        <v>4.9000000000000004</v>
      </c>
      <c r="Q312">
        <v>276</v>
      </c>
      <c r="R312">
        <f t="shared" si="35"/>
        <v>0.88770491803278684</v>
      </c>
      <c r="S312">
        <f t="shared" si="33"/>
        <v>1.2427868852459014</v>
      </c>
      <c r="T312">
        <f t="shared" si="34"/>
        <v>5.0572131147540986</v>
      </c>
      <c r="U312">
        <f t="shared" si="39"/>
        <v>51.968114754098352</v>
      </c>
      <c r="V312">
        <v>0</v>
      </c>
      <c r="W312">
        <v>775.7</v>
      </c>
      <c r="X312">
        <f t="shared" si="38"/>
        <v>1486.9</v>
      </c>
      <c r="Y312">
        <v>15.664924023529046</v>
      </c>
      <c r="Z312">
        <v>37898</v>
      </c>
    </row>
    <row r="313" spans="1:26" x14ac:dyDescent="0.25">
      <c r="A313">
        <v>5320</v>
      </c>
      <c r="B313">
        <v>23210</v>
      </c>
      <c r="C313" s="1">
        <v>43258</v>
      </c>
      <c r="F313" s="48"/>
      <c r="G313">
        <v>19.100000000000001</v>
      </c>
      <c r="H313">
        <v>14.8</v>
      </c>
      <c r="I313">
        <v>24.9</v>
      </c>
      <c r="J313">
        <f t="shared" si="36"/>
        <v>2668.6</v>
      </c>
      <c r="K313">
        <f t="shared" si="37"/>
        <v>55.300000000000004</v>
      </c>
      <c r="L313" s="26" t="s">
        <v>39</v>
      </c>
      <c r="M313">
        <v>0</v>
      </c>
      <c r="N313">
        <v>2.1</v>
      </c>
      <c r="O313">
        <f t="shared" si="32"/>
        <v>-2.1</v>
      </c>
      <c r="Q313">
        <v>277</v>
      </c>
      <c r="R313">
        <f t="shared" si="35"/>
        <v>0.87459016393442623</v>
      </c>
      <c r="S313">
        <f t="shared" si="33"/>
        <v>1.8366393442622952</v>
      </c>
      <c r="T313">
        <f t="shared" si="34"/>
        <v>-1.8366393442622952</v>
      </c>
      <c r="U313">
        <f t="shared" si="39"/>
        <v>50.131475409836057</v>
      </c>
      <c r="V313" s="27" t="s">
        <v>46</v>
      </c>
      <c r="W313">
        <v>942.6</v>
      </c>
      <c r="X313">
        <f t="shared" si="38"/>
        <v>2429.5</v>
      </c>
      <c r="Y313">
        <v>15.684746106512884</v>
      </c>
      <c r="Z313" s="27" t="s">
        <v>51</v>
      </c>
    </row>
    <row r="314" spans="1:26" x14ac:dyDescent="0.25">
      <c r="A314">
        <v>5320</v>
      </c>
      <c r="B314">
        <v>23210</v>
      </c>
      <c r="C314" s="1">
        <v>43259</v>
      </c>
      <c r="F314" s="48"/>
      <c r="G314">
        <v>21.1</v>
      </c>
      <c r="H314">
        <v>15.2</v>
      </c>
      <c r="I314">
        <v>25.4</v>
      </c>
      <c r="J314">
        <f t="shared" si="36"/>
        <v>2689.7</v>
      </c>
      <c r="K314">
        <f t="shared" si="37"/>
        <v>76.400000000000006</v>
      </c>
      <c r="L314" s="10">
        <f>AVERAGE(G311:G332)</f>
        <v>18.422727272727276</v>
      </c>
      <c r="M314">
        <v>0</v>
      </c>
      <c r="N314">
        <v>3.4</v>
      </c>
      <c r="O314">
        <f t="shared" si="32"/>
        <v>-3.4</v>
      </c>
      <c r="Q314">
        <v>278</v>
      </c>
      <c r="R314">
        <f t="shared" si="35"/>
        <v>0.86147540983606552</v>
      </c>
      <c r="S314">
        <f t="shared" si="33"/>
        <v>2.9290163934426228</v>
      </c>
      <c r="T314">
        <f t="shared" si="34"/>
        <v>-2.9290163934426228</v>
      </c>
      <c r="U314">
        <f t="shared" si="39"/>
        <v>47.202459016393433</v>
      </c>
      <c r="V314">
        <v>6</v>
      </c>
      <c r="W314">
        <v>1957</v>
      </c>
      <c r="X314">
        <f t="shared" si="38"/>
        <v>4386.5</v>
      </c>
      <c r="Y314">
        <v>15.703301400350934</v>
      </c>
      <c r="Z314">
        <f>(Z312/100)/L312</f>
        <v>0.93506044905008634</v>
      </c>
    </row>
    <row r="315" spans="1:26" x14ac:dyDescent="0.25">
      <c r="A315">
        <v>5320</v>
      </c>
      <c r="B315">
        <v>23210</v>
      </c>
      <c r="C315" s="1">
        <v>43260</v>
      </c>
      <c r="F315" s="48"/>
      <c r="G315">
        <v>20</v>
      </c>
      <c r="H315">
        <v>18.399999999999999</v>
      </c>
      <c r="I315">
        <v>25.2</v>
      </c>
      <c r="J315">
        <f t="shared" si="36"/>
        <v>2709.7</v>
      </c>
      <c r="K315">
        <f t="shared" si="37"/>
        <v>96.4</v>
      </c>
      <c r="L315" s="26" t="s">
        <v>40</v>
      </c>
      <c r="M315">
        <v>7.1</v>
      </c>
      <c r="N315">
        <v>4.3</v>
      </c>
      <c r="O315">
        <f t="shared" si="32"/>
        <v>2.8</v>
      </c>
      <c r="Q315">
        <v>279</v>
      </c>
      <c r="R315">
        <f t="shared" si="35"/>
        <v>0.84836065573770481</v>
      </c>
      <c r="S315">
        <f t="shared" si="33"/>
        <v>3.6479508196721304</v>
      </c>
      <c r="T315">
        <f t="shared" si="34"/>
        <v>3.4520491803278692</v>
      </c>
      <c r="U315">
        <f t="shared" si="39"/>
        <v>50.654508196721302</v>
      </c>
      <c r="V315" s="27" t="s">
        <v>47</v>
      </c>
      <c r="W315">
        <v>2054.6</v>
      </c>
      <c r="X315">
        <f t="shared" si="38"/>
        <v>6441.1</v>
      </c>
      <c r="Y315">
        <v>15.720574281594955</v>
      </c>
      <c r="Z315" s="27" t="s">
        <v>52</v>
      </c>
    </row>
    <row r="316" spans="1:26" x14ac:dyDescent="0.25">
      <c r="A316">
        <v>5320</v>
      </c>
      <c r="B316">
        <v>23210</v>
      </c>
      <c r="C316" s="1">
        <v>43261</v>
      </c>
      <c r="F316" s="48"/>
      <c r="G316">
        <v>19.8</v>
      </c>
      <c r="H316">
        <v>15.4</v>
      </c>
      <c r="I316">
        <v>23.1</v>
      </c>
      <c r="J316">
        <f t="shared" si="36"/>
        <v>2729.5</v>
      </c>
      <c r="K316">
        <f t="shared" si="37"/>
        <v>116.2</v>
      </c>
      <c r="L316" s="11">
        <f>MIN(H311:H332)</f>
        <v>9.1999999999999993</v>
      </c>
      <c r="M316">
        <v>6.9</v>
      </c>
      <c r="N316">
        <v>2.2000000000000002</v>
      </c>
      <c r="O316">
        <f t="shared" si="32"/>
        <v>4.7</v>
      </c>
      <c r="Q316">
        <v>280</v>
      </c>
      <c r="R316">
        <f t="shared" si="35"/>
        <v>0.8352459016393442</v>
      </c>
      <c r="S316">
        <f t="shared" si="33"/>
        <v>1.8375409836065575</v>
      </c>
      <c r="T316">
        <f t="shared" si="34"/>
        <v>5.0624590163934426</v>
      </c>
      <c r="U316">
        <f t="shared" si="39"/>
        <v>55.716967213114742</v>
      </c>
      <c r="V316" s="13">
        <f>MIN(U311:U332)</f>
        <v>23.102786885245887</v>
      </c>
      <c r="W316">
        <v>1328.2</v>
      </c>
      <c r="X316">
        <f t="shared" si="38"/>
        <v>7769.3</v>
      </c>
      <c r="Y316">
        <v>15.736550049790019</v>
      </c>
      <c r="Z316">
        <v>6</v>
      </c>
    </row>
    <row r="317" spans="1:26" x14ac:dyDescent="0.25">
      <c r="A317">
        <v>5320</v>
      </c>
      <c r="B317">
        <v>23210</v>
      </c>
      <c r="C317" s="1">
        <v>43262</v>
      </c>
      <c r="F317" s="48"/>
      <c r="G317">
        <v>19.5</v>
      </c>
      <c r="H317">
        <v>17.7</v>
      </c>
      <c r="I317">
        <v>23.4</v>
      </c>
      <c r="J317">
        <f t="shared" si="36"/>
        <v>2749</v>
      </c>
      <c r="K317">
        <f t="shared" si="37"/>
        <v>135.69999999999999</v>
      </c>
      <c r="L317" s="26" t="s">
        <v>41</v>
      </c>
      <c r="M317">
        <v>6.3</v>
      </c>
      <c r="N317">
        <v>2.7</v>
      </c>
      <c r="O317">
        <f t="shared" si="32"/>
        <v>3.5999999999999996</v>
      </c>
      <c r="Q317">
        <v>281</v>
      </c>
      <c r="R317">
        <f t="shared" si="35"/>
        <v>0.8221311475409836</v>
      </c>
      <c r="S317">
        <f t="shared" si="33"/>
        <v>2.2197540983606561</v>
      </c>
      <c r="T317">
        <f t="shared" si="34"/>
        <v>4.0802459016393442</v>
      </c>
      <c r="U317">
        <f t="shared" si="39"/>
        <v>59.797213114754086</v>
      </c>
      <c r="V317" s="27" t="s">
        <v>48</v>
      </c>
      <c r="W317">
        <v>1314.4</v>
      </c>
      <c r="X317">
        <f t="shared" si="38"/>
        <v>9083.7000000000007</v>
      </c>
      <c r="Y317">
        <v>15.751214972450166</v>
      </c>
    </row>
    <row r="318" spans="1:26" x14ac:dyDescent="0.25">
      <c r="A318">
        <v>5320</v>
      </c>
      <c r="B318">
        <v>23210</v>
      </c>
      <c r="C318" s="1">
        <v>43263</v>
      </c>
      <c r="F318" s="48"/>
      <c r="G318">
        <v>16.8</v>
      </c>
      <c r="H318">
        <v>15</v>
      </c>
      <c r="I318">
        <v>19.5</v>
      </c>
      <c r="J318">
        <f t="shared" si="36"/>
        <v>2765.8</v>
      </c>
      <c r="K318">
        <f t="shared" si="37"/>
        <v>152.5</v>
      </c>
      <c r="L318" s="9">
        <f>MAX(I311:I332)</f>
        <v>28.4</v>
      </c>
      <c r="M318">
        <v>1.5</v>
      </c>
      <c r="N318">
        <v>1.6</v>
      </c>
      <c r="O318">
        <f t="shared" si="32"/>
        <v>-0.10000000000000009</v>
      </c>
      <c r="Q318">
        <v>282</v>
      </c>
      <c r="R318">
        <f t="shared" si="35"/>
        <v>0.80901639344262288</v>
      </c>
      <c r="S318">
        <f t="shared" si="33"/>
        <v>1.2944262295081967</v>
      </c>
      <c r="T318">
        <f t="shared" si="34"/>
        <v>0.20557377049180325</v>
      </c>
      <c r="U318">
        <f t="shared" si="39"/>
        <v>60.002786885245889</v>
      </c>
      <c r="V318" s="13">
        <f>MAX(U311:U332)</f>
        <v>60.002786885245889</v>
      </c>
      <c r="W318">
        <v>714.2</v>
      </c>
      <c r="X318">
        <f t="shared" si="38"/>
        <v>9797.9000000000015</v>
      </c>
      <c r="Y318">
        <v>15.764556327747854</v>
      </c>
    </row>
    <row r="319" spans="1:26" x14ac:dyDescent="0.25">
      <c r="A319">
        <v>5320</v>
      </c>
      <c r="B319">
        <v>23210</v>
      </c>
      <c r="C319" s="1">
        <v>43264</v>
      </c>
      <c r="F319" s="48"/>
      <c r="G319">
        <v>14.5</v>
      </c>
      <c r="H319">
        <v>13</v>
      </c>
      <c r="I319">
        <v>17.100000000000001</v>
      </c>
      <c r="J319">
        <f t="shared" si="36"/>
        <v>2780.3</v>
      </c>
      <c r="K319">
        <f t="shared" si="37"/>
        <v>167</v>
      </c>
      <c r="L319" s="26" t="s">
        <v>42</v>
      </c>
      <c r="M319">
        <v>0</v>
      </c>
      <c r="N319">
        <v>2.5</v>
      </c>
      <c r="O319">
        <f t="shared" si="32"/>
        <v>-2.5</v>
      </c>
      <c r="Q319">
        <v>283</v>
      </c>
      <c r="R319">
        <f t="shared" si="35"/>
        <v>0.79590163934426217</v>
      </c>
      <c r="S319">
        <f t="shared" si="33"/>
        <v>1.9897540983606554</v>
      </c>
      <c r="T319">
        <f t="shared" si="34"/>
        <v>-1.9897540983606554</v>
      </c>
      <c r="U319">
        <f t="shared" si="39"/>
        <v>58.013032786885233</v>
      </c>
      <c r="V319" s="27" t="s">
        <v>49</v>
      </c>
      <c r="W319">
        <v>1447.4</v>
      </c>
      <c r="X319">
        <f t="shared" si="38"/>
        <v>11245.300000000001</v>
      </c>
      <c r="Y319">
        <v>15.776562444644426</v>
      </c>
    </row>
    <row r="320" spans="1:26" x14ac:dyDescent="0.25">
      <c r="A320">
        <v>5320</v>
      </c>
      <c r="B320">
        <v>23210</v>
      </c>
      <c r="C320" s="1">
        <v>43265</v>
      </c>
      <c r="F320" s="48"/>
      <c r="G320">
        <v>15.8</v>
      </c>
      <c r="H320">
        <v>9.1999999999999993</v>
      </c>
      <c r="I320">
        <v>19.3</v>
      </c>
      <c r="J320">
        <f t="shared" si="36"/>
        <v>2796.1000000000004</v>
      </c>
      <c r="K320">
        <f t="shared" si="37"/>
        <v>182.8</v>
      </c>
      <c r="L320" s="9">
        <v>4</v>
      </c>
      <c r="M320">
        <v>1</v>
      </c>
      <c r="N320">
        <v>2.5</v>
      </c>
      <c r="O320">
        <f t="shared" si="32"/>
        <v>-1.5</v>
      </c>
      <c r="Q320">
        <v>284</v>
      </c>
      <c r="R320">
        <f t="shared" si="35"/>
        <v>0.78278688524590156</v>
      </c>
      <c r="S320">
        <f t="shared" si="33"/>
        <v>1.956967213114754</v>
      </c>
      <c r="T320">
        <f t="shared" si="34"/>
        <v>-0.95696721311475397</v>
      </c>
      <c r="U320">
        <f t="shared" si="39"/>
        <v>57.056065573770482</v>
      </c>
      <c r="V320" s="13">
        <f>AVERAGE(U311:U332)</f>
        <v>47.963871087928446</v>
      </c>
      <c r="W320">
        <v>1846.5</v>
      </c>
      <c r="X320">
        <f t="shared" si="38"/>
        <v>13091.800000000001</v>
      </c>
      <c r="Y320">
        <v>15.787222740199509</v>
      </c>
    </row>
    <row r="321" spans="1:25" x14ac:dyDescent="0.25">
      <c r="A321">
        <v>5320</v>
      </c>
      <c r="B321">
        <v>23210</v>
      </c>
      <c r="C321" s="1">
        <v>43266</v>
      </c>
      <c r="F321" s="48"/>
      <c r="G321">
        <v>18.3</v>
      </c>
      <c r="H321">
        <v>15.9</v>
      </c>
      <c r="I321">
        <v>20.399999999999999</v>
      </c>
      <c r="J321">
        <f t="shared" si="36"/>
        <v>2814.4000000000005</v>
      </c>
      <c r="K321">
        <f t="shared" si="37"/>
        <v>201.10000000000002</v>
      </c>
      <c r="L321" s="26" t="s">
        <v>43</v>
      </c>
      <c r="M321">
        <v>0.3</v>
      </c>
      <c r="N321">
        <v>1.4</v>
      </c>
      <c r="O321">
        <f t="shared" si="32"/>
        <v>-1.0999999999999999</v>
      </c>
      <c r="Q321">
        <v>285</v>
      </c>
      <c r="R321">
        <f t="shared" si="35"/>
        <v>0.76967213114754096</v>
      </c>
      <c r="S321">
        <f t="shared" si="33"/>
        <v>1.0775409836065573</v>
      </c>
      <c r="T321">
        <f t="shared" si="34"/>
        <v>-0.77754098360655721</v>
      </c>
      <c r="U321">
        <f t="shared" si="39"/>
        <v>56.278524590163926</v>
      </c>
      <c r="W321">
        <v>655.9</v>
      </c>
      <c r="X321">
        <f t="shared" si="38"/>
        <v>13747.7</v>
      </c>
      <c r="Y321">
        <v>15.796527753810759</v>
      </c>
    </row>
    <row r="322" spans="1:25" x14ac:dyDescent="0.25">
      <c r="A322">
        <v>5320</v>
      </c>
      <c r="B322">
        <v>23210</v>
      </c>
      <c r="C322" s="1">
        <v>43267</v>
      </c>
      <c r="F322" s="48"/>
      <c r="G322">
        <v>17.399999999999999</v>
      </c>
      <c r="H322">
        <v>13.4</v>
      </c>
      <c r="I322">
        <v>21.4</v>
      </c>
      <c r="J322">
        <f t="shared" si="36"/>
        <v>2831.8000000000006</v>
      </c>
      <c r="K322">
        <f t="shared" si="37"/>
        <v>218.50000000000003</v>
      </c>
      <c r="L322" s="9">
        <v>0</v>
      </c>
      <c r="M322">
        <v>0.1</v>
      </c>
      <c r="N322">
        <v>1.9</v>
      </c>
      <c r="O322">
        <f t="shared" si="32"/>
        <v>-1.7999999999999998</v>
      </c>
      <c r="Q322">
        <v>286</v>
      </c>
      <c r="R322">
        <f t="shared" si="35"/>
        <v>0.75655737704918025</v>
      </c>
      <c r="S322">
        <f t="shared" si="33"/>
        <v>1.4374590163934424</v>
      </c>
      <c r="T322">
        <f t="shared" si="34"/>
        <v>-1.3374590163934423</v>
      </c>
      <c r="U322">
        <f t="shared" si="39"/>
        <v>54.94106557377048</v>
      </c>
      <c r="V322" s="14">
        <f>(V320*100)/138.9</f>
        <v>34.531224685333655</v>
      </c>
      <c r="W322">
        <v>1081.9000000000001</v>
      </c>
      <c r="X322">
        <f t="shared" si="38"/>
        <v>14829.6</v>
      </c>
      <c r="Y322">
        <v>15.80446917815191</v>
      </c>
    </row>
    <row r="323" spans="1:25" x14ac:dyDescent="0.25">
      <c r="A323">
        <v>5320</v>
      </c>
      <c r="B323">
        <v>23210</v>
      </c>
      <c r="C323" s="1">
        <v>43268</v>
      </c>
      <c r="F323" s="48"/>
      <c r="G323">
        <v>16.600000000000001</v>
      </c>
      <c r="H323">
        <v>12.7</v>
      </c>
      <c r="I323">
        <v>19.8</v>
      </c>
      <c r="J323">
        <f t="shared" si="36"/>
        <v>2848.4000000000005</v>
      </c>
      <c r="K323">
        <f t="shared" si="37"/>
        <v>235.10000000000002</v>
      </c>
      <c r="L323" s="26" t="s">
        <v>44</v>
      </c>
      <c r="M323">
        <v>0.2</v>
      </c>
      <c r="N323">
        <v>1.5</v>
      </c>
      <c r="O323">
        <f t="shared" si="32"/>
        <v>-1.3</v>
      </c>
      <c r="Q323">
        <v>287</v>
      </c>
      <c r="R323">
        <f t="shared" si="35"/>
        <v>0.74344262295081953</v>
      </c>
      <c r="S323">
        <f t="shared" si="33"/>
        <v>1.1151639344262292</v>
      </c>
      <c r="T323">
        <f t="shared" si="34"/>
        <v>-0.91516393442622923</v>
      </c>
      <c r="U323">
        <f t="shared" si="39"/>
        <v>54.025901639344248</v>
      </c>
      <c r="W323">
        <v>574.29999999999995</v>
      </c>
      <c r="X323">
        <f t="shared" si="38"/>
        <v>15403.9</v>
      </c>
      <c r="Y323">
        <v>15.81103988659603</v>
      </c>
    </row>
    <row r="324" spans="1:25" x14ac:dyDescent="0.25">
      <c r="A324">
        <v>5320</v>
      </c>
      <c r="B324">
        <v>23210</v>
      </c>
      <c r="C324" s="1">
        <v>43269</v>
      </c>
      <c r="F324" s="48"/>
      <c r="G324">
        <v>18.8</v>
      </c>
      <c r="H324">
        <v>15</v>
      </c>
      <c r="I324">
        <v>23</v>
      </c>
      <c r="J324">
        <f t="shared" si="36"/>
        <v>2867.2000000000007</v>
      </c>
      <c r="K324">
        <f t="shared" si="37"/>
        <v>253.90000000000003</v>
      </c>
      <c r="L324" s="20">
        <v>0</v>
      </c>
      <c r="M324">
        <v>0</v>
      </c>
      <c r="N324">
        <v>2.2000000000000002</v>
      </c>
      <c r="O324">
        <f t="shared" si="32"/>
        <v>-2.2000000000000002</v>
      </c>
      <c r="Q324">
        <v>288</v>
      </c>
      <c r="R324">
        <f t="shared" si="35"/>
        <v>0.73032786885245893</v>
      </c>
      <c r="S324">
        <f t="shared" si="33"/>
        <v>1.6067213114754098</v>
      </c>
      <c r="T324">
        <f t="shared" si="34"/>
        <v>-1.6067213114754098</v>
      </c>
      <c r="U324">
        <f t="shared" si="39"/>
        <v>52.419180327868837</v>
      </c>
      <c r="W324">
        <v>989.7</v>
      </c>
      <c r="X324">
        <f t="shared" si="38"/>
        <v>16393.599999999999</v>
      </c>
      <c r="Y324">
        <v>15.816233956932638</v>
      </c>
    </row>
    <row r="325" spans="1:25" x14ac:dyDescent="0.25">
      <c r="A325">
        <v>5320</v>
      </c>
      <c r="B325">
        <v>23210</v>
      </c>
      <c r="C325" s="1">
        <v>43270</v>
      </c>
      <c r="F325" s="48"/>
      <c r="G325">
        <v>18.600000000000001</v>
      </c>
      <c r="H325">
        <v>14.2</v>
      </c>
      <c r="I325">
        <v>23.2</v>
      </c>
      <c r="J325">
        <f t="shared" si="36"/>
        <v>2885.8000000000006</v>
      </c>
      <c r="K325">
        <f t="shared" si="37"/>
        <v>272.50000000000006</v>
      </c>
      <c r="M325">
        <v>0.2</v>
      </c>
      <c r="N325">
        <v>1.8</v>
      </c>
      <c r="O325">
        <f t="shared" ref="O325:O367" si="40">M325-N325</f>
        <v>-1.6</v>
      </c>
      <c r="Q325">
        <v>289</v>
      </c>
      <c r="R325">
        <f t="shared" si="35"/>
        <v>0.71721311475409832</v>
      </c>
      <c r="S325">
        <f t="shared" ref="S325:S367" si="41">R325*N325</f>
        <v>1.290983606557377</v>
      </c>
      <c r="T325">
        <f t="shared" ref="T325:T367" si="42">M325-S325</f>
        <v>-1.090983606557377</v>
      </c>
      <c r="U325">
        <f t="shared" si="39"/>
        <v>51.328196721311457</v>
      </c>
      <c r="W325">
        <v>821.8</v>
      </c>
      <c r="X325">
        <f t="shared" si="38"/>
        <v>17215.399999999998</v>
      </c>
      <c r="Y325">
        <v>15.820046691211163</v>
      </c>
    </row>
    <row r="326" spans="1:25" x14ac:dyDescent="0.25">
      <c r="A326">
        <v>5320</v>
      </c>
      <c r="B326">
        <v>23210</v>
      </c>
      <c r="C326" s="1">
        <v>43271</v>
      </c>
      <c r="F326" s="48"/>
      <c r="G326">
        <v>22.5</v>
      </c>
      <c r="H326">
        <v>16.600000000000001</v>
      </c>
      <c r="I326">
        <v>28.4</v>
      </c>
      <c r="J326">
        <f t="shared" si="36"/>
        <v>2908.3000000000006</v>
      </c>
      <c r="K326">
        <f t="shared" si="37"/>
        <v>295.00000000000006</v>
      </c>
      <c r="M326">
        <v>0</v>
      </c>
      <c r="N326">
        <v>6.4</v>
      </c>
      <c r="O326">
        <f t="shared" si="40"/>
        <v>-6.4</v>
      </c>
      <c r="Q326">
        <v>290</v>
      </c>
      <c r="R326">
        <f t="shared" si="35"/>
        <v>0.70409836065573761</v>
      </c>
      <c r="S326">
        <f t="shared" si="41"/>
        <v>4.5062295081967205</v>
      </c>
      <c r="T326">
        <f t="shared" si="42"/>
        <v>-4.5062295081967205</v>
      </c>
      <c r="U326">
        <f t="shared" si="39"/>
        <v>46.821967213114739</v>
      </c>
      <c r="W326">
        <v>3022.7</v>
      </c>
      <c r="X326">
        <f t="shared" si="38"/>
        <v>20238.099999999999</v>
      </c>
      <c r="Y326">
        <v>15.822474631569207</v>
      </c>
    </row>
    <row r="327" spans="1:25" x14ac:dyDescent="0.25">
      <c r="A327">
        <v>5320</v>
      </c>
      <c r="B327">
        <v>23210</v>
      </c>
      <c r="C327" s="1">
        <v>43272</v>
      </c>
      <c r="F327" s="48"/>
      <c r="G327">
        <v>18.2</v>
      </c>
      <c r="H327">
        <v>15.6</v>
      </c>
      <c r="I327">
        <v>22.6</v>
      </c>
      <c r="J327">
        <f t="shared" si="36"/>
        <v>2926.5000000000005</v>
      </c>
      <c r="K327">
        <f t="shared" si="37"/>
        <v>313.20000000000005</v>
      </c>
      <c r="M327">
        <v>0</v>
      </c>
      <c r="N327">
        <v>4.2</v>
      </c>
      <c r="O327">
        <f t="shared" si="40"/>
        <v>-4.2</v>
      </c>
      <c r="Q327">
        <v>291</v>
      </c>
      <c r="R327">
        <f t="shared" si="35"/>
        <v>0.69098360655737701</v>
      </c>
      <c r="S327">
        <f t="shared" si="41"/>
        <v>2.9021311475409837</v>
      </c>
      <c r="T327">
        <f t="shared" si="42"/>
        <v>-2.9021311475409837</v>
      </c>
      <c r="U327">
        <f t="shared" si="39"/>
        <v>43.919836065573755</v>
      </c>
      <c r="W327">
        <v>1942.2</v>
      </c>
      <c r="X327">
        <f t="shared" si="38"/>
        <v>22180.3</v>
      </c>
      <c r="Y327">
        <v>15.823515571931942</v>
      </c>
    </row>
    <row r="328" spans="1:25" x14ac:dyDescent="0.25">
      <c r="A328">
        <v>5320</v>
      </c>
      <c r="B328">
        <v>23210</v>
      </c>
      <c r="C328" s="1">
        <v>43273</v>
      </c>
      <c r="F328" s="48"/>
      <c r="G328">
        <v>15.6</v>
      </c>
      <c r="H328">
        <v>10.8</v>
      </c>
      <c r="I328">
        <v>20.399999999999999</v>
      </c>
      <c r="J328">
        <f t="shared" si="36"/>
        <v>2942.1000000000004</v>
      </c>
      <c r="K328">
        <f t="shared" si="37"/>
        <v>328.80000000000007</v>
      </c>
      <c r="M328">
        <v>0</v>
      </c>
      <c r="N328">
        <v>6.3</v>
      </c>
      <c r="O328">
        <f t="shared" si="40"/>
        <v>-6.3</v>
      </c>
      <c r="Q328">
        <v>292</v>
      </c>
      <c r="R328">
        <f t="shared" si="35"/>
        <v>0.6778688524590164</v>
      </c>
      <c r="S328">
        <f t="shared" si="41"/>
        <v>4.2705737704918034</v>
      </c>
      <c r="T328">
        <f t="shared" si="42"/>
        <v>-4.2705737704918034</v>
      </c>
      <c r="U328">
        <f t="shared" si="39"/>
        <v>39.649262295081954</v>
      </c>
      <c r="W328">
        <v>3282</v>
      </c>
      <c r="X328">
        <f t="shared" si="38"/>
        <v>25462.3</v>
      </c>
      <c r="Y328">
        <v>15.823168565497937</v>
      </c>
    </row>
    <row r="329" spans="1:25" x14ac:dyDescent="0.25">
      <c r="A329">
        <v>5320</v>
      </c>
      <c r="B329">
        <v>23210</v>
      </c>
      <c r="C329" s="1">
        <v>43274</v>
      </c>
      <c r="F329" s="48"/>
      <c r="G329">
        <v>16.7</v>
      </c>
      <c r="H329">
        <v>11.9</v>
      </c>
      <c r="I329">
        <v>21.4</v>
      </c>
      <c r="J329">
        <f t="shared" si="36"/>
        <v>2958.8</v>
      </c>
      <c r="K329">
        <f t="shared" si="37"/>
        <v>345.50000000000006</v>
      </c>
      <c r="M329">
        <v>0</v>
      </c>
      <c r="N329">
        <v>6.2</v>
      </c>
      <c r="O329">
        <f t="shared" si="40"/>
        <v>-6.2</v>
      </c>
      <c r="Q329">
        <v>293</v>
      </c>
      <c r="R329">
        <f t="shared" si="35"/>
        <v>0.66475409836065569</v>
      </c>
      <c r="S329">
        <f t="shared" si="41"/>
        <v>4.1214754098360658</v>
      </c>
      <c r="T329">
        <f t="shared" si="42"/>
        <v>-4.1214754098360658</v>
      </c>
      <c r="U329">
        <f t="shared" si="39"/>
        <v>35.527786885245888</v>
      </c>
      <c r="W329">
        <v>3214</v>
      </c>
      <c r="X329">
        <f t="shared" si="38"/>
        <v>28676.3</v>
      </c>
      <c r="Y329">
        <v>15.821433927957155</v>
      </c>
    </row>
    <row r="330" spans="1:25" x14ac:dyDescent="0.25">
      <c r="A330">
        <v>5320</v>
      </c>
      <c r="B330">
        <v>23210</v>
      </c>
      <c r="C330" s="1">
        <v>43275</v>
      </c>
      <c r="F330" s="48"/>
      <c r="G330">
        <v>18.100000000000001</v>
      </c>
      <c r="H330">
        <v>13.8</v>
      </c>
      <c r="I330">
        <v>23</v>
      </c>
      <c r="J330">
        <f t="shared" si="36"/>
        <v>2976.9</v>
      </c>
      <c r="K330">
        <f t="shared" si="37"/>
        <v>363.60000000000008</v>
      </c>
      <c r="M330">
        <v>0</v>
      </c>
      <c r="N330">
        <v>5.5</v>
      </c>
      <c r="O330">
        <f t="shared" si="40"/>
        <v>-5.5</v>
      </c>
      <c r="Q330">
        <v>294</v>
      </c>
      <c r="R330">
        <f t="shared" si="35"/>
        <v>0.65163934426229497</v>
      </c>
      <c r="S330">
        <f t="shared" si="41"/>
        <v>3.5840163934426226</v>
      </c>
      <c r="T330">
        <f t="shared" si="42"/>
        <v>-3.5840163934426226</v>
      </c>
      <c r="U330">
        <f t="shared" si="39"/>
        <v>31.943770491803264</v>
      </c>
      <c r="W330">
        <v>2615.1999999999998</v>
      </c>
      <c r="X330">
        <f t="shared" si="38"/>
        <v>31291.5</v>
      </c>
      <c r="Y330">
        <v>15.818313236417628</v>
      </c>
    </row>
    <row r="331" spans="1:25" x14ac:dyDescent="0.25">
      <c r="A331">
        <v>5320</v>
      </c>
      <c r="B331">
        <v>23210</v>
      </c>
      <c r="C331" s="1">
        <v>43276</v>
      </c>
      <c r="F331" s="48"/>
      <c r="G331">
        <v>19.8</v>
      </c>
      <c r="H331">
        <v>13.4</v>
      </c>
      <c r="I331">
        <v>24.6</v>
      </c>
      <c r="J331">
        <f t="shared" si="36"/>
        <v>2996.7000000000003</v>
      </c>
      <c r="K331">
        <f t="shared" si="37"/>
        <v>383.40000000000009</v>
      </c>
      <c r="M331">
        <v>0</v>
      </c>
      <c r="N331">
        <v>6.5</v>
      </c>
      <c r="O331">
        <f t="shared" si="40"/>
        <v>-6.5</v>
      </c>
      <c r="Q331">
        <v>295</v>
      </c>
      <c r="R331">
        <f t="shared" si="35"/>
        <v>0.63852459016393437</v>
      </c>
      <c r="S331">
        <f t="shared" si="41"/>
        <v>4.150409836065573</v>
      </c>
      <c r="T331">
        <f t="shared" si="42"/>
        <v>-4.150409836065573</v>
      </c>
      <c r="U331">
        <f t="shared" si="39"/>
        <v>27.79336065573769</v>
      </c>
      <c r="W331">
        <v>3308.8</v>
      </c>
      <c r="X331">
        <f t="shared" si="38"/>
        <v>34600.300000000003</v>
      </c>
      <c r="Y331">
        <v>15.813809324048677</v>
      </c>
    </row>
    <row r="332" spans="1:25" s="6" customFormat="1" ht="15.75" thickBot="1" x14ac:dyDescent="0.3">
      <c r="A332" s="6">
        <v>5320</v>
      </c>
      <c r="B332" s="6">
        <v>23210</v>
      </c>
      <c r="C332" s="7">
        <v>43277</v>
      </c>
      <c r="D332" s="6">
        <v>1000</v>
      </c>
      <c r="F332" s="49"/>
      <c r="G332" s="6">
        <v>21.9</v>
      </c>
      <c r="H332" s="6">
        <v>16.8</v>
      </c>
      <c r="I332" s="6">
        <v>27.1</v>
      </c>
      <c r="J332" s="6">
        <f t="shared" si="36"/>
        <v>3018.6000000000004</v>
      </c>
      <c r="K332" s="6">
        <f t="shared" si="37"/>
        <v>405.30000000000007</v>
      </c>
      <c r="M332" s="6">
        <v>0</v>
      </c>
      <c r="N332" s="6">
        <v>7.5</v>
      </c>
      <c r="O332" s="6">
        <f t="shared" si="40"/>
        <v>-7.5</v>
      </c>
      <c r="Q332" s="6">
        <v>296</v>
      </c>
      <c r="R332" s="6">
        <f t="shared" si="35"/>
        <v>0.62540983606557377</v>
      </c>
      <c r="S332" s="6">
        <f t="shared" si="41"/>
        <v>4.6905737704918034</v>
      </c>
      <c r="T332" s="6">
        <f t="shared" si="42"/>
        <v>-4.6905737704918034</v>
      </c>
      <c r="U332" s="6">
        <f t="shared" si="39"/>
        <v>23.102786885245887</v>
      </c>
      <c r="W332" s="6">
        <v>3297.7</v>
      </c>
      <c r="X332" s="6">
        <f t="shared" si="38"/>
        <v>37898</v>
      </c>
      <c r="Y332" s="6">
        <v>15.807926270479594</v>
      </c>
    </row>
    <row r="333" spans="1:25" x14ac:dyDescent="0.25">
      <c r="A333">
        <v>5320</v>
      </c>
      <c r="B333">
        <v>23210</v>
      </c>
      <c r="C333" s="1">
        <v>43278</v>
      </c>
      <c r="G333">
        <v>22.8</v>
      </c>
      <c r="H333">
        <v>16.5</v>
      </c>
      <c r="I333">
        <v>28.7</v>
      </c>
      <c r="J333">
        <f t="shared" si="36"/>
        <v>3041.4000000000005</v>
      </c>
      <c r="K333">
        <f>G333</f>
        <v>22.8</v>
      </c>
      <c r="M333">
        <v>0</v>
      </c>
      <c r="N333">
        <v>7.7</v>
      </c>
      <c r="O333">
        <f t="shared" si="40"/>
        <v>-7.7</v>
      </c>
      <c r="Q333">
        <v>297</v>
      </c>
      <c r="R333">
        <f t="shared" si="35"/>
        <v>0.61229508196721305</v>
      </c>
      <c r="S333">
        <f t="shared" si="41"/>
        <v>4.714672131147541</v>
      </c>
      <c r="T333">
        <f t="shared" si="42"/>
        <v>-4.714672131147541</v>
      </c>
      <c r="U333">
        <f t="shared" si="39"/>
        <v>18.388114754098346</v>
      </c>
      <c r="W333">
        <v>3296.2</v>
      </c>
      <c r="X333">
        <f>W333</f>
        <v>3296.2</v>
      </c>
      <c r="Y333">
        <v>15.80066938802339</v>
      </c>
    </row>
    <row r="334" spans="1:25" x14ac:dyDescent="0.25">
      <c r="A334">
        <v>5320</v>
      </c>
      <c r="B334">
        <v>23210</v>
      </c>
      <c r="C334" s="1">
        <v>43279</v>
      </c>
      <c r="G334">
        <v>22.8</v>
      </c>
      <c r="H334">
        <v>18</v>
      </c>
      <c r="I334">
        <v>27.3</v>
      </c>
      <c r="J334">
        <f t="shared" si="36"/>
        <v>3064.2000000000007</v>
      </c>
      <c r="K334">
        <f t="shared" si="37"/>
        <v>45.6</v>
      </c>
      <c r="M334">
        <v>0</v>
      </c>
      <c r="N334">
        <v>8.1999999999999993</v>
      </c>
      <c r="O334">
        <f t="shared" si="40"/>
        <v>-8.1999999999999993</v>
      </c>
      <c r="Q334">
        <v>298</v>
      </c>
      <c r="R334">
        <f t="shared" si="35"/>
        <v>0.59918032786885245</v>
      </c>
      <c r="S334">
        <f t="shared" si="41"/>
        <v>4.9132786885245894</v>
      </c>
      <c r="T334">
        <f t="shared" si="42"/>
        <v>-4.9132786885245894</v>
      </c>
      <c r="U334">
        <f t="shared" si="39"/>
        <v>13.474836065573758</v>
      </c>
      <c r="W334">
        <v>3310.1</v>
      </c>
      <c r="X334">
        <f t="shared" si="38"/>
        <v>6606.2999999999993</v>
      </c>
      <c r="Y334">
        <v>15.792045203824937</v>
      </c>
    </row>
    <row r="335" spans="1:25" x14ac:dyDescent="0.25">
      <c r="A335">
        <v>5320</v>
      </c>
      <c r="B335">
        <v>23210</v>
      </c>
      <c r="C335" s="1">
        <v>43280</v>
      </c>
      <c r="G335">
        <v>23.7</v>
      </c>
      <c r="H335">
        <v>18.899999999999999</v>
      </c>
      <c r="I335">
        <v>27.6</v>
      </c>
      <c r="J335">
        <f t="shared" si="36"/>
        <v>3087.9000000000005</v>
      </c>
      <c r="K335">
        <f t="shared" si="37"/>
        <v>69.3</v>
      </c>
      <c r="M335">
        <v>0</v>
      </c>
      <c r="N335">
        <v>6.5</v>
      </c>
      <c r="O335">
        <f t="shared" si="40"/>
        <v>-6.5</v>
      </c>
      <c r="Q335">
        <v>299</v>
      </c>
      <c r="R335">
        <f t="shared" si="35"/>
        <v>0.58606557377049173</v>
      </c>
      <c r="S335">
        <f t="shared" si="41"/>
        <v>3.8094262295081962</v>
      </c>
      <c r="T335">
        <f t="shared" si="42"/>
        <v>-3.8094262295081962</v>
      </c>
      <c r="U335">
        <f t="shared" si="39"/>
        <v>9.665409836065562</v>
      </c>
      <c r="W335">
        <v>2248.9</v>
      </c>
      <c r="X335">
        <f t="shared" si="38"/>
        <v>8855.1999999999989</v>
      </c>
      <c r="Y335">
        <v>15.782061438061318</v>
      </c>
    </row>
    <row r="336" spans="1:25" x14ac:dyDescent="0.25">
      <c r="A336">
        <v>5320</v>
      </c>
      <c r="B336">
        <v>23210</v>
      </c>
      <c r="C336" s="1">
        <v>43281</v>
      </c>
      <c r="G336">
        <v>26.3</v>
      </c>
      <c r="H336">
        <v>20.3</v>
      </c>
      <c r="I336">
        <v>31.9</v>
      </c>
      <c r="J336">
        <f t="shared" si="36"/>
        <v>3114.2000000000007</v>
      </c>
      <c r="K336">
        <f t="shared" si="37"/>
        <v>95.6</v>
      </c>
      <c r="M336">
        <v>0</v>
      </c>
      <c r="N336">
        <v>6.9</v>
      </c>
      <c r="O336">
        <f t="shared" si="40"/>
        <v>-6.9</v>
      </c>
      <c r="Q336">
        <v>300</v>
      </c>
      <c r="R336">
        <f t="shared" si="35"/>
        <v>0.57295081967213113</v>
      </c>
      <c r="S336">
        <f t="shared" si="41"/>
        <v>3.953360655737705</v>
      </c>
      <c r="T336">
        <f t="shared" si="42"/>
        <v>-3.953360655737705</v>
      </c>
      <c r="U336">
        <f t="shared" si="39"/>
        <v>5.712049180327857</v>
      </c>
      <c r="W336">
        <v>2656.6</v>
      </c>
      <c r="X336">
        <f t="shared" si="38"/>
        <v>11511.8</v>
      </c>
      <c r="Y336">
        <v>15.770726978349177</v>
      </c>
    </row>
    <row r="337" spans="1:25" x14ac:dyDescent="0.25">
      <c r="A337">
        <v>5320</v>
      </c>
      <c r="B337">
        <v>23210</v>
      </c>
      <c r="C337" s="1">
        <v>43282</v>
      </c>
      <c r="G337">
        <v>26</v>
      </c>
      <c r="H337">
        <v>21.6</v>
      </c>
      <c r="I337">
        <v>30.1</v>
      </c>
      <c r="J337">
        <f t="shared" si="36"/>
        <v>3140.2000000000007</v>
      </c>
      <c r="K337">
        <f t="shared" si="37"/>
        <v>121.6</v>
      </c>
      <c r="M337">
        <v>12.5</v>
      </c>
      <c r="N337">
        <v>3.5</v>
      </c>
      <c r="O337">
        <f t="shared" si="40"/>
        <v>9</v>
      </c>
      <c r="Q337">
        <v>301</v>
      </c>
      <c r="R337">
        <f t="shared" si="35"/>
        <v>0.55983606557377041</v>
      </c>
      <c r="S337">
        <f t="shared" si="41"/>
        <v>1.9594262295081966</v>
      </c>
      <c r="T337">
        <f t="shared" si="42"/>
        <v>10.540573770491804</v>
      </c>
      <c r="U337">
        <f t="shared" si="39"/>
        <v>16.25262295081966</v>
      </c>
      <c r="W337">
        <v>1325.5</v>
      </c>
      <c r="X337">
        <f t="shared" si="38"/>
        <v>12837.3</v>
      </c>
      <c r="Y337">
        <v>15.758051850538719</v>
      </c>
    </row>
    <row r="338" spans="1:25" x14ac:dyDescent="0.25">
      <c r="A338">
        <v>5320</v>
      </c>
      <c r="B338">
        <v>23210</v>
      </c>
      <c r="C338" s="1">
        <v>43283</v>
      </c>
      <c r="G338">
        <v>22.3</v>
      </c>
      <c r="H338">
        <v>18.8</v>
      </c>
      <c r="I338">
        <v>26.1</v>
      </c>
      <c r="J338">
        <f t="shared" si="36"/>
        <v>3162.5000000000009</v>
      </c>
      <c r="K338">
        <f t="shared" si="37"/>
        <v>143.9</v>
      </c>
      <c r="M338">
        <v>8.1</v>
      </c>
      <c r="N338">
        <v>4.2</v>
      </c>
      <c r="O338">
        <f t="shared" si="40"/>
        <v>3.8999999999999995</v>
      </c>
      <c r="Q338">
        <v>302</v>
      </c>
      <c r="R338">
        <f t="shared" si="35"/>
        <v>0.54672131147540981</v>
      </c>
      <c r="S338">
        <f t="shared" si="41"/>
        <v>2.2962295081967214</v>
      </c>
      <c r="T338">
        <f t="shared" si="42"/>
        <v>5.8037704918032782</v>
      </c>
      <c r="U338">
        <f t="shared" si="39"/>
        <v>22.056393442622937</v>
      </c>
      <c r="W338">
        <v>1958.9</v>
      </c>
      <c r="X338">
        <f t="shared" si="38"/>
        <v>14796.199999999999</v>
      </c>
      <c r="Y338">
        <v>15.744047186096916</v>
      </c>
    </row>
    <row r="339" spans="1:25" x14ac:dyDescent="0.25">
      <c r="A339">
        <v>5320</v>
      </c>
      <c r="B339">
        <v>23210</v>
      </c>
      <c r="C339" s="1">
        <v>43284</v>
      </c>
      <c r="G339">
        <v>21.6</v>
      </c>
      <c r="H339">
        <v>17.2</v>
      </c>
      <c r="I339">
        <v>26.4</v>
      </c>
      <c r="J339">
        <f t="shared" si="36"/>
        <v>3184.1000000000008</v>
      </c>
      <c r="K339">
        <f t="shared" si="37"/>
        <v>165.5</v>
      </c>
      <c r="M339">
        <v>0.3</v>
      </c>
      <c r="N339">
        <v>4.5</v>
      </c>
      <c r="O339">
        <f t="shared" si="40"/>
        <v>-4.2</v>
      </c>
      <c r="Q339">
        <v>303</v>
      </c>
      <c r="R339">
        <f t="shared" si="35"/>
        <v>0.53360655737704921</v>
      </c>
      <c r="S339">
        <f t="shared" si="41"/>
        <v>2.4012295081967214</v>
      </c>
      <c r="T339">
        <f t="shared" si="42"/>
        <v>-2.1012295081967216</v>
      </c>
      <c r="U339">
        <f t="shared" si="39"/>
        <v>19.955163934426217</v>
      </c>
      <c r="W339">
        <v>2156.1</v>
      </c>
      <c r="X339">
        <f t="shared" si="38"/>
        <v>16952.3</v>
      </c>
      <c r="Y339">
        <v>15.728725186302858</v>
      </c>
    </row>
    <row r="340" spans="1:25" x14ac:dyDescent="0.25">
      <c r="A340">
        <v>5320</v>
      </c>
      <c r="B340">
        <v>23210</v>
      </c>
      <c r="C340" s="1">
        <v>43285</v>
      </c>
      <c r="G340">
        <v>22.2</v>
      </c>
      <c r="H340">
        <v>17.2</v>
      </c>
      <c r="I340">
        <v>26.5</v>
      </c>
      <c r="J340">
        <f t="shared" si="36"/>
        <v>3206.3000000000006</v>
      </c>
      <c r="K340">
        <f t="shared" si="37"/>
        <v>187.7</v>
      </c>
      <c r="M340">
        <v>10.6</v>
      </c>
      <c r="N340">
        <v>4.0999999999999996</v>
      </c>
      <c r="O340">
        <f t="shared" si="40"/>
        <v>6.5</v>
      </c>
      <c r="Q340">
        <v>304</v>
      </c>
      <c r="R340">
        <f t="shared" si="35"/>
        <v>0.52049180327868849</v>
      </c>
      <c r="S340">
        <f t="shared" si="41"/>
        <v>2.1340163934426228</v>
      </c>
      <c r="T340">
        <f t="shared" si="42"/>
        <v>8.4659836065573764</v>
      </c>
      <c r="U340">
        <f t="shared" si="39"/>
        <v>28.421147540983593</v>
      </c>
      <c r="W340">
        <v>1919.2</v>
      </c>
      <c r="X340">
        <f t="shared" si="38"/>
        <v>18871.5</v>
      </c>
      <c r="Y340">
        <v>15.712099083495829</v>
      </c>
    </row>
    <row r="341" spans="1:25" x14ac:dyDescent="0.25">
      <c r="A341">
        <v>5320</v>
      </c>
      <c r="B341">
        <v>23210</v>
      </c>
      <c r="C341" s="1">
        <v>43286</v>
      </c>
      <c r="G341">
        <v>19.8</v>
      </c>
      <c r="H341">
        <v>17.3</v>
      </c>
      <c r="I341">
        <v>23.5</v>
      </c>
      <c r="J341">
        <f t="shared" si="36"/>
        <v>3226.1000000000008</v>
      </c>
      <c r="K341">
        <f t="shared" si="37"/>
        <v>207.5</v>
      </c>
      <c r="M341">
        <v>3.3</v>
      </c>
      <c r="N341">
        <v>1.7</v>
      </c>
      <c r="O341">
        <f t="shared" si="40"/>
        <v>1.5999999999999999</v>
      </c>
      <c r="Q341">
        <v>305</v>
      </c>
      <c r="R341">
        <f t="shared" si="35"/>
        <v>0.50737704918032778</v>
      </c>
      <c r="S341">
        <f t="shared" si="41"/>
        <v>0.86254098360655718</v>
      </c>
      <c r="T341">
        <f t="shared" si="42"/>
        <v>2.4374590163934426</v>
      </c>
      <c r="U341">
        <f t="shared" si="39"/>
        <v>30.858606557377037</v>
      </c>
      <c r="W341">
        <v>765.9</v>
      </c>
      <c r="X341">
        <f t="shared" si="38"/>
        <v>19637.400000000001</v>
      </c>
      <c r="Y341">
        <v>15.694183099631843</v>
      </c>
    </row>
    <row r="342" spans="1:25" x14ac:dyDescent="0.25">
      <c r="A342">
        <v>5320</v>
      </c>
      <c r="B342">
        <v>23210</v>
      </c>
      <c r="C342" s="1">
        <v>43287</v>
      </c>
      <c r="G342">
        <v>21.8</v>
      </c>
      <c r="H342">
        <v>18.100000000000001</v>
      </c>
      <c r="I342">
        <v>26.4</v>
      </c>
      <c r="J342">
        <f t="shared" si="36"/>
        <v>3247.900000000001</v>
      </c>
      <c r="K342">
        <f t="shared" si="37"/>
        <v>229.3</v>
      </c>
      <c r="M342">
        <v>0</v>
      </c>
      <c r="N342">
        <v>4.7</v>
      </c>
      <c r="O342">
        <f t="shared" si="40"/>
        <v>-4.7</v>
      </c>
      <c r="Q342">
        <v>306</v>
      </c>
      <c r="R342">
        <f t="shared" si="35"/>
        <v>0.49426229508196717</v>
      </c>
      <c r="S342">
        <f t="shared" si="41"/>
        <v>2.3230327868852458</v>
      </c>
      <c r="T342">
        <f t="shared" si="42"/>
        <v>-2.3230327868852458</v>
      </c>
      <c r="U342">
        <f t="shared" si="39"/>
        <v>28.535573770491791</v>
      </c>
      <c r="W342">
        <v>2294.6999999999998</v>
      </c>
      <c r="X342">
        <f t="shared" si="38"/>
        <v>21932.100000000002</v>
      </c>
      <c r="Y342">
        <v>15.674992402416429</v>
      </c>
    </row>
    <row r="343" spans="1:25" x14ac:dyDescent="0.25">
      <c r="A343">
        <v>5320</v>
      </c>
      <c r="B343">
        <v>23210</v>
      </c>
      <c r="C343" s="1">
        <v>43288</v>
      </c>
      <c r="G343">
        <v>23.5</v>
      </c>
      <c r="H343">
        <v>17</v>
      </c>
      <c r="I343">
        <v>29.2</v>
      </c>
      <c r="J343">
        <f t="shared" si="36"/>
        <v>3271.400000000001</v>
      </c>
      <c r="K343">
        <f t="shared" si="37"/>
        <v>252.8</v>
      </c>
      <c r="M343">
        <v>0</v>
      </c>
      <c r="N343">
        <v>5.2</v>
      </c>
      <c r="O343">
        <f t="shared" si="40"/>
        <v>-5.2</v>
      </c>
      <c r="Q343">
        <v>307</v>
      </c>
      <c r="R343">
        <f t="shared" si="35"/>
        <v>0.48114754098360646</v>
      </c>
      <c r="S343">
        <f t="shared" si="41"/>
        <v>2.5019672131147535</v>
      </c>
      <c r="T343">
        <f t="shared" si="42"/>
        <v>-2.5019672131147535</v>
      </c>
      <c r="U343">
        <f t="shared" si="39"/>
        <v>26.033606557377038</v>
      </c>
      <c r="W343">
        <v>2413.5</v>
      </c>
      <c r="X343">
        <f t="shared" si="38"/>
        <v>24345.600000000002</v>
      </c>
      <c r="Y343">
        <v>15.654543059290788</v>
      </c>
    </row>
    <row r="344" spans="1:25" x14ac:dyDescent="0.25">
      <c r="A344">
        <v>5320</v>
      </c>
      <c r="B344">
        <v>23210</v>
      </c>
      <c r="C344" s="1">
        <v>43289</v>
      </c>
      <c r="G344">
        <v>24.6</v>
      </c>
      <c r="H344">
        <v>18.8</v>
      </c>
      <c r="I344">
        <v>29.8</v>
      </c>
      <c r="J344">
        <f t="shared" si="36"/>
        <v>3296.0000000000009</v>
      </c>
      <c r="K344">
        <f t="shared" si="37"/>
        <v>277.40000000000003</v>
      </c>
      <c r="M344">
        <v>0</v>
      </c>
      <c r="N344">
        <v>5</v>
      </c>
      <c r="O344">
        <f t="shared" si="40"/>
        <v>-5</v>
      </c>
      <c r="Q344">
        <v>308</v>
      </c>
      <c r="R344">
        <f t="shared" si="35"/>
        <v>0.46803278688524597</v>
      </c>
      <c r="S344">
        <f t="shared" si="41"/>
        <v>2.3401639344262297</v>
      </c>
      <c r="T344">
        <f t="shared" si="42"/>
        <v>-2.3401639344262297</v>
      </c>
      <c r="U344">
        <f t="shared" si="39"/>
        <v>23.693442622950808</v>
      </c>
      <c r="W344">
        <v>2006.6</v>
      </c>
      <c r="X344">
        <f t="shared" si="38"/>
        <v>26352.2</v>
      </c>
      <c r="Y344">
        <v>15.63285198955473</v>
      </c>
    </row>
    <row r="345" spans="1:25" x14ac:dyDescent="0.25">
      <c r="A345">
        <v>5320</v>
      </c>
      <c r="B345">
        <v>23210</v>
      </c>
      <c r="C345" s="1">
        <v>43290</v>
      </c>
      <c r="G345">
        <v>22.3</v>
      </c>
      <c r="H345">
        <v>18.5</v>
      </c>
      <c r="I345">
        <v>26</v>
      </c>
      <c r="J345">
        <f t="shared" si="36"/>
        <v>3318.3000000000011</v>
      </c>
      <c r="K345">
        <f t="shared" si="37"/>
        <v>299.70000000000005</v>
      </c>
      <c r="M345">
        <v>0</v>
      </c>
      <c r="N345">
        <v>6.7</v>
      </c>
      <c r="O345">
        <f t="shared" si="40"/>
        <v>-6.7</v>
      </c>
      <c r="Q345">
        <v>309</v>
      </c>
      <c r="R345">
        <f t="shared" si="35"/>
        <v>0.45491803278688525</v>
      </c>
      <c r="S345">
        <f t="shared" si="41"/>
        <v>3.0479508196721312</v>
      </c>
      <c r="T345">
        <f t="shared" si="42"/>
        <v>-3.0479508196721312</v>
      </c>
      <c r="U345">
        <f t="shared" si="39"/>
        <v>20.645491803278677</v>
      </c>
      <c r="W345">
        <v>2793.7</v>
      </c>
      <c r="X345">
        <f t="shared" si="38"/>
        <v>29145.9</v>
      </c>
      <c r="Y345">
        <v>15.609936914913389</v>
      </c>
    </row>
    <row r="346" spans="1:25" x14ac:dyDescent="0.25">
      <c r="A346">
        <v>5320</v>
      </c>
      <c r="B346">
        <v>23210</v>
      </c>
      <c r="C346" s="1">
        <v>43291</v>
      </c>
      <c r="G346">
        <v>20.399999999999999</v>
      </c>
      <c r="H346">
        <v>16.5</v>
      </c>
      <c r="I346">
        <v>24.7</v>
      </c>
      <c r="J346">
        <f t="shared" si="36"/>
        <v>3338.7000000000012</v>
      </c>
      <c r="K346">
        <f t="shared" si="37"/>
        <v>320.10000000000002</v>
      </c>
      <c r="M346">
        <v>0</v>
      </c>
      <c r="N346">
        <v>4.4000000000000004</v>
      </c>
      <c r="O346">
        <f t="shared" si="40"/>
        <v>-4.4000000000000004</v>
      </c>
      <c r="Q346">
        <v>310</v>
      </c>
      <c r="R346">
        <f t="shared" si="35"/>
        <v>0.44180327868852454</v>
      </c>
      <c r="S346">
        <f t="shared" si="41"/>
        <v>1.9439344262295082</v>
      </c>
      <c r="T346">
        <f t="shared" si="42"/>
        <v>-1.9439344262295082</v>
      </c>
      <c r="U346">
        <f t="shared" si="39"/>
        <v>18.70155737704917</v>
      </c>
      <c r="W346">
        <v>1865.3</v>
      </c>
      <c r="X346">
        <f t="shared" si="38"/>
        <v>31011.200000000001</v>
      </c>
      <c r="Y346">
        <v>15.585816308735366</v>
      </c>
    </row>
    <row r="347" spans="1:25" x14ac:dyDescent="0.25">
      <c r="A347">
        <v>5320</v>
      </c>
      <c r="B347">
        <v>23210</v>
      </c>
      <c r="C347" s="1">
        <v>43292</v>
      </c>
      <c r="G347">
        <v>17.8</v>
      </c>
      <c r="H347">
        <v>13.6</v>
      </c>
      <c r="I347">
        <v>22.3</v>
      </c>
      <c r="J347">
        <f t="shared" si="36"/>
        <v>3356.5000000000014</v>
      </c>
      <c r="K347">
        <f t="shared" si="37"/>
        <v>337.90000000000003</v>
      </c>
      <c r="M347">
        <v>0</v>
      </c>
      <c r="N347">
        <v>2.4</v>
      </c>
      <c r="O347">
        <f t="shared" si="40"/>
        <v>-2.4</v>
      </c>
      <c r="Q347">
        <v>311</v>
      </c>
      <c r="R347">
        <f t="shared" si="35"/>
        <v>0.42868852459016393</v>
      </c>
      <c r="S347">
        <f t="shared" si="41"/>
        <v>1.0288524590163934</v>
      </c>
      <c r="T347">
        <f t="shared" si="42"/>
        <v>-1.0288524590163934</v>
      </c>
      <c r="U347">
        <f t="shared" si="39"/>
        <v>17.672704918032778</v>
      </c>
      <c r="W347">
        <v>915.3</v>
      </c>
      <c r="X347">
        <f t="shared" si="38"/>
        <v>31926.5</v>
      </c>
      <c r="Y347">
        <v>15.560509344308167</v>
      </c>
    </row>
    <row r="348" spans="1:25" x14ac:dyDescent="0.25">
      <c r="A348">
        <v>5320</v>
      </c>
      <c r="B348">
        <v>23210</v>
      </c>
      <c r="C348" s="1">
        <v>43293</v>
      </c>
      <c r="G348">
        <v>20.2</v>
      </c>
      <c r="H348">
        <v>14.4</v>
      </c>
      <c r="I348">
        <v>24.9</v>
      </c>
      <c r="J348">
        <f t="shared" si="36"/>
        <v>3376.7000000000012</v>
      </c>
      <c r="K348">
        <f t="shared" si="37"/>
        <v>358.1</v>
      </c>
      <c r="M348">
        <v>0</v>
      </c>
      <c r="N348">
        <v>3.2</v>
      </c>
      <c r="O348">
        <f t="shared" si="40"/>
        <v>-3.2</v>
      </c>
      <c r="Q348">
        <v>312</v>
      </c>
      <c r="R348">
        <f t="shared" si="35"/>
        <v>0.41557377049180322</v>
      </c>
      <c r="S348">
        <f t="shared" si="41"/>
        <v>1.3298360655737704</v>
      </c>
      <c r="T348">
        <f t="shared" si="42"/>
        <v>-1.3298360655737704</v>
      </c>
      <c r="U348">
        <f t="shared" si="39"/>
        <v>16.342868852459009</v>
      </c>
      <c r="W348">
        <v>1313.7</v>
      </c>
      <c r="X348">
        <f t="shared" si="38"/>
        <v>33240.199999999997</v>
      </c>
      <c r="Y348">
        <v>15.534035842372303</v>
      </c>
    </row>
    <row r="349" spans="1:25" x14ac:dyDescent="0.25">
      <c r="A349">
        <v>5320</v>
      </c>
      <c r="B349">
        <v>23210</v>
      </c>
      <c r="C349" s="1">
        <v>43294</v>
      </c>
      <c r="G349">
        <v>22.6</v>
      </c>
      <c r="H349">
        <v>16.600000000000001</v>
      </c>
      <c r="I349">
        <v>27.7</v>
      </c>
      <c r="J349">
        <f t="shared" si="36"/>
        <v>3399.3000000000011</v>
      </c>
      <c r="K349">
        <f t="shared" si="37"/>
        <v>380.70000000000005</v>
      </c>
      <c r="M349">
        <v>0</v>
      </c>
      <c r="N349">
        <v>5.3</v>
      </c>
      <c r="O349">
        <f t="shared" si="40"/>
        <v>-5.3</v>
      </c>
      <c r="Q349">
        <v>313</v>
      </c>
      <c r="R349">
        <f t="shared" si="35"/>
        <v>0.40245901639344261</v>
      </c>
      <c r="S349">
        <f t="shared" si="41"/>
        <v>2.1330327868852459</v>
      </c>
      <c r="T349">
        <f t="shared" si="42"/>
        <v>-2.1330327868852459</v>
      </c>
      <c r="U349">
        <f t="shared" si="39"/>
        <v>14.209836065573764</v>
      </c>
      <c r="W349">
        <v>2467.6999999999998</v>
      </c>
      <c r="X349">
        <f t="shared" si="38"/>
        <v>35707.899999999994</v>
      </c>
      <c r="Y349">
        <v>15.506416218208793</v>
      </c>
    </row>
    <row r="350" spans="1:25" x14ac:dyDescent="0.25">
      <c r="A350">
        <v>5320</v>
      </c>
      <c r="B350">
        <v>23210</v>
      </c>
      <c r="C350" s="1">
        <v>43295</v>
      </c>
      <c r="G350">
        <v>23.4</v>
      </c>
      <c r="H350">
        <v>18.100000000000001</v>
      </c>
      <c r="I350">
        <v>30</v>
      </c>
      <c r="J350">
        <f t="shared" si="36"/>
        <v>3422.7000000000012</v>
      </c>
      <c r="K350">
        <f t="shared" si="37"/>
        <v>404.1</v>
      </c>
      <c r="M350">
        <v>0</v>
      </c>
      <c r="N350">
        <v>5.2</v>
      </c>
      <c r="O350">
        <f t="shared" si="40"/>
        <v>-5.2</v>
      </c>
      <c r="Q350">
        <v>314</v>
      </c>
      <c r="R350">
        <f t="shared" si="35"/>
        <v>0.38934426229508201</v>
      </c>
      <c r="S350">
        <f t="shared" si="41"/>
        <v>2.0245901639344264</v>
      </c>
      <c r="T350">
        <f t="shared" si="42"/>
        <v>-2.0245901639344264</v>
      </c>
      <c r="U350">
        <f t="shared" si="39"/>
        <v>12.185245901639338</v>
      </c>
      <c r="W350">
        <v>2322.1</v>
      </c>
      <c r="X350">
        <f t="shared" si="38"/>
        <v>38029.999999999993</v>
      </c>
      <c r="Y350">
        <v>15.477671428546028</v>
      </c>
    </row>
    <row r="351" spans="1:25" x14ac:dyDescent="0.25">
      <c r="A351">
        <v>5320</v>
      </c>
      <c r="B351">
        <v>23210</v>
      </c>
      <c r="C351" s="1">
        <v>43296</v>
      </c>
      <c r="G351">
        <v>24.6</v>
      </c>
      <c r="H351">
        <v>19</v>
      </c>
      <c r="I351">
        <v>31.1</v>
      </c>
      <c r="J351">
        <f t="shared" si="36"/>
        <v>3447.3000000000011</v>
      </c>
      <c r="K351">
        <f t="shared" si="37"/>
        <v>428.70000000000005</v>
      </c>
      <c r="M351">
        <v>0</v>
      </c>
      <c r="N351">
        <v>5.7</v>
      </c>
      <c r="O351">
        <f t="shared" si="40"/>
        <v>-5.7</v>
      </c>
      <c r="Q351">
        <v>315</v>
      </c>
      <c r="R351">
        <f t="shared" si="35"/>
        <v>0.3762295081967213</v>
      </c>
      <c r="S351">
        <f t="shared" si="41"/>
        <v>2.1445081967213113</v>
      </c>
      <c r="T351">
        <f t="shared" si="42"/>
        <v>-2.1445081967213113</v>
      </c>
      <c r="U351">
        <f t="shared" si="39"/>
        <v>10.040737704918026</v>
      </c>
      <c r="W351">
        <v>2559.1999999999998</v>
      </c>
      <c r="X351">
        <f t="shared" si="38"/>
        <v>40589.19999999999</v>
      </c>
      <c r="Y351">
        <v>15.447822918541284</v>
      </c>
    </row>
    <row r="352" spans="1:25" x14ac:dyDescent="0.25">
      <c r="A352">
        <v>5320</v>
      </c>
      <c r="B352">
        <v>23210</v>
      </c>
      <c r="C352" s="1">
        <v>43297</v>
      </c>
      <c r="G352">
        <v>23.5</v>
      </c>
      <c r="H352">
        <v>17.600000000000001</v>
      </c>
      <c r="I352">
        <v>29</v>
      </c>
      <c r="J352">
        <f t="shared" si="36"/>
        <v>3470.8000000000011</v>
      </c>
      <c r="K352">
        <f t="shared" si="37"/>
        <v>452.20000000000005</v>
      </c>
      <c r="M352">
        <v>0</v>
      </c>
      <c r="N352">
        <v>5.5</v>
      </c>
      <c r="O352">
        <f t="shared" si="40"/>
        <v>-5.5</v>
      </c>
      <c r="Q352">
        <v>316</v>
      </c>
      <c r="R352">
        <f t="shared" si="35"/>
        <v>0.36311475409836069</v>
      </c>
      <c r="S352">
        <f t="shared" si="41"/>
        <v>1.9971311475409839</v>
      </c>
      <c r="T352">
        <f t="shared" si="42"/>
        <v>-1.9971311475409839</v>
      </c>
      <c r="U352">
        <f t="shared" si="39"/>
        <v>8.0436065573770428</v>
      </c>
      <c r="W352">
        <v>2141.8000000000002</v>
      </c>
      <c r="X352">
        <f t="shared" si="38"/>
        <v>42730.999999999993</v>
      </c>
      <c r="Y352">
        <v>15.416892569079875</v>
      </c>
    </row>
    <row r="353" spans="1:25" s="6" customFormat="1" ht="15.75" thickBot="1" x14ac:dyDescent="0.3">
      <c r="A353" s="6">
        <v>5320</v>
      </c>
      <c r="B353" s="6">
        <v>23210</v>
      </c>
      <c r="C353" s="7">
        <v>43298</v>
      </c>
      <c r="D353" s="6" t="s">
        <v>35</v>
      </c>
      <c r="G353" s="6">
        <v>21.2</v>
      </c>
      <c r="H353" s="6">
        <v>17</v>
      </c>
      <c r="I353" s="6">
        <v>25.4</v>
      </c>
      <c r="J353">
        <f t="shared" si="36"/>
        <v>3492.0000000000009</v>
      </c>
      <c r="K353">
        <f t="shared" si="37"/>
        <v>473.40000000000003</v>
      </c>
      <c r="M353" s="6">
        <v>0</v>
      </c>
      <c r="N353" s="6">
        <v>4</v>
      </c>
      <c r="O353" s="6">
        <f t="shared" si="40"/>
        <v>-4</v>
      </c>
      <c r="Q353">
        <v>317</v>
      </c>
      <c r="R353">
        <f t="shared" si="35"/>
        <v>0.35</v>
      </c>
      <c r="S353" s="6">
        <f t="shared" si="41"/>
        <v>1.4</v>
      </c>
      <c r="T353" s="6">
        <f t="shared" si="42"/>
        <v>-1.4</v>
      </c>
      <c r="U353">
        <f t="shared" si="39"/>
        <v>6.6436065573770424</v>
      </c>
      <c r="W353" s="6">
        <v>1555.9</v>
      </c>
      <c r="X353">
        <f t="shared" si="38"/>
        <v>44286.899999999994</v>
      </c>
      <c r="Y353" s="6">
        <v>15.384902644621297</v>
      </c>
    </row>
    <row r="354" spans="1:25" x14ac:dyDescent="0.25">
      <c r="A354">
        <v>5320</v>
      </c>
      <c r="B354">
        <v>23210</v>
      </c>
      <c r="C354" s="1">
        <v>43299</v>
      </c>
      <c r="G354">
        <v>22.6</v>
      </c>
      <c r="H354">
        <v>15.6</v>
      </c>
      <c r="I354">
        <v>28.4</v>
      </c>
      <c r="K354">
        <f t="shared" si="37"/>
        <v>496.00000000000006</v>
      </c>
      <c r="M354">
        <v>0</v>
      </c>
      <c r="N354">
        <v>3.1</v>
      </c>
      <c r="O354">
        <f t="shared" si="40"/>
        <v>-3.1</v>
      </c>
      <c r="Q354">
        <v>318</v>
      </c>
      <c r="S354">
        <f t="shared" si="41"/>
        <v>0</v>
      </c>
      <c r="T354">
        <f t="shared" si="42"/>
        <v>0</v>
      </c>
      <c r="U354">
        <f t="shared" si="39"/>
        <v>6.6436065573770424</v>
      </c>
      <c r="W354">
        <v>1494.1</v>
      </c>
      <c r="X354">
        <f t="shared" si="38"/>
        <v>45780.999999999993</v>
      </c>
    </row>
    <row r="355" spans="1:25" x14ac:dyDescent="0.25">
      <c r="A355">
        <v>5320</v>
      </c>
      <c r="B355">
        <v>23210</v>
      </c>
      <c r="C355" s="1">
        <v>43300</v>
      </c>
      <c r="G355">
        <v>23.8</v>
      </c>
      <c r="H355">
        <v>18.600000000000001</v>
      </c>
      <c r="I355">
        <v>29.9</v>
      </c>
      <c r="K355">
        <f t="shared" si="37"/>
        <v>519.80000000000007</v>
      </c>
      <c r="M355">
        <v>8.3000000000000007</v>
      </c>
      <c r="N355">
        <v>4.8</v>
      </c>
      <c r="O355">
        <f t="shared" si="40"/>
        <v>3.5000000000000009</v>
      </c>
      <c r="Q355">
        <v>319</v>
      </c>
      <c r="S355">
        <f t="shared" si="41"/>
        <v>0</v>
      </c>
      <c r="T355">
        <f t="shared" si="42"/>
        <v>8.3000000000000007</v>
      </c>
      <c r="U355">
        <f t="shared" si="39"/>
        <v>14.943606557377043</v>
      </c>
      <c r="W355">
        <v>1946.5</v>
      </c>
      <c r="X355">
        <f t="shared" si="38"/>
        <v>47727.499999999993</v>
      </c>
    </row>
    <row r="356" spans="1:25" x14ac:dyDescent="0.25">
      <c r="A356">
        <v>5320</v>
      </c>
      <c r="B356">
        <v>23210</v>
      </c>
      <c r="C356" s="1">
        <v>43301</v>
      </c>
      <c r="G356">
        <v>19.600000000000001</v>
      </c>
      <c r="H356">
        <v>18</v>
      </c>
      <c r="I356">
        <v>22.7</v>
      </c>
      <c r="K356">
        <f t="shared" si="37"/>
        <v>539.40000000000009</v>
      </c>
      <c r="M356">
        <v>0</v>
      </c>
      <c r="N356">
        <v>2.9</v>
      </c>
      <c r="O356">
        <f t="shared" si="40"/>
        <v>-2.9</v>
      </c>
      <c r="Q356">
        <v>320</v>
      </c>
      <c r="S356">
        <f t="shared" si="41"/>
        <v>0</v>
      </c>
      <c r="T356">
        <f t="shared" si="42"/>
        <v>0</v>
      </c>
      <c r="U356">
        <f t="shared" si="39"/>
        <v>14.943606557377043</v>
      </c>
      <c r="W356">
        <v>1514.3</v>
      </c>
      <c r="X356">
        <f t="shared" si="38"/>
        <v>49241.799999999996</v>
      </c>
    </row>
    <row r="357" spans="1:25" x14ac:dyDescent="0.25">
      <c r="A357">
        <v>5320</v>
      </c>
      <c r="B357">
        <v>23210</v>
      </c>
      <c r="C357" s="1">
        <v>43302</v>
      </c>
      <c r="G357">
        <v>19.5</v>
      </c>
      <c r="H357">
        <v>15.2</v>
      </c>
      <c r="I357">
        <v>24.6</v>
      </c>
      <c r="K357">
        <f t="shared" si="37"/>
        <v>558.90000000000009</v>
      </c>
      <c r="M357">
        <v>0</v>
      </c>
      <c r="N357">
        <v>3.7</v>
      </c>
      <c r="O357">
        <f t="shared" si="40"/>
        <v>-3.7</v>
      </c>
      <c r="Q357">
        <v>321</v>
      </c>
      <c r="S357">
        <f t="shared" si="41"/>
        <v>0</v>
      </c>
      <c r="T357">
        <f t="shared" si="42"/>
        <v>0</v>
      </c>
      <c r="U357">
        <f t="shared" si="39"/>
        <v>14.943606557377043</v>
      </c>
      <c r="W357">
        <v>1817.1</v>
      </c>
      <c r="X357">
        <f t="shared" si="38"/>
        <v>51058.899999999994</v>
      </c>
    </row>
    <row r="358" spans="1:25" x14ac:dyDescent="0.25">
      <c r="A358">
        <v>5320</v>
      </c>
      <c r="B358">
        <v>23210</v>
      </c>
      <c r="C358" s="1">
        <v>43303</v>
      </c>
      <c r="G358">
        <v>20.399999999999999</v>
      </c>
      <c r="H358">
        <v>14.4</v>
      </c>
      <c r="I358">
        <v>25.9</v>
      </c>
      <c r="K358">
        <f t="shared" si="37"/>
        <v>579.30000000000007</v>
      </c>
      <c r="M358">
        <v>0</v>
      </c>
      <c r="N358">
        <v>4.7</v>
      </c>
      <c r="O358">
        <f t="shared" si="40"/>
        <v>-4.7</v>
      </c>
      <c r="Q358">
        <v>322</v>
      </c>
      <c r="S358">
        <f t="shared" si="41"/>
        <v>0</v>
      </c>
      <c r="T358">
        <f t="shared" si="42"/>
        <v>0</v>
      </c>
      <c r="U358">
        <f t="shared" si="39"/>
        <v>14.943606557377043</v>
      </c>
      <c r="W358">
        <v>2343.9</v>
      </c>
      <c r="X358">
        <f t="shared" si="38"/>
        <v>53402.799999999996</v>
      </c>
    </row>
    <row r="359" spans="1:25" x14ac:dyDescent="0.25">
      <c r="A359">
        <v>5320</v>
      </c>
      <c r="B359">
        <v>23210</v>
      </c>
      <c r="C359" s="1">
        <v>43304</v>
      </c>
      <c r="G359">
        <v>23.4</v>
      </c>
      <c r="H359">
        <v>15.6</v>
      </c>
      <c r="I359">
        <v>29.2</v>
      </c>
      <c r="K359">
        <f t="shared" ref="K359:K367" si="43">K358+G359</f>
        <v>602.70000000000005</v>
      </c>
      <c r="M359">
        <v>0</v>
      </c>
      <c r="N359">
        <v>4.7</v>
      </c>
      <c r="O359">
        <f t="shared" si="40"/>
        <v>-4.7</v>
      </c>
      <c r="Q359">
        <v>323</v>
      </c>
      <c r="S359">
        <f t="shared" si="41"/>
        <v>0</v>
      </c>
      <c r="T359">
        <f t="shared" si="42"/>
        <v>0</v>
      </c>
      <c r="U359">
        <f t="shared" si="39"/>
        <v>14.943606557377043</v>
      </c>
      <c r="W359">
        <v>2203</v>
      </c>
      <c r="X359">
        <f t="shared" ref="X359:X367" si="44">X358+W359</f>
        <v>55605.799999999996</v>
      </c>
    </row>
    <row r="360" spans="1:25" x14ac:dyDescent="0.25">
      <c r="A360">
        <v>5320</v>
      </c>
      <c r="B360">
        <v>23210</v>
      </c>
      <c r="C360" s="1">
        <v>43305</v>
      </c>
      <c r="G360">
        <v>24.9</v>
      </c>
      <c r="H360">
        <v>18.3</v>
      </c>
      <c r="I360">
        <v>32.1</v>
      </c>
      <c r="K360">
        <f t="shared" si="43"/>
        <v>627.6</v>
      </c>
      <c r="M360">
        <v>0</v>
      </c>
      <c r="N360">
        <v>2.9</v>
      </c>
      <c r="O360">
        <f t="shared" si="40"/>
        <v>-2.9</v>
      </c>
      <c r="Q360">
        <v>324</v>
      </c>
      <c r="S360">
        <f t="shared" si="41"/>
        <v>0</v>
      </c>
      <c r="T360">
        <f t="shared" si="42"/>
        <v>0</v>
      </c>
      <c r="U360">
        <f t="shared" si="39"/>
        <v>14.943606557377043</v>
      </c>
      <c r="W360">
        <v>1018.8</v>
      </c>
      <c r="X360">
        <f t="shared" si="44"/>
        <v>56624.6</v>
      </c>
    </row>
    <row r="361" spans="1:25" x14ac:dyDescent="0.25">
      <c r="A361">
        <v>5320</v>
      </c>
      <c r="B361">
        <v>23210</v>
      </c>
      <c r="C361" s="1">
        <v>43306</v>
      </c>
      <c r="G361">
        <v>25.4</v>
      </c>
      <c r="H361">
        <v>19</v>
      </c>
      <c r="I361">
        <v>31.9</v>
      </c>
      <c r="K361">
        <f t="shared" si="43"/>
        <v>653</v>
      </c>
      <c r="M361">
        <v>0</v>
      </c>
      <c r="N361">
        <v>6.2</v>
      </c>
      <c r="O361">
        <f t="shared" si="40"/>
        <v>-6.2</v>
      </c>
      <c r="Q361">
        <v>325</v>
      </c>
      <c r="S361">
        <f t="shared" si="41"/>
        <v>0</v>
      </c>
      <c r="T361">
        <f t="shared" si="42"/>
        <v>0</v>
      </c>
      <c r="U361">
        <f t="shared" si="39"/>
        <v>14.943606557377043</v>
      </c>
      <c r="W361">
        <v>2698.5</v>
      </c>
      <c r="X361">
        <f t="shared" si="44"/>
        <v>59323.1</v>
      </c>
    </row>
    <row r="362" spans="1:25" x14ac:dyDescent="0.25">
      <c r="A362">
        <v>5320</v>
      </c>
      <c r="B362">
        <v>23210</v>
      </c>
      <c r="C362" s="1">
        <v>43307</v>
      </c>
      <c r="G362">
        <v>27</v>
      </c>
      <c r="H362">
        <v>19.7</v>
      </c>
      <c r="I362">
        <v>33.9</v>
      </c>
      <c r="K362">
        <f t="shared" si="43"/>
        <v>680</v>
      </c>
      <c r="M362">
        <v>0</v>
      </c>
      <c r="N362">
        <v>5.3</v>
      </c>
      <c r="O362">
        <f t="shared" si="40"/>
        <v>-5.3</v>
      </c>
      <c r="Q362">
        <v>326</v>
      </c>
      <c r="S362">
        <f t="shared" si="41"/>
        <v>0</v>
      </c>
      <c r="T362">
        <f t="shared" si="42"/>
        <v>0</v>
      </c>
      <c r="U362">
        <f t="shared" ref="U362:U367" si="45">MIN(U361+T362,138.9)</f>
        <v>14.943606557377043</v>
      </c>
      <c r="W362">
        <v>1984.8</v>
      </c>
      <c r="X362">
        <f t="shared" si="44"/>
        <v>61307.9</v>
      </c>
    </row>
    <row r="363" spans="1:25" x14ac:dyDescent="0.25">
      <c r="A363">
        <v>5320</v>
      </c>
      <c r="B363">
        <v>23210</v>
      </c>
      <c r="C363" s="1">
        <v>43308</v>
      </c>
      <c r="G363">
        <v>24.5</v>
      </c>
      <c r="H363">
        <v>20.5</v>
      </c>
      <c r="I363">
        <v>31.5</v>
      </c>
      <c r="K363">
        <f t="shared" si="43"/>
        <v>704.5</v>
      </c>
      <c r="M363">
        <v>0</v>
      </c>
      <c r="N363">
        <v>5.5</v>
      </c>
      <c r="O363">
        <f t="shared" si="40"/>
        <v>-5.5</v>
      </c>
      <c r="Q363">
        <v>327</v>
      </c>
      <c r="S363">
        <f t="shared" si="41"/>
        <v>0</v>
      </c>
      <c r="T363">
        <f t="shared" si="42"/>
        <v>0</v>
      </c>
      <c r="U363">
        <f t="shared" si="45"/>
        <v>14.943606557377043</v>
      </c>
      <c r="W363">
        <v>2146.4</v>
      </c>
      <c r="X363">
        <f t="shared" si="44"/>
        <v>63454.3</v>
      </c>
    </row>
    <row r="364" spans="1:25" x14ac:dyDescent="0.25">
      <c r="A364">
        <v>5320</v>
      </c>
      <c r="B364">
        <v>23210</v>
      </c>
      <c r="C364" s="1">
        <v>43309</v>
      </c>
      <c r="G364">
        <v>21.4</v>
      </c>
      <c r="H364">
        <v>19.7</v>
      </c>
      <c r="I364">
        <v>24</v>
      </c>
      <c r="K364">
        <f t="shared" si="43"/>
        <v>725.9</v>
      </c>
      <c r="M364">
        <v>0</v>
      </c>
      <c r="N364">
        <v>5.4</v>
      </c>
      <c r="O364">
        <f t="shared" si="40"/>
        <v>-5.4</v>
      </c>
      <c r="Q364">
        <v>328</v>
      </c>
      <c r="S364">
        <f t="shared" si="41"/>
        <v>0</v>
      </c>
      <c r="T364">
        <f t="shared" si="42"/>
        <v>0</v>
      </c>
      <c r="U364">
        <f t="shared" si="45"/>
        <v>14.943606557377043</v>
      </c>
      <c r="W364">
        <v>1986.2</v>
      </c>
      <c r="X364">
        <f t="shared" si="44"/>
        <v>65440.5</v>
      </c>
    </row>
    <row r="365" spans="1:25" x14ac:dyDescent="0.25">
      <c r="A365">
        <v>5320</v>
      </c>
      <c r="B365">
        <v>23210</v>
      </c>
      <c r="C365" s="1">
        <v>43310</v>
      </c>
      <c r="G365">
        <v>21.3</v>
      </c>
      <c r="H365">
        <v>16.399999999999999</v>
      </c>
      <c r="I365">
        <v>26.2</v>
      </c>
      <c r="K365">
        <f t="shared" si="43"/>
        <v>747.19999999999993</v>
      </c>
      <c r="M365">
        <v>0</v>
      </c>
      <c r="N365">
        <v>4.4000000000000004</v>
      </c>
      <c r="O365">
        <f t="shared" si="40"/>
        <v>-4.4000000000000004</v>
      </c>
      <c r="Q365">
        <v>329</v>
      </c>
      <c r="S365">
        <f t="shared" si="41"/>
        <v>0</v>
      </c>
      <c r="T365">
        <f t="shared" si="42"/>
        <v>0</v>
      </c>
      <c r="U365">
        <f t="shared" si="45"/>
        <v>14.943606557377043</v>
      </c>
      <c r="W365">
        <v>1316.8</v>
      </c>
      <c r="X365">
        <f t="shared" si="44"/>
        <v>66757.3</v>
      </c>
    </row>
    <row r="366" spans="1:25" x14ac:dyDescent="0.25">
      <c r="A366">
        <v>5320</v>
      </c>
      <c r="B366">
        <v>23210</v>
      </c>
      <c r="C366" s="1">
        <v>43311</v>
      </c>
      <c r="G366">
        <v>22.1</v>
      </c>
      <c r="H366">
        <v>17.5</v>
      </c>
      <c r="I366">
        <v>26.3</v>
      </c>
      <c r="K366">
        <f t="shared" si="43"/>
        <v>769.3</v>
      </c>
      <c r="M366">
        <v>0</v>
      </c>
      <c r="N366">
        <v>3.1</v>
      </c>
      <c r="O366">
        <f t="shared" si="40"/>
        <v>-3.1</v>
      </c>
      <c r="Q366">
        <v>330</v>
      </c>
      <c r="S366">
        <f t="shared" si="41"/>
        <v>0</v>
      </c>
      <c r="T366">
        <f t="shared" si="42"/>
        <v>0</v>
      </c>
      <c r="U366">
        <f t="shared" si="45"/>
        <v>14.943606557377043</v>
      </c>
      <c r="W366">
        <v>1020.2</v>
      </c>
      <c r="X366">
        <f t="shared" si="44"/>
        <v>67777.5</v>
      </c>
    </row>
    <row r="367" spans="1:25" x14ac:dyDescent="0.25">
      <c r="A367">
        <v>5320</v>
      </c>
      <c r="B367">
        <v>23210</v>
      </c>
      <c r="C367" s="1">
        <v>43312</v>
      </c>
      <c r="G367">
        <v>22.2</v>
      </c>
      <c r="H367">
        <v>17.899999999999999</v>
      </c>
      <c r="I367">
        <v>26.3</v>
      </c>
      <c r="K367">
        <f t="shared" si="43"/>
        <v>791.5</v>
      </c>
      <c r="M367">
        <v>0</v>
      </c>
      <c r="N367">
        <v>3</v>
      </c>
      <c r="O367">
        <f t="shared" si="40"/>
        <v>-3</v>
      </c>
      <c r="Q367">
        <v>331</v>
      </c>
      <c r="S367">
        <f t="shared" si="41"/>
        <v>0</v>
      </c>
      <c r="T367">
        <f t="shared" si="42"/>
        <v>0</v>
      </c>
      <c r="U367">
        <f t="shared" si="45"/>
        <v>14.943606557377043</v>
      </c>
      <c r="W367">
        <v>1262.3</v>
      </c>
      <c r="X367">
        <f t="shared" si="44"/>
        <v>69039.8</v>
      </c>
    </row>
  </sheetData>
  <mergeCells count="10">
    <mergeCell ref="F248:F268"/>
    <mergeCell ref="F269:F292"/>
    <mergeCell ref="F293:F310"/>
    <mergeCell ref="F311:F332"/>
    <mergeCell ref="G2:L2"/>
    <mergeCell ref="M2:V2"/>
    <mergeCell ref="W2:Z2"/>
    <mergeCell ref="F37:F122"/>
    <mergeCell ref="F123:F216"/>
    <mergeCell ref="F217:F247"/>
  </mergeCells>
  <conditionalFormatting sqref="O4:O367">
    <cfRule type="cellIs" dxfId="30" priority="31" operator="lessThan">
      <formula>0</formula>
    </cfRule>
  </conditionalFormatting>
  <conditionalFormatting sqref="T4:T367">
    <cfRule type="cellIs" dxfId="29" priority="30" operator="lessThan">
      <formula>0</formula>
    </cfRule>
  </conditionalFormatting>
  <conditionalFormatting sqref="U4:U1048576">
    <cfRule type="cellIs" dxfId="28" priority="29" operator="lessThanOrEqual">
      <formula>46.3</formula>
    </cfRule>
    <cfRule type="cellIs" dxfId="27" priority="28" operator="equal">
      <formula>0</formula>
    </cfRule>
  </conditionalFormatting>
  <conditionalFormatting sqref="W4:W367">
    <cfRule type="cellIs" dxfId="26" priority="27" operator="lessThan">
      <formula>900</formula>
    </cfRule>
  </conditionalFormatting>
  <conditionalFormatting sqref="G4:I367">
    <cfRule type="cellIs" dxfId="25" priority="26" operator="between">
      <formula>5</formula>
      <formula>0</formula>
    </cfRule>
    <cfRule type="cellIs" dxfId="24" priority="25" operator="lessThan">
      <formula>0</formula>
    </cfRule>
    <cfRule type="cellIs" dxfId="23" priority="24" operator="greaterThanOrEqual">
      <formula>25</formula>
    </cfRule>
  </conditionalFormatting>
  <conditionalFormatting sqref="Y37:Y353">
    <cfRule type="cellIs" dxfId="22" priority="23" operator="lessThan">
      <formula>9</formula>
    </cfRule>
  </conditionalFormatting>
  <conditionalFormatting sqref="L38 L46 L50 L48">
    <cfRule type="cellIs" dxfId="21" priority="21" operator="lessThanOrEqual">
      <formula>0</formula>
    </cfRule>
    <cfRule type="cellIs" dxfId="20" priority="22" operator="lessThanOrEqual">
      <formula>5</formula>
    </cfRule>
  </conditionalFormatting>
  <conditionalFormatting sqref="V38">
    <cfRule type="cellIs" dxfId="19" priority="19" operator="equal">
      <formula>0</formula>
    </cfRule>
    <cfRule type="cellIs" dxfId="18" priority="20" operator="lessThanOrEqual">
      <formula>63.2</formula>
    </cfRule>
  </conditionalFormatting>
  <conditionalFormatting sqref="L124 L132 L136 L134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Z124">
    <cfRule type="cellIs" dxfId="15" priority="16" operator="lessThan">
      <formula>9</formula>
    </cfRule>
  </conditionalFormatting>
  <conditionalFormatting sqref="L218 L226 L230 L228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Z218">
    <cfRule type="cellIs" dxfId="12" priority="13" operator="lessThan">
      <formula>9</formula>
    </cfRule>
  </conditionalFormatting>
  <conditionalFormatting sqref="L249 L261 L259 L257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Z249">
    <cfRule type="cellIs" dxfId="9" priority="10" operator="lessThan">
      <formula>9</formula>
    </cfRule>
  </conditionalFormatting>
  <conditionalFormatting sqref="L270 L278 L280 L282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Z270">
    <cfRule type="cellIs" dxfId="6" priority="7" operator="lessThan">
      <formula>9</formula>
    </cfRule>
  </conditionalFormatting>
  <conditionalFormatting sqref="L294 L304">
    <cfRule type="cellIs" dxfId="5" priority="5" operator="lessThanOrEqual">
      <formula>0</formula>
    </cfRule>
    <cfRule type="cellIs" dxfId="4" priority="6" operator="lessThanOrEqual">
      <formula>5</formula>
    </cfRule>
  </conditionalFormatting>
  <conditionalFormatting sqref="Z294">
    <cfRule type="cellIs" dxfId="3" priority="4" operator="lessThan">
      <formula>9</formula>
    </cfRule>
  </conditionalFormatting>
  <conditionalFormatting sqref="L312 L322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312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MAD18FAU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2019-11-13T09:09:32Z</dcterms:created>
  <dcterms:modified xsi:type="dcterms:W3CDTF">2019-11-27T15:28:06Z</dcterms:modified>
</cp:coreProperties>
</file>