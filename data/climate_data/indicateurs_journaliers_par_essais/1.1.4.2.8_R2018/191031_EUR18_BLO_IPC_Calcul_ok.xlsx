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climate_data\indicateurs_journaliers_par_essais\1.1.4.2.8_R2018\"/>
    </mc:Choice>
  </mc:AlternateContent>
  <xr:revisionPtr revIDLastSave="0" documentId="13_ncr:1_{9DC33780-9462-4713-8E89-6A93D6BFD5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+ exp" sheetId="3" r:id="rId1"/>
    <sheet name="N+" sheetId="1" r:id="rId2"/>
    <sheet name="N-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7" i="1" l="1"/>
  <c r="AB219" i="1"/>
  <c r="AC230" i="1"/>
  <c r="AC228" i="1"/>
  <c r="AC226" i="1"/>
  <c r="AC232" i="1" l="1"/>
  <c r="L315" i="2"/>
  <c r="L313" i="2"/>
  <c r="L311" i="2"/>
  <c r="L297" i="2"/>
  <c r="L295" i="2"/>
  <c r="L293" i="2"/>
  <c r="L274" i="2"/>
  <c r="L272" i="2"/>
  <c r="L270" i="2"/>
  <c r="L254" i="2"/>
  <c r="L252" i="2"/>
  <c r="L250" i="2"/>
  <c r="L224" i="2"/>
  <c r="L222" i="2"/>
  <c r="L220" i="2"/>
  <c r="Y330" i="2"/>
  <c r="Y308" i="2"/>
  <c r="Y290" i="2"/>
  <c r="K308" i="2"/>
  <c r="K290" i="2"/>
  <c r="Y267" i="2"/>
  <c r="R291" i="2"/>
  <c r="R292" i="2"/>
  <c r="R293" i="2"/>
  <c r="S293" i="2" s="1"/>
  <c r="T293" i="2" s="1"/>
  <c r="R294" i="2"/>
  <c r="R295" i="2"/>
  <c r="R296" i="2"/>
  <c r="S296" i="2" s="1"/>
  <c r="T296" i="2" s="1"/>
  <c r="R297" i="2"/>
  <c r="R298" i="2"/>
  <c r="S298" i="2" s="1"/>
  <c r="T298" i="2" s="1"/>
  <c r="R299" i="2"/>
  <c r="R300" i="2"/>
  <c r="R301" i="2"/>
  <c r="S301" i="2" s="1"/>
  <c r="T301" i="2" s="1"/>
  <c r="R302" i="2"/>
  <c r="R303" i="2"/>
  <c r="R304" i="2"/>
  <c r="S304" i="2" s="1"/>
  <c r="T304" i="2" s="1"/>
  <c r="R305" i="2"/>
  <c r="R306" i="2"/>
  <c r="S306" i="2" s="1"/>
  <c r="T306" i="2" s="1"/>
  <c r="R307" i="2"/>
  <c r="R308" i="2"/>
  <c r="R309" i="2"/>
  <c r="S309" i="2" s="1"/>
  <c r="T309" i="2" s="1"/>
  <c r="R310" i="2"/>
  <c r="R311" i="2"/>
  <c r="R312" i="2"/>
  <c r="S312" i="2" s="1"/>
  <c r="T312" i="2" s="1"/>
  <c r="R313" i="2"/>
  <c r="R314" i="2"/>
  <c r="S314" i="2" s="1"/>
  <c r="T314" i="2" s="1"/>
  <c r="R315" i="2"/>
  <c r="R316" i="2"/>
  <c r="R317" i="2"/>
  <c r="S317" i="2" s="1"/>
  <c r="T317" i="2" s="1"/>
  <c r="R318" i="2"/>
  <c r="R319" i="2"/>
  <c r="R320" i="2"/>
  <c r="S320" i="2" s="1"/>
  <c r="T320" i="2" s="1"/>
  <c r="R321" i="2"/>
  <c r="R322" i="2"/>
  <c r="S322" i="2" s="1"/>
  <c r="T322" i="2" s="1"/>
  <c r="R323" i="2"/>
  <c r="R324" i="2"/>
  <c r="R325" i="2"/>
  <c r="S325" i="2" s="1"/>
  <c r="T325" i="2" s="1"/>
  <c r="R326" i="2"/>
  <c r="R327" i="2"/>
  <c r="R328" i="2"/>
  <c r="R329" i="2"/>
  <c r="R330" i="2"/>
  <c r="R331" i="2"/>
  <c r="R332" i="2"/>
  <c r="R333" i="2"/>
  <c r="S333" i="2" s="1"/>
  <c r="T333" i="2" s="1"/>
  <c r="R334" i="2"/>
  <c r="R335" i="2"/>
  <c r="R336" i="2"/>
  <c r="S336" i="2" s="1"/>
  <c r="T336" i="2" s="1"/>
  <c r="R337" i="2"/>
  <c r="R338" i="2"/>
  <c r="S338" i="2" s="1"/>
  <c r="T338" i="2" s="1"/>
  <c r="R339" i="2"/>
  <c r="S339" i="2" s="1"/>
  <c r="T339" i="2" s="1"/>
  <c r="R340" i="2"/>
  <c r="R341" i="2"/>
  <c r="S341" i="2" s="1"/>
  <c r="T341" i="2" s="1"/>
  <c r="R342" i="2"/>
  <c r="R343" i="2"/>
  <c r="S343" i="2" s="1"/>
  <c r="T343" i="2" s="1"/>
  <c r="R290" i="2"/>
  <c r="S290" i="2" s="1"/>
  <c r="T290" i="2" s="1"/>
  <c r="K267" i="2"/>
  <c r="Y246" i="2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R218" i="2"/>
  <c r="S218" i="2" s="1"/>
  <c r="T218" i="2" s="1"/>
  <c r="R219" i="2"/>
  <c r="R220" i="2"/>
  <c r="S220" i="2" s="1"/>
  <c r="T220" i="2" s="1"/>
  <c r="R221" i="2"/>
  <c r="R222" i="2"/>
  <c r="R223" i="2"/>
  <c r="S223" i="2" s="1"/>
  <c r="T223" i="2" s="1"/>
  <c r="R224" i="2"/>
  <c r="R225" i="2"/>
  <c r="S225" i="2" s="1"/>
  <c r="T225" i="2" s="1"/>
  <c r="R226" i="2"/>
  <c r="S226" i="2" s="1"/>
  <c r="T226" i="2" s="1"/>
  <c r="R227" i="2"/>
  <c r="R228" i="2"/>
  <c r="S228" i="2" s="1"/>
  <c r="T228" i="2" s="1"/>
  <c r="R229" i="2"/>
  <c r="R230" i="2"/>
  <c r="R231" i="2"/>
  <c r="S231" i="2" s="1"/>
  <c r="T231" i="2" s="1"/>
  <c r="R232" i="2"/>
  <c r="R233" i="2"/>
  <c r="S233" i="2" s="1"/>
  <c r="T233" i="2" s="1"/>
  <c r="R234" i="2"/>
  <c r="S234" i="2" s="1"/>
  <c r="T234" i="2" s="1"/>
  <c r="R235" i="2"/>
  <c r="R236" i="2"/>
  <c r="S236" i="2" s="1"/>
  <c r="T236" i="2" s="1"/>
  <c r="R237" i="2"/>
  <c r="S237" i="2" s="1"/>
  <c r="T237" i="2" s="1"/>
  <c r="R238" i="2"/>
  <c r="R239" i="2"/>
  <c r="S239" i="2" s="1"/>
  <c r="T239" i="2" s="1"/>
  <c r="R240" i="2"/>
  <c r="R241" i="2"/>
  <c r="S241" i="2" s="1"/>
  <c r="T241" i="2" s="1"/>
  <c r="R242" i="2"/>
  <c r="S242" i="2" s="1"/>
  <c r="T242" i="2" s="1"/>
  <c r="R243" i="2"/>
  <c r="R244" i="2"/>
  <c r="S244" i="2" s="1"/>
  <c r="T244" i="2" s="1"/>
  <c r="R245" i="2"/>
  <c r="S245" i="2" s="1"/>
  <c r="T245" i="2" s="1"/>
  <c r="R217" i="2"/>
  <c r="K246" i="2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S367" i="2"/>
  <c r="T367" i="2" s="1"/>
  <c r="O367" i="2"/>
  <c r="S366" i="2"/>
  <c r="T366" i="2" s="1"/>
  <c r="O366" i="2"/>
  <c r="S365" i="2"/>
  <c r="T365" i="2" s="1"/>
  <c r="O365" i="2"/>
  <c r="S364" i="2"/>
  <c r="T364" i="2" s="1"/>
  <c r="O364" i="2"/>
  <c r="S363" i="2"/>
  <c r="T363" i="2" s="1"/>
  <c r="O363" i="2"/>
  <c r="S362" i="2"/>
  <c r="T362" i="2" s="1"/>
  <c r="O362" i="2"/>
  <c r="S361" i="2"/>
  <c r="T361" i="2" s="1"/>
  <c r="O361" i="2"/>
  <c r="S360" i="2"/>
  <c r="T360" i="2" s="1"/>
  <c r="O360" i="2"/>
  <c r="S359" i="2"/>
  <c r="T359" i="2" s="1"/>
  <c r="O359" i="2"/>
  <c r="T358" i="2"/>
  <c r="S358" i="2"/>
  <c r="O358" i="2"/>
  <c r="S357" i="2"/>
  <c r="T357" i="2" s="1"/>
  <c r="O357" i="2"/>
  <c r="S356" i="2"/>
  <c r="T356" i="2" s="1"/>
  <c r="O356" i="2"/>
  <c r="S355" i="2"/>
  <c r="T355" i="2" s="1"/>
  <c r="O355" i="2"/>
  <c r="S354" i="2"/>
  <c r="T354" i="2" s="1"/>
  <c r="O354" i="2"/>
  <c r="S353" i="2"/>
  <c r="T353" i="2" s="1"/>
  <c r="O353" i="2"/>
  <c r="S352" i="2"/>
  <c r="T352" i="2" s="1"/>
  <c r="O352" i="2"/>
  <c r="T351" i="2"/>
  <c r="S351" i="2"/>
  <c r="O351" i="2"/>
  <c r="T350" i="2"/>
  <c r="S350" i="2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S345" i="2"/>
  <c r="T345" i="2" s="1"/>
  <c r="O345" i="2"/>
  <c r="S344" i="2"/>
  <c r="T344" i="2" s="1"/>
  <c r="O344" i="2"/>
  <c r="O343" i="2"/>
  <c r="S342" i="2"/>
  <c r="T342" i="2" s="1"/>
  <c r="O342" i="2"/>
  <c r="O341" i="2"/>
  <c r="S340" i="2"/>
  <c r="T340" i="2" s="1"/>
  <c r="O340" i="2"/>
  <c r="O339" i="2"/>
  <c r="O338" i="2"/>
  <c r="S337" i="2"/>
  <c r="T337" i="2" s="1"/>
  <c r="O337" i="2"/>
  <c r="O336" i="2"/>
  <c r="S335" i="2"/>
  <c r="T335" i="2" s="1"/>
  <c r="O335" i="2"/>
  <c r="S334" i="2"/>
  <c r="T334" i="2" s="1"/>
  <c r="O334" i="2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T327" i="2"/>
  <c r="S327" i="2"/>
  <c r="O327" i="2"/>
  <c r="S326" i="2"/>
  <c r="T326" i="2" s="1"/>
  <c r="O326" i="2"/>
  <c r="O325" i="2"/>
  <c r="S324" i="2"/>
  <c r="T324" i="2" s="1"/>
  <c r="O324" i="2"/>
  <c r="S323" i="2"/>
  <c r="T323" i="2" s="1"/>
  <c r="O323" i="2"/>
  <c r="O322" i="2"/>
  <c r="S321" i="2"/>
  <c r="T321" i="2" s="1"/>
  <c r="O321" i="2"/>
  <c r="O320" i="2"/>
  <c r="S319" i="2"/>
  <c r="T319" i="2" s="1"/>
  <c r="O319" i="2"/>
  <c r="S318" i="2"/>
  <c r="T318" i="2" s="1"/>
  <c r="O318" i="2"/>
  <c r="O317" i="2"/>
  <c r="S316" i="2"/>
  <c r="T316" i="2" s="1"/>
  <c r="O316" i="2"/>
  <c r="S315" i="2"/>
  <c r="T315" i="2" s="1"/>
  <c r="O315" i="2"/>
  <c r="O314" i="2"/>
  <c r="AA311" i="2"/>
  <c r="S313" i="2"/>
  <c r="T313" i="2" s="1"/>
  <c r="O313" i="2"/>
  <c r="O312" i="2"/>
  <c r="S311" i="2"/>
  <c r="T311" i="2" s="1"/>
  <c r="O311" i="2"/>
  <c r="S310" i="2"/>
  <c r="T310" i="2" s="1"/>
  <c r="O310" i="2"/>
  <c r="O309" i="2"/>
  <c r="S308" i="2"/>
  <c r="T308" i="2" s="1"/>
  <c r="O308" i="2"/>
  <c r="S307" i="2"/>
  <c r="T307" i="2" s="1"/>
  <c r="O307" i="2"/>
  <c r="O306" i="2"/>
  <c r="S305" i="2"/>
  <c r="T305" i="2" s="1"/>
  <c r="O305" i="2"/>
  <c r="O304" i="2"/>
  <c r="S303" i="2"/>
  <c r="T303" i="2" s="1"/>
  <c r="O303" i="2"/>
  <c r="S302" i="2"/>
  <c r="T302" i="2" s="1"/>
  <c r="O302" i="2"/>
  <c r="O301" i="2"/>
  <c r="S300" i="2"/>
  <c r="T300" i="2" s="1"/>
  <c r="O300" i="2"/>
  <c r="S299" i="2"/>
  <c r="T299" i="2" s="1"/>
  <c r="O299" i="2"/>
  <c r="O298" i="2"/>
  <c r="S297" i="2"/>
  <c r="T297" i="2" s="1"/>
  <c r="O297" i="2"/>
  <c r="O296" i="2"/>
  <c r="AA293" i="2"/>
  <c r="S295" i="2"/>
  <c r="T295" i="2" s="1"/>
  <c r="O295" i="2"/>
  <c r="S294" i="2"/>
  <c r="T294" i="2" s="1"/>
  <c r="O294" i="2"/>
  <c r="O293" i="2"/>
  <c r="S292" i="2"/>
  <c r="T292" i="2" s="1"/>
  <c r="O292" i="2"/>
  <c r="S291" i="2"/>
  <c r="T291" i="2" s="1"/>
  <c r="O291" i="2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S284" i="2"/>
  <c r="T284" i="2" s="1"/>
  <c r="O284" i="2"/>
  <c r="S283" i="2"/>
  <c r="T283" i="2" s="1"/>
  <c r="O283" i="2"/>
  <c r="S282" i="2"/>
  <c r="T282" i="2" s="1"/>
  <c r="O282" i="2"/>
  <c r="S281" i="2"/>
  <c r="T281" i="2" s="1"/>
  <c r="O281" i="2"/>
  <c r="S280" i="2"/>
  <c r="T280" i="2" s="1"/>
  <c r="O280" i="2"/>
  <c r="S279" i="2"/>
  <c r="T279" i="2" s="1"/>
  <c r="O279" i="2"/>
  <c r="S278" i="2"/>
  <c r="T278" i="2" s="1"/>
  <c r="O278" i="2"/>
  <c r="S277" i="2"/>
  <c r="T277" i="2" s="1"/>
  <c r="O277" i="2"/>
  <c r="S276" i="2"/>
  <c r="T276" i="2" s="1"/>
  <c r="O276" i="2"/>
  <c r="S275" i="2"/>
  <c r="T275" i="2" s="1"/>
  <c r="O275" i="2"/>
  <c r="T274" i="2"/>
  <c r="S274" i="2"/>
  <c r="O274" i="2"/>
  <c r="S273" i="2"/>
  <c r="T273" i="2" s="1"/>
  <c r="O273" i="2"/>
  <c r="S272" i="2"/>
  <c r="T272" i="2" s="1"/>
  <c r="O272" i="2"/>
  <c r="AA270" i="2"/>
  <c r="S271" i="2"/>
  <c r="T271" i="2" s="1"/>
  <c r="O271" i="2"/>
  <c r="S270" i="2"/>
  <c r="T270" i="2" s="1"/>
  <c r="O270" i="2"/>
  <c r="S269" i="2"/>
  <c r="T269" i="2" s="1"/>
  <c r="O269" i="2"/>
  <c r="S268" i="2"/>
  <c r="T268" i="2" s="1"/>
  <c r="O268" i="2"/>
  <c r="S267" i="2"/>
  <c r="T267" i="2" s="1"/>
  <c r="O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S258" i="2"/>
  <c r="T258" i="2" s="1"/>
  <c r="O258" i="2"/>
  <c r="T257" i="2"/>
  <c r="S257" i="2"/>
  <c r="O257" i="2"/>
  <c r="S256" i="2"/>
  <c r="T256" i="2" s="1"/>
  <c r="O256" i="2"/>
  <c r="S255" i="2"/>
  <c r="T255" i="2" s="1"/>
  <c r="O255" i="2"/>
  <c r="S254" i="2"/>
  <c r="T254" i="2" s="1"/>
  <c r="O254" i="2"/>
  <c r="T253" i="2"/>
  <c r="S253" i="2"/>
  <c r="O253" i="2"/>
  <c r="S252" i="2"/>
  <c r="T252" i="2" s="1"/>
  <c r="O252" i="2"/>
  <c r="T251" i="2"/>
  <c r="S251" i="2"/>
  <c r="O251" i="2"/>
  <c r="AA249" i="2"/>
  <c r="S250" i="2"/>
  <c r="T250" i="2" s="1"/>
  <c r="O250" i="2"/>
  <c r="S249" i="2"/>
  <c r="T249" i="2" s="1"/>
  <c r="O249" i="2"/>
  <c r="S248" i="2"/>
  <c r="T248" i="2" s="1"/>
  <c r="O248" i="2"/>
  <c r="S247" i="2"/>
  <c r="T247" i="2" s="1"/>
  <c r="O247" i="2"/>
  <c r="R246" i="2"/>
  <c r="S246" i="2" s="1"/>
  <c r="T246" i="2" s="1"/>
  <c r="O246" i="2"/>
  <c r="O245" i="2"/>
  <c r="O244" i="2"/>
  <c r="S243" i="2"/>
  <c r="T243" i="2" s="1"/>
  <c r="O243" i="2"/>
  <c r="O242" i="2"/>
  <c r="O241" i="2"/>
  <c r="S240" i="2"/>
  <c r="T240" i="2" s="1"/>
  <c r="O240" i="2"/>
  <c r="O239" i="2"/>
  <c r="S238" i="2"/>
  <c r="T238" i="2" s="1"/>
  <c r="O238" i="2"/>
  <c r="O237" i="2"/>
  <c r="O236" i="2"/>
  <c r="S235" i="2"/>
  <c r="T235" i="2" s="1"/>
  <c r="O235" i="2"/>
  <c r="O234" i="2"/>
  <c r="O233" i="2"/>
  <c r="S232" i="2"/>
  <c r="T232" i="2" s="1"/>
  <c r="O232" i="2"/>
  <c r="O231" i="2"/>
  <c r="S230" i="2"/>
  <c r="T230" i="2" s="1"/>
  <c r="O230" i="2"/>
  <c r="S229" i="2"/>
  <c r="T229" i="2" s="1"/>
  <c r="O229" i="2"/>
  <c r="O228" i="2"/>
  <c r="S227" i="2"/>
  <c r="T227" i="2" s="1"/>
  <c r="O227" i="2"/>
  <c r="O226" i="2"/>
  <c r="O225" i="2"/>
  <c r="S224" i="2"/>
  <c r="T224" i="2" s="1"/>
  <c r="O224" i="2"/>
  <c r="O223" i="2"/>
  <c r="S222" i="2"/>
  <c r="T222" i="2" s="1"/>
  <c r="O222" i="2"/>
  <c r="S221" i="2"/>
  <c r="T221" i="2" s="1"/>
  <c r="O221" i="2"/>
  <c r="AA220" i="2"/>
  <c r="O220" i="2"/>
  <c r="Y219" i="2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S219" i="2"/>
  <c r="T219" i="2" s="1"/>
  <c r="O219" i="2"/>
  <c r="O218" i="2"/>
  <c r="Y217" i="2"/>
  <c r="Y218" i="2" s="1"/>
  <c r="S217" i="2"/>
  <c r="T217" i="2" s="1"/>
  <c r="O217" i="2"/>
  <c r="K217" i="2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S216" i="2"/>
  <c r="T216" i="2" s="1"/>
  <c r="O216" i="2"/>
  <c r="S215" i="2"/>
  <c r="T215" i="2" s="1"/>
  <c r="O215" i="2"/>
  <c r="K215" i="2"/>
  <c r="K216" i="2" s="1"/>
  <c r="J215" i="2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S214" i="2"/>
  <c r="T214" i="2" s="1"/>
  <c r="O214" i="2"/>
  <c r="T213" i="2"/>
  <c r="S213" i="2"/>
  <c r="O213" i="2"/>
  <c r="T212" i="2"/>
  <c r="S212" i="2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K197" i="2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J197" i="2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S190" i="2"/>
  <c r="T190" i="2" s="1"/>
  <c r="O190" i="2"/>
  <c r="S189" i="2"/>
  <c r="T189" i="2" s="1"/>
  <c r="O189" i="2"/>
  <c r="S188" i="2"/>
  <c r="T188" i="2" s="1"/>
  <c r="O188" i="2"/>
  <c r="S187" i="2"/>
  <c r="T187" i="2" s="1"/>
  <c r="O187" i="2"/>
  <c r="S186" i="2"/>
  <c r="T186" i="2" s="1"/>
  <c r="O186" i="2"/>
  <c r="S185" i="2"/>
  <c r="T185" i="2" s="1"/>
  <c r="O185" i="2"/>
  <c r="S184" i="2"/>
  <c r="T184" i="2" s="1"/>
  <c r="O184" i="2"/>
  <c r="S183" i="2"/>
  <c r="T183" i="2" s="1"/>
  <c r="O183" i="2"/>
  <c r="S182" i="2"/>
  <c r="T182" i="2" s="1"/>
  <c r="O182" i="2"/>
  <c r="S181" i="2"/>
  <c r="T181" i="2" s="1"/>
  <c r="O181" i="2"/>
  <c r="T180" i="2"/>
  <c r="S180" i="2"/>
  <c r="O180" i="2"/>
  <c r="S179" i="2"/>
  <c r="T179" i="2" s="1"/>
  <c r="O179" i="2"/>
  <c r="S178" i="2"/>
  <c r="T178" i="2" s="1"/>
  <c r="O178" i="2"/>
  <c r="S177" i="2"/>
  <c r="T177" i="2" s="1"/>
  <c r="O177" i="2"/>
  <c r="T176" i="2"/>
  <c r="S176" i="2"/>
  <c r="O176" i="2"/>
  <c r="S175" i="2"/>
  <c r="T175" i="2" s="1"/>
  <c r="O175" i="2"/>
  <c r="S174" i="2"/>
  <c r="T174" i="2" s="1"/>
  <c r="O174" i="2"/>
  <c r="S173" i="2"/>
  <c r="T173" i="2" s="1"/>
  <c r="O173" i="2"/>
  <c r="S172" i="2"/>
  <c r="T172" i="2" s="1"/>
  <c r="O172" i="2"/>
  <c r="S171" i="2"/>
  <c r="T171" i="2" s="1"/>
  <c r="O171" i="2"/>
  <c r="S170" i="2"/>
  <c r="T170" i="2" s="1"/>
  <c r="O170" i="2"/>
  <c r="S169" i="2"/>
  <c r="T169" i="2" s="1"/>
  <c r="O169" i="2"/>
  <c r="T168" i="2"/>
  <c r="S168" i="2"/>
  <c r="O168" i="2"/>
  <c r="S167" i="2"/>
  <c r="T167" i="2" s="1"/>
  <c r="O167" i="2"/>
  <c r="S166" i="2"/>
  <c r="T166" i="2" s="1"/>
  <c r="O166" i="2"/>
  <c r="S165" i="2"/>
  <c r="T165" i="2" s="1"/>
  <c r="O165" i="2"/>
  <c r="S164" i="2"/>
  <c r="T164" i="2" s="1"/>
  <c r="O164" i="2"/>
  <c r="T163" i="2"/>
  <c r="S163" i="2"/>
  <c r="O163" i="2"/>
  <c r="S162" i="2"/>
  <c r="T162" i="2" s="1"/>
  <c r="O162" i="2"/>
  <c r="S161" i="2"/>
  <c r="T161" i="2" s="1"/>
  <c r="O161" i="2"/>
  <c r="S160" i="2"/>
  <c r="T160" i="2" s="1"/>
  <c r="O160" i="2"/>
  <c r="S159" i="2"/>
  <c r="T159" i="2" s="1"/>
  <c r="O159" i="2"/>
  <c r="S158" i="2"/>
  <c r="T158" i="2" s="1"/>
  <c r="O158" i="2"/>
  <c r="S157" i="2"/>
  <c r="T157" i="2" s="1"/>
  <c r="O157" i="2"/>
  <c r="T156" i="2"/>
  <c r="S156" i="2"/>
  <c r="O156" i="2"/>
  <c r="T155" i="2"/>
  <c r="S155" i="2"/>
  <c r="O155" i="2"/>
  <c r="S154" i="2"/>
  <c r="T154" i="2" s="1"/>
  <c r="O154" i="2"/>
  <c r="S153" i="2"/>
  <c r="T153" i="2" s="1"/>
  <c r="O153" i="2"/>
  <c r="S152" i="2"/>
  <c r="T152" i="2" s="1"/>
  <c r="O152" i="2"/>
  <c r="S151" i="2"/>
  <c r="T151" i="2" s="1"/>
  <c r="O151" i="2"/>
  <c r="S150" i="2"/>
  <c r="T150" i="2" s="1"/>
  <c r="O150" i="2"/>
  <c r="S149" i="2"/>
  <c r="T149" i="2" s="1"/>
  <c r="O149" i="2"/>
  <c r="T148" i="2"/>
  <c r="S148" i="2"/>
  <c r="O148" i="2"/>
  <c r="T147" i="2"/>
  <c r="S147" i="2"/>
  <c r="O147" i="2"/>
  <c r="S146" i="2"/>
  <c r="T146" i="2" s="1"/>
  <c r="O146" i="2"/>
  <c r="S145" i="2"/>
  <c r="T145" i="2" s="1"/>
  <c r="O145" i="2"/>
  <c r="S144" i="2"/>
  <c r="T144" i="2" s="1"/>
  <c r="O144" i="2"/>
  <c r="S143" i="2"/>
  <c r="T143" i="2" s="1"/>
  <c r="O143" i="2"/>
  <c r="S142" i="2"/>
  <c r="T142" i="2" s="1"/>
  <c r="O142" i="2"/>
  <c r="S141" i="2"/>
  <c r="T141" i="2" s="1"/>
  <c r="O141" i="2"/>
  <c r="S140" i="2"/>
  <c r="T140" i="2" s="1"/>
  <c r="O140" i="2"/>
  <c r="T139" i="2"/>
  <c r="S139" i="2"/>
  <c r="O139" i="2"/>
  <c r="S138" i="2"/>
  <c r="T138" i="2" s="1"/>
  <c r="O138" i="2"/>
  <c r="S137" i="2"/>
  <c r="T137" i="2" s="1"/>
  <c r="O137" i="2"/>
  <c r="S136" i="2"/>
  <c r="T136" i="2" s="1"/>
  <c r="O136" i="2"/>
  <c r="S135" i="2"/>
  <c r="T135" i="2" s="1"/>
  <c r="O135" i="2"/>
  <c r="S134" i="2"/>
  <c r="T134" i="2" s="1"/>
  <c r="O134" i="2"/>
  <c r="S133" i="2"/>
  <c r="T133" i="2" s="1"/>
  <c r="O133" i="2"/>
  <c r="S132" i="2"/>
  <c r="T132" i="2" s="1"/>
  <c r="O132" i="2"/>
  <c r="S131" i="2"/>
  <c r="T131" i="2" s="1"/>
  <c r="O131" i="2"/>
  <c r="S130" i="2"/>
  <c r="T130" i="2" s="1"/>
  <c r="O130" i="2"/>
  <c r="L130" i="2"/>
  <c r="S129" i="2"/>
  <c r="T129" i="2" s="1"/>
  <c r="O129" i="2"/>
  <c r="S128" i="2"/>
  <c r="T128" i="2" s="1"/>
  <c r="O128" i="2"/>
  <c r="L128" i="2"/>
  <c r="S127" i="2"/>
  <c r="T127" i="2" s="1"/>
  <c r="O127" i="2"/>
  <c r="K127" i="2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J127" i="2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AA126" i="2"/>
  <c r="S126" i="2"/>
  <c r="T126" i="2" s="1"/>
  <c r="O126" i="2"/>
  <c r="L126" i="2"/>
  <c r="T125" i="2"/>
  <c r="S125" i="2"/>
  <c r="O125" i="2"/>
  <c r="T124" i="2"/>
  <c r="S124" i="2"/>
  <c r="O124" i="2"/>
  <c r="Y123" i="2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S123" i="2"/>
  <c r="T123" i="2" s="1"/>
  <c r="O123" i="2"/>
  <c r="K123" i="2"/>
  <c r="K124" i="2" s="1"/>
  <c r="K125" i="2" s="1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R110" i="2"/>
  <c r="S110" i="2" s="1"/>
  <c r="T110" i="2" s="1"/>
  <c r="O110" i="2"/>
  <c r="R109" i="2"/>
  <c r="S109" i="2" s="1"/>
  <c r="T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S105" i="2"/>
  <c r="T105" i="2" s="1"/>
  <c r="R105" i="2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S97" i="2"/>
  <c r="T97" i="2" s="1"/>
  <c r="R97" i="2"/>
  <c r="O97" i="2"/>
  <c r="R96" i="2"/>
  <c r="S96" i="2" s="1"/>
  <c r="T96" i="2" s="1"/>
  <c r="O96" i="2"/>
  <c r="S95" i="2"/>
  <c r="T95" i="2" s="1"/>
  <c r="R95" i="2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S88" i="2"/>
  <c r="T88" i="2" s="1"/>
  <c r="R88" i="2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T83" i="2"/>
  <c r="R83" i="2"/>
  <c r="S83" i="2" s="1"/>
  <c r="O83" i="2"/>
  <c r="R82" i="2"/>
  <c r="S82" i="2" s="1"/>
  <c r="T82" i="2" s="1"/>
  <c r="O82" i="2"/>
  <c r="R81" i="2"/>
  <c r="S81" i="2" s="1"/>
  <c r="T81" i="2" s="1"/>
  <c r="O81" i="2"/>
  <c r="S80" i="2"/>
  <c r="T80" i="2" s="1"/>
  <c r="R80" i="2"/>
  <c r="O80" i="2"/>
  <c r="R79" i="2"/>
  <c r="S79" i="2" s="1"/>
  <c r="T79" i="2" s="1"/>
  <c r="O79" i="2"/>
  <c r="R78" i="2"/>
  <c r="S78" i="2" s="1"/>
  <c r="T78" i="2" s="1"/>
  <c r="O78" i="2"/>
  <c r="R77" i="2"/>
  <c r="S77" i="2" s="1"/>
  <c r="T77" i="2" s="1"/>
  <c r="O77" i="2"/>
  <c r="R76" i="2"/>
  <c r="S76" i="2" s="1"/>
  <c r="T76" i="2" s="1"/>
  <c r="O76" i="2"/>
  <c r="R75" i="2"/>
  <c r="S75" i="2" s="1"/>
  <c r="T75" i="2" s="1"/>
  <c r="O75" i="2"/>
  <c r="R74" i="2"/>
  <c r="S74" i="2" s="1"/>
  <c r="T74" i="2" s="1"/>
  <c r="O74" i="2"/>
  <c r="R73" i="2"/>
  <c r="S73" i="2" s="1"/>
  <c r="T73" i="2" s="1"/>
  <c r="O73" i="2"/>
  <c r="R72" i="2"/>
  <c r="S72" i="2" s="1"/>
  <c r="T72" i="2" s="1"/>
  <c r="O72" i="2"/>
  <c r="T71" i="2"/>
  <c r="R71" i="2"/>
  <c r="S71" i="2" s="1"/>
  <c r="O71" i="2"/>
  <c r="R70" i="2"/>
  <c r="S70" i="2" s="1"/>
  <c r="T70" i="2" s="1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O67" i="2"/>
  <c r="R66" i="2"/>
  <c r="S66" i="2" s="1"/>
  <c r="T66" i="2" s="1"/>
  <c r="O66" i="2"/>
  <c r="R65" i="2"/>
  <c r="S65" i="2" s="1"/>
  <c r="T65" i="2" s="1"/>
  <c r="O65" i="2"/>
  <c r="R64" i="2"/>
  <c r="S64" i="2" s="1"/>
  <c r="T64" i="2" s="1"/>
  <c r="O64" i="2"/>
  <c r="R63" i="2"/>
  <c r="S63" i="2" s="1"/>
  <c r="T63" i="2" s="1"/>
  <c r="O63" i="2"/>
  <c r="R62" i="2"/>
  <c r="S62" i="2" s="1"/>
  <c r="T62" i="2" s="1"/>
  <c r="O62" i="2"/>
  <c r="R61" i="2"/>
  <c r="S61" i="2" s="1"/>
  <c r="T61" i="2" s="1"/>
  <c r="O61" i="2"/>
  <c r="R60" i="2"/>
  <c r="S60" i="2" s="1"/>
  <c r="T60" i="2" s="1"/>
  <c r="O60" i="2"/>
  <c r="R59" i="2"/>
  <c r="S59" i="2" s="1"/>
  <c r="T59" i="2" s="1"/>
  <c r="O59" i="2"/>
  <c r="R58" i="2"/>
  <c r="S58" i="2" s="1"/>
  <c r="T58" i="2" s="1"/>
  <c r="O58" i="2"/>
  <c r="R57" i="2"/>
  <c r="S57" i="2" s="1"/>
  <c r="T57" i="2" s="1"/>
  <c r="O57" i="2"/>
  <c r="R56" i="2"/>
  <c r="S56" i="2" s="1"/>
  <c r="T56" i="2" s="1"/>
  <c r="O56" i="2"/>
  <c r="R55" i="2"/>
  <c r="S55" i="2" s="1"/>
  <c r="T55" i="2" s="1"/>
  <c r="O55" i="2"/>
  <c r="S54" i="2"/>
  <c r="T54" i="2" s="1"/>
  <c r="R54" i="2"/>
  <c r="O54" i="2"/>
  <c r="R53" i="2"/>
  <c r="S53" i="2" s="1"/>
  <c r="T53" i="2" s="1"/>
  <c r="O53" i="2"/>
  <c r="R52" i="2"/>
  <c r="S52" i="2" s="1"/>
  <c r="T52" i="2" s="1"/>
  <c r="O52" i="2"/>
  <c r="R51" i="2"/>
  <c r="S51" i="2" s="1"/>
  <c r="T51" i="2" s="1"/>
  <c r="O51" i="2"/>
  <c r="R50" i="2"/>
  <c r="S50" i="2" s="1"/>
  <c r="T50" i="2" s="1"/>
  <c r="O50" i="2"/>
  <c r="R49" i="2"/>
  <c r="S49" i="2" s="1"/>
  <c r="T49" i="2" s="1"/>
  <c r="O49" i="2"/>
  <c r="R48" i="2"/>
  <c r="S48" i="2" s="1"/>
  <c r="T48" i="2" s="1"/>
  <c r="O48" i="2"/>
  <c r="R47" i="2"/>
  <c r="S47" i="2" s="1"/>
  <c r="T47" i="2" s="1"/>
  <c r="O47" i="2"/>
  <c r="R46" i="2"/>
  <c r="S46" i="2" s="1"/>
  <c r="T46" i="2" s="1"/>
  <c r="O46" i="2"/>
  <c r="R45" i="2"/>
  <c r="S45" i="2" s="1"/>
  <c r="T45" i="2" s="1"/>
  <c r="O45" i="2"/>
  <c r="R44" i="2"/>
  <c r="S44" i="2" s="1"/>
  <c r="T44" i="2" s="1"/>
  <c r="O44" i="2"/>
  <c r="R43" i="2"/>
  <c r="S43" i="2" s="1"/>
  <c r="T43" i="2" s="1"/>
  <c r="O43" i="2"/>
  <c r="R42" i="2"/>
  <c r="S42" i="2" s="1"/>
  <c r="T42" i="2" s="1"/>
  <c r="O42" i="2"/>
  <c r="R41" i="2"/>
  <c r="S41" i="2" s="1"/>
  <c r="T41" i="2" s="1"/>
  <c r="U41" i="2" s="1"/>
  <c r="O41" i="2"/>
  <c r="R40" i="2"/>
  <c r="S40" i="2" s="1"/>
  <c r="T40" i="2" s="1"/>
  <c r="O40" i="2"/>
  <c r="L40" i="2"/>
  <c r="R39" i="2"/>
  <c r="S39" i="2" s="1"/>
  <c r="T39" i="2" s="1"/>
  <c r="O39" i="2"/>
  <c r="R38" i="2"/>
  <c r="S38" i="2" s="1"/>
  <c r="T38" i="2" s="1"/>
  <c r="O38" i="2"/>
  <c r="L38" i="2"/>
  <c r="S37" i="2"/>
  <c r="T37" i="2" s="1"/>
  <c r="O37" i="2"/>
  <c r="AA36" i="2"/>
  <c r="T36" i="2"/>
  <c r="S36" i="2"/>
  <c r="O36" i="2"/>
  <c r="L36" i="2"/>
  <c r="S35" i="2"/>
  <c r="T35" i="2" s="1"/>
  <c r="O35" i="2"/>
  <c r="S34" i="2"/>
  <c r="T34" i="2" s="1"/>
  <c r="O34" i="2"/>
  <c r="Y33" i="2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X33" i="2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S33" i="2"/>
  <c r="T33" i="2" s="1"/>
  <c r="O33" i="2"/>
  <c r="K33" i="2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J33" i="2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S32" i="2"/>
  <c r="T32" i="2" s="1"/>
  <c r="O32" i="2"/>
  <c r="P32" i="2" s="1"/>
  <c r="U33" i="2" s="1"/>
  <c r="S31" i="2"/>
  <c r="T31" i="2" s="1"/>
  <c r="O31" i="2"/>
  <c r="S30" i="2"/>
  <c r="T30" i="2" s="1"/>
  <c r="O30" i="2"/>
  <c r="S29" i="2"/>
  <c r="T29" i="2" s="1"/>
  <c r="O29" i="2"/>
  <c r="S28" i="2"/>
  <c r="T28" i="2" s="1"/>
  <c r="O28" i="2"/>
  <c r="S27" i="2"/>
  <c r="T27" i="2" s="1"/>
  <c r="O27" i="2"/>
  <c r="S26" i="2"/>
  <c r="T26" i="2" s="1"/>
  <c r="O26" i="2"/>
  <c r="S25" i="2"/>
  <c r="T25" i="2" s="1"/>
  <c r="O25" i="2"/>
  <c r="S24" i="2"/>
  <c r="T24" i="2" s="1"/>
  <c r="O24" i="2"/>
  <c r="S23" i="2"/>
  <c r="T23" i="2" s="1"/>
  <c r="O23" i="2"/>
  <c r="S22" i="2"/>
  <c r="T22" i="2" s="1"/>
  <c r="O22" i="2"/>
  <c r="S21" i="2"/>
  <c r="T21" i="2" s="1"/>
  <c r="O21" i="2"/>
  <c r="S20" i="2"/>
  <c r="T20" i="2" s="1"/>
  <c r="O20" i="2"/>
  <c r="S19" i="2"/>
  <c r="T19" i="2" s="1"/>
  <c r="O19" i="2"/>
  <c r="S18" i="2"/>
  <c r="T18" i="2" s="1"/>
  <c r="O18" i="2"/>
  <c r="S17" i="2"/>
  <c r="T17" i="2" s="1"/>
  <c r="O17" i="2"/>
  <c r="S16" i="2"/>
  <c r="T16" i="2" s="1"/>
  <c r="O16" i="2"/>
  <c r="S15" i="2"/>
  <c r="T15" i="2" s="1"/>
  <c r="O15" i="2"/>
  <c r="S14" i="2"/>
  <c r="T14" i="2" s="1"/>
  <c r="O14" i="2"/>
  <c r="S13" i="2"/>
  <c r="T13" i="2" s="1"/>
  <c r="O13" i="2"/>
  <c r="S12" i="2"/>
  <c r="T12" i="2" s="1"/>
  <c r="O12" i="2"/>
  <c r="S11" i="2"/>
  <c r="T11" i="2" s="1"/>
  <c r="O11" i="2"/>
  <c r="S10" i="2"/>
  <c r="T10" i="2" s="1"/>
  <c r="O10" i="2"/>
  <c r="P10" i="2" s="1"/>
  <c r="S9" i="2"/>
  <c r="T9" i="2" s="1"/>
  <c r="O9" i="2"/>
  <c r="S8" i="2"/>
  <c r="T8" i="2" s="1"/>
  <c r="O8" i="2"/>
  <c r="S7" i="2"/>
  <c r="T7" i="2" s="1"/>
  <c r="O7" i="2"/>
  <c r="S6" i="2"/>
  <c r="T6" i="2" s="1"/>
  <c r="O6" i="2"/>
  <c r="S5" i="2"/>
  <c r="T5" i="2" s="1"/>
  <c r="O5" i="2"/>
  <c r="S4" i="2"/>
  <c r="T4" i="2" s="1"/>
  <c r="O4" i="2"/>
  <c r="R1" i="2"/>
  <c r="L317" i="1"/>
  <c r="L315" i="1"/>
  <c r="L313" i="1"/>
  <c r="L299" i="1"/>
  <c r="L297" i="1"/>
  <c r="L295" i="1"/>
  <c r="L275" i="1"/>
  <c r="L273" i="1"/>
  <c r="L271" i="1"/>
  <c r="L254" i="1"/>
  <c r="L252" i="1"/>
  <c r="L250" i="1"/>
  <c r="L224" i="1"/>
  <c r="L222" i="1"/>
  <c r="L220" i="1"/>
  <c r="L130" i="1"/>
  <c r="L128" i="1"/>
  <c r="L126" i="1"/>
  <c r="AA36" i="1"/>
  <c r="L40" i="1"/>
  <c r="L38" i="1"/>
  <c r="L36" i="1"/>
  <c r="AA313" i="1"/>
  <c r="AA295" i="1"/>
  <c r="AA271" i="1"/>
  <c r="AA250" i="1"/>
  <c r="AA220" i="1"/>
  <c r="AA126" i="1"/>
  <c r="P11" i="2" l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U42" i="2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K291" i="2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Y291" i="2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Y357" i="2" s="1"/>
  <c r="Y358" i="2" s="1"/>
  <c r="Y359" i="2" s="1"/>
  <c r="Y360" i="2" s="1"/>
  <c r="Y361" i="2" s="1"/>
  <c r="Y362" i="2" s="1"/>
  <c r="Y363" i="2" s="1"/>
  <c r="Y364" i="2" s="1"/>
  <c r="Y365" i="2" s="1"/>
  <c r="Y366" i="2" s="1"/>
  <c r="Y367" i="2" s="1"/>
  <c r="U34" i="2"/>
  <c r="U35" i="2" s="1"/>
  <c r="U36" i="2" s="1"/>
  <c r="U37" i="2" s="1"/>
  <c r="U38" i="2" s="1"/>
  <c r="U39" i="2" s="1"/>
  <c r="Y310" i="1"/>
  <c r="Y292" i="1"/>
  <c r="Y268" i="1"/>
  <c r="Y247" i="1"/>
  <c r="Y217" i="1"/>
  <c r="Y123" i="1"/>
  <c r="R293" i="1"/>
  <c r="R294" i="1"/>
  <c r="S294" i="1" s="1"/>
  <c r="T294" i="1" s="1"/>
  <c r="R295" i="1"/>
  <c r="S295" i="1" s="1"/>
  <c r="T295" i="1" s="1"/>
  <c r="R296" i="1"/>
  <c r="S296" i="1" s="1"/>
  <c r="T296" i="1" s="1"/>
  <c r="R297" i="1"/>
  <c r="R298" i="1"/>
  <c r="R299" i="1"/>
  <c r="S299" i="1" s="1"/>
  <c r="T299" i="1" s="1"/>
  <c r="R300" i="1"/>
  <c r="S300" i="1" s="1"/>
  <c r="T300" i="1" s="1"/>
  <c r="R301" i="1"/>
  <c r="R302" i="1"/>
  <c r="S302" i="1" s="1"/>
  <c r="T302" i="1" s="1"/>
  <c r="R303" i="1"/>
  <c r="S303" i="1" s="1"/>
  <c r="T303" i="1" s="1"/>
  <c r="R304" i="1"/>
  <c r="S304" i="1" s="1"/>
  <c r="T304" i="1" s="1"/>
  <c r="R305" i="1"/>
  <c r="R306" i="1"/>
  <c r="R307" i="1"/>
  <c r="S307" i="1" s="1"/>
  <c r="T307" i="1" s="1"/>
  <c r="R308" i="1"/>
  <c r="S308" i="1" s="1"/>
  <c r="T308" i="1" s="1"/>
  <c r="R309" i="1"/>
  <c r="R310" i="1"/>
  <c r="S310" i="1" s="1"/>
  <c r="T310" i="1" s="1"/>
  <c r="R311" i="1"/>
  <c r="S311" i="1" s="1"/>
  <c r="T311" i="1" s="1"/>
  <c r="R312" i="1"/>
  <c r="S312" i="1" s="1"/>
  <c r="T312" i="1" s="1"/>
  <c r="R313" i="1"/>
  <c r="R314" i="1"/>
  <c r="R315" i="1"/>
  <c r="S315" i="1" s="1"/>
  <c r="T315" i="1" s="1"/>
  <c r="R316" i="1"/>
  <c r="S316" i="1" s="1"/>
  <c r="T316" i="1" s="1"/>
  <c r="R317" i="1"/>
  <c r="R318" i="1"/>
  <c r="S318" i="1" s="1"/>
  <c r="T318" i="1" s="1"/>
  <c r="R319" i="1"/>
  <c r="S319" i="1" s="1"/>
  <c r="T319" i="1" s="1"/>
  <c r="R320" i="1"/>
  <c r="R321" i="1"/>
  <c r="R322" i="1"/>
  <c r="R323" i="1"/>
  <c r="S323" i="1" s="1"/>
  <c r="T323" i="1" s="1"/>
  <c r="R324" i="1"/>
  <c r="S324" i="1" s="1"/>
  <c r="T324" i="1" s="1"/>
  <c r="R325" i="1"/>
  <c r="R326" i="1"/>
  <c r="S326" i="1" s="1"/>
  <c r="T326" i="1" s="1"/>
  <c r="R327" i="1"/>
  <c r="S327" i="1" s="1"/>
  <c r="T327" i="1" s="1"/>
  <c r="R328" i="1"/>
  <c r="R329" i="1"/>
  <c r="R330" i="1"/>
  <c r="R331" i="1"/>
  <c r="R332" i="1"/>
  <c r="S332" i="1" s="1"/>
  <c r="T332" i="1" s="1"/>
  <c r="R333" i="1"/>
  <c r="R334" i="1"/>
  <c r="S334" i="1" s="1"/>
  <c r="T334" i="1" s="1"/>
  <c r="R335" i="1"/>
  <c r="S335" i="1" s="1"/>
  <c r="T335" i="1" s="1"/>
  <c r="R336" i="1"/>
  <c r="R337" i="1"/>
  <c r="R338" i="1"/>
  <c r="R339" i="1"/>
  <c r="R340" i="1"/>
  <c r="S340" i="1" s="1"/>
  <c r="T340" i="1" s="1"/>
  <c r="R341" i="1"/>
  <c r="R342" i="1"/>
  <c r="S342" i="1" s="1"/>
  <c r="T342" i="1" s="1"/>
  <c r="R343" i="1"/>
  <c r="S343" i="1" s="1"/>
  <c r="T343" i="1" s="1"/>
  <c r="R292" i="1"/>
  <c r="R218" i="1"/>
  <c r="R219" i="1"/>
  <c r="R220" i="1"/>
  <c r="R221" i="1"/>
  <c r="R222" i="1"/>
  <c r="R223" i="1"/>
  <c r="S223" i="1" s="1"/>
  <c r="T223" i="1" s="1"/>
  <c r="R224" i="1"/>
  <c r="R225" i="1"/>
  <c r="S225" i="1" s="1"/>
  <c r="T225" i="1" s="1"/>
  <c r="R226" i="1"/>
  <c r="R227" i="1"/>
  <c r="R228" i="1"/>
  <c r="S228" i="1" s="1"/>
  <c r="T228" i="1" s="1"/>
  <c r="R229" i="1"/>
  <c r="R230" i="1"/>
  <c r="R231" i="1"/>
  <c r="S231" i="1" s="1"/>
  <c r="T231" i="1" s="1"/>
  <c r="R232" i="1"/>
  <c r="R233" i="1"/>
  <c r="S233" i="1" s="1"/>
  <c r="T233" i="1" s="1"/>
  <c r="R234" i="1"/>
  <c r="R235" i="1"/>
  <c r="R236" i="1"/>
  <c r="S236" i="1" s="1"/>
  <c r="T236" i="1" s="1"/>
  <c r="R237" i="1"/>
  <c r="R238" i="1"/>
  <c r="S238" i="1" s="1"/>
  <c r="T238" i="1" s="1"/>
  <c r="R239" i="1"/>
  <c r="S239" i="1" s="1"/>
  <c r="T239" i="1" s="1"/>
  <c r="R240" i="1"/>
  <c r="R241" i="1"/>
  <c r="S241" i="1" s="1"/>
  <c r="T241" i="1" s="1"/>
  <c r="R242" i="1"/>
  <c r="R243" i="1"/>
  <c r="R244" i="1"/>
  <c r="R245" i="1"/>
  <c r="R246" i="1"/>
  <c r="S246" i="1" s="1"/>
  <c r="T246" i="1" s="1"/>
  <c r="R217" i="1"/>
  <c r="S217" i="1" s="1"/>
  <c r="T217" i="1" s="1"/>
  <c r="K332" i="1"/>
  <c r="K292" i="1"/>
  <c r="K268" i="1"/>
  <c r="K247" i="1"/>
  <c r="K217" i="1"/>
  <c r="K123" i="1"/>
  <c r="R39" i="1"/>
  <c r="R40" i="1"/>
  <c r="S40" i="1" s="1"/>
  <c r="T40" i="1" s="1"/>
  <c r="R41" i="1"/>
  <c r="R42" i="1"/>
  <c r="S42" i="1" s="1"/>
  <c r="T42" i="1" s="1"/>
  <c r="R43" i="1"/>
  <c r="R44" i="1"/>
  <c r="R45" i="1"/>
  <c r="S45" i="1" s="1"/>
  <c r="T45" i="1" s="1"/>
  <c r="R46" i="1"/>
  <c r="S46" i="1" s="1"/>
  <c r="T46" i="1" s="1"/>
  <c r="R47" i="1"/>
  <c r="R48" i="1"/>
  <c r="R49" i="1"/>
  <c r="R50" i="1"/>
  <c r="R51" i="1"/>
  <c r="R52" i="1"/>
  <c r="R53" i="1"/>
  <c r="S53" i="1" s="1"/>
  <c r="T53" i="1" s="1"/>
  <c r="R54" i="1"/>
  <c r="S54" i="1" s="1"/>
  <c r="T54" i="1" s="1"/>
  <c r="R55" i="1"/>
  <c r="R56" i="1"/>
  <c r="S56" i="1" s="1"/>
  <c r="T56" i="1" s="1"/>
  <c r="R57" i="1"/>
  <c r="R58" i="1"/>
  <c r="R59" i="1"/>
  <c r="R60" i="1"/>
  <c r="R61" i="1"/>
  <c r="S61" i="1" s="1"/>
  <c r="T61" i="1" s="1"/>
  <c r="R62" i="1"/>
  <c r="S62" i="1" s="1"/>
  <c r="T62" i="1" s="1"/>
  <c r="R63" i="1"/>
  <c r="R64" i="1"/>
  <c r="S64" i="1" s="1"/>
  <c r="T64" i="1" s="1"/>
  <c r="R65" i="1"/>
  <c r="R66" i="1"/>
  <c r="S66" i="1" s="1"/>
  <c r="T66" i="1" s="1"/>
  <c r="R67" i="1"/>
  <c r="R68" i="1"/>
  <c r="R69" i="1"/>
  <c r="S69" i="1" s="1"/>
  <c r="T69" i="1" s="1"/>
  <c r="R70" i="1"/>
  <c r="S70" i="1" s="1"/>
  <c r="T70" i="1" s="1"/>
  <c r="R71" i="1"/>
  <c r="R72" i="1"/>
  <c r="S72" i="1" s="1"/>
  <c r="T72" i="1" s="1"/>
  <c r="R73" i="1"/>
  <c r="R74" i="1"/>
  <c r="S74" i="1" s="1"/>
  <c r="T74" i="1" s="1"/>
  <c r="R75" i="1"/>
  <c r="R76" i="1"/>
  <c r="R77" i="1"/>
  <c r="S77" i="1" s="1"/>
  <c r="T77" i="1" s="1"/>
  <c r="R78" i="1"/>
  <c r="S78" i="1" s="1"/>
  <c r="T78" i="1" s="1"/>
  <c r="R79" i="1"/>
  <c r="R80" i="1"/>
  <c r="R81" i="1"/>
  <c r="R82" i="1"/>
  <c r="R83" i="1"/>
  <c r="R84" i="1"/>
  <c r="R85" i="1"/>
  <c r="S85" i="1" s="1"/>
  <c r="T85" i="1" s="1"/>
  <c r="R86" i="1"/>
  <c r="S86" i="1" s="1"/>
  <c r="T86" i="1" s="1"/>
  <c r="R87" i="1"/>
  <c r="R88" i="1"/>
  <c r="S88" i="1" s="1"/>
  <c r="T88" i="1" s="1"/>
  <c r="R89" i="1"/>
  <c r="R90" i="1"/>
  <c r="S90" i="1" s="1"/>
  <c r="T90" i="1" s="1"/>
  <c r="R91" i="1"/>
  <c r="R92" i="1"/>
  <c r="R93" i="1"/>
  <c r="S93" i="1" s="1"/>
  <c r="T93" i="1" s="1"/>
  <c r="R94" i="1"/>
  <c r="S94" i="1" s="1"/>
  <c r="T94" i="1" s="1"/>
  <c r="R95" i="1"/>
  <c r="R96" i="1"/>
  <c r="S96" i="1" s="1"/>
  <c r="T96" i="1" s="1"/>
  <c r="R97" i="1"/>
  <c r="R98" i="1"/>
  <c r="S98" i="1" s="1"/>
  <c r="T98" i="1" s="1"/>
  <c r="R99" i="1"/>
  <c r="R100" i="1"/>
  <c r="R101" i="1"/>
  <c r="S101" i="1" s="1"/>
  <c r="T101" i="1" s="1"/>
  <c r="R102" i="1"/>
  <c r="S102" i="1" s="1"/>
  <c r="T102" i="1" s="1"/>
  <c r="R103" i="1"/>
  <c r="R104" i="1"/>
  <c r="S104" i="1" s="1"/>
  <c r="T104" i="1" s="1"/>
  <c r="R105" i="1"/>
  <c r="R106" i="1"/>
  <c r="S106" i="1" s="1"/>
  <c r="T106" i="1" s="1"/>
  <c r="R107" i="1"/>
  <c r="R108" i="1"/>
  <c r="R109" i="1"/>
  <c r="S109" i="1" s="1"/>
  <c r="T109" i="1" s="1"/>
  <c r="R110" i="1"/>
  <c r="S110" i="1" s="1"/>
  <c r="T110" i="1" s="1"/>
  <c r="R111" i="1"/>
  <c r="S111" i="1" s="1"/>
  <c r="T111" i="1" s="1"/>
  <c r="R112" i="1"/>
  <c r="R113" i="1"/>
  <c r="R114" i="1"/>
  <c r="S114" i="1" s="1"/>
  <c r="T114" i="1" s="1"/>
  <c r="R115" i="1"/>
  <c r="R116" i="1"/>
  <c r="R117" i="1"/>
  <c r="S117" i="1" s="1"/>
  <c r="T117" i="1" s="1"/>
  <c r="R118" i="1"/>
  <c r="S118" i="1" s="1"/>
  <c r="T118" i="1" s="1"/>
  <c r="R119" i="1"/>
  <c r="R120" i="1"/>
  <c r="S120" i="1" s="1"/>
  <c r="T120" i="1" s="1"/>
  <c r="R121" i="1"/>
  <c r="R122" i="1"/>
  <c r="S122" i="1" s="1"/>
  <c r="T122" i="1" s="1"/>
  <c r="R38" i="1"/>
  <c r="S38" i="1" s="1"/>
  <c r="T38" i="1" s="1"/>
  <c r="K33" i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J33" i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Y33" i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X34" i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3" i="1"/>
  <c r="T57" i="1"/>
  <c r="T121" i="1"/>
  <c r="T133" i="1"/>
  <c r="T267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9" i="1"/>
  <c r="T39" i="1" s="1"/>
  <c r="S41" i="1"/>
  <c r="T41" i="1" s="1"/>
  <c r="S43" i="1"/>
  <c r="T43" i="1" s="1"/>
  <c r="S44" i="1"/>
  <c r="T44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5" i="1"/>
  <c r="T55" i="1" s="1"/>
  <c r="S57" i="1"/>
  <c r="S58" i="1"/>
  <c r="T58" i="1" s="1"/>
  <c r="S59" i="1"/>
  <c r="T59" i="1" s="1"/>
  <c r="S60" i="1"/>
  <c r="T60" i="1" s="1"/>
  <c r="S63" i="1"/>
  <c r="T63" i="1" s="1"/>
  <c r="S65" i="1"/>
  <c r="T65" i="1" s="1"/>
  <c r="S67" i="1"/>
  <c r="T67" i="1" s="1"/>
  <c r="S68" i="1"/>
  <c r="T68" i="1" s="1"/>
  <c r="S71" i="1"/>
  <c r="T71" i="1" s="1"/>
  <c r="S73" i="1"/>
  <c r="T73" i="1" s="1"/>
  <c r="S75" i="1"/>
  <c r="T75" i="1" s="1"/>
  <c r="S76" i="1"/>
  <c r="T76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7" i="1"/>
  <c r="T87" i="1" s="1"/>
  <c r="S89" i="1"/>
  <c r="T89" i="1" s="1"/>
  <c r="S91" i="1"/>
  <c r="T91" i="1" s="1"/>
  <c r="S92" i="1"/>
  <c r="T92" i="1" s="1"/>
  <c r="S95" i="1"/>
  <c r="T95" i="1" s="1"/>
  <c r="S97" i="1"/>
  <c r="T97" i="1" s="1"/>
  <c r="S99" i="1"/>
  <c r="T99" i="1" s="1"/>
  <c r="S100" i="1"/>
  <c r="T100" i="1" s="1"/>
  <c r="S103" i="1"/>
  <c r="T103" i="1" s="1"/>
  <c r="S105" i="1"/>
  <c r="T105" i="1" s="1"/>
  <c r="S107" i="1"/>
  <c r="T107" i="1" s="1"/>
  <c r="S108" i="1"/>
  <c r="T108" i="1" s="1"/>
  <c r="S112" i="1"/>
  <c r="T112" i="1" s="1"/>
  <c r="S113" i="1"/>
  <c r="T113" i="1" s="1"/>
  <c r="S115" i="1"/>
  <c r="T115" i="1" s="1"/>
  <c r="S116" i="1"/>
  <c r="T116" i="1" s="1"/>
  <c r="S119" i="1"/>
  <c r="T119" i="1" s="1"/>
  <c r="S121" i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8" i="1"/>
  <c r="T218" i="1" s="1"/>
  <c r="S219" i="1"/>
  <c r="T219" i="1" s="1"/>
  <c r="S220" i="1"/>
  <c r="T220" i="1" s="1"/>
  <c r="S221" i="1"/>
  <c r="T221" i="1" s="1"/>
  <c r="S222" i="1"/>
  <c r="T222" i="1" s="1"/>
  <c r="S224" i="1"/>
  <c r="T224" i="1" s="1"/>
  <c r="S226" i="1"/>
  <c r="T226" i="1" s="1"/>
  <c r="S227" i="1"/>
  <c r="T227" i="1" s="1"/>
  <c r="S229" i="1"/>
  <c r="T229" i="1" s="1"/>
  <c r="S230" i="1"/>
  <c r="T230" i="1" s="1"/>
  <c r="S232" i="1"/>
  <c r="T232" i="1" s="1"/>
  <c r="S234" i="1"/>
  <c r="T234" i="1" s="1"/>
  <c r="S235" i="1"/>
  <c r="T235" i="1" s="1"/>
  <c r="S237" i="1"/>
  <c r="T237" i="1" s="1"/>
  <c r="S240" i="1"/>
  <c r="T240" i="1" s="1"/>
  <c r="S242" i="1"/>
  <c r="T242" i="1" s="1"/>
  <c r="S243" i="1"/>
  <c r="T243" i="1" s="1"/>
  <c r="S244" i="1"/>
  <c r="T244" i="1" s="1"/>
  <c r="S245" i="1"/>
  <c r="T245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7" i="1"/>
  <c r="T297" i="1" s="1"/>
  <c r="S298" i="1"/>
  <c r="T298" i="1" s="1"/>
  <c r="S301" i="1"/>
  <c r="T301" i="1" s="1"/>
  <c r="S305" i="1"/>
  <c r="T305" i="1" s="1"/>
  <c r="S306" i="1"/>
  <c r="T306" i="1" s="1"/>
  <c r="S309" i="1"/>
  <c r="T309" i="1" s="1"/>
  <c r="S313" i="1"/>
  <c r="T313" i="1" s="1"/>
  <c r="S314" i="1"/>
  <c r="T314" i="1" s="1"/>
  <c r="S317" i="1"/>
  <c r="T317" i="1" s="1"/>
  <c r="S320" i="1"/>
  <c r="T320" i="1" s="1"/>
  <c r="S321" i="1"/>
  <c r="T321" i="1" s="1"/>
  <c r="S322" i="1"/>
  <c r="T322" i="1" s="1"/>
  <c r="S325" i="1"/>
  <c r="T325" i="1" s="1"/>
  <c r="S328" i="1"/>
  <c r="T328" i="1" s="1"/>
  <c r="S329" i="1"/>
  <c r="T329" i="1" s="1"/>
  <c r="S330" i="1"/>
  <c r="T330" i="1" s="1"/>
  <c r="S331" i="1"/>
  <c r="T331" i="1" s="1"/>
  <c r="S333" i="1"/>
  <c r="T333" i="1" s="1"/>
  <c r="S336" i="1"/>
  <c r="T336" i="1" s="1"/>
  <c r="S337" i="1"/>
  <c r="T337" i="1" s="1"/>
  <c r="S338" i="1"/>
  <c r="T338" i="1" s="1"/>
  <c r="S339" i="1"/>
  <c r="T339" i="1" s="1"/>
  <c r="S341" i="1"/>
  <c r="T341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4" i="1"/>
  <c r="T4" i="1" s="1"/>
  <c r="R1" i="1"/>
  <c r="U125" i="2" l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V38" i="2"/>
  <c r="V40" i="2"/>
  <c r="V42" i="2"/>
  <c r="V44" i="2" s="1"/>
  <c r="Y124" i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K124" i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5" i="1" s="1"/>
  <c r="K216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O5" i="1"/>
  <c r="O6" i="1"/>
  <c r="O7" i="1"/>
  <c r="O8" i="1"/>
  <c r="O9" i="1"/>
  <c r="O10" i="1"/>
  <c r="P10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U247" i="2" l="1"/>
  <c r="V130" i="2"/>
  <c r="V128" i="2"/>
  <c r="V132" i="2"/>
  <c r="V134" i="2" s="1"/>
  <c r="P11" i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2" i="1" s="1"/>
  <c r="U33" i="1" s="1"/>
  <c r="V226" i="2"/>
  <c r="V228" i="2" s="1"/>
  <c r="V224" i="2"/>
  <c r="V222" i="2"/>
  <c r="U34" i="1" l="1"/>
  <c r="U35" i="1" s="1"/>
  <c r="U36" i="1" s="1"/>
  <c r="U37" i="1" s="1"/>
  <c r="U38" i="1" s="1"/>
  <c r="U39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248" i="2"/>
  <c r="U249" i="2" l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V40" i="1"/>
  <c r="U124" i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V38" i="1"/>
  <c r="V42" i="1"/>
  <c r="V44" i="1" s="1"/>
  <c r="V128" i="1" l="1"/>
  <c r="U218" i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V130" i="1"/>
  <c r="V132" i="1"/>
  <c r="V134" i="1" s="1"/>
  <c r="V253" i="2"/>
  <c r="V251" i="2"/>
  <c r="V255" i="2"/>
  <c r="V257" i="2" s="1"/>
  <c r="U268" i="2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36" i="1" l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AB211" i="1"/>
  <c r="V272" i="2"/>
  <c r="V276" i="2"/>
  <c r="V278" i="2" s="1"/>
  <c r="V274" i="2"/>
  <c r="U291" i="2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V224" i="1" l="1"/>
  <c r="V226" i="1"/>
  <c r="V228" i="1" s="1"/>
  <c r="V222" i="1"/>
  <c r="AB229" i="1"/>
  <c r="AC224" i="1" s="1"/>
  <c r="V295" i="2"/>
  <c r="V297" i="2"/>
  <c r="V299" i="2"/>
  <c r="V301" i="2" s="1"/>
  <c r="U309" i="2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V252" i="1"/>
  <c r="V254" i="1"/>
  <c r="V256" i="1"/>
  <c r="V258" i="1" s="1"/>
  <c r="U269" i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V277" i="1" l="1"/>
  <c r="V279" i="1" s="1"/>
  <c r="V313" i="2"/>
  <c r="V273" i="1"/>
  <c r="V315" i="2"/>
  <c r="V275" i="1"/>
  <c r="V317" i="2"/>
  <c r="V319" i="2" s="1"/>
  <c r="U293" i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V299" i="1" l="1"/>
  <c r="V301" i="1"/>
  <c r="V303" i="1" s="1"/>
  <c r="U311" i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V297" i="1"/>
  <c r="V319" i="1" l="1"/>
  <c r="V321" i="1" s="1"/>
  <c r="V317" i="1"/>
  <c r="V315" i="1"/>
</calcChain>
</file>

<file path=xl/sharedStrings.xml><?xml version="1.0" encoding="utf-8"?>
<sst xmlns="http://schemas.openxmlformats.org/spreadsheetml/2006/main" count="344" uniqueCount="90">
  <si>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</si>
  <si>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</si>
  <si>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</si>
  <si>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</si>
  <si>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</si>
  <si>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</si>
  <si>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</si>
  <si>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</si>
  <si>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</si>
  <si>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</si>
  <si>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Vernalisation</t>
  </si>
  <si>
    <t>Période</t>
  </si>
  <si>
    <t>GDD_Cumul</t>
  </si>
  <si>
    <t>GDD/période</t>
  </si>
  <si>
    <t>IPC</t>
  </si>
  <si>
    <t>TEMPERATURE</t>
  </si>
  <si>
    <t>P-ETP</t>
  </si>
  <si>
    <t>RU avant semi</t>
  </si>
  <si>
    <t>i</t>
  </si>
  <si>
    <t>kc</t>
  </si>
  <si>
    <t>P-ETM</t>
  </si>
  <si>
    <t>ETM</t>
  </si>
  <si>
    <t>WSCi</t>
  </si>
  <si>
    <t>SSI_Cumul</t>
  </si>
  <si>
    <t>SSI/période</t>
  </si>
  <si>
    <t>Photopériode</t>
  </si>
  <si>
    <t>WATER</t>
  </si>
  <si>
    <t>SOLAR</t>
  </si>
  <si>
    <t>RU</t>
  </si>
  <si>
    <t>1/3</t>
  </si>
  <si>
    <t>Semis</t>
  </si>
  <si>
    <t>FLO</t>
  </si>
  <si>
    <t>Fin FLO</t>
  </si>
  <si>
    <t>Récolte</t>
  </si>
  <si>
    <t>f</t>
  </si>
  <si>
    <t>s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</si>
  <si>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</si>
  <si>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</si>
  <si>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</si>
  <si>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</si>
  <si>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</si>
  <si>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</si>
  <si>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</si>
  <si>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</si>
  <si>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</si>
  <si>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</si>
  <si>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</si>
  <si>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</si>
  <si>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</si>
  <si>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</si>
  <si>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</si>
  <si>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</si>
  <si>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WINTER</t>
  </si>
  <si>
    <t>BOLTING</t>
  </si>
  <si>
    <t>FALL</t>
  </si>
  <si>
    <t>FLOWERING</t>
  </si>
  <si>
    <t>P300</t>
  </si>
  <si>
    <t>P600</t>
  </si>
  <si>
    <t>P1000</t>
  </si>
  <si>
    <t>N82</t>
  </si>
  <si>
    <t>N68</t>
  </si>
  <si>
    <t>WSC_I</t>
  </si>
  <si>
    <t>BI</t>
  </si>
  <si>
    <t>DRF</t>
  </si>
  <si>
    <t>TS</t>
  </si>
  <si>
    <t>IRF</t>
  </si>
  <si>
    <t>TEMP_T_Q</t>
  </si>
  <si>
    <t>TEMP_TINF_H_Q</t>
  </si>
  <si>
    <t>TEMP_TSUP_H_Q</t>
  </si>
  <si>
    <t>TEMP_GDD base 0°</t>
  </si>
  <si>
    <t>TEMP_NA</t>
  </si>
  <si>
    <t>TEMP_VAR</t>
  </si>
  <si>
    <t>E.HYD_PRELIQ_Q</t>
  </si>
  <si>
    <t>E.HYD_Cumul_P</t>
  </si>
  <si>
    <t>E.HYD_ETP_Q</t>
  </si>
  <si>
    <t>E.HYD_Cumul_ETP</t>
  </si>
  <si>
    <t>E.HYD_P-ETP</t>
  </si>
  <si>
    <t>E.HYD_ETAT RU_1</t>
  </si>
  <si>
    <t>E.HYD_i</t>
  </si>
  <si>
    <t>E.HYD_kc</t>
  </si>
  <si>
    <t>E.HYD_ETM</t>
  </si>
  <si>
    <t>E.HYD_P-ETM</t>
  </si>
  <si>
    <t>E.HYD_WSC</t>
  </si>
  <si>
    <t>E.HYD_VAR</t>
  </si>
  <si>
    <t>RAYO_SSI_Q</t>
  </si>
  <si>
    <t>RAYO_QPT_Q</t>
  </si>
  <si>
    <t>RAYO_Cumul_RG</t>
  </si>
  <si>
    <t>RAYO_NA</t>
  </si>
  <si>
    <t>RAYO_VAR</t>
  </si>
  <si>
    <t>Photoperiode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</si>
</sst>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9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0" fontId="16" fillId="0" borderId="0" xfId="0" quotePrefix="1" applyFont="1"/>
    <xf numFmtId="2" fontId="16" fillId="0" borderId="0" xfId="0" applyNumberFormat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2" fontId="16" fillId="0" borderId="10" xfId="0" applyNumberFormat="1" applyFont="1" applyBorder="1"/>
    <xf numFmtId="0" fontId="16" fillId="33" borderId="11" xfId="0" applyFont="1" applyFill="1" applyBorder="1"/>
    <xf numFmtId="0" fontId="0" fillId="0" borderId="11" xfId="0" applyBorder="1"/>
    <xf numFmtId="0" fontId="16" fillId="33" borderId="0" xfId="0" applyFont="1" applyFill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0" fillId="40" borderId="0" xfId="0" applyFill="1"/>
    <xf numFmtId="2" fontId="0" fillId="40" borderId="0" xfId="0" applyNumberFormat="1" applyFill="1"/>
    <xf numFmtId="0" fontId="0" fillId="41" borderId="0" xfId="0" applyFill="1"/>
    <xf numFmtId="14" fontId="0" fillId="41" borderId="0" xfId="0" applyNumberFormat="1" applyFill="1"/>
    <xf numFmtId="0" fontId="0" fillId="41" borderId="11" xfId="0" applyFill="1" applyBorder="1"/>
    <xf numFmtId="2" fontId="0" fillId="41" borderId="0" xfId="0" applyNumberFormat="1" applyFill="1"/>
    <xf numFmtId="0" fontId="16" fillId="40" borderId="10" xfId="0" applyFont="1" applyFill="1" applyBorder="1"/>
    <xf numFmtId="2" fontId="16" fillId="40" borderId="10" xfId="0" applyNumberFormat="1" applyFont="1" applyFill="1" applyBorder="1"/>
    <xf numFmtId="164" fontId="0" fillId="0" borderId="0" xfId="0" applyNumberFormat="1"/>
    <xf numFmtId="0" fontId="16" fillId="0" borderId="0" xfId="0" applyFont="1" applyAlignment="1">
      <alignment horizontal="center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0" fillId="0" borderId="0" xfId="0" applyFont="1" applyFill="1" applyBorder="1"/>
    <xf numFmtId="0" fontId="18" fillId="0" borderId="0" xfId="0" applyFont="1" applyFill="1" applyBorder="1" applyAlignment="1">
      <alignment vertical="center"/>
    </xf>
    <xf numFmtId="14" fontId="0" fillId="0" borderId="0" xfId="0" applyNumberFormat="1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2"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3366-7BB3-4B7E-A734-4C848D5A997C}">
  <dimension ref="A1:Y365"/>
  <sheetViews>
    <sheetView tabSelected="1" zoomScale="27" workbookViewId="0">
      <selection activeCell="Y109" sqref="Y109"/>
    </sheetView>
  </sheetViews>
  <sheetFormatPr baseColWidth="10" defaultRowHeight="14.5" x14ac:dyDescent="0.35"/>
  <sheetData>
    <row r="1" spans="1:25" x14ac:dyDescent="0.35">
      <c r="A1" s="56" t="s">
        <v>2</v>
      </c>
      <c r="B1" s="57" t="s">
        <v>66</v>
      </c>
      <c r="C1" s="57" t="s">
        <v>67</v>
      </c>
      <c r="D1" s="57" t="s">
        <v>68</v>
      </c>
      <c r="E1" s="57" t="s">
        <v>69</v>
      </c>
      <c r="F1" s="57" t="s">
        <v>70</v>
      </c>
      <c r="G1" s="57" t="s">
        <v>71</v>
      </c>
      <c r="H1" s="57" t="s">
        <v>72</v>
      </c>
      <c r="I1" s="57" t="s">
        <v>73</v>
      </c>
      <c r="J1" s="57" t="s">
        <v>74</v>
      </c>
      <c r="K1" s="57" t="s">
        <v>75</v>
      </c>
      <c r="L1" s="57" t="s">
        <v>76</v>
      </c>
      <c r="M1" s="57" t="s">
        <v>77</v>
      </c>
      <c r="N1" s="57" t="s">
        <v>78</v>
      </c>
      <c r="O1" s="57" t="s">
        <v>79</v>
      </c>
      <c r="P1" s="57" t="s">
        <v>80</v>
      </c>
      <c r="Q1" s="57" t="s">
        <v>81</v>
      </c>
      <c r="R1" s="57" t="s">
        <v>82</v>
      </c>
      <c r="S1" s="57" t="s">
        <v>83</v>
      </c>
      <c r="T1" s="57" t="s">
        <v>84</v>
      </c>
      <c r="U1" s="57" t="s">
        <v>85</v>
      </c>
      <c r="V1" s="57" t="s">
        <v>86</v>
      </c>
      <c r="W1" s="57" t="s">
        <v>87</v>
      </c>
      <c r="X1" s="57" t="s">
        <v>88</v>
      </c>
      <c r="Y1" s="57" t="s">
        <v>89</v>
      </c>
    </row>
    <row r="2" spans="1:25" x14ac:dyDescent="0.35">
      <c r="A2" s="58">
        <v>42949</v>
      </c>
      <c r="B2" s="56">
        <v>21.9</v>
      </c>
      <c r="C2" s="56">
        <v>15.7</v>
      </c>
      <c r="D2" s="56">
        <v>27.7</v>
      </c>
      <c r="E2" s="56"/>
      <c r="F2" s="56"/>
      <c r="G2" s="56"/>
      <c r="H2" s="56">
        <v>0</v>
      </c>
      <c r="I2" s="56"/>
      <c r="J2" s="56">
        <v>5.3</v>
      </c>
      <c r="K2" s="56"/>
      <c r="L2" s="56">
        <v>-5.3</v>
      </c>
      <c r="M2" s="56">
        <v>0</v>
      </c>
      <c r="N2" s="56"/>
      <c r="O2" s="56"/>
      <c r="P2" s="56">
        <v>0</v>
      </c>
      <c r="Q2" s="56">
        <v>0</v>
      </c>
      <c r="R2" s="56"/>
      <c r="S2" s="56"/>
      <c r="T2" s="56">
        <v>2166.9</v>
      </c>
      <c r="U2" s="56"/>
      <c r="V2" s="56"/>
      <c r="W2" s="56"/>
      <c r="X2" s="56"/>
      <c r="Y2" s="56"/>
    </row>
    <row r="3" spans="1:25" x14ac:dyDescent="0.35">
      <c r="A3" s="58">
        <v>42950</v>
      </c>
      <c r="B3" s="56">
        <v>22.4</v>
      </c>
      <c r="C3" s="56">
        <v>16.899999999999999</v>
      </c>
      <c r="D3" s="56">
        <v>26.3</v>
      </c>
      <c r="E3" s="56"/>
      <c r="F3" s="56"/>
      <c r="G3" s="56"/>
      <c r="H3" s="56">
        <v>0.1</v>
      </c>
      <c r="I3" s="56"/>
      <c r="J3" s="56">
        <v>4.8</v>
      </c>
      <c r="K3" s="56"/>
      <c r="L3" s="56">
        <v>-4.7</v>
      </c>
      <c r="M3" s="56">
        <v>0</v>
      </c>
      <c r="N3" s="56"/>
      <c r="O3" s="56"/>
      <c r="P3" s="56">
        <v>0</v>
      </c>
      <c r="Q3" s="56">
        <v>0.1</v>
      </c>
      <c r="R3" s="56"/>
      <c r="S3" s="56"/>
      <c r="T3" s="56">
        <v>1508.7</v>
      </c>
      <c r="U3" s="56"/>
      <c r="V3" s="56"/>
      <c r="W3" s="56"/>
      <c r="X3" s="56"/>
      <c r="Y3" s="56"/>
    </row>
    <row r="4" spans="1:25" x14ac:dyDescent="0.35">
      <c r="A4" s="58">
        <v>42951</v>
      </c>
      <c r="B4" s="56">
        <v>21.4</v>
      </c>
      <c r="C4" s="56">
        <v>17.7</v>
      </c>
      <c r="D4" s="56">
        <v>24.9</v>
      </c>
      <c r="E4" s="56"/>
      <c r="F4" s="56"/>
      <c r="G4" s="56"/>
      <c r="H4" s="56">
        <v>0</v>
      </c>
      <c r="I4" s="56"/>
      <c r="J4" s="56">
        <v>2.9</v>
      </c>
      <c r="K4" s="56"/>
      <c r="L4" s="56">
        <v>-2.9</v>
      </c>
      <c r="M4" s="56">
        <v>0</v>
      </c>
      <c r="N4" s="56"/>
      <c r="O4" s="56"/>
      <c r="P4" s="56">
        <v>0</v>
      </c>
      <c r="Q4" s="56">
        <v>0</v>
      </c>
      <c r="R4" s="56"/>
      <c r="S4" s="56"/>
      <c r="T4" s="56">
        <v>565.29999999999995</v>
      </c>
      <c r="U4" s="56"/>
      <c r="V4" s="56"/>
      <c r="W4" s="56"/>
      <c r="X4" s="56"/>
      <c r="Y4" s="56"/>
    </row>
    <row r="5" spans="1:25" x14ac:dyDescent="0.35">
      <c r="A5" s="58">
        <v>42952</v>
      </c>
      <c r="B5" s="56">
        <v>19.2</v>
      </c>
      <c r="C5" s="56">
        <v>16.399999999999999</v>
      </c>
      <c r="D5" s="56">
        <v>22.4</v>
      </c>
      <c r="E5" s="56"/>
      <c r="F5" s="56"/>
      <c r="G5" s="56"/>
      <c r="H5" s="56">
        <v>0</v>
      </c>
      <c r="I5" s="56"/>
      <c r="J5" s="56">
        <v>3</v>
      </c>
      <c r="K5" s="56"/>
      <c r="L5" s="56">
        <v>-3</v>
      </c>
      <c r="M5" s="56">
        <v>0</v>
      </c>
      <c r="N5" s="56"/>
      <c r="O5" s="56"/>
      <c r="P5" s="56">
        <v>0</v>
      </c>
      <c r="Q5" s="56">
        <v>0</v>
      </c>
      <c r="R5" s="56"/>
      <c r="S5" s="56"/>
      <c r="T5" s="56">
        <v>879.6</v>
      </c>
      <c r="U5" s="56"/>
      <c r="V5" s="56"/>
      <c r="W5" s="56"/>
      <c r="X5" s="56"/>
      <c r="Y5" s="56"/>
    </row>
    <row r="6" spans="1:25" x14ac:dyDescent="0.35">
      <c r="A6" s="58">
        <v>42953</v>
      </c>
      <c r="B6" s="56">
        <v>17.399999999999999</v>
      </c>
      <c r="C6" s="56">
        <v>11.9</v>
      </c>
      <c r="D6" s="56">
        <v>23.3</v>
      </c>
      <c r="E6" s="56"/>
      <c r="F6" s="56"/>
      <c r="G6" s="56"/>
      <c r="H6" s="56">
        <v>0</v>
      </c>
      <c r="I6" s="56"/>
      <c r="J6" s="56">
        <v>4.2</v>
      </c>
      <c r="K6" s="56"/>
      <c r="L6" s="56">
        <v>-4.2</v>
      </c>
      <c r="M6" s="56">
        <v>0</v>
      </c>
      <c r="N6" s="56"/>
      <c r="O6" s="56"/>
      <c r="P6" s="56">
        <v>0</v>
      </c>
      <c r="Q6" s="56">
        <v>0</v>
      </c>
      <c r="R6" s="56"/>
      <c r="S6" s="56"/>
      <c r="T6" s="56">
        <v>2080.6</v>
      </c>
      <c r="U6" s="56"/>
      <c r="V6" s="56"/>
      <c r="W6" s="56"/>
      <c r="X6" s="56"/>
      <c r="Y6" s="56"/>
    </row>
    <row r="7" spans="1:25" x14ac:dyDescent="0.35">
      <c r="A7" s="58">
        <v>42954</v>
      </c>
      <c r="B7" s="56">
        <v>19.5</v>
      </c>
      <c r="C7" s="56">
        <v>12.7</v>
      </c>
      <c r="D7" s="56">
        <v>25</v>
      </c>
      <c r="E7" s="56"/>
      <c r="F7" s="56"/>
      <c r="G7" s="56"/>
      <c r="H7" s="56">
        <v>2.2000000000000002</v>
      </c>
      <c r="I7" s="56"/>
      <c r="J7" s="56">
        <v>4.5999999999999996</v>
      </c>
      <c r="K7" s="56"/>
      <c r="L7" s="56">
        <v>-2.3999999999999995</v>
      </c>
      <c r="M7" s="56">
        <v>0</v>
      </c>
      <c r="N7" s="56"/>
      <c r="O7" s="56"/>
      <c r="P7" s="56">
        <v>0</v>
      </c>
      <c r="Q7" s="56">
        <v>2.2000000000000002</v>
      </c>
      <c r="R7" s="56"/>
      <c r="S7" s="56"/>
      <c r="T7" s="56">
        <v>2069.1</v>
      </c>
      <c r="U7" s="56"/>
      <c r="V7" s="56"/>
      <c r="W7" s="56"/>
      <c r="X7" s="56"/>
      <c r="Y7" s="56"/>
    </row>
    <row r="8" spans="1:25" x14ac:dyDescent="0.35">
      <c r="A8" s="58">
        <v>42955</v>
      </c>
      <c r="B8" s="56">
        <v>15.9</v>
      </c>
      <c r="C8" s="56">
        <v>14.9</v>
      </c>
      <c r="D8" s="56">
        <v>17.600000000000001</v>
      </c>
      <c r="E8" s="56"/>
      <c r="F8" s="56"/>
      <c r="G8" s="56"/>
      <c r="H8" s="56">
        <v>2.8</v>
      </c>
      <c r="I8" s="56"/>
      <c r="J8" s="56">
        <v>1.7</v>
      </c>
      <c r="K8" s="56"/>
      <c r="L8" s="56">
        <v>1.0999999999999999</v>
      </c>
      <c r="M8" s="56">
        <v>1.0999999999999999</v>
      </c>
      <c r="N8" s="56"/>
      <c r="O8" s="56"/>
      <c r="P8" s="56">
        <v>0</v>
      </c>
      <c r="Q8" s="56">
        <v>2.8</v>
      </c>
      <c r="R8" s="56"/>
      <c r="S8" s="56"/>
      <c r="T8" s="56">
        <v>738.4</v>
      </c>
      <c r="U8" s="56"/>
      <c r="V8" s="56"/>
      <c r="W8" s="56"/>
      <c r="X8" s="56"/>
      <c r="Y8" s="56"/>
    </row>
    <row r="9" spans="1:25" x14ac:dyDescent="0.35">
      <c r="A9" s="58">
        <v>42956</v>
      </c>
      <c r="B9" s="56">
        <v>13</v>
      </c>
      <c r="C9" s="56">
        <v>12.3</v>
      </c>
      <c r="D9" s="56">
        <v>13.6</v>
      </c>
      <c r="E9" s="56"/>
      <c r="F9" s="56"/>
      <c r="G9" s="56"/>
      <c r="H9" s="56">
        <v>12</v>
      </c>
      <c r="I9" s="56"/>
      <c r="J9" s="56">
        <v>0.9</v>
      </c>
      <c r="K9" s="56"/>
      <c r="L9" s="56">
        <v>11.1</v>
      </c>
      <c r="M9" s="56">
        <v>12.2</v>
      </c>
      <c r="N9" s="56"/>
      <c r="O9" s="56"/>
      <c r="P9" s="56">
        <v>0</v>
      </c>
      <c r="Q9" s="56">
        <v>12</v>
      </c>
      <c r="R9" s="56"/>
      <c r="S9" s="56"/>
      <c r="T9" s="56">
        <v>781</v>
      </c>
      <c r="U9" s="56"/>
      <c r="V9" s="56"/>
      <c r="W9" s="56"/>
      <c r="X9" s="56"/>
      <c r="Y9" s="56"/>
    </row>
    <row r="10" spans="1:25" x14ac:dyDescent="0.35">
      <c r="A10" s="58">
        <v>42957</v>
      </c>
      <c r="B10" s="56">
        <v>14.2</v>
      </c>
      <c r="C10" s="56">
        <v>12.5</v>
      </c>
      <c r="D10" s="56">
        <v>16.100000000000001</v>
      </c>
      <c r="E10" s="56"/>
      <c r="F10" s="56"/>
      <c r="G10" s="56"/>
      <c r="H10" s="56">
        <v>9.5</v>
      </c>
      <c r="I10" s="56"/>
      <c r="J10" s="56">
        <v>1.4</v>
      </c>
      <c r="K10" s="56"/>
      <c r="L10" s="56">
        <v>8.1</v>
      </c>
      <c r="M10" s="56">
        <v>20.299999999999997</v>
      </c>
      <c r="N10" s="56"/>
      <c r="O10" s="56"/>
      <c r="P10" s="56">
        <v>0</v>
      </c>
      <c r="Q10" s="56">
        <v>9.5</v>
      </c>
      <c r="R10" s="56"/>
      <c r="S10" s="56"/>
      <c r="T10" s="56">
        <v>852</v>
      </c>
      <c r="U10" s="56"/>
      <c r="V10" s="56"/>
      <c r="W10" s="56"/>
      <c r="X10" s="56"/>
      <c r="Y10" s="56"/>
    </row>
    <row r="11" spans="1:25" x14ac:dyDescent="0.35">
      <c r="A11" s="58">
        <v>42958</v>
      </c>
      <c r="B11" s="56">
        <v>16.100000000000001</v>
      </c>
      <c r="C11" s="56">
        <v>13.7</v>
      </c>
      <c r="D11" s="56">
        <v>19.8</v>
      </c>
      <c r="E11" s="56"/>
      <c r="F11" s="56"/>
      <c r="G11" s="56"/>
      <c r="H11" s="56">
        <v>1.5</v>
      </c>
      <c r="I11" s="56"/>
      <c r="J11" s="56">
        <v>2.2999999999999998</v>
      </c>
      <c r="K11" s="56"/>
      <c r="L11" s="56">
        <v>-0.79999999999999982</v>
      </c>
      <c r="M11" s="56">
        <v>19.499999999999996</v>
      </c>
      <c r="N11" s="56"/>
      <c r="O11" s="56"/>
      <c r="P11" s="56">
        <v>0</v>
      </c>
      <c r="Q11" s="56">
        <v>1.5</v>
      </c>
      <c r="R11" s="56"/>
      <c r="S11" s="56"/>
      <c r="T11" s="56">
        <v>1226.5999999999999</v>
      </c>
      <c r="U11" s="56"/>
      <c r="V11" s="56"/>
      <c r="W11" s="56"/>
      <c r="X11" s="56"/>
      <c r="Y11" s="56"/>
    </row>
    <row r="12" spans="1:25" x14ac:dyDescent="0.35">
      <c r="A12" s="58">
        <v>42959</v>
      </c>
      <c r="B12" s="56">
        <v>16.7</v>
      </c>
      <c r="C12" s="56">
        <v>12.2</v>
      </c>
      <c r="D12" s="56">
        <v>19.2</v>
      </c>
      <c r="E12" s="56"/>
      <c r="F12" s="56"/>
      <c r="G12" s="56"/>
      <c r="H12" s="56">
        <v>3.3</v>
      </c>
      <c r="I12" s="56"/>
      <c r="J12" s="56">
        <v>0.9</v>
      </c>
      <c r="K12" s="56"/>
      <c r="L12" s="56">
        <v>2.4</v>
      </c>
      <c r="M12" s="56">
        <v>21.899999999999995</v>
      </c>
      <c r="N12" s="56"/>
      <c r="O12" s="56"/>
      <c r="P12" s="56">
        <v>0</v>
      </c>
      <c r="Q12" s="56">
        <v>3.3</v>
      </c>
      <c r="R12" s="56"/>
      <c r="S12" s="56"/>
      <c r="T12" s="56">
        <v>501.9</v>
      </c>
      <c r="U12" s="56"/>
      <c r="V12" s="56"/>
      <c r="W12" s="56"/>
      <c r="X12" s="56"/>
      <c r="Y12" s="56"/>
    </row>
    <row r="13" spans="1:25" x14ac:dyDescent="0.35">
      <c r="A13" s="58">
        <v>42960</v>
      </c>
      <c r="B13" s="56">
        <v>17.7</v>
      </c>
      <c r="C13" s="56">
        <v>14.4</v>
      </c>
      <c r="D13" s="56">
        <v>21.6</v>
      </c>
      <c r="E13" s="56"/>
      <c r="F13" s="56"/>
      <c r="G13" s="56"/>
      <c r="H13" s="56">
        <v>0</v>
      </c>
      <c r="I13" s="56"/>
      <c r="J13" s="56">
        <v>2.2000000000000002</v>
      </c>
      <c r="K13" s="56"/>
      <c r="L13" s="56">
        <v>-2.2000000000000002</v>
      </c>
      <c r="M13" s="56">
        <v>19.699999999999996</v>
      </c>
      <c r="N13" s="56"/>
      <c r="O13" s="56"/>
      <c r="P13" s="56">
        <v>0</v>
      </c>
      <c r="Q13" s="56">
        <v>0</v>
      </c>
      <c r="R13" s="56"/>
      <c r="S13" s="56"/>
      <c r="T13" s="56">
        <v>943.7</v>
      </c>
      <c r="U13" s="56"/>
      <c r="V13" s="56"/>
      <c r="W13" s="56"/>
      <c r="X13" s="56"/>
      <c r="Y13" s="56"/>
    </row>
    <row r="14" spans="1:25" x14ac:dyDescent="0.35">
      <c r="A14" s="58">
        <v>42961</v>
      </c>
      <c r="B14" s="56">
        <v>21.5</v>
      </c>
      <c r="C14" s="56">
        <v>14.3</v>
      </c>
      <c r="D14" s="56">
        <v>26.9</v>
      </c>
      <c r="E14" s="56"/>
      <c r="F14" s="56"/>
      <c r="G14" s="56"/>
      <c r="H14" s="56">
        <v>0</v>
      </c>
      <c r="I14" s="56"/>
      <c r="J14" s="56">
        <v>2.8</v>
      </c>
      <c r="K14" s="56"/>
      <c r="L14" s="56">
        <v>-2.8</v>
      </c>
      <c r="M14" s="56">
        <v>16.899999999999995</v>
      </c>
      <c r="N14" s="56"/>
      <c r="O14" s="56"/>
      <c r="P14" s="56">
        <v>0</v>
      </c>
      <c r="Q14" s="56">
        <v>0</v>
      </c>
      <c r="R14" s="56"/>
      <c r="S14" s="56"/>
      <c r="T14" s="56">
        <v>1422.2</v>
      </c>
      <c r="U14" s="56"/>
      <c r="V14" s="56"/>
      <c r="W14" s="56"/>
      <c r="X14" s="56"/>
      <c r="Y14" s="56"/>
    </row>
    <row r="15" spans="1:25" x14ac:dyDescent="0.35">
      <c r="A15" s="58">
        <v>42962</v>
      </c>
      <c r="B15" s="56">
        <v>22.1</v>
      </c>
      <c r="C15" s="56">
        <v>20.8</v>
      </c>
      <c r="D15" s="56">
        <v>23.8</v>
      </c>
      <c r="E15" s="56"/>
      <c r="F15" s="56"/>
      <c r="G15" s="56"/>
      <c r="H15" s="56">
        <v>5</v>
      </c>
      <c r="I15" s="56"/>
      <c r="J15" s="56">
        <v>3.3</v>
      </c>
      <c r="K15" s="56"/>
      <c r="L15" s="56">
        <v>1.7000000000000002</v>
      </c>
      <c r="M15" s="56">
        <v>18.599999999999994</v>
      </c>
      <c r="N15" s="56"/>
      <c r="O15" s="56"/>
      <c r="P15" s="56">
        <v>0</v>
      </c>
      <c r="Q15" s="56">
        <v>5</v>
      </c>
      <c r="R15" s="56"/>
      <c r="S15" s="56"/>
      <c r="T15" s="56">
        <v>1583.8</v>
      </c>
      <c r="U15" s="56"/>
      <c r="V15" s="56"/>
      <c r="W15" s="56"/>
      <c r="X15" s="56"/>
      <c r="Y15" s="56"/>
    </row>
    <row r="16" spans="1:25" x14ac:dyDescent="0.35">
      <c r="A16" s="58">
        <v>42963</v>
      </c>
      <c r="B16" s="56">
        <v>19.600000000000001</v>
      </c>
      <c r="C16" s="56">
        <v>16</v>
      </c>
      <c r="D16" s="56">
        <v>23.4</v>
      </c>
      <c r="E16" s="56"/>
      <c r="F16" s="56"/>
      <c r="G16" s="56"/>
      <c r="H16" s="56">
        <v>0</v>
      </c>
      <c r="I16" s="56"/>
      <c r="J16" s="56">
        <v>2</v>
      </c>
      <c r="K16" s="56"/>
      <c r="L16" s="56">
        <v>-2</v>
      </c>
      <c r="M16" s="56">
        <v>16.599999999999994</v>
      </c>
      <c r="N16" s="56"/>
      <c r="O16" s="56"/>
      <c r="P16" s="56">
        <v>0</v>
      </c>
      <c r="Q16" s="56">
        <v>0</v>
      </c>
      <c r="R16" s="56"/>
      <c r="S16" s="56"/>
      <c r="T16" s="56">
        <v>975.8</v>
      </c>
      <c r="U16" s="56"/>
      <c r="V16" s="56"/>
      <c r="W16" s="56"/>
      <c r="X16" s="56"/>
      <c r="Y16" s="56"/>
    </row>
    <row r="17" spans="1:25" x14ac:dyDescent="0.35">
      <c r="A17" s="58">
        <v>42964</v>
      </c>
      <c r="B17" s="56">
        <v>20.2</v>
      </c>
      <c r="C17" s="56">
        <v>16.600000000000001</v>
      </c>
      <c r="D17" s="56">
        <v>23.1</v>
      </c>
      <c r="E17" s="56"/>
      <c r="F17" s="56"/>
      <c r="G17" s="56"/>
      <c r="H17" s="56">
        <v>11.5</v>
      </c>
      <c r="I17" s="56"/>
      <c r="J17" s="56">
        <v>1.7</v>
      </c>
      <c r="K17" s="56"/>
      <c r="L17" s="56">
        <v>9.8000000000000007</v>
      </c>
      <c r="M17" s="56">
        <v>26.399999999999995</v>
      </c>
      <c r="N17" s="56"/>
      <c r="O17" s="56"/>
      <c r="P17" s="56">
        <v>0</v>
      </c>
      <c r="Q17" s="56">
        <v>11.5</v>
      </c>
      <c r="R17" s="56"/>
      <c r="S17" s="56"/>
      <c r="T17" s="56">
        <v>923.6</v>
      </c>
      <c r="U17" s="56"/>
      <c r="V17" s="56"/>
      <c r="W17" s="56"/>
      <c r="X17" s="56"/>
      <c r="Y17" s="56"/>
    </row>
    <row r="18" spans="1:25" x14ac:dyDescent="0.35">
      <c r="A18" s="58">
        <v>42965</v>
      </c>
      <c r="B18" s="56">
        <v>18.3</v>
      </c>
      <c r="C18" s="56">
        <v>18.3</v>
      </c>
      <c r="D18" s="56">
        <v>21</v>
      </c>
      <c r="E18" s="56"/>
      <c r="F18" s="56"/>
      <c r="G18" s="56"/>
      <c r="H18" s="56">
        <v>5.2</v>
      </c>
      <c r="I18" s="56"/>
      <c r="J18" s="56">
        <v>1.7</v>
      </c>
      <c r="K18" s="56"/>
      <c r="L18" s="56">
        <v>3.5</v>
      </c>
      <c r="M18" s="56">
        <v>29.899999999999995</v>
      </c>
      <c r="N18" s="56"/>
      <c r="O18" s="56"/>
      <c r="P18" s="56">
        <v>0</v>
      </c>
      <c r="Q18" s="56">
        <v>5.2</v>
      </c>
      <c r="R18" s="56"/>
      <c r="S18" s="56"/>
      <c r="T18" s="56">
        <v>589.70000000000005</v>
      </c>
      <c r="U18" s="56"/>
      <c r="V18" s="56"/>
      <c r="W18" s="56"/>
      <c r="X18" s="56"/>
      <c r="Y18" s="56"/>
    </row>
    <row r="19" spans="1:25" x14ac:dyDescent="0.35">
      <c r="A19" s="58">
        <v>42966</v>
      </c>
      <c r="B19" s="56">
        <v>15.6</v>
      </c>
      <c r="C19" s="56">
        <v>10.7</v>
      </c>
      <c r="D19" s="56">
        <v>19.8</v>
      </c>
      <c r="E19" s="56"/>
      <c r="F19" s="56"/>
      <c r="G19" s="56"/>
      <c r="H19" s="56">
        <v>0</v>
      </c>
      <c r="I19" s="56"/>
      <c r="J19" s="56">
        <v>3</v>
      </c>
      <c r="K19" s="56"/>
      <c r="L19" s="56">
        <v>-3</v>
      </c>
      <c r="M19" s="56">
        <v>26.899999999999995</v>
      </c>
      <c r="N19" s="56"/>
      <c r="O19" s="56"/>
      <c r="P19" s="56">
        <v>0</v>
      </c>
      <c r="Q19" s="56">
        <v>0</v>
      </c>
      <c r="R19" s="56"/>
      <c r="S19" s="56"/>
      <c r="T19" s="56">
        <v>1792.5</v>
      </c>
      <c r="U19" s="56"/>
      <c r="V19" s="56"/>
      <c r="W19" s="56"/>
      <c r="X19" s="56"/>
      <c r="Y19" s="56"/>
    </row>
    <row r="20" spans="1:25" x14ac:dyDescent="0.35">
      <c r="A20" s="58">
        <v>42967</v>
      </c>
      <c r="B20" s="56">
        <v>17.399999999999999</v>
      </c>
      <c r="C20" s="56">
        <v>11.9</v>
      </c>
      <c r="D20" s="56">
        <v>21.4</v>
      </c>
      <c r="E20" s="56"/>
      <c r="F20" s="56"/>
      <c r="G20" s="56"/>
      <c r="H20" s="56">
        <v>0</v>
      </c>
      <c r="I20" s="56"/>
      <c r="J20" s="56">
        <v>3</v>
      </c>
      <c r="K20" s="56"/>
      <c r="L20" s="56">
        <v>-3</v>
      </c>
      <c r="M20" s="56">
        <v>23.899999999999995</v>
      </c>
      <c r="N20" s="56"/>
      <c r="O20" s="56"/>
      <c r="P20" s="56">
        <v>0</v>
      </c>
      <c r="Q20" s="56">
        <v>0</v>
      </c>
      <c r="R20" s="56"/>
      <c r="S20" s="56"/>
      <c r="T20" s="56">
        <v>1653.5</v>
      </c>
      <c r="U20" s="56"/>
      <c r="V20" s="56"/>
      <c r="W20" s="56"/>
      <c r="X20" s="56"/>
      <c r="Y20" s="56"/>
    </row>
    <row r="21" spans="1:25" x14ac:dyDescent="0.35">
      <c r="A21" s="58">
        <v>42968</v>
      </c>
      <c r="B21" s="56">
        <v>21.4</v>
      </c>
      <c r="C21" s="56">
        <v>16.100000000000001</v>
      </c>
      <c r="D21" s="56">
        <v>26.1</v>
      </c>
      <c r="E21" s="56"/>
      <c r="F21" s="56"/>
      <c r="G21" s="56"/>
      <c r="H21" s="56">
        <v>0</v>
      </c>
      <c r="I21" s="56"/>
      <c r="J21" s="56">
        <v>2.9</v>
      </c>
      <c r="K21" s="56"/>
      <c r="L21" s="56">
        <v>-2.9</v>
      </c>
      <c r="M21" s="56">
        <v>20.999999999999996</v>
      </c>
      <c r="N21" s="56"/>
      <c r="O21" s="56"/>
      <c r="P21" s="56">
        <v>0</v>
      </c>
      <c r="Q21" s="56">
        <v>0</v>
      </c>
      <c r="R21" s="56"/>
      <c r="S21" s="56"/>
      <c r="T21" s="56">
        <v>1280.3</v>
      </c>
      <c r="U21" s="56"/>
      <c r="V21" s="56"/>
      <c r="W21" s="56"/>
      <c r="X21" s="56"/>
      <c r="Y21" s="56"/>
    </row>
    <row r="22" spans="1:25" x14ac:dyDescent="0.35">
      <c r="A22" s="58">
        <v>42969</v>
      </c>
      <c r="B22" s="56">
        <v>22.9</v>
      </c>
      <c r="C22" s="56">
        <v>16.600000000000001</v>
      </c>
      <c r="D22" s="56">
        <v>28.5</v>
      </c>
      <c r="E22" s="56"/>
      <c r="F22" s="56"/>
      <c r="G22" s="56"/>
      <c r="H22" s="56">
        <v>0</v>
      </c>
      <c r="I22" s="56"/>
      <c r="J22" s="56">
        <v>3.9</v>
      </c>
      <c r="K22" s="56"/>
      <c r="L22" s="56">
        <v>-3.9</v>
      </c>
      <c r="M22" s="56">
        <v>17.099999999999998</v>
      </c>
      <c r="N22" s="56"/>
      <c r="O22" s="56"/>
      <c r="P22" s="56">
        <v>0</v>
      </c>
      <c r="Q22" s="56">
        <v>0</v>
      </c>
      <c r="R22" s="56"/>
      <c r="S22" s="56"/>
      <c r="T22" s="56">
        <v>1659</v>
      </c>
      <c r="U22" s="56"/>
      <c r="V22" s="56"/>
      <c r="W22" s="56"/>
      <c r="X22" s="56"/>
      <c r="Y22" s="56"/>
    </row>
    <row r="23" spans="1:25" x14ac:dyDescent="0.35">
      <c r="A23" s="58">
        <v>42970</v>
      </c>
      <c r="B23" s="56">
        <v>20.100000000000001</v>
      </c>
      <c r="C23" s="56">
        <v>18.2</v>
      </c>
      <c r="D23" s="56">
        <v>23.4</v>
      </c>
      <c r="E23" s="56"/>
      <c r="F23" s="56"/>
      <c r="G23" s="56"/>
      <c r="H23" s="56">
        <v>0</v>
      </c>
      <c r="I23" s="56"/>
      <c r="J23" s="56">
        <v>1.9</v>
      </c>
      <c r="K23" s="56"/>
      <c r="L23" s="56">
        <v>-1.9</v>
      </c>
      <c r="M23" s="56">
        <v>15.199999999999998</v>
      </c>
      <c r="N23" s="56"/>
      <c r="O23" s="56"/>
      <c r="P23" s="56">
        <v>0</v>
      </c>
      <c r="Q23" s="56">
        <v>0</v>
      </c>
      <c r="R23" s="56"/>
      <c r="S23" s="56"/>
      <c r="T23" s="56">
        <v>746.4</v>
      </c>
      <c r="U23" s="56"/>
      <c r="V23" s="56"/>
      <c r="W23" s="56"/>
      <c r="X23" s="56"/>
      <c r="Y23" s="56"/>
    </row>
    <row r="24" spans="1:25" x14ac:dyDescent="0.35">
      <c r="A24" s="58">
        <v>42971</v>
      </c>
      <c r="B24" s="56">
        <v>20.7</v>
      </c>
      <c r="C24" s="56">
        <v>15.7</v>
      </c>
      <c r="D24" s="56">
        <v>24.4</v>
      </c>
      <c r="E24" s="56"/>
      <c r="F24" s="56"/>
      <c r="G24" s="56"/>
      <c r="H24" s="56">
        <v>0</v>
      </c>
      <c r="I24" s="56"/>
      <c r="J24" s="56">
        <v>2.9</v>
      </c>
      <c r="K24" s="56"/>
      <c r="L24" s="56">
        <v>-2.9</v>
      </c>
      <c r="M24" s="56">
        <v>12.299999999999997</v>
      </c>
      <c r="N24" s="56"/>
      <c r="O24" s="56"/>
      <c r="P24" s="56">
        <v>0</v>
      </c>
      <c r="Q24" s="56">
        <v>0</v>
      </c>
      <c r="R24" s="56"/>
      <c r="S24" s="56"/>
      <c r="T24" s="56">
        <v>1393.8</v>
      </c>
      <c r="U24" s="56"/>
      <c r="V24" s="56"/>
      <c r="W24" s="56"/>
      <c r="X24" s="56"/>
      <c r="Y24" s="56"/>
    </row>
    <row r="25" spans="1:25" x14ac:dyDescent="0.35">
      <c r="A25" s="58">
        <v>42972</v>
      </c>
      <c r="B25" s="56">
        <v>21.1</v>
      </c>
      <c r="C25" s="56">
        <v>17.7</v>
      </c>
      <c r="D25" s="56">
        <v>24.7</v>
      </c>
      <c r="E25" s="56"/>
      <c r="F25" s="56"/>
      <c r="G25" s="56"/>
      <c r="H25" s="56">
        <v>4.7</v>
      </c>
      <c r="I25" s="56"/>
      <c r="J25" s="56">
        <v>2.4</v>
      </c>
      <c r="K25" s="56"/>
      <c r="L25" s="56">
        <v>2.3000000000000003</v>
      </c>
      <c r="M25" s="56">
        <v>14.599999999999998</v>
      </c>
      <c r="N25" s="56"/>
      <c r="O25" s="56"/>
      <c r="P25" s="56">
        <v>0</v>
      </c>
      <c r="Q25" s="56">
        <v>4.7</v>
      </c>
      <c r="R25" s="56"/>
      <c r="S25" s="56"/>
      <c r="T25" s="56">
        <v>1178.7</v>
      </c>
      <c r="U25" s="56"/>
      <c r="V25" s="56"/>
      <c r="W25" s="56"/>
      <c r="X25" s="56"/>
      <c r="Y25" s="56"/>
    </row>
    <row r="26" spans="1:25" x14ac:dyDescent="0.35">
      <c r="A26" s="58">
        <v>42973</v>
      </c>
      <c r="B26" s="56">
        <v>21.9</v>
      </c>
      <c r="C26" s="56">
        <v>15</v>
      </c>
      <c r="D26" s="56">
        <v>27.3</v>
      </c>
      <c r="E26" s="56"/>
      <c r="F26" s="56"/>
      <c r="G26" s="56"/>
      <c r="H26" s="56">
        <v>0</v>
      </c>
      <c r="I26" s="56"/>
      <c r="J26" s="56">
        <v>3.4</v>
      </c>
      <c r="K26" s="56"/>
      <c r="L26" s="56">
        <v>-3.4</v>
      </c>
      <c r="M26" s="56">
        <v>11.199999999999998</v>
      </c>
      <c r="N26" s="56"/>
      <c r="O26" s="56"/>
      <c r="P26" s="56">
        <v>0</v>
      </c>
      <c r="Q26" s="56">
        <v>0</v>
      </c>
      <c r="R26" s="56"/>
      <c r="S26" s="56"/>
      <c r="T26" s="56">
        <v>1877.3</v>
      </c>
      <c r="U26" s="56"/>
      <c r="V26" s="56"/>
      <c r="W26" s="56"/>
      <c r="X26" s="56"/>
      <c r="Y26" s="56"/>
    </row>
    <row r="27" spans="1:25" x14ac:dyDescent="0.35">
      <c r="A27" s="58">
        <v>42974</v>
      </c>
      <c r="B27" s="56">
        <v>24.4</v>
      </c>
      <c r="C27" s="56">
        <v>19</v>
      </c>
      <c r="D27" s="56">
        <v>29.6</v>
      </c>
      <c r="E27" s="56"/>
      <c r="F27" s="56"/>
      <c r="G27" s="56"/>
      <c r="H27" s="56">
        <v>0</v>
      </c>
      <c r="I27" s="56"/>
      <c r="J27" s="56">
        <v>4</v>
      </c>
      <c r="K27" s="56"/>
      <c r="L27" s="56">
        <v>-4</v>
      </c>
      <c r="M27" s="56">
        <v>7.1999999999999975</v>
      </c>
      <c r="N27" s="56"/>
      <c r="O27" s="56"/>
      <c r="P27" s="56">
        <v>0</v>
      </c>
      <c r="Q27" s="56">
        <v>0</v>
      </c>
      <c r="R27" s="56"/>
      <c r="S27" s="56"/>
      <c r="T27" s="56">
        <v>1851.6</v>
      </c>
      <c r="U27" s="56"/>
      <c r="V27" s="56"/>
      <c r="W27" s="56"/>
      <c r="X27" s="56"/>
      <c r="Y27" s="56"/>
    </row>
    <row r="28" spans="1:25" x14ac:dyDescent="0.35">
      <c r="A28" s="58">
        <v>42975</v>
      </c>
      <c r="B28" s="56">
        <v>25.1</v>
      </c>
      <c r="C28" s="56">
        <v>19.2</v>
      </c>
      <c r="D28" s="56">
        <v>30.2</v>
      </c>
      <c r="E28" s="56"/>
      <c r="F28" s="56"/>
      <c r="G28" s="56"/>
      <c r="H28" s="56">
        <v>0</v>
      </c>
      <c r="I28" s="56"/>
      <c r="J28" s="56">
        <v>3.2</v>
      </c>
      <c r="K28" s="56"/>
      <c r="L28" s="56">
        <v>-3.2</v>
      </c>
      <c r="M28" s="56">
        <v>3.9999999999999973</v>
      </c>
      <c r="N28" s="56"/>
      <c r="O28" s="56"/>
      <c r="P28" s="56">
        <v>0</v>
      </c>
      <c r="Q28" s="56">
        <v>0</v>
      </c>
      <c r="R28" s="56"/>
      <c r="S28" s="56"/>
      <c r="T28" s="56">
        <v>1171</v>
      </c>
      <c r="U28" s="56"/>
      <c r="V28" s="56"/>
      <c r="W28" s="56"/>
      <c r="X28" s="56"/>
      <c r="Y28" s="56"/>
    </row>
    <row r="29" spans="1:25" x14ac:dyDescent="0.35">
      <c r="A29" s="58">
        <v>42976</v>
      </c>
      <c r="B29" s="56">
        <v>26.3</v>
      </c>
      <c r="C29" s="56">
        <v>19.2</v>
      </c>
      <c r="D29" s="56">
        <v>33.1</v>
      </c>
      <c r="E29" s="56"/>
      <c r="F29" s="56"/>
      <c r="G29" s="56"/>
      <c r="H29" s="56">
        <v>0</v>
      </c>
      <c r="I29" s="56"/>
      <c r="J29" s="56">
        <v>5</v>
      </c>
      <c r="K29" s="56"/>
      <c r="L29" s="56">
        <v>-5</v>
      </c>
      <c r="M29" s="56">
        <v>0</v>
      </c>
      <c r="N29" s="56"/>
      <c r="O29" s="56"/>
      <c r="P29" s="56">
        <v>0</v>
      </c>
      <c r="Q29" s="56">
        <v>0</v>
      </c>
      <c r="R29" s="56"/>
      <c r="S29" s="56"/>
      <c r="T29" s="56">
        <v>1824.3</v>
      </c>
      <c r="U29" s="56"/>
      <c r="V29" s="56"/>
      <c r="W29" s="56"/>
      <c r="X29" s="56"/>
      <c r="Y29" s="56"/>
    </row>
    <row r="30" spans="1:25" x14ac:dyDescent="0.35">
      <c r="A30" s="58">
        <v>42977</v>
      </c>
      <c r="B30" s="56">
        <v>18.3</v>
      </c>
      <c r="C30" s="56">
        <v>16.2</v>
      </c>
      <c r="D30" s="56">
        <v>22.1</v>
      </c>
      <c r="E30" s="56"/>
      <c r="F30" s="56"/>
      <c r="G30" s="56"/>
      <c r="H30" s="56">
        <v>5.3</v>
      </c>
      <c r="I30" s="56"/>
      <c r="J30" s="56">
        <v>1.6</v>
      </c>
      <c r="K30" s="56"/>
      <c r="L30" s="56">
        <v>3.6999999999999997</v>
      </c>
      <c r="M30" s="56">
        <v>3.6999999999999997</v>
      </c>
      <c r="N30" s="56"/>
      <c r="O30" s="56"/>
      <c r="P30" s="56">
        <v>0</v>
      </c>
      <c r="Q30" s="56">
        <v>5.3</v>
      </c>
      <c r="R30" s="56"/>
      <c r="S30" s="56"/>
      <c r="T30" s="56">
        <v>652.9</v>
      </c>
      <c r="U30" s="56"/>
      <c r="V30" s="56"/>
      <c r="W30" s="56"/>
      <c r="X30" s="56"/>
      <c r="Y30" s="56"/>
    </row>
    <row r="31" spans="1:25" x14ac:dyDescent="0.35">
      <c r="A31" s="58">
        <v>42978</v>
      </c>
      <c r="B31" s="56">
        <v>15.4</v>
      </c>
      <c r="C31" s="56">
        <v>9.6999999999999993</v>
      </c>
      <c r="D31" s="56">
        <v>19.5</v>
      </c>
      <c r="E31" s="56">
        <v>15.4</v>
      </c>
      <c r="F31" s="56"/>
      <c r="G31" s="56"/>
      <c r="H31" s="56">
        <v>0</v>
      </c>
      <c r="I31" s="56"/>
      <c r="J31" s="56">
        <v>2.8</v>
      </c>
      <c r="K31" s="56"/>
      <c r="L31" s="56">
        <v>-2.8</v>
      </c>
      <c r="M31" s="56"/>
      <c r="N31" s="56">
        <v>1</v>
      </c>
      <c r="O31" s="56">
        <v>0.35</v>
      </c>
      <c r="P31" s="56">
        <v>0.97999999999999987</v>
      </c>
      <c r="Q31" s="56">
        <v>-0.97999999999999987</v>
      </c>
      <c r="R31" s="56">
        <v>2.7199999999999998</v>
      </c>
      <c r="S31" s="56"/>
      <c r="T31" s="56">
        <v>1703.3</v>
      </c>
      <c r="U31" s="56"/>
      <c r="V31" s="56">
        <v>1703.3</v>
      </c>
      <c r="W31" s="56"/>
      <c r="X31" s="56"/>
      <c r="Y31" s="56">
        <v>13.202576184706533</v>
      </c>
    </row>
    <row r="32" spans="1:25" x14ac:dyDescent="0.35">
      <c r="A32" s="58">
        <v>42979</v>
      </c>
      <c r="B32" s="56">
        <v>14.8</v>
      </c>
      <c r="C32" s="56">
        <v>10.9</v>
      </c>
      <c r="D32" s="56">
        <v>19.600000000000001</v>
      </c>
      <c r="E32" s="56">
        <v>30.200000000000003</v>
      </c>
      <c r="F32" s="56"/>
      <c r="G32" s="56"/>
      <c r="H32" s="56">
        <v>1.2</v>
      </c>
      <c r="I32" s="56"/>
      <c r="J32" s="56">
        <v>1.6</v>
      </c>
      <c r="K32" s="56"/>
      <c r="L32" s="56">
        <v>-0.40000000000000013</v>
      </c>
      <c r="M32" s="56"/>
      <c r="N32" s="56">
        <v>2</v>
      </c>
      <c r="O32" s="56">
        <v>0.35</v>
      </c>
      <c r="P32" s="56">
        <v>0.55999999999999994</v>
      </c>
      <c r="Q32" s="56">
        <v>0.64</v>
      </c>
      <c r="R32" s="56">
        <v>3.36</v>
      </c>
      <c r="S32" s="56"/>
      <c r="T32" s="56">
        <v>1100.8</v>
      </c>
      <c r="U32" s="56"/>
      <c r="V32" s="56">
        <v>2804.1</v>
      </c>
      <c r="W32" s="56"/>
      <c r="X32" s="56"/>
      <c r="Y32" s="56">
        <v>13.14504558293851</v>
      </c>
    </row>
    <row r="33" spans="1:25" x14ac:dyDescent="0.35">
      <c r="A33" s="58">
        <v>42980</v>
      </c>
      <c r="B33" s="56">
        <v>15</v>
      </c>
      <c r="C33" s="56">
        <v>10.3</v>
      </c>
      <c r="D33" s="56">
        <v>20.2</v>
      </c>
      <c r="E33" s="56">
        <v>45.2</v>
      </c>
      <c r="F33" s="56"/>
      <c r="G33" s="56"/>
      <c r="H33" s="56">
        <v>0</v>
      </c>
      <c r="I33" s="56"/>
      <c r="J33" s="56">
        <v>2.8</v>
      </c>
      <c r="K33" s="56"/>
      <c r="L33" s="56">
        <v>-2.8</v>
      </c>
      <c r="M33" s="56"/>
      <c r="N33" s="56">
        <v>3</v>
      </c>
      <c r="O33" s="56">
        <v>0.35</v>
      </c>
      <c r="P33" s="56">
        <v>0.97999999999999987</v>
      </c>
      <c r="Q33" s="56">
        <v>-0.97999999999999987</v>
      </c>
      <c r="R33" s="56">
        <v>2.38</v>
      </c>
      <c r="S33" s="56"/>
      <c r="T33" s="56">
        <v>1552.9</v>
      </c>
      <c r="U33" s="56"/>
      <c r="V33" s="56">
        <v>4357</v>
      </c>
      <c r="W33" s="56"/>
      <c r="X33" s="56"/>
      <c r="Y33" s="56">
        <v>13.087338524455982</v>
      </c>
    </row>
    <row r="34" spans="1:25" x14ac:dyDescent="0.35">
      <c r="A34" s="58">
        <v>42981</v>
      </c>
      <c r="B34" s="56">
        <v>15.7</v>
      </c>
      <c r="C34" s="56">
        <v>10.1</v>
      </c>
      <c r="D34" s="56">
        <v>21.8</v>
      </c>
      <c r="E34" s="56">
        <v>60.900000000000006</v>
      </c>
      <c r="F34" s="56"/>
      <c r="G34" s="56"/>
      <c r="H34" s="56">
        <v>0.5</v>
      </c>
      <c r="I34" s="56"/>
      <c r="J34" s="56">
        <v>1.6</v>
      </c>
      <c r="K34" s="56"/>
      <c r="L34" s="56">
        <v>-1.1000000000000001</v>
      </c>
      <c r="M34" s="56"/>
      <c r="N34" s="56">
        <v>4</v>
      </c>
      <c r="O34" s="56">
        <v>0.35</v>
      </c>
      <c r="P34" s="56">
        <v>0.55999999999999994</v>
      </c>
      <c r="Q34" s="56">
        <v>-5.9999999999999942E-2</v>
      </c>
      <c r="R34" s="56">
        <v>2.3199999999999998</v>
      </c>
      <c r="S34" s="56"/>
      <c r="T34" s="56">
        <v>620.4</v>
      </c>
      <c r="U34" s="56"/>
      <c r="V34" s="56">
        <v>4977.3999999999996</v>
      </c>
      <c r="W34" s="56"/>
      <c r="X34" s="56"/>
      <c r="Y34" s="56">
        <v>13.029465765693395</v>
      </c>
    </row>
    <row r="35" spans="1:25" x14ac:dyDescent="0.35">
      <c r="A35" s="58">
        <v>42982</v>
      </c>
      <c r="B35" s="56">
        <v>19.2</v>
      </c>
      <c r="C35" s="56">
        <v>14.7</v>
      </c>
      <c r="D35" s="56">
        <v>23</v>
      </c>
      <c r="E35" s="56">
        <v>80.100000000000009</v>
      </c>
      <c r="F35" s="56"/>
      <c r="G35" s="56"/>
      <c r="H35" s="56">
        <v>0</v>
      </c>
      <c r="I35" s="56"/>
      <c r="J35" s="56">
        <v>1.8</v>
      </c>
      <c r="K35" s="56"/>
      <c r="L35" s="56">
        <v>-1.8</v>
      </c>
      <c r="M35" s="56"/>
      <c r="N35" s="56">
        <v>5</v>
      </c>
      <c r="O35" s="56">
        <v>0.35</v>
      </c>
      <c r="P35" s="56">
        <v>0.63</v>
      </c>
      <c r="Q35" s="56">
        <v>-0.63</v>
      </c>
      <c r="R35" s="56">
        <v>1.69</v>
      </c>
      <c r="S35" s="56"/>
      <c r="T35" s="56">
        <v>633.6</v>
      </c>
      <c r="U35" s="56"/>
      <c r="V35" s="56">
        <v>5611</v>
      </c>
      <c r="W35" s="56"/>
      <c r="X35" s="56"/>
      <c r="Y35" s="56">
        <v>12.971437798442604</v>
      </c>
    </row>
    <row r="36" spans="1:25" x14ac:dyDescent="0.35">
      <c r="A36" s="58">
        <v>42983</v>
      </c>
      <c r="B36" s="56">
        <v>19.600000000000001</v>
      </c>
      <c r="C36" s="56">
        <v>17.100000000000001</v>
      </c>
      <c r="D36" s="56">
        <v>22.1</v>
      </c>
      <c r="E36" s="56">
        <v>99.700000000000017</v>
      </c>
      <c r="F36" s="56"/>
      <c r="G36" s="56"/>
      <c r="H36" s="56">
        <v>0</v>
      </c>
      <c r="I36" s="56"/>
      <c r="J36" s="56">
        <v>2</v>
      </c>
      <c r="K36" s="56"/>
      <c r="L36" s="56">
        <v>-2</v>
      </c>
      <c r="M36" s="56"/>
      <c r="N36" s="56">
        <v>6</v>
      </c>
      <c r="O36" s="56">
        <v>0.35764705882352937</v>
      </c>
      <c r="P36" s="56">
        <v>0.71529411764705875</v>
      </c>
      <c r="Q36" s="56">
        <v>-0.71529411764705875</v>
      </c>
      <c r="R36" s="56">
        <v>0.9747058823529412</v>
      </c>
      <c r="S36" s="56"/>
      <c r="T36" s="56">
        <v>818.9</v>
      </c>
      <c r="U36" s="56"/>
      <c r="V36" s="56">
        <v>6429.9</v>
      </c>
      <c r="W36" s="56"/>
      <c r="X36" s="56"/>
      <c r="Y36" s="56">
        <v>12.913264862729008</v>
      </c>
    </row>
    <row r="37" spans="1:25" x14ac:dyDescent="0.35">
      <c r="A37" s="58">
        <v>42984</v>
      </c>
      <c r="B37" s="56">
        <v>16.600000000000001</v>
      </c>
      <c r="C37" s="56">
        <v>14</v>
      </c>
      <c r="D37" s="56">
        <v>18.8</v>
      </c>
      <c r="E37" s="56">
        <v>116.30000000000001</v>
      </c>
      <c r="F37" s="56"/>
      <c r="G37" s="56"/>
      <c r="H37" s="56">
        <v>0</v>
      </c>
      <c r="I37" s="56"/>
      <c r="J37" s="56">
        <v>2.2999999999999998</v>
      </c>
      <c r="K37" s="56"/>
      <c r="L37" s="56">
        <v>-2.2999999999999998</v>
      </c>
      <c r="M37" s="56"/>
      <c r="N37" s="56">
        <v>7</v>
      </c>
      <c r="O37" s="56">
        <v>0.36529411764705882</v>
      </c>
      <c r="P37" s="56">
        <v>0.84017647058823519</v>
      </c>
      <c r="Q37" s="56">
        <v>-0.84017647058823519</v>
      </c>
      <c r="R37" s="56">
        <v>0.13452941176470601</v>
      </c>
      <c r="S37" s="56"/>
      <c r="T37" s="56">
        <v>786.1</v>
      </c>
      <c r="U37" s="56"/>
      <c r="V37" s="56">
        <v>7216</v>
      </c>
      <c r="W37" s="56"/>
      <c r="X37" s="56"/>
      <c r="Y37" s="56">
        <v>12.854956959961921</v>
      </c>
    </row>
    <row r="38" spans="1:25" x14ac:dyDescent="0.35">
      <c r="A38" s="58">
        <v>42985</v>
      </c>
      <c r="B38" s="56">
        <v>15.6</v>
      </c>
      <c r="C38" s="56">
        <v>10.8</v>
      </c>
      <c r="D38" s="56">
        <v>18.600000000000001</v>
      </c>
      <c r="E38" s="56">
        <v>131.9</v>
      </c>
      <c r="F38" s="56"/>
      <c r="G38" s="56"/>
      <c r="H38" s="56">
        <v>0</v>
      </c>
      <c r="I38" s="56"/>
      <c r="J38" s="56">
        <v>1.5</v>
      </c>
      <c r="K38" s="56"/>
      <c r="L38" s="56">
        <v>-1.5</v>
      </c>
      <c r="M38" s="56"/>
      <c r="N38" s="56">
        <v>8</v>
      </c>
      <c r="O38" s="56">
        <v>0.37294117647058822</v>
      </c>
      <c r="P38" s="56">
        <v>0.55941176470588228</v>
      </c>
      <c r="Q38" s="56">
        <v>-0.55941176470588228</v>
      </c>
      <c r="R38" s="56">
        <v>0</v>
      </c>
      <c r="S38" s="56"/>
      <c r="T38" s="56">
        <v>482</v>
      </c>
      <c r="U38" s="56"/>
      <c r="V38" s="56">
        <v>7698</v>
      </c>
      <c r="W38" s="56"/>
      <c r="X38" s="56"/>
      <c r="Y38" s="56">
        <v>12.796523866333239</v>
      </c>
    </row>
    <row r="39" spans="1:25" x14ac:dyDescent="0.35">
      <c r="A39" s="58">
        <v>42986</v>
      </c>
      <c r="B39" s="56">
        <v>16.600000000000001</v>
      </c>
      <c r="C39" s="56">
        <v>15.2</v>
      </c>
      <c r="D39" s="56">
        <v>18.3</v>
      </c>
      <c r="E39" s="56">
        <v>148.5</v>
      </c>
      <c r="F39" s="56"/>
      <c r="G39" s="56"/>
      <c r="H39" s="56">
        <v>32.799999999999997</v>
      </c>
      <c r="I39" s="56"/>
      <c r="J39" s="56">
        <v>1.7</v>
      </c>
      <c r="K39" s="56"/>
      <c r="L39" s="56">
        <v>31.099999999999998</v>
      </c>
      <c r="M39" s="56"/>
      <c r="N39" s="56">
        <v>9</v>
      </c>
      <c r="O39" s="56">
        <v>0.38058823529411762</v>
      </c>
      <c r="P39" s="56">
        <v>0.64699999999999991</v>
      </c>
      <c r="Q39" s="56">
        <v>32.152999999999999</v>
      </c>
      <c r="R39" s="56">
        <v>32.152999999999999</v>
      </c>
      <c r="S39" s="56"/>
      <c r="T39" s="56">
        <v>426.2</v>
      </c>
      <c r="U39" s="56"/>
      <c r="V39" s="56">
        <v>8124.2</v>
      </c>
      <c r="W39" s="56"/>
      <c r="X39" s="56"/>
      <c r="Y39" s="56">
        <v>12.737975146440302</v>
      </c>
    </row>
    <row r="40" spans="1:25" x14ac:dyDescent="0.35">
      <c r="A40" s="58">
        <v>42987</v>
      </c>
      <c r="B40" s="56">
        <v>14.1</v>
      </c>
      <c r="C40" s="56">
        <v>12.9</v>
      </c>
      <c r="D40" s="56">
        <v>17.2</v>
      </c>
      <c r="E40" s="56">
        <v>162.6</v>
      </c>
      <c r="F40" s="56"/>
      <c r="G40" s="56"/>
      <c r="H40" s="56">
        <v>0.4</v>
      </c>
      <c r="I40" s="56"/>
      <c r="J40" s="56">
        <v>2</v>
      </c>
      <c r="K40" s="56"/>
      <c r="L40" s="56">
        <v>-1.6</v>
      </c>
      <c r="M40" s="56"/>
      <c r="N40" s="56">
        <v>10</v>
      </c>
      <c r="O40" s="56">
        <v>0.38823529411764701</v>
      </c>
      <c r="P40" s="56">
        <v>0.77647058823529402</v>
      </c>
      <c r="Q40" s="56">
        <v>-0.376470588235294</v>
      </c>
      <c r="R40" s="56">
        <v>31.776529411764706</v>
      </c>
      <c r="S40" s="56"/>
      <c r="T40" s="56">
        <v>925</v>
      </c>
      <c r="U40" s="56"/>
      <c r="V40" s="56">
        <v>9049.2000000000007</v>
      </c>
      <c r="W40" s="56"/>
      <c r="X40" s="56"/>
      <c r="Y40" s="56">
        <v>12.67932016711044</v>
      </c>
    </row>
    <row r="41" spans="1:25" x14ac:dyDescent="0.35">
      <c r="A41" s="58">
        <v>42988</v>
      </c>
      <c r="B41" s="56">
        <v>14.9</v>
      </c>
      <c r="C41" s="56">
        <v>11</v>
      </c>
      <c r="D41" s="56">
        <v>17.5</v>
      </c>
      <c r="E41" s="56">
        <v>177.5</v>
      </c>
      <c r="F41" s="56"/>
      <c r="G41" s="56"/>
      <c r="H41" s="56">
        <v>0.5</v>
      </c>
      <c r="I41" s="56"/>
      <c r="J41" s="56">
        <v>1.2</v>
      </c>
      <c r="K41" s="56"/>
      <c r="L41" s="56">
        <v>-0.7</v>
      </c>
      <c r="M41" s="56"/>
      <c r="N41" s="56">
        <v>11</v>
      </c>
      <c r="O41" s="56">
        <v>0.39588235294117646</v>
      </c>
      <c r="P41" s="56">
        <v>0.47505882352941176</v>
      </c>
      <c r="Q41" s="56">
        <v>2.4941176470588244E-2</v>
      </c>
      <c r="R41" s="56">
        <v>31.801470588235293</v>
      </c>
      <c r="S41" s="56"/>
      <c r="T41" s="56">
        <v>618.70000000000005</v>
      </c>
      <c r="U41" s="56"/>
      <c r="V41" s="56">
        <v>9667.9000000000015</v>
      </c>
      <c r="W41" s="56"/>
      <c r="X41" s="56"/>
      <c r="Y41" s="56">
        <v>12.620568111406389</v>
      </c>
    </row>
    <row r="42" spans="1:25" x14ac:dyDescent="0.35">
      <c r="A42" s="58">
        <v>42989</v>
      </c>
      <c r="B42" s="56">
        <v>14.7</v>
      </c>
      <c r="C42" s="56">
        <v>11.7</v>
      </c>
      <c r="D42" s="56">
        <v>18.3</v>
      </c>
      <c r="E42" s="56">
        <v>192.2</v>
      </c>
      <c r="F42" s="56"/>
      <c r="G42" s="56"/>
      <c r="H42" s="56">
        <v>0.2</v>
      </c>
      <c r="I42" s="56"/>
      <c r="J42" s="56">
        <v>2.6</v>
      </c>
      <c r="K42" s="56"/>
      <c r="L42" s="56">
        <v>-2.4</v>
      </c>
      <c r="M42" s="56"/>
      <c r="N42" s="56">
        <v>12</v>
      </c>
      <c r="O42" s="56">
        <v>0.40352941176470586</v>
      </c>
      <c r="P42" s="56">
        <v>1.0491764705882354</v>
      </c>
      <c r="Q42" s="56">
        <v>-0.84917647058823542</v>
      </c>
      <c r="R42" s="56">
        <v>30.952294117647057</v>
      </c>
      <c r="S42" s="56"/>
      <c r="T42" s="56">
        <v>1135.2</v>
      </c>
      <c r="U42" s="56"/>
      <c r="V42" s="56">
        <v>10803.100000000002</v>
      </c>
      <c r="W42" s="56"/>
      <c r="X42" s="56"/>
      <c r="Y42" s="56">
        <v>12.56172799279312</v>
      </c>
    </row>
    <row r="43" spans="1:25" x14ac:dyDescent="0.35">
      <c r="A43" s="58">
        <v>42990</v>
      </c>
      <c r="B43" s="56">
        <v>15.1</v>
      </c>
      <c r="C43" s="56">
        <v>11.6</v>
      </c>
      <c r="D43" s="56">
        <v>18.5</v>
      </c>
      <c r="E43" s="56">
        <v>207.29999999999998</v>
      </c>
      <c r="F43" s="56"/>
      <c r="G43" s="56"/>
      <c r="H43" s="56">
        <v>0.4</v>
      </c>
      <c r="I43" s="56"/>
      <c r="J43" s="56">
        <v>2.5</v>
      </c>
      <c r="K43" s="56"/>
      <c r="L43" s="56">
        <v>-2.1</v>
      </c>
      <c r="M43" s="56"/>
      <c r="N43" s="56">
        <v>13</v>
      </c>
      <c r="O43" s="56">
        <v>0.41117647058823525</v>
      </c>
      <c r="P43" s="56">
        <v>1.0279411764705881</v>
      </c>
      <c r="Q43" s="56">
        <v>-0.62794117647058811</v>
      </c>
      <c r="R43" s="56">
        <v>30.324352941176468</v>
      </c>
      <c r="S43" s="56"/>
      <c r="T43" s="56">
        <v>819.8</v>
      </c>
      <c r="U43" s="56"/>
      <c r="V43" s="56">
        <v>11622.900000000001</v>
      </c>
      <c r="W43" s="56"/>
      <c r="X43" s="56"/>
      <c r="Y43" s="56">
        <v>12.502808669448111</v>
      </c>
    </row>
    <row r="44" spans="1:25" x14ac:dyDescent="0.35">
      <c r="A44" s="58">
        <v>42991</v>
      </c>
      <c r="B44" s="56">
        <v>17.2</v>
      </c>
      <c r="C44" s="56">
        <v>15.5</v>
      </c>
      <c r="D44" s="56">
        <v>19.399999999999999</v>
      </c>
      <c r="E44" s="56">
        <v>224.49999999999997</v>
      </c>
      <c r="F44" s="56"/>
      <c r="G44" s="56"/>
      <c r="H44" s="56">
        <v>17.100000000000001</v>
      </c>
      <c r="I44" s="56"/>
      <c r="J44" s="56">
        <v>1.6</v>
      </c>
      <c r="K44" s="56"/>
      <c r="L44" s="56">
        <v>15.500000000000002</v>
      </c>
      <c r="M44" s="56"/>
      <c r="N44" s="56">
        <v>14</v>
      </c>
      <c r="O44" s="56">
        <v>0.41882352941176471</v>
      </c>
      <c r="P44" s="56">
        <v>0.6701176470588236</v>
      </c>
      <c r="Q44" s="56">
        <v>16.429882352941178</v>
      </c>
      <c r="R44" s="56">
        <v>46.754235294117649</v>
      </c>
      <c r="S44" s="56"/>
      <c r="T44" s="56">
        <v>426.2</v>
      </c>
      <c r="U44" s="56"/>
      <c r="V44" s="56">
        <v>12049.100000000002</v>
      </c>
      <c r="W44" s="56"/>
      <c r="X44" s="56"/>
      <c r="Y44" s="56">
        <v>12.4438188586983</v>
      </c>
    </row>
    <row r="45" spans="1:25" x14ac:dyDescent="0.35">
      <c r="A45" s="58">
        <v>42992</v>
      </c>
      <c r="B45" s="56">
        <v>13</v>
      </c>
      <c r="C45" s="56">
        <v>11.6</v>
      </c>
      <c r="D45" s="56">
        <v>15.8</v>
      </c>
      <c r="E45" s="56">
        <v>237.49999999999997</v>
      </c>
      <c r="F45" s="56"/>
      <c r="G45" s="56"/>
      <c r="H45" s="56">
        <v>0.4</v>
      </c>
      <c r="I45" s="56"/>
      <c r="J45" s="56">
        <v>2</v>
      </c>
      <c r="K45" s="56"/>
      <c r="L45" s="56">
        <v>-1.6</v>
      </c>
      <c r="M45" s="56"/>
      <c r="N45" s="56">
        <v>15</v>
      </c>
      <c r="O45" s="56">
        <v>0.4264705882352941</v>
      </c>
      <c r="P45" s="56">
        <v>0.8529411764705882</v>
      </c>
      <c r="Q45" s="56">
        <v>-0.45294117647058818</v>
      </c>
      <c r="R45" s="56">
        <v>46.30129411764706</v>
      </c>
      <c r="S45" s="56"/>
      <c r="T45" s="56">
        <v>947.6</v>
      </c>
      <c r="U45" s="56"/>
      <c r="V45" s="56">
        <v>12996.700000000003</v>
      </c>
      <c r="W45" s="56"/>
      <c r="X45" s="56"/>
      <c r="Y45" s="56">
        <v>12.384767151568125</v>
      </c>
    </row>
    <row r="46" spans="1:25" x14ac:dyDescent="0.35">
      <c r="A46" s="58">
        <v>42993</v>
      </c>
      <c r="B46" s="56">
        <v>11.5</v>
      </c>
      <c r="C46" s="56">
        <v>8</v>
      </c>
      <c r="D46" s="56">
        <v>16.5</v>
      </c>
      <c r="E46" s="56">
        <v>248.99999999999997</v>
      </c>
      <c r="F46" s="56"/>
      <c r="G46" s="56"/>
      <c r="H46" s="56">
        <v>4.5</v>
      </c>
      <c r="I46" s="56"/>
      <c r="J46" s="56">
        <v>1.9</v>
      </c>
      <c r="K46" s="56"/>
      <c r="L46" s="56">
        <v>2.6</v>
      </c>
      <c r="M46" s="56"/>
      <c r="N46" s="56">
        <v>16</v>
      </c>
      <c r="O46" s="56">
        <v>0.4341176470588235</v>
      </c>
      <c r="P46" s="56">
        <v>0.82482352941176462</v>
      </c>
      <c r="Q46" s="56">
        <v>3.6751764705882355</v>
      </c>
      <c r="R46" s="56">
        <v>49.976470588235294</v>
      </c>
      <c r="S46" s="56"/>
      <c r="T46" s="56">
        <v>1253.2</v>
      </c>
      <c r="U46" s="56"/>
      <c r="V46" s="56">
        <v>14249.900000000003</v>
      </c>
      <c r="W46" s="56"/>
      <c r="X46" s="56"/>
      <c r="Y46" s="56">
        <v>12.325662027424119</v>
      </c>
    </row>
    <row r="47" spans="1:25" x14ac:dyDescent="0.35">
      <c r="A47" s="58">
        <v>42994</v>
      </c>
      <c r="B47" s="56">
        <v>11.7</v>
      </c>
      <c r="C47" s="56">
        <v>8.6</v>
      </c>
      <c r="D47" s="56">
        <v>14.3</v>
      </c>
      <c r="E47" s="56">
        <v>260.7</v>
      </c>
      <c r="F47" s="56"/>
      <c r="G47" s="56"/>
      <c r="H47" s="56">
        <v>1.1000000000000001</v>
      </c>
      <c r="I47" s="56"/>
      <c r="J47" s="56">
        <v>1.2</v>
      </c>
      <c r="K47" s="56"/>
      <c r="L47" s="56">
        <v>-9.9999999999999867E-2</v>
      </c>
      <c r="M47" s="56"/>
      <c r="N47" s="56">
        <v>17</v>
      </c>
      <c r="O47" s="56">
        <v>0.44176470588235295</v>
      </c>
      <c r="P47" s="56">
        <v>0.53011764705882347</v>
      </c>
      <c r="Q47" s="56">
        <v>0.56988235294117662</v>
      </c>
      <c r="R47" s="56">
        <v>50.546352941176472</v>
      </c>
      <c r="S47" s="56"/>
      <c r="T47" s="56">
        <v>1037.4000000000001</v>
      </c>
      <c r="U47" s="56"/>
      <c r="V47" s="56">
        <v>15287.300000000003</v>
      </c>
      <c r="W47" s="56"/>
      <c r="X47" s="56"/>
      <c r="Y47" s="56">
        <v>12.266511868702503</v>
      </c>
    </row>
    <row r="48" spans="1:25" x14ac:dyDescent="0.35">
      <c r="A48" s="58">
        <v>42995</v>
      </c>
      <c r="B48" s="56">
        <v>10.199999999999999</v>
      </c>
      <c r="C48" s="56">
        <v>8.6999999999999993</v>
      </c>
      <c r="D48" s="56">
        <v>12.5</v>
      </c>
      <c r="E48" s="56">
        <v>270.89999999999998</v>
      </c>
      <c r="F48" s="56"/>
      <c r="G48" s="56"/>
      <c r="H48" s="56">
        <v>2</v>
      </c>
      <c r="I48" s="56"/>
      <c r="J48" s="56">
        <v>0.6</v>
      </c>
      <c r="K48" s="56"/>
      <c r="L48" s="56">
        <v>1.4</v>
      </c>
      <c r="M48" s="56"/>
      <c r="N48" s="56">
        <v>18</v>
      </c>
      <c r="O48" s="56">
        <v>0.44941176470588234</v>
      </c>
      <c r="P48" s="56">
        <v>0.26964705882352941</v>
      </c>
      <c r="Q48" s="56">
        <v>1.7303529411764706</v>
      </c>
      <c r="R48" s="56">
        <v>52.276705882352942</v>
      </c>
      <c r="S48" s="56"/>
      <c r="T48" s="56">
        <v>587</v>
      </c>
      <c r="U48" s="56"/>
      <c r="V48" s="56">
        <v>15874.300000000003</v>
      </c>
      <c r="W48" s="56"/>
      <c r="X48" s="56"/>
      <c r="Y48" s="56">
        <v>12.207324975706985</v>
      </c>
    </row>
    <row r="49" spans="1:25" x14ac:dyDescent="0.35">
      <c r="A49" s="58">
        <v>42996</v>
      </c>
      <c r="B49" s="56">
        <v>10</v>
      </c>
      <c r="C49" s="56">
        <v>5.2</v>
      </c>
      <c r="D49" s="56">
        <v>15.9</v>
      </c>
      <c r="E49" s="56">
        <v>280.89999999999998</v>
      </c>
      <c r="F49" s="56"/>
      <c r="G49" s="56"/>
      <c r="H49" s="56">
        <v>2.5</v>
      </c>
      <c r="I49" s="56"/>
      <c r="J49" s="56">
        <v>1.6</v>
      </c>
      <c r="K49" s="56"/>
      <c r="L49" s="56">
        <v>0.89999999999999991</v>
      </c>
      <c r="M49" s="56"/>
      <c r="N49" s="56">
        <v>19</v>
      </c>
      <c r="O49" s="56">
        <v>0.45705882352941174</v>
      </c>
      <c r="P49" s="56">
        <v>0.73129411764705887</v>
      </c>
      <c r="Q49" s="56">
        <v>1.7687058823529411</v>
      </c>
      <c r="R49" s="56">
        <v>54.045411764705882</v>
      </c>
      <c r="S49" s="56"/>
      <c r="T49" s="56">
        <v>1069.5</v>
      </c>
      <c r="U49" s="56"/>
      <c r="V49" s="56">
        <v>16943.800000000003</v>
      </c>
      <c r="W49" s="56"/>
      <c r="X49" s="56"/>
      <c r="Y49" s="56">
        <v>12.148109581464766</v>
      </c>
    </row>
    <row r="50" spans="1:25" x14ac:dyDescent="0.35">
      <c r="A50" s="58">
        <v>42997</v>
      </c>
      <c r="B50" s="56">
        <v>11.6</v>
      </c>
      <c r="C50" s="56">
        <v>8.6</v>
      </c>
      <c r="D50" s="56">
        <v>14.7</v>
      </c>
      <c r="E50" s="56">
        <v>292.5</v>
      </c>
      <c r="F50" s="56"/>
      <c r="G50" s="56"/>
      <c r="H50" s="56">
        <v>0.5</v>
      </c>
      <c r="I50" s="56"/>
      <c r="J50" s="56">
        <v>1.5</v>
      </c>
      <c r="K50" s="56"/>
      <c r="L50" s="56">
        <v>-1</v>
      </c>
      <c r="M50" s="56"/>
      <c r="N50" s="56">
        <v>20</v>
      </c>
      <c r="O50" s="56">
        <v>0.46470588235294119</v>
      </c>
      <c r="P50" s="56">
        <v>0.69705882352941173</v>
      </c>
      <c r="Q50" s="56">
        <v>-0.19705882352941173</v>
      </c>
      <c r="R50" s="56">
        <v>53.848352941176472</v>
      </c>
      <c r="S50" s="56"/>
      <c r="T50" s="56">
        <v>1112.5</v>
      </c>
      <c r="U50" s="56"/>
      <c r="V50" s="56">
        <v>18056.300000000003</v>
      </c>
      <c r="W50" s="56"/>
      <c r="X50" s="56"/>
      <c r="Y50" s="56">
        <v>12.088873866629303</v>
      </c>
    </row>
    <row r="51" spans="1:25" x14ac:dyDescent="0.35">
      <c r="A51" s="58">
        <v>42998</v>
      </c>
      <c r="B51" s="56">
        <v>12</v>
      </c>
      <c r="C51" s="56">
        <v>6.3</v>
      </c>
      <c r="D51" s="56">
        <v>18</v>
      </c>
      <c r="E51" s="56">
        <v>304.5</v>
      </c>
      <c r="F51" s="56"/>
      <c r="G51" s="56"/>
      <c r="H51" s="56">
        <v>0.1</v>
      </c>
      <c r="I51" s="56"/>
      <c r="J51" s="56">
        <v>2.1</v>
      </c>
      <c r="K51" s="56"/>
      <c r="L51" s="56">
        <v>-2</v>
      </c>
      <c r="M51" s="56"/>
      <c r="N51" s="56">
        <v>21</v>
      </c>
      <c r="O51" s="56">
        <v>0.47235294117647059</v>
      </c>
      <c r="P51" s="56">
        <v>0.99194117647058833</v>
      </c>
      <c r="Q51" s="56">
        <v>-0.89194117647058835</v>
      </c>
      <c r="R51" s="56">
        <v>52.956411764705884</v>
      </c>
      <c r="S51" s="56"/>
      <c r="T51" s="56">
        <v>1431.9</v>
      </c>
      <c r="U51" s="56"/>
      <c r="V51" s="56">
        <v>19488.200000000004</v>
      </c>
      <c r="W51" s="56"/>
      <c r="X51" s="56"/>
      <c r="Y51" s="56">
        <v>12.02962597441897</v>
      </c>
    </row>
    <row r="52" spans="1:25" x14ac:dyDescent="0.35">
      <c r="A52" s="58">
        <v>42999</v>
      </c>
      <c r="B52" s="56">
        <v>13.6</v>
      </c>
      <c r="C52" s="56">
        <v>7.6</v>
      </c>
      <c r="D52" s="56">
        <v>19.8</v>
      </c>
      <c r="E52" s="56">
        <v>318.10000000000002</v>
      </c>
      <c r="F52" s="56"/>
      <c r="G52" s="56"/>
      <c r="H52" s="56">
        <v>0</v>
      </c>
      <c r="I52" s="56"/>
      <c r="J52" s="56">
        <v>3</v>
      </c>
      <c r="K52" s="56"/>
      <c r="L52" s="56">
        <v>-3</v>
      </c>
      <c r="M52" s="56"/>
      <c r="N52" s="56">
        <v>22</v>
      </c>
      <c r="O52" s="56">
        <v>0.48</v>
      </c>
      <c r="P52" s="56">
        <v>1.44</v>
      </c>
      <c r="Q52" s="56">
        <v>-1.44</v>
      </c>
      <c r="R52" s="56">
        <v>51.516411764705886</v>
      </c>
      <c r="S52" s="56"/>
      <c r="T52" s="56">
        <v>1845.7</v>
      </c>
      <c r="U52" s="56"/>
      <c r="V52" s="56">
        <v>21333.900000000005</v>
      </c>
      <c r="W52" s="56"/>
      <c r="X52" s="56"/>
      <c r="Y52" s="56">
        <v>11.97037402558103</v>
      </c>
    </row>
    <row r="53" spans="1:25" x14ac:dyDescent="0.35">
      <c r="A53" s="58">
        <v>43000</v>
      </c>
      <c r="B53" s="56">
        <v>13.5</v>
      </c>
      <c r="C53" s="56">
        <v>10.8</v>
      </c>
      <c r="D53" s="56">
        <v>18.399999999999999</v>
      </c>
      <c r="E53" s="56">
        <v>331.6</v>
      </c>
      <c r="F53" s="56"/>
      <c r="G53" s="56"/>
      <c r="H53" s="56">
        <v>0.1</v>
      </c>
      <c r="I53" s="56"/>
      <c r="J53" s="56">
        <v>0.9</v>
      </c>
      <c r="K53" s="56"/>
      <c r="L53" s="56">
        <v>-0.8</v>
      </c>
      <c r="M53" s="56"/>
      <c r="N53" s="56">
        <v>23</v>
      </c>
      <c r="O53" s="56">
        <v>0.48764705882352943</v>
      </c>
      <c r="P53" s="56">
        <v>0.4388823529411765</v>
      </c>
      <c r="Q53" s="56">
        <v>-0.33888235294117652</v>
      </c>
      <c r="R53" s="56">
        <v>51.177529411764709</v>
      </c>
      <c r="S53" s="56"/>
      <c r="T53" s="56">
        <v>551.5</v>
      </c>
      <c r="U53" s="56"/>
      <c r="V53" s="56">
        <v>21885.400000000005</v>
      </c>
      <c r="W53" s="56"/>
      <c r="X53" s="56"/>
      <c r="Y53" s="56">
        <v>11.911126133370697</v>
      </c>
    </row>
    <row r="54" spans="1:25" x14ac:dyDescent="0.35">
      <c r="A54" s="58">
        <v>43001</v>
      </c>
      <c r="B54" s="56">
        <v>14.3</v>
      </c>
      <c r="C54" s="56">
        <v>7.8</v>
      </c>
      <c r="D54" s="56">
        <v>20.2</v>
      </c>
      <c r="E54" s="56">
        <v>345.90000000000003</v>
      </c>
      <c r="F54" s="56"/>
      <c r="G54" s="56"/>
      <c r="H54" s="56">
        <v>0</v>
      </c>
      <c r="I54" s="56"/>
      <c r="J54" s="56">
        <v>2.4</v>
      </c>
      <c r="K54" s="56"/>
      <c r="L54" s="56">
        <v>-2.4</v>
      </c>
      <c r="M54" s="56"/>
      <c r="N54" s="56">
        <v>24</v>
      </c>
      <c r="O54" s="56">
        <v>0.49529411764705877</v>
      </c>
      <c r="P54" s="56">
        <v>1.1887058823529411</v>
      </c>
      <c r="Q54" s="56">
        <v>-1.1887058823529411</v>
      </c>
      <c r="R54" s="56">
        <v>49.988823529411768</v>
      </c>
      <c r="S54" s="56"/>
      <c r="T54" s="56">
        <v>1610.9</v>
      </c>
      <c r="U54" s="56"/>
      <c r="V54" s="56">
        <v>23496.300000000007</v>
      </c>
      <c r="W54" s="56"/>
      <c r="X54" s="56"/>
      <c r="Y54" s="56">
        <v>11.851890418535236</v>
      </c>
    </row>
    <row r="55" spans="1:25" x14ac:dyDescent="0.35">
      <c r="A55" s="58">
        <v>43002</v>
      </c>
      <c r="B55" s="56">
        <v>17.399999999999999</v>
      </c>
      <c r="C55" s="56">
        <v>11.2</v>
      </c>
      <c r="D55" s="56">
        <v>23.9</v>
      </c>
      <c r="E55" s="56">
        <v>363.3</v>
      </c>
      <c r="F55" s="56"/>
      <c r="G55" s="56"/>
      <c r="H55" s="56">
        <v>0</v>
      </c>
      <c r="I55" s="56"/>
      <c r="J55" s="56">
        <v>2.5</v>
      </c>
      <c r="K55" s="56"/>
      <c r="L55" s="56">
        <v>-2.5</v>
      </c>
      <c r="M55" s="56"/>
      <c r="N55" s="56">
        <v>25</v>
      </c>
      <c r="O55" s="56">
        <v>0.50294117647058822</v>
      </c>
      <c r="P55" s="56">
        <v>1.2573529411764706</v>
      </c>
      <c r="Q55" s="56">
        <v>-1.2573529411764706</v>
      </c>
      <c r="R55" s="56">
        <v>48.731470588235297</v>
      </c>
      <c r="S55" s="56"/>
      <c r="T55" s="56">
        <v>1275.9000000000001</v>
      </c>
      <c r="U55" s="56"/>
      <c r="V55" s="56">
        <v>24772.200000000008</v>
      </c>
      <c r="W55" s="56"/>
      <c r="X55" s="56"/>
      <c r="Y55" s="56">
        <v>11.792675024293013</v>
      </c>
    </row>
    <row r="56" spans="1:25" x14ac:dyDescent="0.35">
      <c r="A56" s="58">
        <v>43003</v>
      </c>
      <c r="B56" s="56">
        <v>16.2</v>
      </c>
      <c r="C56" s="56">
        <v>14.3</v>
      </c>
      <c r="D56" s="56">
        <v>19.5</v>
      </c>
      <c r="E56" s="56">
        <v>379.5</v>
      </c>
      <c r="F56" s="56"/>
      <c r="G56" s="56"/>
      <c r="H56" s="56">
        <v>0.6</v>
      </c>
      <c r="I56" s="56"/>
      <c r="J56" s="56">
        <v>1.1000000000000001</v>
      </c>
      <c r="K56" s="56"/>
      <c r="L56" s="56">
        <v>-0.50000000000000011</v>
      </c>
      <c r="M56" s="56"/>
      <c r="N56" s="56">
        <v>26</v>
      </c>
      <c r="O56" s="56">
        <v>0.51058823529411768</v>
      </c>
      <c r="P56" s="56">
        <v>0.5616470588235295</v>
      </c>
      <c r="Q56" s="56">
        <v>3.8352941176470479E-2</v>
      </c>
      <c r="R56" s="56">
        <v>48.769823529411767</v>
      </c>
      <c r="S56" s="56"/>
      <c r="T56" s="56">
        <v>712.6</v>
      </c>
      <c r="U56" s="56"/>
      <c r="V56" s="56">
        <v>25484.800000000007</v>
      </c>
      <c r="W56" s="56"/>
      <c r="X56" s="56"/>
      <c r="Y56" s="56">
        <v>11.733488131297495</v>
      </c>
    </row>
    <row r="57" spans="1:25" x14ac:dyDescent="0.35">
      <c r="A57" s="58">
        <v>43004</v>
      </c>
      <c r="B57" s="56">
        <v>15.3</v>
      </c>
      <c r="C57" s="56">
        <v>12.5</v>
      </c>
      <c r="D57" s="56">
        <v>18</v>
      </c>
      <c r="E57" s="56">
        <v>394.8</v>
      </c>
      <c r="F57" s="56"/>
      <c r="G57" s="56"/>
      <c r="H57" s="56">
        <v>0.2</v>
      </c>
      <c r="I57" s="56"/>
      <c r="J57" s="56">
        <v>1</v>
      </c>
      <c r="K57" s="56"/>
      <c r="L57" s="56">
        <v>-0.8</v>
      </c>
      <c r="M57" s="56"/>
      <c r="N57" s="56">
        <v>27</v>
      </c>
      <c r="O57" s="56">
        <v>0.51823529411764713</v>
      </c>
      <c r="P57" s="56">
        <v>0.51823529411764713</v>
      </c>
      <c r="Q57" s="56">
        <v>-0.31823529411764712</v>
      </c>
      <c r="R57" s="56">
        <v>48.451588235294118</v>
      </c>
      <c r="S57" s="56"/>
      <c r="T57" s="56">
        <v>709.3</v>
      </c>
      <c r="U57" s="56"/>
      <c r="V57" s="56">
        <v>26194.100000000006</v>
      </c>
      <c r="W57" s="56"/>
      <c r="X57" s="56"/>
      <c r="Y57" s="56">
        <v>11.674337972575879</v>
      </c>
    </row>
    <row r="58" spans="1:25" x14ac:dyDescent="0.35">
      <c r="A58" s="58">
        <v>43005</v>
      </c>
      <c r="B58" s="56">
        <v>15.7</v>
      </c>
      <c r="C58" s="56">
        <v>10.1</v>
      </c>
      <c r="D58" s="56">
        <v>21.2</v>
      </c>
      <c r="E58" s="56">
        <v>410.5</v>
      </c>
      <c r="F58" s="56"/>
      <c r="G58" s="56"/>
      <c r="H58" s="56">
        <v>1.1000000000000001</v>
      </c>
      <c r="I58" s="56"/>
      <c r="J58" s="56">
        <v>1.7</v>
      </c>
      <c r="K58" s="56"/>
      <c r="L58" s="56">
        <v>-0.59999999999999987</v>
      </c>
      <c r="M58" s="56"/>
      <c r="N58" s="56">
        <v>28</v>
      </c>
      <c r="O58" s="56">
        <v>0.52588235294117647</v>
      </c>
      <c r="P58" s="56">
        <v>0.89400000000000002</v>
      </c>
      <c r="Q58" s="56">
        <v>0.20600000000000007</v>
      </c>
      <c r="R58" s="56">
        <v>48.657588235294121</v>
      </c>
      <c r="S58" s="56"/>
      <c r="T58" s="56">
        <v>1045.2</v>
      </c>
      <c r="U58" s="56"/>
      <c r="V58" s="56">
        <v>27239.300000000007</v>
      </c>
      <c r="W58" s="56"/>
      <c r="X58" s="56"/>
      <c r="Y58" s="56">
        <v>11.615232848431875</v>
      </c>
    </row>
    <row r="59" spans="1:25" x14ac:dyDescent="0.35">
      <c r="A59" s="58">
        <v>43006</v>
      </c>
      <c r="B59" s="56">
        <v>17.600000000000001</v>
      </c>
      <c r="C59" s="56">
        <v>14.3</v>
      </c>
      <c r="D59" s="56">
        <v>21.8</v>
      </c>
      <c r="E59" s="56">
        <v>428.1</v>
      </c>
      <c r="F59" s="56"/>
      <c r="G59" s="56"/>
      <c r="H59" s="56">
        <v>0</v>
      </c>
      <c r="I59" s="56"/>
      <c r="J59" s="56">
        <v>1.1000000000000001</v>
      </c>
      <c r="K59" s="56"/>
      <c r="L59" s="56">
        <v>-1.1000000000000001</v>
      </c>
      <c r="M59" s="56"/>
      <c r="N59" s="56">
        <v>29</v>
      </c>
      <c r="O59" s="56">
        <v>0.53352941176470581</v>
      </c>
      <c r="P59" s="56">
        <v>0.58688235294117641</v>
      </c>
      <c r="Q59" s="56">
        <v>-0.58688235294117641</v>
      </c>
      <c r="R59" s="56">
        <v>48.070705882352947</v>
      </c>
      <c r="S59" s="56"/>
      <c r="T59" s="56">
        <v>700.6</v>
      </c>
      <c r="U59" s="56"/>
      <c r="V59" s="56">
        <v>27939.900000000005</v>
      </c>
      <c r="W59" s="56"/>
      <c r="X59" s="56"/>
      <c r="Y59" s="56">
        <v>11.556181141301696</v>
      </c>
    </row>
    <row r="60" spans="1:25" x14ac:dyDescent="0.35">
      <c r="A60" s="58">
        <v>43007</v>
      </c>
      <c r="B60" s="56">
        <v>19</v>
      </c>
      <c r="C60" s="56">
        <v>14.6</v>
      </c>
      <c r="D60" s="56">
        <v>24.6</v>
      </c>
      <c r="E60" s="56">
        <v>447.1</v>
      </c>
      <c r="F60" s="56"/>
      <c r="G60" s="56"/>
      <c r="H60" s="56">
        <v>4.3</v>
      </c>
      <c r="I60" s="56"/>
      <c r="J60" s="56">
        <v>2.8</v>
      </c>
      <c r="K60" s="56"/>
      <c r="L60" s="56">
        <v>1.5</v>
      </c>
      <c r="M60" s="56"/>
      <c r="N60" s="56">
        <v>30</v>
      </c>
      <c r="O60" s="56">
        <v>0.54117647058823526</v>
      </c>
      <c r="P60" s="56">
        <v>1.5152941176470587</v>
      </c>
      <c r="Q60" s="56">
        <v>2.7847058823529411</v>
      </c>
      <c r="R60" s="56">
        <v>50.855411764705885</v>
      </c>
      <c r="S60" s="56"/>
      <c r="T60" s="56">
        <v>1348.1</v>
      </c>
      <c r="U60" s="56"/>
      <c r="V60" s="56">
        <v>29288.000000000004</v>
      </c>
      <c r="W60" s="56"/>
      <c r="X60" s="56"/>
      <c r="Y60" s="56">
        <v>11.497191330551889</v>
      </c>
    </row>
    <row r="61" spans="1:25" x14ac:dyDescent="0.35">
      <c r="A61" s="58">
        <v>43008</v>
      </c>
      <c r="B61" s="56">
        <v>14.9</v>
      </c>
      <c r="C61" s="56">
        <v>13</v>
      </c>
      <c r="D61" s="56">
        <v>17.5</v>
      </c>
      <c r="E61" s="56">
        <v>462</v>
      </c>
      <c r="F61" s="56"/>
      <c r="G61" s="56"/>
      <c r="H61" s="56">
        <v>0.7</v>
      </c>
      <c r="I61" s="56"/>
      <c r="J61" s="56">
        <v>1.9</v>
      </c>
      <c r="K61" s="56"/>
      <c r="L61" s="56">
        <v>-1.2</v>
      </c>
      <c r="M61" s="56"/>
      <c r="N61" s="56">
        <v>31</v>
      </c>
      <c r="O61" s="56">
        <v>0.54882352941176471</v>
      </c>
      <c r="P61" s="56">
        <v>1.0427647058823528</v>
      </c>
      <c r="Q61" s="56">
        <v>-0.34276470588235286</v>
      </c>
      <c r="R61" s="56">
        <v>50.512647058823532</v>
      </c>
      <c r="S61" s="56"/>
      <c r="T61" s="56">
        <v>852.1</v>
      </c>
      <c r="U61" s="56"/>
      <c r="V61" s="56">
        <v>30140.100000000002</v>
      </c>
      <c r="W61" s="56"/>
      <c r="X61" s="56"/>
      <c r="Y61" s="56">
        <v>11.438272007206884</v>
      </c>
    </row>
    <row r="62" spans="1:25" x14ac:dyDescent="0.35">
      <c r="A62" s="58">
        <v>43009</v>
      </c>
      <c r="B62" s="56">
        <v>14.4</v>
      </c>
      <c r="C62" s="56">
        <v>12.7</v>
      </c>
      <c r="D62" s="56">
        <v>15.9</v>
      </c>
      <c r="E62" s="56">
        <v>476.4</v>
      </c>
      <c r="F62" s="56"/>
      <c r="G62" s="56"/>
      <c r="H62" s="56">
        <v>2.2999999999999998</v>
      </c>
      <c r="I62" s="56"/>
      <c r="J62" s="56">
        <v>0.7</v>
      </c>
      <c r="K62" s="56"/>
      <c r="L62" s="56">
        <v>1.5999999999999999</v>
      </c>
      <c r="M62" s="56"/>
      <c r="N62" s="56">
        <v>32</v>
      </c>
      <c r="O62" s="56">
        <v>0.55647058823529405</v>
      </c>
      <c r="P62" s="56">
        <v>0.38952941176470579</v>
      </c>
      <c r="Q62" s="56">
        <v>1.9104705882352939</v>
      </c>
      <c r="R62" s="56">
        <v>52.423117647058824</v>
      </c>
      <c r="S62" s="56"/>
      <c r="T62" s="56">
        <v>414.9</v>
      </c>
      <c r="U62" s="56"/>
      <c r="V62" s="56">
        <v>30555.000000000004</v>
      </c>
      <c r="W62" s="56"/>
      <c r="X62" s="56"/>
      <c r="Y62" s="56">
        <v>11.379431888593611</v>
      </c>
    </row>
    <row r="63" spans="1:25" x14ac:dyDescent="0.35">
      <c r="A63" s="58">
        <v>43010</v>
      </c>
      <c r="B63" s="56">
        <v>17.5</v>
      </c>
      <c r="C63" s="56">
        <v>15.1</v>
      </c>
      <c r="D63" s="56">
        <v>19.5</v>
      </c>
      <c r="E63" s="56">
        <v>493.9</v>
      </c>
      <c r="F63" s="56"/>
      <c r="G63" s="56"/>
      <c r="H63" s="56">
        <v>2.8</v>
      </c>
      <c r="I63" s="56"/>
      <c r="J63" s="56">
        <v>1.1000000000000001</v>
      </c>
      <c r="K63" s="56"/>
      <c r="L63" s="56">
        <v>1.6999999999999997</v>
      </c>
      <c r="M63" s="56"/>
      <c r="N63" s="56">
        <v>33</v>
      </c>
      <c r="O63" s="56">
        <v>0.5641176470588235</v>
      </c>
      <c r="P63" s="56">
        <v>0.62052941176470588</v>
      </c>
      <c r="Q63" s="56">
        <v>2.179470588235294</v>
      </c>
      <c r="R63" s="56">
        <v>54.602588235294121</v>
      </c>
      <c r="S63" s="56"/>
      <c r="T63" s="56">
        <v>717.8</v>
      </c>
      <c r="U63" s="56"/>
      <c r="V63" s="56">
        <v>31272.800000000003</v>
      </c>
      <c r="W63" s="56"/>
      <c r="X63" s="56"/>
      <c r="Y63" s="56">
        <v>11.32067983288956</v>
      </c>
    </row>
    <row r="64" spans="1:25" x14ac:dyDescent="0.35">
      <c r="A64" s="58">
        <v>43011</v>
      </c>
      <c r="B64" s="56">
        <v>13.8</v>
      </c>
      <c r="C64" s="56">
        <v>12.8</v>
      </c>
      <c r="D64" s="56">
        <v>17.600000000000001</v>
      </c>
      <c r="E64" s="56">
        <v>507.7</v>
      </c>
      <c r="F64" s="56"/>
      <c r="G64" s="56"/>
      <c r="H64" s="56">
        <v>0</v>
      </c>
      <c r="I64" s="56"/>
      <c r="J64" s="56">
        <v>2</v>
      </c>
      <c r="K64" s="56"/>
      <c r="L64" s="56">
        <v>-2</v>
      </c>
      <c r="M64" s="56"/>
      <c r="N64" s="56">
        <v>34</v>
      </c>
      <c r="O64" s="56">
        <v>0.57176470588235295</v>
      </c>
      <c r="P64" s="56">
        <v>1.1435294117647059</v>
      </c>
      <c r="Q64" s="56">
        <v>-1.1435294117647059</v>
      </c>
      <c r="R64" s="56">
        <v>53.459058823529418</v>
      </c>
      <c r="S64" s="56"/>
      <c r="T64" s="56">
        <v>890.7</v>
      </c>
      <c r="U64" s="56"/>
      <c r="V64" s="56">
        <v>32163.500000000004</v>
      </c>
      <c r="W64" s="56"/>
      <c r="X64" s="56"/>
      <c r="Y64" s="56">
        <v>11.2620248535597</v>
      </c>
    </row>
    <row r="65" spans="1:25" x14ac:dyDescent="0.35">
      <c r="A65" s="58">
        <v>43012</v>
      </c>
      <c r="B65" s="56">
        <v>11.3</v>
      </c>
      <c r="C65" s="56">
        <v>5.8</v>
      </c>
      <c r="D65" s="56">
        <v>17.7</v>
      </c>
      <c r="E65" s="56">
        <v>519</v>
      </c>
      <c r="F65" s="56"/>
      <c r="G65" s="56"/>
      <c r="H65" s="56">
        <v>0.1</v>
      </c>
      <c r="I65" s="56"/>
      <c r="J65" s="56">
        <v>2.2999999999999998</v>
      </c>
      <c r="K65" s="56"/>
      <c r="L65" s="56">
        <v>-2.1999999999999997</v>
      </c>
      <c r="M65" s="56"/>
      <c r="N65" s="56">
        <v>35</v>
      </c>
      <c r="O65" s="56">
        <v>0.57941176470588229</v>
      </c>
      <c r="P65" s="56">
        <v>1.3326470588235291</v>
      </c>
      <c r="Q65" s="56">
        <v>-1.232647058823529</v>
      </c>
      <c r="R65" s="56">
        <v>52.226411764705887</v>
      </c>
      <c r="S65" s="56"/>
      <c r="T65" s="56">
        <v>1372.2</v>
      </c>
      <c r="U65" s="56"/>
      <c r="V65" s="56">
        <v>33535.700000000004</v>
      </c>
      <c r="W65" s="56"/>
      <c r="X65" s="56"/>
      <c r="Y65" s="56">
        <v>11.203476133666761</v>
      </c>
    </row>
    <row r="66" spans="1:25" x14ac:dyDescent="0.35">
      <c r="A66" s="58">
        <v>43013</v>
      </c>
      <c r="B66" s="56">
        <v>11.1</v>
      </c>
      <c r="C66" s="56">
        <v>6.4</v>
      </c>
      <c r="D66" s="56">
        <v>16.399999999999999</v>
      </c>
      <c r="E66" s="56">
        <v>530.1</v>
      </c>
      <c r="F66" s="56"/>
      <c r="G66" s="56"/>
      <c r="H66" s="56">
        <v>0.5</v>
      </c>
      <c r="I66" s="56"/>
      <c r="J66" s="56">
        <v>1.1000000000000001</v>
      </c>
      <c r="K66" s="56"/>
      <c r="L66" s="56">
        <v>-0.60000000000000009</v>
      </c>
      <c r="M66" s="56"/>
      <c r="N66" s="56">
        <v>36</v>
      </c>
      <c r="O66" s="56">
        <v>0.58705882352941174</v>
      </c>
      <c r="P66" s="56">
        <v>0.64576470588235302</v>
      </c>
      <c r="Q66" s="56">
        <v>-0.14576470588235302</v>
      </c>
      <c r="R66" s="56">
        <v>52.080647058823537</v>
      </c>
      <c r="S66" s="56"/>
      <c r="T66" s="56">
        <v>597.79999999999995</v>
      </c>
      <c r="U66" s="56"/>
      <c r="V66" s="56">
        <v>34133.500000000007</v>
      </c>
      <c r="W66" s="56"/>
      <c r="X66" s="56"/>
      <c r="Y66" s="56">
        <v>11.145043040038079</v>
      </c>
    </row>
    <row r="67" spans="1:25" x14ac:dyDescent="0.35">
      <c r="A67" s="58">
        <v>43014</v>
      </c>
      <c r="B67" s="56">
        <v>10</v>
      </c>
      <c r="C67" s="56">
        <v>7.3</v>
      </c>
      <c r="D67" s="56">
        <v>14.6</v>
      </c>
      <c r="E67" s="56">
        <v>540.1</v>
      </c>
      <c r="F67" s="56"/>
      <c r="G67" s="56"/>
      <c r="H67" s="56">
        <v>0</v>
      </c>
      <c r="I67" s="56"/>
      <c r="J67" s="56">
        <v>1.3</v>
      </c>
      <c r="K67" s="56"/>
      <c r="L67" s="56">
        <v>-1.3</v>
      </c>
      <c r="M67" s="56"/>
      <c r="N67" s="56">
        <v>37</v>
      </c>
      <c r="O67" s="56">
        <v>0.5947058823529412</v>
      </c>
      <c r="P67" s="56">
        <v>0.77311764705882358</v>
      </c>
      <c r="Q67" s="56">
        <v>-0.77311764705882358</v>
      </c>
      <c r="R67" s="56">
        <v>51.307529411764712</v>
      </c>
      <c r="S67" s="56"/>
      <c r="T67" s="56">
        <v>729.8</v>
      </c>
      <c r="U67" s="56"/>
      <c r="V67" s="56">
        <v>34863.30000000001</v>
      </c>
      <c r="W67" s="56"/>
      <c r="X67" s="56"/>
      <c r="Y67" s="56">
        <v>11.086735137270988</v>
      </c>
    </row>
    <row r="68" spans="1:25" x14ac:dyDescent="0.35">
      <c r="A68" s="58">
        <v>43015</v>
      </c>
      <c r="B68" s="56">
        <v>10.6</v>
      </c>
      <c r="C68" s="56">
        <v>2.7</v>
      </c>
      <c r="D68" s="56">
        <v>15.8</v>
      </c>
      <c r="E68" s="56">
        <v>550.70000000000005</v>
      </c>
      <c r="F68" s="56"/>
      <c r="G68" s="56"/>
      <c r="H68" s="56">
        <v>1.9</v>
      </c>
      <c r="I68" s="56"/>
      <c r="J68" s="56">
        <v>1.8</v>
      </c>
      <c r="K68" s="56"/>
      <c r="L68" s="56">
        <v>9.9999999999999867E-2</v>
      </c>
      <c r="M68" s="56"/>
      <c r="N68" s="56">
        <v>38</v>
      </c>
      <c r="O68" s="56">
        <v>0.60235294117647054</v>
      </c>
      <c r="P68" s="56">
        <v>1.084235294117647</v>
      </c>
      <c r="Q68" s="56">
        <v>0.81576470588235295</v>
      </c>
      <c r="R68" s="56">
        <v>52.123294117647063</v>
      </c>
      <c r="S68" s="56"/>
      <c r="T68" s="56">
        <v>1385.2</v>
      </c>
      <c r="U68" s="56"/>
      <c r="V68" s="56">
        <v>36248.500000000007</v>
      </c>
      <c r="W68" s="56"/>
      <c r="X68" s="56"/>
      <c r="Y68" s="56">
        <v>11.028562201557394</v>
      </c>
    </row>
    <row r="69" spans="1:25" x14ac:dyDescent="0.35">
      <c r="A69" s="58">
        <v>43016</v>
      </c>
      <c r="B69" s="56">
        <v>13.6</v>
      </c>
      <c r="C69" s="56">
        <v>12.2</v>
      </c>
      <c r="D69" s="56">
        <v>16.600000000000001</v>
      </c>
      <c r="E69" s="56">
        <v>564.30000000000007</v>
      </c>
      <c r="F69" s="56"/>
      <c r="G69" s="56"/>
      <c r="H69" s="56">
        <v>0.1</v>
      </c>
      <c r="I69" s="56"/>
      <c r="J69" s="56">
        <v>1</v>
      </c>
      <c r="K69" s="56"/>
      <c r="L69" s="56">
        <v>-0.9</v>
      </c>
      <c r="M69" s="56"/>
      <c r="N69" s="56">
        <v>39</v>
      </c>
      <c r="O69" s="56">
        <v>0.61</v>
      </c>
      <c r="P69" s="56">
        <v>0.61</v>
      </c>
      <c r="Q69" s="56">
        <v>-0.51</v>
      </c>
      <c r="R69" s="56">
        <v>51.613294117647065</v>
      </c>
      <c r="S69" s="56"/>
      <c r="T69" s="56">
        <v>395.9</v>
      </c>
      <c r="U69" s="56"/>
      <c r="V69" s="56">
        <v>36644.400000000009</v>
      </c>
      <c r="W69" s="56"/>
      <c r="X69" s="56"/>
      <c r="Y69" s="56">
        <v>10.970534234306607</v>
      </c>
    </row>
    <row r="70" spans="1:25" x14ac:dyDescent="0.35">
      <c r="A70" s="58">
        <v>43017</v>
      </c>
      <c r="B70" s="56">
        <v>12.8</v>
      </c>
      <c r="C70" s="56">
        <v>8.5</v>
      </c>
      <c r="D70" s="56">
        <v>17.5</v>
      </c>
      <c r="E70" s="56">
        <v>577.1</v>
      </c>
      <c r="F70" s="56"/>
      <c r="G70" s="56"/>
      <c r="H70" s="56">
        <v>0</v>
      </c>
      <c r="I70" s="56"/>
      <c r="J70" s="56">
        <v>0.6</v>
      </c>
      <c r="K70" s="56"/>
      <c r="L70" s="56">
        <v>-0.6</v>
      </c>
      <c r="M70" s="56"/>
      <c r="N70" s="56">
        <v>40</v>
      </c>
      <c r="O70" s="56">
        <v>0.61764705882352944</v>
      </c>
      <c r="P70" s="56">
        <v>0.37058823529411766</v>
      </c>
      <c r="Q70" s="56">
        <v>-0.37058823529411766</v>
      </c>
      <c r="R70" s="56">
        <v>51.242705882352951</v>
      </c>
      <c r="S70" s="56"/>
      <c r="T70" s="56">
        <v>367.1</v>
      </c>
      <c r="U70" s="56"/>
      <c r="V70" s="56">
        <v>37011.500000000007</v>
      </c>
      <c r="W70" s="56"/>
      <c r="X70" s="56"/>
      <c r="Y70" s="56">
        <v>10.91266147554402</v>
      </c>
    </row>
    <row r="71" spans="1:25" x14ac:dyDescent="0.35">
      <c r="A71" s="58">
        <v>43018</v>
      </c>
      <c r="B71" s="56">
        <v>14.7</v>
      </c>
      <c r="C71" s="56">
        <v>12.9</v>
      </c>
      <c r="D71" s="56">
        <v>16.399999999999999</v>
      </c>
      <c r="E71" s="56">
        <v>591.80000000000007</v>
      </c>
      <c r="F71" s="56"/>
      <c r="G71" s="56"/>
      <c r="H71" s="56">
        <v>0</v>
      </c>
      <c r="I71" s="56"/>
      <c r="J71" s="56">
        <v>0.8</v>
      </c>
      <c r="K71" s="56"/>
      <c r="L71" s="56">
        <v>-0.8</v>
      </c>
      <c r="M71" s="56"/>
      <c r="N71" s="56">
        <v>41</v>
      </c>
      <c r="O71" s="56">
        <v>0.62529411764705878</v>
      </c>
      <c r="P71" s="56">
        <v>0.500235294117647</v>
      </c>
      <c r="Q71" s="56">
        <v>-0.500235294117647</v>
      </c>
      <c r="R71" s="56">
        <v>50.742470588235307</v>
      </c>
      <c r="S71" s="56"/>
      <c r="T71" s="56">
        <v>528.6</v>
      </c>
      <c r="U71" s="56"/>
      <c r="V71" s="56">
        <v>37540.100000000006</v>
      </c>
      <c r="W71" s="56"/>
      <c r="X71" s="56"/>
      <c r="Y71" s="56">
        <v>10.85495441706149</v>
      </c>
    </row>
    <row r="72" spans="1:25" x14ac:dyDescent="0.35">
      <c r="A72" s="58">
        <v>43019</v>
      </c>
      <c r="B72" s="56">
        <v>15.7</v>
      </c>
      <c r="C72" s="56">
        <v>12.6</v>
      </c>
      <c r="D72" s="56">
        <v>19.600000000000001</v>
      </c>
      <c r="E72" s="56">
        <v>607.50000000000011</v>
      </c>
      <c r="F72" s="56"/>
      <c r="G72" s="56"/>
      <c r="H72" s="56">
        <v>0</v>
      </c>
      <c r="I72" s="56"/>
      <c r="J72" s="56">
        <v>1.4</v>
      </c>
      <c r="K72" s="56"/>
      <c r="L72" s="56">
        <v>-1.4</v>
      </c>
      <c r="M72" s="56"/>
      <c r="N72" s="56">
        <v>42</v>
      </c>
      <c r="O72" s="56">
        <v>0.63294117647058823</v>
      </c>
      <c r="P72" s="56">
        <v>0.88611764705882345</v>
      </c>
      <c r="Q72" s="56">
        <v>-0.88611764705882345</v>
      </c>
      <c r="R72" s="56">
        <v>49.856352941176482</v>
      </c>
      <c r="S72" s="56"/>
      <c r="T72" s="56">
        <v>605.70000000000005</v>
      </c>
      <c r="U72" s="56"/>
      <c r="V72" s="56">
        <v>38145.800000000003</v>
      </c>
      <c r="W72" s="56"/>
      <c r="X72" s="56"/>
      <c r="Y72" s="56">
        <v>10.797423815293467</v>
      </c>
    </row>
    <row r="73" spans="1:25" x14ac:dyDescent="0.35">
      <c r="A73" s="58">
        <v>43020</v>
      </c>
      <c r="B73" s="56">
        <v>16.600000000000001</v>
      </c>
      <c r="C73" s="56">
        <v>14.4</v>
      </c>
      <c r="D73" s="56">
        <v>20.100000000000001</v>
      </c>
      <c r="E73" s="56">
        <v>624.10000000000014</v>
      </c>
      <c r="F73" s="56"/>
      <c r="G73" s="56"/>
      <c r="H73" s="56">
        <v>0.1</v>
      </c>
      <c r="I73" s="56"/>
      <c r="J73" s="56">
        <v>1.3</v>
      </c>
      <c r="K73" s="56"/>
      <c r="L73" s="56">
        <v>-1.2</v>
      </c>
      <c r="M73" s="56"/>
      <c r="N73" s="56">
        <v>43</v>
      </c>
      <c r="O73" s="56">
        <v>0.64058823529411768</v>
      </c>
      <c r="P73" s="56">
        <v>0.83276470588235296</v>
      </c>
      <c r="Q73" s="56">
        <v>-0.73276470588235298</v>
      </c>
      <c r="R73" s="56">
        <v>49.123588235294129</v>
      </c>
      <c r="S73" s="56"/>
      <c r="T73" s="56">
        <v>276.8</v>
      </c>
      <c r="U73" s="56"/>
      <c r="V73" s="56">
        <v>38422.600000000006</v>
      </c>
      <c r="W73" s="56"/>
      <c r="X73" s="56"/>
      <c r="Y73" s="56">
        <v>10.74008070389111</v>
      </c>
    </row>
    <row r="74" spans="1:25" x14ac:dyDescent="0.35">
      <c r="A74" s="58">
        <v>43021</v>
      </c>
      <c r="B74" s="56">
        <v>15.4</v>
      </c>
      <c r="C74" s="56">
        <v>10.3</v>
      </c>
      <c r="D74" s="56">
        <v>21.2</v>
      </c>
      <c r="E74" s="56">
        <v>639.50000000000011</v>
      </c>
      <c r="F74" s="56"/>
      <c r="G74" s="56"/>
      <c r="H74" s="56">
        <v>0.1</v>
      </c>
      <c r="I74" s="56"/>
      <c r="J74" s="56">
        <v>1.5</v>
      </c>
      <c r="K74" s="56"/>
      <c r="L74" s="56">
        <v>-1.4</v>
      </c>
      <c r="M74" s="56"/>
      <c r="N74" s="56">
        <v>44</v>
      </c>
      <c r="O74" s="56">
        <v>0.64823529411764702</v>
      </c>
      <c r="P74" s="56">
        <v>0.97235294117647053</v>
      </c>
      <c r="Q74" s="56">
        <v>-0.87235294117647055</v>
      </c>
      <c r="R74" s="56">
        <v>48.251235294117656</v>
      </c>
      <c r="S74" s="56"/>
      <c r="T74" s="56">
        <v>828.6</v>
      </c>
      <c r="U74" s="56"/>
      <c r="V74" s="56">
        <v>39251.200000000004</v>
      </c>
      <c r="W74" s="56"/>
      <c r="X74" s="56"/>
      <c r="Y74" s="56">
        <v>10.682936405964647</v>
      </c>
    </row>
    <row r="75" spans="1:25" x14ac:dyDescent="0.35">
      <c r="A75" s="58">
        <v>43022</v>
      </c>
      <c r="B75" s="56">
        <v>14.7</v>
      </c>
      <c r="C75" s="56">
        <v>7.8</v>
      </c>
      <c r="D75" s="56">
        <v>21.9</v>
      </c>
      <c r="E75" s="56">
        <v>654.20000000000016</v>
      </c>
      <c r="F75" s="56"/>
      <c r="G75" s="56"/>
      <c r="H75" s="56">
        <v>0.1</v>
      </c>
      <c r="I75" s="56"/>
      <c r="J75" s="56">
        <v>2.5</v>
      </c>
      <c r="K75" s="56"/>
      <c r="L75" s="56">
        <v>-2.4</v>
      </c>
      <c r="M75" s="56"/>
      <c r="N75" s="56">
        <v>45</v>
      </c>
      <c r="O75" s="56">
        <v>0.65588235294117647</v>
      </c>
      <c r="P75" s="56">
        <v>1.6397058823529411</v>
      </c>
      <c r="Q75" s="56">
        <v>-1.539705882352941</v>
      </c>
      <c r="R75" s="56">
        <v>46.711529411764715</v>
      </c>
      <c r="S75" s="56"/>
      <c r="T75" s="56">
        <v>1261.9000000000001</v>
      </c>
      <c r="U75" s="56"/>
      <c r="V75" s="56">
        <v>40513.100000000006</v>
      </c>
      <c r="W75" s="56"/>
      <c r="X75" s="56"/>
      <c r="Y75" s="56">
        <v>10.626002545962196</v>
      </c>
    </row>
    <row r="76" spans="1:25" x14ac:dyDescent="0.35">
      <c r="A76" s="58">
        <v>43023</v>
      </c>
      <c r="B76" s="56">
        <v>16.7</v>
      </c>
      <c r="C76" s="56">
        <v>9.6999999999999993</v>
      </c>
      <c r="D76" s="56">
        <v>23.1</v>
      </c>
      <c r="E76" s="56">
        <v>670.9000000000002</v>
      </c>
      <c r="F76" s="56"/>
      <c r="G76" s="56"/>
      <c r="H76" s="56">
        <v>0</v>
      </c>
      <c r="I76" s="56"/>
      <c r="J76" s="56">
        <v>2.4</v>
      </c>
      <c r="K76" s="56"/>
      <c r="L76" s="56">
        <v>-2.4</v>
      </c>
      <c r="M76" s="56"/>
      <c r="N76" s="56">
        <v>46</v>
      </c>
      <c r="O76" s="56">
        <v>0.66352941176470592</v>
      </c>
      <c r="P76" s="56">
        <v>1.5924705882352941</v>
      </c>
      <c r="Q76" s="56">
        <v>-1.5924705882352941</v>
      </c>
      <c r="R76" s="56">
        <v>45.119058823529421</v>
      </c>
      <c r="S76" s="56"/>
      <c r="T76" s="56">
        <v>1275.4000000000001</v>
      </c>
      <c r="U76" s="56"/>
      <c r="V76" s="56">
        <v>41788.500000000007</v>
      </c>
      <c r="W76" s="56"/>
      <c r="X76" s="56"/>
      <c r="Y76" s="56">
        <v>10.56929106115115</v>
      </c>
    </row>
    <row r="77" spans="1:25" x14ac:dyDescent="0.35">
      <c r="A77" s="58">
        <v>43024</v>
      </c>
      <c r="B77" s="56">
        <v>17.5</v>
      </c>
      <c r="C77" s="56">
        <v>12.3</v>
      </c>
      <c r="D77" s="56">
        <v>24.8</v>
      </c>
      <c r="E77" s="56">
        <v>688.4000000000002</v>
      </c>
      <c r="F77" s="56"/>
      <c r="G77" s="56"/>
      <c r="H77" s="56">
        <v>0</v>
      </c>
      <c r="I77" s="56"/>
      <c r="J77" s="56">
        <v>2.8</v>
      </c>
      <c r="K77" s="56"/>
      <c r="L77" s="56">
        <v>-2.8</v>
      </c>
      <c r="M77" s="56"/>
      <c r="N77" s="56">
        <v>47</v>
      </c>
      <c r="O77" s="56">
        <v>0.67117647058823526</v>
      </c>
      <c r="P77" s="56">
        <v>1.8792941176470586</v>
      </c>
      <c r="Q77" s="56">
        <v>-1.8792941176470586</v>
      </c>
      <c r="R77" s="56">
        <v>43.239764705882365</v>
      </c>
      <c r="S77" s="56"/>
      <c r="T77" s="56">
        <v>1271.9000000000001</v>
      </c>
      <c r="U77" s="56"/>
      <c r="V77" s="56">
        <v>43060.400000000009</v>
      </c>
      <c r="W77" s="56"/>
      <c r="X77" s="56"/>
      <c r="Y77" s="56">
        <v>10.512814212666026</v>
      </c>
    </row>
    <row r="78" spans="1:25" x14ac:dyDescent="0.35">
      <c r="A78" s="58">
        <v>43025</v>
      </c>
      <c r="B78" s="56">
        <v>16.600000000000001</v>
      </c>
      <c r="C78" s="56">
        <v>12.5</v>
      </c>
      <c r="D78" s="56">
        <v>21.7</v>
      </c>
      <c r="E78" s="56">
        <v>705.00000000000023</v>
      </c>
      <c r="F78" s="56"/>
      <c r="G78" s="56"/>
      <c r="H78" s="56">
        <v>0</v>
      </c>
      <c r="I78" s="56"/>
      <c r="J78" s="56">
        <v>2.1</v>
      </c>
      <c r="K78" s="56"/>
      <c r="L78" s="56">
        <v>-2.1</v>
      </c>
      <c r="M78" s="56"/>
      <c r="N78" s="56">
        <v>48</v>
      </c>
      <c r="O78" s="56">
        <v>0.6788235294117646</v>
      </c>
      <c r="P78" s="56">
        <v>1.4255294117647057</v>
      </c>
      <c r="Q78" s="56">
        <v>-1.4255294117647057</v>
      </c>
      <c r="R78" s="56">
        <v>41.814235294117658</v>
      </c>
      <c r="S78" s="56"/>
      <c r="T78" s="56">
        <v>1296.5999999999999</v>
      </c>
      <c r="U78" s="56"/>
      <c r="V78" s="56">
        <v>44357.000000000007</v>
      </c>
      <c r="W78" s="56"/>
      <c r="X78" s="56"/>
      <c r="Y78" s="56">
        <v>10.456584596084546</v>
      </c>
    </row>
    <row r="79" spans="1:25" x14ac:dyDescent="0.35">
      <c r="A79" s="58">
        <v>43026</v>
      </c>
      <c r="B79" s="56">
        <v>15.4</v>
      </c>
      <c r="C79" s="56">
        <v>12.3</v>
      </c>
      <c r="D79" s="56">
        <v>19.100000000000001</v>
      </c>
      <c r="E79" s="56">
        <v>720.4000000000002</v>
      </c>
      <c r="F79" s="56"/>
      <c r="G79" s="56"/>
      <c r="H79" s="56">
        <v>0.4</v>
      </c>
      <c r="I79" s="56"/>
      <c r="J79" s="56">
        <v>1</v>
      </c>
      <c r="K79" s="56"/>
      <c r="L79" s="56">
        <v>-0.6</v>
      </c>
      <c r="M79" s="56"/>
      <c r="N79" s="56">
        <v>49</v>
      </c>
      <c r="O79" s="56">
        <v>0.68647058823529417</v>
      </c>
      <c r="P79" s="56">
        <v>0.68647058823529417</v>
      </c>
      <c r="Q79" s="56">
        <v>-0.28647058823529414</v>
      </c>
      <c r="R79" s="56">
        <v>41.527764705882362</v>
      </c>
      <c r="S79" s="56"/>
      <c r="T79" s="56">
        <v>578.70000000000005</v>
      </c>
      <c r="U79" s="56"/>
      <c r="V79" s="56">
        <v>44935.700000000004</v>
      </c>
      <c r="W79" s="56"/>
      <c r="X79" s="56"/>
      <c r="Y79" s="56">
        <v>10.400615151491301</v>
      </c>
    </row>
    <row r="80" spans="1:25" x14ac:dyDescent="0.35">
      <c r="A80" s="58">
        <v>43027</v>
      </c>
      <c r="B80" s="56">
        <v>15.8</v>
      </c>
      <c r="C80" s="56">
        <v>12.7</v>
      </c>
      <c r="D80" s="56">
        <v>19.5</v>
      </c>
      <c r="E80" s="56">
        <v>736.20000000000016</v>
      </c>
      <c r="F80" s="56"/>
      <c r="G80" s="56"/>
      <c r="H80" s="56">
        <v>3.3</v>
      </c>
      <c r="I80" s="56"/>
      <c r="J80" s="56">
        <v>1.8</v>
      </c>
      <c r="K80" s="56"/>
      <c r="L80" s="56">
        <v>1.4999999999999998</v>
      </c>
      <c r="M80" s="56"/>
      <c r="N80" s="56">
        <v>50</v>
      </c>
      <c r="O80" s="56">
        <v>0.69411764705882351</v>
      </c>
      <c r="P80" s="56">
        <v>1.2494117647058824</v>
      </c>
      <c r="Q80" s="56">
        <v>2.0505882352941174</v>
      </c>
      <c r="R80" s="56">
        <v>43.578352941176476</v>
      </c>
      <c r="S80" s="56"/>
      <c r="T80" s="56">
        <v>624.9</v>
      </c>
      <c r="U80" s="56"/>
      <c r="V80" s="56">
        <v>45560.600000000006</v>
      </c>
      <c r="W80" s="56"/>
      <c r="X80" s="56"/>
      <c r="Y80" s="56">
        <v>10.344919172986113</v>
      </c>
    </row>
    <row r="81" spans="1:25" x14ac:dyDescent="0.35">
      <c r="A81" s="58">
        <v>43028</v>
      </c>
      <c r="B81" s="56">
        <v>13.7</v>
      </c>
      <c r="C81" s="56">
        <v>10.8</v>
      </c>
      <c r="D81" s="56">
        <v>16.2</v>
      </c>
      <c r="E81" s="56">
        <v>749.9000000000002</v>
      </c>
      <c r="F81" s="56"/>
      <c r="G81" s="56"/>
      <c r="H81" s="56">
        <v>1</v>
      </c>
      <c r="I81" s="56"/>
      <c r="J81" s="56">
        <v>1.6</v>
      </c>
      <c r="K81" s="56"/>
      <c r="L81" s="56">
        <v>-0.60000000000000009</v>
      </c>
      <c r="M81" s="56"/>
      <c r="N81" s="56">
        <v>51</v>
      </c>
      <c r="O81" s="56">
        <v>0.70176470588235285</v>
      </c>
      <c r="P81" s="56">
        <v>1.1228235294117646</v>
      </c>
      <c r="Q81" s="56">
        <v>-0.12282352941176455</v>
      </c>
      <c r="R81" s="56">
        <v>43.455529411764715</v>
      </c>
      <c r="S81" s="56"/>
      <c r="T81" s="56">
        <v>840.2</v>
      </c>
      <c r="U81" s="56"/>
      <c r="V81" s="56">
        <v>46400.800000000003</v>
      </c>
      <c r="W81" s="56"/>
      <c r="X81" s="56"/>
      <c r="Y81" s="56">
        <v>10.289510317591857</v>
      </c>
    </row>
    <row r="82" spans="1:25" x14ac:dyDescent="0.35">
      <c r="A82" s="58">
        <v>43029</v>
      </c>
      <c r="B82" s="56">
        <v>13.3</v>
      </c>
      <c r="C82" s="56">
        <v>12.2</v>
      </c>
      <c r="D82" s="56">
        <v>15.6</v>
      </c>
      <c r="E82" s="56">
        <v>763.20000000000016</v>
      </c>
      <c r="F82" s="56"/>
      <c r="G82" s="56"/>
      <c r="H82" s="56">
        <v>1.6</v>
      </c>
      <c r="I82" s="56"/>
      <c r="J82" s="56">
        <v>1.9</v>
      </c>
      <c r="K82" s="56"/>
      <c r="L82" s="56">
        <v>-0.29999999999999982</v>
      </c>
      <c r="M82" s="56"/>
      <c r="N82" s="56">
        <v>52</v>
      </c>
      <c r="O82" s="56">
        <v>0.70941176470588241</v>
      </c>
      <c r="P82" s="56">
        <v>1.3478823529411765</v>
      </c>
      <c r="Q82" s="56">
        <v>0.25211764705882356</v>
      </c>
      <c r="R82" s="56">
        <v>43.70764705882354</v>
      </c>
      <c r="S82" s="56"/>
      <c r="T82" s="56">
        <v>713.1</v>
      </c>
      <c r="U82" s="56"/>
      <c r="V82" s="56">
        <v>47113.9</v>
      </c>
      <c r="W82" s="56"/>
      <c r="X82" s="56"/>
      <c r="Y82" s="56">
        <v>10.234402613514222</v>
      </c>
    </row>
    <row r="83" spans="1:25" x14ac:dyDescent="0.35">
      <c r="A83" s="58">
        <v>43030</v>
      </c>
      <c r="B83" s="56">
        <v>10.199999999999999</v>
      </c>
      <c r="C83" s="56">
        <v>7.9</v>
      </c>
      <c r="D83" s="56">
        <v>12.4</v>
      </c>
      <c r="E83" s="56">
        <v>773.4000000000002</v>
      </c>
      <c r="F83" s="56"/>
      <c r="G83" s="56"/>
      <c r="H83" s="56">
        <v>0.7</v>
      </c>
      <c r="I83" s="56"/>
      <c r="J83" s="56">
        <v>1.4</v>
      </c>
      <c r="K83" s="56"/>
      <c r="L83" s="56">
        <v>-0.7</v>
      </c>
      <c r="M83" s="56"/>
      <c r="N83" s="56">
        <v>53</v>
      </c>
      <c r="O83" s="56">
        <v>0.71705882352941175</v>
      </c>
      <c r="P83" s="56">
        <v>1.0038823529411764</v>
      </c>
      <c r="Q83" s="56">
        <v>-0.30388235294117649</v>
      </c>
      <c r="R83" s="56">
        <v>43.403764705882367</v>
      </c>
      <c r="S83" s="56"/>
      <c r="T83" s="56">
        <v>719.3</v>
      </c>
      <c r="U83" s="56"/>
      <c r="V83" s="56">
        <v>47833.200000000004</v>
      </c>
      <c r="W83" s="56"/>
      <c r="X83" s="56"/>
      <c r="Y83" s="56">
        <v>10.179610467703426</v>
      </c>
    </row>
    <row r="84" spans="1:25" x14ac:dyDescent="0.35">
      <c r="A84" s="58">
        <v>43031</v>
      </c>
      <c r="B84" s="56">
        <v>12.2</v>
      </c>
      <c r="C84" s="56">
        <v>9.6</v>
      </c>
      <c r="D84" s="56">
        <v>14.1</v>
      </c>
      <c r="E84" s="56">
        <v>785.60000000000025</v>
      </c>
      <c r="F84" s="56"/>
      <c r="G84" s="56"/>
      <c r="H84" s="56">
        <v>2</v>
      </c>
      <c r="I84" s="56"/>
      <c r="J84" s="56">
        <v>0.5</v>
      </c>
      <c r="K84" s="56"/>
      <c r="L84" s="56">
        <v>1.5</v>
      </c>
      <c r="M84" s="56"/>
      <c r="N84" s="56">
        <v>54</v>
      </c>
      <c r="O84" s="56">
        <v>0.72470588235294109</v>
      </c>
      <c r="P84" s="56">
        <v>0.36235294117647054</v>
      </c>
      <c r="Q84" s="56">
        <v>1.6376470588235295</v>
      </c>
      <c r="R84" s="56">
        <v>45.041411764705899</v>
      </c>
      <c r="S84" s="56"/>
      <c r="T84" s="56">
        <v>289.5</v>
      </c>
      <c r="U84" s="56"/>
      <c r="V84" s="56">
        <v>48122.700000000004</v>
      </c>
      <c r="W84" s="56"/>
      <c r="X84" s="56"/>
      <c r="Y84" s="56">
        <v>10.125148672665754</v>
      </c>
    </row>
    <row r="85" spans="1:25" x14ac:dyDescent="0.35">
      <c r="A85" s="58">
        <v>43032</v>
      </c>
      <c r="B85" s="56">
        <v>15.3</v>
      </c>
      <c r="C85" s="56">
        <v>13</v>
      </c>
      <c r="D85" s="56">
        <v>17.600000000000001</v>
      </c>
      <c r="E85" s="56">
        <v>800.9000000000002</v>
      </c>
      <c r="F85" s="56"/>
      <c r="G85" s="56"/>
      <c r="H85" s="56">
        <v>0.1</v>
      </c>
      <c r="I85" s="56"/>
      <c r="J85" s="56">
        <v>0.3</v>
      </c>
      <c r="K85" s="56"/>
      <c r="L85" s="56">
        <v>-0.19999999999999998</v>
      </c>
      <c r="M85" s="56"/>
      <c r="N85" s="56">
        <v>55</v>
      </c>
      <c r="O85" s="56">
        <v>0.73235294117647065</v>
      </c>
      <c r="P85" s="56">
        <v>0.2197058823529412</v>
      </c>
      <c r="Q85" s="56">
        <v>-0.11970588235294119</v>
      </c>
      <c r="R85" s="56">
        <v>44.92170588235296</v>
      </c>
      <c r="S85" s="56"/>
      <c r="T85" s="56">
        <v>206.3</v>
      </c>
      <c r="U85" s="56"/>
      <c r="V85" s="56">
        <v>48329.000000000007</v>
      </c>
      <c r="W85" s="56"/>
      <c r="X85" s="56"/>
      <c r="Y85" s="56">
        <v>10.071032412470462</v>
      </c>
    </row>
    <row r="86" spans="1:25" x14ac:dyDescent="0.35">
      <c r="A86" s="58">
        <v>43033</v>
      </c>
      <c r="B86" s="56">
        <v>14.9</v>
      </c>
      <c r="C86" s="56">
        <v>13.8</v>
      </c>
      <c r="D86" s="56">
        <v>17.899999999999999</v>
      </c>
      <c r="E86" s="56">
        <v>815.80000000000018</v>
      </c>
      <c r="F86" s="56"/>
      <c r="G86" s="56"/>
      <c r="H86" s="56">
        <v>0.2</v>
      </c>
      <c r="I86" s="56"/>
      <c r="J86" s="56">
        <v>0.8</v>
      </c>
      <c r="K86" s="56"/>
      <c r="L86" s="56">
        <v>-0.60000000000000009</v>
      </c>
      <c r="M86" s="56"/>
      <c r="N86" s="56">
        <v>56</v>
      </c>
      <c r="O86" s="56">
        <v>0.74</v>
      </c>
      <c r="P86" s="56">
        <v>0.59199999999999997</v>
      </c>
      <c r="Q86" s="56">
        <v>-0.39199999999999996</v>
      </c>
      <c r="R86" s="56">
        <v>44.529705882352957</v>
      </c>
      <c r="S86" s="56"/>
      <c r="T86" s="56">
        <v>536.5</v>
      </c>
      <c r="U86" s="56"/>
      <c r="V86" s="56">
        <v>48865.500000000007</v>
      </c>
      <c r="W86" s="56"/>
      <c r="X86" s="56"/>
      <c r="Y86" s="56">
        <v>10.017277267895453</v>
      </c>
    </row>
    <row r="87" spans="1:25" x14ac:dyDescent="0.35">
      <c r="A87" s="58">
        <v>43034</v>
      </c>
      <c r="B87" s="56">
        <v>14.4</v>
      </c>
      <c r="C87" s="56">
        <v>8.8000000000000007</v>
      </c>
      <c r="D87" s="56">
        <v>20.399999999999999</v>
      </c>
      <c r="E87" s="56">
        <v>830.20000000000016</v>
      </c>
      <c r="F87" s="56"/>
      <c r="G87" s="56"/>
      <c r="H87" s="56">
        <v>0.2</v>
      </c>
      <c r="I87" s="56"/>
      <c r="J87" s="56">
        <v>1.5</v>
      </c>
      <c r="K87" s="56"/>
      <c r="L87" s="56">
        <v>-1.3</v>
      </c>
      <c r="M87" s="56"/>
      <c r="N87" s="56">
        <v>57</v>
      </c>
      <c r="O87" s="56">
        <v>0.74764705882352944</v>
      </c>
      <c r="P87" s="56">
        <v>1.1214705882352942</v>
      </c>
      <c r="Q87" s="56">
        <v>-0.92147058823529426</v>
      </c>
      <c r="R87" s="56">
        <v>43.608235294117662</v>
      </c>
      <c r="S87" s="56"/>
      <c r="T87" s="56">
        <v>801.1</v>
      </c>
      <c r="U87" s="56"/>
      <c r="V87" s="56">
        <v>49666.600000000006</v>
      </c>
      <c r="W87" s="56"/>
      <c r="X87" s="56"/>
      <c r="Y87" s="56">
        <v>9.9638992206530936</v>
      </c>
    </row>
    <row r="88" spans="1:25" x14ac:dyDescent="0.35">
      <c r="A88" s="58">
        <v>43035</v>
      </c>
      <c r="B88" s="56">
        <v>11.3</v>
      </c>
      <c r="C88" s="56">
        <v>10.8</v>
      </c>
      <c r="D88" s="56">
        <v>14.8</v>
      </c>
      <c r="E88" s="56">
        <v>841.50000000000011</v>
      </c>
      <c r="F88" s="56"/>
      <c r="G88" s="56"/>
      <c r="H88" s="56">
        <v>0.2</v>
      </c>
      <c r="I88" s="56"/>
      <c r="J88" s="56">
        <v>0.7</v>
      </c>
      <c r="K88" s="56"/>
      <c r="L88" s="56">
        <v>-0.49999999999999994</v>
      </c>
      <c r="M88" s="56"/>
      <c r="N88" s="56">
        <v>58</v>
      </c>
      <c r="O88" s="56">
        <v>0.75529411764705889</v>
      </c>
      <c r="P88" s="56">
        <v>0.52870588235294114</v>
      </c>
      <c r="Q88" s="56">
        <v>-0.32870588235294113</v>
      </c>
      <c r="R88" s="56">
        <v>43.27952941176472</v>
      </c>
      <c r="S88" s="56"/>
      <c r="T88" s="56">
        <v>337.2</v>
      </c>
      <c r="U88" s="56"/>
      <c r="V88" s="56">
        <v>50003.8</v>
      </c>
      <c r="W88" s="56"/>
      <c r="X88" s="56"/>
      <c r="Y88" s="56">
        <v>9.9109146566355335</v>
      </c>
    </row>
    <row r="89" spans="1:25" x14ac:dyDescent="0.35">
      <c r="A89" s="58">
        <v>43036</v>
      </c>
      <c r="B89" s="56">
        <v>7.8</v>
      </c>
      <c r="C89" s="56">
        <v>2.2000000000000002</v>
      </c>
      <c r="D89" s="56">
        <v>13.1</v>
      </c>
      <c r="E89" s="56">
        <v>849.30000000000007</v>
      </c>
      <c r="F89" s="56"/>
      <c r="G89" s="56"/>
      <c r="H89" s="56">
        <v>0.2</v>
      </c>
      <c r="I89" s="56"/>
      <c r="J89" s="56">
        <v>1.3</v>
      </c>
      <c r="K89" s="56"/>
      <c r="L89" s="56">
        <v>-1.1000000000000001</v>
      </c>
      <c r="M89" s="56"/>
      <c r="N89" s="56">
        <v>59</v>
      </c>
      <c r="O89" s="56">
        <v>0.76294117647058823</v>
      </c>
      <c r="P89" s="56">
        <v>0.99182352941176477</v>
      </c>
      <c r="Q89" s="56">
        <v>-0.79182352941176481</v>
      </c>
      <c r="R89" s="56">
        <v>42.487705882352955</v>
      </c>
      <c r="S89" s="56"/>
      <c r="T89" s="56">
        <v>810.3</v>
      </c>
      <c r="U89" s="56"/>
      <c r="V89" s="56">
        <v>50814.100000000006</v>
      </c>
      <c r="W89" s="56"/>
      <c r="X89" s="56"/>
      <c r="Y89" s="56">
        <v>9.8583403681172683</v>
      </c>
    </row>
    <row r="90" spans="1:25" x14ac:dyDescent="0.35">
      <c r="A90" s="58">
        <v>43037</v>
      </c>
      <c r="B90" s="56">
        <v>11.2</v>
      </c>
      <c r="C90" s="56">
        <v>8.1</v>
      </c>
      <c r="D90" s="56">
        <v>13.9</v>
      </c>
      <c r="E90" s="56">
        <v>860.50000000000011</v>
      </c>
      <c r="F90" s="56"/>
      <c r="G90" s="56"/>
      <c r="H90" s="56">
        <v>2.7</v>
      </c>
      <c r="I90" s="56"/>
      <c r="J90" s="56">
        <v>0.4</v>
      </c>
      <c r="K90" s="56"/>
      <c r="L90" s="56">
        <v>2.3000000000000003</v>
      </c>
      <c r="M90" s="56"/>
      <c r="N90" s="56">
        <v>60</v>
      </c>
      <c r="O90" s="56">
        <v>0.77058823529411768</v>
      </c>
      <c r="P90" s="56">
        <v>0.30823529411764711</v>
      </c>
      <c r="Q90" s="56">
        <v>2.3917647058823532</v>
      </c>
      <c r="R90" s="56">
        <v>44.879470588235307</v>
      </c>
      <c r="S90" s="56"/>
      <c r="T90" s="56">
        <v>144</v>
      </c>
      <c r="U90" s="56"/>
      <c r="V90" s="56">
        <v>50958.100000000006</v>
      </c>
      <c r="W90" s="56"/>
      <c r="X90" s="56"/>
      <c r="Y90" s="56">
        <v>9.8061935548509691</v>
      </c>
    </row>
    <row r="91" spans="1:25" x14ac:dyDescent="0.35">
      <c r="A91" s="58">
        <v>43038</v>
      </c>
      <c r="B91" s="56">
        <v>7.2</v>
      </c>
      <c r="C91" s="56">
        <v>4.0999999999999996</v>
      </c>
      <c r="D91" s="56">
        <v>11.5</v>
      </c>
      <c r="E91" s="56">
        <v>867.70000000000016</v>
      </c>
      <c r="F91" s="56"/>
      <c r="G91" s="56"/>
      <c r="H91" s="56">
        <v>0</v>
      </c>
      <c r="I91" s="56"/>
      <c r="J91" s="56">
        <v>0.8</v>
      </c>
      <c r="K91" s="56"/>
      <c r="L91" s="56">
        <v>-0.8</v>
      </c>
      <c r="M91" s="56"/>
      <c r="N91" s="56">
        <v>61</v>
      </c>
      <c r="O91" s="56">
        <v>0.77823529411764703</v>
      </c>
      <c r="P91" s="56">
        <v>0.62258823529411766</v>
      </c>
      <c r="Q91" s="56">
        <v>-0.62258823529411766</v>
      </c>
      <c r="R91" s="56">
        <v>44.25688235294119</v>
      </c>
      <c r="S91" s="56"/>
      <c r="T91" s="56">
        <v>486.8</v>
      </c>
      <c r="U91" s="56"/>
      <c r="V91" s="56">
        <v>51444.900000000009</v>
      </c>
      <c r="W91" s="56"/>
      <c r="X91" s="56"/>
      <c r="Y91" s="56">
        <v>9.7544918239913976</v>
      </c>
    </row>
    <row r="92" spans="1:25" x14ac:dyDescent="0.35">
      <c r="A92" s="58">
        <v>43039</v>
      </c>
      <c r="B92" s="56">
        <v>6.5</v>
      </c>
      <c r="C92" s="56">
        <v>2.4</v>
      </c>
      <c r="D92" s="56">
        <v>11.4</v>
      </c>
      <c r="E92" s="56">
        <v>874.20000000000016</v>
      </c>
      <c r="F92" s="56"/>
      <c r="G92" s="56"/>
      <c r="H92" s="56">
        <v>0</v>
      </c>
      <c r="I92" s="56"/>
      <c r="J92" s="56">
        <v>1.4</v>
      </c>
      <c r="K92" s="56"/>
      <c r="L92" s="56">
        <v>-1.4</v>
      </c>
      <c r="M92" s="56"/>
      <c r="N92" s="56">
        <v>62</v>
      </c>
      <c r="O92" s="56">
        <v>0.78588235294117648</v>
      </c>
      <c r="P92" s="56">
        <v>1.100235294117647</v>
      </c>
      <c r="Q92" s="56">
        <v>-1.100235294117647</v>
      </c>
      <c r="R92" s="56">
        <v>43.156647058823545</v>
      </c>
      <c r="S92" s="56"/>
      <c r="T92" s="56">
        <v>1101.5999999999999</v>
      </c>
      <c r="U92" s="56"/>
      <c r="V92" s="56">
        <v>52546.500000000007</v>
      </c>
      <c r="W92" s="56"/>
      <c r="X92" s="56"/>
      <c r="Y92" s="56">
        <v>9.7032531887810745</v>
      </c>
    </row>
    <row r="93" spans="1:25" x14ac:dyDescent="0.35">
      <c r="A93" s="58">
        <v>43040</v>
      </c>
      <c r="B93" s="56">
        <v>8.3000000000000007</v>
      </c>
      <c r="C93" s="56">
        <v>3.6</v>
      </c>
      <c r="D93" s="56">
        <v>13.4</v>
      </c>
      <c r="E93" s="56">
        <v>882.50000000000011</v>
      </c>
      <c r="F93" s="56"/>
      <c r="G93" s="56"/>
      <c r="H93" s="56">
        <v>0</v>
      </c>
      <c r="I93" s="56"/>
      <c r="J93" s="56">
        <v>1.4</v>
      </c>
      <c r="K93" s="56"/>
      <c r="L93" s="56">
        <v>-1.4</v>
      </c>
      <c r="M93" s="56"/>
      <c r="N93" s="56">
        <v>63</v>
      </c>
      <c r="O93" s="56">
        <v>0.79352941176470582</v>
      </c>
      <c r="P93" s="56">
        <v>1.1109411764705881</v>
      </c>
      <c r="Q93" s="56">
        <v>-1.1109411764705881</v>
      </c>
      <c r="R93" s="56">
        <v>42.045705882352955</v>
      </c>
      <c r="S93" s="56"/>
      <c r="T93" s="56">
        <v>993.9</v>
      </c>
      <c r="U93" s="56"/>
      <c r="V93" s="56">
        <v>53540.400000000009</v>
      </c>
      <c r="W93" s="56"/>
      <c r="X93" s="56"/>
      <c r="Y93" s="56">
        <v>9.6524960659307144</v>
      </c>
    </row>
    <row r="94" spans="1:25" x14ac:dyDescent="0.35">
      <c r="A94" s="58">
        <v>43041</v>
      </c>
      <c r="B94" s="56">
        <v>11.7</v>
      </c>
      <c r="C94" s="56">
        <v>9.1999999999999993</v>
      </c>
      <c r="D94" s="56">
        <v>13.8</v>
      </c>
      <c r="E94" s="56">
        <v>894.20000000000016</v>
      </c>
      <c r="F94" s="56"/>
      <c r="G94" s="56"/>
      <c r="H94" s="56">
        <v>0.2</v>
      </c>
      <c r="I94" s="56"/>
      <c r="J94" s="56">
        <v>0.3</v>
      </c>
      <c r="K94" s="56"/>
      <c r="L94" s="56">
        <v>-9.9999999999999978E-2</v>
      </c>
      <c r="M94" s="56"/>
      <c r="N94" s="56">
        <v>64</v>
      </c>
      <c r="O94" s="56">
        <v>0.80117647058823527</v>
      </c>
      <c r="P94" s="56">
        <v>0.24035294117647057</v>
      </c>
      <c r="Q94" s="56">
        <v>-4.0352941176470564E-2</v>
      </c>
      <c r="R94" s="56">
        <v>42.005352941176483</v>
      </c>
      <c r="S94" s="56"/>
      <c r="T94" s="56">
        <v>402.1</v>
      </c>
      <c r="U94" s="56"/>
      <c r="V94" s="56">
        <v>53942.500000000007</v>
      </c>
      <c r="W94" s="56"/>
      <c r="X94" s="56"/>
      <c r="Y94" s="56">
        <v>9.6022392716269582</v>
      </c>
    </row>
    <row r="95" spans="1:25" x14ac:dyDescent="0.35">
      <c r="A95" s="58">
        <v>43042</v>
      </c>
      <c r="B95" s="56">
        <v>10.9</v>
      </c>
      <c r="C95" s="56">
        <v>5.4</v>
      </c>
      <c r="D95" s="56">
        <v>15.8</v>
      </c>
      <c r="E95" s="56">
        <v>905.10000000000014</v>
      </c>
      <c r="F95" s="56"/>
      <c r="G95" s="56"/>
      <c r="H95" s="56">
        <v>0</v>
      </c>
      <c r="I95" s="56"/>
      <c r="J95" s="56">
        <v>1.2</v>
      </c>
      <c r="K95" s="56"/>
      <c r="L95" s="56">
        <v>-1.2</v>
      </c>
      <c r="M95" s="56"/>
      <c r="N95" s="56">
        <v>65</v>
      </c>
      <c r="O95" s="56">
        <v>0.80882352941176472</v>
      </c>
      <c r="P95" s="56">
        <v>0.97058823529411764</v>
      </c>
      <c r="Q95" s="56">
        <v>-0.97058823529411764</v>
      </c>
      <c r="R95" s="56">
        <v>41.034764705882367</v>
      </c>
      <c r="S95" s="56"/>
      <c r="T95" s="56">
        <v>939.9</v>
      </c>
      <c r="U95" s="56"/>
      <c r="V95" s="56">
        <v>54882.400000000009</v>
      </c>
      <c r="W95" s="56"/>
      <c r="X95" s="56"/>
      <c r="Y95" s="56">
        <v>9.5525020161000569</v>
      </c>
    </row>
    <row r="96" spans="1:25" x14ac:dyDescent="0.35">
      <c r="A96" s="58">
        <v>43043</v>
      </c>
      <c r="B96" s="56">
        <v>11.9</v>
      </c>
      <c r="C96" s="56">
        <v>10.1</v>
      </c>
      <c r="D96" s="56">
        <v>15.9</v>
      </c>
      <c r="E96" s="56">
        <v>917.00000000000011</v>
      </c>
      <c r="F96" s="56"/>
      <c r="G96" s="56"/>
      <c r="H96" s="56">
        <v>7.2</v>
      </c>
      <c r="I96" s="56"/>
      <c r="J96" s="56">
        <v>1.1000000000000001</v>
      </c>
      <c r="K96" s="56"/>
      <c r="L96" s="56">
        <v>6.1</v>
      </c>
      <c r="M96" s="56"/>
      <c r="N96" s="56">
        <v>66</v>
      </c>
      <c r="O96" s="56">
        <v>0.81647058823529406</v>
      </c>
      <c r="P96" s="56">
        <v>0.89811764705882358</v>
      </c>
      <c r="Q96" s="56">
        <v>6.3018823529411767</v>
      </c>
      <c r="R96" s="56">
        <v>47.336647058823544</v>
      </c>
      <c r="S96" s="56"/>
      <c r="T96" s="56">
        <v>371.2</v>
      </c>
      <c r="U96" s="56"/>
      <c r="V96" s="56">
        <v>55253.600000000006</v>
      </c>
      <c r="W96" s="56"/>
      <c r="X96" s="56"/>
      <c r="Y96" s="56">
        <v>9.5033038966845069</v>
      </c>
    </row>
    <row r="97" spans="1:25" x14ac:dyDescent="0.35">
      <c r="A97" s="58">
        <v>43044</v>
      </c>
      <c r="B97" s="56">
        <v>6.8</v>
      </c>
      <c r="C97" s="56">
        <v>5.5</v>
      </c>
      <c r="D97" s="56">
        <v>10.1</v>
      </c>
      <c r="E97" s="56">
        <v>923.80000000000007</v>
      </c>
      <c r="F97" s="56"/>
      <c r="G97" s="56"/>
      <c r="H97" s="56">
        <v>1.3</v>
      </c>
      <c r="I97" s="56"/>
      <c r="J97" s="56">
        <v>0.7</v>
      </c>
      <c r="K97" s="56"/>
      <c r="L97" s="56">
        <v>0.60000000000000009</v>
      </c>
      <c r="M97" s="56"/>
      <c r="N97" s="56">
        <v>67</v>
      </c>
      <c r="O97" s="56">
        <v>0.82411764705882351</v>
      </c>
      <c r="P97" s="56">
        <v>0.5768823529411764</v>
      </c>
      <c r="Q97" s="56">
        <v>0.72311764705882364</v>
      </c>
      <c r="R97" s="56">
        <v>48.059764705882365</v>
      </c>
      <c r="S97" s="56"/>
      <c r="T97" s="56">
        <v>480.7</v>
      </c>
      <c r="U97" s="56"/>
      <c r="V97" s="56">
        <v>55734.3</v>
      </c>
      <c r="W97" s="56"/>
      <c r="X97" s="56"/>
      <c r="Y97" s="56">
        <v>9.4546648893067538</v>
      </c>
    </row>
    <row r="98" spans="1:25" x14ac:dyDescent="0.35">
      <c r="A98" s="58">
        <v>43045</v>
      </c>
      <c r="B98" s="56">
        <v>4.2</v>
      </c>
      <c r="C98" s="56">
        <v>2.4</v>
      </c>
      <c r="D98" s="56">
        <v>9.9</v>
      </c>
      <c r="E98" s="56">
        <v>928.00000000000011</v>
      </c>
      <c r="F98" s="56"/>
      <c r="G98" s="56"/>
      <c r="H98" s="56">
        <v>0.3</v>
      </c>
      <c r="I98" s="56"/>
      <c r="J98" s="56">
        <v>1</v>
      </c>
      <c r="K98" s="56"/>
      <c r="L98" s="56">
        <v>-0.7</v>
      </c>
      <c r="M98" s="56"/>
      <c r="N98" s="56">
        <v>68</v>
      </c>
      <c r="O98" s="56">
        <v>0.83176470588235296</v>
      </c>
      <c r="P98" s="56">
        <v>0.83176470588235296</v>
      </c>
      <c r="Q98" s="56">
        <v>-0.53176470588235292</v>
      </c>
      <c r="R98" s="56">
        <v>47.528000000000013</v>
      </c>
      <c r="S98" s="56"/>
      <c r="T98" s="56">
        <v>815.7</v>
      </c>
      <c r="U98" s="56"/>
      <c r="V98" s="56">
        <v>56550</v>
      </c>
      <c r="W98" s="56"/>
      <c r="X98" s="56"/>
      <c r="Y98" s="56">
        <v>9.406605338335412</v>
      </c>
    </row>
    <row r="99" spans="1:25" x14ac:dyDescent="0.35">
      <c r="A99" s="58">
        <v>43046</v>
      </c>
      <c r="B99" s="56">
        <v>3</v>
      </c>
      <c r="C99" s="56">
        <v>-2.2999999999999998</v>
      </c>
      <c r="D99" s="56">
        <v>9.1999999999999993</v>
      </c>
      <c r="E99" s="56">
        <v>931.00000000000011</v>
      </c>
      <c r="F99" s="56"/>
      <c r="G99" s="56"/>
      <c r="H99" s="56">
        <v>1.1000000000000001</v>
      </c>
      <c r="I99" s="56"/>
      <c r="J99" s="56">
        <v>1.2</v>
      </c>
      <c r="K99" s="56"/>
      <c r="L99" s="56">
        <v>-9.9999999999999867E-2</v>
      </c>
      <c r="M99" s="56"/>
      <c r="N99" s="56">
        <v>69</v>
      </c>
      <c r="O99" s="56">
        <v>0.8394117647058823</v>
      </c>
      <c r="P99" s="56">
        <v>1.0072941176470587</v>
      </c>
      <c r="Q99" s="56">
        <v>9.2705882352941416E-2</v>
      </c>
      <c r="R99" s="56">
        <v>47.620705882352951</v>
      </c>
      <c r="S99" s="56"/>
      <c r="T99" s="56">
        <v>934.4</v>
      </c>
      <c r="U99" s="56"/>
      <c r="V99" s="56">
        <v>57484.4</v>
      </c>
      <c r="W99" s="56"/>
      <c r="X99" s="56"/>
      <c r="Y99" s="56">
        <v>9.3591459447317558</v>
      </c>
    </row>
    <row r="100" spans="1:25" x14ac:dyDescent="0.35">
      <c r="A100" s="58">
        <v>43047</v>
      </c>
      <c r="B100" s="56">
        <v>6.1</v>
      </c>
      <c r="C100" s="56">
        <v>3.4</v>
      </c>
      <c r="D100" s="56">
        <v>7.2</v>
      </c>
      <c r="E100" s="56">
        <v>937.10000000000014</v>
      </c>
      <c r="F100" s="56"/>
      <c r="G100" s="56"/>
      <c r="H100" s="56">
        <v>1.7</v>
      </c>
      <c r="I100" s="56"/>
      <c r="J100" s="56">
        <v>0.1</v>
      </c>
      <c r="K100" s="56"/>
      <c r="L100" s="56">
        <v>1.5999999999999999</v>
      </c>
      <c r="M100" s="56"/>
      <c r="N100" s="56">
        <v>70</v>
      </c>
      <c r="O100" s="56">
        <v>0.84705882352941175</v>
      </c>
      <c r="P100" s="56">
        <v>8.4705882352941186E-2</v>
      </c>
      <c r="Q100" s="56">
        <v>1.6152941176470588</v>
      </c>
      <c r="R100" s="56">
        <v>49.236000000000011</v>
      </c>
      <c r="S100" s="56"/>
      <c r="T100" s="56">
        <v>132.5</v>
      </c>
      <c r="U100" s="56"/>
      <c r="V100" s="56">
        <v>57616.9</v>
      </c>
      <c r="W100" s="56"/>
      <c r="X100" s="56"/>
      <c r="Y100" s="56">
        <v>9.3123077524408071</v>
      </c>
    </row>
    <row r="101" spans="1:25" x14ac:dyDescent="0.35">
      <c r="A101" s="58">
        <v>43048</v>
      </c>
      <c r="B101" s="56">
        <v>7.6</v>
      </c>
      <c r="C101" s="56">
        <v>6.3</v>
      </c>
      <c r="D101" s="56">
        <v>9.3000000000000007</v>
      </c>
      <c r="E101" s="56">
        <v>944.70000000000016</v>
      </c>
      <c r="F101" s="56"/>
      <c r="G101" s="56"/>
      <c r="H101" s="56">
        <v>0.9</v>
      </c>
      <c r="I101" s="56"/>
      <c r="J101" s="56">
        <v>0.2</v>
      </c>
      <c r="K101" s="56"/>
      <c r="L101" s="56">
        <v>0.7</v>
      </c>
      <c r="M101" s="56"/>
      <c r="N101" s="56">
        <v>71</v>
      </c>
      <c r="O101" s="56">
        <v>0.8547058823529412</v>
      </c>
      <c r="P101" s="56">
        <v>0.17094117647058826</v>
      </c>
      <c r="Q101" s="56">
        <v>0.72905882352941176</v>
      </c>
      <c r="R101" s="56">
        <v>49.965058823529425</v>
      </c>
      <c r="S101" s="56"/>
      <c r="T101" s="56">
        <v>143</v>
      </c>
      <c r="U101" s="56"/>
      <c r="V101" s="56">
        <v>57759.9</v>
      </c>
      <c r="W101" s="56"/>
      <c r="X101" s="56"/>
      <c r="Y101" s="56">
        <v>9.2661121329669811</v>
      </c>
    </row>
    <row r="102" spans="1:25" x14ac:dyDescent="0.35">
      <c r="A102" s="58">
        <v>43049</v>
      </c>
      <c r="B102" s="56">
        <v>9.6999999999999993</v>
      </c>
      <c r="C102" s="56">
        <v>7.6</v>
      </c>
      <c r="D102" s="56">
        <v>11</v>
      </c>
      <c r="E102" s="56">
        <v>954.4000000000002</v>
      </c>
      <c r="F102" s="56"/>
      <c r="G102" s="56"/>
      <c r="H102" s="56">
        <v>1.5</v>
      </c>
      <c r="I102" s="56"/>
      <c r="J102" s="56">
        <v>0.2</v>
      </c>
      <c r="K102" s="56"/>
      <c r="L102" s="56">
        <v>1.3</v>
      </c>
      <c r="M102" s="56"/>
      <c r="N102" s="56">
        <v>72</v>
      </c>
      <c r="O102" s="56">
        <v>0.86235294117647054</v>
      </c>
      <c r="P102" s="56">
        <v>0.17247058823529413</v>
      </c>
      <c r="Q102" s="56">
        <v>1.3275294117647058</v>
      </c>
      <c r="R102" s="56">
        <v>51.292588235294133</v>
      </c>
      <c r="S102" s="56"/>
      <c r="T102" s="56">
        <v>254.9</v>
      </c>
      <c r="U102" s="56"/>
      <c r="V102" s="56">
        <v>58014.8</v>
      </c>
      <c r="W102" s="56"/>
      <c r="X102" s="56"/>
      <c r="Y102" s="56">
        <v>9.2205807680822787</v>
      </c>
    </row>
    <row r="103" spans="1:25" x14ac:dyDescent="0.35">
      <c r="A103" s="58">
        <v>43050</v>
      </c>
      <c r="B103" s="56">
        <v>11.4</v>
      </c>
      <c r="C103" s="56">
        <v>9.1</v>
      </c>
      <c r="D103" s="56">
        <v>12.9</v>
      </c>
      <c r="E103" s="56">
        <v>965.80000000000018</v>
      </c>
      <c r="F103" s="56"/>
      <c r="G103" s="56"/>
      <c r="H103" s="56">
        <v>2.9</v>
      </c>
      <c r="I103" s="56"/>
      <c r="J103" s="56">
        <v>0.2</v>
      </c>
      <c r="K103" s="56"/>
      <c r="L103" s="56">
        <v>2.6999999999999997</v>
      </c>
      <c r="M103" s="56"/>
      <c r="N103" s="56">
        <v>73</v>
      </c>
      <c r="O103" s="56">
        <v>0.87</v>
      </c>
      <c r="P103" s="56">
        <v>0.17400000000000002</v>
      </c>
      <c r="Q103" s="56">
        <v>2.726</v>
      </c>
      <c r="R103" s="56">
        <v>54.018588235294132</v>
      </c>
      <c r="S103" s="56"/>
      <c r="T103" s="56">
        <v>144.30000000000001</v>
      </c>
      <c r="U103" s="56"/>
      <c r="V103" s="56">
        <v>58159.100000000006</v>
      </c>
      <c r="W103" s="56"/>
      <c r="X103" s="56"/>
      <c r="Y103" s="56">
        <v>9.1757356306201672</v>
      </c>
    </row>
    <row r="104" spans="1:25" x14ac:dyDescent="0.35">
      <c r="A104" s="58">
        <v>43051</v>
      </c>
      <c r="B104" s="56">
        <v>8.3000000000000007</v>
      </c>
      <c r="C104" s="56">
        <v>5.0999999999999996</v>
      </c>
      <c r="D104" s="56">
        <v>11.2</v>
      </c>
      <c r="E104" s="56">
        <v>974.10000000000014</v>
      </c>
      <c r="F104" s="56"/>
      <c r="G104" s="56"/>
      <c r="H104" s="56">
        <v>2.2999999999999998</v>
      </c>
      <c r="I104" s="56"/>
      <c r="J104" s="56">
        <v>0.3</v>
      </c>
      <c r="K104" s="56"/>
      <c r="L104" s="56">
        <v>1.9999999999999998</v>
      </c>
      <c r="M104" s="56"/>
      <c r="N104" s="56">
        <v>74</v>
      </c>
      <c r="O104" s="56">
        <v>0.87764705882352945</v>
      </c>
      <c r="P104" s="56">
        <v>0.26329411764705885</v>
      </c>
      <c r="Q104" s="56">
        <v>2.0367058823529409</v>
      </c>
      <c r="R104" s="56">
        <v>56.055294117647072</v>
      </c>
      <c r="S104" s="56"/>
      <c r="T104" s="56">
        <v>351.8</v>
      </c>
      <c r="U104" s="56"/>
      <c r="V104" s="56">
        <v>58510.900000000009</v>
      </c>
      <c r="W104" s="56"/>
      <c r="X104" s="56"/>
      <c r="Y104" s="56">
        <v>9.1315989633139694</v>
      </c>
    </row>
    <row r="105" spans="1:25" x14ac:dyDescent="0.35">
      <c r="A105" s="58">
        <v>43052</v>
      </c>
      <c r="B105" s="56">
        <v>4.0999999999999996</v>
      </c>
      <c r="C105" s="56">
        <v>2.2999999999999998</v>
      </c>
      <c r="D105" s="56">
        <v>9.1</v>
      </c>
      <c r="E105" s="56">
        <v>978.20000000000016</v>
      </c>
      <c r="F105" s="56"/>
      <c r="G105" s="56"/>
      <c r="H105" s="56">
        <v>0</v>
      </c>
      <c r="I105" s="56"/>
      <c r="J105" s="56">
        <v>1</v>
      </c>
      <c r="K105" s="56"/>
      <c r="L105" s="56">
        <v>-1</v>
      </c>
      <c r="M105" s="56"/>
      <c r="N105" s="56">
        <v>75</v>
      </c>
      <c r="O105" s="56">
        <v>0.88529411764705879</v>
      </c>
      <c r="P105" s="56">
        <v>0.88529411764705879</v>
      </c>
      <c r="Q105" s="56">
        <v>-0.88529411764705879</v>
      </c>
      <c r="R105" s="56">
        <v>55.170000000000016</v>
      </c>
      <c r="S105" s="56"/>
      <c r="T105" s="56">
        <v>342.5</v>
      </c>
      <c r="U105" s="56"/>
      <c r="V105" s="56">
        <v>58853.400000000009</v>
      </c>
      <c r="W105" s="56"/>
      <c r="X105" s="56"/>
      <c r="Y105" s="56">
        <v>9.0881932556453684</v>
      </c>
    </row>
    <row r="106" spans="1:25" x14ac:dyDescent="0.35">
      <c r="A106" s="58">
        <v>43053</v>
      </c>
      <c r="B106" s="56">
        <v>3.6</v>
      </c>
      <c r="C106" s="56">
        <v>-0.2</v>
      </c>
      <c r="D106" s="56">
        <v>9.1</v>
      </c>
      <c r="E106" s="56">
        <v>981.80000000000018</v>
      </c>
      <c r="F106" s="56"/>
      <c r="G106" s="56"/>
      <c r="H106" s="56">
        <v>0</v>
      </c>
      <c r="I106" s="56"/>
      <c r="J106" s="56">
        <v>1</v>
      </c>
      <c r="K106" s="56"/>
      <c r="L106" s="56">
        <v>-1</v>
      </c>
      <c r="M106" s="56"/>
      <c r="N106" s="56">
        <v>76</v>
      </c>
      <c r="O106" s="56">
        <v>0.89294117647058824</v>
      </c>
      <c r="P106" s="56">
        <v>0.89294117647058824</v>
      </c>
      <c r="Q106" s="56">
        <v>-0.89294117647058824</v>
      </c>
      <c r="R106" s="56">
        <v>54.27705882352943</v>
      </c>
      <c r="S106" s="56"/>
      <c r="T106" s="56">
        <v>738.9</v>
      </c>
      <c r="U106" s="56"/>
      <c r="V106" s="56">
        <v>59592.30000000001</v>
      </c>
      <c r="W106" s="56"/>
      <c r="X106" s="56"/>
      <c r="Y106" s="56">
        <v>9.045541218676151</v>
      </c>
    </row>
    <row r="107" spans="1:25" x14ac:dyDescent="0.35">
      <c r="A107" s="58">
        <v>43054</v>
      </c>
      <c r="B107" s="56">
        <v>5.2</v>
      </c>
      <c r="C107" s="56">
        <v>1.6</v>
      </c>
      <c r="D107" s="56">
        <v>8.8000000000000007</v>
      </c>
      <c r="E107" s="56">
        <v>987.00000000000023</v>
      </c>
      <c r="F107" s="56"/>
      <c r="G107" s="56"/>
      <c r="H107" s="56">
        <v>0.1</v>
      </c>
      <c r="I107" s="56"/>
      <c r="J107" s="56">
        <v>0.7</v>
      </c>
      <c r="K107" s="56"/>
      <c r="L107" s="56">
        <v>-0.6</v>
      </c>
      <c r="M107" s="56"/>
      <c r="N107" s="56">
        <v>77</v>
      </c>
      <c r="O107" s="56">
        <v>0.90058823529411769</v>
      </c>
      <c r="P107" s="56">
        <v>0.63041176470588234</v>
      </c>
      <c r="Q107" s="56">
        <v>-0.53041176470588236</v>
      </c>
      <c r="R107" s="56">
        <v>53.746647058823548</v>
      </c>
      <c r="S107" s="56"/>
      <c r="T107" s="56">
        <v>429.9</v>
      </c>
      <c r="U107" s="56"/>
      <c r="V107" s="56">
        <v>60022.200000000012</v>
      </c>
      <c r="W107" s="56"/>
      <c r="X107" s="56"/>
      <c r="Y107" s="56">
        <v>9.0036657578448196</v>
      </c>
    </row>
    <row r="108" spans="1:25" x14ac:dyDescent="0.35">
      <c r="A108" s="58">
        <v>43055</v>
      </c>
      <c r="B108" s="56">
        <v>4.3</v>
      </c>
      <c r="C108" s="56">
        <v>3.7</v>
      </c>
      <c r="D108" s="56">
        <v>5</v>
      </c>
      <c r="E108" s="56">
        <v>991.30000000000018</v>
      </c>
      <c r="F108" s="56"/>
      <c r="G108" s="56"/>
      <c r="H108" s="56">
        <v>0</v>
      </c>
      <c r="I108" s="56"/>
      <c r="J108" s="56">
        <v>0.3</v>
      </c>
      <c r="K108" s="56"/>
      <c r="L108" s="56">
        <v>-0.3</v>
      </c>
      <c r="M108" s="56"/>
      <c r="N108" s="56">
        <v>78</v>
      </c>
      <c r="O108" s="56">
        <v>0.90823529411764703</v>
      </c>
      <c r="P108" s="56">
        <v>0.27247058823529408</v>
      </c>
      <c r="Q108" s="56">
        <v>-0.27247058823529408</v>
      </c>
      <c r="R108" s="56">
        <v>53.474176470588255</v>
      </c>
      <c r="S108" s="56"/>
      <c r="T108" s="56">
        <v>227.9</v>
      </c>
      <c r="U108" s="56"/>
      <c r="V108" s="56">
        <v>60250.100000000013</v>
      </c>
      <c r="W108" s="56"/>
      <c r="X108" s="56"/>
      <c r="Y108" s="56">
        <v>8.9625899437191912</v>
      </c>
    </row>
    <row r="109" spans="1:25" x14ac:dyDescent="0.35">
      <c r="A109" s="58">
        <v>43056</v>
      </c>
      <c r="B109" s="56">
        <v>6.7</v>
      </c>
      <c r="C109" s="56">
        <v>3.4</v>
      </c>
      <c r="D109" s="56">
        <v>9.3000000000000007</v>
      </c>
      <c r="E109" s="56">
        <v>998.00000000000023</v>
      </c>
      <c r="F109" s="56"/>
      <c r="G109" s="56"/>
      <c r="H109" s="56">
        <v>0.1</v>
      </c>
      <c r="I109" s="56"/>
      <c r="J109" s="56">
        <v>0.1</v>
      </c>
      <c r="K109" s="56"/>
      <c r="L109" s="56">
        <v>0</v>
      </c>
      <c r="M109" s="56"/>
      <c r="N109" s="56">
        <v>79</v>
      </c>
      <c r="O109" s="56">
        <v>0.91588235294117648</v>
      </c>
      <c r="P109" s="56">
        <v>9.1588235294117651E-2</v>
      </c>
      <c r="Q109" s="56">
        <v>8.4117647058823547E-3</v>
      </c>
      <c r="R109" s="56">
        <v>53.482588235294138</v>
      </c>
      <c r="S109" s="56"/>
      <c r="T109" s="56">
        <v>210.6</v>
      </c>
      <c r="U109" s="56"/>
      <c r="V109" s="56">
        <v>60460.700000000012</v>
      </c>
      <c r="W109" s="56"/>
      <c r="X109" s="56"/>
      <c r="Y109" s="56">
        <v>8.9223369807063477</v>
      </c>
    </row>
    <row r="110" spans="1:25" x14ac:dyDescent="0.35">
      <c r="A110" s="58">
        <v>43057</v>
      </c>
      <c r="B110" s="56">
        <v>5.6</v>
      </c>
      <c r="C110" s="56">
        <v>3.6</v>
      </c>
      <c r="D110" s="56">
        <v>8.1</v>
      </c>
      <c r="E110" s="56">
        <v>1003.6000000000003</v>
      </c>
      <c r="F110" s="56"/>
      <c r="G110" s="56"/>
      <c r="H110" s="56">
        <v>0.1</v>
      </c>
      <c r="I110" s="56"/>
      <c r="J110" s="56">
        <v>0.3</v>
      </c>
      <c r="K110" s="56"/>
      <c r="L110" s="56">
        <v>-0.19999999999999998</v>
      </c>
      <c r="M110" s="56"/>
      <c r="N110" s="56">
        <v>80</v>
      </c>
      <c r="O110" s="56">
        <v>0.92352941176470582</v>
      </c>
      <c r="P110" s="56">
        <v>0.27705882352941175</v>
      </c>
      <c r="Q110" s="56">
        <v>-0.17705882352941174</v>
      </c>
      <c r="R110" s="56">
        <v>53.305529411764724</v>
      </c>
      <c r="S110" s="56"/>
      <c r="T110" s="56">
        <v>186.7</v>
      </c>
      <c r="U110" s="56"/>
      <c r="V110" s="56">
        <v>60647.400000000009</v>
      </c>
      <c r="W110" s="56"/>
      <c r="X110" s="56"/>
      <c r="Y110" s="56">
        <v>8.88293017373271</v>
      </c>
    </row>
    <row r="111" spans="1:25" x14ac:dyDescent="0.35">
      <c r="A111" s="58">
        <v>43058</v>
      </c>
      <c r="B111" s="56">
        <v>6</v>
      </c>
      <c r="C111" s="56">
        <v>3.8</v>
      </c>
      <c r="D111" s="56">
        <v>7.9</v>
      </c>
      <c r="E111" s="56">
        <v>1009.6000000000003</v>
      </c>
      <c r="F111" s="56"/>
      <c r="G111" s="56"/>
      <c r="H111" s="56">
        <v>0.2</v>
      </c>
      <c r="I111" s="56"/>
      <c r="J111" s="56">
        <v>0.2</v>
      </c>
      <c r="K111" s="56"/>
      <c r="L111" s="56">
        <v>0</v>
      </c>
      <c r="M111" s="56"/>
      <c r="N111" s="56">
        <v>81</v>
      </c>
      <c r="O111" s="56">
        <v>0.93117647058823527</v>
      </c>
      <c r="P111" s="56">
        <v>0.18623529411764705</v>
      </c>
      <c r="Q111" s="56">
        <v>1.3764705882352957E-2</v>
      </c>
      <c r="R111" s="56">
        <v>53.319294117647075</v>
      </c>
      <c r="S111" s="56"/>
      <c r="T111" s="56">
        <v>270.60000000000002</v>
      </c>
      <c r="U111" s="56"/>
      <c r="V111" s="56">
        <v>60918.000000000007</v>
      </c>
      <c r="W111" s="56"/>
      <c r="X111" s="56"/>
      <c r="Y111" s="56">
        <v>8.8443928929191156</v>
      </c>
    </row>
    <row r="112" spans="1:25" x14ac:dyDescent="0.35">
      <c r="A112" s="58">
        <v>43059</v>
      </c>
      <c r="B112" s="56">
        <v>7.6</v>
      </c>
      <c r="C112" s="56">
        <v>4.5</v>
      </c>
      <c r="D112" s="56">
        <v>9.3000000000000007</v>
      </c>
      <c r="E112" s="56">
        <v>1017.2000000000003</v>
      </c>
      <c r="F112" s="56"/>
      <c r="G112" s="56"/>
      <c r="H112" s="56">
        <v>0.1</v>
      </c>
      <c r="I112" s="56"/>
      <c r="J112" s="56">
        <v>0.1</v>
      </c>
      <c r="K112" s="56"/>
      <c r="L112" s="56">
        <v>0</v>
      </c>
      <c r="M112" s="56"/>
      <c r="N112" s="56">
        <v>82</v>
      </c>
      <c r="O112" s="56">
        <v>0.93882352941176472</v>
      </c>
      <c r="P112" s="56">
        <v>9.3882352941176472E-2</v>
      </c>
      <c r="Q112" s="56">
        <v>6.1176470588235332E-3</v>
      </c>
      <c r="R112" s="56">
        <v>53.325411764705898</v>
      </c>
      <c r="S112" s="56"/>
      <c r="T112" s="56">
        <v>196.5</v>
      </c>
      <c r="U112" s="56"/>
      <c r="V112" s="56">
        <v>61114.500000000007</v>
      </c>
      <c r="W112" s="56"/>
      <c r="X112" s="56"/>
      <c r="Y112" s="56">
        <v>8.8067485362889073</v>
      </c>
    </row>
    <row r="113" spans="1:25" x14ac:dyDescent="0.35">
      <c r="A113" s="58">
        <v>43060</v>
      </c>
      <c r="B113" s="56">
        <v>8.1</v>
      </c>
      <c r="C113" s="56">
        <v>7.6</v>
      </c>
      <c r="D113" s="56">
        <v>8.6</v>
      </c>
      <c r="E113" s="56">
        <v>1025.3000000000002</v>
      </c>
      <c r="F113" s="56"/>
      <c r="G113" s="56"/>
      <c r="H113" s="56">
        <v>0</v>
      </c>
      <c r="I113" s="56"/>
      <c r="J113" s="56">
        <v>0.3</v>
      </c>
      <c r="K113" s="56"/>
      <c r="L113" s="56">
        <v>-0.3</v>
      </c>
      <c r="M113" s="56"/>
      <c r="N113" s="56">
        <v>83</v>
      </c>
      <c r="O113" s="56">
        <v>0.94647058823529406</v>
      </c>
      <c r="P113" s="56">
        <v>0.2839411764705882</v>
      </c>
      <c r="Q113" s="56">
        <v>-0.2839411764705882</v>
      </c>
      <c r="R113" s="56">
        <v>53.041470588235306</v>
      </c>
      <c r="S113" s="56"/>
      <c r="T113" s="56">
        <v>248.8</v>
      </c>
      <c r="U113" s="56"/>
      <c r="V113" s="56">
        <v>61363.30000000001</v>
      </c>
      <c r="W113" s="56"/>
      <c r="X113" s="56"/>
      <c r="Y113" s="56">
        <v>8.7700204905608743</v>
      </c>
    </row>
    <row r="114" spans="1:25" x14ac:dyDescent="0.35">
      <c r="A114" s="58">
        <v>43061</v>
      </c>
      <c r="B114" s="56">
        <v>10.6</v>
      </c>
      <c r="C114" s="56">
        <v>5.5</v>
      </c>
      <c r="D114" s="56">
        <v>13.5</v>
      </c>
      <c r="E114" s="56">
        <v>1035.9000000000001</v>
      </c>
      <c r="F114" s="56"/>
      <c r="G114" s="56"/>
      <c r="H114" s="56">
        <v>0.1</v>
      </c>
      <c r="I114" s="56"/>
      <c r="J114" s="56">
        <v>1.4</v>
      </c>
      <c r="K114" s="56"/>
      <c r="L114" s="56">
        <v>-1.2999999999999998</v>
      </c>
      <c r="M114" s="56"/>
      <c r="N114" s="56">
        <v>84</v>
      </c>
      <c r="O114" s="56">
        <v>0.95411764705882351</v>
      </c>
      <c r="P114" s="56">
        <v>1.3357647058823527</v>
      </c>
      <c r="Q114" s="56">
        <v>-1.2357647058823527</v>
      </c>
      <c r="R114" s="56">
        <v>51.805705882352953</v>
      </c>
      <c r="S114" s="56"/>
      <c r="T114" s="56">
        <v>658.3</v>
      </c>
      <c r="U114" s="56"/>
      <c r="V114" s="56">
        <v>62021.600000000013</v>
      </c>
      <c r="W114" s="56"/>
      <c r="X114" s="56"/>
      <c r="Y114" s="56">
        <v>8.7342320900935455</v>
      </c>
    </row>
    <row r="115" spans="1:25" x14ac:dyDescent="0.35">
      <c r="A115" s="58">
        <v>43062</v>
      </c>
      <c r="B115" s="56">
        <v>13.8</v>
      </c>
      <c r="C115" s="56">
        <v>12.5</v>
      </c>
      <c r="D115" s="56">
        <v>16</v>
      </c>
      <c r="E115" s="56">
        <v>1049.7</v>
      </c>
      <c r="F115" s="56"/>
      <c r="G115" s="56"/>
      <c r="H115" s="56">
        <v>5.8</v>
      </c>
      <c r="I115" s="56"/>
      <c r="J115" s="56">
        <v>2.1</v>
      </c>
      <c r="K115" s="56"/>
      <c r="L115" s="56">
        <v>3.6999999999999997</v>
      </c>
      <c r="M115" s="56"/>
      <c r="N115" s="56">
        <v>85</v>
      </c>
      <c r="O115" s="56">
        <v>0.96176470588235297</v>
      </c>
      <c r="P115" s="56">
        <v>2.0197058823529415</v>
      </c>
      <c r="Q115" s="56">
        <v>3.7802941176470584</v>
      </c>
      <c r="R115" s="56">
        <v>55.586000000000013</v>
      </c>
      <c r="S115" s="56"/>
      <c r="T115" s="56">
        <v>363.1</v>
      </c>
      <c r="U115" s="56"/>
      <c r="V115" s="56">
        <v>62384.700000000012</v>
      </c>
      <c r="W115" s="56"/>
      <c r="X115" s="56"/>
      <c r="Y115" s="56">
        <v>8.6994065740626283</v>
      </c>
    </row>
    <row r="116" spans="1:25" x14ac:dyDescent="0.35">
      <c r="A116" s="58">
        <v>43063</v>
      </c>
      <c r="B116" s="56">
        <v>11.1</v>
      </c>
      <c r="C116" s="56">
        <v>9.1</v>
      </c>
      <c r="D116" s="56">
        <v>13.2</v>
      </c>
      <c r="E116" s="56">
        <v>1060.8</v>
      </c>
      <c r="F116" s="56"/>
      <c r="G116" s="56"/>
      <c r="H116" s="56">
        <v>0.9</v>
      </c>
      <c r="I116" s="56"/>
      <c r="J116" s="56">
        <v>0.6</v>
      </c>
      <c r="K116" s="56"/>
      <c r="L116" s="56">
        <v>0.30000000000000004</v>
      </c>
      <c r="M116" s="56"/>
      <c r="N116" s="56">
        <v>86</v>
      </c>
      <c r="O116" s="56">
        <v>0.96941176470588231</v>
      </c>
      <c r="P116" s="56">
        <v>0.58164705882352941</v>
      </c>
      <c r="Q116" s="56">
        <v>0.31835294117647062</v>
      </c>
      <c r="R116" s="56">
        <v>55.904352941176484</v>
      </c>
      <c r="S116" s="56"/>
      <c r="T116" s="56">
        <v>120.6</v>
      </c>
      <c r="U116" s="56"/>
      <c r="V116" s="56">
        <v>62505.30000000001</v>
      </c>
      <c r="W116" s="56"/>
      <c r="X116" s="56"/>
      <c r="Y116" s="56">
        <v>8.6655670419692452</v>
      </c>
    </row>
    <row r="117" spans="1:25" x14ac:dyDescent="0.35">
      <c r="A117" s="58">
        <v>43064</v>
      </c>
      <c r="B117" s="56">
        <v>4.5999999999999996</v>
      </c>
      <c r="C117" s="56">
        <v>2.8</v>
      </c>
      <c r="D117" s="56">
        <v>6.5</v>
      </c>
      <c r="E117" s="56">
        <v>1065.3999999999999</v>
      </c>
      <c r="F117" s="56"/>
      <c r="G117" s="56"/>
      <c r="H117" s="56">
        <v>0.2</v>
      </c>
      <c r="I117" s="56"/>
      <c r="J117" s="56">
        <v>0.3</v>
      </c>
      <c r="K117" s="56"/>
      <c r="L117" s="56">
        <v>-9.9999999999999978E-2</v>
      </c>
      <c r="M117" s="56"/>
      <c r="N117" s="56">
        <v>87</v>
      </c>
      <c r="O117" s="56">
        <v>0.97705882352941176</v>
      </c>
      <c r="P117" s="56">
        <v>0.29311764705882354</v>
      </c>
      <c r="Q117" s="56">
        <v>-9.3117647058823527E-2</v>
      </c>
      <c r="R117" s="56">
        <v>55.811235294117658</v>
      </c>
      <c r="S117" s="56"/>
      <c r="T117" s="56">
        <v>272.7</v>
      </c>
      <c r="U117" s="56"/>
      <c r="V117" s="56">
        <v>62778.000000000007</v>
      </c>
      <c r="W117" s="56"/>
      <c r="X117" s="56"/>
      <c r="Y117" s="56">
        <v>8.6327364075929296</v>
      </c>
    </row>
    <row r="118" spans="1:25" x14ac:dyDescent="0.35">
      <c r="A118" s="58">
        <v>43065</v>
      </c>
      <c r="B118" s="56">
        <v>3.7</v>
      </c>
      <c r="C118" s="56">
        <v>-0.7</v>
      </c>
      <c r="D118" s="56">
        <v>7.4</v>
      </c>
      <c r="E118" s="56">
        <v>1069.0999999999999</v>
      </c>
      <c r="F118" s="56"/>
      <c r="G118" s="56"/>
      <c r="H118" s="56">
        <v>0.1</v>
      </c>
      <c r="I118" s="56"/>
      <c r="J118" s="56">
        <v>0.4</v>
      </c>
      <c r="K118" s="56"/>
      <c r="L118" s="56">
        <v>-0.30000000000000004</v>
      </c>
      <c r="M118" s="56"/>
      <c r="N118" s="56">
        <v>88</v>
      </c>
      <c r="O118" s="56">
        <v>0.98470588235294121</v>
      </c>
      <c r="P118" s="56">
        <v>0.39388235294117652</v>
      </c>
      <c r="Q118" s="56">
        <v>-0.29388235294117648</v>
      </c>
      <c r="R118" s="56">
        <v>55.517352941176483</v>
      </c>
      <c r="S118" s="56"/>
      <c r="T118" s="56">
        <v>474.4</v>
      </c>
      <c r="U118" s="56"/>
      <c r="V118" s="56">
        <v>63252.400000000009</v>
      </c>
      <c r="W118" s="56"/>
      <c r="X118" s="56"/>
      <c r="Y118" s="56">
        <v>8.600937351519887</v>
      </c>
    </row>
    <row r="119" spans="1:25" x14ac:dyDescent="0.35">
      <c r="A119" s="58">
        <v>43066</v>
      </c>
      <c r="B119" s="56">
        <v>6.7</v>
      </c>
      <c r="C119" s="56">
        <v>3.7</v>
      </c>
      <c r="D119" s="56">
        <v>8.5</v>
      </c>
      <c r="E119" s="56">
        <v>1075.8</v>
      </c>
      <c r="F119" s="56"/>
      <c r="G119" s="56"/>
      <c r="H119" s="56">
        <v>8.9</v>
      </c>
      <c r="I119" s="56"/>
      <c r="J119" s="56">
        <v>0.7</v>
      </c>
      <c r="K119" s="56"/>
      <c r="L119" s="56">
        <v>8.2000000000000011</v>
      </c>
      <c r="M119" s="56"/>
      <c r="N119" s="56">
        <v>89</v>
      </c>
      <c r="O119" s="56">
        <v>0.99235294117647066</v>
      </c>
      <c r="P119" s="56">
        <v>0.6946470588235294</v>
      </c>
      <c r="Q119" s="56">
        <v>8.2053529411764714</v>
      </c>
      <c r="R119" s="56">
        <v>63.722705882352955</v>
      </c>
      <c r="S119" s="56"/>
      <c r="T119" s="56">
        <v>204</v>
      </c>
      <c r="U119" s="56"/>
      <c r="V119" s="56">
        <v>63456.400000000009</v>
      </c>
      <c r="W119" s="56"/>
      <c r="X119" s="56"/>
      <c r="Y119" s="56">
        <v>8.5701922723938182</v>
      </c>
    </row>
    <row r="120" spans="1:25" x14ac:dyDescent="0.35">
      <c r="A120" s="58">
        <v>43067</v>
      </c>
      <c r="B120" s="56">
        <v>6.5</v>
      </c>
      <c r="C120" s="56">
        <v>5.5</v>
      </c>
      <c r="D120" s="56">
        <v>9.1</v>
      </c>
      <c r="E120" s="56">
        <v>1082.3</v>
      </c>
      <c r="F120" s="56"/>
      <c r="G120" s="56"/>
      <c r="H120" s="56">
        <v>1.8</v>
      </c>
      <c r="I120" s="56"/>
      <c r="J120" s="56">
        <v>0.7</v>
      </c>
      <c r="K120" s="56"/>
      <c r="L120" s="56">
        <v>1.1000000000000001</v>
      </c>
      <c r="M120" s="56"/>
      <c r="N120" s="56">
        <v>90</v>
      </c>
      <c r="O120" s="56">
        <v>1</v>
      </c>
      <c r="P120" s="56">
        <v>0.7</v>
      </c>
      <c r="Q120" s="56">
        <v>1.1000000000000001</v>
      </c>
      <c r="R120" s="56">
        <v>64.822705882352949</v>
      </c>
      <c r="S120" s="56"/>
      <c r="T120" s="56">
        <v>190.3</v>
      </c>
      <c r="U120" s="56"/>
      <c r="V120" s="56">
        <v>63646.700000000012</v>
      </c>
      <c r="W120" s="56"/>
      <c r="X120" s="56"/>
      <c r="Y120" s="56">
        <v>8.5405232370532556</v>
      </c>
    </row>
    <row r="121" spans="1:25" x14ac:dyDescent="0.35">
      <c r="A121" s="58">
        <v>43068</v>
      </c>
      <c r="B121" s="56">
        <v>2.1</v>
      </c>
      <c r="C121" s="56">
        <v>-0.7</v>
      </c>
      <c r="D121" s="56">
        <v>5.5</v>
      </c>
      <c r="E121" s="56">
        <v>1084.3999999999999</v>
      </c>
      <c r="F121" s="56"/>
      <c r="G121" s="56"/>
      <c r="H121" s="56">
        <v>0.2</v>
      </c>
      <c r="I121" s="56"/>
      <c r="J121" s="56">
        <v>0.3</v>
      </c>
      <c r="K121" s="56"/>
      <c r="L121" s="56">
        <v>-9.9999999999999978E-2</v>
      </c>
      <c r="M121" s="56"/>
      <c r="N121" s="56">
        <v>91</v>
      </c>
      <c r="O121" s="56">
        <v>1</v>
      </c>
      <c r="P121" s="56">
        <v>0.3</v>
      </c>
      <c r="Q121" s="56">
        <v>-9.9999999999999978E-2</v>
      </c>
      <c r="R121" s="56">
        <v>64.722705882352955</v>
      </c>
      <c r="S121" s="56"/>
      <c r="T121" s="56">
        <v>373.4</v>
      </c>
      <c r="U121" s="56"/>
      <c r="V121" s="56">
        <v>64020.100000000013</v>
      </c>
      <c r="W121" s="56"/>
      <c r="X121" s="56"/>
      <c r="Y121" s="56">
        <v>8.5119519297357726</v>
      </c>
    </row>
    <row r="122" spans="1:25" x14ac:dyDescent="0.35">
      <c r="A122" s="58">
        <v>43069</v>
      </c>
      <c r="B122" s="56">
        <v>1.3</v>
      </c>
      <c r="C122" s="56">
        <v>-0.4</v>
      </c>
      <c r="D122" s="56">
        <v>4.5999999999999996</v>
      </c>
      <c r="E122" s="56">
        <v>1085.6999999999998</v>
      </c>
      <c r="F122" s="56"/>
      <c r="G122" s="56"/>
      <c r="H122" s="56">
        <v>0.6</v>
      </c>
      <c r="I122" s="56"/>
      <c r="J122" s="56">
        <v>0.5</v>
      </c>
      <c r="K122" s="56"/>
      <c r="L122" s="56">
        <v>9.9999999999999978E-2</v>
      </c>
      <c r="M122" s="56"/>
      <c r="N122" s="56">
        <v>92</v>
      </c>
      <c r="O122" s="56">
        <v>1</v>
      </c>
      <c r="P122" s="56">
        <v>0.5</v>
      </c>
      <c r="Q122" s="56">
        <v>9.9999999999999978E-2</v>
      </c>
      <c r="R122" s="56">
        <v>64.822705882352949</v>
      </c>
      <c r="S122" s="56"/>
      <c r="T122" s="56">
        <v>229.3</v>
      </c>
      <c r="U122" s="56"/>
      <c r="V122" s="56">
        <v>64249.400000000016</v>
      </c>
      <c r="W122" s="56"/>
      <c r="X122" s="56"/>
      <c r="Y122" s="56">
        <v>8.4844996005455222</v>
      </c>
    </row>
    <row r="123" spans="1:25" x14ac:dyDescent="0.35">
      <c r="A123" s="58">
        <v>43070</v>
      </c>
      <c r="B123" s="56">
        <v>1.1000000000000001</v>
      </c>
      <c r="C123" s="56">
        <v>-0.4</v>
      </c>
      <c r="D123" s="56">
        <v>2.2000000000000002</v>
      </c>
      <c r="E123" s="56">
        <v>1086.7999999999997</v>
      </c>
      <c r="F123" s="56"/>
      <c r="G123" s="56"/>
      <c r="H123" s="56">
        <v>0.5</v>
      </c>
      <c r="I123" s="56"/>
      <c r="J123" s="56">
        <v>0.2</v>
      </c>
      <c r="K123" s="56"/>
      <c r="L123" s="56">
        <v>0.3</v>
      </c>
      <c r="M123" s="56"/>
      <c r="N123" s="56">
        <v>93</v>
      </c>
      <c r="O123" s="56">
        <v>1</v>
      </c>
      <c r="P123" s="56">
        <v>0.2</v>
      </c>
      <c r="Q123" s="56">
        <v>0.3</v>
      </c>
      <c r="R123" s="56">
        <v>65.122705882352946</v>
      </c>
      <c r="S123" s="56"/>
      <c r="T123" s="56">
        <v>173.8</v>
      </c>
      <c r="U123" s="56"/>
      <c r="V123" s="56">
        <v>64423.200000000019</v>
      </c>
      <c r="W123" s="56"/>
      <c r="X123" s="56"/>
      <c r="Y123" s="56">
        <v>8.4581870133957828</v>
      </c>
    </row>
    <row r="124" spans="1:25" x14ac:dyDescent="0.35">
      <c r="A124" s="58">
        <v>43071</v>
      </c>
      <c r="B124" s="56">
        <v>-0.2</v>
      </c>
      <c r="C124" s="56">
        <v>-0.7</v>
      </c>
      <c r="D124" s="56">
        <v>0.6</v>
      </c>
      <c r="E124" s="56">
        <v>1086.8</v>
      </c>
      <c r="F124" s="56"/>
      <c r="G124" s="56"/>
      <c r="H124" s="56">
        <v>0</v>
      </c>
      <c r="I124" s="56"/>
      <c r="J124" s="56">
        <v>0.2</v>
      </c>
      <c r="K124" s="56"/>
      <c r="L124" s="56">
        <v>-0.2</v>
      </c>
      <c r="M124" s="56"/>
      <c r="N124" s="56">
        <v>94</v>
      </c>
      <c r="O124" s="56">
        <v>1</v>
      </c>
      <c r="P124" s="56">
        <v>0.2</v>
      </c>
      <c r="Q124" s="56">
        <v>-0.2</v>
      </c>
      <c r="R124" s="56">
        <v>64.922705882352943</v>
      </c>
      <c r="S124" s="56"/>
      <c r="T124" s="56">
        <v>150.9</v>
      </c>
      <c r="U124" s="56"/>
      <c r="V124" s="56">
        <v>64574.10000000002</v>
      </c>
      <c r="W124" s="56"/>
      <c r="X124" s="56"/>
      <c r="Y124" s="56">
        <v>8.4330343936527097</v>
      </c>
    </row>
    <row r="125" spans="1:25" x14ac:dyDescent="0.35">
      <c r="A125" s="58">
        <v>43072</v>
      </c>
      <c r="B125" s="56">
        <v>0.1</v>
      </c>
      <c r="C125" s="56">
        <v>-2.2999999999999998</v>
      </c>
      <c r="D125" s="56">
        <v>4.3</v>
      </c>
      <c r="E125" s="56">
        <v>1086.8999999999999</v>
      </c>
      <c r="F125" s="56"/>
      <c r="G125" s="56"/>
      <c r="H125" s="56">
        <v>0.8</v>
      </c>
      <c r="I125" s="56"/>
      <c r="J125" s="56">
        <v>0.4</v>
      </c>
      <c r="K125" s="56"/>
      <c r="L125" s="56">
        <v>0.4</v>
      </c>
      <c r="M125" s="56"/>
      <c r="N125" s="56">
        <v>95</v>
      </c>
      <c r="O125" s="56">
        <v>1</v>
      </c>
      <c r="P125" s="56">
        <v>0.4</v>
      </c>
      <c r="Q125" s="56">
        <v>0.4</v>
      </c>
      <c r="R125" s="56">
        <v>65.322705882352949</v>
      </c>
      <c r="S125" s="56"/>
      <c r="T125" s="56">
        <v>180.4</v>
      </c>
      <c r="U125" s="56"/>
      <c r="V125" s="56">
        <v>64754.500000000022</v>
      </c>
      <c r="W125" s="56"/>
      <c r="X125" s="56"/>
      <c r="Y125" s="56">
        <v>8.4090613757197445</v>
      </c>
    </row>
    <row r="126" spans="1:25" x14ac:dyDescent="0.35">
      <c r="A126" s="58">
        <v>43073</v>
      </c>
      <c r="B126" s="56">
        <v>5.5</v>
      </c>
      <c r="C126" s="56">
        <v>1.9</v>
      </c>
      <c r="D126" s="56">
        <v>7.4</v>
      </c>
      <c r="E126" s="56">
        <v>1092.3999999999999</v>
      </c>
      <c r="F126" s="56"/>
      <c r="G126" s="56"/>
      <c r="H126" s="56">
        <v>0</v>
      </c>
      <c r="I126" s="56"/>
      <c r="J126" s="56">
        <v>0.1</v>
      </c>
      <c r="K126" s="56"/>
      <c r="L126" s="56">
        <v>-0.1</v>
      </c>
      <c r="M126" s="56"/>
      <c r="N126" s="56">
        <v>96</v>
      </c>
      <c r="O126" s="56">
        <v>1</v>
      </c>
      <c r="P126" s="56">
        <v>0.1</v>
      </c>
      <c r="Q126" s="56">
        <v>-0.1</v>
      </c>
      <c r="R126" s="56">
        <v>65.222705882352955</v>
      </c>
      <c r="S126" s="56"/>
      <c r="T126" s="56">
        <v>189.2</v>
      </c>
      <c r="U126" s="56"/>
      <c r="V126" s="56">
        <v>64943.700000000019</v>
      </c>
      <c r="W126" s="56"/>
      <c r="X126" s="56"/>
      <c r="Y126" s="56">
        <v>8.3862869508140712</v>
      </c>
    </row>
    <row r="127" spans="1:25" x14ac:dyDescent="0.35">
      <c r="A127" s="58">
        <v>43074</v>
      </c>
      <c r="B127" s="56">
        <v>6.1</v>
      </c>
      <c r="C127" s="56">
        <v>4.8</v>
      </c>
      <c r="D127" s="56">
        <v>7.2</v>
      </c>
      <c r="E127" s="56">
        <v>1098.4999999999998</v>
      </c>
      <c r="F127" s="56"/>
      <c r="G127" s="56"/>
      <c r="H127" s="56">
        <v>0</v>
      </c>
      <c r="I127" s="56"/>
      <c r="J127" s="56">
        <v>0.1</v>
      </c>
      <c r="K127" s="56"/>
      <c r="L127" s="56">
        <v>-0.1</v>
      </c>
      <c r="M127" s="56"/>
      <c r="N127" s="56">
        <v>97</v>
      </c>
      <c r="O127" s="56">
        <v>1</v>
      </c>
      <c r="P127" s="56">
        <v>0.1</v>
      </c>
      <c r="Q127" s="56">
        <v>-0.1</v>
      </c>
      <c r="R127" s="56">
        <v>65.12270588235296</v>
      </c>
      <c r="S127" s="56"/>
      <c r="T127" s="56">
        <v>148.9</v>
      </c>
      <c r="U127" s="56"/>
      <c r="V127" s="56">
        <v>65092.60000000002</v>
      </c>
      <c r="W127" s="56"/>
      <c r="X127" s="56"/>
      <c r="Y127" s="56">
        <v>8.3647294151968303</v>
      </c>
    </row>
    <row r="128" spans="1:25" x14ac:dyDescent="0.35">
      <c r="A128" s="58">
        <v>43075</v>
      </c>
      <c r="B128" s="56">
        <v>3.2</v>
      </c>
      <c r="C128" s="56">
        <v>2.2000000000000002</v>
      </c>
      <c r="D128" s="56">
        <v>3.9</v>
      </c>
      <c r="E128" s="56">
        <v>1101.6999999999998</v>
      </c>
      <c r="F128" s="56"/>
      <c r="G128" s="56"/>
      <c r="H128" s="56">
        <v>0</v>
      </c>
      <c r="I128" s="56"/>
      <c r="J128" s="56">
        <v>0.2</v>
      </c>
      <c r="K128" s="56"/>
      <c r="L128" s="56">
        <v>-0.2</v>
      </c>
      <c r="M128" s="56"/>
      <c r="N128" s="56">
        <v>98</v>
      </c>
      <c r="O128" s="56">
        <v>1</v>
      </c>
      <c r="P128" s="56">
        <v>0.2</v>
      </c>
      <c r="Q128" s="56">
        <v>-0.2</v>
      </c>
      <c r="R128" s="56">
        <v>64.922705882352957</v>
      </c>
      <c r="S128" s="56"/>
      <c r="T128" s="56">
        <v>101.8</v>
      </c>
      <c r="U128" s="56"/>
      <c r="V128" s="56">
        <v>65194.400000000023</v>
      </c>
      <c r="W128" s="56"/>
      <c r="X128" s="56"/>
      <c r="Y128" s="56">
        <v>8.3444063191272893</v>
      </c>
    </row>
    <row r="129" spans="1:25" x14ac:dyDescent="0.35">
      <c r="A129" s="58">
        <v>43076</v>
      </c>
      <c r="B129" s="56">
        <v>4.4000000000000004</v>
      </c>
      <c r="C129" s="56">
        <v>-0.1</v>
      </c>
      <c r="D129" s="56">
        <v>8</v>
      </c>
      <c r="E129" s="56">
        <v>1106.0999999999999</v>
      </c>
      <c r="F129" s="56"/>
      <c r="G129" s="56"/>
      <c r="H129" s="56">
        <v>5.2</v>
      </c>
      <c r="I129" s="56"/>
      <c r="J129" s="56">
        <v>0.2</v>
      </c>
      <c r="K129" s="56"/>
      <c r="L129" s="56">
        <v>5</v>
      </c>
      <c r="M129" s="56"/>
      <c r="N129" s="56">
        <v>99</v>
      </c>
      <c r="O129" s="56">
        <v>1</v>
      </c>
      <c r="P129" s="56">
        <v>0.2</v>
      </c>
      <c r="Q129" s="56">
        <v>5</v>
      </c>
      <c r="R129" s="56">
        <v>69.922705882352957</v>
      </c>
      <c r="S129" s="56"/>
      <c r="T129" s="56">
        <v>137.19999999999999</v>
      </c>
      <c r="U129" s="56"/>
      <c r="V129" s="56">
        <v>65331.60000000002</v>
      </c>
      <c r="W129" s="56"/>
      <c r="X129" s="56"/>
      <c r="Y129" s="56">
        <v>8.3253344168175492</v>
      </c>
    </row>
    <row r="130" spans="1:25" x14ac:dyDescent="0.35">
      <c r="A130" s="58">
        <v>43077</v>
      </c>
      <c r="B130" s="56">
        <v>3.5</v>
      </c>
      <c r="C130" s="56">
        <v>1.3</v>
      </c>
      <c r="D130" s="56">
        <v>6.3</v>
      </c>
      <c r="E130" s="56">
        <v>1109.5999999999999</v>
      </c>
      <c r="F130" s="56"/>
      <c r="G130" s="56"/>
      <c r="H130" s="56">
        <v>0.8</v>
      </c>
      <c r="I130" s="56"/>
      <c r="J130" s="56">
        <v>0.6</v>
      </c>
      <c r="K130" s="56"/>
      <c r="L130" s="56">
        <v>0.20000000000000007</v>
      </c>
      <c r="M130" s="56"/>
      <c r="N130" s="56">
        <v>100</v>
      </c>
      <c r="O130" s="56">
        <v>1</v>
      </c>
      <c r="P130" s="56">
        <v>0.6</v>
      </c>
      <c r="Q130" s="56">
        <v>0.20000000000000007</v>
      </c>
      <c r="R130" s="56">
        <v>70.12270588235296</v>
      </c>
      <c r="S130" s="56"/>
      <c r="T130" s="56">
        <v>227.1</v>
      </c>
      <c r="U130" s="56"/>
      <c r="V130" s="56">
        <v>65558.700000000026</v>
      </c>
      <c r="W130" s="56"/>
      <c r="X130" s="56"/>
      <c r="Y130" s="56">
        <v>8.3075296176685569</v>
      </c>
    </row>
    <row r="131" spans="1:25" x14ac:dyDescent="0.35">
      <c r="A131" s="58">
        <v>43078</v>
      </c>
      <c r="B131" s="56">
        <v>2</v>
      </c>
      <c r="C131" s="56">
        <v>-0.3</v>
      </c>
      <c r="D131" s="56">
        <v>3.9</v>
      </c>
      <c r="E131" s="56">
        <v>1111.5999999999999</v>
      </c>
      <c r="F131" s="56"/>
      <c r="G131" s="56"/>
      <c r="H131" s="56">
        <v>13.7</v>
      </c>
      <c r="I131" s="56"/>
      <c r="J131" s="56">
        <v>0.3</v>
      </c>
      <c r="K131" s="56"/>
      <c r="L131" s="56">
        <v>13.399999999999999</v>
      </c>
      <c r="M131" s="56"/>
      <c r="N131" s="56">
        <v>101</v>
      </c>
      <c r="O131" s="56">
        <v>1</v>
      </c>
      <c r="P131" s="56">
        <v>0.3</v>
      </c>
      <c r="Q131" s="56">
        <v>13.399999999999999</v>
      </c>
      <c r="R131" s="56">
        <v>83.522705882352966</v>
      </c>
      <c r="S131" s="56"/>
      <c r="T131" s="56">
        <v>405.4</v>
      </c>
      <c r="U131" s="56"/>
      <c r="V131" s="56">
        <v>65964.10000000002</v>
      </c>
      <c r="W131" s="56"/>
      <c r="X131" s="56"/>
      <c r="Y131" s="56">
        <v>8.291006939069975</v>
      </c>
    </row>
    <row r="132" spans="1:25" x14ac:dyDescent="0.35">
      <c r="A132" s="58">
        <v>43079</v>
      </c>
      <c r="B132" s="56">
        <v>7.4</v>
      </c>
      <c r="C132" s="56">
        <v>3.1</v>
      </c>
      <c r="D132" s="56">
        <v>10.5</v>
      </c>
      <c r="E132" s="56">
        <v>1119</v>
      </c>
      <c r="F132" s="56"/>
      <c r="G132" s="56"/>
      <c r="H132" s="56">
        <v>9.6</v>
      </c>
      <c r="I132" s="56"/>
      <c r="J132" s="56">
        <v>0.8</v>
      </c>
      <c r="K132" s="56"/>
      <c r="L132" s="56">
        <v>8.7999999999999989</v>
      </c>
      <c r="M132" s="56"/>
      <c r="N132" s="56">
        <v>102</v>
      </c>
      <c r="O132" s="56">
        <v>1</v>
      </c>
      <c r="P132" s="56">
        <v>0.8</v>
      </c>
      <c r="Q132" s="56">
        <v>8.7999999999999989</v>
      </c>
      <c r="R132" s="56">
        <v>92.322705882352963</v>
      </c>
      <c r="S132" s="56"/>
      <c r="T132" s="56">
        <v>277.10000000000002</v>
      </c>
      <c r="U132" s="56"/>
      <c r="V132" s="56">
        <v>66241.200000000026</v>
      </c>
      <c r="W132" s="56"/>
      <c r="X132" s="56"/>
      <c r="Y132" s="56">
        <v>8.2757804610454624</v>
      </c>
    </row>
    <row r="133" spans="1:25" x14ac:dyDescent="0.35">
      <c r="A133" s="58">
        <v>43080</v>
      </c>
      <c r="B133" s="56">
        <v>6.6</v>
      </c>
      <c r="C133" s="56">
        <v>4.4000000000000004</v>
      </c>
      <c r="D133" s="56">
        <v>9.6</v>
      </c>
      <c r="E133" s="56">
        <v>1125.5999999999999</v>
      </c>
      <c r="F133" s="56"/>
      <c r="G133" s="56"/>
      <c r="H133" s="56">
        <v>0.4</v>
      </c>
      <c r="I133" s="56"/>
      <c r="J133" s="56">
        <v>1.3</v>
      </c>
      <c r="K133" s="56"/>
      <c r="L133" s="56">
        <v>-0.9</v>
      </c>
      <c r="M133" s="56"/>
      <c r="N133" s="56">
        <v>103</v>
      </c>
      <c r="O133" s="56">
        <v>1</v>
      </c>
      <c r="P133" s="56">
        <v>1.3</v>
      </c>
      <c r="Q133" s="56">
        <v>-0.9</v>
      </c>
      <c r="R133" s="56">
        <v>91.422705882352957</v>
      </c>
      <c r="S133" s="56"/>
      <c r="T133" s="56">
        <v>120.8</v>
      </c>
      <c r="U133" s="56"/>
      <c r="V133" s="56">
        <v>66362.000000000029</v>
      </c>
      <c r="W133" s="56"/>
      <c r="X133" s="56"/>
      <c r="Y133" s="56">
        <v>8.2618632830215475</v>
      </c>
    </row>
    <row r="134" spans="1:25" x14ac:dyDescent="0.35">
      <c r="A134" s="58">
        <v>43081</v>
      </c>
      <c r="B134" s="56">
        <v>2.1</v>
      </c>
      <c r="C134" s="56">
        <v>-1.5</v>
      </c>
      <c r="D134" s="56">
        <v>5.8</v>
      </c>
      <c r="E134" s="56">
        <v>1127.6999999999998</v>
      </c>
      <c r="F134" s="56"/>
      <c r="G134" s="56"/>
      <c r="H134" s="56">
        <v>1</v>
      </c>
      <c r="I134" s="56"/>
      <c r="J134" s="56">
        <v>0.5</v>
      </c>
      <c r="K134" s="56"/>
      <c r="L134" s="56">
        <v>0.5</v>
      </c>
      <c r="M134" s="56"/>
      <c r="N134" s="56">
        <v>104</v>
      </c>
      <c r="O134" s="56">
        <v>1</v>
      </c>
      <c r="P134" s="56">
        <v>0.5</v>
      </c>
      <c r="Q134" s="56">
        <v>0.5</v>
      </c>
      <c r="R134" s="56">
        <v>91.922705882352957</v>
      </c>
      <c r="S134" s="56"/>
      <c r="T134" s="56">
        <v>430.3</v>
      </c>
      <c r="U134" s="56"/>
      <c r="V134" s="56">
        <v>66792.300000000032</v>
      </c>
      <c r="W134" s="56"/>
      <c r="X134" s="56"/>
      <c r="Y134" s="56">
        <v>8.2492674829917547</v>
      </c>
    </row>
    <row r="135" spans="1:25" x14ac:dyDescent="0.35">
      <c r="A135" s="58">
        <v>43082</v>
      </c>
      <c r="B135" s="56">
        <v>8.1</v>
      </c>
      <c r="C135" s="56">
        <v>2.7</v>
      </c>
      <c r="D135" s="56">
        <v>10.199999999999999</v>
      </c>
      <c r="E135" s="56">
        <v>1135.7999999999997</v>
      </c>
      <c r="F135" s="56"/>
      <c r="G135" s="56"/>
      <c r="H135" s="56">
        <v>4.4000000000000004</v>
      </c>
      <c r="I135" s="56"/>
      <c r="J135" s="56">
        <v>0.4</v>
      </c>
      <c r="K135" s="56"/>
      <c r="L135" s="56">
        <v>4</v>
      </c>
      <c r="M135" s="56"/>
      <c r="N135" s="56">
        <v>105</v>
      </c>
      <c r="O135" s="56">
        <v>1</v>
      </c>
      <c r="P135" s="56">
        <v>0.4</v>
      </c>
      <c r="Q135" s="56">
        <v>4</v>
      </c>
      <c r="R135" s="56">
        <v>95.922705882352957</v>
      </c>
      <c r="S135" s="56"/>
      <c r="T135" s="56">
        <v>190.4</v>
      </c>
      <c r="U135" s="56"/>
      <c r="V135" s="56">
        <v>66982.700000000026</v>
      </c>
      <c r="W135" s="56"/>
      <c r="X135" s="56"/>
      <c r="Y135" s="56">
        <v>8.2380040793386176</v>
      </c>
    </row>
    <row r="136" spans="1:25" x14ac:dyDescent="0.35">
      <c r="A136" s="58">
        <v>43083</v>
      </c>
      <c r="B136" s="56">
        <v>6.1</v>
      </c>
      <c r="C136" s="56">
        <v>5.4</v>
      </c>
      <c r="D136" s="56">
        <v>7.2</v>
      </c>
      <c r="E136" s="56">
        <v>1141.8999999999996</v>
      </c>
      <c r="F136" s="56"/>
      <c r="G136" s="56"/>
      <c r="H136" s="56">
        <v>6.4</v>
      </c>
      <c r="I136" s="56"/>
      <c r="J136" s="56">
        <v>1</v>
      </c>
      <c r="K136" s="56"/>
      <c r="L136" s="56">
        <v>5.4</v>
      </c>
      <c r="M136" s="56"/>
      <c r="N136" s="56">
        <v>106</v>
      </c>
      <c r="O136" s="56">
        <v>1</v>
      </c>
      <c r="P136" s="56">
        <v>1</v>
      </c>
      <c r="Q136" s="56">
        <v>5.4</v>
      </c>
      <c r="R136" s="56">
        <v>101.32270588235296</v>
      </c>
      <c r="S136" s="56"/>
      <c r="T136" s="56">
        <v>178.4</v>
      </c>
      <c r="U136" s="56"/>
      <c r="V136" s="56">
        <v>67161.10000000002</v>
      </c>
      <c r="W136" s="56"/>
      <c r="X136" s="56"/>
      <c r="Y136" s="56">
        <v>8.2280829955641064</v>
      </c>
    </row>
    <row r="137" spans="1:25" x14ac:dyDescent="0.35">
      <c r="A137" s="58">
        <v>43084</v>
      </c>
      <c r="B137" s="56">
        <v>4.7</v>
      </c>
      <c r="C137" s="56">
        <v>4</v>
      </c>
      <c r="D137" s="56">
        <v>6.6</v>
      </c>
      <c r="E137" s="56">
        <v>1146.5999999999997</v>
      </c>
      <c r="F137" s="56"/>
      <c r="G137" s="56"/>
      <c r="H137" s="56">
        <v>4.2</v>
      </c>
      <c r="I137" s="56"/>
      <c r="J137" s="56">
        <v>1</v>
      </c>
      <c r="K137" s="56"/>
      <c r="L137" s="56">
        <v>3.2</v>
      </c>
      <c r="M137" s="56"/>
      <c r="N137" s="56">
        <v>107</v>
      </c>
      <c r="O137" s="56">
        <v>1</v>
      </c>
      <c r="P137" s="56">
        <v>1</v>
      </c>
      <c r="Q137" s="56">
        <v>3.2</v>
      </c>
      <c r="R137" s="56">
        <v>104.52270588235297</v>
      </c>
      <c r="S137" s="56"/>
      <c r="T137" s="56">
        <v>184</v>
      </c>
      <c r="U137" s="56"/>
      <c r="V137" s="56">
        <v>67345.10000000002</v>
      </c>
      <c r="W137" s="56"/>
      <c r="X137" s="56"/>
      <c r="Y137" s="56">
        <v>8.2195130281643021</v>
      </c>
    </row>
    <row r="138" spans="1:25" x14ac:dyDescent="0.35">
      <c r="A138" s="58">
        <v>43085</v>
      </c>
      <c r="B138" s="56">
        <v>2.6</v>
      </c>
      <c r="C138" s="56">
        <v>0.9</v>
      </c>
      <c r="D138" s="56">
        <v>5.2</v>
      </c>
      <c r="E138" s="56">
        <v>1149.1999999999996</v>
      </c>
      <c r="F138" s="56"/>
      <c r="G138" s="56"/>
      <c r="H138" s="56">
        <v>0.6</v>
      </c>
      <c r="I138" s="56"/>
      <c r="J138" s="56">
        <v>0.6</v>
      </c>
      <c r="K138" s="56"/>
      <c r="L138" s="56">
        <v>0</v>
      </c>
      <c r="M138" s="56"/>
      <c r="N138" s="56">
        <v>108</v>
      </c>
      <c r="O138" s="56">
        <v>1</v>
      </c>
      <c r="P138" s="56">
        <v>0.6</v>
      </c>
      <c r="Q138" s="56">
        <v>0</v>
      </c>
      <c r="R138" s="56">
        <v>104.52270588235297</v>
      </c>
      <c r="S138" s="56"/>
      <c r="T138" s="56">
        <v>314.60000000000002</v>
      </c>
      <c r="U138" s="56"/>
      <c r="V138" s="56">
        <v>67659.700000000026</v>
      </c>
      <c r="W138" s="56"/>
      <c r="X138" s="56"/>
      <c r="Y138" s="56">
        <v>8.2123018178666243</v>
      </c>
    </row>
    <row r="139" spans="1:25" x14ac:dyDescent="0.35">
      <c r="A139" s="58">
        <v>43086</v>
      </c>
      <c r="B139" s="56">
        <v>3.4</v>
      </c>
      <c r="C139" s="56">
        <v>1.2</v>
      </c>
      <c r="D139" s="56">
        <v>8.9</v>
      </c>
      <c r="E139" s="56">
        <v>1152.5999999999997</v>
      </c>
      <c r="F139" s="56"/>
      <c r="G139" s="56"/>
      <c r="H139" s="56">
        <v>1.9</v>
      </c>
      <c r="I139" s="56"/>
      <c r="J139" s="56">
        <v>0.6</v>
      </c>
      <c r="K139" s="56"/>
      <c r="L139" s="56">
        <v>1.2999999999999998</v>
      </c>
      <c r="M139" s="56"/>
      <c r="N139" s="56">
        <v>109</v>
      </c>
      <c r="O139" s="56">
        <v>1</v>
      </c>
      <c r="P139" s="56">
        <v>0.6</v>
      </c>
      <c r="Q139" s="56">
        <v>1.2999999999999998</v>
      </c>
      <c r="R139" s="56">
        <v>105.82270588235296</v>
      </c>
      <c r="S139" s="56"/>
      <c r="T139" s="56">
        <v>113.3</v>
      </c>
      <c r="U139" s="56"/>
      <c r="V139" s="56">
        <v>67773.000000000029</v>
      </c>
      <c r="W139" s="56"/>
      <c r="X139" s="56"/>
      <c r="Y139" s="56">
        <v>8.2064558244279908</v>
      </c>
    </row>
    <row r="140" spans="1:25" x14ac:dyDescent="0.35">
      <c r="A140" s="58">
        <v>43087</v>
      </c>
      <c r="B140" s="56">
        <v>6.4</v>
      </c>
      <c r="C140" s="56">
        <v>4.3</v>
      </c>
      <c r="D140" s="56">
        <v>8.8000000000000007</v>
      </c>
      <c r="E140" s="56">
        <v>1158.9999999999998</v>
      </c>
      <c r="F140" s="56"/>
      <c r="G140" s="56"/>
      <c r="H140" s="56">
        <v>0.9</v>
      </c>
      <c r="I140" s="56"/>
      <c r="J140" s="56">
        <v>0.6</v>
      </c>
      <c r="K140" s="56"/>
      <c r="L140" s="56">
        <v>0.30000000000000004</v>
      </c>
      <c r="M140" s="56"/>
      <c r="N140" s="56">
        <v>110</v>
      </c>
      <c r="O140" s="56">
        <v>1</v>
      </c>
      <c r="P140" s="56">
        <v>0.6</v>
      </c>
      <c r="Q140" s="56">
        <v>0.30000000000000004</v>
      </c>
      <c r="R140" s="56">
        <v>106.12270588235296</v>
      </c>
      <c r="S140" s="56"/>
      <c r="T140" s="56">
        <v>299.39999999999998</v>
      </c>
      <c r="U140" s="56"/>
      <c r="V140" s="56">
        <v>68072.400000000023</v>
      </c>
      <c r="W140" s="56"/>
      <c r="X140" s="56"/>
      <c r="Y140" s="56">
        <v>8.201980305169851</v>
      </c>
    </row>
    <row r="141" spans="1:25" x14ac:dyDescent="0.35">
      <c r="A141" s="58">
        <v>43088</v>
      </c>
      <c r="B141" s="56">
        <v>1.6</v>
      </c>
      <c r="C141" s="56">
        <v>-0.1</v>
      </c>
      <c r="D141" s="56">
        <v>2.8</v>
      </c>
      <c r="E141" s="56">
        <v>1160.5999999999997</v>
      </c>
      <c r="F141" s="56"/>
      <c r="G141" s="56"/>
      <c r="H141" s="56">
        <v>0.1</v>
      </c>
      <c r="I141" s="56"/>
      <c r="J141" s="56">
        <v>0.2</v>
      </c>
      <c r="K141" s="56"/>
      <c r="L141" s="56">
        <v>-0.1</v>
      </c>
      <c r="M141" s="56"/>
      <c r="N141" s="56">
        <v>111</v>
      </c>
      <c r="O141" s="56">
        <v>1</v>
      </c>
      <c r="P141" s="56">
        <v>0.2</v>
      </c>
      <c r="Q141" s="56">
        <v>-0.1</v>
      </c>
      <c r="R141" s="56">
        <v>106.02270588235297</v>
      </c>
      <c r="S141" s="56"/>
      <c r="T141" s="56">
        <v>230.7</v>
      </c>
      <c r="U141" s="56"/>
      <c r="V141" s="56">
        <v>68303.10000000002</v>
      </c>
      <c r="W141" s="56"/>
      <c r="X141" s="56"/>
      <c r="Y141" s="56">
        <v>8.1988792974015752</v>
      </c>
    </row>
    <row r="142" spans="1:25" x14ac:dyDescent="0.35">
      <c r="A142" s="58">
        <v>43089</v>
      </c>
      <c r="B142" s="56">
        <v>5</v>
      </c>
      <c r="C142" s="56">
        <v>1.1000000000000001</v>
      </c>
      <c r="D142" s="56">
        <v>7</v>
      </c>
      <c r="E142" s="56">
        <v>1165.5999999999997</v>
      </c>
      <c r="F142" s="56"/>
      <c r="G142" s="56"/>
      <c r="H142" s="56">
        <v>0.4</v>
      </c>
      <c r="I142" s="56"/>
      <c r="J142" s="56">
        <v>0.1</v>
      </c>
      <c r="K142" s="56"/>
      <c r="L142" s="56">
        <v>0.30000000000000004</v>
      </c>
      <c r="M142" s="56"/>
      <c r="N142" s="56">
        <v>112</v>
      </c>
      <c r="O142" s="56">
        <v>1</v>
      </c>
      <c r="P142" s="56">
        <v>0.1</v>
      </c>
      <c r="Q142" s="56">
        <v>0.30000000000000004</v>
      </c>
      <c r="R142" s="56">
        <v>106.32270588235296</v>
      </c>
      <c r="S142" s="56"/>
      <c r="T142" s="56">
        <v>179.2</v>
      </c>
      <c r="U142" s="56"/>
      <c r="V142" s="56">
        <v>68482.300000000017</v>
      </c>
      <c r="W142" s="56"/>
      <c r="X142" s="56"/>
      <c r="Y142" s="56">
        <v>8.1971556048573593</v>
      </c>
    </row>
    <row r="143" spans="1:25" x14ac:dyDescent="0.35">
      <c r="A143" s="58">
        <v>43090</v>
      </c>
      <c r="B143" s="56">
        <v>8</v>
      </c>
      <c r="C143" s="56">
        <v>6.7</v>
      </c>
      <c r="D143" s="56">
        <v>8.6999999999999993</v>
      </c>
      <c r="E143" s="56">
        <v>1173.5999999999997</v>
      </c>
      <c r="F143" s="56"/>
      <c r="G143" s="56"/>
      <c r="H143" s="56">
        <v>1.3</v>
      </c>
      <c r="I143" s="56"/>
      <c r="J143" s="56">
        <v>0.2</v>
      </c>
      <c r="K143" s="56"/>
      <c r="L143" s="56">
        <v>1.1000000000000001</v>
      </c>
      <c r="M143" s="56"/>
      <c r="N143" s="56">
        <v>113</v>
      </c>
      <c r="O143" s="56">
        <v>1</v>
      </c>
      <c r="P143" s="56">
        <v>0.2</v>
      </c>
      <c r="Q143" s="56">
        <v>1.1000000000000001</v>
      </c>
      <c r="R143" s="56">
        <v>107.42270588235296</v>
      </c>
      <c r="S143" s="56"/>
      <c r="T143" s="56">
        <v>180.1</v>
      </c>
      <c r="U143" s="56"/>
      <c r="V143" s="56">
        <v>68662.400000000023</v>
      </c>
      <c r="W143" s="56"/>
      <c r="X143" s="56"/>
      <c r="Y143" s="56">
        <v>8.1968107882438357</v>
      </c>
    </row>
    <row r="144" spans="1:25" x14ac:dyDescent="0.35">
      <c r="A144" s="58">
        <v>43091</v>
      </c>
      <c r="B144" s="56">
        <v>8.6999999999999993</v>
      </c>
      <c r="C144" s="56">
        <v>7.7</v>
      </c>
      <c r="D144" s="56">
        <v>9.5</v>
      </c>
      <c r="E144" s="56">
        <v>1182.2999999999997</v>
      </c>
      <c r="F144" s="56"/>
      <c r="G144" s="56"/>
      <c r="H144" s="56">
        <v>0.5</v>
      </c>
      <c r="I144" s="56"/>
      <c r="J144" s="56">
        <v>0.2</v>
      </c>
      <c r="K144" s="56"/>
      <c r="L144" s="56">
        <v>0.3</v>
      </c>
      <c r="M144" s="56"/>
      <c r="N144" s="56">
        <v>114</v>
      </c>
      <c r="O144" s="56">
        <v>1</v>
      </c>
      <c r="P144" s="56">
        <v>0.2</v>
      </c>
      <c r="Q144" s="56">
        <v>0.3</v>
      </c>
      <c r="R144" s="56">
        <v>107.72270588235295</v>
      </c>
      <c r="S144" s="56"/>
      <c r="T144" s="56">
        <v>210.2</v>
      </c>
      <c r="U144" s="56"/>
      <c r="V144" s="56">
        <v>68872.60000000002</v>
      </c>
      <c r="W144" s="56"/>
      <c r="X144" s="56"/>
      <c r="Y144" s="56">
        <v>8.1978451599665085</v>
      </c>
    </row>
    <row r="145" spans="1:25" x14ac:dyDescent="0.35">
      <c r="A145" s="58">
        <v>43092</v>
      </c>
      <c r="B145" s="56">
        <v>8.3000000000000007</v>
      </c>
      <c r="C145" s="56">
        <v>8</v>
      </c>
      <c r="D145" s="56">
        <v>9.1</v>
      </c>
      <c r="E145" s="56">
        <v>1190.5999999999997</v>
      </c>
      <c r="F145" s="56"/>
      <c r="G145" s="56"/>
      <c r="H145" s="56">
        <v>0.3</v>
      </c>
      <c r="I145" s="56"/>
      <c r="J145" s="56">
        <v>0.3</v>
      </c>
      <c r="K145" s="56"/>
      <c r="L145" s="56">
        <v>0</v>
      </c>
      <c r="M145" s="56"/>
      <c r="N145" s="56">
        <v>115</v>
      </c>
      <c r="O145" s="56">
        <v>1</v>
      </c>
      <c r="P145" s="56">
        <v>0.3</v>
      </c>
      <c r="Q145" s="56">
        <v>0</v>
      </c>
      <c r="R145" s="56">
        <v>107.72270588235295</v>
      </c>
      <c r="S145" s="56"/>
      <c r="T145" s="56">
        <v>155.6</v>
      </c>
      <c r="U145" s="56"/>
      <c r="V145" s="56">
        <v>69028.200000000026</v>
      </c>
      <c r="W145" s="56"/>
      <c r="X145" s="56"/>
      <c r="Y145" s="56">
        <v>8.200257783073134</v>
      </c>
    </row>
    <row r="146" spans="1:25" x14ac:dyDescent="0.35">
      <c r="A146" s="58">
        <v>43093</v>
      </c>
      <c r="B146" s="56">
        <v>7.7</v>
      </c>
      <c r="C146" s="56">
        <v>7.5</v>
      </c>
      <c r="D146" s="56">
        <v>8.5</v>
      </c>
      <c r="E146" s="56">
        <v>1198.2999999999997</v>
      </c>
      <c r="F146" s="56"/>
      <c r="G146" s="56"/>
      <c r="H146" s="56">
        <v>0.4</v>
      </c>
      <c r="I146" s="56"/>
      <c r="J146" s="56">
        <v>0.4</v>
      </c>
      <c r="K146" s="56"/>
      <c r="L146" s="56">
        <v>0</v>
      </c>
      <c r="M146" s="56"/>
      <c r="N146" s="56">
        <v>116</v>
      </c>
      <c r="O146" s="56">
        <v>1</v>
      </c>
      <c r="P146" s="56">
        <v>0.4</v>
      </c>
      <c r="Q146" s="56">
        <v>0</v>
      </c>
      <c r="R146" s="56">
        <v>107.72270588235295</v>
      </c>
      <c r="S146" s="56"/>
      <c r="T146" s="56">
        <v>91.9</v>
      </c>
      <c r="U146" s="56"/>
      <c r="V146" s="56">
        <v>69120.10000000002</v>
      </c>
      <c r="W146" s="56"/>
      <c r="X146" s="56"/>
      <c r="Y146" s="56">
        <v>8.2040464744216823</v>
      </c>
    </row>
    <row r="147" spans="1:25" x14ac:dyDescent="0.35">
      <c r="A147" s="58">
        <v>43094</v>
      </c>
      <c r="B147" s="56">
        <v>4.5</v>
      </c>
      <c r="C147" s="56">
        <v>4</v>
      </c>
      <c r="D147" s="56">
        <v>5.6</v>
      </c>
      <c r="E147" s="56">
        <v>1202.7999999999997</v>
      </c>
      <c r="F147" s="56"/>
      <c r="G147" s="56"/>
      <c r="H147" s="56">
        <v>0.5</v>
      </c>
      <c r="I147" s="56"/>
      <c r="J147" s="56">
        <v>0.4</v>
      </c>
      <c r="K147" s="56"/>
      <c r="L147" s="56">
        <v>9.9999999999999978E-2</v>
      </c>
      <c r="M147" s="56"/>
      <c r="N147" s="56">
        <v>117</v>
      </c>
      <c r="O147" s="56">
        <v>1</v>
      </c>
      <c r="P147" s="56">
        <v>0.4</v>
      </c>
      <c r="Q147" s="56">
        <v>9.9999999999999978E-2</v>
      </c>
      <c r="R147" s="56">
        <v>107.82270588235295</v>
      </c>
      <c r="S147" s="56"/>
      <c r="T147" s="56">
        <v>205.4</v>
      </c>
      <c r="U147" s="56"/>
      <c r="V147" s="56">
        <v>69325.500000000015</v>
      </c>
      <c r="W147" s="56"/>
      <c r="X147" s="56"/>
      <c r="Y147" s="56">
        <v>8.209207812049959</v>
      </c>
    </row>
    <row r="148" spans="1:25" x14ac:dyDescent="0.35">
      <c r="A148" s="58">
        <v>43095</v>
      </c>
      <c r="B148" s="56">
        <v>6.8</v>
      </c>
      <c r="C148" s="56">
        <v>4.2</v>
      </c>
      <c r="D148" s="56">
        <v>7.9</v>
      </c>
      <c r="E148" s="56">
        <v>1209.5999999999997</v>
      </c>
      <c r="F148" s="56"/>
      <c r="G148" s="56"/>
      <c r="H148" s="56">
        <v>5.7</v>
      </c>
      <c r="I148" s="56"/>
      <c r="J148" s="56">
        <v>0.7</v>
      </c>
      <c r="K148" s="56"/>
      <c r="L148" s="56">
        <v>5</v>
      </c>
      <c r="M148" s="56"/>
      <c r="N148" s="56">
        <v>118</v>
      </c>
      <c r="O148" s="56">
        <v>1</v>
      </c>
      <c r="P148" s="56">
        <v>0.7</v>
      </c>
      <c r="Q148" s="56">
        <v>5</v>
      </c>
      <c r="R148" s="56">
        <v>112.82270588235295</v>
      </c>
      <c r="S148" s="56"/>
      <c r="T148" s="56">
        <v>157.30000000000001</v>
      </c>
      <c r="U148" s="56"/>
      <c r="V148" s="56">
        <v>69482.800000000017</v>
      </c>
      <c r="W148" s="56"/>
      <c r="X148" s="56"/>
      <c r="Y148" s="56">
        <v>8.2157371466937068</v>
      </c>
    </row>
    <row r="149" spans="1:25" x14ac:dyDescent="0.35">
      <c r="A149" s="58">
        <v>43096</v>
      </c>
      <c r="B149" s="56">
        <v>4.5</v>
      </c>
      <c r="C149" s="56">
        <v>4.0999999999999996</v>
      </c>
      <c r="D149" s="56">
        <v>5.4</v>
      </c>
      <c r="E149" s="56">
        <v>1214.0999999999997</v>
      </c>
      <c r="F149" s="56"/>
      <c r="G149" s="56"/>
      <c r="H149" s="56">
        <v>0.9</v>
      </c>
      <c r="I149" s="56"/>
      <c r="J149" s="56">
        <v>0.9</v>
      </c>
      <c r="K149" s="56"/>
      <c r="L149" s="56">
        <v>0</v>
      </c>
      <c r="M149" s="56"/>
      <c r="N149" s="56">
        <v>119</v>
      </c>
      <c r="O149" s="56">
        <v>1</v>
      </c>
      <c r="P149" s="56">
        <v>0.9</v>
      </c>
      <c r="Q149" s="56">
        <v>0</v>
      </c>
      <c r="R149" s="56">
        <v>112.82270588235295</v>
      </c>
      <c r="S149" s="56"/>
      <c r="T149" s="56">
        <v>137</v>
      </c>
      <c r="U149" s="56"/>
      <c r="V149" s="56">
        <v>69619.800000000017</v>
      </c>
      <c r="W149" s="56"/>
      <c r="X149" s="56"/>
      <c r="Y149" s="56">
        <v>8.2236286173703981</v>
      </c>
    </row>
    <row r="150" spans="1:25" x14ac:dyDescent="0.35">
      <c r="A150" s="58">
        <v>43097</v>
      </c>
      <c r="B150" s="56">
        <v>1.2</v>
      </c>
      <c r="C150" s="56">
        <v>-0.3</v>
      </c>
      <c r="D150" s="56">
        <v>4</v>
      </c>
      <c r="E150" s="56">
        <v>1215.2999999999997</v>
      </c>
      <c r="F150" s="56"/>
      <c r="G150" s="56"/>
      <c r="H150" s="56">
        <v>1.2</v>
      </c>
      <c r="I150" s="56"/>
      <c r="J150" s="56">
        <v>0.5</v>
      </c>
      <c r="K150" s="56"/>
      <c r="L150" s="56">
        <v>0.7</v>
      </c>
      <c r="M150" s="56"/>
      <c r="N150" s="56">
        <v>120</v>
      </c>
      <c r="O150" s="56">
        <v>1</v>
      </c>
      <c r="P150" s="56">
        <v>0.5</v>
      </c>
      <c r="Q150" s="56">
        <v>0.7</v>
      </c>
      <c r="R150" s="56">
        <v>113.52270588235295</v>
      </c>
      <c r="S150" s="56"/>
      <c r="T150" s="56">
        <v>552.20000000000005</v>
      </c>
      <c r="U150" s="56"/>
      <c r="V150" s="56">
        <v>70172.000000000015</v>
      </c>
      <c r="W150" s="56"/>
      <c r="X150" s="56"/>
      <c r="Y150" s="56">
        <v>8.2328751709173389</v>
      </c>
    </row>
    <row r="151" spans="1:25" x14ac:dyDescent="0.35">
      <c r="A151" s="58">
        <v>43098</v>
      </c>
      <c r="B151" s="56">
        <v>6.1</v>
      </c>
      <c r="C151" s="56">
        <v>-0.1</v>
      </c>
      <c r="D151" s="56">
        <v>13.3</v>
      </c>
      <c r="E151" s="56">
        <v>1221.3999999999996</v>
      </c>
      <c r="F151" s="56"/>
      <c r="G151" s="56"/>
      <c r="H151" s="56">
        <v>7.6</v>
      </c>
      <c r="I151" s="56"/>
      <c r="J151" s="56">
        <v>0.7</v>
      </c>
      <c r="K151" s="56"/>
      <c r="L151" s="56">
        <v>6.8999999999999995</v>
      </c>
      <c r="M151" s="56"/>
      <c r="N151" s="56">
        <v>121</v>
      </c>
      <c r="O151" s="56">
        <v>1</v>
      </c>
      <c r="P151" s="56">
        <v>0.7</v>
      </c>
      <c r="Q151" s="56">
        <v>6.8999999999999995</v>
      </c>
      <c r="R151" s="56">
        <v>120.42270588235296</v>
      </c>
      <c r="S151" s="56"/>
      <c r="T151" s="56">
        <v>122.9</v>
      </c>
      <c r="U151" s="56"/>
      <c r="V151" s="56">
        <v>70294.900000000009</v>
      </c>
      <c r="W151" s="56"/>
      <c r="X151" s="56"/>
      <c r="Y151" s="56">
        <v>8.2434685853455907</v>
      </c>
    </row>
    <row r="152" spans="1:25" x14ac:dyDescent="0.35">
      <c r="A152" s="58">
        <v>43099</v>
      </c>
      <c r="B152" s="56">
        <v>12.9</v>
      </c>
      <c r="C152" s="56">
        <v>9.3000000000000007</v>
      </c>
      <c r="D152" s="56">
        <v>13.5</v>
      </c>
      <c r="E152" s="56">
        <v>1234.2999999999997</v>
      </c>
      <c r="F152" s="56"/>
      <c r="G152" s="56"/>
      <c r="H152" s="56">
        <v>0.1</v>
      </c>
      <c r="I152" s="56"/>
      <c r="J152" s="56">
        <v>0.2</v>
      </c>
      <c r="K152" s="56"/>
      <c r="L152" s="56">
        <v>-0.1</v>
      </c>
      <c r="M152" s="56"/>
      <c r="N152" s="56">
        <v>122</v>
      </c>
      <c r="O152" s="56">
        <v>1</v>
      </c>
      <c r="P152" s="56">
        <v>0.2</v>
      </c>
      <c r="Q152" s="56">
        <v>-0.1</v>
      </c>
      <c r="R152" s="56">
        <v>120.32270588235296</v>
      </c>
      <c r="S152" s="56"/>
      <c r="T152" s="56">
        <v>93.1</v>
      </c>
      <c r="U152" s="56"/>
      <c r="V152" s="56">
        <v>70388.000000000015</v>
      </c>
      <c r="W152" s="56"/>
      <c r="X152" s="56"/>
      <c r="Y152" s="56">
        <v>8.2553994968457349</v>
      </c>
    </row>
    <row r="153" spans="1:25" x14ac:dyDescent="0.35">
      <c r="A153" s="58">
        <v>43100</v>
      </c>
      <c r="B153" s="56">
        <v>11.5</v>
      </c>
      <c r="C153" s="56">
        <v>9.6999999999999993</v>
      </c>
      <c r="D153" s="56">
        <v>14.1</v>
      </c>
      <c r="E153" s="56">
        <v>1245.7999999999997</v>
      </c>
      <c r="F153" s="56"/>
      <c r="G153" s="56"/>
      <c r="H153" s="56">
        <v>2.6</v>
      </c>
      <c r="I153" s="56"/>
      <c r="J153" s="56">
        <v>2</v>
      </c>
      <c r="K153" s="56"/>
      <c r="L153" s="56">
        <v>0.60000000000000009</v>
      </c>
      <c r="M153" s="56"/>
      <c r="N153" s="56">
        <v>123</v>
      </c>
      <c r="O153" s="56">
        <v>1</v>
      </c>
      <c r="P153" s="56">
        <v>2</v>
      </c>
      <c r="Q153" s="56">
        <v>0.60000000000000009</v>
      </c>
      <c r="R153" s="56">
        <v>120.92270588235296</v>
      </c>
      <c r="S153" s="56"/>
      <c r="T153" s="56">
        <v>305.7</v>
      </c>
      <c r="U153" s="56"/>
      <c r="V153" s="56">
        <v>70693.700000000012</v>
      </c>
      <c r="W153" s="56"/>
      <c r="X153" s="56"/>
      <c r="Y153" s="56">
        <v>8.2686574302579956</v>
      </c>
    </row>
    <row r="154" spans="1:25" x14ac:dyDescent="0.35">
      <c r="A154" s="58">
        <v>43101</v>
      </c>
      <c r="B154" s="56">
        <v>7.6</v>
      </c>
      <c r="C154" s="56">
        <v>6.2</v>
      </c>
      <c r="D154" s="56">
        <v>9.5</v>
      </c>
      <c r="E154" s="56">
        <v>1253.3999999999996</v>
      </c>
      <c r="F154" s="56"/>
      <c r="G154" s="56"/>
      <c r="H154" s="56">
        <v>2.2000000000000002</v>
      </c>
      <c r="I154" s="56"/>
      <c r="J154" s="56">
        <v>1.3</v>
      </c>
      <c r="K154" s="56"/>
      <c r="L154" s="56">
        <v>0.90000000000000013</v>
      </c>
      <c r="M154" s="56"/>
      <c r="N154" s="56">
        <v>124</v>
      </c>
      <c r="O154" s="56">
        <v>1</v>
      </c>
      <c r="P154" s="56">
        <v>1.3</v>
      </c>
      <c r="Q154" s="56">
        <v>0.90000000000000013</v>
      </c>
      <c r="R154" s="56">
        <v>121.82270588235296</v>
      </c>
      <c r="S154" s="56"/>
      <c r="T154" s="56">
        <v>136.19999999999999</v>
      </c>
      <c r="U154" s="56"/>
      <c r="V154" s="56">
        <v>70829.900000000009</v>
      </c>
      <c r="W154" s="56"/>
      <c r="X154" s="56"/>
      <c r="Y154" s="56">
        <v>8.2832308327981625</v>
      </c>
    </row>
    <row r="155" spans="1:25" x14ac:dyDescent="0.35">
      <c r="A155" s="58">
        <v>43102</v>
      </c>
      <c r="B155" s="56">
        <v>8.6999999999999993</v>
      </c>
      <c r="C155" s="56">
        <v>5.3</v>
      </c>
      <c r="D155" s="56">
        <v>12.8</v>
      </c>
      <c r="E155" s="56">
        <v>1262.0999999999997</v>
      </c>
      <c r="F155" s="56"/>
      <c r="G155" s="56"/>
      <c r="H155" s="56">
        <v>2.2999999999999998</v>
      </c>
      <c r="I155" s="56"/>
      <c r="J155" s="56">
        <v>0.8</v>
      </c>
      <c r="K155" s="56"/>
      <c r="L155" s="56">
        <v>1.4999999999999998</v>
      </c>
      <c r="M155" s="56"/>
      <c r="N155" s="56">
        <v>125</v>
      </c>
      <c r="O155" s="56">
        <v>1</v>
      </c>
      <c r="P155" s="56">
        <v>0.8</v>
      </c>
      <c r="Q155" s="56">
        <v>1.4999999999999998</v>
      </c>
      <c r="R155" s="56">
        <v>123.32270588235296</v>
      </c>
      <c r="S155" s="56"/>
      <c r="T155" s="56">
        <v>149.6</v>
      </c>
      <c r="U155" s="56"/>
      <c r="V155" s="56">
        <v>70979.500000000015</v>
      </c>
      <c r="W155" s="56"/>
      <c r="X155" s="56"/>
      <c r="Y155" s="56">
        <v>8.299107110811816</v>
      </c>
    </row>
    <row r="156" spans="1:25" x14ac:dyDescent="0.35">
      <c r="A156" s="58">
        <v>43103</v>
      </c>
      <c r="B156" s="56">
        <v>11</v>
      </c>
      <c r="C156" s="56">
        <v>9.6999999999999993</v>
      </c>
      <c r="D156" s="56">
        <v>13</v>
      </c>
      <c r="E156" s="56">
        <v>1273.0999999999997</v>
      </c>
      <c r="F156" s="56"/>
      <c r="G156" s="56"/>
      <c r="H156" s="56">
        <v>6.1</v>
      </c>
      <c r="I156" s="56"/>
      <c r="J156" s="56">
        <v>2</v>
      </c>
      <c r="K156" s="56"/>
      <c r="L156" s="56">
        <v>4.0999999999999996</v>
      </c>
      <c r="M156" s="56"/>
      <c r="N156" s="56">
        <v>126</v>
      </c>
      <c r="O156" s="56">
        <v>1</v>
      </c>
      <c r="P156" s="56">
        <v>2</v>
      </c>
      <c r="Q156" s="56">
        <v>4.0999999999999996</v>
      </c>
      <c r="R156" s="56">
        <v>127.42270588235296</v>
      </c>
      <c r="S156" s="56"/>
      <c r="T156" s="56">
        <v>394.9</v>
      </c>
      <c r="U156" s="56"/>
      <c r="V156" s="56">
        <v>71374.400000000009</v>
      </c>
      <c r="W156" s="56"/>
      <c r="X156" s="56"/>
      <c r="Y156" s="56">
        <v>8.3162726693133955</v>
      </c>
    </row>
    <row r="157" spans="1:25" x14ac:dyDescent="0.35">
      <c r="A157" s="58">
        <v>43104</v>
      </c>
      <c r="B157" s="56">
        <v>11.6</v>
      </c>
      <c r="C157" s="56">
        <v>9.5</v>
      </c>
      <c r="D157" s="56">
        <v>13.6</v>
      </c>
      <c r="E157" s="56">
        <v>1284.6999999999996</v>
      </c>
      <c r="F157" s="56"/>
      <c r="G157" s="56"/>
      <c r="H157" s="56">
        <v>5.4</v>
      </c>
      <c r="I157" s="56"/>
      <c r="J157" s="56">
        <v>0.8</v>
      </c>
      <c r="K157" s="56"/>
      <c r="L157" s="56">
        <v>4.6000000000000005</v>
      </c>
      <c r="M157" s="56"/>
      <c r="N157" s="56">
        <v>127</v>
      </c>
      <c r="O157" s="56">
        <v>1</v>
      </c>
      <c r="P157" s="56">
        <v>0.8</v>
      </c>
      <c r="Q157" s="56">
        <v>4.6000000000000005</v>
      </c>
      <c r="R157" s="56">
        <v>132.02270588235297</v>
      </c>
      <c r="S157" s="56"/>
      <c r="T157" s="56">
        <v>114.2</v>
      </c>
      <c r="U157" s="56"/>
      <c r="V157" s="56">
        <v>71488.600000000006</v>
      </c>
      <c r="W157" s="56"/>
      <c r="X157" s="56"/>
      <c r="Y157" s="56">
        <v>8.3347129540531704</v>
      </c>
    </row>
    <row r="158" spans="1:25" x14ac:dyDescent="0.35">
      <c r="A158" s="58">
        <v>43105</v>
      </c>
      <c r="B158" s="56">
        <v>9</v>
      </c>
      <c r="C158" s="56">
        <v>8</v>
      </c>
      <c r="D158" s="56">
        <v>10.9</v>
      </c>
      <c r="E158" s="56">
        <v>1293.6999999999996</v>
      </c>
      <c r="F158" s="56"/>
      <c r="G158" s="56"/>
      <c r="H158" s="56">
        <v>0.9</v>
      </c>
      <c r="I158" s="56"/>
      <c r="J158" s="56">
        <v>0.7</v>
      </c>
      <c r="K158" s="56"/>
      <c r="L158" s="56">
        <v>0.20000000000000007</v>
      </c>
      <c r="M158" s="56"/>
      <c r="N158" s="56">
        <v>128</v>
      </c>
      <c r="O158" s="56">
        <v>1</v>
      </c>
      <c r="P158" s="56">
        <v>0.7</v>
      </c>
      <c r="Q158" s="56">
        <v>0.20000000000000007</v>
      </c>
      <c r="R158" s="56">
        <v>132.22270588235295</v>
      </c>
      <c r="S158" s="56"/>
      <c r="T158" s="56">
        <v>153</v>
      </c>
      <c r="U158" s="56"/>
      <c r="V158" s="56">
        <v>71641.600000000006</v>
      </c>
      <c r="W158" s="56"/>
      <c r="X158" s="56"/>
      <c r="Y158" s="56">
        <v>8.3544124958445867</v>
      </c>
    </row>
    <row r="159" spans="1:25" x14ac:dyDescent="0.35">
      <c r="A159" s="58">
        <v>43106</v>
      </c>
      <c r="B159" s="56">
        <v>6.8</v>
      </c>
      <c r="C159" s="56">
        <v>6.1</v>
      </c>
      <c r="D159" s="56">
        <v>7.5</v>
      </c>
      <c r="E159" s="56">
        <v>1300.4999999999995</v>
      </c>
      <c r="F159" s="56"/>
      <c r="G159" s="56"/>
      <c r="H159" s="56">
        <v>4.4000000000000004</v>
      </c>
      <c r="I159" s="56"/>
      <c r="J159" s="56">
        <v>0.2</v>
      </c>
      <c r="K159" s="56"/>
      <c r="L159" s="56">
        <v>4.2</v>
      </c>
      <c r="M159" s="56"/>
      <c r="N159" s="56">
        <v>129</v>
      </c>
      <c r="O159" s="56">
        <v>1</v>
      </c>
      <c r="P159" s="56">
        <v>0.2</v>
      </c>
      <c r="Q159" s="56">
        <v>4.2</v>
      </c>
      <c r="R159" s="56">
        <v>136.42270588235294</v>
      </c>
      <c r="S159" s="56"/>
      <c r="T159" s="56">
        <v>110.7</v>
      </c>
      <c r="U159" s="56"/>
      <c r="V159" s="56">
        <v>71752.3</v>
      </c>
      <c r="W159" s="56"/>
      <c r="X159" s="56"/>
      <c r="Y159" s="56">
        <v>8.3753549568767358</v>
      </c>
    </row>
    <row r="160" spans="1:25" x14ac:dyDescent="0.35">
      <c r="A160" s="58">
        <v>43107</v>
      </c>
      <c r="B160" s="56">
        <v>7</v>
      </c>
      <c r="C160" s="56">
        <v>6.6</v>
      </c>
      <c r="D160" s="56">
        <v>7.2</v>
      </c>
      <c r="E160" s="56">
        <v>1307.4999999999995</v>
      </c>
      <c r="F160" s="56"/>
      <c r="G160" s="56"/>
      <c r="H160" s="56">
        <v>0.2</v>
      </c>
      <c r="I160" s="56"/>
      <c r="J160" s="56">
        <v>0.6</v>
      </c>
      <c r="K160" s="56"/>
      <c r="L160" s="56">
        <v>-0.39999999999999997</v>
      </c>
      <c r="M160" s="56"/>
      <c r="N160" s="56">
        <v>130</v>
      </c>
      <c r="O160" s="56">
        <v>1</v>
      </c>
      <c r="P160" s="56">
        <v>0.6</v>
      </c>
      <c r="Q160" s="56">
        <v>-0.39999999999999997</v>
      </c>
      <c r="R160" s="56">
        <v>136.02270588235294</v>
      </c>
      <c r="S160" s="56"/>
      <c r="T160" s="56">
        <v>99</v>
      </c>
      <c r="U160" s="56"/>
      <c r="V160" s="56">
        <v>71851.3</v>
      </c>
      <c r="W160" s="56"/>
      <c r="X160" s="56"/>
      <c r="Y160" s="56">
        <v>8.3975231787317437</v>
      </c>
    </row>
    <row r="161" spans="1:25" x14ac:dyDescent="0.35">
      <c r="A161" s="58">
        <v>43108</v>
      </c>
      <c r="B161" s="56">
        <v>6.4</v>
      </c>
      <c r="C161" s="56">
        <v>6.4</v>
      </c>
      <c r="D161" s="56">
        <v>7.3</v>
      </c>
      <c r="E161" s="56">
        <v>1313.8999999999996</v>
      </c>
      <c r="F161" s="56"/>
      <c r="G161" s="56"/>
      <c r="H161" s="56">
        <v>0.2</v>
      </c>
      <c r="I161" s="56"/>
      <c r="J161" s="56">
        <v>0.7</v>
      </c>
      <c r="K161" s="56"/>
      <c r="L161" s="56">
        <v>-0.49999999999999994</v>
      </c>
      <c r="M161" s="56"/>
      <c r="N161" s="56">
        <v>131</v>
      </c>
      <c r="O161" s="56">
        <v>1</v>
      </c>
      <c r="P161" s="56">
        <v>0.7</v>
      </c>
      <c r="Q161" s="56">
        <v>-0.49999999999999994</v>
      </c>
      <c r="R161" s="56">
        <v>135.52270588235294</v>
      </c>
      <c r="S161" s="56"/>
      <c r="T161" s="56">
        <v>290.10000000000002</v>
      </c>
      <c r="U161" s="56"/>
      <c r="V161" s="56">
        <v>72141.400000000009</v>
      </c>
      <c r="W161" s="56"/>
      <c r="X161" s="56"/>
      <c r="Y161" s="56">
        <v>8.4208992318246683</v>
      </c>
    </row>
    <row r="162" spans="1:25" x14ac:dyDescent="0.35">
      <c r="A162" s="58">
        <v>43109</v>
      </c>
      <c r="B162" s="56">
        <v>6</v>
      </c>
      <c r="C162" s="56">
        <v>3.4</v>
      </c>
      <c r="D162" s="56">
        <v>8.3000000000000007</v>
      </c>
      <c r="E162" s="56">
        <v>1319.8999999999996</v>
      </c>
      <c r="F162" s="56"/>
      <c r="G162" s="56"/>
      <c r="H162" s="56">
        <v>3.5</v>
      </c>
      <c r="I162" s="56"/>
      <c r="J162" s="56">
        <v>0.2</v>
      </c>
      <c r="K162" s="56"/>
      <c r="L162" s="56">
        <v>3.3</v>
      </c>
      <c r="M162" s="56"/>
      <c r="N162" s="56">
        <v>132</v>
      </c>
      <c r="O162" s="56">
        <v>1</v>
      </c>
      <c r="P162" s="56">
        <v>0.2</v>
      </c>
      <c r="Q162" s="56">
        <v>3.3</v>
      </c>
      <c r="R162" s="56">
        <v>138.82270588235295</v>
      </c>
      <c r="S162" s="56"/>
      <c r="T162" s="56">
        <v>122.2</v>
      </c>
      <c r="U162" s="56"/>
      <c r="V162" s="56">
        <v>72263.600000000006</v>
      </c>
      <c r="W162" s="56"/>
      <c r="X162" s="56"/>
      <c r="Y162" s="56">
        <v>8.4454644659839477</v>
      </c>
    </row>
    <row r="163" spans="1:25" x14ac:dyDescent="0.35">
      <c r="A163" s="58">
        <v>43110</v>
      </c>
      <c r="B163" s="56">
        <v>7.2</v>
      </c>
      <c r="C163" s="56">
        <v>7</v>
      </c>
      <c r="D163" s="56">
        <v>8.5</v>
      </c>
      <c r="E163" s="56">
        <v>1327.0999999999997</v>
      </c>
      <c r="F163" s="56"/>
      <c r="G163" s="56"/>
      <c r="H163" s="56">
        <v>1.6</v>
      </c>
      <c r="I163" s="56"/>
      <c r="J163" s="56">
        <v>0.5</v>
      </c>
      <c r="K163" s="56"/>
      <c r="L163" s="56">
        <v>1.1000000000000001</v>
      </c>
      <c r="M163" s="56"/>
      <c r="N163" s="56">
        <v>133</v>
      </c>
      <c r="O163" s="56">
        <v>1</v>
      </c>
      <c r="P163" s="56">
        <v>0.5</v>
      </c>
      <c r="Q163" s="56">
        <v>1.1000000000000001</v>
      </c>
      <c r="R163" s="56">
        <v>139.92270588235294</v>
      </c>
      <c r="S163" s="56"/>
      <c r="T163" s="56">
        <v>127.5</v>
      </c>
      <c r="U163" s="56"/>
      <c r="V163" s="56">
        <v>72391.100000000006</v>
      </c>
      <c r="W163" s="56"/>
      <c r="X163" s="56"/>
      <c r="Y163" s="56">
        <v>8.4711995618934495</v>
      </c>
    </row>
    <row r="164" spans="1:25" x14ac:dyDescent="0.35">
      <c r="A164" s="58">
        <v>43111</v>
      </c>
      <c r="B164" s="56">
        <v>6.9</v>
      </c>
      <c r="C164" s="56">
        <v>5.7</v>
      </c>
      <c r="D164" s="56">
        <v>8.6999999999999993</v>
      </c>
      <c r="E164" s="56">
        <v>1333.9999999999998</v>
      </c>
      <c r="F164" s="56"/>
      <c r="G164" s="56"/>
      <c r="H164" s="56">
        <v>0.1</v>
      </c>
      <c r="I164" s="56"/>
      <c r="J164" s="56">
        <v>0.4</v>
      </c>
      <c r="K164" s="56"/>
      <c r="L164" s="56">
        <v>-0.30000000000000004</v>
      </c>
      <c r="M164" s="56"/>
      <c r="N164" s="56">
        <v>134</v>
      </c>
      <c r="O164" s="56">
        <v>1</v>
      </c>
      <c r="P164" s="56">
        <v>0.4</v>
      </c>
      <c r="Q164" s="56">
        <v>-0.30000000000000004</v>
      </c>
      <c r="R164" s="56">
        <v>139.62270588235293</v>
      </c>
      <c r="S164" s="56"/>
      <c r="T164" s="56">
        <v>167.4</v>
      </c>
      <c r="U164" s="56"/>
      <c r="V164" s="56">
        <v>72558.5</v>
      </c>
      <c r="W164" s="56"/>
      <c r="X164" s="56"/>
      <c r="Y164" s="56">
        <v>8.4980845831224041</v>
      </c>
    </row>
    <row r="165" spans="1:25" x14ac:dyDescent="0.35">
      <c r="A165" s="58">
        <v>43112</v>
      </c>
      <c r="B165" s="56">
        <v>4.9000000000000004</v>
      </c>
      <c r="C165" s="56">
        <v>4.5</v>
      </c>
      <c r="D165" s="56">
        <v>6.1</v>
      </c>
      <c r="E165" s="56">
        <v>1338.8999999999999</v>
      </c>
      <c r="F165" s="56"/>
      <c r="G165" s="56"/>
      <c r="H165" s="56">
        <v>0</v>
      </c>
      <c r="I165" s="56"/>
      <c r="J165" s="56">
        <v>0.3</v>
      </c>
      <c r="K165" s="56"/>
      <c r="L165" s="56">
        <v>-0.3</v>
      </c>
      <c r="M165" s="56"/>
      <c r="N165" s="56">
        <v>135</v>
      </c>
      <c r="O165" s="56">
        <v>1</v>
      </c>
      <c r="P165" s="56">
        <v>0.3</v>
      </c>
      <c r="Q165" s="56">
        <v>-0.3</v>
      </c>
      <c r="R165" s="56">
        <v>139.32270588235292</v>
      </c>
      <c r="S165" s="56"/>
      <c r="T165" s="56">
        <v>135.19999999999999</v>
      </c>
      <c r="U165" s="56"/>
      <c r="V165" s="56">
        <v>72693.7</v>
      </c>
      <c r="W165" s="56"/>
      <c r="X165" s="56"/>
      <c r="Y165" s="56">
        <v>8.5260990284770966</v>
      </c>
    </row>
    <row r="166" spans="1:25" x14ac:dyDescent="0.35">
      <c r="A166" s="58">
        <v>43113</v>
      </c>
      <c r="B166" s="56">
        <v>3</v>
      </c>
      <c r="C166" s="56">
        <v>1.8</v>
      </c>
      <c r="D166" s="56">
        <v>3.6</v>
      </c>
      <c r="E166" s="56">
        <v>1341.8999999999999</v>
      </c>
      <c r="F166" s="56"/>
      <c r="G166" s="56"/>
      <c r="H166" s="56">
        <v>0</v>
      </c>
      <c r="I166" s="56"/>
      <c r="J166" s="56">
        <v>0.1</v>
      </c>
      <c r="K166" s="56"/>
      <c r="L166" s="56">
        <v>-0.1</v>
      </c>
      <c r="M166" s="56"/>
      <c r="N166" s="56">
        <v>136</v>
      </c>
      <c r="O166" s="56">
        <v>1</v>
      </c>
      <c r="P166" s="56">
        <v>0.1</v>
      </c>
      <c r="Q166" s="56">
        <v>-0.1</v>
      </c>
      <c r="R166" s="56">
        <v>139.22270588235293</v>
      </c>
      <c r="S166" s="56"/>
      <c r="T166" s="56">
        <v>204.8</v>
      </c>
      <c r="U166" s="56"/>
      <c r="V166" s="56">
        <v>72898.5</v>
      </c>
      <c r="W166" s="56"/>
      <c r="X166" s="56"/>
      <c r="Y166" s="56">
        <v>8.5552218844174899</v>
      </c>
    </row>
    <row r="167" spans="1:25" x14ac:dyDescent="0.35">
      <c r="A167" s="58">
        <v>43114</v>
      </c>
      <c r="B167" s="56">
        <v>2.8</v>
      </c>
      <c r="C167" s="56">
        <v>1.2</v>
      </c>
      <c r="D167" s="56">
        <v>5.8</v>
      </c>
      <c r="E167" s="56">
        <v>1344.6999999999998</v>
      </c>
      <c r="F167" s="56"/>
      <c r="G167" s="56"/>
      <c r="H167" s="56">
        <v>0.1</v>
      </c>
      <c r="I167" s="56"/>
      <c r="J167" s="56">
        <v>0.5</v>
      </c>
      <c r="K167" s="56"/>
      <c r="L167" s="56">
        <v>-0.4</v>
      </c>
      <c r="M167" s="56"/>
      <c r="N167" s="56">
        <v>137</v>
      </c>
      <c r="O167" s="56">
        <v>1</v>
      </c>
      <c r="P167" s="56">
        <v>0.5</v>
      </c>
      <c r="Q167" s="56">
        <v>-0.4</v>
      </c>
      <c r="R167" s="56">
        <v>138.82270588235292</v>
      </c>
      <c r="S167" s="56"/>
      <c r="T167" s="56">
        <v>283.39999999999998</v>
      </c>
      <c r="U167" s="56"/>
      <c r="V167" s="56">
        <v>73181.899999999994</v>
      </c>
      <c r="W167" s="56"/>
      <c r="X167" s="56"/>
      <c r="Y167" s="56">
        <v>8.5854316772932187</v>
      </c>
    </row>
    <row r="168" spans="1:25" x14ac:dyDescent="0.35">
      <c r="A168" s="58">
        <v>43115</v>
      </c>
      <c r="B168" s="56">
        <v>7.2</v>
      </c>
      <c r="C168" s="56">
        <v>1.3</v>
      </c>
      <c r="D168" s="56">
        <v>9.8000000000000007</v>
      </c>
      <c r="E168" s="56">
        <v>1351.8999999999999</v>
      </c>
      <c r="F168" s="56"/>
      <c r="G168" s="56"/>
      <c r="H168" s="56">
        <v>8.6999999999999993</v>
      </c>
      <c r="I168" s="56"/>
      <c r="J168" s="56">
        <v>0.1</v>
      </c>
      <c r="K168" s="56"/>
      <c r="L168" s="56">
        <v>8.6</v>
      </c>
      <c r="M168" s="56"/>
      <c r="N168" s="56">
        <v>138</v>
      </c>
      <c r="O168" s="56">
        <v>1</v>
      </c>
      <c r="P168" s="56">
        <v>0.1</v>
      </c>
      <c r="Q168" s="56">
        <v>8.6</v>
      </c>
      <c r="R168" s="56">
        <v>147.42270588235291</v>
      </c>
      <c r="S168" s="56"/>
      <c r="T168" s="56">
        <v>124.8</v>
      </c>
      <c r="U168" s="56"/>
      <c r="V168" s="56">
        <v>73306.7</v>
      </c>
      <c r="W168" s="56"/>
      <c r="X168" s="56"/>
      <c r="Y168" s="56">
        <v>8.6167065251659256</v>
      </c>
    </row>
    <row r="169" spans="1:25" x14ac:dyDescent="0.35">
      <c r="A169" s="58">
        <v>43116</v>
      </c>
      <c r="B169" s="56">
        <v>8.9</v>
      </c>
      <c r="C169" s="56">
        <v>8.1</v>
      </c>
      <c r="D169" s="56">
        <v>10.9</v>
      </c>
      <c r="E169" s="56">
        <v>1360.8</v>
      </c>
      <c r="F169" s="56"/>
      <c r="G169" s="56"/>
      <c r="H169" s="56">
        <v>5</v>
      </c>
      <c r="I169" s="56"/>
      <c r="J169" s="56">
        <v>1.3</v>
      </c>
      <c r="K169" s="56"/>
      <c r="L169" s="56">
        <v>3.7</v>
      </c>
      <c r="M169" s="56"/>
      <c r="N169" s="56">
        <v>139</v>
      </c>
      <c r="O169" s="56">
        <v>1</v>
      </c>
      <c r="P169" s="56">
        <v>1.3</v>
      </c>
      <c r="Q169" s="56">
        <v>3.7</v>
      </c>
      <c r="R169" s="56">
        <v>150.80000000000001</v>
      </c>
      <c r="S169" s="56"/>
      <c r="T169" s="56">
        <v>140.19999999999999</v>
      </c>
      <c r="U169" s="56"/>
      <c r="V169" s="56">
        <v>73446.899999999994</v>
      </c>
      <c r="W169" s="56"/>
      <c r="X169" s="56"/>
      <c r="Y169" s="56">
        <v>8.6490241889989221</v>
      </c>
    </row>
    <row r="170" spans="1:25" x14ac:dyDescent="0.35">
      <c r="A170" s="58">
        <v>43117</v>
      </c>
      <c r="B170" s="56">
        <v>5.7</v>
      </c>
      <c r="C170" s="56">
        <v>4.5</v>
      </c>
      <c r="D170" s="56">
        <v>9.1</v>
      </c>
      <c r="E170" s="56">
        <v>1366.5</v>
      </c>
      <c r="F170" s="56"/>
      <c r="G170" s="56"/>
      <c r="H170" s="56">
        <v>0.6</v>
      </c>
      <c r="I170" s="56"/>
      <c r="J170" s="56">
        <v>1.7</v>
      </c>
      <c r="K170" s="56"/>
      <c r="L170" s="56">
        <v>-1.1000000000000001</v>
      </c>
      <c r="M170" s="56"/>
      <c r="N170" s="56">
        <v>140</v>
      </c>
      <c r="O170" s="56">
        <v>1</v>
      </c>
      <c r="P170" s="56">
        <v>1.7</v>
      </c>
      <c r="Q170" s="56">
        <v>-1.1000000000000001</v>
      </c>
      <c r="R170" s="56">
        <v>149.70000000000002</v>
      </c>
      <c r="S170" s="56"/>
      <c r="T170" s="56">
        <v>434.8</v>
      </c>
      <c r="U170" s="56"/>
      <c r="V170" s="56">
        <v>73881.7</v>
      </c>
      <c r="W170" s="56"/>
      <c r="X170" s="56"/>
      <c r="Y170" s="56">
        <v>8.6823621230099821</v>
      </c>
    </row>
    <row r="171" spans="1:25" x14ac:dyDescent="0.35">
      <c r="A171" s="58">
        <v>43118</v>
      </c>
      <c r="B171" s="56">
        <v>9.1999999999999993</v>
      </c>
      <c r="C171" s="56">
        <v>5.2</v>
      </c>
      <c r="D171" s="56">
        <v>10.8</v>
      </c>
      <c r="E171" s="56">
        <v>1375.7</v>
      </c>
      <c r="F171" s="56"/>
      <c r="G171" s="56"/>
      <c r="H171" s="56">
        <v>5.3</v>
      </c>
      <c r="I171" s="56"/>
      <c r="J171" s="56">
        <v>0.2</v>
      </c>
      <c r="K171" s="56"/>
      <c r="L171" s="56">
        <v>5.0999999999999996</v>
      </c>
      <c r="M171" s="56"/>
      <c r="N171" s="56">
        <v>141</v>
      </c>
      <c r="O171" s="56">
        <v>1</v>
      </c>
      <c r="P171" s="56">
        <v>0.2</v>
      </c>
      <c r="Q171" s="56">
        <v>5.0999999999999996</v>
      </c>
      <c r="R171" s="56">
        <v>150.80000000000001</v>
      </c>
      <c r="S171" s="56"/>
      <c r="T171" s="56">
        <v>129.1</v>
      </c>
      <c r="U171" s="56"/>
      <c r="V171" s="56">
        <v>74010.8</v>
      </c>
      <c r="W171" s="56"/>
      <c r="X171" s="56"/>
      <c r="Y171" s="56">
        <v>8.7166975239987732</v>
      </c>
    </row>
    <row r="172" spans="1:25" x14ac:dyDescent="0.35">
      <c r="A172" s="58">
        <v>43119</v>
      </c>
      <c r="B172" s="56">
        <v>4.8</v>
      </c>
      <c r="C172" s="56">
        <v>3.4</v>
      </c>
      <c r="D172" s="56">
        <v>7.2</v>
      </c>
      <c r="E172" s="56">
        <v>1380.5</v>
      </c>
      <c r="F172" s="56"/>
      <c r="G172" s="56"/>
      <c r="H172" s="56">
        <v>6.2</v>
      </c>
      <c r="I172" s="56"/>
      <c r="J172" s="56">
        <v>0.8</v>
      </c>
      <c r="K172" s="56"/>
      <c r="L172" s="56">
        <v>5.4</v>
      </c>
      <c r="M172" s="56"/>
      <c r="N172" s="56">
        <v>142</v>
      </c>
      <c r="O172" s="56">
        <v>1</v>
      </c>
      <c r="P172" s="56">
        <v>0.8</v>
      </c>
      <c r="Q172" s="56">
        <v>5.4</v>
      </c>
      <c r="R172" s="56">
        <v>150.80000000000001</v>
      </c>
      <c r="S172" s="56"/>
      <c r="T172" s="56">
        <v>316.8</v>
      </c>
      <c r="U172" s="56"/>
      <c r="V172" s="56">
        <v>74327.600000000006</v>
      </c>
      <c r="W172" s="56"/>
      <c r="X172" s="56"/>
      <c r="Y172" s="56">
        <v>8.7520073794767974</v>
      </c>
    </row>
    <row r="173" spans="1:25" x14ac:dyDescent="0.35">
      <c r="A173" s="58">
        <v>43120</v>
      </c>
      <c r="B173" s="56">
        <v>9.1999999999999993</v>
      </c>
      <c r="C173" s="56">
        <v>3.1</v>
      </c>
      <c r="D173" s="56">
        <v>12.2</v>
      </c>
      <c r="E173" s="56">
        <v>1389.7</v>
      </c>
      <c r="F173" s="56"/>
      <c r="G173" s="56"/>
      <c r="H173" s="56">
        <v>6.9</v>
      </c>
      <c r="I173" s="56"/>
      <c r="J173" s="56">
        <v>0.1</v>
      </c>
      <c r="K173" s="56"/>
      <c r="L173" s="56">
        <v>6.8000000000000007</v>
      </c>
      <c r="M173" s="56"/>
      <c r="N173" s="56">
        <v>143</v>
      </c>
      <c r="O173" s="56">
        <v>1</v>
      </c>
      <c r="P173" s="56">
        <v>0.1</v>
      </c>
      <c r="Q173" s="56">
        <v>6.8000000000000007</v>
      </c>
      <c r="R173" s="56">
        <v>150.80000000000001</v>
      </c>
      <c r="S173" s="56"/>
      <c r="T173" s="56">
        <v>202.4</v>
      </c>
      <c r="U173" s="56"/>
      <c r="V173" s="56">
        <v>74530</v>
      </c>
      <c r="W173" s="56"/>
      <c r="X173" s="56"/>
      <c r="Y173" s="56">
        <v>8.7882685144440984</v>
      </c>
    </row>
    <row r="174" spans="1:25" x14ac:dyDescent="0.35">
      <c r="A174" s="58">
        <v>43121</v>
      </c>
      <c r="B174" s="56">
        <v>9.6</v>
      </c>
      <c r="C174" s="56">
        <v>7.9</v>
      </c>
      <c r="D174" s="56">
        <v>11.9</v>
      </c>
      <c r="E174" s="56">
        <v>1399.3</v>
      </c>
      <c r="F174" s="56"/>
      <c r="G174" s="56"/>
      <c r="H174" s="56">
        <v>1.9</v>
      </c>
      <c r="I174" s="56"/>
      <c r="J174" s="56">
        <v>0.7</v>
      </c>
      <c r="K174" s="56"/>
      <c r="L174" s="56">
        <v>1.2</v>
      </c>
      <c r="M174" s="56"/>
      <c r="N174" s="56">
        <v>144</v>
      </c>
      <c r="O174" s="56">
        <v>1</v>
      </c>
      <c r="P174" s="56">
        <v>0.7</v>
      </c>
      <c r="Q174" s="56">
        <v>1.2</v>
      </c>
      <c r="R174" s="56">
        <v>150.80000000000001</v>
      </c>
      <c r="S174" s="56"/>
      <c r="T174" s="56">
        <v>206.8</v>
      </c>
      <c r="U174" s="56"/>
      <c r="V174" s="56">
        <v>74736.800000000003</v>
      </c>
      <c r="W174" s="56"/>
      <c r="X174" s="56"/>
      <c r="Y174" s="56">
        <v>8.8254576366739368</v>
      </c>
    </row>
    <row r="175" spans="1:25" x14ac:dyDescent="0.35">
      <c r="A175" s="58">
        <v>43122</v>
      </c>
      <c r="B175" s="56">
        <v>10</v>
      </c>
      <c r="C175" s="56">
        <v>7.2</v>
      </c>
      <c r="D175" s="56">
        <v>12.6</v>
      </c>
      <c r="E175" s="56">
        <v>1409.3</v>
      </c>
      <c r="F175" s="56"/>
      <c r="G175" s="56"/>
      <c r="H175" s="56">
        <v>1.1000000000000001</v>
      </c>
      <c r="I175" s="56"/>
      <c r="J175" s="56">
        <v>0.6</v>
      </c>
      <c r="K175" s="56"/>
      <c r="L175" s="56">
        <v>0.50000000000000011</v>
      </c>
      <c r="M175" s="56"/>
      <c r="N175" s="56">
        <v>145</v>
      </c>
      <c r="O175" s="56">
        <v>1</v>
      </c>
      <c r="P175" s="56">
        <v>0.6</v>
      </c>
      <c r="Q175" s="56">
        <v>0.50000000000000011</v>
      </c>
      <c r="R175" s="56">
        <v>150.80000000000001</v>
      </c>
      <c r="S175" s="56"/>
      <c r="T175" s="56">
        <v>114.6</v>
      </c>
      <c r="U175" s="56"/>
      <c r="V175" s="56">
        <v>74851.400000000009</v>
      </c>
      <c r="W175" s="56"/>
      <c r="X175" s="56"/>
      <c r="Y175" s="56">
        <v>8.8635513803831607</v>
      </c>
    </row>
    <row r="176" spans="1:25" x14ac:dyDescent="0.35">
      <c r="A176" s="58">
        <v>43123</v>
      </c>
      <c r="B176" s="56">
        <v>8.8000000000000007</v>
      </c>
      <c r="C176" s="56">
        <v>5.6</v>
      </c>
      <c r="D176" s="56">
        <v>11.1</v>
      </c>
      <c r="E176" s="56">
        <v>1418.1</v>
      </c>
      <c r="F176" s="56"/>
      <c r="G176" s="56"/>
      <c r="H176" s="56">
        <v>0.3</v>
      </c>
      <c r="I176" s="56"/>
      <c r="J176" s="56">
        <v>0.2</v>
      </c>
      <c r="K176" s="56"/>
      <c r="L176" s="56">
        <v>9.9999999999999978E-2</v>
      </c>
      <c r="M176" s="56"/>
      <c r="N176" s="56">
        <v>146</v>
      </c>
      <c r="O176" s="56">
        <v>1</v>
      </c>
      <c r="P176" s="56">
        <v>0.2</v>
      </c>
      <c r="Q176" s="56">
        <v>9.9999999999999978E-2</v>
      </c>
      <c r="R176" s="56">
        <v>150.80000000000001</v>
      </c>
      <c r="S176" s="56"/>
      <c r="T176" s="56">
        <v>200.5</v>
      </c>
      <c r="U176" s="56"/>
      <c r="V176" s="56">
        <v>75051.900000000009</v>
      </c>
      <c r="W176" s="56"/>
      <c r="X176" s="56"/>
      <c r="Y176" s="56">
        <v>8.9025263481825476</v>
      </c>
    </row>
    <row r="177" spans="1:25" x14ac:dyDescent="0.35">
      <c r="A177" s="58">
        <v>43124</v>
      </c>
      <c r="B177" s="56">
        <v>11.4</v>
      </c>
      <c r="C177" s="56">
        <v>10.9</v>
      </c>
      <c r="D177" s="56">
        <v>12.2</v>
      </c>
      <c r="E177" s="56">
        <v>1429.5</v>
      </c>
      <c r="F177" s="56"/>
      <c r="G177" s="56"/>
      <c r="H177" s="56">
        <v>4.5</v>
      </c>
      <c r="I177" s="56"/>
      <c r="J177" s="56">
        <v>1</v>
      </c>
      <c r="K177" s="56"/>
      <c r="L177" s="56">
        <v>3.5</v>
      </c>
      <c r="M177" s="56"/>
      <c r="N177" s="56">
        <v>147</v>
      </c>
      <c r="O177" s="56">
        <v>1</v>
      </c>
      <c r="P177" s="56">
        <v>1</v>
      </c>
      <c r="Q177" s="56">
        <v>3.5</v>
      </c>
      <c r="R177" s="56">
        <v>150.80000000000001</v>
      </c>
      <c r="S177" s="56"/>
      <c r="T177" s="56">
        <v>249.2</v>
      </c>
      <c r="U177" s="56"/>
      <c r="V177" s="56">
        <v>75301.100000000006</v>
      </c>
      <c r="W177" s="56"/>
      <c r="X177" s="56"/>
      <c r="Y177" s="56">
        <v>8.9423591512174401</v>
      </c>
    </row>
    <row r="178" spans="1:25" x14ac:dyDescent="0.35">
      <c r="A178" s="58">
        <v>43125</v>
      </c>
      <c r="B178" s="56">
        <v>7.9</v>
      </c>
      <c r="C178" s="56">
        <v>7.5</v>
      </c>
      <c r="D178" s="56">
        <v>8.3000000000000007</v>
      </c>
      <c r="E178" s="56">
        <v>1437.4</v>
      </c>
      <c r="F178" s="56"/>
      <c r="G178" s="56"/>
      <c r="H178" s="56">
        <v>6.6</v>
      </c>
      <c r="I178" s="56"/>
      <c r="J178" s="56">
        <v>0.3</v>
      </c>
      <c r="K178" s="56"/>
      <c r="L178" s="56">
        <v>6.3</v>
      </c>
      <c r="M178" s="56"/>
      <c r="N178" s="56">
        <v>148</v>
      </c>
      <c r="O178" s="56">
        <v>1</v>
      </c>
      <c r="P178" s="56">
        <v>0.3</v>
      </c>
      <c r="Q178" s="56">
        <v>6.3</v>
      </c>
      <c r="R178" s="56">
        <v>150.80000000000001</v>
      </c>
      <c r="S178" s="56"/>
      <c r="T178" s="56">
        <v>147.30000000000001</v>
      </c>
      <c r="U178" s="56"/>
      <c r="V178" s="56">
        <v>75448.400000000009</v>
      </c>
      <c r="W178" s="56"/>
      <c r="X178" s="56"/>
      <c r="Y178" s="56">
        <v>8.9830264474246029</v>
      </c>
    </row>
    <row r="179" spans="1:25" x14ac:dyDescent="0.35">
      <c r="A179" s="58">
        <v>43126</v>
      </c>
      <c r="B179" s="56">
        <v>4.5999999999999996</v>
      </c>
      <c r="C179" s="56">
        <v>4</v>
      </c>
      <c r="D179" s="56">
        <v>5.7</v>
      </c>
      <c r="E179" s="56">
        <v>1442</v>
      </c>
      <c r="F179" s="56"/>
      <c r="G179" s="56"/>
      <c r="H179" s="56">
        <v>0.2</v>
      </c>
      <c r="I179" s="56"/>
      <c r="J179" s="56">
        <v>0.2</v>
      </c>
      <c r="K179" s="56"/>
      <c r="L179" s="56">
        <v>0</v>
      </c>
      <c r="M179" s="56"/>
      <c r="N179" s="56">
        <v>149</v>
      </c>
      <c r="O179" s="56">
        <v>1</v>
      </c>
      <c r="P179" s="56">
        <v>0.2</v>
      </c>
      <c r="Q179" s="56">
        <v>0</v>
      </c>
      <c r="R179" s="56">
        <v>150.80000000000001</v>
      </c>
      <c r="S179" s="56"/>
      <c r="T179" s="56">
        <v>241.4</v>
      </c>
      <c r="U179" s="56"/>
      <c r="V179" s="56">
        <v>75689.8</v>
      </c>
      <c r="W179" s="56"/>
      <c r="X179" s="56"/>
      <c r="Y179" s="56">
        <v>9.0245049778462523</v>
      </c>
    </row>
    <row r="180" spans="1:25" x14ac:dyDescent="0.35">
      <c r="A180" s="58">
        <v>43127</v>
      </c>
      <c r="B180" s="56">
        <v>2.4</v>
      </c>
      <c r="C180" s="56">
        <v>1.1000000000000001</v>
      </c>
      <c r="D180" s="56">
        <v>4.3</v>
      </c>
      <c r="E180" s="56">
        <v>1444.4</v>
      </c>
      <c r="F180" s="56"/>
      <c r="G180" s="56"/>
      <c r="H180" s="56">
        <v>0.2</v>
      </c>
      <c r="I180" s="56"/>
      <c r="J180" s="56">
        <v>0.5</v>
      </c>
      <c r="K180" s="56"/>
      <c r="L180" s="56">
        <v>-0.3</v>
      </c>
      <c r="M180" s="56"/>
      <c r="N180" s="56">
        <v>150</v>
      </c>
      <c r="O180" s="56">
        <v>1</v>
      </c>
      <c r="P180" s="56">
        <v>0.5</v>
      </c>
      <c r="Q180" s="56">
        <v>-0.3</v>
      </c>
      <c r="R180" s="56">
        <v>150.5</v>
      </c>
      <c r="S180" s="56"/>
      <c r="T180" s="56">
        <v>434</v>
      </c>
      <c r="U180" s="56"/>
      <c r="V180" s="56">
        <v>76123.8</v>
      </c>
      <c r="W180" s="56"/>
      <c r="X180" s="56"/>
      <c r="Y180" s="56">
        <v>9.0667716009563826</v>
      </c>
    </row>
    <row r="181" spans="1:25" x14ac:dyDescent="0.35">
      <c r="A181" s="58">
        <v>43128</v>
      </c>
      <c r="B181" s="56">
        <v>6.8</v>
      </c>
      <c r="C181" s="56">
        <v>3</v>
      </c>
      <c r="D181" s="56">
        <v>8.9</v>
      </c>
      <c r="E181" s="56">
        <v>1451.2</v>
      </c>
      <c r="F181" s="56"/>
      <c r="G181" s="56"/>
      <c r="H181" s="56">
        <v>1.1000000000000001</v>
      </c>
      <c r="I181" s="56"/>
      <c r="J181" s="56">
        <v>0.2</v>
      </c>
      <c r="K181" s="56"/>
      <c r="L181" s="56">
        <v>0.90000000000000013</v>
      </c>
      <c r="M181" s="56"/>
      <c r="N181" s="56">
        <v>151</v>
      </c>
      <c r="O181" s="56">
        <v>1</v>
      </c>
      <c r="P181" s="56">
        <v>0.2</v>
      </c>
      <c r="Q181" s="56">
        <v>0.90000000000000013</v>
      </c>
      <c r="R181" s="56">
        <v>150.80000000000001</v>
      </c>
      <c r="S181" s="56"/>
      <c r="T181" s="56">
        <v>101.7</v>
      </c>
      <c r="U181" s="56"/>
      <c r="V181" s="56">
        <v>76225.5</v>
      </c>
      <c r="W181" s="56"/>
      <c r="X181" s="56"/>
      <c r="Y181" s="56">
        <v>9.1098033249680732</v>
      </c>
    </row>
    <row r="182" spans="1:25" x14ac:dyDescent="0.35">
      <c r="A182" s="58">
        <v>43129</v>
      </c>
      <c r="B182" s="56">
        <v>9</v>
      </c>
      <c r="C182" s="56">
        <v>8.6</v>
      </c>
      <c r="D182" s="56">
        <v>9.9</v>
      </c>
      <c r="E182" s="56">
        <v>1460.2</v>
      </c>
      <c r="F182" s="56"/>
      <c r="G182" s="56"/>
      <c r="H182" s="56">
        <v>0.4</v>
      </c>
      <c r="I182" s="56"/>
      <c r="J182" s="56">
        <v>0.4</v>
      </c>
      <c r="K182" s="56"/>
      <c r="L182" s="56">
        <v>0</v>
      </c>
      <c r="M182" s="56"/>
      <c r="N182" s="56">
        <v>152</v>
      </c>
      <c r="O182" s="56">
        <v>1</v>
      </c>
      <c r="P182" s="56">
        <v>0.4</v>
      </c>
      <c r="Q182" s="56">
        <v>0</v>
      </c>
      <c r="R182" s="56">
        <v>150.80000000000001</v>
      </c>
      <c r="S182" s="56"/>
      <c r="T182" s="56">
        <v>143</v>
      </c>
      <c r="U182" s="56"/>
      <c r="V182" s="56">
        <v>76368.5</v>
      </c>
      <c r="W182" s="56"/>
      <c r="X182" s="56"/>
      <c r="Y182" s="56">
        <v>9.1535773381030996</v>
      </c>
    </row>
    <row r="183" spans="1:25" x14ac:dyDescent="0.35">
      <c r="A183" s="58">
        <v>43130</v>
      </c>
      <c r="B183" s="56">
        <v>9.1</v>
      </c>
      <c r="C183" s="56">
        <v>7.7</v>
      </c>
      <c r="D183" s="56">
        <v>10.3</v>
      </c>
      <c r="E183" s="56">
        <v>1469.3</v>
      </c>
      <c r="F183" s="56"/>
      <c r="G183" s="56"/>
      <c r="H183" s="56">
        <v>0.3</v>
      </c>
      <c r="I183" s="56"/>
      <c r="J183" s="56">
        <v>0.4</v>
      </c>
      <c r="K183" s="56"/>
      <c r="L183" s="56">
        <v>-0.10000000000000003</v>
      </c>
      <c r="M183" s="56"/>
      <c r="N183" s="56">
        <v>153</v>
      </c>
      <c r="O183" s="56">
        <v>1</v>
      </c>
      <c r="P183" s="56">
        <v>0.4</v>
      </c>
      <c r="Q183" s="56">
        <v>-0.10000000000000003</v>
      </c>
      <c r="R183" s="56">
        <v>150.70000000000002</v>
      </c>
      <c r="S183" s="56"/>
      <c r="T183" s="56">
        <v>209.7</v>
      </c>
      <c r="U183" s="56"/>
      <c r="V183" s="56">
        <v>76578.2</v>
      </c>
      <c r="W183" s="56"/>
      <c r="X183" s="56"/>
      <c r="Y183" s="56">
        <v>9.1980710368168275</v>
      </c>
    </row>
    <row r="184" spans="1:25" x14ac:dyDescent="0.35">
      <c r="A184" s="58">
        <v>43131</v>
      </c>
      <c r="B184" s="56">
        <v>7.4</v>
      </c>
      <c r="C184" s="56">
        <v>7.4</v>
      </c>
      <c r="D184" s="56">
        <v>8.1999999999999993</v>
      </c>
      <c r="E184" s="56">
        <v>1476.7</v>
      </c>
      <c r="F184" s="56"/>
      <c r="G184" s="56"/>
      <c r="H184" s="56">
        <v>13.9</v>
      </c>
      <c r="I184" s="56"/>
      <c r="J184" s="56">
        <v>0.7</v>
      </c>
      <c r="K184" s="56"/>
      <c r="L184" s="56">
        <v>13.200000000000001</v>
      </c>
      <c r="M184" s="56"/>
      <c r="N184" s="56">
        <v>154</v>
      </c>
      <c r="O184" s="56">
        <v>1</v>
      </c>
      <c r="P184" s="56">
        <v>0.7</v>
      </c>
      <c r="Q184" s="56">
        <v>13.200000000000001</v>
      </c>
      <c r="R184" s="56">
        <v>150.80000000000001</v>
      </c>
      <c r="S184" s="56"/>
      <c r="T184" s="56">
        <v>141.19999999999999</v>
      </c>
      <c r="U184" s="56"/>
      <c r="V184" s="56">
        <v>76719.399999999994</v>
      </c>
      <c r="W184" s="56"/>
      <c r="X184" s="56"/>
      <c r="Y184" s="56">
        <v>9.2432620519823026</v>
      </c>
    </row>
    <row r="185" spans="1:25" x14ac:dyDescent="0.35">
      <c r="A185" s="58">
        <v>43132</v>
      </c>
      <c r="B185" s="56">
        <v>3.7</v>
      </c>
      <c r="C185" s="56">
        <v>2.5</v>
      </c>
      <c r="D185" s="56">
        <v>6.4</v>
      </c>
      <c r="E185" s="56">
        <v>1480.4</v>
      </c>
      <c r="F185" s="56"/>
      <c r="G185" s="56"/>
      <c r="H185" s="56">
        <v>0.1</v>
      </c>
      <c r="I185" s="56"/>
      <c r="J185" s="56">
        <v>0.7</v>
      </c>
      <c r="K185" s="56"/>
      <c r="L185" s="56">
        <v>-0.6</v>
      </c>
      <c r="M185" s="56"/>
      <c r="N185" s="56">
        <v>155</v>
      </c>
      <c r="O185" s="56">
        <v>1</v>
      </c>
      <c r="P185" s="56">
        <v>0.7</v>
      </c>
      <c r="Q185" s="56">
        <v>-0.6</v>
      </c>
      <c r="R185" s="56">
        <v>150.20000000000002</v>
      </c>
      <c r="S185" s="56"/>
      <c r="T185" s="56">
        <v>347.3</v>
      </c>
      <c r="U185" s="56"/>
      <c r="V185" s="56">
        <v>77066.7</v>
      </c>
      <c r="W185" s="56"/>
      <c r="X185" s="56"/>
      <c r="Y185" s="56">
        <v>9.2891282730472842</v>
      </c>
    </row>
    <row r="186" spans="1:25" x14ac:dyDescent="0.35">
      <c r="A186" s="58">
        <v>43133</v>
      </c>
      <c r="B186" s="56">
        <v>2.5</v>
      </c>
      <c r="C186" s="56">
        <v>-0.6</v>
      </c>
      <c r="D186" s="56">
        <v>6.1</v>
      </c>
      <c r="E186" s="56">
        <v>1482.9</v>
      </c>
      <c r="F186" s="56"/>
      <c r="G186" s="56"/>
      <c r="H186" s="56">
        <v>0.5</v>
      </c>
      <c r="I186" s="56"/>
      <c r="J186" s="56">
        <v>0.6</v>
      </c>
      <c r="K186" s="56"/>
      <c r="L186" s="56">
        <v>-9.9999999999999978E-2</v>
      </c>
      <c r="M186" s="56"/>
      <c r="N186" s="56">
        <v>156</v>
      </c>
      <c r="O186" s="56">
        <v>1</v>
      </c>
      <c r="P186" s="56">
        <v>0.6</v>
      </c>
      <c r="Q186" s="56">
        <v>-9.9999999999999978E-2</v>
      </c>
      <c r="R186" s="56">
        <v>150.10000000000002</v>
      </c>
      <c r="S186" s="56"/>
      <c r="T186" s="56">
        <v>503.6</v>
      </c>
      <c r="U186" s="56"/>
      <c r="V186" s="56">
        <v>77570.3</v>
      </c>
      <c r="W186" s="56"/>
      <c r="X186" s="56"/>
      <c r="Y186" s="56">
        <v>9.335647870186941</v>
      </c>
    </row>
    <row r="187" spans="1:25" x14ac:dyDescent="0.35">
      <c r="A187" s="58">
        <v>43134</v>
      </c>
      <c r="B187" s="56">
        <v>3</v>
      </c>
      <c r="C187" s="56">
        <v>0.6</v>
      </c>
      <c r="D187" s="56">
        <v>4.5</v>
      </c>
      <c r="E187" s="56">
        <v>1485.9</v>
      </c>
      <c r="F187" s="56"/>
      <c r="G187" s="56"/>
      <c r="H187" s="56">
        <v>1.2</v>
      </c>
      <c r="I187" s="56"/>
      <c r="J187" s="56">
        <v>0.1</v>
      </c>
      <c r="K187" s="56"/>
      <c r="L187" s="56">
        <v>1.0999999999999999</v>
      </c>
      <c r="M187" s="56"/>
      <c r="N187" s="56">
        <v>157</v>
      </c>
      <c r="O187" s="56">
        <v>1</v>
      </c>
      <c r="P187" s="56">
        <v>0.1</v>
      </c>
      <c r="Q187" s="56">
        <v>1.0999999999999999</v>
      </c>
      <c r="R187" s="56">
        <v>150.80000000000001</v>
      </c>
      <c r="S187" s="56"/>
      <c r="T187" s="56">
        <v>169.1</v>
      </c>
      <c r="U187" s="56"/>
      <c r="V187" s="56">
        <v>77739.400000000009</v>
      </c>
      <c r="W187" s="56"/>
      <c r="X187" s="56"/>
      <c r="Y187" s="56">
        <v>9.3827993144829822</v>
      </c>
    </row>
    <row r="188" spans="1:25" x14ac:dyDescent="0.35">
      <c r="A188" s="58">
        <v>43135</v>
      </c>
      <c r="B188" s="56">
        <v>2.2999999999999998</v>
      </c>
      <c r="C188" s="56">
        <v>0.5</v>
      </c>
      <c r="D188" s="56">
        <v>3.7</v>
      </c>
      <c r="E188" s="56">
        <v>1488.2</v>
      </c>
      <c r="F188" s="56"/>
      <c r="G188" s="56"/>
      <c r="H188" s="56">
        <v>1.9</v>
      </c>
      <c r="I188" s="56"/>
      <c r="J188" s="56">
        <v>0.3</v>
      </c>
      <c r="K188" s="56"/>
      <c r="L188" s="56">
        <v>1.5999999999999999</v>
      </c>
      <c r="M188" s="56"/>
      <c r="N188" s="56">
        <v>158</v>
      </c>
      <c r="O188" s="56">
        <v>1</v>
      </c>
      <c r="P188" s="56">
        <v>0.3</v>
      </c>
      <c r="Q188" s="56">
        <v>1.5999999999999999</v>
      </c>
      <c r="R188" s="56">
        <v>150.80000000000001</v>
      </c>
      <c r="S188" s="56"/>
      <c r="T188" s="56">
        <v>176.4</v>
      </c>
      <c r="U188" s="56"/>
      <c r="V188" s="56">
        <v>77915.8</v>
      </c>
      <c r="W188" s="56"/>
      <c r="X188" s="56"/>
      <c r="Y188" s="56">
        <v>9.4305613961670929</v>
      </c>
    </row>
    <row r="189" spans="1:25" x14ac:dyDescent="0.35">
      <c r="A189" s="58">
        <v>43136</v>
      </c>
      <c r="B189" s="56">
        <v>-0.2</v>
      </c>
      <c r="C189" s="56">
        <v>-1.7</v>
      </c>
      <c r="D189" s="56">
        <v>0.4</v>
      </c>
      <c r="E189" s="56">
        <v>1488.2</v>
      </c>
      <c r="F189" s="56"/>
      <c r="G189" s="56"/>
      <c r="H189" s="56">
        <v>1.4</v>
      </c>
      <c r="I189" s="56"/>
      <c r="J189" s="56">
        <v>0.4</v>
      </c>
      <c r="K189" s="56"/>
      <c r="L189" s="56">
        <v>0.99999999999999989</v>
      </c>
      <c r="M189" s="56"/>
      <c r="N189" s="56">
        <v>159</v>
      </c>
      <c r="O189" s="56">
        <v>1</v>
      </c>
      <c r="P189" s="56">
        <v>0.4</v>
      </c>
      <c r="Q189" s="56">
        <v>0.99999999999999989</v>
      </c>
      <c r="R189" s="56">
        <v>150.80000000000001</v>
      </c>
      <c r="S189" s="56"/>
      <c r="T189" s="56">
        <v>275.7</v>
      </c>
      <c r="U189" s="56"/>
      <c r="V189" s="56">
        <v>78191.5</v>
      </c>
      <c r="W189" s="56"/>
      <c r="X189" s="56"/>
      <c r="Y189" s="56">
        <v>9.4789132409728172</v>
      </c>
    </row>
    <row r="190" spans="1:25" x14ac:dyDescent="0.35">
      <c r="A190" s="58">
        <v>43137</v>
      </c>
      <c r="B190" s="56">
        <v>-0.3</v>
      </c>
      <c r="C190" s="56">
        <v>-1.1000000000000001</v>
      </c>
      <c r="D190" s="56">
        <v>0.2</v>
      </c>
      <c r="E190" s="56">
        <v>1488.2</v>
      </c>
      <c r="F190" s="56"/>
      <c r="G190" s="56"/>
      <c r="H190" s="56">
        <v>1.8</v>
      </c>
      <c r="I190" s="56"/>
      <c r="J190" s="56">
        <v>0.3</v>
      </c>
      <c r="K190" s="56"/>
      <c r="L190" s="56">
        <v>1.5</v>
      </c>
      <c r="M190" s="56"/>
      <c r="N190" s="56">
        <v>160</v>
      </c>
      <c r="O190" s="56">
        <v>1</v>
      </c>
      <c r="P190" s="56">
        <v>0.3</v>
      </c>
      <c r="Q190" s="56">
        <v>1.5</v>
      </c>
      <c r="R190" s="56">
        <v>150.80000000000001</v>
      </c>
      <c r="S190" s="56"/>
      <c r="T190" s="56">
        <v>185.7</v>
      </c>
      <c r="U190" s="56"/>
      <c r="V190" s="56">
        <v>78377.2</v>
      </c>
      <c r="W190" s="56"/>
      <c r="X190" s="56"/>
      <c r="Y190" s="56">
        <v>9.5278343246454149</v>
      </c>
    </row>
    <row r="191" spans="1:25" x14ac:dyDescent="0.35">
      <c r="A191" s="58">
        <v>43138</v>
      </c>
      <c r="B191" s="56">
        <v>-2.1</v>
      </c>
      <c r="C191" s="56">
        <v>-4.0999999999999996</v>
      </c>
      <c r="D191" s="56">
        <v>-0.9</v>
      </c>
      <c r="E191" s="56">
        <v>1488.2</v>
      </c>
      <c r="F191" s="56"/>
      <c r="G191" s="56"/>
      <c r="H191" s="56">
        <v>0</v>
      </c>
      <c r="I191" s="56"/>
      <c r="J191" s="56">
        <v>0.2</v>
      </c>
      <c r="K191" s="56"/>
      <c r="L191" s="56">
        <v>-0.2</v>
      </c>
      <c r="M191" s="56"/>
      <c r="N191" s="56">
        <v>161</v>
      </c>
      <c r="O191" s="56">
        <v>1</v>
      </c>
      <c r="P191" s="56">
        <v>0.2</v>
      </c>
      <c r="Q191" s="56">
        <v>-0.2</v>
      </c>
      <c r="R191" s="56">
        <v>150.60000000000002</v>
      </c>
      <c r="S191" s="56"/>
      <c r="T191" s="56">
        <v>194.6</v>
      </c>
      <c r="U191" s="56"/>
      <c r="V191" s="56">
        <v>78571.8</v>
      </c>
      <c r="W191" s="56"/>
      <c r="X191" s="56"/>
      <c r="Y191" s="56">
        <v>9.5773044856638379</v>
      </c>
    </row>
    <row r="192" spans="1:25" x14ac:dyDescent="0.35">
      <c r="A192" s="58">
        <v>43139</v>
      </c>
      <c r="B192" s="56">
        <v>-4.4000000000000004</v>
      </c>
      <c r="C192" s="56">
        <v>-6.3</v>
      </c>
      <c r="D192" s="56">
        <v>-1.8</v>
      </c>
      <c r="E192" s="56">
        <v>1488.2</v>
      </c>
      <c r="F192" s="56"/>
      <c r="G192" s="56"/>
      <c r="H192" s="56">
        <v>0</v>
      </c>
      <c r="I192" s="56"/>
      <c r="J192" s="56">
        <v>0.7</v>
      </c>
      <c r="K192" s="56"/>
      <c r="L192" s="56">
        <v>-0.7</v>
      </c>
      <c r="M192" s="56"/>
      <c r="N192" s="56">
        <v>162</v>
      </c>
      <c r="O192" s="56">
        <v>1</v>
      </c>
      <c r="P192" s="56">
        <v>0.7</v>
      </c>
      <c r="Q192" s="56">
        <v>-0.7</v>
      </c>
      <c r="R192" s="56">
        <v>149.90000000000003</v>
      </c>
      <c r="S192" s="56"/>
      <c r="T192" s="56">
        <v>846.2</v>
      </c>
      <c r="U192" s="56"/>
      <c r="V192" s="56">
        <v>79418</v>
      </c>
      <c r="W192" s="56"/>
      <c r="X192" s="56"/>
      <c r="Y192" s="56">
        <v>9.6273039362327175</v>
      </c>
    </row>
    <row r="193" spans="1:25" x14ac:dyDescent="0.35">
      <c r="A193" s="58">
        <v>43140</v>
      </c>
      <c r="B193" s="56">
        <v>-2.5</v>
      </c>
      <c r="C193" s="56">
        <v>-7</v>
      </c>
      <c r="D193" s="56">
        <v>0.4</v>
      </c>
      <c r="E193" s="56">
        <v>1488.2</v>
      </c>
      <c r="F193" s="56"/>
      <c r="G193" s="56"/>
      <c r="H193" s="56">
        <v>1.2</v>
      </c>
      <c r="I193" s="56"/>
      <c r="J193" s="56">
        <v>0.1</v>
      </c>
      <c r="K193" s="56"/>
      <c r="L193" s="56">
        <v>1.0999999999999999</v>
      </c>
      <c r="M193" s="56"/>
      <c r="N193" s="56">
        <v>163</v>
      </c>
      <c r="O193" s="56">
        <v>1</v>
      </c>
      <c r="P193" s="56">
        <v>0.1</v>
      </c>
      <c r="Q193" s="56">
        <v>1.0999999999999999</v>
      </c>
      <c r="R193" s="56">
        <v>150.80000000000001</v>
      </c>
      <c r="S193" s="56"/>
      <c r="T193" s="56">
        <v>252.7</v>
      </c>
      <c r="U193" s="56"/>
      <c r="V193" s="56">
        <v>79670.7</v>
      </c>
      <c r="W193" s="56"/>
      <c r="X193" s="56"/>
      <c r="Y193" s="56">
        <v>9.6778132716054852</v>
      </c>
    </row>
    <row r="194" spans="1:25" x14ac:dyDescent="0.35">
      <c r="A194" s="58">
        <v>43141</v>
      </c>
      <c r="B194" s="56">
        <v>-0.3</v>
      </c>
      <c r="C194" s="56">
        <v>-6.5</v>
      </c>
      <c r="D194" s="56">
        <v>6</v>
      </c>
      <c r="E194" s="56">
        <v>1488.2</v>
      </c>
      <c r="F194" s="56"/>
      <c r="G194" s="56"/>
      <c r="H194" s="56">
        <v>2.7</v>
      </c>
      <c r="I194" s="56"/>
      <c r="J194" s="56">
        <v>0.9</v>
      </c>
      <c r="K194" s="56"/>
      <c r="L194" s="56">
        <v>1.8000000000000003</v>
      </c>
      <c r="M194" s="56"/>
      <c r="N194" s="56">
        <v>164</v>
      </c>
      <c r="O194" s="56">
        <v>1</v>
      </c>
      <c r="P194" s="56">
        <v>0.9</v>
      </c>
      <c r="Q194" s="56">
        <v>1.8000000000000003</v>
      </c>
      <c r="R194" s="56">
        <v>150.80000000000001</v>
      </c>
      <c r="S194" s="56"/>
      <c r="T194" s="56">
        <v>967.1</v>
      </c>
      <c r="U194" s="56"/>
      <c r="V194" s="56">
        <v>80637.8</v>
      </c>
      <c r="W194" s="56"/>
      <c r="X194" s="56"/>
      <c r="Y194" s="56">
        <v>9.7288134778020279</v>
      </c>
    </row>
    <row r="195" spans="1:25" x14ac:dyDescent="0.35">
      <c r="A195" s="58">
        <v>43142</v>
      </c>
      <c r="B195" s="56">
        <v>4.9000000000000004</v>
      </c>
      <c r="C195" s="56">
        <v>2.9</v>
      </c>
      <c r="D195" s="56">
        <v>8.5</v>
      </c>
      <c r="E195" s="56">
        <v>1493.1000000000001</v>
      </c>
      <c r="F195" s="56"/>
      <c r="G195" s="56"/>
      <c r="H195" s="56">
        <v>0.8</v>
      </c>
      <c r="I195" s="56"/>
      <c r="J195" s="56">
        <v>1.2</v>
      </c>
      <c r="K195" s="56"/>
      <c r="L195" s="56">
        <v>-0.39999999999999991</v>
      </c>
      <c r="M195" s="56"/>
      <c r="N195" s="56">
        <v>165</v>
      </c>
      <c r="O195" s="56">
        <v>1</v>
      </c>
      <c r="P195" s="56">
        <v>1.2</v>
      </c>
      <c r="Q195" s="56">
        <v>-0.39999999999999991</v>
      </c>
      <c r="R195" s="56">
        <v>150.4</v>
      </c>
      <c r="S195" s="56"/>
      <c r="T195" s="56">
        <v>847.6</v>
      </c>
      <c r="U195" s="56"/>
      <c r="V195" s="56">
        <v>81485.400000000009</v>
      </c>
      <c r="W195" s="56"/>
      <c r="X195" s="56"/>
      <c r="Y195" s="56">
        <v>9.7802859377862053</v>
      </c>
    </row>
    <row r="196" spans="1:25" x14ac:dyDescent="0.35">
      <c r="A196" s="58">
        <v>43143</v>
      </c>
      <c r="B196" s="56">
        <v>1</v>
      </c>
      <c r="C196" s="56">
        <v>-2.7</v>
      </c>
      <c r="D196" s="56">
        <v>5.0999999999999996</v>
      </c>
      <c r="E196" s="56">
        <v>1494.1000000000001</v>
      </c>
      <c r="F196" s="56"/>
      <c r="G196" s="56"/>
      <c r="H196" s="56">
        <v>0</v>
      </c>
      <c r="I196" s="56"/>
      <c r="J196" s="56">
        <v>0.9</v>
      </c>
      <c r="K196" s="56"/>
      <c r="L196" s="56">
        <v>-0.9</v>
      </c>
      <c r="M196" s="56"/>
      <c r="N196" s="56">
        <v>166</v>
      </c>
      <c r="O196" s="56">
        <v>1</v>
      </c>
      <c r="P196" s="56">
        <v>0.9</v>
      </c>
      <c r="Q196" s="56">
        <v>-0.9</v>
      </c>
      <c r="R196" s="56">
        <v>149.5</v>
      </c>
      <c r="S196" s="56"/>
      <c r="T196" s="56">
        <v>1052</v>
      </c>
      <c r="U196" s="56"/>
      <c r="V196" s="56">
        <v>82537.400000000009</v>
      </c>
      <c r="W196" s="56"/>
      <c r="X196" s="56"/>
      <c r="Y196" s="56">
        <v>9.8322124361697441</v>
      </c>
    </row>
    <row r="197" spans="1:25" x14ac:dyDescent="0.35">
      <c r="A197" s="58">
        <v>43144</v>
      </c>
      <c r="B197" s="56">
        <v>0.2</v>
      </c>
      <c r="C197" s="56">
        <v>-0.6</v>
      </c>
      <c r="D197" s="56">
        <v>0.8</v>
      </c>
      <c r="E197" s="56">
        <v>1494.3000000000002</v>
      </c>
      <c r="F197" s="56"/>
      <c r="G197" s="56"/>
      <c r="H197" s="56">
        <v>0.9</v>
      </c>
      <c r="I197" s="56"/>
      <c r="J197" s="56">
        <v>0.4</v>
      </c>
      <c r="K197" s="56"/>
      <c r="L197" s="56">
        <v>0.5</v>
      </c>
      <c r="M197" s="56"/>
      <c r="N197" s="56">
        <v>167</v>
      </c>
      <c r="O197" s="56">
        <v>1</v>
      </c>
      <c r="P197" s="56">
        <v>0.4</v>
      </c>
      <c r="Q197" s="56">
        <v>0.5</v>
      </c>
      <c r="R197" s="56">
        <v>150</v>
      </c>
      <c r="S197" s="56"/>
      <c r="T197" s="56">
        <v>259.5</v>
      </c>
      <c r="U197" s="56"/>
      <c r="V197" s="56">
        <v>82796.900000000009</v>
      </c>
      <c r="W197" s="56"/>
      <c r="X197" s="56"/>
      <c r="Y197" s="56">
        <v>9.8845751625097087</v>
      </c>
    </row>
    <row r="198" spans="1:25" x14ac:dyDescent="0.35">
      <c r="A198" s="58">
        <v>43145</v>
      </c>
      <c r="B198" s="56">
        <v>1.8</v>
      </c>
      <c r="C198" s="56">
        <v>-2.6</v>
      </c>
      <c r="D198" s="56">
        <v>9.4</v>
      </c>
      <c r="E198" s="56">
        <v>1496.1000000000001</v>
      </c>
      <c r="F198" s="56"/>
      <c r="G198" s="56"/>
      <c r="H198" s="56">
        <v>3.5</v>
      </c>
      <c r="I198" s="56"/>
      <c r="J198" s="56">
        <v>0.9</v>
      </c>
      <c r="K198" s="56"/>
      <c r="L198" s="56">
        <v>2.6</v>
      </c>
      <c r="M198" s="56"/>
      <c r="N198" s="56">
        <v>168</v>
      </c>
      <c r="O198" s="56">
        <v>1</v>
      </c>
      <c r="P198" s="56">
        <v>0.9</v>
      </c>
      <c r="Q198" s="56">
        <v>2.6</v>
      </c>
      <c r="R198" s="56">
        <v>150.80000000000001</v>
      </c>
      <c r="S198" s="56"/>
      <c r="T198" s="56">
        <v>362</v>
      </c>
      <c r="U198" s="56"/>
      <c r="V198" s="56">
        <v>83158.900000000009</v>
      </c>
      <c r="W198" s="56"/>
      <c r="X198" s="56"/>
      <c r="Y198" s="56">
        <v>9.9373567132670466</v>
      </c>
    </row>
    <row r="199" spans="1:25" x14ac:dyDescent="0.35">
      <c r="A199" s="58">
        <v>43146</v>
      </c>
      <c r="B199" s="56">
        <v>9.3000000000000007</v>
      </c>
      <c r="C199" s="56">
        <v>4.4000000000000004</v>
      </c>
      <c r="D199" s="56">
        <v>11.9</v>
      </c>
      <c r="E199" s="56">
        <v>1505.4</v>
      </c>
      <c r="F199" s="56"/>
      <c r="G199" s="56"/>
      <c r="H199" s="56">
        <v>3.9</v>
      </c>
      <c r="I199" s="56"/>
      <c r="J199" s="56">
        <v>0.4</v>
      </c>
      <c r="K199" s="56"/>
      <c r="L199" s="56">
        <v>3.5</v>
      </c>
      <c r="M199" s="56"/>
      <c r="N199" s="56">
        <v>169</v>
      </c>
      <c r="O199" s="56">
        <v>1</v>
      </c>
      <c r="P199" s="56">
        <v>0.4</v>
      </c>
      <c r="Q199" s="56">
        <v>3.5</v>
      </c>
      <c r="R199" s="56">
        <v>150.80000000000001</v>
      </c>
      <c r="S199" s="56"/>
      <c r="T199" s="56">
        <v>299.39999999999998</v>
      </c>
      <c r="U199" s="56"/>
      <c r="V199" s="56">
        <v>83458.3</v>
      </c>
      <c r="W199" s="56"/>
      <c r="X199" s="56"/>
      <c r="Y199" s="56">
        <v>9.990540092493454</v>
      </c>
    </row>
    <row r="200" spans="1:25" x14ac:dyDescent="0.35">
      <c r="A200" s="58">
        <v>43147</v>
      </c>
      <c r="B200" s="56">
        <v>6</v>
      </c>
      <c r="C200" s="56">
        <v>2.8</v>
      </c>
      <c r="D200" s="56">
        <v>8.8000000000000007</v>
      </c>
      <c r="E200" s="56">
        <v>1511.4</v>
      </c>
      <c r="F200" s="56"/>
      <c r="G200" s="56"/>
      <c r="H200" s="56">
        <v>7.5</v>
      </c>
      <c r="I200" s="56"/>
      <c r="J200" s="56">
        <v>0.6</v>
      </c>
      <c r="K200" s="56"/>
      <c r="L200" s="56">
        <v>6.9</v>
      </c>
      <c r="M200" s="56"/>
      <c r="N200" s="56">
        <v>170</v>
      </c>
      <c r="O200" s="56">
        <v>1</v>
      </c>
      <c r="P200" s="56">
        <v>0.6</v>
      </c>
      <c r="Q200" s="56">
        <v>6.9</v>
      </c>
      <c r="R200" s="56">
        <v>150.80000000000001</v>
      </c>
      <c r="S200" s="56"/>
      <c r="T200" s="56">
        <v>682</v>
      </c>
      <c r="U200" s="56"/>
      <c r="V200" s="56">
        <v>84140.3</v>
      </c>
      <c r="W200" s="56"/>
      <c r="X200" s="56"/>
      <c r="Y200" s="56">
        <v>10.044108711313269</v>
      </c>
    </row>
    <row r="201" spans="1:25" x14ac:dyDescent="0.35">
      <c r="A201" s="58">
        <v>43148</v>
      </c>
      <c r="B201" s="56">
        <v>4.5</v>
      </c>
      <c r="C201" s="56">
        <v>4.2</v>
      </c>
      <c r="D201" s="56">
        <v>6.4</v>
      </c>
      <c r="E201" s="56">
        <v>1515.9</v>
      </c>
      <c r="F201" s="56"/>
      <c r="G201" s="56"/>
      <c r="H201" s="56">
        <v>1.5</v>
      </c>
      <c r="I201" s="56"/>
      <c r="J201" s="56">
        <v>0.5</v>
      </c>
      <c r="K201" s="56"/>
      <c r="L201" s="56">
        <v>1</v>
      </c>
      <c r="M201" s="56"/>
      <c r="N201" s="56">
        <v>171</v>
      </c>
      <c r="O201" s="56">
        <v>1</v>
      </c>
      <c r="P201" s="56">
        <v>0.5</v>
      </c>
      <c r="Q201" s="56">
        <v>1</v>
      </c>
      <c r="R201" s="56">
        <v>150.80000000000001</v>
      </c>
      <c r="S201" s="56"/>
      <c r="T201" s="56">
        <v>201.8</v>
      </c>
      <c r="U201" s="56"/>
      <c r="V201" s="56">
        <v>84342.1</v>
      </c>
      <c r="W201" s="56"/>
      <c r="X201" s="56"/>
      <c r="Y201" s="56">
        <v>10.098046386266208</v>
      </c>
    </row>
    <row r="202" spans="1:25" x14ac:dyDescent="0.35">
      <c r="A202" s="58">
        <v>43149</v>
      </c>
      <c r="B202" s="56">
        <v>3.6</v>
      </c>
      <c r="C202" s="56">
        <v>-0.5</v>
      </c>
      <c r="D202" s="56">
        <v>7.7</v>
      </c>
      <c r="E202" s="56">
        <v>1519.5</v>
      </c>
      <c r="F202" s="56"/>
      <c r="G202" s="56"/>
      <c r="H202" s="56">
        <v>0</v>
      </c>
      <c r="I202" s="56"/>
      <c r="J202" s="56">
        <v>0.5</v>
      </c>
      <c r="K202" s="56"/>
      <c r="L202" s="56">
        <v>-0.5</v>
      </c>
      <c r="M202" s="56"/>
      <c r="N202" s="56">
        <v>172</v>
      </c>
      <c r="O202" s="56">
        <v>1</v>
      </c>
      <c r="P202" s="56">
        <v>0.5</v>
      </c>
      <c r="Q202" s="56">
        <v>-0.5</v>
      </c>
      <c r="R202" s="56">
        <v>150.30000000000001</v>
      </c>
      <c r="S202" s="56"/>
      <c r="T202" s="56">
        <v>418.2</v>
      </c>
      <c r="U202" s="56"/>
      <c r="V202" s="56">
        <v>84760.3</v>
      </c>
      <c r="W202" s="56"/>
      <c r="X202" s="56"/>
      <c r="Y202" s="56">
        <v>10.152337336575524</v>
      </c>
    </row>
    <row r="203" spans="1:25" x14ac:dyDescent="0.35">
      <c r="A203" s="58">
        <v>43150</v>
      </c>
      <c r="B203" s="56">
        <v>5.5</v>
      </c>
      <c r="C203" s="56">
        <v>2.2999999999999998</v>
      </c>
      <c r="D203" s="56">
        <v>8.5</v>
      </c>
      <c r="E203" s="56">
        <v>1525</v>
      </c>
      <c r="F203" s="56"/>
      <c r="G203" s="56"/>
      <c r="H203" s="56">
        <v>2.5</v>
      </c>
      <c r="I203" s="56"/>
      <c r="J203" s="56">
        <v>0.4</v>
      </c>
      <c r="K203" s="56"/>
      <c r="L203" s="56">
        <v>2.1</v>
      </c>
      <c r="M203" s="56"/>
      <c r="N203" s="56">
        <v>173</v>
      </c>
      <c r="O203" s="56">
        <v>1</v>
      </c>
      <c r="P203" s="56">
        <v>0.4</v>
      </c>
      <c r="Q203" s="56">
        <v>2.1</v>
      </c>
      <c r="R203" s="56">
        <v>150.80000000000001</v>
      </c>
      <c r="S203" s="56"/>
      <c r="T203" s="56">
        <v>221.8</v>
      </c>
      <c r="U203" s="56"/>
      <c r="V203" s="56">
        <v>84982.1</v>
      </c>
      <c r="W203" s="56"/>
      <c r="X203" s="56"/>
      <c r="Y203" s="56">
        <v>10.206966180404756</v>
      </c>
    </row>
    <row r="204" spans="1:25" x14ac:dyDescent="0.35">
      <c r="A204" s="58">
        <v>43151</v>
      </c>
      <c r="B204" s="56">
        <v>6.7</v>
      </c>
      <c r="C204" s="56">
        <v>6.3</v>
      </c>
      <c r="D204" s="56">
        <v>8.1999999999999993</v>
      </c>
      <c r="E204" s="56">
        <v>1531.7</v>
      </c>
      <c r="F204" s="56"/>
      <c r="G204" s="56"/>
      <c r="H204" s="56">
        <v>6.9</v>
      </c>
      <c r="I204" s="56"/>
      <c r="J204" s="56">
        <v>0.4</v>
      </c>
      <c r="K204" s="56"/>
      <c r="L204" s="56">
        <v>6.5</v>
      </c>
      <c r="M204" s="56"/>
      <c r="N204" s="56">
        <v>174</v>
      </c>
      <c r="O204" s="56">
        <v>1</v>
      </c>
      <c r="P204" s="56">
        <v>0.4</v>
      </c>
      <c r="Q204" s="56">
        <v>6.5</v>
      </c>
      <c r="R204" s="56">
        <v>150.80000000000001</v>
      </c>
      <c r="S204" s="56"/>
      <c r="T204" s="56">
        <v>219.6</v>
      </c>
      <c r="U204" s="56"/>
      <c r="V204" s="56">
        <v>85201.700000000012</v>
      </c>
      <c r="W204" s="56"/>
      <c r="X204" s="56"/>
      <c r="Y204" s="56">
        <v>10.261917930164515</v>
      </c>
    </row>
    <row r="205" spans="1:25" x14ac:dyDescent="0.35">
      <c r="A205" s="58">
        <v>43152</v>
      </c>
      <c r="B205" s="56">
        <v>2.2999999999999998</v>
      </c>
      <c r="C205" s="56">
        <v>1</v>
      </c>
      <c r="D205" s="56">
        <v>4</v>
      </c>
      <c r="E205" s="56">
        <v>1534</v>
      </c>
      <c r="F205" s="56"/>
      <c r="G205" s="56"/>
      <c r="H205" s="56">
        <v>0.1</v>
      </c>
      <c r="I205" s="56"/>
      <c r="J205" s="56">
        <v>1</v>
      </c>
      <c r="K205" s="56"/>
      <c r="L205" s="56">
        <v>-0.9</v>
      </c>
      <c r="M205" s="56"/>
      <c r="N205" s="56">
        <v>175</v>
      </c>
      <c r="O205" s="56">
        <v>1</v>
      </c>
      <c r="P205" s="56">
        <v>1</v>
      </c>
      <c r="Q205" s="56">
        <v>-0.9</v>
      </c>
      <c r="R205" s="56">
        <v>149.9</v>
      </c>
      <c r="S205" s="56"/>
      <c r="T205" s="56">
        <v>829.4</v>
      </c>
      <c r="U205" s="56"/>
      <c r="V205" s="56">
        <v>86031.1</v>
      </c>
      <c r="W205" s="56"/>
      <c r="X205" s="56"/>
      <c r="Y205" s="56">
        <v>10.317177986929005</v>
      </c>
    </row>
    <row r="206" spans="1:25" x14ac:dyDescent="0.35">
      <c r="A206" s="58">
        <v>43153</v>
      </c>
      <c r="B206" s="56">
        <v>0.8</v>
      </c>
      <c r="C206" s="56">
        <v>-1.3</v>
      </c>
      <c r="D206" s="56">
        <v>2.5</v>
      </c>
      <c r="E206" s="56">
        <v>1534.8</v>
      </c>
      <c r="F206" s="56"/>
      <c r="G206" s="56"/>
      <c r="H206" s="56">
        <v>0</v>
      </c>
      <c r="I206" s="56"/>
      <c r="J206" s="56">
        <v>1.1000000000000001</v>
      </c>
      <c r="K206" s="56"/>
      <c r="L206" s="56">
        <v>-1.1000000000000001</v>
      </c>
      <c r="M206" s="56"/>
      <c r="N206" s="56">
        <v>176</v>
      </c>
      <c r="O206" s="56">
        <v>1</v>
      </c>
      <c r="P206" s="56">
        <v>1.1000000000000001</v>
      </c>
      <c r="Q206" s="56">
        <v>-1.1000000000000001</v>
      </c>
      <c r="R206" s="56">
        <v>148.80000000000001</v>
      </c>
      <c r="S206" s="56"/>
      <c r="T206" s="56">
        <v>1119.8</v>
      </c>
      <c r="U206" s="56"/>
      <c r="V206" s="56">
        <v>87150.900000000009</v>
      </c>
      <c r="W206" s="56"/>
      <c r="X206" s="56"/>
      <c r="Y206" s="56">
        <v>10.372732134019857</v>
      </c>
    </row>
    <row r="207" spans="1:25" x14ac:dyDescent="0.35">
      <c r="A207" s="58">
        <v>43154</v>
      </c>
      <c r="B207" s="56">
        <v>0.6</v>
      </c>
      <c r="C207" s="56">
        <v>-1.7</v>
      </c>
      <c r="D207" s="56">
        <v>2.4</v>
      </c>
      <c r="E207" s="56">
        <v>1535.3999999999999</v>
      </c>
      <c r="F207" s="56"/>
      <c r="G207" s="56"/>
      <c r="H207" s="56">
        <v>0</v>
      </c>
      <c r="I207" s="56"/>
      <c r="J207" s="56">
        <v>1.3</v>
      </c>
      <c r="K207" s="56"/>
      <c r="L207" s="56">
        <v>-1.3</v>
      </c>
      <c r="M207" s="56"/>
      <c r="N207" s="56">
        <v>177</v>
      </c>
      <c r="O207" s="56">
        <v>1</v>
      </c>
      <c r="P207" s="56">
        <v>1.3</v>
      </c>
      <c r="Q207" s="56">
        <v>-1.3</v>
      </c>
      <c r="R207" s="56">
        <v>147.5</v>
      </c>
      <c r="S207" s="56"/>
      <c r="T207" s="56">
        <v>1061.3</v>
      </c>
      <c r="U207" s="56"/>
      <c r="V207" s="56">
        <v>88212.200000000012</v>
      </c>
      <c r="W207" s="56"/>
      <c r="X207" s="56"/>
      <c r="Y207" s="56">
        <v>10.428566529812825</v>
      </c>
    </row>
    <row r="208" spans="1:25" x14ac:dyDescent="0.35">
      <c r="A208" s="58">
        <v>43155</v>
      </c>
      <c r="B208" s="56">
        <v>0.9</v>
      </c>
      <c r="C208" s="56">
        <v>-1.5</v>
      </c>
      <c r="D208" s="56">
        <v>3</v>
      </c>
      <c r="E208" s="56">
        <v>1536.3</v>
      </c>
      <c r="F208" s="56"/>
      <c r="G208" s="56"/>
      <c r="H208" s="56">
        <v>0</v>
      </c>
      <c r="I208" s="56"/>
      <c r="J208" s="56">
        <v>1.3</v>
      </c>
      <c r="K208" s="56"/>
      <c r="L208" s="56">
        <v>-1.3</v>
      </c>
      <c r="M208" s="56"/>
      <c r="N208" s="56">
        <v>178</v>
      </c>
      <c r="O208" s="56">
        <v>1</v>
      </c>
      <c r="P208" s="56">
        <v>1.3</v>
      </c>
      <c r="Q208" s="56">
        <v>-1.3</v>
      </c>
      <c r="R208" s="56">
        <v>146.19999999999999</v>
      </c>
      <c r="S208" s="56"/>
      <c r="T208" s="56">
        <v>1102.3</v>
      </c>
      <c r="U208" s="56"/>
      <c r="V208" s="56">
        <v>89314.500000000015</v>
      </c>
      <c r="W208" s="56"/>
      <c r="X208" s="56"/>
      <c r="Y208" s="56">
        <v>10.484667699820667</v>
      </c>
    </row>
    <row r="209" spans="1:25" x14ac:dyDescent="0.35">
      <c r="A209" s="58">
        <v>43156</v>
      </c>
      <c r="B209" s="56">
        <v>-0.2</v>
      </c>
      <c r="C209" s="56">
        <v>-2.1</v>
      </c>
      <c r="D209" s="56">
        <v>1.6</v>
      </c>
      <c r="E209" s="56">
        <v>1536.3</v>
      </c>
      <c r="F209" s="56"/>
      <c r="G209" s="56"/>
      <c r="H209" s="56">
        <v>0</v>
      </c>
      <c r="I209" s="56"/>
      <c r="J209" s="56">
        <v>1.9</v>
      </c>
      <c r="K209" s="56"/>
      <c r="L209" s="56">
        <v>-1.9</v>
      </c>
      <c r="M209" s="56"/>
      <c r="N209" s="56">
        <v>179</v>
      </c>
      <c r="O209" s="56">
        <v>1</v>
      </c>
      <c r="P209" s="56">
        <v>1.9</v>
      </c>
      <c r="Q209" s="56">
        <v>-1.9</v>
      </c>
      <c r="R209" s="56">
        <v>144.29999999999998</v>
      </c>
      <c r="S209" s="56"/>
      <c r="T209" s="56">
        <v>1393.6</v>
      </c>
      <c r="U209" s="56"/>
      <c r="V209" s="56">
        <v>90708.10000000002</v>
      </c>
      <c r="W209" s="56"/>
      <c r="X209" s="56"/>
      <c r="Y209" s="56">
        <v>10.541022528103289</v>
      </c>
    </row>
    <row r="210" spans="1:25" x14ac:dyDescent="0.35">
      <c r="A210" s="58">
        <v>43157</v>
      </c>
      <c r="B210" s="56">
        <v>-2.6</v>
      </c>
      <c r="C210" s="56">
        <v>-4.3</v>
      </c>
      <c r="D210" s="56">
        <v>-0.7</v>
      </c>
      <c r="E210" s="56">
        <v>1536.3</v>
      </c>
      <c r="F210" s="56"/>
      <c r="G210" s="56"/>
      <c r="H210" s="56">
        <v>0</v>
      </c>
      <c r="I210" s="56"/>
      <c r="J210" s="56">
        <v>1.9</v>
      </c>
      <c r="K210" s="56"/>
      <c r="L210" s="56">
        <v>-1.9</v>
      </c>
      <c r="M210" s="56"/>
      <c r="N210" s="56">
        <v>180</v>
      </c>
      <c r="O210" s="56">
        <v>1</v>
      </c>
      <c r="P210" s="56">
        <v>1.9</v>
      </c>
      <c r="Q210" s="56">
        <v>-1.9</v>
      </c>
      <c r="R210" s="56">
        <v>142.39999999999998</v>
      </c>
      <c r="S210" s="56"/>
      <c r="T210" s="56">
        <v>1457.6</v>
      </c>
      <c r="U210" s="56"/>
      <c r="V210" s="56">
        <v>92165.700000000026</v>
      </c>
      <c r="W210" s="56"/>
      <c r="X210" s="56"/>
      <c r="Y210" s="56">
        <v>10.597618248053815</v>
      </c>
    </row>
    <row r="211" spans="1:25" x14ac:dyDescent="0.35">
      <c r="A211" s="58">
        <v>43158</v>
      </c>
      <c r="B211" s="56">
        <v>-4.7</v>
      </c>
      <c r="C211" s="56">
        <v>-6.6</v>
      </c>
      <c r="D211" s="56">
        <v>-2.5</v>
      </c>
      <c r="E211" s="56">
        <v>1536.3</v>
      </c>
      <c r="F211" s="56"/>
      <c r="G211" s="56"/>
      <c r="H211" s="56">
        <v>0</v>
      </c>
      <c r="I211" s="56"/>
      <c r="J211" s="56">
        <v>1.1000000000000001</v>
      </c>
      <c r="K211" s="56"/>
      <c r="L211" s="56">
        <v>-1.1000000000000001</v>
      </c>
      <c r="M211" s="56"/>
      <c r="N211" s="56">
        <v>181</v>
      </c>
      <c r="O211" s="56">
        <v>1</v>
      </c>
      <c r="P211" s="56">
        <v>1.1000000000000001</v>
      </c>
      <c r="Q211" s="56">
        <v>-1.1000000000000001</v>
      </c>
      <c r="R211" s="56">
        <v>141.29999999999998</v>
      </c>
      <c r="S211" s="56"/>
      <c r="T211" s="56">
        <v>1453.5</v>
      </c>
      <c r="U211" s="56"/>
      <c r="V211" s="56">
        <v>93619.200000000026</v>
      </c>
      <c r="W211" s="56"/>
      <c r="X211" s="56"/>
      <c r="Y211" s="56">
        <v>10.654442432607084</v>
      </c>
    </row>
    <row r="212" spans="1:25" x14ac:dyDescent="0.35">
      <c r="A212" s="58">
        <v>43159</v>
      </c>
      <c r="B212" s="56">
        <v>-4.3</v>
      </c>
      <c r="C212" s="56">
        <v>-9.1999999999999993</v>
      </c>
      <c r="D212" s="56">
        <v>-1.5</v>
      </c>
      <c r="E212" s="56">
        <v>1536.3</v>
      </c>
      <c r="F212" s="56"/>
      <c r="G212" s="56"/>
      <c r="H212" s="56">
        <v>0.4</v>
      </c>
      <c r="I212" s="56"/>
      <c r="J212" s="56">
        <v>0.9</v>
      </c>
      <c r="K212" s="56"/>
      <c r="L212" s="56">
        <v>-0.5</v>
      </c>
      <c r="M212" s="56"/>
      <c r="N212" s="56">
        <v>182</v>
      </c>
      <c r="O212" s="56">
        <v>1</v>
      </c>
      <c r="P212" s="56">
        <v>0.9</v>
      </c>
      <c r="Q212" s="56">
        <v>-0.5</v>
      </c>
      <c r="R212" s="56">
        <v>140.79999999999998</v>
      </c>
      <c r="S212" s="56"/>
      <c r="T212" s="56">
        <v>703</v>
      </c>
      <c r="U212" s="56"/>
      <c r="V212" s="56">
        <v>94322.200000000026</v>
      </c>
      <c r="W212" s="56"/>
      <c r="X212" s="56"/>
      <c r="Y212" s="56">
        <v>10.711482983914562</v>
      </c>
    </row>
    <row r="213" spans="1:25" x14ac:dyDescent="0.35">
      <c r="A213" s="58">
        <v>43160</v>
      </c>
      <c r="B213" s="56">
        <v>1</v>
      </c>
      <c r="C213" s="56">
        <v>-2.7</v>
      </c>
      <c r="D213" s="56">
        <v>5.4</v>
      </c>
      <c r="E213" s="56">
        <v>1537.3</v>
      </c>
      <c r="F213" s="56"/>
      <c r="G213" s="56"/>
      <c r="H213" s="56">
        <v>5.3</v>
      </c>
      <c r="I213" s="56"/>
      <c r="J213" s="56">
        <v>0.8</v>
      </c>
      <c r="K213" s="56"/>
      <c r="L213" s="56">
        <v>4.5</v>
      </c>
      <c r="M213" s="56"/>
      <c r="N213" s="56">
        <v>183</v>
      </c>
      <c r="O213" s="56">
        <v>1</v>
      </c>
      <c r="P213" s="56">
        <v>0.8</v>
      </c>
      <c r="Q213" s="56">
        <v>4.5</v>
      </c>
      <c r="R213" s="56">
        <v>145.29999999999998</v>
      </c>
      <c r="S213" s="56"/>
      <c r="T213" s="56">
        <v>580.1</v>
      </c>
      <c r="U213" s="56"/>
      <c r="V213" s="56">
        <v>94902.300000000032</v>
      </c>
      <c r="W213" s="56"/>
      <c r="X213" s="56"/>
      <c r="Y213" s="56">
        <v>10.768728122527447</v>
      </c>
    </row>
    <row r="214" spans="1:25" x14ac:dyDescent="0.35">
      <c r="A214" s="58">
        <v>43161</v>
      </c>
      <c r="B214" s="56">
        <v>4.8</v>
      </c>
      <c r="C214" s="56">
        <v>2.8</v>
      </c>
      <c r="D214" s="56">
        <v>8.1999999999999993</v>
      </c>
      <c r="E214" s="56">
        <v>1542.1</v>
      </c>
      <c r="F214" s="56"/>
      <c r="G214" s="56"/>
      <c r="H214" s="56">
        <v>1.9</v>
      </c>
      <c r="I214" s="56"/>
      <c r="J214" s="56">
        <v>0.9</v>
      </c>
      <c r="K214" s="56"/>
      <c r="L214" s="56">
        <v>0.99999999999999989</v>
      </c>
      <c r="M214" s="56"/>
      <c r="N214" s="56">
        <v>184</v>
      </c>
      <c r="O214" s="56">
        <v>1</v>
      </c>
      <c r="P214" s="56">
        <v>0.9</v>
      </c>
      <c r="Q214" s="56">
        <v>0.99999999999999989</v>
      </c>
      <c r="R214" s="56">
        <v>146.29999999999998</v>
      </c>
      <c r="S214" s="56"/>
      <c r="T214" s="56">
        <v>638.6</v>
      </c>
      <c r="U214" s="56"/>
      <c r="V214" s="56">
        <v>95540.900000000038</v>
      </c>
      <c r="W214" s="56"/>
      <c r="X214" s="56"/>
      <c r="Y214" s="56">
        <v>10.826166376127393</v>
      </c>
    </row>
    <row r="215" spans="1:25" x14ac:dyDescent="0.35">
      <c r="A215" s="58">
        <v>43162</v>
      </c>
      <c r="B215" s="56">
        <v>6.2</v>
      </c>
      <c r="C215" s="56">
        <v>1.4</v>
      </c>
      <c r="D215" s="56">
        <v>12.6</v>
      </c>
      <c r="E215" s="56">
        <v>1548.3</v>
      </c>
      <c r="F215" s="56"/>
      <c r="G215" s="56"/>
      <c r="H215" s="56">
        <v>9.1999999999999993</v>
      </c>
      <c r="I215" s="56"/>
      <c r="J215" s="56">
        <v>1.1000000000000001</v>
      </c>
      <c r="K215" s="56"/>
      <c r="L215" s="56">
        <v>8.1</v>
      </c>
      <c r="M215" s="56"/>
      <c r="N215" s="56">
        <v>185</v>
      </c>
      <c r="O215" s="56">
        <v>1.0049999999999999</v>
      </c>
      <c r="P215" s="56">
        <v>1.1054999999999999</v>
      </c>
      <c r="Q215" s="56">
        <v>8.0945</v>
      </c>
      <c r="R215" s="56">
        <v>150.80000000000001</v>
      </c>
      <c r="S215" s="56"/>
      <c r="T215" s="56">
        <v>636.1</v>
      </c>
      <c r="U215" s="56"/>
      <c r="V215" s="56">
        <v>96177.000000000044</v>
      </c>
      <c r="W215" s="56"/>
      <c r="X215" s="56"/>
      <c r="Y215" s="56">
        <v>10.883786567842053</v>
      </c>
    </row>
    <row r="216" spans="1:25" x14ac:dyDescent="0.35">
      <c r="A216" s="58">
        <v>43163</v>
      </c>
      <c r="B216" s="56">
        <v>5.7</v>
      </c>
      <c r="C216" s="56">
        <v>3.3</v>
      </c>
      <c r="D216" s="56">
        <v>7.2</v>
      </c>
      <c r="E216" s="56">
        <v>1554</v>
      </c>
      <c r="F216" s="56"/>
      <c r="G216" s="56"/>
      <c r="H216" s="56">
        <v>7.8</v>
      </c>
      <c r="I216" s="56"/>
      <c r="J216" s="56">
        <v>0.3</v>
      </c>
      <c r="K216" s="56"/>
      <c r="L216" s="56">
        <v>7.5</v>
      </c>
      <c r="M216" s="56"/>
      <c r="N216" s="56">
        <v>186</v>
      </c>
      <c r="O216" s="56">
        <v>1.01</v>
      </c>
      <c r="P216" s="56">
        <v>0.30299999999999999</v>
      </c>
      <c r="Q216" s="56">
        <v>7.4969999999999999</v>
      </c>
      <c r="R216" s="56">
        <v>150.80000000000001</v>
      </c>
      <c r="S216" s="56"/>
      <c r="T216" s="56">
        <v>281.39999999999998</v>
      </c>
      <c r="U216" s="56"/>
      <c r="V216" s="56">
        <v>96458.400000000038</v>
      </c>
      <c r="W216" s="56"/>
      <c r="X216" s="56"/>
      <c r="Y216" s="56">
        <v>10.941577804180367</v>
      </c>
    </row>
    <row r="217" spans="1:25" x14ac:dyDescent="0.35">
      <c r="A217" s="58">
        <v>43164</v>
      </c>
      <c r="B217" s="56">
        <v>6.9</v>
      </c>
      <c r="C217" s="56">
        <v>2.6</v>
      </c>
      <c r="D217" s="56">
        <v>10.8</v>
      </c>
      <c r="E217" s="56">
        <v>1560.9</v>
      </c>
      <c r="F217" s="56"/>
      <c r="G217" s="56"/>
      <c r="H217" s="56">
        <v>0.2</v>
      </c>
      <c r="I217" s="56"/>
      <c r="J217" s="56">
        <v>0.6</v>
      </c>
      <c r="K217" s="56"/>
      <c r="L217" s="56">
        <v>-0.39999999999999997</v>
      </c>
      <c r="M217" s="56"/>
      <c r="N217" s="56">
        <v>187</v>
      </c>
      <c r="O217" s="56">
        <v>1.0149999999999999</v>
      </c>
      <c r="P217" s="56">
        <v>0.60899999999999987</v>
      </c>
      <c r="Q217" s="56">
        <v>-0.40899999999999986</v>
      </c>
      <c r="R217" s="56">
        <v>150.39100000000002</v>
      </c>
      <c r="S217" s="56"/>
      <c r="T217" s="56">
        <v>530.9</v>
      </c>
      <c r="U217" s="56"/>
      <c r="V217" s="56">
        <v>96989.300000000032</v>
      </c>
      <c r="W217" s="56"/>
      <c r="X217" s="56"/>
      <c r="Y217" s="56">
        <v>10.999529462620504</v>
      </c>
    </row>
    <row r="218" spans="1:25" x14ac:dyDescent="0.35">
      <c r="A218" s="58">
        <v>43165</v>
      </c>
      <c r="B218" s="56">
        <v>6.5</v>
      </c>
      <c r="C218" s="56">
        <v>3.2</v>
      </c>
      <c r="D218" s="56">
        <v>10.3</v>
      </c>
      <c r="E218" s="56">
        <v>1567.4</v>
      </c>
      <c r="F218" s="56"/>
      <c r="G218" s="56"/>
      <c r="H218" s="56">
        <v>3.6</v>
      </c>
      <c r="I218" s="56"/>
      <c r="J218" s="56">
        <v>0.8</v>
      </c>
      <c r="K218" s="56"/>
      <c r="L218" s="56">
        <v>2.8</v>
      </c>
      <c r="M218" s="56"/>
      <c r="N218" s="56">
        <v>188</v>
      </c>
      <c r="O218" s="56">
        <v>1.02</v>
      </c>
      <c r="P218" s="56">
        <v>0.81600000000000006</v>
      </c>
      <c r="Q218" s="56">
        <v>2.7839999999999998</v>
      </c>
      <c r="R218" s="56">
        <v>150.80000000000001</v>
      </c>
      <c r="S218" s="56"/>
      <c r="T218" s="56">
        <v>421.4</v>
      </c>
      <c r="U218" s="56"/>
      <c r="V218" s="56">
        <v>97410.700000000026</v>
      </c>
      <c r="W218" s="56"/>
      <c r="X218" s="56"/>
      <c r="Y218" s="56">
        <v>11.057631178881126</v>
      </c>
    </row>
    <row r="219" spans="1:25" x14ac:dyDescent="0.35">
      <c r="A219" s="58">
        <v>43166</v>
      </c>
      <c r="B219" s="56">
        <v>6.5</v>
      </c>
      <c r="C219" s="56">
        <v>4.9000000000000004</v>
      </c>
      <c r="D219" s="56">
        <v>9.1</v>
      </c>
      <c r="E219" s="56">
        <v>1573.9</v>
      </c>
      <c r="F219" s="56"/>
      <c r="G219" s="56"/>
      <c r="H219" s="56">
        <v>0.2</v>
      </c>
      <c r="I219" s="56"/>
      <c r="J219" s="56">
        <v>1.1000000000000001</v>
      </c>
      <c r="K219" s="56"/>
      <c r="L219" s="56">
        <v>-0.90000000000000013</v>
      </c>
      <c r="M219" s="56"/>
      <c r="N219" s="56">
        <v>189</v>
      </c>
      <c r="O219" s="56">
        <v>1.0249999999999999</v>
      </c>
      <c r="P219" s="56">
        <v>1.1274999999999999</v>
      </c>
      <c r="Q219" s="56">
        <v>-0.92749999999999999</v>
      </c>
      <c r="R219" s="56">
        <v>149.8725</v>
      </c>
      <c r="S219" s="56"/>
      <c r="T219" s="56">
        <v>615.9</v>
      </c>
      <c r="U219" s="56"/>
      <c r="V219" s="56">
        <v>98026.60000000002</v>
      </c>
      <c r="W219" s="56"/>
      <c r="X219" s="56"/>
      <c r="Y219" s="56">
        <v>11.115872833904769</v>
      </c>
    </row>
    <row r="220" spans="1:25" x14ac:dyDescent="0.35">
      <c r="A220" s="58">
        <v>43167</v>
      </c>
      <c r="B220" s="56">
        <v>8.1</v>
      </c>
      <c r="C220" s="56">
        <v>4.3</v>
      </c>
      <c r="D220" s="56">
        <v>12.1</v>
      </c>
      <c r="E220" s="56">
        <v>1582</v>
      </c>
      <c r="F220" s="56"/>
      <c r="G220" s="56"/>
      <c r="H220" s="56">
        <v>0.1</v>
      </c>
      <c r="I220" s="56"/>
      <c r="J220" s="56">
        <v>1.6</v>
      </c>
      <c r="K220" s="56"/>
      <c r="L220" s="56">
        <v>-1.5</v>
      </c>
      <c r="M220" s="56"/>
      <c r="N220" s="56">
        <v>190</v>
      </c>
      <c r="O220" s="56">
        <v>1.03</v>
      </c>
      <c r="P220" s="56">
        <v>1.6480000000000001</v>
      </c>
      <c r="Q220" s="56">
        <v>-1.548</v>
      </c>
      <c r="R220" s="56">
        <v>148.3245</v>
      </c>
      <c r="S220" s="56"/>
      <c r="T220" s="56">
        <v>918.2</v>
      </c>
      <c r="U220" s="56"/>
      <c r="V220" s="56">
        <v>98944.800000000017</v>
      </c>
      <c r="W220" s="56"/>
      <c r="X220" s="56"/>
      <c r="Y220" s="56">
        <v>11.174244540580226</v>
      </c>
    </row>
    <row r="221" spans="1:25" x14ac:dyDescent="0.35">
      <c r="A221" s="58">
        <v>43168</v>
      </c>
      <c r="B221" s="56">
        <v>12.3</v>
      </c>
      <c r="C221" s="56">
        <v>7.7</v>
      </c>
      <c r="D221" s="56">
        <v>15.1</v>
      </c>
      <c r="E221" s="56">
        <v>1594.3</v>
      </c>
      <c r="F221" s="56"/>
      <c r="G221" s="56"/>
      <c r="H221" s="56">
        <v>2.9</v>
      </c>
      <c r="I221" s="56"/>
      <c r="J221" s="56">
        <v>1.8</v>
      </c>
      <c r="K221" s="56"/>
      <c r="L221" s="56">
        <v>1.0999999999999999</v>
      </c>
      <c r="M221" s="56"/>
      <c r="N221" s="56">
        <v>191</v>
      </c>
      <c r="O221" s="56">
        <v>1.0349999999999999</v>
      </c>
      <c r="P221" s="56">
        <v>1.863</v>
      </c>
      <c r="Q221" s="56">
        <v>1.0369999999999999</v>
      </c>
      <c r="R221" s="56">
        <v>149.36150000000001</v>
      </c>
      <c r="S221" s="56"/>
      <c r="T221" s="56">
        <v>781.6</v>
      </c>
      <c r="U221" s="56"/>
      <c r="V221" s="56">
        <v>99726.400000000023</v>
      </c>
      <c r="W221" s="56"/>
      <c r="X221" s="56"/>
      <c r="Y221" s="56">
        <v>11.232736630228848</v>
      </c>
    </row>
    <row r="222" spans="1:25" x14ac:dyDescent="0.35">
      <c r="A222" s="58">
        <v>43169</v>
      </c>
      <c r="B222" s="56">
        <v>14</v>
      </c>
      <c r="C222" s="56">
        <v>10.8</v>
      </c>
      <c r="D222" s="56">
        <v>16.899999999999999</v>
      </c>
      <c r="E222" s="56">
        <v>1608.3</v>
      </c>
      <c r="F222" s="56"/>
      <c r="G222" s="56"/>
      <c r="H222" s="56">
        <v>13.1</v>
      </c>
      <c r="I222" s="56"/>
      <c r="J222" s="56">
        <v>1.4</v>
      </c>
      <c r="K222" s="56"/>
      <c r="L222" s="56">
        <v>11.7</v>
      </c>
      <c r="M222" s="56"/>
      <c r="N222" s="56">
        <v>192</v>
      </c>
      <c r="O222" s="56">
        <v>1.04</v>
      </c>
      <c r="P222" s="56">
        <v>1.456</v>
      </c>
      <c r="Q222" s="56">
        <v>11.644</v>
      </c>
      <c r="R222" s="56">
        <v>150.80000000000001</v>
      </c>
      <c r="S222" s="56"/>
      <c r="T222" s="56">
        <v>509.4</v>
      </c>
      <c r="U222" s="56"/>
      <c r="V222" s="56">
        <v>100235.80000000002</v>
      </c>
      <c r="W222" s="56"/>
      <c r="X222" s="56"/>
      <c r="Y222" s="56">
        <v>11.291339638878142</v>
      </c>
    </row>
    <row r="223" spans="1:25" x14ac:dyDescent="0.35">
      <c r="A223" s="58">
        <v>43170</v>
      </c>
      <c r="B223" s="56">
        <v>12.5</v>
      </c>
      <c r="C223" s="56">
        <v>9.9</v>
      </c>
      <c r="D223" s="56">
        <v>16.3</v>
      </c>
      <c r="E223" s="56">
        <v>1620.8</v>
      </c>
      <c r="F223" s="56"/>
      <c r="G223" s="56"/>
      <c r="H223" s="56">
        <v>0.2</v>
      </c>
      <c r="I223" s="56"/>
      <c r="J223" s="56">
        <v>2.2999999999999998</v>
      </c>
      <c r="K223" s="56"/>
      <c r="L223" s="56">
        <v>-2.0999999999999996</v>
      </c>
      <c r="M223" s="56"/>
      <c r="N223" s="56">
        <v>193</v>
      </c>
      <c r="O223" s="56">
        <v>1.0449999999999999</v>
      </c>
      <c r="P223" s="56">
        <v>2.4034999999999997</v>
      </c>
      <c r="Q223" s="56">
        <v>-2.2034999999999996</v>
      </c>
      <c r="R223" s="56">
        <v>148.59650000000002</v>
      </c>
      <c r="S223" s="56"/>
      <c r="T223" s="56">
        <v>647.4</v>
      </c>
      <c r="U223" s="56"/>
      <c r="V223" s="56">
        <v>100883.20000000001</v>
      </c>
      <c r="W223" s="56"/>
      <c r="X223" s="56"/>
      <c r="Y223" s="56">
        <v>11.350044293344279</v>
      </c>
    </row>
    <row r="224" spans="1:25" x14ac:dyDescent="0.35">
      <c r="A224" s="58">
        <v>43171</v>
      </c>
      <c r="B224" s="56">
        <v>10.3</v>
      </c>
      <c r="C224" s="56">
        <v>9.5</v>
      </c>
      <c r="D224" s="56">
        <v>12.9</v>
      </c>
      <c r="E224" s="56">
        <v>1631.1</v>
      </c>
      <c r="F224" s="56"/>
      <c r="G224" s="56"/>
      <c r="H224" s="56">
        <v>4.4000000000000004</v>
      </c>
      <c r="I224" s="56"/>
      <c r="J224" s="56">
        <v>2.2999999999999998</v>
      </c>
      <c r="K224" s="56"/>
      <c r="L224" s="56">
        <v>2.1000000000000005</v>
      </c>
      <c r="M224" s="56"/>
      <c r="N224" s="56">
        <v>194</v>
      </c>
      <c r="O224" s="56">
        <v>1.05</v>
      </c>
      <c r="P224" s="56">
        <v>2.415</v>
      </c>
      <c r="Q224" s="56">
        <v>1.9850000000000003</v>
      </c>
      <c r="R224" s="56">
        <v>150.58150000000003</v>
      </c>
      <c r="S224" s="56"/>
      <c r="T224" s="56">
        <v>697.4</v>
      </c>
      <c r="U224" s="56"/>
      <c r="V224" s="56">
        <v>101580.6</v>
      </c>
      <c r="W224" s="56"/>
      <c r="X224" s="56"/>
      <c r="Y224" s="56">
        <v>11.408841497143632</v>
      </c>
    </row>
    <row r="225" spans="1:25" x14ac:dyDescent="0.35">
      <c r="A225" s="58">
        <v>43172</v>
      </c>
      <c r="B225" s="56">
        <v>7.9</v>
      </c>
      <c r="C225" s="56">
        <v>7.7</v>
      </c>
      <c r="D225" s="56">
        <v>10.4</v>
      </c>
      <c r="E225" s="56">
        <v>1639</v>
      </c>
      <c r="F225" s="56"/>
      <c r="G225" s="56"/>
      <c r="H225" s="56">
        <v>0</v>
      </c>
      <c r="I225" s="56"/>
      <c r="J225" s="56">
        <v>1.9</v>
      </c>
      <c r="K225" s="56"/>
      <c r="L225" s="56">
        <v>-1.9</v>
      </c>
      <c r="M225" s="56"/>
      <c r="N225" s="56">
        <v>195</v>
      </c>
      <c r="O225" s="56">
        <v>1.0549999999999999</v>
      </c>
      <c r="P225" s="56">
        <v>2.0044999999999997</v>
      </c>
      <c r="Q225" s="56">
        <v>-2.0044999999999997</v>
      </c>
      <c r="R225" s="56">
        <v>148.57700000000003</v>
      </c>
      <c r="S225" s="56"/>
      <c r="T225" s="56">
        <v>1245.0999999999999</v>
      </c>
      <c r="U225" s="56"/>
      <c r="V225" s="56">
        <v>102825.70000000001</v>
      </c>
      <c r="W225" s="56"/>
      <c r="X225" s="56"/>
      <c r="Y225" s="56">
        <v>11.467722316252058</v>
      </c>
    </row>
    <row r="226" spans="1:25" x14ac:dyDescent="0.35">
      <c r="A226" s="58">
        <v>43173</v>
      </c>
      <c r="B226" s="56">
        <v>8.6999999999999993</v>
      </c>
      <c r="C226" s="56">
        <v>1.4</v>
      </c>
      <c r="D226" s="56">
        <v>14</v>
      </c>
      <c r="E226" s="56">
        <v>1647.7</v>
      </c>
      <c r="F226" s="56"/>
      <c r="G226" s="56"/>
      <c r="H226" s="56">
        <v>7.3</v>
      </c>
      <c r="I226" s="56"/>
      <c r="J226" s="56">
        <v>1.9</v>
      </c>
      <c r="K226" s="56"/>
      <c r="L226" s="56">
        <v>5.4</v>
      </c>
      <c r="M226" s="56"/>
      <c r="N226" s="56">
        <v>196</v>
      </c>
      <c r="O226" s="56">
        <v>1.06</v>
      </c>
      <c r="P226" s="56">
        <v>2.0139999999999998</v>
      </c>
      <c r="Q226" s="56">
        <v>5.2859999999999996</v>
      </c>
      <c r="R226" s="56">
        <v>150.80000000000001</v>
      </c>
      <c r="S226" s="56"/>
      <c r="T226" s="56">
        <v>1280.0999999999999</v>
      </c>
      <c r="U226" s="56"/>
      <c r="V226" s="56">
        <v>104105.80000000002</v>
      </c>
      <c r="W226" s="56"/>
      <c r="X226" s="56"/>
      <c r="Y226" s="56">
        <v>11.526677964729256</v>
      </c>
    </row>
    <row r="227" spans="1:25" x14ac:dyDescent="0.35">
      <c r="A227" s="58">
        <v>43174</v>
      </c>
      <c r="B227" s="56">
        <v>9.1</v>
      </c>
      <c r="C227" s="56">
        <v>7.8</v>
      </c>
      <c r="D227" s="56">
        <v>11.1</v>
      </c>
      <c r="E227" s="56">
        <v>1656.8</v>
      </c>
      <c r="F227" s="56"/>
      <c r="G227" s="56"/>
      <c r="H227" s="56">
        <v>1.7</v>
      </c>
      <c r="I227" s="56"/>
      <c r="J227" s="56">
        <v>0.9</v>
      </c>
      <c r="K227" s="56"/>
      <c r="L227" s="56">
        <v>0.79999999999999993</v>
      </c>
      <c r="M227" s="56"/>
      <c r="N227" s="56">
        <v>197</v>
      </c>
      <c r="O227" s="56">
        <v>1.0649999999999999</v>
      </c>
      <c r="P227" s="56">
        <v>0.95850000000000002</v>
      </c>
      <c r="Q227" s="56">
        <v>0.74149999999999994</v>
      </c>
      <c r="R227" s="56">
        <v>150.80000000000001</v>
      </c>
      <c r="S227" s="56"/>
      <c r="T227" s="56">
        <v>376.7</v>
      </c>
      <c r="U227" s="56"/>
      <c r="V227" s="56">
        <v>104482.50000000001</v>
      </c>
      <c r="W227" s="56"/>
      <c r="X227" s="56"/>
      <c r="Y227" s="56">
        <v>11.585699790224414</v>
      </c>
    </row>
    <row r="228" spans="1:25" x14ac:dyDescent="0.35">
      <c r="A228" s="58">
        <v>43175</v>
      </c>
      <c r="B228" s="56">
        <v>8</v>
      </c>
      <c r="C228" s="56">
        <v>6.4</v>
      </c>
      <c r="D228" s="56">
        <v>12.1</v>
      </c>
      <c r="E228" s="56">
        <v>1664.8</v>
      </c>
      <c r="F228" s="56"/>
      <c r="G228" s="56"/>
      <c r="H228" s="56">
        <v>1.8</v>
      </c>
      <c r="I228" s="56"/>
      <c r="J228" s="56">
        <v>1.3</v>
      </c>
      <c r="K228" s="56"/>
      <c r="L228" s="56">
        <v>0.5</v>
      </c>
      <c r="M228" s="56"/>
      <c r="N228" s="56">
        <v>198</v>
      </c>
      <c r="O228" s="56">
        <v>1.07</v>
      </c>
      <c r="P228" s="56">
        <v>1.3910000000000002</v>
      </c>
      <c r="Q228" s="56">
        <v>0.40899999999999981</v>
      </c>
      <c r="R228" s="56">
        <v>150.80000000000001</v>
      </c>
      <c r="S228" s="56"/>
      <c r="T228" s="56">
        <v>862.5</v>
      </c>
      <c r="U228" s="56"/>
      <c r="V228" s="56">
        <v>105345.00000000001</v>
      </c>
      <c r="W228" s="56"/>
      <c r="X228" s="56"/>
      <c r="Y228" s="56">
        <v>11.644779259378117</v>
      </c>
    </row>
    <row r="229" spans="1:25" x14ac:dyDescent="0.35">
      <c r="A229" s="58">
        <v>43176</v>
      </c>
      <c r="B229" s="56">
        <v>5.5</v>
      </c>
      <c r="C229" s="56">
        <v>2.2999999999999998</v>
      </c>
      <c r="D229" s="56">
        <v>10.199999999999999</v>
      </c>
      <c r="E229" s="56">
        <v>1670.3</v>
      </c>
      <c r="F229" s="56"/>
      <c r="G229" s="56"/>
      <c r="H229" s="56">
        <v>1</v>
      </c>
      <c r="I229" s="56"/>
      <c r="J229" s="56">
        <v>1.2</v>
      </c>
      <c r="K229" s="56"/>
      <c r="L229" s="56">
        <v>-0.19999999999999996</v>
      </c>
      <c r="M229" s="56"/>
      <c r="N229" s="56">
        <v>199</v>
      </c>
      <c r="O229" s="56">
        <v>1.075</v>
      </c>
      <c r="P229" s="56">
        <v>1.2899999999999998</v>
      </c>
      <c r="Q229" s="56">
        <v>-0.28999999999999981</v>
      </c>
      <c r="R229" s="56">
        <v>150.51000000000002</v>
      </c>
      <c r="S229" s="56"/>
      <c r="T229" s="56">
        <v>1034.5</v>
      </c>
      <c r="U229" s="56"/>
      <c r="V229" s="56">
        <v>106379.50000000001</v>
      </c>
      <c r="W229" s="56"/>
      <c r="X229" s="56"/>
      <c r="Y229" s="56">
        <v>11.70390794313461</v>
      </c>
    </row>
    <row r="230" spans="1:25" x14ac:dyDescent="0.35">
      <c r="A230" s="58">
        <v>43177</v>
      </c>
      <c r="B230" s="56">
        <v>1.7</v>
      </c>
      <c r="C230" s="56">
        <v>1.5</v>
      </c>
      <c r="D230" s="56">
        <v>2.6</v>
      </c>
      <c r="E230" s="56">
        <v>1672</v>
      </c>
      <c r="F230" s="56"/>
      <c r="G230" s="56"/>
      <c r="H230" s="56">
        <v>0</v>
      </c>
      <c r="I230" s="56"/>
      <c r="J230" s="56">
        <v>0.7</v>
      </c>
      <c r="K230" s="56"/>
      <c r="L230" s="56">
        <v>-0.7</v>
      </c>
      <c r="M230" s="56"/>
      <c r="N230" s="56">
        <v>200</v>
      </c>
      <c r="O230" s="56">
        <v>1.0799999999999998</v>
      </c>
      <c r="P230" s="56">
        <v>0.75599999999999989</v>
      </c>
      <c r="Q230" s="56">
        <v>-0.75599999999999989</v>
      </c>
      <c r="R230" s="56">
        <v>149.75400000000002</v>
      </c>
      <c r="S230" s="56"/>
      <c r="T230" s="56">
        <v>602.29999999999995</v>
      </c>
      <c r="U230" s="56"/>
      <c r="V230" s="56">
        <v>106981.80000000002</v>
      </c>
      <c r="W230" s="56"/>
      <c r="X230" s="56"/>
      <c r="Y230" s="56">
        <v>11.763077501977568</v>
      </c>
    </row>
    <row r="231" spans="1:25" x14ac:dyDescent="0.35">
      <c r="A231" s="58">
        <v>43178</v>
      </c>
      <c r="B231" s="56">
        <v>1</v>
      </c>
      <c r="C231" s="56">
        <v>-0.5</v>
      </c>
      <c r="D231" s="56">
        <v>2</v>
      </c>
      <c r="E231" s="56">
        <v>1673</v>
      </c>
      <c r="F231" s="56"/>
      <c r="G231" s="56"/>
      <c r="H231" s="56">
        <v>0.2</v>
      </c>
      <c r="I231" s="56"/>
      <c r="J231" s="56">
        <v>0.6</v>
      </c>
      <c r="K231" s="56"/>
      <c r="L231" s="56">
        <v>-0.39999999999999997</v>
      </c>
      <c r="M231" s="56"/>
      <c r="N231" s="56">
        <v>201</v>
      </c>
      <c r="O231" s="56">
        <v>1.085</v>
      </c>
      <c r="P231" s="56">
        <v>0.65099999999999991</v>
      </c>
      <c r="Q231" s="56">
        <v>-0.4509999999999999</v>
      </c>
      <c r="R231" s="56">
        <v>149.30300000000003</v>
      </c>
      <c r="S231" s="56"/>
      <c r="T231" s="56">
        <v>484.6</v>
      </c>
      <c r="U231" s="56"/>
      <c r="V231" s="56">
        <v>107466.40000000002</v>
      </c>
      <c r="W231" s="56"/>
      <c r="X231" s="56"/>
      <c r="Y231" s="56">
        <v>11.822279671101724</v>
      </c>
    </row>
    <row r="232" spans="1:25" x14ac:dyDescent="0.35">
      <c r="A232" s="58">
        <v>43179</v>
      </c>
      <c r="B232" s="56">
        <v>3.1</v>
      </c>
      <c r="C232" s="56">
        <v>-1</v>
      </c>
      <c r="D232" s="56">
        <v>6.6</v>
      </c>
      <c r="E232" s="56">
        <v>1676.1</v>
      </c>
      <c r="F232" s="56"/>
      <c r="G232" s="56"/>
      <c r="H232" s="56">
        <v>0</v>
      </c>
      <c r="I232" s="56"/>
      <c r="J232" s="56">
        <v>1.5</v>
      </c>
      <c r="K232" s="56"/>
      <c r="L232" s="56">
        <v>-1.5</v>
      </c>
      <c r="M232" s="56"/>
      <c r="N232" s="56">
        <v>202</v>
      </c>
      <c r="O232" s="56">
        <v>1.0899999999999999</v>
      </c>
      <c r="P232" s="56">
        <v>1.6349999999999998</v>
      </c>
      <c r="Q232" s="56">
        <v>-1.6349999999999998</v>
      </c>
      <c r="R232" s="56">
        <v>147.66800000000003</v>
      </c>
      <c r="S232" s="56"/>
      <c r="T232" s="56">
        <v>1281</v>
      </c>
      <c r="U232" s="56"/>
      <c r="V232" s="56">
        <v>108747.40000000002</v>
      </c>
      <c r="W232" s="56"/>
      <c r="X232" s="56"/>
      <c r="Y232" s="56">
        <v>11.881506245532083</v>
      </c>
    </row>
    <row r="233" spans="1:25" x14ac:dyDescent="0.35">
      <c r="A233" s="58">
        <v>43180</v>
      </c>
      <c r="B233" s="56">
        <v>3.1</v>
      </c>
      <c r="C233" s="56">
        <v>-0.6</v>
      </c>
      <c r="D233" s="56">
        <v>6.8</v>
      </c>
      <c r="E233" s="56">
        <v>1679.1999999999998</v>
      </c>
      <c r="F233" s="56"/>
      <c r="G233" s="56"/>
      <c r="H233" s="56">
        <v>0</v>
      </c>
      <c r="I233" s="56"/>
      <c r="J233" s="56">
        <v>1.4</v>
      </c>
      <c r="K233" s="56"/>
      <c r="L233" s="56">
        <v>-1.4</v>
      </c>
      <c r="M233" s="56"/>
      <c r="N233" s="56">
        <v>203</v>
      </c>
      <c r="O233" s="56">
        <v>1.095</v>
      </c>
      <c r="P233" s="56">
        <v>1.5329999999999999</v>
      </c>
      <c r="Q233" s="56">
        <v>-1.5329999999999999</v>
      </c>
      <c r="R233" s="56">
        <v>146.13500000000005</v>
      </c>
      <c r="S233" s="56"/>
      <c r="T233" s="56">
        <v>1238</v>
      </c>
      <c r="U233" s="56"/>
      <c r="V233" s="56">
        <v>109985.40000000002</v>
      </c>
      <c r="W233" s="56"/>
      <c r="X233" s="56"/>
      <c r="Y233" s="56">
        <v>11.940749065201889</v>
      </c>
    </row>
    <row r="234" spans="1:25" x14ac:dyDescent="0.35">
      <c r="A234" s="58">
        <v>43181</v>
      </c>
      <c r="B234" s="56">
        <v>3.1</v>
      </c>
      <c r="C234" s="56">
        <v>-2.4</v>
      </c>
      <c r="D234" s="56">
        <v>7</v>
      </c>
      <c r="E234" s="56">
        <v>1682.2999999999997</v>
      </c>
      <c r="F234" s="56"/>
      <c r="G234" s="56"/>
      <c r="H234" s="56">
        <v>0</v>
      </c>
      <c r="I234" s="56"/>
      <c r="J234" s="56">
        <v>0.6</v>
      </c>
      <c r="K234" s="56"/>
      <c r="L234" s="56">
        <v>-0.6</v>
      </c>
      <c r="M234" s="56"/>
      <c r="N234" s="56">
        <v>204</v>
      </c>
      <c r="O234" s="56">
        <v>1.0999999999999999</v>
      </c>
      <c r="P234" s="56">
        <v>0.65999999999999992</v>
      </c>
      <c r="Q234" s="56">
        <v>-0.65999999999999992</v>
      </c>
      <c r="R234" s="56">
        <v>145.47500000000005</v>
      </c>
      <c r="S234" s="56"/>
      <c r="T234" s="56">
        <v>414.1</v>
      </c>
      <c r="U234" s="56"/>
      <c r="V234" s="56">
        <v>110399.50000000003</v>
      </c>
      <c r="W234" s="56"/>
      <c r="X234" s="56"/>
      <c r="Y234" s="56">
        <v>12</v>
      </c>
    </row>
    <row r="235" spans="1:25" x14ac:dyDescent="0.35">
      <c r="A235" s="58">
        <v>43182</v>
      </c>
      <c r="B235" s="56">
        <v>5.4</v>
      </c>
      <c r="C235" s="56">
        <v>3.5</v>
      </c>
      <c r="D235" s="56">
        <v>6.3</v>
      </c>
      <c r="E235" s="56">
        <v>1687.6999999999998</v>
      </c>
      <c r="F235" s="56"/>
      <c r="G235" s="56"/>
      <c r="H235" s="56">
        <v>0.7</v>
      </c>
      <c r="I235" s="56"/>
      <c r="J235" s="56">
        <v>0.7</v>
      </c>
      <c r="K235" s="56"/>
      <c r="L235" s="56">
        <v>0</v>
      </c>
      <c r="M235" s="56"/>
      <c r="N235" s="56">
        <v>205</v>
      </c>
      <c r="O235" s="56">
        <v>1.105</v>
      </c>
      <c r="P235" s="56">
        <v>0.77349999999999997</v>
      </c>
      <c r="Q235" s="56">
        <v>-7.350000000000001E-2</v>
      </c>
      <c r="R235" s="56">
        <v>145.40150000000006</v>
      </c>
      <c r="S235" s="56"/>
      <c r="T235" s="56">
        <v>456.5</v>
      </c>
      <c r="U235" s="56"/>
      <c r="V235" s="56">
        <v>110856.00000000003</v>
      </c>
      <c r="W235" s="56"/>
      <c r="X235" s="56"/>
      <c r="Y235" s="56">
        <v>12.059250934798111</v>
      </c>
    </row>
    <row r="236" spans="1:25" x14ac:dyDescent="0.35">
      <c r="A236" s="58">
        <v>43183</v>
      </c>
      <c r="B236" s="56">
        <v>8.1999999999999993</v>
      </c>
      <c r="C236" s="56">
        <v>5.8</v>
      </c>
      <c r="D236" s="56">
        <v>11.3</v>
      </c>
      <c r="E236" s="56">
        <v>1695.8999999999999</v>
      </c>
      <c r="F236" s="56"/>
      <c r="G236" s="56"/>
      <c r="H236" s="56">
        <v>0</v>
      </c>
      <c r="I236" s="56"/>
      <c r="J236" s="56">
        <v>1.2</v>
      </c>
      <c r="K236" s="56"/>
      <c r="L236" s="56">
        <v>-1.2</v>
      </c>
      <c r="M236" s="56"/>
      <c r="N236" s="56">
        <v>206</v>
      </c>
      <c r="O236" s="56">
        <v>1.1099999999999999</v>
      </c>
      <c r="P236" s="56">
        <v>1.3319999999999999</v>
      </c>
      <c r="Q236" s="56">
        <v>-1.3319999999999999</v>
      </c>
      <c r="R236" s="56">
        <v>144.06950000000006</v>
      </c>
      <c r="S236" s="56"/>
      <c r="T236" s="56">
        <v>986.1</v>
      </c>
      <c r="U236" s="56"/>
      <c r="V236" s="56">
        <v>111842.10000000003</v>
      </c>
      <c r="W236" s="56"/>
      <c r="X236" s="56"/>
      <c r="Y236" s="56">
        <v>12.118493754467917</v>
      </c>
    </row>
    <row r="237" spans="1:25" x14ac:dyDescent="0.35">
      <c r="A237" s="58">
        <v>43184</v>
      </c>
      <c r="B237" s="56">
        <v>10.1</v>
      </c>
      <c r="C237" s="56">
        <v>5.3</v>
      </c>
      <c r="D237" s="56">
        <v>13.9</v>
      </c>
      <c r="E237" s="56">
        <v>1705.9999999999998</v>
      </c>
      <c r="F237" s="56"/>
      <c r="G237" s="56"/>
      <c r="H237" s="56">
        <v>2.5</v>
      </c>
      <c r="I237" s="56"/>
      <c r="J237" s="56">
        <v>0.8</v>
      </c>
      <c r="K237" s="56"/>
      <c r="L237" s="56">
        <v>1.7</v>
      </c>
      <c r="M237" s="56"/>
      <c r="N237" s="56">
        <v>207</v>
      </c>
      <c r="O237" s="56">
        <v>1.115</v>
      </c>
      <c r="P237" s="56">
        <v>0.89200000000000002</v>
      </c>
      <c r="Q237" s="56">
        <v>1.6080000000000001</v>
      </c>
      <c r="R237" s="56">
        <v>145.67750000000007</v>
      </c>
      <c r="S237" s="56"/>
      <c r="T237" s="56">
        <v>551.4</v>
      </c>
      <c r="U237" s="56"/>
      <c r="V237" s="56">
        <v>112393.50000000003</v>
      </c>
      <c r="W237" s="56"/>
      <c r="X237" s="56"/>
      <c r="Y237" s="56">
        <v>12.177720328898275</v>
      </c>
    </row>
    <row r="238" spans="1:25" x14ac:dyDescent="0.35">
      <c r="A238" s="58">
        <v>43185</v>
      </c>
      <c r="B238" s="56">
        <v>8.9</v>
      </c>
      <c r="C238" s="56">
        <v>6.6</v>
      </c>
      <c r="D238" s="56">
        <v>11.7</v>
      </c>
      <c r="E238" s="56">
        <v>1714.8999999999999</v>
      </c>
      <c r="F238" s="56"/>
      <c r="G238" s="56"/>
      <c r="H238" s="56">
        <v>2.4</v>
      </c>
      <c r="I238" s="56"/>
      <c r="J238" s="56">
        <v>1.3</v>
      </c>
      <c r="K238" s="56"/>
      <c r="L238" s="56">
        <v>1.0999999999999999</v>
      </c>
      <c r="M238" s="56"/>
      <c r="N238" s="56">
        <v>208</v>
      </c>
      <c r="O238" s="56">
        <v>1.1199999999999999</v>
      </c>
      <c r="P238" s="56">
        <v>1.456</v>
      </c>
      <c r="Q238" s="56">
        <v>0.94399999999999995</v>
      </c>
      <c r="R238" s="56">
        <v>146.62150000000005</v>
      </c>
      <c r="S238" s="56"/>
      <c r="T238" s="56">
        <v>998.9</v>
      </c>
      <c r="U238" s="56"/>
      <c r="V238" s="56">
        <v>113392.40000000002</v>
      </c>
      <c r="W238" s="56"/>
      <c r="X238" s="56"/>
      <c r="Y238" s="56">
        <v>12.23692249802243</v>
      </c>
    </row>
    <row r="239" spans="1:25" x14ac:dyDescent="0.35">
      <c r="A239" s="58">
        <v>43186</v>
      </c>
      <c r="B239" s="56">
        <v>9.5</v>
      </c>
      <c r="C239" s="56">
        <v>5.7</v>
      </c>
      <c r="D239" s="56">
        <v>13</v>
      </c>
      <c r="E239" s="56">
        <v>1724.3999999999999</v>
      </c>
      <c r="F239" s="56"/>
      <c r="G239" s="56"/>
      <c r="H239" s="56">
        <v>2.9</v>
      </c>
      <c r="I239" s="56"/>
      <c r="J239" s="56">
        <v>0.8</v>
      </c>
      <c r="K239" s="56"/>
      <c r="L239" s="56">
        <v>2.0999999999999996</v>
      </c>
      <c r="M239" s="56"/>
      <c r="N239" s="56">
        <v>209</v>
      </c>
      <c r="O239" s="56">
        <v>1.125</v>
      </c>
      <c r="P239" s="56">
        <v>0.9</v>
      </c>
      <c r="Q239" s="56">
        <v>2</v>
      </c>
      <c r="R239" s="56">
        <v>148.62150000000005</v>
      </c>
      <c r="S239" s="56"/>
      <c r="T239" s="56">
        <v>613.20000000000005</v>
      </c>
      <c r="U239" s="56"/>
      <c r="V239" s="56">
        <v>114005.60000000002</v>
      </c>
      <c r="W239" s="56"/>
      <c r="X239" s="56"/>
      <c r="Y239" s="56">
        <v>12.296092056865389</v>
      </c>
    </row>
    <row r="240" spans="1:25" x14ac:dyDescent="0.35">
      <c r="A240" s="58">
        <v>43187</v>
      </c>
      <c r="B240" s="56">
        <v>9.4</v>
      </c>
      <c r="C240" s="56">
        <v>8.5</v>
      </c>
      <c r="D240" s="56">
        <v>11.9</v>
      </c>
      <c r="E240" s="56">
        <v>1733.8</v>
      </c>
      <c r="F240" s="56"/>
      <c r="G240" s="56"/>
      <c r="H240" s="56">
        <v>3.4</v>
      </c>
      <c r="I240" s="56"/>
      <c r="J240" s="56">
        <v>1.2</v>
      </c>
      <c r="K240" s="56"/>
      <c r="L240" s="56">
        <v>2.2000000000000002</v>
      </c>
      <c r="M240" s="56"/>
      <c r="N240" s="56">
        <v>210</v>
      </c>
      <c r="O240" s="56">
        <v>1.1299999999999999</v>
      </c>
      <c r="P240" s="56">
        <v>1.3559999999999999</v>
      </c>
      <c r="Q240" s="56">
        <v>2.044</v>
      </c>
      <c r="R240" s="56">
        <v>150.66550000000007</v>
      </c>
      <c r="S240" s="56"/>
      <c r="T240" s="56">
        <v>427.4</v>
      </c>
      <c r="U240" s="56"/>
      <c r="V240" s="56">
        <v>114433.00000000001</v>
      </c>
      <c r="W240" s="56"/>
      <c r="X240" s="56"/>
      <c r="Y240" s="56">
        <v>12.355220740621883</v>
      </c>
    </row>
    <row r="241" spans="1:25" x14ac:dyDescent="0.35">
      <c r="A241" s="58">
        <v>43188</v>
      </c>
      <c r="B241" s="56">
        <v>6.2</v>
      </c>
      <c r="C241" s="56">
        <v>2.7</v>
      </c>
      <c r="D241" s="56">
        <v>10.199999999999999</v>
      </c>
      <c r="E241" s="56">
        <v>1740</v>
      </c>
      <c r="F241" s="56"/>
      <c r="G241" s="56"/>
      <c r="H241" s="56">
        <v>3.1</v>
      </c>
      <c r="I241" s="56"/>
      <c r="J241" s="56">
        <v>0.9</v>
      </c>
      <c r="K241" s="56"/>
      <c r="L241" s="56">
        <v>2.2000000000000002</v>
      </c>
      <c r="M241" s="56"/>
      <c r="N241" s="56">
        <v>211</v>
      </c>
      <c r="O241" s="56">
        <v>1.135</v>
      </c>
      <c r="P241" s="56">
        <v>1.0215000000000001</v>
      </c>
      <c r="Q241" s="56">
        <v>2.0785</v>
      </c>
      <c r="R241" s="56">
        <v>150.80000000000001</v>
      </c>
      <c r="S241" s="56"/>
      <c r="T241" s="56">
        <v>645.20000000000005</v>
      </c>
      <c r="U241" s="56"/>
      <c r="V241" s="56">
        <v>115078.20000000001</v>
      </c>
      <c r="W241" s="56"/>
      <c r="X241" s="56"/>
      <c r="Y241" s="56">
        <v>12.414300209775586</v>
      </c>
    </row>
    <row r="242" spans="1:25" x14ac:dyDescent="0.35">
      <c r="A242" s="58">
        <v>43189</v>
      </c>
      <c r="B242" s="56">
        <v>6.2</v>
      </c>
      <c r="C242" s="56">
        <v>4.2</v>
      </c>
      <c r="D242" s="56">
        <v>8.3000000000000007</v>
      </c>
      <c r="E242" s="56">
        <v>1746.2</v>
      </c>
      <c r="F242" s="56"/>
      <c r="G242" s="56"/>
      <c r="H242" s="56">
        <v>1.2</v>
      </c>
      <c r="I242" s="56"/>
      <c r="J242" s="56">
        <v>0.6</v>
      </c>
      <c r="K242" s="56"/>
      <c r="L242" s="56">
        <v>0.6</v>
      </c>
      <c r="M242" s="56"/>
      <c r="N242" s="56">
        <v>212</v>
      </c>
      <c r="O242" s="56">
        <v>1.1399999999999999</v>
      </c>
      <c r="P242" s="56">
        <v>0.68399999999999994</v>
      </c>
      <c r="Q242" s="56">
        <v>0.51600000000000001</v>
      </c>
      <c r="R242" s="56">
        <v>150.80000000000001</v>
      </c>
      <c r="S242" s="56"/>
      <c r="T242" s="56">
        <v>362.9</v>
      </c>
      <c r="U242" s="56"/>
      <c r="V242" s="56">
        <v>115441.1</v>
      </c>
      <c r="W242" s="56"/>
      <c r="X242" s="56"/>
      <c r="Y242" s="56">
        <v>12.473322035270744</v>
      </c>
    </row>
    <row r="243" spans="1:25" x14ac:dyDescent="0.35">
      <c r="A243" s="58">
        <v>43190</v>
      </c>
      <c r="B243" s="56">
        <v>6.6</v>
      </c>
      <c r="C243" s="56">
        <v>2.4</v>
      </c>
      <c r="D243" s="56">
        <v>8.9</v>
      </c>
      <c r="E243" s="56">
        <v>1752.8</v>
      </c>
      <c r="F243" s="56"/>
      <c r="G243" s="56"/>
      <c r="H243" s="56">
        <v>0.2</v>
      </c>
      <c r="I243" s="56"/>
      <c r="J243" s="56">
        <v>0.5</v>
      </c>
      <c r="K243" s="56"/>
      <c r="L243" s="56">
        <v>-0.3</v>
      </c>
      <c r="M243" s="56"/>
      <c r="N243" s="56">
        <v>213</v>
      </c>
      <c r="O243" s="56">
        <v>1.145</v>
      </c>
      <c r="P243" s="56">
        <v>0.57250000000000001</v>
      </c>
      <c r="Q243" s="56">
        <v>-0.3725</v>
      </c>
      <c r="R243" s="56">
        <v>150.42750000000001</v>
      </c>
      <c r="S243" s="56"/>
      <c r="T243" s="56">
        <v>379.9</v>
      </c>
      <c r="U243" s="56"/>
      <c r="V243" s="56">
        <v>115821</v>
      </c>
      <c r="W243" s="56"/>
      <c r="X243" s="56"/>
      <c r="Y243" s="56">
        <v>12.532277683747942</v>
      </c>
    </row>
    <row r="244" spans="1:25" x14ac:dyDescent="0.35">
      <c r="A244" s="58">
        <v>43191</v>
      </c>
      <c r="B244" s="56">
        <v>8.1999999999999993</v>
      </c>
      <c r="C244" s="56">
        <v>4.9000000000000004</v>
      </c>
      <c r="D244" s="56">
        <v>10.4</v>
      </c>
      <c r="E244" s="56">
        <v>1761</v>
      </c>
      <c r="F244" s="56"/>
      <c r="G244" s="56"/>
      <c r="H244" s="56">
        <v>0</v>
      </c>
      <c r="I244" s="56"/>
      <c r="J244" s="56">
        <v>1.4</v>
      </c>
      <c r="K244" s="56"/>
      <c r="L244" s="56">
        <v>-1.4</v>
      </c>
      <c r="M244" s="56"/>
      <c r="N244" s="56">
        <v>214</v>
      </c>
      <c r="O244" s="56">
        <v>1.1499999999999999</v>
      </c>
      <c r="P244" s="56">
        <v>1.6099999999999999</v>
      </c>
      <c r="Q244" s="56">
        <v>-1.6099999999999999</v>
      </c>
      <c r="R244" s="56">
        <v>148.8175</v>
      </c>
      <c r="S244" s="56"/>
      <c r="T244" s="56">
        <v>645.5</v>
      </c>
      <c r="U244" s="56"/>
      <c r="V244" s="56">
        <v>116466.5</v>
      </c>
      <c r="W244" s="56"/>
      <c r="X244" s="56"/>
      <c r="Y244" s="56">
        <v>12.591158502856366</v>
      </c>
    </row>
    <row r="245" spans="1:25" x14ac:dyDescent="0.35">
      <c r="A245" s="58">
        <v>43192</v>
      </c>
      <c r="B245" s="56">
        <v>11</v>
      </c>
      <c r="C245" s="56">
        <v>6.6</v>
      </c>
      <c r="D245" s="56">
        <v>13.8</v>
      </c>
      <c r="E245" s="56">
        <v>1772</v>
      </c>
      <c r="F245" s="56"/>
      <c r="G245" s="56"/>
      <c r="H245" s="56">
        <v>0.6</v>
      </c>
      <c r="I245" s="56"/>
      <c r="J245" s="56">
        <v>1.5</v>
      </c>
      <c r="K245" s="56"/>
      <c r="L245" s="56">
        <v>-0.9</v>
      </c>
      <c r="M245" s="56"/>
      <c r="N245" s="56">
        <v>215</v>
      </c>
      <c r="O245" s="56">
        <v>1.1499999999999999</v>
      </c>
      <c r="P245" s="56">
        <v>1.7249999999999999</v>
      </c>
      <c r="Q245" s="56">
        <v>-1.125</v>
      </c>
      <c r="R245" s="56">
        <v>147.6925</v>
      </c>
      <c r="S245" s="56"/>
      <c r="T245" s="56">
        <v>781.5</v>
      </c>
      <c r="U245" s="56"/>
      <c r="V245" s="56">
        <v>117248</v>
      </c>
      <c r="W245" s="56"/>
      <c r="X245" s="56"/>
      <c r="Y245" s="56">
        <v>12.649955706655721</v>
      </c>
    </row>
    <row r="246" spans="1:25" x14ac:dyDescent="0.35">
      <c r="A246" s="58">
        <v>43193</v>
      </c>
      <c r="B246" s="56">
        <v>11</v>
      </c>
      <c r="C246" s="56">
        <v>9.4</v>
      </c>
      <c r="D246" s="56">
        <v>13.6</v>
      </c>
      <c r="E246" s="56">
        <v>1783</v>
      </c>
      <c r="F246" s="56"/>
      <c r="G246" s="56"/>
      <c r="H246" s="56">
        <v>7.6</v>
      </c>
      <c r="I246" s="56"/>
      <c r="J246" s="56">
        <v>1.2</v>
      </c>
      <c r="K246" s="56"/>
      <c r="L246" s="56">
        <v>6.3999999999999995</v>
      </c>
      <c r="M246" s="56"/>
      <c r="N246" s="56">
        <v>216</v>
      </c>
      <c r="O246" s="56">
        <v>1.1499999999999999</v>
      </c>
      <c r="P246" s="56">
        <v>1.38</v>
      </c>
      <c r="Q246" s="56">
        <v>6.22</v>
      </c>
      <c r="R246" s="56">
        <v>150.80000000000001</v>
      </c>
      <c r="S246" s="56"/>
      <c r="T246" s="56">
        <v>483.9</v>
      </c>
      <c r="U246" s="56"/>
      <c r="V246" s="56">
        <v>117731.9</v>
      </c>
      <c r="W246" s="56"/>
      <c r="X246" s="56"/>
      <c r="Y246" s="56">
        <v>12.708660361121856</v>
      </c>
    </row>
    <row r="247" spans="1:25" x14ac:dyDescent="0.35">
      <c r="A247" s="58">
        <v>43194</v>
      </c>
      <c r="B247" s="56">
        <v>11</v>
      </c>
      <c r="C247" s="56">
        <v>9.8000000000000007</v>
      </c>
      <c r="D247" s="56">
        <v>12.6</v>
      </c>
      <c r="E247" s="56">
        <v>1794</v>
      </c>
      <c r="F247" s="56"/>
      <c r="G247" s="56"/>
      <c r="H247" s="56">
        <v>4.5999999999999996</v>
      </c>
      <c r="I247" s="56"/>
      <c r="J247" s="56">
        <v>1.7</v>
      </c>
      <c r="K247" s="56"/>
      <c r="L247" s="56">
        <v>2.8999999999999995</v>
      </c>
      <c r="M247" s="56"/>
      <c r="N247" s="56">
        <v>217</v>
      </c>
      <c r="O247" s="56">
        <v>1.1499999999999999</v>
      </c>
      <c r="P247" s="56">
        <v>1.9549999999999998</v>
      </c>
      <c r="Q247" s="56">
        <v>2.6449999999999996</v>
      </c>
      <c r="R247" s="56">
        <v>150.80000000000001</v>
      </c>
      <c r="S247" s="56"/>
      <c r="T247" s="56">
        <v>318.10000000000002</v>
      </c>
      <c r="U247" s="56"/>
      <c r="V247" s="56">
        <v>118050</v>
      </c>
      <c r="W247" s="56"/>
      <c r="X247" s="56"/>
      <c r="Y247" s="56">
        <v>12.76726336977115</v>
      </c>
    </row>
    <row r="248" spans="1:25" x14ac:dyDescent="0.35">
      <c r="A248" s="58">
        <v>43195</v>
      </c>
      <c r="B248" s="56">
        <v>8.8000000000000007</v>
      </c>
      <c r="C248" s="56">
        <v>7.1</v>
      </c>
      <c r="D248" s="56">
        <v>10.9</v>
      </c>
      <c r="E248" s="56">
        <v>1802.8</v>
      </c>
      <c r="F248" s="56"/>
      <c r="G248" s="56"/>
      <c r="H248" s="56">
        <v>0</v>
      </c>
      <c r="I248" s="56"/>
      <c r="J248" s="56">
        <v>1.4</v>
      </c>
      <c r="K248" s="56"/>
      <c r="L248" s="56">
        <v>-1.4</v>
      </c>
      <c r="M248" s="56"/>
      <c r="N248" s="56">
        <v>218</v>
      </c>
      <c r="O248" s="56">
        <v>1.1499999999999999</v>
      </c>
      <c r="P248" s="56">
        <v>1.6099999999999999</v>
      </c>
      <c r="Q248" s="56">
        <v>-1.6099999999999999</v>
      </c>
      <c r="R248" s="56">
        <v>149.19</v>
      </c>
      <c r="S248" s="56"/>
      <c r="T248" s="56">
        <v>673.3</v>
      </c>
      <c r="U248" s="56"/>
      <c r="V248" s="56">
        <v>118723.3</v>
      </c>
      <c r="W248" s="56"/>
      <c r="X248" s="56"/>
      <c r="Y248" s="56">
        <v>12.825755459419772</v>
      </c>
    </row>
    <row r="249" spans="1:25" x14ac:dyDescent="0.35">
      <c r="A249" s="58">
        <v>43196</v>
      </c>
      <c r="B249" s="56">
        <v>12.2</v>
      </c>
      <c r="C249" s="56">
        <v>4.0999999999999996</v>
      </c>
      <c r="D249" s="56">
        <v>18.8</v>
      </c>
      <c r="E249" s="56">
        <v>1815</v>
      </c>
      <c r="F249" s="56"/>
      <c r="G249" s="56"/>
      <c r="H249" s="56">
        <v>1.2</v>
      </c>
      <c r="I249" s="56"/>
      <c r="J249" s="56">
        <v>3.2</v>
      </c>
      <c r="K249" s="56"/>
      <c r="L249" s="56">
        <v>-2</v>
      </c>
      <c r="M249" s="56"/>
      <c r="N249" s="56">
        <v>219</v>
      </c>
      <c r="O249" s="56">
        <v>1.1499999999999999</v>
      </c>
      <c r="P249" s="56">
        <v>3.6799999999999997</v>
      </c>
      <c r="Q249" s="56">
        <v>-2.4799999999999995</v>
      </c>
      <c r="R249" s="56">
        <v>146.71</v>
      </c>
      <c r="S249" s="56"/>
      <c r="T249" s="56">
        <v>2039.3</v>
      </c>
      <c r="U249" s="56"/>
      <c r="V249" s="56">
        <v>120762.6</v>
      </c>
      <c r="W249" s="56"/>
      <c r="X249" s="56"/>
      <c r="Y249" s="56">
        <v>12.884127166095231</v>
      </c>
    </row>
    <row r="250" spans="1:25" x14ac:dyDescent="0.35">
      <c r="A250" s="58">
        <v>43197</v>
      </c>
      <c r="B250" s="56">
        <v>13.7</v>
      </c>
      <c r="C250" s="56">
        <v>10.9</v>
      </c>
      <c r="D250" s="56">
        <v>17.3</v>
      </c>
      <c r="E250" s="56">
        <v>1828.7</v>
      </c>
      <c r="F250" s="56"/>
      <c r="G250" s="56"/>
      <c r="H250" s="56">
        <v>2.7</v>
      </c>
      <c r="I250" s="56"/>
      <c r="J250" s="56">
        <v>1.3</v>
      </c>
      <c r="K250" s="56"/>
      <c r="L250" s="56">
        <v>1.4000000000000001</v>
      </c>
      <c r="M250" s="56"/>
      <c r="N250" s="56">
        <v>220</v>
      </c>
      <c r="O250" s="56">
        <v>1.1499999999999999</v>
      </c>
      <c r="P250" s="56">
        <v>1.4949999999999999</v>
      </c>
      <c r="Q250" s="56">
        <v>1.2050000000000003</v>
      </c>
      <c r="R250" s="56">
        <v>147.91500000000002</v>
      </c>
      <c r="S250" s="56"/>
      <c r="T250" s="56">
        <v>363.3</v>
      </c>
      <c r="U250" s="56"/>
      <c r="V250" s="56">
        <v>121125.90000000001</v>
      </c>
      <c r="W250" s="56"/>
      <c r="X250" s="56"/>
      <c r="Y250" s="56">
        <v>12.942368821118874</v>
      </c>
    </row>
    <row r="251" spans="1:25" x14ac:dyDescent="0.35">
      <c r="A251" s="58">
        <v>43198</v>
      </c>
      <c r="B251" s="56">
        <v>13.8</v>
      </c>
      <c r="C251" s="56">
        <v>9.8000000000000007</v>
      </c>
      <c r="D251" s="56">
        <v>18.7</v>
      </c>
      <c r="E251" s="56">
        <v>1842.5</v>
      </c>
      <c r="F251" s="56"/>
      <c r="G251" s="56"/>
      <c r="H251" s="56">
        <v>2</v>
      </c>
      <c r="I251" s="56"/>
      <c r="J251" s="56">
        <v>1.1000000000000001</v>
      </c>
      <c r="K251" s="56"/>
      <c r="L251" s="56">
        <v>0.89999999999999991</v>
      </c>
      <c r="M251" s="56"/>
      <c r="N251" s="56">
        <v>221</v>
      </c>
      <c r="O251" s="56">
        <v>1.1499999999999999</v>
      </c>
      <c r="P251" s="56">
        <v>1.2649999999999999</v>
      </c>
      <c r="Q251" s="56">
        <v>0.7350000000000001</v>
      </c>
      <c r="R251" s="56">
        <v>148.65000000000003</v>
      </c>
      <c r="S251" s="56"/>
      <c r="T251" s="56">
        <v>619.70000000000005</v>
      </c>
      <c r="U251" s="56"/>
      <c r="V251" s="56">
        <v>121745.60000000001</v>
      </c>
      <c r="W251" s="56"/>
      <c r="X251" s="56"/>
      <c r="Y251" s="56">
        <v>13.000470537379494</v>
      </c>
    </row>
    <row r="252" spans="1:25" x14ac:dyDescent="0.35">
      <c r="A252" s="58">
        <v>43199</v>
      </c>
      <c r="B252" s="56">
        <v>12</v>
      </c>
      <c r="C252" s="56">
        <v>10.6</v>
      </c>
      <c r="D252" s="56">
        <v>14.1</v>
      </c>
      <c r="E252" s="56">
        <v>1854.5</v>
      </c>
      <c r="F252" s="56"/>
      <c r="G252" s="56"/>
      <c r="H252" s="56">
        <v>2.9</v>
      </c>
      <c r="I252" s="56"/>
      <c r="J252" s="56">
        <v>0.8</v>
      </c>
      <c r="K252" s="56"/>
      <c r="L252" s="56">
        <v>2.0999999999999996</v>
      </c>
      <c r="M252" s="56"/>
      <c r="N252" s="56">
        <v>222</v>
      </c>
      <c r="O252" s="56">
        <v>1.1499999999999999</v>
      </c>
      <c r="P252" s="56">
        <v>0.91999999999999993</v>
      </c>
      <c r="Q252" s="56">
        <v>1.98</v>
      </c>
      <c r="R252" s="56">
        <v>150.63000000000002</v>
      </c>
      <c r="S252" s="56"/>
      <c r="T252" s="56">
        <v>567.70000000000005</v>
      </c>
      <c r="U252" s="56"/>
      <c r="V252" s="56">
        <v>122313.3</v>
      </c>
      <c r="W252" s="56"/>
      <c r="X252" s="56"/>
      <c r="Y252" s="56">
        <v>13.058422195819631</v>
      </c>
    </row>
    <row r="253" spans="1:25" x14ac:dyDescent="0.35">
      <c r="A253" s="58">
        <v>43200</v>
      </c>
      <c r="B253" s="56">
        <v>9.9</v>
      </c>
      <c r="C253" s="56">
        <v>9.4</v>
      </c>
      <c r="D253" s="56">
        <v>10.8</v>
      </c>
      <c r="E253" s="56">
        <v>1864.4</v>
      </c>
      <c r="F253" s="56"/>
      <c r="G253" s="56"/>
      <c r="H253" s="56">
        <v>4.2</v>
      </c>
      <c r="I253" s="56"/>
      <c r="J253" s="56">
        <v>0.8</v>
      </c>
      <c r="K253" s="56"/>
      <c r="L253" s="56">
        <v>3.4000000000000004</v>
      </c>
      <c r="M253" s="56"/>
      <c r="N253" s="56">
        <v>223</v>
      </c>
      <c r="O253" s="56">
        <v>1.1499999999999999</v>
      </c>
      <c r="P253" s="56">
        <v>0.91999999999999993</v>
      </c>
      <c r="Q253" s="56">
        <v>3.2800000000000002</v>
      </c>
      <c r="R253" s="56">
        <v>150.80000000000001</v>
      </c>
      <c r="S253" s="56"/>
      <c r="T253" s="56">
        <v>489</v>
      </c>
      <c r="U253" s="56"/>
      <c r="V253" s="56">
        <v>122802.3</v>
      </c>
      <c r="W253" s="56"/>
      <c r="X253" s="56"/>
      <c r="Y253" s="56">
        <v>13.116213432157945</v>
      </c>
    </row>
    <row r="254" spans="1:25" x14ac:dyDescent="0.35">
      <c r="A254" s="58">
        <v>43201</v>
      </c>
      <c r="B254" s="56">
        <v>11.4</v>
      </c>
      <c r="C254" s="56">
        <v>6.7</v>
      </c>
      <c r="D254" s="56">
        <v>16.100000000000001</v>
      </c>
      <c r="E254" s="56">
        <v>1875.8000000000002</v>
      </c>
      <c r="F254" s="56"/>
      <c r="G254" s="56"/>
      <c r="H254" s="56">
        <v>0.1</v>
      </c>
      <c r="I254" s="56"/>
      <c r="J254" s="56">
        <v>2.2999999999999998</v>
      </c>
      <c r="K254" s="56"/>
      <c r="L254" s="56">
        <v>-2.1999999999999997</v>
      </c>
      <c r="M254" s="56"/>
      <c r="N254" s="56">
        <v>224</v>
      </c>
      <c r="O254" s="56">
        <v>1.1499999999999999</v>
      </c>
      <c r="P254" s="56">
        <v>2.6449999999999996</v>
      </c>
      <c r="Q254" s="56">
        <v>-2.5449999999999995</v>
      </c>
      <c r="R254" s="56">
        <v>148.25500000000002</v>
      </c>
      <c r="S254" s="56"/>
      <c r="T254" s="56">
        <v>1402.9</v>
      </c>
      <c r="U254" s="56"/>
      <c r="V254" s="56">
        <v>124205.2</v>
      </c>
      <c r="W254" s="56"/>
      <c r="X254" s="56"/>
      <c r="Y254" s="56">
        <v>13.173833623872605</v>
      </c>
    </row>
    <row r="255" spans="1:25" x14ac:dyDescent="0.35">
      <c r="A255" s="58">
        <v>43202</v>
      </c>
      <c r="B255" s="56">
        <v>10.199999999999999</v>
      </c>
      <c r="C255" s="56">
        <v>9.1</v>
      </c>
      <c r="D255" s="56">
        <v>12</v>
      </c>
      <c r="E255" s="56">
        <v>1886.0000000000002</v>
      </c>
      <c r="F255" s="56"/>
      <c r="G255" s="56"/>
      <c r="H255" s="56">
        <v>3.9</v>
      </c>
      <c r="I255" s="56"/>
      <c r="J255" s="56">
        <v>0.6</v>
      </c>
      <c r="K255" s="56"/>
      <c r="L255" s="56">
        <v>3.3</v>
      </c>
      <c r="M255" s="56"/>
      <c r="N255" s="56">
        <v>225</v>
      </c>
      <c r="O255" s="56">
        <v>1.1499999999999999</v>
      </c>
      <c r="P255" s="56">
        <v>0.69</v>
      </c>
      <c r="Q255" s="56">
        <v>3.21</v>
      </c>
      <c r="R255" s="56">
        <v>150.80000000000001</v>
      </c>
      <c r="S255" s="56"/>
      <c r="T255" s="56">
        <v>481.7</v>
      </c>
      <c r="U255" s="56"/>
      <c r="V255" s="56">
        <v>124686.9</v>
      </c>
      <c r="W255" s="56"/>
      <c r="X255" s="56"/>
      <c r="Y255" s="56">
        <v>13.231271877472551</v>
      </c>
    </row>
    <row r="256" spans="1:25" x14ac:dyDescent="0.35">
      <c r="A256" s="58">
        <v>43203</v>
      </c>
      <c r="B256" s="56">
        <v>10.9</v>
      </c>
      <c r="C256" s="56">
        <v>7.3</v>
      </c>
      <c r="D256" s="56">
        <v>14.6</v>
      </c>
      <c r="E256" s="56">
        <v>1896.9000000000003</v>
      </c>
      <c r="F256" s="56"/>
      <c r="G256" s="56"/>
      <c r="H256" s="56">
        <v>0.6</v>
      </c>
      <c r="I256" s="56"/>
      <c r="J256" s="56">
        <v>1.9</v>
      </c>
      <c r="K256" s="56"/>
      <c r="L256" s="56">
        <v>-1.2999999999999998</v>
      </c>
      <c r="M256" s="56"/>
      <c r="N256" s="56">
        <v>226</v>
      </c>
      <c r="O256" s="56">
        <v>1.1499999999999999</v>
      </c>
      <c r="P256" s="56">
        <v>2.1849999999999996</v>
      </c>
      <c r="Q256" s="56">
        <v>-1.5849999999999995</v>
      </c>
      <c r="R256" s="56">
        <v>149.215</v>
      </c>
      <c r="S256" s="56"/>
      <c r="T256" s="56">
        <v>1371.6</v>
      </c>
      <c r="U256" s="56"/>
      <c r="V256" s="56">
        <v>126058.5</v>
      </c>
      <c r="W256" s="56"/>
      <c r="X256" s="56"/>
      <c r="Y256" s="56">
        <v>13.288517016085436</v>
      </c>
    </row>
    <row r="257" spans="1:25" x14ac:dyDescent="0.35">
      <c r="A257" s="58">
        <v>43204</v>
      </c>
      <c r="B257" s="56">
        <v>11.4</v>
      </c>
      <c r="C257" s="56">
        <v>7.1</v>
      </c>
      <c r="D257" s="56">
        <v>15.1</v>
      </c>
      <c r="E257" s="56">
        <v>1908.3000000000004</v>
      </c>
      <c r="F257" s="56"/>
      <c r="G257" s="56"/>
      <c r="H257" s="56">
        <v>2.4</v>
      </c>
      <c r="I257" s="56"/>
      <c r="J257" s="56">
        <v>0.7</v>
      </c>
      <c r="K257" s="56"/>
      <c r="L257" s="56">
        <v>1.7</v>
      </c>
      <c r="M257" s="56"/>
      <c r="N257" s="56">
        <v>227</v>
      </c>
      <c r="O257" s="56">
        <v>1.1499999999999999</v>
      </c>
      <c r="P257" s="56">
        <v>0.80499999999999994</v>
      </c>
      <c r="Q257" s="56">
        <v>1.595</v>
      </c>
      <c r="R257" s="56">
        <v>150.80000000000001</v>
      </c>
      <c r="S257" s="56"/>
      <c r="T257" s="56">
        <v>627</v>
      </c>
      <c r="U257" s="56"/>
      <c r="V257" s="56">
        <v>126685.5</v>
      </c>
      <c r="W257" s="56"/>
      <c r="X257" s="56"/>
      <c r="Y257" s="56">
        <v>13.345557567392914</v>
      </c>
    </row>
    <row r="258" spans="1:25" x14ac:dyDescent="0.35">
      <c r="A258" s="58">
        <v>43205</v>
      </c>
      <c r="B258" s="56">
        <v>11.5</v>
      </c>
      <c r="C258" s="56">
        <v>6.8</v>
      </c>
      <c r="D258" s="56">
        <v>15.6</v>
      </c>
      <c r="E258" s="56">
        <v>1919.8000000000004</v>
      </c>
      <c r="F258" s="56"/>
      <c r="G258" s="56"/>
      <c r="H258" s="56">
        <v>0</v>
      </c>
      <c r="I258" s="56"/>
      <c r="J258" s="56">
        <v>1.4</v>
      </c>
      <c r="K258" s="56"/>
      <c r="L258" s="56">
        <v>-1.4</v>
      </c>
      <c r="M258" s="56"/>
      <c r="N258" s="56">
        <v>228</v>
      </c>
      <c r="O258" s="56">
        <v>1.1499999999999999</v>
      </c>
      <c r="P258" s="56">
        <v>1.6099999999999999</v>
      </c>
      <c r="Q258" s="56">
        <v>-1.6099999999999999</v>
      </c>
      <c r="R258" s="56">
        <v>149.19</v>
      </c>
      <c r="S258" s="56"/>
      <c r="T258" s="56">
        <v>1094.4000000000001</v>
      </c>
      <c r="U258" s="56"/>
      <c r="V258" s="56">
        <v>127779.9</v>
      </c>
      <c r="W258" s="56"/>
      <c r="X258" s="56"/>
      <c r="Y258" s="56">
        <v>13.402381751946184</v>
      </c>
    </row>
    <row r="259" spans="1:25" x14ac:dyDescent="0.35">
      <c r="A259" s="58">
        <v>43206</v>
      </c>
      <c r="B259" s="56">
        <v>11.4</v>
      </c>
      <c r="C259" s="56">
        <v>8.1</v>
      </c>
      <c r="D259" s="56">
        <v>15.2</v>
      </c>
      <c r="E259" s="56">
        <v>1931.2000000000005</v>
      </c>
      <c r="F259" s="56"/>
      <c r="G259" s="56"/>
      <c r="H259" s="56">
        <v>0</v>
      </c>
      <c r="I259" s="56"/>
      <c r="J259" s="56">
        <v>2</v>
      </c>
      <c r="K259" s="56"/>
      <c r="L259" s="56">
        <v>-2</v>
      </c>
      <c r="M259" s="56"/>
      <c r="N259" s="56">
        <v>229</v>
      </c>
      <c r="O259" s="56">
        <v>1.1499999999999999</v>
      </c>
      <c r="P259" s="56">
        <v>2.2999999999999998</v>
      </c>
      <c r="Q259" s="56">
        <v>-2.2999999999999998</v>
      </c>
      <c r="R259" s="56">
        <v>146.88999999999999</v>
      </c>
      <c r="S259" s="56"/>
      <c r="T259" s="56">
        <v>1589.4</v>
      </c>
      <c r="U259" s="56"/>
      <c r="V259" s="56">
        <v>129369.29999999999</v>
      </c>
      <c r="W259" s="56"/>
      <c r="X259" s="56"/>
      <c r="Y259" s="56">
        <v>13.458977471896711</v>
      </c>
    </row>
    <row r="260" spans="1:25" x14ac:dyDescent="0.35">
      <c r="A260" s="58">
        <v>43207</v>
      </c>
      <c r="B260" s="56">
        <v>14</v>
      </c>
      <c r="C260" s="56">
        <v>5.7</v>
      </c>
      <c r="D260" s="56">
        <v>20.5</v>
      </c>
      <c r="E260" s="56">
        <v>1945.2000000000005</v>
      </c>
      <c r="F260" s="56"/>
      <c r="G260" s="56"/>
      <c r="H260" s="56">
        <v>0</v>
      </c>
      <c r="I260" s="56"/>
      <c r="J260" s="56">
        <v>3.9</v>
      </c>
      <c r="K260" s="56"/>
      <c r="L260" s="56">
        <v>-3.9</v>
      </c>
      <c r="M260" s="56"/>
      <c r="N260" s="56">
        <v>230</v>
      </c>
      <c r="O260" s="56">
        <v>1.1499999999999999</v>
      </c>
      <c r="P260" s="56">
        <v>4.4849999999999994</v>
      </c>
      <c r="Q260" s="56">
        <v>-4.4849999999999994</v>
      </c>
      <c r="R260" s="56">
        <v>142.40499999999997</v>
      </c>
      <c r="S260" s="56"/>
      <c r="T260" s="56">
        <v>2512.9</v>
      </c>
      <c r="U260" s="56"/>
      <c r="V260" s="56">
        <v>131882.19999999998</v>
      </c>
      <c r="W260" s="56"/>
      <c r="X260" s="56"/>
      <c r="Y260" s="56">
        <v>13.515332300179331</v>
      </c>
    </row>
    <row r="261" spans="1:25" x14ac:dyDescent="0.35">
      <c r="A261" s="58">
        <v>43208</v>
      </c>
      <c r="B261" s="56">
        <v>17.5</v>
      </c>
      <c r="C261" s="56">
        <v>11.1</v>
      </c>
      <c r="D261" s="56">
        <v>24.4</v>
      </c>
      <c r="E261" s="56">
        <v>1962.7000000000005</v>
      </c>
      <c r="F261" s="56"/>
      <c r="G261" s="56"/>
      <c r="H261" s="56">
        <v>0</v>
      </c>
      <c r="I261" s="56"/>
      <c r="J261" s="56">
        <v>4.5</v>
      </c>
      <c r="K261" s="56"/>
      <c r="L261" s="56">
        <v>-4.5</v>
      </c>
      <c r="M261" s="56"/>
      <c r="N261" s="56">
        <v>231</v>
      </c>
      <c r="O261" s="56">
        <v>1.1499999999999999</v>
      </c>
      <c r="P261" s="56">
        <v>5.1749999999999998</v>
      </c>
      <c r="Q261" s="56">
        <v>-5.1749999999999998</v>
      </c>
      <c r="R261" s="56">
        <v>137.22999999999996</v>
      </c>
      <c r="S261" s="56"/>
      <c r="T261" s="56">
        <v>2101.1</v>
      </c>
      <c r="U261" s="56"/>
      <c r="V261" s="56">
        <v>133983.29999999999</v>
      </c>
      <c r="W261" s="56"/>
      <c r="X261" s="56"/>
      <c r="Y261" s="56">
        <v>13.571433470187175</v>
      </c>
    </row>
    <row r="262" spans="1:25" x14ac:dyDescent="0.35">
      <c r="A262" s="58">
        <v>43209</v>
      </c>
      <c r="B262" s="56">
        <v>18.399999999999999</v>
      </c>
      <c r="C262" s="56">
        <v>11.2</v>
      </c>
      <c r="D262" s="56">
        <v>25.4</v>
      </c>
      <c r="E262" s="56">
        <v>1981.1000000000006</v>
      </c>
      <c r="F262" s="56"/>
      <c r="G262" s="56"/>
      <c r="H262" s="56">
        <v>0</v>
      </c>
      <c r="I262" s="56"/>
      <c r="J262" s="56">
        <v>4.8</v>
      </c>
      <c r="K262" s="56"/>
      <c r="L262" s="56">
        <v>-4.8</v>
      </c>
      <c r="M262" s="56"/>
      <c r="N262" s="56">
        <v>232</v>
      </c>
      <c r="O262" s="56">
        <v>1.1499999999999999</v>
      </c>
      <c r="P262" s="56">
        <v>5.52</v>
      </c>
      <c r="Q262" s="56">
        <v>-5.52</v>
      </c>
      <c r="R262" s="56">
        <v>131.70999999999995</v>
      </c>
      <c r="S262" s="56"/>
      <c r="T262" s="56">
        <v>2545.6999999999998</v>
      </c>
      <c r="U262" s="56"/>
      <c r="V262" s="56">
        <v>136529</v>
      </c>
      <c r="W262" s="56"/>
      <c r="X262" s="56"/>
      <c r="Y262" s="56">
        <v>13.627267865980141</v>
      </c>
    </row>
    <row r="263" spans="1:25" x14ac:dyDescent="0.35">
      <c r="A263" s="58">
        <v>43210</v>
      </c>
      <c r="B263" s="56">
        <v>19.7</v>
      </c>
      <c r="C263" s="56">
        <v>11.8</v>
      </c>
      <c r="D263" s="56">
        <v>26.9</v>
      </c>
      <c r="E263" s="56">
        <v>2000.8000000000006</v>
      </c>
      <c r="F263" s="56"/>
      <c r="G263" s="56"/>
      <c r="H263" s="56">
        <v>0</v>
      </c>
      <c r="I263" s="56"/>
      <c r="J263" s="56">
        <v>4.0999999999999996</v>
      </c>
      <c r="K263" s="56"/>
      <c r="L263" s="56">
        <v>-4.0999999999999996</v>
      </c>
      <c r="M263" s="56"/>
      <c r="N263" s="56">
        <v>233</v>
      </c>
      <c r="O263" s="56">
        <v>1.1499999999999999</v>
      </c>
      <c r="P263" s="56">
        <v>4.714999999999999</v>
      </c>
      <c r="Q263" s="56">
        <v>-4.714999999999999</v>
      </c>
      <c r="R263" s="56">
        <v>126.99499999999995</v>
      </c>
      <c r="S263" s="56"/>
      <c r="T263" s="56">
        <v>1905.9</v>
      </c>
      <c r="U263" s="56"/>
      <c r="V263" s="56">
        <v>138434.9</v>
      </c>
      <c r="W263" s="56"/>
      <c r="X263" s="56"/>
      <c r="Y263" s="56">
        <v>13.682822013070995</v>
      </c>
    </row>
    <row r="264" spans="1:25" x14ac:dyDescent="0.35">
      <c r="A264" s="58">
        <v>43211</v>
      </c>
      <c r="B264" s="56">
        <v>20.7</v>
      </c>
      <c r="C264" s="56">
        <v>15.6</v>
      </c>
      <c r="D264" s="56">
        <v>26.9</v>
      </c>
      <c r="E264" s="56">
        <v>2021.5000000000007</v>
      </c>
      <c r="F264" s="56"/>
      <c r="G264" s="56"/>
      <c r="H264" s="56">
        <v>0</v>
      </c>
      <c r="I264" s="56"/>
      <c r="J264" s="56">
        <v>4.4000000000000004</v>
      </c>
      <c r="K264" s="56"/>
      <c r="L264" s="56">
        <v>-4.4000000000000004</v>
      </c>
      <c r="M264" s="56"/>
      <c r="N264" s="56">
        <v>234</v>
      </c>
      <c r="O264" s="56">
        <v>1.1499999999999999</v>
      </c>
      <c r="P264" s="56">
        <v>5.0599999999999996</v>
      </c>
      <c r="Q264" s="56">
        <v>-5.0599999999999996</v>
      </c>
      <c r="R264" s="56">
        <v>121.93499999999995</v>
      </c>
      <c r="S264" s="56"/>
      <c r="T264" s="56">
        <v>2011.8</v>
      </c>
      <c r="U264" s="56"/>
      <c r="V264" s="56">
        <v>140446.69999999998</v>
      </c>
      <c r="W264" s="56"/>
      <c r="X264" s="56"/>
      <c r="Y264" s="56">
        <v>13.738082069835485</v>
      </c>
    </row>
    <row r="265" spans="1:25" x14ac:dyDescent="0.35">
      <c r="A265" s="58">
        <v>43212</v>
      </c>
      <c r="B265" s="56">
        <v>18.899999999999999</v>
      </c>
      <c r="C265" s="56">
        <v>14</v>
      </c>
      <c r="D265" s="56">
        <v>25</v>
      </c>
      <c r="E265" s="56">
        <v>2040.4000000000008</v>
      </c>
      <c r="F265" s="56"/>
      <c r="G265" s="56"/>
      <c r="H265" s="56">
        <v>0</v>
      </c>
      <c r="I265" s="56"/>
      <c r="J265" s="56">
        <v>4.2</v>
      </c>
      <c r="K265" s="56"/>
      <c r="L265" s="56">
        <v>-4.2</v>
      </c>
      <c r="M265" s="56"/>
      <c r="N265" s="56">
        <v>235</v>
      </c>
      <c r="O265" s="56">
        <v>1.1499999999999999</v>
      </c>
      <c r="P265" s="56">
        <v>4.83</v>
      </c>
      <c r="Q265" s="56">
        <v>-4.83</v>
      </c>
      <c r="R265" s="56">
        <v>117.10499999999995</v>
      </c>
      <c r="S265" s="56"/>
      <c r="T265" s="56">
        <v>2124.9</v>
      </c>
      <c r="U265" s="56"/>
      <c r="V265" s="56">
        <v>142571.59999999998</v>
      </c>
      <c r="W265" s="56"/>
      <c r="X265" s="56"/>
      <c r="Y265" s="56">
        <v>13.793033819595244</v>
      </c>
    </row>
    <row r="266" spans="1:25" x14ac:dyDescent="0.35">
      <c r="A266" s="58">
        <v>43213</v>
      </c>
      <c r="B266" s="56">
        <v>14.5</v>
      </c>
      <c r="C266" s="56">
        <v>12.5</v>
      </c>
      <c r="D266" s="56">
        <v>17.600000000000001</v>
      </c>
      <c r="E266" s="56">
        <v>2054.9000000000005</v>
      </c>
      <c r="F266" s="56"/>
      <c r="G266" s="56"/>
      <c r="H266" s="56">
        <v>0.1</v>
      </c>
      <c r="I266" s="56"/>
      <c r="J266" s="56">
        <v>1.2</v>
      </c>
      <c r="K266" s="56"/>
      <c r="L266" s="56">
        <v>-1.0999999999999999</v>
      </c>
      <c r="M266" s="56"/>
      <c r="N266" s="56">
        <v>236</v>
      </c>
      <c r="O266" s="56">
        <v>1.1499999999999999</v>
      </c>
      <c r="P266" s="56">
        <v>1.38</v>
      </c>
      <c r="Q266" s="56">
        <v>-1.2799999999999998</v>
      </c>
      <c r="R266" s="56">
        <v>115.82499999999995</v>
      </c>
      <c r="S266" s="56"/>
      <c r="T266" s="56">
        <v>583.9</v>
      </c>
      <c r="U266" s="56"/>
      <c r="V266" s="56">
        <v>143155.49999999997</v>
      </c>
      <c r="W266" s="56"/>
      <c r="X266" s="56"/>
      <c r="Y266" s="56">
        <v>13.847662663424472</v>
      </c>
    </row>
    <row r="267" spans="1:25" x14ac:dyDescent="0.35">
      <c r="A267" s="58">
        <v>43214</v>
      </c>
      <c r="B267" s="56">
        <v>13.6</v>
      </c>
      <c r="C267" s="56">
        <v>7.2</v>
      </c>
      <c r="D267" s="56">
        <v>19.399999999999999</v>
      </c>
      <c r="E267" s="56">
        <v>2068.5000000000005</v>
      </c>
      <c r="F267" s="56"/>
      <c r="G267" s="56"/>
      <c r="H267" s="56">
        <v>0</v>
      </c>
      <c r="I267" s="56"/>
      <c r="J267" s="56">
        <v>3</v>
      </c>
      <c r="K267" s="56"/>
      <c r="L267" s="56">
        <v>-3</v>
      </c>
      <c r="M267" s="56"/>
      <c r="N267" s="56">
        <v>237</v>
      </c>
      <c r="O267" s="56">
        <v>1.1499999999999999</v>
      </c>
      <c r="P267" s="56">
        <v>3.4499999999999997</v>
      </c>
      <c r="Q267" s="56">
        <v>-3.4499999999999997</v>
      </c>
      <c r="R267" s="56">
        <v>112.37499999999994</v>
      </c>
      <c r="S267" s="56"/>
      <c r="T267" s="56">
        <v>2049.1999999999998</v>
      </c>
      <c r="U267" s="56"/>
      <c r="V267" s="56">
        <v>145204.69999999998</v>
      </c>
      <c r="W267" s="56"/>
      <c r="X267" s="56"/>
      <c r="Y267" s="56">
        <v>13.901953613733792</v>
      </c>
    </row>
    <row r="268" spans="1:25" x14ac:dyDescent="0.35">
      <c r="A268" s="58">
        <v>43215</v>
      </c>
      <c r="B268" s="56">
        <v>12.6</v>
      </c>
      <c r="C268" s="56">
        <v>9.1999999999999993</v>
      </c>
      <c r="D268" s="56">
        <v>16</v>
      </c>
      <c r="E268" s="56">
        <v>2081.1000000000004</v>
      </c>
      <c r="F268" s="56"/>
      <c r="G268" s="56"/>
      <c r="H268" s="56">
        <v>1.1000000000000001</v>
      </c>
      <c r="I268" s="56"/>
      <c r="J268" s="56">
        <v>1</v>
      </c>
      <c r="K268" s="56"/>
      <c r="L268" s="56">
        <v>0.10000000000000009</v>
      </c>
      <c r="M268" s="56"/>
      <c r="N268" s="56">
        <v>238</v>
      </c>
      <c r="O268" s="56">
        <v>1.1499999999999999</v>
      </c>
      <c r="P268" s="56">
        <v>1.1499999999999999</v>
      </c>
      <c r="Q268" s="56">
        <v>-4.9999999999999822E-2</v>
      </c>
      <c r="R268" s="56">
        <v>112.32499999999995</v>
      </c>
      <c r="S268" s="56"/>
      <c r="T268" s="56">
        <v>530.70000000000005</v>
      </c>
      <c r="U268" s="56"/>
      <c r="V268" s="56">
        <v>145735.4</v>
      </c>
      <c r="W268" s="56"/>
      <c r="X268" s="56"/>
      <c r="Y268" s="56">
        <v>13.955891288686729</v>
      </c>
    </row>
    <row r="269" spans="1:25" x14ac:dyDescent="0.35">
      <c r="A269" s="58">
        <v>43216</v>
      </c>
      <c r="B269" s="56">
        <v>10.7</v>
      </c>
      <c r="C269" s="56">
        <v>6.3</v>
      </c>
      <c r="D269" s="56">
        <v>15.1</v>
      </c>
      <c r="E269" s="56">
        <v>2091.8000000000002</v>
      </c>
      <c r="F269" s="56"/>
      <c r="G269" s="56"/>
      <c r="H269" s="56">
        <v>0</v>
      </c>
      <c r="I269" s="56"/>
      <c r="J269" s="56">
        <v>2.9</v>
      </c>
      <c r="K269" s="56"/>
      <c r="L269" s="56">
        <v>-2.9</v>
      </c>
      <c r="M269" s="56"/>
      <c r="N269" s="56">
        <v>239</v>
      </c>
      <c r="O269" s="56">
        <v>1.1499999999999999</v>
      </c>
      <c r="P269" s="56">
        <v>3.3349999999999995</v>
      </c>
      <c r="Q269" s="56">
        <v>-3.3349999999999995</v>
      </c>
      <c r="R269" s="56">
        <v>108.98999999999995</v>
      </c>
      <c r="S269" s="56"/>
      <c r="T269" s="56">
        <v>2001.8</v>
      </c>
      <c r="U269" s="56"/>
      <c r="V269" s="56">
        <v>147737.19999999998</v>
      </c>
      <c r="W269" s="56"/>
      <c r="X269" s="56"/>
      <c r="Y269" s="56">
        <v>14.009459907506546</v>
      </c>
    </row>
    <row r="270" spans="1:25" x14ac:dyDescent="0.35">
      <c r="A270" s="58">
        <v>43217</v>
      </c>
      <c r="B270" s="56">
        <v>11.8</v>
      </c>
      <c r="C270" s="56">
        <v>6.8</v>
      </c>
      <c r="D270" s="56">
        <v>17.399999999999999</v>
      </c>
      <c r="E270" s="56">
        <v>2103.6000000000004</v>
      </c>
      <c r="F270" s="56"/>
      <c r="G270" s="56"/>
      <c r="H270" s="56">
        <v>0</v>
      </c>
      <c r="I270" s="56"/>
      <c r="J270" s="56">
        <v>3</v>
      </c>
      <c r="K270" s="56"/>
      <c r="L270" s="56">
        <v>-3</v>
      </c>
      <c r="M270" s="56"/>
      <c r="N270" s="56">
        <v>240</v>
      </c>
      <c r="O270" s="56">
        <v>1.1499999999999999</v>
      </c>
      <c r="P270" s="56">
        <v>3.4499999999999997</v>
      </c>
      <c r="Q270" s="56">
        <v>-3.4499999999999997</v>
      </c>
      <c r="R270" s="56">
        <v>105.53999999999995</v>
      </c>
      <c r="S270" s="56"/>
      <c r="T270" s="56">
        <v>1382.3</v>
      </c>
      <c r="U270" s="56"/>
      <c r="V270" s="56">
        <v>149119.49999999997</v>
      </c>
      <c r="W270" s="56"/>
      <c r="X270" s="56"/>
      <c r="Y270" s="56">
        <v>14.062643286732953</v>
      </c>
    </row>
    <row r="271" spans="1:25" x14ac:dyDescent="0.35">
      <c r="A271" s="58">
        <v>43218</v>
      </c>
      <c r="B271" s="56">
        <v>11.2</v>
      </c>
      <c r="C271" s="56">
        <v>8.4</v>
      </c>
      <c r="D271" s="56">
        <v>13.8</v>
      </c>
      <c r="E271" s="56">
        <v>2114.8000000000002</v>
      </c>
      <c r="F271" s="56"/>
      <c r="G271" s="56"/>
      <c r="H271" s="56">
        <v>1.8</v>
      </c>
      <c r="I271" s="56"/>
      <c r="J271" s="56">
        <v>1.8</v>
      </c>
      <c r="K271" s="56"/>
      <c r="L271" s="56">
        <v>0</v>
      </c>
      <c r="M271" s="56"/>
      <c r="N271" s="56">
        <v>241</v>
      </c>
      <c r="O271" s="56">
        <v>1.1499999999999999</v>
      </c>
      <c r="P271" s="56">
        <v>2.0699999999999998</v>
      </c>
      <c r="Q271" s="56">
        <v>-0.2699999999999998</v>
      </c>
      <c r="R271" s="56">
        <v>105.26999999999995</v>
      </c>
      <c r="S271" s="56"/>
      <c r="T271" s="56">
        <v>1343.5</v>
      </c>
      <c r="U271" s="56"/>
      <c r="V271" s="56">
        <v>150462.99999999997</v>
      </c>
      <c r="W271" s="56"/>
      <c r="X271" s="56"/>
      <c r="Y271" s="56">
        <v>14.115424837490291</v>
      </c>
    </row>
    <row r="272" spans="1:25" x14ac:dyDescent="0.35">
      <c r="A272" s="58">
        <v>43219</v>
      </c>
      <c r="B272" s="56">
        <v>10</v>
      </c>
      <c r="C272" s="56">
        <v>8.8000000000000007</v>
      </c>
      <c r="D272" s="56">
        <v>10.9</v>
      </c>
      <c r="E272" s="56">
        <v>2124.8000000000002</v>
      </c>
      <c r="F272" s="56"/>
      <c r="G272" s="56"/>
      <c r="H272" s="56">
        <v>15.4</v>
      </c>
      <c r="I272" s="56"/>
      <c r="J272" s="56">
        <v>1.1000000000000001</v>
      </c>
      <c r="K272" s="56"/>
      <c r="L272" s="56">
        <v>14.3</v>
      </c>
      <c r="M272" s="56"/>
      <c r="N272" s="56">
        <v>242</v>
      </c>
      <c r="O272" s="56">
        <v>1.1499999999999999</v>
      </c>
      <c r="P272" s="56">
        <v>1.2649999999999999</v>
      </c>
      <c r="Q272" s="56">
        <v>14.135</v>
      </c>
      <c r="R272" s="56">
        <v>119.40499999999996</v>
      </c>
      <c r="S272" s="56"/>
      <c r="T272" s="56">
        <v>708.9</v>
      </c>
      <c r="U272" s="56"/>
      <c r="V272" s="56">
        <v>151171.89999999997</v>
      </c>
      <c r="W272" s="56"/>
      <c r="X272" s="56"/>
      <c r="Y272" s="56">
        <v>14.167787563830256</v>
      </c>
    </row>
    <row r="273" spans="1:25" x14ac:dyDescent="0.35">
      <c r="A273" s="58">
        <v>43220</v>
      </c>
      <c r="B273" s="56">
        <v>6.7</v>
      </c>
      <c r="C273" s="56">
        <v>6.4</v>
      </c>
      <c r="D273" s="56">
        <v>8</v>
      </c>
      <c r="E273" s="56">
        <v>2131.5</v>
      </c>
      <c r="F273" s="56"/>
      <c r="G273" s="56"/>
      <c r="H273" s="56">
        <v>2.4</v>
      </c>
      <c r="I273" s="56"/>
      <c r="J273" s="56">
        <v>0.9</v>
      </c>
      <c r="K273" s="56"/>
      <c r="L273" s="56">
        <v>1.5</v>
      </c>
      <c r="M273" s="56"/>
      <c r="N273" s="56">
        <v>243</v>
      </c>
      <c r="O273" s="56">
        <v>1.1499999999999999</v>
      </c>
      <c r="P273" s="56">
        <v>1.0349999999999999</v>
      </c>
      <c r="Q273" s="56">
        <v>1.365</v>
      </c>
      <c r="R273" s="56">
        <v>120.76999999999995</v>
      </c>
      <c r="S273" s="56"/>
      <c r="T273" s="56">
        <v>595.79999999999995</v>
      </c>
      <c r="U273" s="56"/>
      <c r="V273" s="56">
        <v>151767.69999999995</v>
      </c>
      <c r="W273" s="56"/>
      <c r="X273" s="56"/>
      <c r="Y273" s="56">
        <v>14.219714062213793</v>
      </c>
    </row>
    <row r="274" spans="1:25" x14ac:dyDescent="0.35">
      <c r="A274" s="58">
        <v>43221</v>
      </c>
      <c r="B274" s="56">
        <v>7.4</v>
      </c>
      <c r="C274" s="56">
        <v>3.6</v>
      </c>
      <c r="D274" s="56">
        <v>11.6</v>
      </c>
      <c r="E274" s="56">
        <v>2138.9</v>
      </c>
      <c r="F274" s="56"/>
      <c r="G274" s="56"/>
      <c r="H274" s="56">
        <v>0.1</v>
      </c>
      <c r="I274" s="56"/>
      <c r="J274" s="56">
        <v>1</v>
      </c>
      <c r="K274" s="56"/>
      <c r="L274" s="56">
        <v>-0.9</v>
      </c>
      <c r="M274" s="56"/>
      <c r="N274" s="56">
        <v>244</v>
      </c>
      <c r="O274" s="56">
        <v>1.1499999999999999</v>
      </c>
      <c r="P274" s="56">
        <v>1.1499999999999999</v>
      </c>
      <c r="Q274" s="56">
        <v>-1.0499999999999998</v>
      </c>
      <c r="R274" s="56">
        <v>119.71999999999996</v>
      </c>
      <c r="S274" s="56"/>
      <c r="T274" s="56">
        <v>861.2</v>
      </c>
      <c r="U274" s="56"/>
      <c r="V274" s="56">
        <v>152628.89999999997</v>
      </c>
      <c r="W274" s="56"/>
      <c r="X274" s="56"/>
      <c r="Y274" s="56">
        <v>14.27118652219797</v>
      </c>
    </row>
    <row r="275" spans="1:25" x14ac:dyDescent="0.35">
      <c r="A275" s="58">
        <v>43222</v>
      </c>
      <c r="B275" s="56">
        <v>10.199999999999999</v>
      </c>
      <c r="C275" s="56">
        <v>2.9</v>
      </c>
      <c r="D275" s="56">
        <v>14.9</v>
      </c>
      <c r="E275" s="56">
        <v>2149.1</v>
      </c>
      <c r="F275" s="56"/>
      <c r="G275" s="56"/>
      <c r="H275" s="56">
        <v>0.2</v>
      </c>
      <c r="I275" s="56"/>
      <c r="J275" s="56">
        <v>1.6</v>
      </c>
      <c r="K275" s="56"/>
      <c r="L275" s="56">
        <v>-1.4000000000000001</v>
      </c>
      <c r="M275" s="56"/>
      <c r="N275" s="56">
        <v>245</v>
      </c>
      <c r="O275" s="56">
        <v>1.1499999999999999</v>
      </c>
      <c r="P275" s="56">
        <v>1.8399999999999999</v>
      </c>
      <c r="Q275" s="56">
        <v>-1.64</v>
      </c>
      <c r="R275" s="56">
        <v>118.07999999999996</v>
      </c>
      <c r="S275" s="56"/>
      <c r="T275" s="56">
        <v>1251.5999999999999</v>
      </c>
      <c r="U275" s="56"/>
      <c r="V275" s="56">
        <v>153880.49999999997</v>
      </c>
      <c r="W275" s="56"/>
      <c r="X275" s="56"/>
      <c r="Y275" s="56">
        <v>14.322186728394513</v>
      </c>
    </row>
    <row r="276" spans="1:25" x14ac:dyDescent="0.35">
      <c r="A276" s="58">
        <v>43223</v>
      </c>
      <c r="B276" s="56">
        <v>11.2</v>
      </c>
      <c r="C276" s="56">
        <v>7.9</v>
      </c>
      <c r="D276" s="56">
        <v>15.1</v>
      </c>
      <c r="E276" s="56">
        <v>2160.2999999999997</v>
      </c>
      <c r="F276" s="56"/>
      <c r="G276" s="56"/>
      <c r="H276" s="56">
        <v>0</v>
      </c>
      <c r="I276" s="56"/>
      <c r="J276" s="56">
        <v>2.8</v>
      </c>
      <c r="K276" s="56"/>
      <c r="L276" s="56">
        <v>-2.8</v>
      </c>
      <c r="M276" s="56"/>
      <c r="N276" s="56">
        <v>246</v>
      </c>
      <c r="O276" s="56">
        <v>1.1499999999999999</v>
      </c>
      <c r="P276" s="56">
        <v>3.2199999999999998</v>
      </c>
      <c r="Q276" s="56">
        <v>-3.2199999999999998</v>
      </c>
      <c r="R276" s="56">
        <v>114.85999999999996</v>
      </c>
      <c r="S276" s="56"/>
      <c r="T276" s="56">
        <v>1616.4</v>
      </c>
      <c r="U276" s="56"/>
      <c r="V276" s="56">
        <v>155496.89999999997</v>
      </c>
      <c r="W276" s="56"/>
      <c r="X276" s="56"/>
      <c r="Y276" s="56">
        <v>14.372696063767282</v>
      </c>
    </row>
    <row r="277" spans="1:25" x14ac:dyDescent="0.35">
      <c r="A277" s="58">
        <v>43224</v>
      </c>
      <c r="B277" s="56">
        <v>12.3</v>
      </c>
      <c r="C277" s="56">
        <v>6.9</v>
      </c>
      <c r="D277" s="56">
        <v>17.100000000000001</v>
      </c>
      <c r="E277" s="56">
        <v>2172.6</v>
      </c>
      <c r="F277" s="56"/>
      <c r="G277" s="56"/>
      <c r="H277" s="56">
        <v>0</v>
      </c>
      <c r="I277" s="56"/>
      <c r="J277" s="56">
        <v>4.4000000000000004</v>
      </c>
      <c r="K277" s="56"/>
      <c r="L277" s="56">
        <v>-4.4000000000000004</v>
      </c>
      <c r="M277" s="56"/>
      <c r="N277" s="56">
        <v>247</v>
      </c>
      <c r="O277" s="56">
        <v>1.1499999999999999</v>
      </c>
      <c r="P277" s="56">
        <v>5.0599999999999996</v>
      </c>
      <c r="Q277" s="56">
        <v>-5.0599999999999996</v>
      </c>
      <c r="R277" s="56">
        <v>109.79999999999995</v>
      </c>
      <c r="S277" s="56"/>
      <c r="T277" s="56">
        <v>2881.1</v>
      </c>
      <c r="U277" s="56"/>
      <c r="V277" s="56">
        <v>158377.99999999997</v>
      </c>
      <c r="W277" s="56"/>
      <c r="X277" s="56"/>
      <c r="Y277" s="56">
        <v>14.422695514336162</v>
      </c>
    </row>
    <row r="278" spans="1:25" x14ac:dyDescent="0.35">
      <c r="A278" s="58">
        <v>43225</v>
      </c>
      <c r="B278" s="56">
        <v>16.100000000000001</v>
      </c>
      <c r="C278" s="56">
        <v>9.1999999999999993</v>
      </c>
      <c r="D278" s="56">
        <v>21.6</v>
      </c>
      <c r="E278" s="56">
        <v>2188.6999999999998</v>
      </c>
      <c r="F278" s="56"/>
      <c r="G278" s="56"/>
      <c r="H278" s="56">
        <v>0</v>
      </c>
      <c r="I278" s="56"/>
      <c r="J278" s="56">
        <v>4.9000000000000004</v>
      </c>
      <c r="K278" s="56"/>
      <c r="L278" s="56">
        <v>-4.9000000000000004</v>
      </c>
      <c r="M278" s="56"/>
      <c r="N278" s="56">
        <v>248</v>
      </c>
      <c r="O278" s="56">
        <v>1.1499999999999999</v>
      </c>
      <c r="P278" s="56">
        <v>5.6349999999999998</v>
      </c>
      <c r="Q278" s="56">
        <v>-5.6349999999999998</v>
      </c>
      <c r="R278" s="56">
        <v>104.16499999999995</v>
      </c>
      <c r="S278" s="56"/>
      <c r="T278" s="56">
        <v>2879.6</v>
      </c>
      <c r="U278" s="56"/>
      <c r="V278" s="56">
        <v>161257.59999999998</v>
      </c>
      <c r="W278" s="56"/>
      <c r="X278" s="56"/>
      <c r="Y278" s="56">
        <v>14.472165675354583</v>
      </c>
    </row>
    <row r="279" spans="1:25" x14ac:dyDescent="0.35">
      <c r="A279" s="58">
        <v>43226</v>
      </c>
      <c r="B279" s="56">
        <v>19.399999999999999</v>
      </c>
      <c r="C279" s="56">
        <v>13.4</v>
      </c>
      <c r="D279" s="56">
        <v>24.9</v>
      </c>
      <c r="E279" s="56">
        <v>2208.1</v>
      </c>
      <c r="F279" s="56"/>
      <c r="G279" s="56"/>
      <c r="H279" s="56">
        <v>0</v>
      </c>
      <c r="I279" s="56"/>
      <c r="J279" s="56">
        <v>5.3</v>
      </c>
      <c r="K279" s="56"/>
      <c r="L279" s="56">
        <v>-5.3</v>
      </c>
      <c r="M279" s="56"/>
      <c r="N279" s="56">
        <v>249</v>
      </c>
      <c r="O279" s="56">
        <v>1.1499999999999999</v>
      </c>
      <c r="P279" s="56">
        <v>6.0949999999999998</v>
      </c>
      <c r="Q279" s="56">
        <v>-6.0949999999999998</v>
      </c>
      <c r="R279" s="56">
        <v>98.069999999999951</v>
      </c>
      <c r="S279" s="56"/>
      <c r="T279" s="56">
        <v>2938.6</v>
      </c>
      <c r="U279" s="56"/>
      <c r="V279" s="56">
        <v>164196.19999999998</v>
      </c>
      <c r="W279" s="56"/>
      <c r="X279" s="56"/>
      <c r="Y279" s="56">
        <v>14.521086759027181</v>
      </c>
    </row>
    <row r="280" spans="1:25" x14ac:dyDescent="0.35">
      <c r="A280" s="58">
        <v>43227</v>
      </c>
      <c r="B280" s="56">
        <v>19.5</v>
      </c>
      <c r="C280" s="56">
        <v>15</v>
      </c>
      <c r="D280" s="56">
        <v>25.4</v>
      </c>
      <c r="E280" s="56">
        <v>2227.6</v>
      </c>
      <c r="F280" s="56"/>
      <c r="G280" s="56"/>
      <c r="H280" s="56">
        <v>0</v>
      </c>
      <c r="I280" s="56"/>
      <c r="J280" s="56">
        <v>5.5</v>
      </c>
      <c r="K280" s="56"/>
      <c r="L280" s="56">
        <v>-5.5</v>
      </c>
      <c r="M280" s="56"/>
      <c r="N280" s="56">
        <v>250</v>
      </c>
      <c r="O280" s="56">
        <v>1.1499999999999999</v>
      </c>
      <c r="P280" s="56">
        <v>6.3249999999999993</v>
      </c>
      <c r="Q280" s="56">
        <v>-6.3249999999999993</v>
      </c>
      <c r="R280" s="56">
        <v>91.744999999999948</v>
      </c>
      <c r="S280" s="56"/>
      <c r="T280" s="56">
        <v>2621.4</v>
      </c>
      <c r="U280" s="56"/>
      <c r="V280" s="56">
        <v>166817.59999999998</v>
      </c>
      <c r="W280" s="56"/>
      <c r="X280" s="56"/>
      <c r="Y280" s="56">
        <v>14.569438603832905</v>
      </c>
    </row>
    <row r="281" spans="1:25" x14ac:dyDescent="0.35">
      <c r="A281" s="58">
        <v>43228</v>
      </c>
      <c r="B281" s="56">
        <v>18.7</v>
      </c>
      <c r="C281" s="56">
        <v>12.3</v>
      </c>
      <c r="D281" s="56">
        <v>25.2</v>
      </c>
      <c r="E281" s="56">
        <v>2246.2999999999997</v>
      </c>
      <c r="F281" s="56"/>
      <c r="G281" s="56"/>
      <c r="H281" s="56">
        <v>0</v>
      </c>
      <c r="I281" s="56"/>
      <c r="J281" s="56">
        <v>4.5</v>
      </c>
      <c r="K281" s="56"/>
      <c r="L281" s="56">
        <v>-4.5</v>
      </c>
      <c r="M281" s="56"/>
      <c r="N281" s="56">
        <v>251</v>
      </c>
      <c r="O281" s="56">
        <v>1.1499999999999999</v>
      </c>
      <c r="P281" s="56">
        <v>5.1749999999999998</v>
      </c>
      <c r="Q281" s="56">
        <v>-5.1749999999999998</v>
      </c>
      <c r="R281" s="56">
        <v>86.569999999999951</v>
      </c>
      <c r="S281" s="56"/>
      <c r="T281" s="56">
        <v>2394.1</v>
      </c>
      <c r="U281" s="56"/>
      <c r="V281" s="56">
        <v>169211.69999999998</v>
      </c>
      <c r="W281" s="56"/>
      <c r="X281" s="56"/>
      <c r="Y281" s="56">
        <v>14.617200685517016</v>
      </c>
    </row>
    <row r="282" spans="1:25" x14ac:dyDescent="0.35">
      <c r="A282" s="58">
        <v>43229</v>
      </c>
      <c r="B282" s="56">
        <v>15.3</v>
      </c>
      <c r="C282" s="56">
        <v>12</v>
      </c>
      <c r="D282" s="56">
        <v>18.100000000000001</v>
      </c>
      <c r="E282" s="56">
        <v>2261.6</v>
      </c>
      <c r="F282" s="56"/>
      <c r="G282" s="56"/>
      <c r="H282" s="56">
        <v>0</v>
      </c>
      <c r="I282" s="56"/>
      <c r="J282" s="56">
        <v>1.6</v>
      </c>
      <c r="K282" s="56"/>
      <c r="L282" s="56">
        <v>-1.6</v>
      </c>
      <c r="M282" s="56"/>
      <c r="N282" s="56">
        <v>252</v>
      </c>
      <c r="O282" s="56">
        <v>1.1499999999999999</v>
      </c>
      <c r="P282" s="56">
        <v>1.8399999999999999</v>
      </c>
      <c r="Q282" s="56">
        <v>-1.8399999999999999</v>
      </c>
      <c r="R282" s="56">
        <v>84.729999999999947</v>
      </c>
      <c r="S282" s="56"/>
      <c r="T282" s="56">
        <v>778.5</v>
      </c>
      <c r="U282" s="56"/>
      <c r="V282" s="56">
        <v>169990.19999999998</v>
      </c>
      <c r="W282" s="56"/>
      <c r="X282" s="56"/>
      <c r="Y282" s="56">
        <v>14.664352129813057</v>
      </c>
    </row>
    <row r="283" spans="1:25" x14ac:dyDescent="0.35">
      <c r="A283" s="58">
        <v>43230</v>
      </c>
      <c r="B283" s="56">
        <v>13</v>
      </c>
      <c r="C283" s="56">
        <v>10.7</v>
      </c>
      <c r="D283" s="56">
        <v>16.5</v>
      </c>
      <c r="E283" s="56">
        <v>2274.6</v>
      </c>
      <c r="F283" s="56"/>
      <c r="G283" s="56"/>
      <c r="H283" s="56">
        <v>0</v>
      </c>
      <c r="I283" s="56"/>
      <c r="J283" s="56">
        <v>3</v>
      </c>
      <c r="K283" s="56"/>
      <c r="L283" s="56">
        <v>-3</v>
      </c>
      <c r="M283" s="56"/>
      <c r="N283" s="56">
        <v>253</v>
      </c>
      <c r="O283" s="56">
        <v>1.1499999999999999</v>
      </c>
      <c r="P283" s="56">
        <v>3.4499999999999997</v>
      </c>
      <c r="Q283" s="56">
        <v>-3.4499999999999997</v>
      </c>
      <c r="R283" s="56">
        <v>81.279999999999944</v>
      </c>
      <c r="S283" s="56"/>
      <c r="T283" s="56">
        <v>1547.1</v>
      </c>
      <c r="U283" s="56"/>
      <c r="V283" s="56">
        <v>171537.3</v>
      </c>
      <c r="W283" s="56"/>
      <c r="X283" s="56"/>
      <c r="Y283" s="56">
        <v>14.710871726952716</v>
      </c>
    </row>
    <row r="284" spans="1:25" x14ac:dyDescent="0.35">
      <c r="A284" s="58">
        <v>43231</v>
      </c>
      <c r="B284" s="56">
        <v>14.1</v>
      </c>
      <c r="C284" s="56">
        <v>7.8</v>
      </c>
      <c r="D284" s="56">
        <v>20</v>
      </c>
      <c r="E284" s="56">
        <v>2288.6999999999998</v>
      </c>
      <c r="F284" s="56"/>
      <c r="G284" s="56"/>
      <c r="H284" s="56">
        <v>0</v>
      </c>
      <c r="I284" s="56"/>
      <c r="J284" s="56">
        <v>4.5999999999999996</v>
      </c>
      <c r="K284" s="56"/>
      <c r="L284" s="56">
        <v>-4.5999999999999996</v>
      </c>
      <c r="M284" s="56"/>
      <c r="N284" s="56">
        <v>254</v>
      </c>
      <c r="O284" s="56">
        <v>1.1499999999999999</v>
      </c>
      <c r="P284" s="56">
        <v>5.2899999999999991</v>
      </c>
      <c r="Q284" s="56">
        <v>-5.2899999999999991</v>
      </c>
      <c r="R284" s="56">
        <v>75.989999999999952</v>
      </c>
      <c r="S284" s="56"/>
      <c r="T284" s="56">
        <v>2762.7</v>
      </c>
      <c r="U284" s="56"/>
      <c r="V284" s="56">
        <v>174300</v>
      </c>
      <c r="W284" s="56"/>
      <c r="X284" s="56"/>
      <c r="Y284" s="56">
        <v>14.756737948017696</v>
      </c>
    </row>
    <row r="285" spans="1:25" x14ac:dyDescent="0.35">
      <c r="A285" s="58">
        <v>43232</v>
      </c>
      <c r="B285" s="56">
        <v>11.5</v>
      </c>
      <c r="C285" s="56">
        <v>9.5</v>
      </c>
      <c r="D285" s="56">
        <v>15.1</v>
      </c>
      <c r="E285" s="56">
        <v>2300.1999999999998</v>
      </c>
      <c r="F285" s="56"/>
      <c r="G285" s="56"/>
      <c r="H285" s="56">
        <v>11.7</v>
      </c>
      <c r="I285" s="56"/>
      <c r="J285" s="56">
        <v>1.7</v>
      </c>
      <c r="K285" s="56"/>
      <c r="L285" s="56">
        <v>10</v>
      </c>
      <c r="M285" s="56"/>
      <c r="N285" s="56">
        <v>255</v>
      </c>
      <c r="O285" s="56">
        <v>1.1499999999999999</v>
      </c>
      <c r="P285" s="56">
        <v>1.9549999999999998</v>
      </c>
      <c r="Q285" s="56">
        <v>9.7449999999999992</v>
      </c>
      <c r="R285" s="56">
        <v>85.734999999999957</v>
      </c>
      <c r="S285" s="56"/>
      <c r="T285" s="56">
        <v>1012.1</v>
      </c>
      <c r="U285" s="56"/>
      <c r="V285" s="56">
        <v>175312.1</v>
      </c>
      <c r="W285" s="56"/>
      <c r="X285" s="56"/>
      <c r="Y285" s="56">
        <v>14.801928963183173</v>
      </c>
    </row>
    <row r="286" spans="1:25" x14ac:dyDescent="0.35">
      <c r="A286" s="58">
        <v>43233</v>
      </c>
      <c r="B286" s="56">
        <v>11.7</v>
      </c>
      <c r="C286" s="56">
        <v>7.9</v>
      </c>
      <c r="D286" s="56">
        <v>14.8</v>
      </c>
      <c r="E286" s="56">
        <v>2311.8999999999996</v>
      </c>
      <c r="F286" s="56"/>
      <c r="G286" s="56"/>
      <c r="H286" s="56">
        <v>0</v>
      </c>
      <c r="I286" s="56"/>
      <c r="J286" s="56">
        <v>2.5</v>
      </c>
      <c r="K286" s="56"/>
      <c r="L286" s="56">
        <v>-2.5</v>
      </c>
      <c r="M286" s="56"/>
      <c r="N286" s="56">
        <v>256</v>
      </c>
      <c r="O286" s="56">
        <v>1.1499999999999999</v>
      </c>
      <c r="P286" s="56">
        <v>2.875</v>
      </c>
      <c r="Q286" s="56">
        <v>-2.875</v>
      </c>
      <c r="R286" s="56">
        <v>82.859999999999957</v>
      </c>
      <c r="S286" s="56"/>
      <c r="T286" s="56">
        <v>1707.6</v>
      </c>
      <c r="U286" s="56"/>
      <c r="V286" s="56">
        <v>177019.7</v>
      </c>
      <c r="W286" s="56"/>
      <c r="X286" s="56"/>
      <c r="Y286" s="56">
        <v>14.846422661896899</v>
      </c>
    </row>
    <row r="287" spans="1:25" x14ac:dyDescent="0.35">
      <c r="A287" s="58">
        <v>43234</v>
      </c>
      <c r="B287" s="56">
        <v>11.6</v>
      </c>
      <c r="C287" s="56">
        <v>9.6999999999999993</v>
      </c>
      <c r="D287" s="56">
        <v>13.5</v>
      </c>
      <c r="E287" s="56">
        <v>2323.4999999999995</v>
      </c>
      <c r="F287" s="56"/>
      <c r="G287" s="56"/>
      <c r="H287" s="56">
        <v>6.7</v>
      </c>
      <c r="I287" s="56"/>
      <c r="J287" s="56">
        <v>1.4</v>
      </c>
      <c r="K287" s="56"/>
      <c r="L287" s="56">
        <v>5.3000000000000007</v>
      </c>
      <c r="M287" s="56"/>
      <c r="N287" s="56">
        <v>257</v>
      </c>
      <c r="O287" s="56">
        <v>1.1499999999999999</v>
      </c>
      <c r="P287" s="56">
        <v>1.6099999999999999</v>
      </c>
      <c r="Q287" s="56">
        <v>5.09</v>
      </c>
      <c r="R287" s="56">
        <v>87.94999999999996</v>
      </c>
      <c r="S287" s="56"/>
      <c r="T287" s="56">
        <v>636.4</v>
      </c>
      <c r="U287" s="56"/>
      <c r="V287" s="56">
        <v>177656.1</v>
      </c>
      <c r="W287" s="56"/>
      <c r="X287" s="56"/>
      <c r="Y287" s="56">
        <v>14.890196675031927</v>
      </c>
    </row>
    <row r="288" spans="1:25" x14ac:dyDescent="0.35">
      <c r="A288" s="58">
        <v>43235</v>
      </c>
      <c r="B288" s="56">
        <v>15.5</v>
      </c>
      <c r="C288" s="56">
        <v>10</v>
      </c>
      <c r="D288" s="56">
        <v>20.5</v>
      </c>
      <c r="E288" s="56">
        <v>2338.9999999999995</v>
      </c>
      <c r="F288" s="56"/>
      <c r="G288" s="56"/>
      <c r="H288" s="56">
        <v>0</v>
      </c>
      <c r="I288" s="56"/>
      <c r="J288" s="56">
        <v>3</v>
      </c>
      <c r="K288" s="56"/>
      <c r="L288" s="56">
        <v>-3</v>
      </c>
      <c r="M288" s="56"/>
      <c r="N288" s="56">
        <v>258</v>
      </c>
      <c r="O288" s="56">
        <v>1.1499999999999999</v>
      </c>
      <c r="P288" s="56">
        <v>3.4499999999999997</v>
      </c>
      <c r="Q288" s="56">
        <v>-3.4499999999999997</v>
      </c>
      <c r="R288" s="56">
        <v>84.499999999999957</v>
      </c>
      <c r="S288" s="56"/>
      <c r="T288" s="56">
        <v>1902.4</v>
      </c>
      <c r="U288" s="56"/>
      <c r="V288" s="56">
        <v>179558.5</v>
      </c>
      <c r="W288" s="56"/>
      <c r="X288" s="56"/>
      <c r="Y288" s="56">
        <v>14.933228399043617</v>
      </c>
    </row>
    <row r="289" spans="1:25" x14ac:dyDescent="0.35">
      <c r="A289" s="58">
        <v>43236</v>
      </c>
      <c r="B289" s="56">
        <v>15.2</v>
      </c>
      <c r="C289" s="56">
        <v>10.199999999999999</v>
      </c>
      <c r="D289" s="56">
        <v>21.2</v>
      </c>
      <c r="E289" s="56">
        <v>2354.1999999999994</v>
      </c>
      <c r="F289" s="56"/>
      <c r="G289" s="56"/>
      <c r="H289" s="56">
        <v>0.7</v>
      </c>
      <c r="I289" s="56"/>
      <c r="J289" s="56">
        <v>4</v>
      </c>
      <c r="K289" s="56"/>
      <c r="L289" s="56">
        <v>-3.3</v>
      </c>
      <c r="M289" s="56"/>
      <c r="N289" s="56">
        <v>259</v>
      </c>
      <c r="O289" s="56">
        <v>1.1499999999999999</v>
      </c>
      <c r="P289" s="56">
        <v>4.5999999999999996</v>
      </c>
      <c r="Q289" s="56">
        <v>-3.8999999999999995</v>
      </c>
      <c r="R289" s="56">
        <v>80.599999999999952</v>
      </c>
      <c r="S289" s="56"/>
      <c r="T289" s="56">
        <v>2340.8000000000002</v>
      </c>
      <c r="U289" s="56"/>
      <c r="V289" s="56">
        <v>181899.3</v>
      </c>
      <c r="W289" s="56"/>
      <c r="X289" s="56"/>
      <c r="Y289" s="56">
        <v>14.975495022153746</v>
      </c>
    </row>
    <row r="290" spans="1:25" x14ac:dyDescent="0.35">
      <c r="A290" s="58">
        <v>43237</v>
      </c>
      <c r="B290" s="56">
        <v>13.5</v>
      </c>
      <c r="C290" s="56">
        <v>10.8</v>
      </c>
      <c r="D290" s="56">
        <v>18.5</v>
      </c>
      <c r="E290" s="56">
        <v>2367.6999999999994</v>
      </c>
      <c r="F290" s="56"/>
      <c r="G290" s="56"/>
      <c r="H290" s="56">
        <v>0</v>
      </c>
      <c r="I290" s="56"/>
      <c r="J290" s="56">
        <v>2.7</v>
      </c>
      <c r="K290" s="56"/>
      <c r="L290" s="56">
        <v>-2.7</v>
      </c>
      <c r="M290" s="56"/>
      <c r="N290" s="56">
        <v>260</v>
      </c>
      <c r="O290" s="56">
        <v>1.1346153846153846</v>
      </c>
      <c r="P290" s="56">
        <v>3.0634615384615387</v>
      </c>
      <c r="Q290" s="56">
        <v>-3.0634615384615387</v>
      </c>
      <c r="R290" s="56">
        <v>77.536538461538413</v>
      </c>
      <c r="S290" s="56"/>
      <c r="T290" s="56">
        <v>1383.8</v>
      </c>
      <c r="U290" s="56"/>
      <c r="V290" s="56">
        <v>183283.09999999998</v>
      </c>
      <c r="W290" s="56"/>
      <c r="X290" s="56"/>
      <c r="Y290" s="56">
        <v>15.016973552575397</v>
      </c>
    </row>
    <row r="291" spans="1:25" x14ac:dyDescent="0.35">
      <c r="A291" s="58">
        <v>43238</v>
      </c>
      <c r="B291" s="56">
        <v>13.2</v>
      </c>
      <c r="C291" s="56">
        <v>8.3000000000000007</v>
      </c>
      <c r="D291" s="56">
        <v>17.7</v>
      </c>
      <c r="E291" s="56">
        <v>2380.8999999999992</v>
      </c>
      <c r="F291" s="56"/>
      <c r="G291" s="56"/>
      <c r="H291" s="56">
        <v>0</v>
      </c>
      <c r="I291" s="56"/>
      <c r="J291" s="56">
        <v>4.4000000000000004</v>
      </c>
      <c r="K291" s="56"/>
      <c r="L291" s="56">
        <v>-4.4000000000000004</v>
      </c>
      <c r="M291" s="56"/>
      <c r="N291" s="56">
        <v>261</v>
      </c>
      <c r="O291" s="56">
        <v>1.1192307692307693</v>
      </c>
      <c r="P291" s="56">
        <v>4.9246153846153851</v>
      </c>
      <c r="Q291" s="56">
        <v>-4.9246153846153851</v>
      </c>
      <c r="R291" s="56">
        <v>72.611923076923034</v>
      </c>
      <c r="S291" s="56"/>
      <c r="T291" s="56">
        <v>2979.2</v>
      </c>
      <c r="U291" s="56"/>
      <c r="V291" s="56">
        <v>186262.3</v>
      </c>
      <c r="W291" s="56"/>
      <c r="X291" s="56"/>
      <c r="Y291" s="56">
        <v>15.05764084878256</v>
      </c>
    </row>
    <row r="292" spans="1:25" x14ac:dyDescent="0.35">
      <c r="A292" s="58">
        <v>43239</v>
      </c>
      <c r="B292" s="56">
        <v>13.8</v>
      </c>
      <c r="C292" s="56">
        <v>8.6999999999999993</v>
      </c>
      <c r="D292" s="56">
        <v>18.600000000000001</v>
      </c>
      <c r="E292" s="56">
        <v>2394.6999999999994</v>
      </c>
      <c r="F292" s="56"/>
      <c r="G292" s="56"/>
      <c r="H292" s="56">
        <v>0</v>
      </c>
      <c r="I292" s="56"/>
      <c r="J292" s="56">
        <v>4.5</v>
      </c>
      <c r="K292" s="56"/>
      <c r="L292" s="56">
        <v>-4.5</v>
      </c>
      <c r="M292" s="56"/>
      <c r="N292" s="56">
        <v>262</v>
      </c>
      <c r="O292" s="56">
        <v>1.1038461538461537</v>
      </c>
      <c r="P292" s="56">
        <v>4.967307692307692</v>
      </c>
      <c r="Q292" s="56">
        <v>-4.967307692307692</v>
      </c>
      <c r="R292" s="56">
        <v>67.644615384615349</v>
      </c>
      <c r="S292" s="56"/>
      <c r="T292" s="56">
        <v>2887</v>
      </c>
      <c r="U292" s="56"/>
      <c r="V292" s="56">
        <v>189149.3</v>
      </c>
      <c r="W292" s="56"/>
      <c r="X292" s="56"/>
      <c r="Y292" s="56">
        <v>15.097473651817451</v>
      </c>
    </row>
    <row r="293" spans="1:25" x14ac:dyDescent="0.35">
      <c r="A293" s="58">
        <v>43240</v>
      </c>
      <c r="B293" s="56">
        <v>15.6</v>
      </c>
      <c r="C293" s="56">
        <v>8.9</v>
      </c>
      <c r="D293" s="56">
        <v>21.3</v>
      </c>
      <c r="E293" s="56">
        <v>2410.2999999999993</v>
      </c>
      <c r="F293" s="56"/>
      <c r="G293" s="56"/>
      <c r="H293" s="56">
        <v>0</v>
      </c>
      <c r="I293" s="56"/>
      <c r="J293" s="56">
        <v>4.4000000000000004</v>
      </c>
      <c r="K293" s="56"/>
      <c r="L293" s="56">
        <v>-4.4000000000000004</v>
      </c>
      <c r="M293" s="56"/>
      <c r="N293" s="56">
        <v>263</v>
      </c>
      <c r="O293" s="56">
        <v>1.0884615384615384</v>
      </c>
      <c r="P293" s="56">
        <v>4.7892307692307696</v>
      </c>
      <c r="Q293" s="56">
        <v>-4.7892307692307696</v>
      </c>
      <c r="R293" s="56">
        <v>62.85538461538458</v>
      </c>
      <c r="S293" s="56"/>
      <c r="T293" s="56">
        <v>2649.4</v>
      </c>
      <c r="U293" s="56"/>
      <c r="V293" s="56">
        <v>191798.69999999998</v>
      </c>
      <c r="W293" s="56"/>
      <c r="X293" s="56"/>
      <c r="Y293" s="56">
        <v>15.136448619616839</v>
      </c>
    </row>
    <row r="294" spans="1:25" x14ac:dyDescent="0.35">
      <c r="A294" s="58">
        <v>43241</v>
      </c>
      <c r="B294" s="56">
        <v>17.2</v>
      </c>
      <c r="C294" s="56">
        <v>12.1</v>
      </c>
      <c r="D294" s="56">
        <v>22.6</v>
      </c>
      <c r="E294" s="56">
        <v>2427.4999999999991</v>
      </c>
      <c r="F294" s="56"/>
      <c r="G294" s="56"/>
      <c r="H294" s="56">
        <v>0</v>
      </c>
      <c r="I294" s="56"/>
      <c r="J294" s="56">
        <v>4.2</v>
      </c>
      <c r="K294" s="56"/>
      <c r="L294" s="56">
        <v>-4.2</v>
      </c>
      <c r="M294" s="56"/>
      <c r="N294" s="56">
        <v>264</v>
      </c>
      <c r="O294" s="56">
        <v>1.073076923076923</v>
      </c>
      <c r="P294" s="56">
        <v>4.5069230769230773</v>
      </c>
      <c r="Q294" s="56">
        <v>-4.5069230769230773</v>
      </c>
      <c r="R294" s="56">
        <v>58.3484615384615</v>
      </c>
      <c r="S294" s="56"/>
      <c r="T294" s="56">
        <v>2525.4</v>
      </c>
      <c r="U294" s="56"/>
      <c r="V294" s="56">
        <v>194324.09999999998</v>
      </c>
      <c r="W294" s="56"/>
      <c r="X294" s="56"/>
      <c r="Y294" s="56">
        <v>15.174542363326063</v>
      </c>
    </row>
    <row r="295" spans="1:25" x14ac:dyDescent="0.35">
      <c r="A295" s="58">
        <v>43242</v>
      </c>
      <c r="B295" s="56">
        <v>16.399999999999999</v>
      </c>
      <c r="C295" s="56">
        <v>11.6</v>
      </c>
      <c r="D295" s="56">
        <v>22</v>
      </c>
      <c r="E295" s="56">
        <v>2443.8999999999992</v>
      </c>
      <c r="F295" s="56"/>
      <c r="G295" s="56"/>
      <c r="H295" s="56">
        <v>4.3</v>
      </c>
      <c r="I295" s="56"/>
      <c r="J295" s="56">
        <v>3.4</v>
      </c>
      <c r="K295" s="56"/>
      <c r="L295" s="56">
        <v>0.89999999999999991</v>
      </c>
      <c r="M295" s="56"/>
      <c r="N295" s="56">
        <v>265</v>
      </c>
      <c r="O295" s="56">
        <v>1.0576923076923077</v>
      </c>
      <c r="P295" s="56">
        <v>3.5961538461538463</v>
      </c>
      <c r="Q295" s="56">
        <v>0.70384615384615357</v>
      </c>
      <c r="R295" s="56">
        <v>59.05230769230765</v>
      </c>
      <c r="S295" s="56"/>
      <c r="T295" s="56">
        <v>2070.9</v>
      </c>
      <c r="U295" s="56"/>
      <c r="V295" s="56">
        <v>196394.99999999997</v>
      </c>
      <c r="W295" s="56"/>
      <c r="X295" s="56"/>
      <c r="Y295" s="56">
        <v>15.211731485555902</v>
      </c>
    </row>
    <row r="296" spans="1:25" x14ac:dyDescent="0.35">
      <c r="A296" s="58">
        <v>43243</v>
      </c>
      <c r="B296" s="56">
        <v>16.2</v>
      </c>
      <c r="C296" s="56">
        <v>11.7</v>
      </c>
      <c r="D296" s="56">
        <v>20.6</v>
      </c>
      <c r="E296" s="56">
        <v>2460.099999999999</v>
      </c>
      <c r="F296" s="56"/>
      <c r="G296" s="56"/>
      <c r="H296" s="56">
        <v>0.1</v>
      </c>
      <c r="I296" s="56"/>
      <c r="J296" s="56">
        <v>2.7</v>
      </c>
      <c r="K296" s="56"/>
      <c r="L296" s="56">
        <v>-2.6</v>
      </c>
      <c r="M296" s="56"/>
      <c r="N296" s="56">
        <v>266</v>
      </c>
      <c r="O296" s="56">
        <v>1.0423076923076922</v>
      </c>
      <c r="P296" s="56">
        <v>2.8142307692307691</v>
      </c>
      <c r="Q296" s="56">
        <v>-2.714230769230769</v>
      </c>
      <c r="R296" s="56">
        <v>56.338076923076883</v>
      </c>
      <c r="S296" s="56"/>
      <c r="T296" s="56">
        <v>1682.7</v>
      </c>
      <c r="U296" s="56"/>
      <c r="V296" s="56">
        <v>198077.69999999998</v>
      </c>
      <c r="W296" s="56"/>
      <c r="X296" s="56"/>
      <c r="Y296" s="56">
        <v>15.247992620523203</v>
      </c>
    </row>
    <row r="297" spans="1:25" x14ac:dyDescent="0.35">
      <c r="A297" s="58">
        <v>43244</v>
      </c>
      <c r="B297" s="56">
        <v>18.7</v>
      </c>
      <c r="C297" s="56">
        <v>12.9</v>
      </c>
      <c r="D297" s="56">
        <v>23.6</v>
      </c>
      <c r="E297" s="56">
        <v>2478.7999999999988</v>
      </c>
      <c r="F297" s="56"/>
      <c r="G297" s="56"/>
      <c r="H297" s="56">
        <v>0</v>
      </c>
      <c r="I297" s="56"/>
      <c r="J297" s="56">
        <v>2.5</v>
      </c>
      <c r="K297" s="56"/>
      <c r="L297" s="56">
        <v>-2.5</v>
      </c>
      <c r="M297" s="56"/>
      <c r="N297" s="56">
        <v>267</v>
      </c>
      <c r="O297" s="56">
        <v>1.0269230769230768</v>
      </c>
      <c r="P297" s="56">
        <v>2.5673076923076921</v>
      </c>
      <c r="Q297" s="56">
        <v>-2.5673076923076921</v>
      </c>
      <c r="R297" s="56">
        <v>53.77076923076919</v>
      </c>
      <c r="S297" s="56"/>
      <c r="T297" s="56">
        <v>1338</v>
      </c>
      <c r="U297" s="56"/>
      <c r="V297" s="56">
        <v>199415.69999999998</v>
      </c>
      <c r="W297" s="56"/>
      <c r="X297" s="56"/>
      <c r="Y297" s="56">
        <v>15.283302476001227</v>
      </c>
    </row>
    <row r="298" spans="1:25" x14ac:dyDescent="0.35">
      <c r="A298" s="58">
        <v>43245</v>
      </c>
      <c r="B298" s="56">
        <v>18.8</v>
      </c>
      <c r="C298" s="56">
        <v>14.7</v>
      </c>
      <c r="D298" s="56">
        <v>25.2</v>
      </c>
      <c r="E298" s="56">
        <v>2497.599999999999</v>
      </c>
      <c r="F298" s="56"/>
      <c r="G298" s="56"/>
      <c r="H298" s="56">
        <v>4.0999999999999996</v>
      </c>
      <c r="I298" s="56"/>
      <c r="J298" s="56">
        <v>2.7</v>
      </c>
      <c r="K298" s="56"/>
      <c r="L298" s="56">
        <v>1.3999999999999995</v>
      </c>
      <c r="M298" s="56"/>
      <c r="N298" s="56">
        <v>268</v>
      </c>
      <c r="O298" s="56">
        <v>1.0115384615384615</v>
      </c>
      <c r="P298" s="56">
        <v>2.731153846153846</v>
      </c>
      <c r="Q298" s="56">
        <v>1.3688461538461536</v>
      </c>
      <c r="R298" s="56">
        <v>55.139615384615347</v>
      </c>
      <c r="S298" s="56"/>
      <c r="T298" s="56">
        <v>1297.0999999999999</v>
      </c>
      <c r="U298" s="56"/>
      <c r="V298" s="56">
        <v>200712.8</v>
      </c>
      <c r="W298" s="56"/>
      <c r="X298" s="56"/>
      <c r="Y298" s="56">
        <v>15.317637876990018</v>
      </c>
    </row>
    <row r="299" spans="1:25" x14ac:dyDescent="0.35">
      <c r="A299" s="58">
        <v>43246</v>
      </c>
      <c r="B299" s="56">
        <v>19.100000000000001</v>
      </c>
      <c r="C299" s="56">
        <v>15.8</v>
      </c>
      <c r="D299" s="56">
        <v>26.2</v>
      </c>
      <c r="E299" s="56">
        <v>2516.6999999999989</v>
      </c>
      <c r="F299" s="56"/>
      <c r="G299" s="56"/>
      <c r="H299" s="56">
        <v>3.8</v>
      </c>
      <c r="I299" s="56"/>
      <c r="J299" s="56">
        <v>3.9</v>
      </c>
      <c r="K299" s="56"/>
      <c r="L299" s="56">
        <v>-0.10000000000000009</v>
      </c>
      <c r="M299" s="56"/>
      <c r="N299" s="56">
        <v>269</v>
      </c>
      <c r="O299" s="56">
        <v>0.99615384615384606</v>
      </c>
      <c r="P299" s="56">
        <v>3.8849999999999993</v>
      </c>
      <c r="Q299" s="56">
        <v>-8.499999999999952E-2</v>
      </c>
      <c r="R299" s="56">
        <v>55.054615384615346</v>
      </c>
      <c r="S299" s="56"/>
      <c r="T299" s="56">
        <v>1405.9</v>
      </c>
      <c r="U299" s="56"/>
      <c r="V299" s="56">
        <v>202118.69999999998</v>
      </c>
      <c r="W299" s="56"/>
      <c r="X299" s="56"/>
      <c r="Y299" s="56">
        <v>15.350975811001076</v>
      </c>
    </row>
    <row r="300" spans="1:25" x14ac:dyDescent="0.35">
      <c r="A300" s="58">
        <v>43247</v>
      </c>
      <c r="B300" s="56">
        <v>20.399999999999999</v>
      </c>
      <c r="C300" s="56">
        <v>15.7</v>
      </c>
      <c r="D300" s="56">
        <v>25</v>
      </c>
      <c r="E300" s="56">
        <v>2537.099999999999</v>
      </c>
      <c r="F300" s="56"/>
      <c r="G300" s="56"/>
      <c r="H300" s="56">
        <v>0.1</v>
      </c>
      <c r="I300" s="56"/>
      <c r="J300" s="56">
        <v>4.0999999999999996</v>
      </c>
      <c r="K300" s="56"/>
      <c r="L300" s="56">
        <v>-3.9999999999999996</v>
      </c>
      <c r="M300" s="56"/>
      <c r="N300" s="56">
        <v>270</v>
      </c>
      <c r="O300" s="56">
        <v>0.98076923076923073</v>
      </c>
      <c r="P300" s="56">
        <v>4.0211538461538456</v>
      </c>
      <c r="Q300" s="56">
        <v>-3.9211538461538455</v>
      </c>
      <c r="R300" s="56">
        <v>51.133461538461503</v>
      </c>
      <c r="S300" s="56"/>
      <c r="T300" s="56">
        <v>2128.8000000000002</v>
      </c>
      <c r="U300" s="56"/>
      <c r="V300" s="56">
        <v>204247.49999999997</v>
      </c>
      <c r="W300" s="56"/>
      <c r="X300" s="56"/>
      <c r="Y300" s="56">
        <v>15.383293474834074</v>
      </c>
    </row>
    <row r="301" spans="1:25" x14ac:dyDescent="0.35">
      <c r="A301" s="58">
        <v>43248</v>
      </c>
      <c r="B301" s="56">
        <v>19</v>
      </c>
      <c r="C301" s="56">
        <v>16.2</v>
      </c>
      <c r="D301" s="56">
        <v>21.6</v>
      </c>
      <c r="E301" s="56">
        <v>2556.099999999999</v>
      </c>
      <c r="F301" s="56"/>
      <c r="G301" s="56"/>
      <c r="H301" s="56">
        <v>0.2</v>
      </c>
      <c r="I301" s="56"/>
      <c r="J301" s="56">
        <v>1.5</v>
      </c>
      <c r="K301" s="56"/>
      <c r="L301" s="56">
        <v>-1.3</v>
      </c>
      <c r="M301" s="56"/>
      <c r="N301" s="56">
        <v>271</v>
      </c>
      <c r="O301" s="56">
        <v>0.96538461538461529</v>
      </c>
      <c r="P301" s="56">
        <v>1.4480769230769228</v>
      </c>
      <c r="Q301" s="56">
        <v>-1.2480769230769229</v>
      </c>
      <c r="R301" s="56">
        <v>49.885384615384581</v>
      </c>
      <c r="S301" s="56"/>
      <c r="T301" s="56">
        <v>1174.7</v>
      </c>
      <c r="U301" s="56"/>
      <c r="V301" s="56">
        <v>205422.19999999998</v>
      </c>
      <c r="W301" s="56"/>
      <c r="X301" s="56"/>
      <c r="Y301" s="56">
        <v>15.41456832270678</v>
      </c>
    </row>
    <row r="302" spans="1:25" x14ac:dyDescent="0.35">
      <c r="A302" s="58">
        <v>43249</v>
      </c>
      <c r="B302" s="56">
        <v>17.899999999999999</v>
      </c>
      <c r="C302" s="56">
        <v>15.6</v>
      </c>
      <c r="D302" s="56">
        <v>22.2</v>
      </c>
      <c r="E302" s="56">
        <v>2573.9999999999991</v>
      </c>
      <c r="F302" s="56"/>
      <c r="G302" s="56"/>
      <c r="H302" s="56">
        <v>10.4</v>
      </c>
      <c r="I302" s="56"/>
      <c r="J302" s="56">
        <v>3.5</v>
      </c>
      <c r="K302" s="56"/>
      <c r="L302" s="56">
        <v>6.9</v>
      </c>
      <c r="M302" s="56"/>
      <c r="N302" s="56">
        <v>272</v>
      </c>
      <c r="O302" s="56">
        <v>0.95</v>
      </c>
      <c r="P302" s="56">
        <v>3.3249999999999997</v>
      </c>
      <c r="Q302" s="56">
        <v>7.0750000000000011</v>
      </c>
      <c r="R302" s="56">
        <v>56.960384615384584</v>
      </c>
      <c r="S302" s="56"/>
      <c r="T302" s="56">
        <v>1970.6</v>
      </c>
      <c r="U302" s="56"/>
      <c r="V302" s="56">
        <v>207392.8</v>
      </c>
      <c r="W302" s="56"/>
      <c r="X302" s="56"/>
      <c r="Y302" s="56">
        <v>15.444778115582508</v>
      </c>
    </row>
    <row r="303" spans="1:25" x14ac:dyDescent="0.35">
      <c r="A303" s="58">
        <v>43250</v>
      </c>
      <c r="B303" s="56">
        <v>18.5</v>
      </c>
      <c r="C303" s="56">
        <v>15.2</v>
      </c>
      <c r="D303" s="56">
        <v>23.2</v>
      </c>
      <c r="E303" s="56">
        <v>2592.4999999999991</v>
      </c>
      <c r="F303" s="56"/>
      <c r="G303" s="56"/>
      <c r="H303" s="56">
        <v>1.5</v>
      </c>
      <c r="I303" s="56"/>
      <c r="J303" s="56">
        <v>2.4</v>
      </c>
      <c r="K303" s="56"/>
      <c r="L303" s="56">
        <v>-0.89999999999999991</v>
      </c>
      <c r="M303" s="56"/>
      <c r="N303" s="56">
        <v>273</v>
      </c>
      <c r="O303" s="56">
        <v>0.93461538461538451</v>
      </c>
      <c r="P303" s="56">
        <v>2.2430769230769227</v>
      </c>
      <c r="Q303" s="56">
        <v>-0.74307692307692275</v>
      </c>
      <c r="R303" s="56">
        <v>56.217307692307664</v>
      </c>
      <c r="S303" s="56"/>
      <c r="T303" s="56">
        <v>1102.8</v>
      </c>
      <c r="U303" s="56"/>
      <c r="V303" s="56">
        <v>208495.59999999998</v>
      </c>
      <c r="W303" s="56"/>
      <c r="X303" s="56"/>
      <c r="Y303" s="56">
        <v>15.473900971522902</v>
      </c>
    </row>
    <row r="304" spans="1:25" x14ac:dyDescent="0.35">
      <c r="A304" s="58">
        <v>43251</v>
      </c>
      <c r="B304" s="56">
        <v>18.5</v>
      </c>
      <c r="C304" s="56">
        <v>16.3</v>
      </c>
      <c r="D304" s="56">
        <v>21.5</v>
      </c>
      <c r="E304" s="56">
        <v>2610.9999999999991</v>
      </c>
      <c r="F304" s="56"/>
      <c r="G304" s="56"/>
      <c r="H304" s="56">
        <v>0.2</v>
      </c>
      <c r="I304" s="56"/>
      <c r="J304" s="56">
        <v>3.1</v>
      </c>
      <c r="K304" s="56"/>
      <c r="L304" s="56">
        <v>-2.9</v>
      </c>
      <c r="M304" s="56"/>
      <c r="N304" s="56">
        <v>274</v>
      </c>
      <c r="O304" s="56">
        <v>0.91923076923076918</v>
      </c>
      <c r="P304" s="56">
        <v>2.8496153846153844</v>
      </c>
      <c r="Q304" s="56">
        <v>-2.6496153846153843</v>
      </c>
      <c r="R304" s="56">
        <v>53.567692307692276</v>
      </c>
      <c r="S304" s="56"/>
      <c r="T304" s="56">
        <v>1684.2</v>
      </c>
      <c r="U304" s="56"/>
      <c r="V304" s="56">
        <v>210179.8</v>
      </c>
      <c r="W304" s="56"/>
      <c r="X304" s="56"/>
      <c r="Y304" s="56">
        <v>15.501915416877596</v>
      </c>
    </row>
    <row r="305" spans="1:25" x14ac:dyDescent="0.35">
      <c r="A305" s="58">
        <v>43252</v>
      </c>
      <c r="B305" s="56">
        <v>17.100000000000001</v>
      </c>
      <c r="C305" s="56">
        <v>15.6</v>
      </c>
      <c r="D305" s="56">
        <v>20.2</v>
      </c>
      <c r="E305" s="56">
        <v>2628.099999999999</v>
      </c>
      <c r="F305" s="56"/>
      <c r="G305" s="56"/>
      <c r="H305" s="56">
        <v>0</v>
      </c>
      <c r="I305" s="56"/>
      <c r="J305" s="56">
        <v>1.8</v>
      </c>
      <c r="K305" s="56"/>
      <c r="L305" s="56">
        <v>-1.8</v>
      </c>
      <c r="M305" s="56"/>
      <c r="N305" s="56">
        <v>275</v>
      </c>
      <c r="O305" s="56">
        <v>0.90384615384615374</v>
      </c>
      <c r="P305" s="56">
        <v>1.6269230769230767</v>
      </c>
      <c r="Q305" s="56">
        <v>-1.6269230769230767</v>
      </c>
      <c r="R305" s="56">
        <v>51.940769230769199</v>
      </c>
      <c r="S305" s="56"/>
      <c r="T305" s="56">
        <v>826.9</v>
      </c>
      <c r="U305" s="56"/>
      <c r="V305" s="56">
        <v>211006.69999999998</v>
      </c>
      <c r="W305" s="56"/>
      <c r="X305" s="56"/>
      <c r="Y305" s="56">
        <v>15.528800438106551</v>
      </c>
    </row>
    <row r="306" spans="1:25" x14ac:dyDescent="0.35">
      <c r="A306" s="58">
        <v>43253</v>
      </c>
      <c r="B306" s="56">
        <v>18.8</v>
      </c>
      <c r="C306" s="56">
        <v>11.9</v>
      </c>
      <c r="D306" s="56">
        <v>23.3</v>
      </c>
      <c r="E306" s="56">
        <v>2646.8999999999992</v>
      </c>
      <c r="F306" s="56"/>
      <c r="G306" s="56"/>
      <c r="H306" s="56">
        <v>0</v>
      </c>
      <c r="I306" s="56"/>
      <c r="J306" s="56">
        <v>1.6</v>
      </c>
      <c r="K306" s="56"/>
      <c r="L306" s="56">
        <v>-1.6</v>
      </c>
      <c r="M306" s="56"/>
      <c r="N306" s="56">
        <v>276</v>
      </c>
      <c r="O306" s="56">
        <v>0.88846153846153841</v>
      </c>
      <c r="P306" s="56">
        <v>1.4215384615384616</v>
      </c>
      <c r="Q306" s="56">
        <v>-1.4215384615384616</v>
      </c>
      <c r="R306" s="56">
        <v>50.519230769230738</v>
      </c>
      <c r="S306" s="56"/>
      <c r="T306" s="56">
        <v>870.5</v>
      </c>
      <c r="U306" s="56"/>
      <c r="V306" s="56">
        <v>211877.19999999998</v>
      </c>
      <c r="W306" s="56"/>
      <c r="X306" s="56"/>
      <c r="Y306" s="56">
        <v>15.554535534016049</v>
      </c>
    </row>
    <row r="307" spans="1:25" x14ac:dyDescent="0.35">
      <c r="A307" s="58">
        <v>43254</v>
      </c>
      <c r="B307" s="56">
        <v>20.7</v>
      </c>
      <c r="C307" s="56">
        <v>16.8</v>
      </c>
      <c r="D307" s="56">
        <v>25.7</v>
      </c>
      <c r="E307" s="56">
        <v>2667.599999999999</v>
      </c>
      <c r="F307" s="56"/>
      <c r="G307" s="56"/>
      <c r="H307" s="56">
        <v>3.4</v>
      </c>
      <c r="I307" s="56"/>
      <c r="J307" s="56">
        <v>3.8</v>
      </c>
      <c r="K307" s="56"/>
      <c r="L307" s="56">
        <v>-0.39999999999999991</v>
      </c>
      <c r="M307" s="56"/>
      <c r="N307" s="56">
        <v>277</v>
      </c>
      <c r="O307" s="56">
        <v>0.87307692307692308</v>
      </c>
      <c r="P307" s="56">
        <v>3.3176923076923077</v>
      </c>
      <c r="Q307" s="56">
        <v>8.2307692307692193E-2</v>
      </c>
      <c r="R307" s="56">
        <v>50.601538461538432</v>
      </c>
      <c r="S307" s="56"/>
      <c r="T307" s="56">
        <v>1880.4</v>
      </c>
      <c r="U307" s="56"/>
      <c r="V307" s="56">
        <v>213757.59999999998</v>
      </c>
      <c r="W307" s="56"/>
      <c r="X307" s="56"/>
      <c r="Y307" s="56">
        <v>15.57910076817533</v>
      </c>
    </row>
    <row r="308" spans="1:25" x14ac:dyDescent="0.35">
      <c r="A308" s="58">
        <v>43255</v>
      </c>
      <c r="B308" s="56">
        <v>20</v>
      </c>
      <c r="C308" s="56">
        <v>16.8</v>
      </c>
      <c r="D308" s="56">
        <v>24.3</v>
      </c>
      <c r="E308" s="56">
        <v>2687.599999999999</v>
      </c>
      <c r="F308" s="56"/>
      <c r="G308" s="56"/>
      <c r="H308" s="56">
        <v>0.2</v>
      </c>
      <c r="I308" s="56"/>
      <c r="J308" s="56">
        <v>2.7</v>
      </c>
      <c r="K308" s="56"/>
      <c r="L308" s="56">
        <v>-2.5</v>
      </c>
      <c r="M308" s="56"/>
      <c r="N308" s="56">
        <v>278</v>
      </c>
      <c r="O308" s="56">
        <v>0.85769230769230764</v>
      </c>
      <c r="P308" s="56">
        <v>2.3157692307692308</v>
      </c>
      <c r="Q308" s="56">
        <v>-2.1157692307692306</v>
      </c>
      <c r="R308" s="56">
        <v>48.485769230769201</v>
      </c>
      <c r="S308" s="56"/>
      <c r="T308" s="56">
        <v>1520</v>
      </c>
      <c r="U308" s="56"/>
      <c r="V308" s="56">
        <v>215277.59999999998</v>
      </c>
      <c r="W308" s="56"/>
      <c r="X308" s="56"/>
      <c r="Y308" s="56">
        <v>15.602476821268258</v>
      </c>
    </row>
    <row r="309" spans="1:25" x14ac:dyDescent="0.35">
      <c r="A309" s="58">
        <v>43256</v>
      </c>
      <c r="B309" s="56">
        <v>18.399999999999999</v>
      </c>
      <c r="C309" s="56">
        <v>15.2</v>
      </c>
      <c r="D309" s="56">
        <v>21.2</v>
      </c>
      <c r="E309" s="56">
        <v>2705.9999999999991</v>
      </c>
      <c r="F309" s="56"/>
      <c r="G309" s="56"/>
      <c r="H309" s="56">
        <v>12.5</v>
      </c>
      <c r="I309" s="56"/>
      <c r="J309" s="56">
        <v>1.1000000000000001</v>
      </c>
      <c r="K309" s="56"/>
      <c r="L309" s="56">
        <v>11.4</v>
      </c>
      <c r="M309" s="56"/>
      <c r="N309" s="56">
        <v>279</v>
      </c>
      <c r="O309" s="56">
        <v>0.8423076923076922</v>
      </c>
      <c r="P309" s="56">
        <v>0.92653846153846153</v>
      </c>
      <c r="Q309" s="56">
        <v>11.573461538461538</v>
      </c>
      <c r="R309" s="56">
        <v>60.059230769230737</v>
      </c>
      <c r="S309" s="56"/>
      <c r="T309" s="56">
        <v>711.1</v>
      </c>
      <c r="U309" s="56"/>
      <c r="V309" s="56">
        <v>215988.69999999998</v>
      </c>
      <c r="W309" s="56"/>
      <c r="X309" s="56"/>
      <c r="Y309" s="56">
        <v>15.624645043123266</v>
      </c>
    </row>
    <row r="310" spans="1:25" x14ac:dyDescent="0.35">
      <c r="A310" s="58">
        <v>43257</v>
      </c>
      <c r="B310" s="56">
        <v>17.8</v>
      </c>
      <c r="C310" s="56">
        <v>15.8</v>
      </c>
      <c r="D310" s="56">
        <v>20.399999999999999</v>
      </c>
      <c r="E310" s="56">
        <v>2723.7999999999993</v>
      </c>
      <c r="F310" s="56"/>
      <c r="G310" s="56"/>
      <c r="H310" s="56">
        <v>6.3</v>
      </c>
      <c r="I310" s="56"/>
      <c r="J310" s="56">
        <v>1.5</v>
      </c>
      <c r="K310" s="56"/>
      <c r="L310" s="56">
        <v>4.8</v>
      </c>
      <c r="M310" s="56"/>
      <c r="N310" s="56">
        <v>280</v>
      </c>
      <c r="O310" s="56">
        <v>0.82692307692307687</v>
      </c>
      <c r="P310" s="56">
        <v>1.2403846153846154</v>
      </c>
      <c r="Q310" s="56">
        <v>5.059615384615384</v>
      </c>
      <c r="R310" s="56">
        <v>65.118846153846121</v>
      </c>
      <c r="S310" s="56"/>
      <c r="T310" s="56">
        <v>774.8</v>
      </c>
      <c r="U310" s="56"/>
      <c r="V310" s="56">
        <v>216763.49999999997</v>
      </c>
      <c r="W310" s="56"/>
      <c r="X310" s="56"/>
      <c r="Y310" s="56">
        <v>15.645587504155413</v>
      </c>
    </row>
    <row r="311" spans="1:25" x14ac:dyDescent="0.35">
      <c r="A311" s="58">
        <v>43258</v>
      </c>
      <c r="B311" s="56">
        <v>19.2</v>
      </c>
      <c r="C311" s="56">
        <v>14.8</v>
      </c>
      <c r="D311" s="56">
        <v>24.9</v>
      </c>
      <c r="E311" s="56">
        <v>2742.9999999999991</v>
      </c>
      <c r="F311" s="56"/>
      <c r="G311" s="56"/>
      <c r="H311" s="56">
        <v>0</v>
      </c>
      <c r="I311" s="56"/>
      <c r="J311" s="56">
        <v>2.1</v>
      </c>
      <c r="K311" s="56"/>
      <c r="L311" s="56">
        <v>-2.1</v>
      </c>
      <c r="M311" s="56"/>
      <c r="N311" s="56">
        <v>281</v>
      </c>
      <c r="O311" s="56">
        <v>0.81153846153846154</v>
      </c>
      <c r="P311" s="56">
        <v>1.7042307692307692</v>
      </c>
      <c r="Q311" s="56">
        <v>-1.7042307692307692</v>
      </c>
      <c r="R311" s="56">
        <v>63.414615384615352</v>
      </c>
      <c r="S311" s="56"/>
      <c r="T311" s="56">
        <v>943.1</v>
      </c>
      <c r="U311" s="56"/>
      <c r="V311" s="56">
        <v>217706.59999999998</v>
      </c>
      <c r="W311" s="56"/>
      <c r="X311" s="56"/>
      <c r="Y311" s="56">
        <v>15.66528704594683</v>
      </c>
    </row>
    <row r="312" spans="1:25" x14ac:dyDescent="0.35">
      <c r="A312" s="58">
        <v>43259</v>
      </c>
      <c r="B312" s="56">
        <v>21.1</v>
      </c>
      <c r="C312" s="56">
        <v>15.1</v>
      </c>
      <c r="D312" s="56">
        <v>25.5</v>
      </c>
      <c r="E312" s="56">
        <v>2764.099999999999</v>
      </c>
      <c r="F312" s="56"/>
      <c r="G312" s="56"/>
      <c r="H312" s="56">
        <v>0</v>
      </c>
      <c r="I312" s="56"/>
      <c r="J312" s="56">
        <v>3.4</v>
      </c>
      <c r="K312" s="56"/>
      <c r="L312" s="56">
        <v>-3.4</v>
      </c>
      <c r="M312" s="56"/>
      <c r="N312" s="56">
        <v>282</v>
      </c>
      <c r="O312" s="56">
        <v>0.7961538461538461</v>
      </c>
      <c r="P312" s="56">
        <v>2.7069230769230765</v>
      </c>
      <c r="Q312" s="56">
        <v>-2.7069230769230765</v>
      </c>
      <c r="R312" s="56">
        <v>60.707692307692277</v>
      </c>
      <c r="S312" s="56"/>
      <c r="T312" s="56">
        <v>1958.6</v>
      </c>
      <c r="U312" s="56"/>
      <c r="V312" s="56">
        <v>219665.19999999998</v>
      </c>
      <c r="W312" s="56"/>
      <c r="X312" s="56"/>
      <c r="Y312" s="56">
        <v>15.683727330686601</v>
      </c>
    </row>
    <row r="313" spans="1:25" x14ac:dyDescent="0.35">
      <c r="A313" s="58">
        <v>43260</v>
      </c>
      <c r="B313" s="56">
        <v>20</v>
      </c>
      <c r="C313" s="56">
        <v>18.5</v>
      </c>
      <c r="D313" s="56">
        <v>25.2</v>
      </c>
      <c r="E313" s="56">
        <v>2784.099999999999</v>
      </c>
      <c r="F313" s="56"/>
      <c r="G313" s="56"/>
      <c r="H313" s="56">
        <v>7.1</v>
      </c>
      <c r="I313" s="56"/>
      <c r="J313" s="56">
        <v>4.3</v>
      </c>
      <c r="K313" s="56"/>
      <c r="L313" s="56">
        <v>2.8</v>
      </c>
      <c r="M313" s="56"/>
      <c r="N313" s="56">
        <v>283</v>
      </c>
      <c r="O313" s="56">
        <v>0.78076923076923066</v>
      </c>
      <c r="P313" s="56">
        <v>3.3573076923076917</v>
      </c>
      <c r="Q313" s="56">
        <v>3.742692307692308</v>
      </c>
      <c r="R313" s="56">
        <v>64.450384615384579</v>
      </c>
      <c r="S313" s="56"/>
      <c r="T313" s="56">
        <v>2055.4</v>
      </c>
      <c r="U313" s="56"/>
      <c r="V313" s="56">
        <v>221720.59999999998</v>
      </c>
      <c r="W313" s="56"/>
      <c r="X313" s="56"/>
      <c r="Y313" s="56">
        <v>15.700892889188184</v>
      </c>
    </row>
    <row r="314" spans="1:25" x14ac:dyDescent="0.35">
      <c r="A314" s="58">
        <v>43261</v>
      </c>
      <c r="B314" s="56">
        <v>19.8</v>
      </c>
      <c r="C314" s="56">
        <v>15.3</v>
      </c>
      <c r="D314" s="56">
        <v>23.2</v>
      </c>
      <c r="E314" s="56">
        <v>2803.8999999999992</v>
      </c>
      <c r="F314" s="56"/>
      <c r="G314" s="56"/>
      <c r="H314" s="56">
        <v>6.9</v>
      </c>
      <c r="I314" s="56"/>
      <c r="J314" s="56">
        <v>2.2000000000000002</v>
      </c>
      <c r="K314" s="56"/>
      <c r="L314" s="56">
        <v>4.7</v>
      </c>
      <c r="M314" s="56"/>
      <c r="N314" s="56">
        <v>284</v>
      </c>
      <c r="O314" s="56">
        <v>0.76538461538461533</v>
      </c>
      <c r="P314" s="56">
        <v>1.6838461538461538</v>
      </c>
      <c r="Q314" s="56">
        <v>5.2161538461538468</v>
      </c>
      <c r="R314" s="56">
        <v>69.666538461538423</v>
      </c>
      <c r="S314" s="56"/>
      <c r="T314" s="56">
        <v>1328.2</v>
      </c>
      <c r="U314" s="56"/>
      <c r="V314" s="56">
        <v>223048.8</v>
      </c>
      <c r="W314" s="56"/>
      <c r="X314" s="56"/>
      <c r="Y314" s="56">
        <v>15.716769167201836</v>
      </c>
    </row>
    <row r="315" spans="1:25" x14ac:dyDescent="0.35">
      <c r="A315" s="58">
        <v>43262</v>
      </c>
      <c r="B315" s="56">
        <v>19.600000000000001</v>
      </c>
      <c r="C315" s="56">
        <v>17.7</v>
      </c>
      <c r="D315" s="56">
        <v>23.5</v>
      </c>
      <c r="E315" s="56">
        <v>2823.4999999999991</v>
      </c>
      <c r="F315" s="56"/>
      <c r="G315" s="56"/>
      <c r="H315" s="56">
        <v>6.3</v>
      </c>
      <c r="I315" s="56"/>
      <c r="J315" s="56">
        <v>2.7</v>
      </c>
      <c r="K315" s="56"/>
      <c r="L315" s="56">
        <v>3.5999999999999996</v>
      </c>
      <c r="M315" s="56"/>
      <c r="N315" s="56">
        <v>285</v>
      </c>
      <c r="O315" s="56">
        <v>0.75</v>
      </c>
      <c r="P315" s="56">
        <v>2.0250000000000004</v>
      </c>
      <c r="Q315" s="56">
        <v>4.2749999999999995</v>
      </c>
      <c r="R315" s="56">
        <v>73.941538461538428</v>
      </c>
      <c r="S315" s="56"/>
      <c r="T315" s="56">
        <v>1314.9</v>
      </c>
      <c r="U315" s="56"/>
      <c r="V315" s="56">
        <v>224363.69999999998</v>
      </c>
      <c r="W315" s="56"/>
      <c r="X315" s="56"/>
      <c r="Y315" s="56">
        <v>15.731342569741999</v>
      </c>
    </row>
    <row r="316" spans="1:25" x14ac:dyDescent="0.35">
      <c r="A316" s="58">
        <v>43263</v>
      </c>
      <c r="B316" s="56">
        <v>16.899999999999999</v>
      </c>
      <c r="C316" s="56">
        <v>15</v>
      </c>
      <c r="D316" s="56">
        <v>19.600000000000001</v>
      </c>
      <c r="E316" s="56">
        <v>2840.3999999999992</v>
      </c>
      <c r="F316" s="56"/>
      <c r="G316" s="56"/>
      <c r="H316" s="56">
        <v>1.4</v>
      </c>
      <c r="I316" s="56"/>
      <c r="J316" s="56">
        <v>1.6</v>
      </c>
      <c r="K316" s="56"/>
      <c r="L316" s="56">
        <v>-0.20000000000000018</v>
      </c>
      <c r="M316" s="56"/>
      <c r="N316" s="56">
        <v>286</v>
      </c>
      <c r="O316" s="56">
        <v>0.73461538461538445</v>
      </c>
      <c r="P316" s="56">
        <v>1.1753846153846153</v>
      </c>
      <c r="Q316" s="56">
        <v>0.22461538461538466</v>
      </c>
      <c r="R316" s="56">
        <v>74.166153846153819</v>
      </c>
      <c r="S316" s="56"/>
      <c r="T316" s="56">
        <v>713.8</v>
      </c>
      <c r="U316" s="56"/>
      <c r="V316" s="56">
        <v>225077.49999999997</v>
      </c>
      <c r="W316" s="56"/>
      <c r="X316" s="56"/>
      <c r="Y316" s="56">
        <v>15.744600503154267</v>
      </c>
    </row>
    <row r="317" spans="1:25" x14ac:dyDescent="0.35">
      <c r="A317" s="58">
        <v>43264</v>
      </c>
      <c r="B317" s="56">
        <v>14.6</v>
      </c>
      <c r="C317" s="56">
        <v>13.1</v>
      </c>
      <c r="D317" s="56">
        <v>17.100000000000001</v>
      </c>
      <c r="E317" s="56">
        <v>2854.9999999999991</v>
      </c>
      <c r="F317" s="56"/>
      <c r="G317" s="56"/>
      <c r="H317" s="56">
        <v>0</v>
      </c>
      <c r="I317" s="56"/>
      <c r="J317" s="56">
        <v>2.5</v>
      </c>
      <c r="K317" s="56"/>
      <c r="L317" s="56">
        <v>-2.5</v>
      </c>
      <c r="M317" s="56"/>
      <c r="N317" s="56">
        <v>287</v>
      </c>
      <c r="O317" s="56">
        <v>0.71923076923076912</v>
      </c>
      <c r="P317" s="56">
        <v>1.7980769230769229</v>
      </c>
      <c r="Q317" s="56">
        <v>-1.7980769230769229</v>
      </c>
      <c r="R317" s="56">
        <v>72.368076923076899</v>
      </c>
      <c r="S317" s="56"/>
      <c r="T317" s="56">
        <v>1448</v>
      </c>
      <c r="U317" s="56"/>
      <c r="V317" s="56">
        <v>226525.49999999997</v>
      </c>
      <c r="W317" s="56"/>
      <c r="X317" s="56"/>
      <c r="Y317" s="56">
        <v>15.756531414654408</v>
      </c>
    </row>
    <row r="318" spans="1:25" x14ac:dyDescent="0.35">
      <c r="A318" s="58">
        <v>43265</v>
      </c>
      <c r="B318" s="56">
        <v>15.9</v>
      </c>
      <c r="C318" s="56">
        <v>9.1</v>
      </c>
      <c r="D318" s="56">
        <v>19.399999999999999</v>
      </c>
      <c r="E318" s="56">
        <v>2870.8999999999992</v>
      </c>
      <c r="F318" s="56"/>
      <c r="G318" s="56"/>
      <c r="H318" s="56">
        <v>1</v>
      </c>
      <c r="I318" s="56"/>
      <c r="J318" s="56">
        <v>2.5</v>
      </c>
      <c r="K318" s="56"/>
      <c r="L318" s="56">
        <v>-1.5</v>
      </c>
      <c r="M318" s="56"/>
      <c r="N318" s="56">
        <v>288</v>
      </c>
      <c r="O318" s="56">
        <v>0.70384615384615379</v>
      </c>
      <c r="P318" s="56">
        <v>1.7596153846153846</v>
      </c>
      <c r="Q318" s="56">
        <v>-0.75961538461538458</v>
      </c>
      <c r="R318" s="56">
        <v>71.608461538461512</v>
      </c>
      <c r="S318" s="56"/>
      <c r="T318" s="56">
        <v>1847.1</v>
      </c>
      <c r="U318" s="56"/>
      <c r="V318" s="56">
        <v>228372.59999999998</v>
      </c>
      <c r="W318" s="56"/>
      <c r="X318" s="56"/>
      <c r="Y318" s="56">
        <v>15.767124829082663</v>
      </c>
    </row>
    <row r="319" spans="1:25" x14ac:dyDescent="0.35">
      <c r="A319" s="58">
        <v>43266</v>
      </c>
      <c r="B319" s="56">
        <v>18.3</v>
      </c>
      <c r="C319" s="56">
        <v>16</v>
      </c>
      <c r="D319" s="56">
        <v>20.5</v>
      </c>
      <c r="E319" s="56">
        <v>2889.1999999999994</v>
      </c>
      <c r="F319" s="56"/>
      <c r="G319" s="56"/>
      <c r="H319" s="56">
        <v>0.3</v>
      </c>
      <c r="I319" s="56"/>
      <c r="J319" s="56">
        <v>1.4</v>
      </c>
      <c r="K319" s="56"/>
      <c r="L319" s="56">
        <v>-1.0999999999999999</v>
      </c>
      <c r="M319" s="56"/>
      <c r="N319" s="56">
        <v>289</v>
      </c>
      <c r="O319" s="56">
        <v>0.68846153846153846</v>
      </c>
      <c r="P319" s="56">
        <v>0.9638461538461538</v>
      </c>
      <c r="Q319" s="56">
        <v>-0.66384615384615375</v>
      </c>
      <c r="R319" s="56">
        <v>70.944615384615361</v>
      </c>
      <c r="S319" s="56"/>
      <c r="T319" s="56">
        <v>655.8</v>
      </c>
      <c r="U319" s="56"/>
      <c r="V319" s="56">
        <v>229028.39999999997</v>
      </c>
      <c r="W319" s="56"/>
      <c r="X319" s="56"/>
      <c r="Y319" s="56">
        <v>15.776371382629602</v>
      </c>
    </row>
    <row r="320" spans="1:25" x14ac:dyDescent="0.35">
      <c r="A320" s="58">
        <v>43267</v>
      </c>
      <c r="B320" s="56">
        <v>17.399999999999999</v>
      </c>
      <c r="C320" s="56">
        <v>13.5</v>
      </c>
      <c r="D320" s="56">
        <v>21.5</v>
      </c>
      <c r="E320" s="56">
        <v>2906.5999999999995</v>
      </c>
      <c r="F320" s="56"/>
      <c r="G320" s="56"/>
      <c r="H320" s="56">
        <v>0.1</v>
      </c>
      <c r="I320" s="56"/>
      <c r="J320" s="56">
        <v>1.9</v>
      </c>
      <c r="K320" s="56"/>
      <c r="L320" s="56">
        <v>-1.7999999999999998</v>
      </c>
      <c r="M320" s="56"/>
      <c r="N320" s="56">
        <v>290</v>
      </c>
      <c r="O320" s="56">
        <v>0.67307692307692302</v>
      </c>
      <c r="P320" s="56">
        <v>1.2788461538461537</v>
      </c>
      <c r="Q320" s="56">
        <v>-1.1788461538461537</v>
      </c>
      <c r="R320" s="56">
        <v>69.765769230769209</v>
      </c>
      <c r="S320" s="56"/>
      <c r="T320" s="56">
        <v>1082.4000000000001</v>
      </c>
      <c r="U320" s="56"/>
      <c r="V320" s="56">
        <v>230110.79999999996</v>
      </c>
      <c r="W320" s="56"/>
      <c r="X320" s="56"/>
      <c r="Y320" s="56">
        <v>15.784262853306293</v>
      </c>
    </row>
    <row r="321" spans="1:25" x14ac:dyDescent="0.35">
      <c r="A321" s="58">
        <v>43268</v>
      </c>
      <c r="B321" s="56">
        <v>16.7</v>
      </c>
      <c r="C321" s="56">
        <v>12.8</v>
      </c>
      <c r="D321" s="56">
        <v>19.899999999999999</v>
      </c>
      <c r="E321" s="56">
        <v>2923.2999999999993</v>
      </c>
      <c r="F321" s="56"/>
      <c r="G321" s="56"/>
      <c r="H321" s="56">
        <v>0.2</v>
      </c>
      <c r="I321" s="56"/>
      <c r="J321" s="56">
        <v>1.5</v>
      </c>
      <c r="K321" s="56"/>
      <c r="L321" s="56">
        <v>-1.3</v>
      </c>
      <c r="M321" s="56"/>
      <c r="N321" s="56">
        <v>291</v>
      </c>
      <c r="O321" s="56">
        <v>0.65769230769230758</v>
      </c>
      <c r="P321" s="56">
        <v>0.98653846153846136</v>
      </c>
      <c r="Q321" s="56">
        <v>-0.78653846153846141</v>
      </c>
      <c r="R321" s="56">
        <v>68.979230769230753</v>
      </c>
      <c r="S321" s="56"/>
      <c r="T321" s="56">
        <v>574.5</v>
      </c>
      <c r="U321" s="56"/>
      <c r="V321" s="56">
        <v>230685.29999999996</v>
      </c>
      <c r="W321" s="56"/>
      <c r="X321" s="56"/>
      <c r="Y321" s="56">
        <v>15.790792187950041</v>
      </c>
    </row>
    <row r="322" spans="1:25" x14ac:dyDescent="0.35">
      <c r="A322" s="58">
        <v>43269</v>
      </c>
      <c r="B322" s="56">
        <v>18.899999999999999</v>
      </c>
      <c r="C322" s="56">
        <v>15.1</v>
      </c>
      <c r="D322" s="56">
        <v>23.1</v>
      </c>
      <c r="E322" s="56">
        <v>2942.1999999999994</v>
      </c>
      <c r="F322" s="56"/>
      <c r="G322" s="56"/>
      <c r="H322" s="56">
        <v>0</v>
      </c>
      <c r="I322" s="56"/>
      <c r="J322" s="56">
        <v>2.2000000000000002</v>
      </c>
      <c r="K322" s="56"/>
      <c r="L322" s="56">
        <v>-2.2000000000000002</v>
      </c>
      <c r="M322" s="56"/>
      <c r="N322" s="56">
        <v>292</v>
      </c>
      <c r="O322" s="56">
        <v>0.64230769230769225</v>
      </c>
      <c r="P322" s="56">
        <v>1.4130769230769231</v>
      </c>
      <c r="Q322" s="56">
        <v>-1.4130769230769231</v>
      </c>
      <c r="R322" s="56">
        <v>67.566153846153824</v>
      </c>
      <c r="S322" s="56"/>
      <c r="T322" s="56">
        <v>989.9</v>
      </c>
      <c r="U322" s="56"/>
      <c r="V322" s="56">
        <v>231675.19999999995</v>
      </c>
      <c r="W322" s="56"/>
      <c r="X322" s="56"/>
      <c r="Y322" s="56">
        <v>15.795953525578319</v>
      </c>
    </row>
    <row r="323" spans="1:25" x14ac:dyDescent="0.35">
      <c r="A323" s="58">
        <v>43270</v>
      </c>
      <c r="B323" s="56">
        <v>18.600000000000001</v>
      </c>
      <c r="C323" s="56">
        <v>14.1</v>
      </c>
      <c r="D323" s="56">
        <v>23.3</v>
      </c>
      <c r="E323" s="56">
        <v>2960.7999999999993</v>
      </c>
      <c r="F323" s="56"/>
      <c r="G323" s="56"/>
      <c r="H323" s="56">
        <v>0.2</v>
      </c>
      <c r="I323" s="56"/>
      <c r="J323" s="56">
        <v>1.8</v>
      </c>
      <c r="K323" s="56"/>
      <c r="L323" s="56">
        <v>-1.6</v>
      </c>
      <c r="M323" s="56"/>
      <c r="N323" s="56">
        <v>293</v>
      </c>
      <c r="O323" s="56">
        <v>0.62692307692307692</v>
      </c>
      <c r="P323" s="56">
        <v>1.1284615384615384</v>
      </c>
      <c r="Q323" s="56">
        <v>-0.92846153846153845</v>
      </c>
      <c r="R323" s="56">
        <v>66.637692307692291</v>
      </c>
      <c r="S323" s="56"/>
      <c r="T323" s="56">
        <v>822</v>
      </c>
      <c r="U323" s="56"/>
      <c r="V323" s="56">
        <v>232497.19999999995</v>
      </c>
      <c r="W323" s="56"/>
      <c r="X323" s="56"/>
      <c r="Y323" s="56">
        <v>15.799742216926866</v>
      </c>
    </row>
    <row r="324" spans="1:25" x14ac:dyDescent="0.35">
      <c r="A324" s="58">
        <v>43271</v>
      </c>
      <c r="B324" s="56">
        <v>22.5</v>
      </c>
      <c r="C324" s="56">
        <v>16.5</v>
      </c>
      <c r="D324" s="56">
        <v>28.4</v>
      </c>
      <c r="E324" s="56">
        <v>2983.2999999999993</v>
      </c>
      <c r="F324" s="56"/>
      <c r="G324" s="56"/>
      <c r="H324" s="56">
        <v>0</v>
      </c>
      <c r="I324" s="56"/>
      <c r="J324" s="56">
        <v>6.4</v>
      </c>
      <c r="K324" s="56"/>
      <c r="L324" s="56">
        <v>-6.4</v>
      </c>
      <c r="M324" s="56"/>
      <c r="N324" s="56">
        <v>294</v>
      </c>
      <c r="O324" s="56">
        <v>0.61153846153846148</v>
      </c>
      <c r="P324" s="56">
        <v>3.9138461538461535</v>
      </c>
      <c r="Q324" s="56">
        <v>-3.9138461538461535</v>
      </c>
      <c r="R324" s="56">
        <v>62.723846153846139</v>
      </c>
      <c r="S324" s="56"/>
      <c r="T324" s="56">
        <v>3023.2</v>
      </c>
      <c r="U324" s="56"/>
      <c r="V324" s="56">
        <v>235520.39999999997</v>
      </c>
      <c r="W324" s="56"/>
      <c r="X324" s="56"/>
      <c r="Y324" s="56">
        <v>15.802154840033493</v>
      </c>
    </row>
    <row r="325" spans="1:25" x14ac:dyDescent="0.35">
      <c r="A325" s="58">
        <v>43272</v>
      </c>
      <c r="B325" s="56">
        <v>18.3</v>
      </c>
      <c r="C325" s="56">
        <v>15.5</v>
      </c>
      <c r="D325" s="56">
        <v>22.6</v>
      </c>
      <c r="E325" s="56">
        <v>3001.5999999999995</v>
      </c>
      <c r="F325" s="56"/>
      <c r="G325" s="56"/>
      <c r="H325" s="56">
        <v>0</v>
      </c>
      <c r="I325" s="56"/>
      <c r="J325" s="56">
        <v>4.2</v>
      </c>
      <c r="K325" s="56"/>
      <c r="L325" s="56">
        <v>-4.2</v>
      </c>
      <c r="M325" s="56"/>
      <c r="N325" s="56">
        <v>295</v>
      </c>
      <c r="O325" s="56">
        <v>0.59615384615384615</v>
      </c>
      <c r="P325" s="56">
        <v>2.5038461538461538</v>
      </c>
      <c r="Q325" s="56">
        <v>-2.5038461538461538</v>
      </c>
      <c r="R325" s="56">
        <v>60.219999999999985</v>
      </c>
      <c r="S325" s="56"/>
      <c r="T325" s="56">
        <v>1942.9</v>
      </c>
      <c r="U325" s="56"/>
      <c r="V325" s="56">
        <v>237463.29999999996</v>
      </c>
      <c r="W325" s="56"/>
      <c r="X325" s="56"/>
      <c r="Y325" s="56">
        <v>15.803189211756163</v>
      </c>
    </row>
    <row r="326" spans="1:25" x14ac:dyDescent="0.35">
      <c r="A326" s="58">
        <v>43273</v>
      </c>
      <c r="B326" s="56">
        <v>15.7</v>
      </c>
      <c r="C326" s="56">
        <v>10.9</v>
      </c>
      <c r="D326" s="56">
        <v>20.5</v>
      </c>
      <c r="E326" s="56">
        <v>3017.2999999999993</v>
      </c>
      <c r="F326" s="56"/>
      <c r="G326" s="56"/>
      <c r="H326" s="56">
        <v>0</v>
      </c>
      <c r="I326" s="56"/>
      <c r="J326" s="56">
        <v>6.3</v>
      </c>
      <c r="K326" s="56"/>
      <c r="L326" s="56">
        <v>-6.3</v>
      </c>
      <c r="M326" s="56"/>
      <c r="N326" s="56">
        <v>296</v>
      </c>
      <c r="O326" s="56">
        <v>0.5807692307692307</v>
      </c>
      <c r="P326" s="56">
        <v>3.6588461538461532</v>
      </c>
      <c r="Q326" s="56">
        <v>-3.6588461538461532</v>
      </c>
      <c r="R326" s="56">
        <v>56.561153846153829</v>
      </c>
      <c r="S326" s="56"/>
      <c r="T326" s="56">
        <v>3281.3</v>
      </c>
      <c r="U326" s="56"/>
      <c r="V326" s="56">
        <v>240744.59999999995</v>
      </c>
      <c r="W326" s="56"/>
      <c r="X326" s="56"/>
      <c r="Y326" s="56">
        <v>15.802844395142637</v>
      </c>
    </row>
    <row r="327" spans="1:25" x14ac:dyDescent="0.35">
      <c r="A327" s="58">
        <v>43274</v>
      </c>
      <c r="B327" s="56">
        <v>16.7</v>
      </c>
      <c r="C327" s="56">
        <v>12</v>
      </c>
      <c r="D327" s="56">
        <v>21.5</v>
      </c>
      <c r="E327" s="56">
        <v>3033.9999999999991</v>
      </c>
      <c r="F327" s="56"/>
      <c r="G327" s="56"/>
      <c r="H327" s="56">
        <v>0</v>
      </c>
      <c r="I327" s="56"/>
      <c r="J327" s="56">
        <v>6.3</v>
      </c>
      <c r="K327" s="56"/>
      <c r="L327" s="56">
        <v>-6.3</v>
      </c>
      <c r="M327" s="56"/>
      <c r="N327" s="56">
        <v>297</v>
      </c>
      <c r="O327" s="56">
        <v>0.56538461538461537</v>
      </c>
      <c r="P327" s="56">
        <v>3.561923076923077</v>
      </c>
      <c r="Q327" s="56">
        <v>-3.561923076923077</v>
      </c>
      <c r="R327" s="56">
        <v>52.999230769230749</v>
      </c>
      <c r="S327" s="56"/>
      <c r="T327" s="56">
        <v>3213.6</v>
      </c>
      <c r="U327" s="56"/>
      <c r="V327" s="56">
        <v>243958.19999999995</v>
      </c>
      <c r="W327" s="56"/>
      <c r="X327" s="56"/>
      <c r="Y327" s="56">
        <v>15.801120702598423</v>
      </c>
    </row>
    <row r="328" spans="1:25" x14ac:dyDescent="0.35">
      <c r="A328" s="58">
        <v>43275</v>
      </c>
      <c r="B328" s="56">
        <v>18.2</v>
      </c>
      <c r="C328" s="56">
        <v>13.8</v>
      </c>
      <c r="D328" s="56">
        <v>23.1</v>
      </c>
      <c r="E328" s="56">
        <v>3052.1999999999989</v>
      </c>
      <c r="F328" s="56"/>
      <c r="G328" s="56"/>
      <c r="H328" s="56">
        <v>0</v>
      </c>
      <c r="I328" s="56"/>
      <c r="J328" s="56">
        <v>5.6</v>
      </c>
      <c r="K328" s="56"/>
      <c r="L328" s="56">
        <v>-5.6</v>
      </c>
      <c r="M328" s="56"/>
      <c r="N328" s="56">
        <v>298</v>
      </c>
      <c r="O328" s="56">
        <v>0.54999999999999993</v>
      </c>
      <c r="P328" s="56">
        <v>3.0799999999999996</v>
      </c>
      <c r="Q328" s="56">
        <v>-3.0799999999999996</v>
      </c>
      <c r="R328" s="56">
        <v>49.919230769230751</v>
      </c>
      <c r="S328" s="56"/>
      <c r="T328" s="56">
        <v>2616.3000000000002</v>
      </c>
      <c r="U328" s="56"/>
      <c r="V328" s="56">
        <v>246574.49999999994</v>
      </c>
      <c r="W328" s="56"/>
      <c r="X328" s="56"/>
      <c r="Y328" s="56">
        <v>15.798019694830149</v>
      </c>
    </row>
    <row r="329" spans="1:25" x14ac:dyDescent="0.35">
      <c r="A329" s="58">
        <v>43276</v>
      </c>
      <c r="B329" s="56">
        <v>19.8</v>
      </c>
      <c r="C329" s="56">
        <v>13.4</v>
      </c>
      <c r="D329" s="56">
        <v>24.7</v>
      </c>
      <c r="E329" s="56">
        <v>3071.9999999999991</v>
      </c>
      <c r="F329" s="56"/>
      <c r="G329" s="56"/>
      <c r="H329" s="56">
        <v>0</v>
      </c>
      <c r="I329" s="56"/>
      <c r="J329" s="56">
        <v>6.5</v>
      </c>
      <c r="K329" s="56"/>
      <c r="L329" s="56">
        <v>-6.5</v>
      </c>
      <c r="M329" s="56"/>
      <c r="N329" s="56">
        <v>299</v>
      </c>
      <c r="O329" s="56">
        <v>0.53461538461538449</v>
      </c>
      <c r="P329" s="56">
        <v>3.4749999999999992</v>
      </c>
      <c r="Q329" s="56">
        <v>-3.4749999999999992</v>
      </c>
      <c r="R329" s="56">
        <v>46.444230769230749</v>
      </c>
      <c r="S329" s="56"/>
      <c r="T329" s="56">
        <v>3307.8</v>
      </c>
      <c r="U329" s="56"/>
      <c r="V329" s="56">
        <v>249882.29999999993</v>
      </c>
      <c r="W329" s="56"/>
      <c r="X329" s="56"/>
      <c r="Y329" s="56">
        <v>15.793544175572009</v>
      </c>
    </row>
    <row r="330" spans="1:25" x14ac:dyDescent="0.35">
      <c r="A330" s="58">
        <v>43277</v>
      </c>
      <c r="B330" s="56">
        <v>22</v>
      </c>
      <c r="C330" s="56">
        <v>16.899999999999999</v>
      </c>
      <c r="D330" s="56">
        <v>27.2</v>
      </c>
      <c r="E330" s="56">
        <v>3093.9999999999991</v>
      </c>
      <c r="F330" s="56"/>
      <c r="G330" s="56"/>
      <c r="H330" s="56">
        <v>0</v>
      </c>
      <c r="I330" s="56"/>
      <c r="J330" s="56">
        <v>7.5</v>
      </c>
      <c r="K330" s="56"/>
      <c r="L330" s="56">
        <v>-7.5</v>
      </c>
      <c r="M330" s="56"/>
      <c r="N330" s="56">
        <v>300</v>
      </c>
      <c r="O330" s="56">
        <v>0.51923076923076916</v>
      </c>
      <c r="P330" s="56">
        <v>3.8942307692307687</v>
      </c>
      <c r="Q330" s="56">
        <v>-3.8942307692307687</v>
      </c>
      <c r="R330" s="56">
        <v>42.549999999999983</v>
      </c>
      <c r="S330" s="56"/>
      <c r="T330" s="56">
        <v>3296.7</v>
      </c>
      <c r="U330" s="56"/>
      <c r="V330" s="56">
        <v>253178.99999999994</v>
      </c>
      <c r="W330" s="56"/>
      <c r="X330" s="56"/>
      <c r="Y330" s="56">
        <v>15.787698182133378</v>
      </c>
    </row>
    <row r="331" spans="1:25" x14ac:dyDescent="0.35">
      <c r="A331" s="58">
        <v>43278</v>
      </c>
      <c r="B331" s="56">
        <v>22.9</v>
      </c>
      <c r="C331" s="56">
        <v>16.600000000000001</v>
      </c>
      <c r="D331" s="56">
        <v>28.8</v>
      </c>
      <c r="E331" s="56">
        <v>3116.8999999999992</v>
      </c>
      <c r="F331" s="56"/>
      <c r="G331" s="56"/>
      <c r="H331" s="56">
        <v>0</v>
      </c>
      <c r="I331" s="56"/>
      <c r="J331" s="56">
        <v>7.7</v>
      </c>
      <c r="K331" s="56"/>
      <c r="L331" s="56">
        <v>-7.7</v>
      </c>
      <c r="M331" s="56"/>
      <c r="N331" s="56">
        <v>301</v>
      </c>
      <c r="O331" s="56">
        <v>0.50384615384615383</v>
      </c>
      <c r="P331" s="56">
        <v>3.8796153846153847</v>
      </c>
      <c r="Q331" s="56">
        <v>-3.8796153846153847</v>
      </c>
      <c r="R331" s="56">
        <v>38.670384615384599</v>
      </c>
      <c r="S331" s="56"/>
      <c r="T331" s="56">
        <v>3295.3</v>
      </c>
      <c r="U331" s="56"/>
      <c r="V331" s="56">
        <v>256474.29999999993</v>
      </c>
      <c r="W331" s="56"/>
      <c r="X331" s="56"/>
      <c r="Y331" s="56">
        <v>15.780486971835696</v>
      </c>
    </row>
    <row r="332" spans="1:25" x14ac:dyDescent="0.35">
      <c r="A332" s="58">
        <v>43279</v>
      </c>
      <c r="B332" s="56">
        <v>22.9</v>
      </c>
      <c r="C332" s="56">
        <v>18.100000000000001</v>
      </c>
      <c r="D332" s="56">
        <v>27.4</v>
      </c>
      <c r="E332" s="56">
        <v>3139.7999999999993</v>
      </c>
      <c r="F332" s="56"/>
      <c r="G332" s="56"/>
      <c r="H332" s="56">
        <v>0</v>
      </c>
      <c r="I332" s="56"/>
      <c r="J332" s="56">
        <v>8.3000000000000007</v>
      </c>
      <c r="K332" s="56"/>
      <c r="L332" s="56">
        <v>-8.3000000000000007</v>
      </c>
      <c r="M332" s="56"/>
      <c r="N332" s="56">
        <v>302</v>
      </c>
      <c r="O332" s="56">
        <v>0.4884615384615385</v>
      </c>
      <c r="P332" s="56">
        <v>4.0542307692307702</v>
      </c>
      <c r="Q332" s="56">
        <v>-4.0542307692307702</v>
      </c>
      <c r="R332" s="56">
        <v>34.616153846153829</v>
      </c>
      <c r="S332" s="56"/>
      <c r="T332" s="56">
        <v>3308.9</v>
      </c>
      <c r="U332" s="56"/>
      <c r="V332" s="56">
        <v>259783.19999999992</v>
      </c>
      <c r="W332" s="56"/>
      <c r="X332" s="56"/>
      <c r="Y332" s="56">
        <v>15.771917004435894</v>
      </c>
    </row>
    <row r="333" spans="1:25" x14ac:dyDescent="0.35">
      <c r="A333" s="58">
        <v>43280</v>
      </c>
      <c r="B333" s="56">
        <v>23.8</v>
      </c>
      <c r="C333" s="56">
        <v>19</v>
      </c>
      <c r="D333" s="56">
        <v>27.7</v>
      </c>
      <c r="E333" s="56">
        <v>3163.5999999999995</v>
      </c>
      <c r="F333" s="56"/>
      <c r="G333" s="56"/>
      <c r="H333" s="56">
        <v>0</v>
      </c>
      <c r="I333" s="56"/>
      <c r="J333" s="56">
        <v>6.5</v>
      </c>
      <c r="K333" s="56"/>
      <c r="L333" s="56">
        <v>-6.5</v>
      </c>
      <c r="M333" s="56"/>
      <c r="N333" s="56">
        <v>303</v>
      </c>
      <c r="O333" s="56">
        <v>0.47307692307692306</v>
      </c>
      <c r="P333" s="56">
        <v>3.0749999999999997</v>
      </c>
      <c r="Q333" s="56">
        <v>-3.0749999999999997</v>
      </c>
      <c r="R333" s="56">
        <v>31.541153846153829</v>
      </c>
      <c r="S333" s="56"/>
      <c r="T333" s="56">
        <v>2251.1</v>
      </c>
      <c r="U333" s="56"/>
      <c r="V333" s="56">
        <v>262034.29999999993</v>
      </c>
      <c r="W333" s="56"/>
      <c r="X333" s="56"/>
      <c r="Y333" s="56">
        <v>15.761995920661381</v>
      </c>
    </row>
    <row r="334" spans="1:25" x14ac:dyDescent="0.35">
      <c r="A334" s="58">
        <v>43281</v>
      </c>
      <c r="B334" s="56">
        <v>26.4</v>
      </c>
      <c r="C334" s="56">
        <v>20.399999999999999</v>
      </c>
      <c r="D334" s="56">
        <v>31.9</v>
      </c>
      <c r="E334" s="56">
        <v>3189.9999999999995</v>
      </c>
      <c r="F334" s="56"/>
      <c r="G334" s="56"/>
      <c r="H334" s="56">
        <v>0</v>
      </c>
      <c r="I334" s="56"/>
      <c r="J334" s="56">
        <v>6.9</v>
      </c>
      <c r="K334" s="56"/>
      <c r="L334" s="56">
        <v>-6.9</v>
      </c>
      <c r="M334" s="56"/>
      <c r="N334" s="56">
        <v>304</v>
      </c>
      <c r="O334" s="56">
        <v>0.45769230769230762</v>
      </c>
      <c r="P334" s="56">
        <v>3.1580769230769228</v>
      </c>
      <c r="Q334" s="56">
        <v>-3.1580769230769228</v>
      </c>
      <c r="R334" s="56">
        <v>28.383076923076906</v>
      </c>
      <c r="S334" s="56"/>
      <c r="T334" s="56">
        <v>2659</v>
      </c>
      <c r="U334" s="56"/>
      <c r="V334" s="56">
        <v>264693.29999999993</v>
      </c>
      <c r="W334" s="56"/>
      <c r="X334" s="56"/>
      <c r="Y334" s="56">
        <v>15.750732517008247</v>
      </c>
    </row>
    <row r="335" spans="1:25" x14ac:dyDescent="0.35">
      <c r="A335" s="58">
        <v>43282</v>
      </c>
      <c r="B335" s="56">
        <v>26</v>
      </c>
      <c r="C335" s="56">
        <v>21.6</v>
      </c>
      <c r="D335" s="56">
        <v>30.1</v>
      </c>
      <c r="E335" s="56">
        <v>3215.9999999999995</v>
      </c>
      <c r="F335" s="56"/>
      <c r="G335" s="56"/>
      <c r="H335" s="56">
        <v>12.4</v>
      </c>
      <c r="I335" s="56"/>
      <c r="J335" s="56">
        <v>3.5</v>
      </c>
      <c r="K335" s="56"/>
      <c r="L335" s="56">
        <v>8.9</v>
      </c>
      <c r="M335" s="56"/>
      <c r="N335" s="56">
        <v>305</v>
      </c>
      <c r="O335" s="56">
        <v>0.44230769230769229</v>
      </c>
      <c r="P335" s="56">
        <v>1.5480769230769229</v>
      </c>
      <c r="Q335" s="56">
        <v>10.851923076923077</v>
      </c>
      <c r="R335" s="56">
        <v>39.234999999999985</v>
      </c>
      <c r="S335" s="56"/>
      <c r="T335" s="56">
        <v>1326.6</v>
      </c>
      <c r="U335" s="56"/>
      <c r="V335" s="56">
        <v>266019.89999999991</v>
      </c>
      <c r="W335" s="56"/>
      <c r="X335" s="56"/>
      <c r="Y335" s="56">
        <v>15.738136716978454</v>
      </c>
    </row>
    <row r="336" spans="1:25" x14ac:dyDescent="0.35">
      <c r="A336" s="58">
        <v>43283</v>
      </c>
      <c r="B336" s="56">
        <v>22.4</v>
      </c>
      <c r="C336" s="56">
        <v>18.8</v>
      </c>
      <c r="D336" s="56">
        <v>26.2</v>
      </c>
      <c r="E336" s="56">
        <v>3238.3999999999996</v>
      </c>
      <c r="F336" s="56"/>
      <c r="G336" s="56"/>
      <c r="H336" s="56">
        <v>8.1</v>
      </c>
      <c r="I336" s="56"/>
      <c r="J336" s="56">
        <v>4.2</v>
      </c>
      <c r="K336" s="56"/>
      <c r="L336" s="56">
        <v>3.8999999999999995</v>
      </c>
      <c r="M336" s="56"/>
      <c r="N336" s="56">
        <v>306</v>
      </c>
      <c r="O336" s="56">
        <v>0.42692307692307685</v>
      </c>
      <c r="P336" s="56">
        <v>1.7930769230769228</v>
      </c>
      <c r="Q336" s="56">
        <v>6.3069230769230771</v>
      </c>
      <c r="R336" s="56">
        <v>45.541923076923062</v>
      </c>
      <c r="S336" s="56"/>
      <c r="T336" s="56">
        <v>1959.2</v>
      </c>
      <c r="U336" s="56"/>
      <c r="V336" s="56">
        <v>267979.09999999992</v>
      </c>
      <c r="W336" s="56"/>
      <c r="X336" s="56"/>
      <c r="Y336" s="56">
        <v>15.724219538954539</v>
      </c>
    </row>
    <row r="337" spans="1:25" x14ac:dyDescent="0.35">
      <c r="A337" s="58">
        <v>43284</v>
      </c>
      <c r="B337" s="56">
        <v>21.6</v>
      </c>
      <c r="C337" s="56">
        <v>17.2</v>
      </c>
      <c r="D337" s="56">
        <v>26.4</v>
      </c>
      <c r="E337" s="56">
        <v>3259.9999999999995</v>
      </c>
      <c r="F337" s="56"/>
      <c r="G337" s="56"/>
      <c r="H337" s="56">
        <v>0.3</v>
      </c>
      <c r="I337" s="56"/>
      <c r="J337" s="56">
        <v>4.4000000000000004</v>
      </c>
      <c r="K337" s="56"/>
      <c r="L337" s="56">
        <v>-4.1000000000000005</v>
      </c>
      <c r="M337" s="56"/>
      <c r="N337" s="56">
        <v>307</v>
      </c>
      <c r="O337" s="56">
        <v>0.41153846153846152</v>
      </c>
      <c r="P337" s="56">
        <v>1.8107692307692309</v>
      </c>
      <c r="Q337" s="56">
        <v>-1.5107692307692309</v>
      </c>
      <c r="R337" s="56">
        <v>44.031153846153835</v>
      </c>
      <c r="S337" s="56"/>
      <c r="T337" s="56">
        <v>2156.9</v>
      </c>
      <c r="U337" s="56"/>
      <c r="V337" s="56">
        <v>270135.99999999994</v>
      </c>
      <c r="W337" s="56"/>
      <c r="X337" s="56"/>
      <c r="Y337" s="56">
        <v>15.708993060930023</v>
      </c>
    </row>
    <row r="338" spans="1:25" x14ac:dyDescent="0.35">
      <c r="A338" s="58">
        <v>43285</v>
      </c>
      <c r="B338" s="56">
        <v>22.2</v>
      </c>
      <c r="C338" s="56">
        <v>17.100000000000001</v>
      </c>
      <c r="D338" s="56">
        <v>26.5</v>
      </c>
      <c r="E338" s="56">
        <v>3282.1999999999994</v>
      </c>
      <c r="F338" s="56"/>
      <c r="G338" s="56"/>
      <c r="H338" s="56">
        <v>10.5</v>
      </c>
      <c r="I338" s="56"/>
      <c r="J338" s="56">
        <v>4.0999999999999996</v>
      </c>
      <c r="K338" s="56"/>
      <c r="L338" s="56">
        <v>6.4</v>
      </c>
      <c r="M338" s="56"/>
      <c r="N338" s="56">
        <v>308</v>
      </c>
      <c r="O338" s="56">
        <v>0.39615384615384619</v>
      </c>
      <c r="P338" s="56">
        <v>1.6242307692307691</v>
      </c>
      <c r="Q338" s="56">
        <v>8.8757692307692313</v>
      </c>
      <c r="R338" s="56">
        <v>52.906923076923064</v>
      </c>
      <c r="S338" s="56"/>
      <c r="T338" s="56">
        <v>1920.2</v>
      </c>
      <c r="U338" s="56"/>
      <c r="V338" s="56">
        <v>272056.19999999995</v>
      </c>
      <c r="W338" s="56"/>
      <c r="X338" s="56"/>
      <c r="Y338" s="56">
        <v>15.692470382331441</v>
      </c>
    </row>
    <row r="339" spans="1:25" x14ac:dyDescent="0.35">
      <c r="A339" s="58">
        <v>43286</v>
      </c>
      <c r="B339" s="56">
        <v>19.899999999999999</v>
      </c>
      <c r="C339" s="56">
        <v>17.399999999999999</v>
      </c>
      <c r="D339" s="56">
        <v>23.6</v>
      </c>
      <c r="E339" s="56">
        <v>3302.0999999999995</v>
      </c>
      <c r="F339" s="56"/>
      <c r="G339" s="56"/>
      <c r="H339" s="56">
        <v>3.2</v>
      </c>
      <c r="I339" s="56"/>
      <c r="J339" s="56">
        <v>1.7</v>
      </c>
      <c r="K339" s="56"/>
      <c r="L339" s="56">
        <v>1.5000000000000002</v>
      </c>
      <c r="M339" s="56"/>
      <c r="N339" s="56">
        <v>309</v>
      </c>
      <c r="O339" s="56">
        <v>0.38076923076923075</v>
      </c>
      <c r="P339" s="56">
        <v>0.64730769230769225</v>
      </c>
      <c r="Q339" s="56">
        <v>2.552692307692308</v>
      </c>
      <c r="R339" s="56">
        <v>55.459615384615375</v>
      </c>
      <c r="S339" s="56"/>
      <c r="T339" s="56">
        <v>765.2</v>
      </c>
      <c r="U339" s="56"/>
      <c r="V339" s="56">
        <v>272821.39999999997</v>
      </c>
      <c r="W339" s="56"/>
      <c r="X339" s="56"/>
      <c r="Y339" s="56">
        <v>15.674665583182453</v>
      </c>
    </row>
    <row r="340" spans="1:25" x14ac:dyDescent="0.35">
      <c r="A340" s="58">
        <v>43287</v>
      </c>
      <c r="B340" s="56">
        <v>21.8</v>
      </c>
      <c r="C340" s="56">
        <v>18.100000000000001</v>
      </c>
      <c r="D340" s="56">
        <v>26.5</v>
      </c>
      <c r="E340" s="56">
        <v>3323.8999999999996</v>
      </c>
      <c r="F340" s="56"/>
      <c r="G340" s="56"/>
      <c r="H340" s="56">
        <v>0</v>
      </c>
      <c r="I340" s="56"/>
      <c r="J340" s="56">
        <v>4.7</v>
      </c>
      <c r="K340" s="56"/>
      <c r="L340" s="56">
        <v>-4.7</v>
      </c>
      <c r="M340" s="56"/>
      <c r="N340" s="56">
        <v>310</v>
      </c>
      <c r="O340" s="56">
        <v>0.36538461538461542</v>
      </c>
      <c r="P340" s="56">
        <v>1.7173076923076924</v>
      </c>
      <c r="Q340" s="56">
        <v>-1.7173076923076924</v>
      </c>
      <c r="R340" s="56">
        <v>53.742307692307683</v>
      </c>
      <c r="S340" s="56"/>
      <c r="T340" s="56">
        <v>2297.1</v>
      </c>
      <c r="U340" s="56"/>
      <c r="V340" s="56">
        <v>275118.49999999994</v>
      </c>
      <c r="W340" s="56"/>
      <c r="X340" s="56"/>
      <c r="Y340" s="56">
        <v>15.655593680872709</v>
      </c>
    </row>
    <row r="341" spans="1:25" x14ac:dyDescent="0.35">
      <c r="A341" s="58">
        <v>43288</v>
      </c>
      <c r="B341" s="56">
        <v>23.5</v>
      </c>
      <c r="C341" s="56">
        <v>16.899999999999999</v>
      </c>
      <c r="D341" s="56">
        <v>29.3</v>
      </c>
      <c r="E341" s="56">
        <v>3347.3999999999996</v>
      </c>
      <c r="F341" s="56"/>
      <c r="G341" s="56"/>
      <c r="H341" s="56">
        <v>0</v>
      </c>
      <c r="I341" s="56"/>
      <c r="J341" s="56">
        <v>5.2</v>
      </c>
      <c r="K341" s="56"/>
      <c r="L341" s="56">
        <v>-5.2</v>
      </c>
      <c r="M341" s="56"/>
      <c r="N341" s="56">
        <v>311</v>
      </c>
      <c r="O341" s="56">
        <v>0.35</v>
      </c>
      <c r="P341" s="56">
        <v>1.8199999999999998</v>
      </c>
      <c r="Q341" s="56">
        <v>-1.8199999999999998</v>
      </c>
      <c r="R341" s="56">
        <v>51.922307692307683</v>
      </c>
      <c r="S341" s="56"/>
      <c r="T341" s="56">
        <v>2416.6</v>
      </c>
      <c r="U341" s="56"/>
      <c r="V341" s="56">
        <v>277535.09999999992</v>
      </c>
      <c r="W341" s="56"/>
      <c r="X341" s="56"/>
      <c r="Y341" s="56">
        <v>15.635270584803173</v>
      </c>
    </row>
    <row r="342" spans="1:25" x14ac:dyDescent="0.35">
      <c r="A342" s="58">
        <v>43289</v>
      </c>
      <c r="B342" s="56">
        <v>24.6</v>
      </c>
      <c r="C342" s="56">
        <v>18.8</v>
      </c>
      <c r="D342" s="56">
        <v>29.9</v>
      </c>
      <c r="E342" s="56">
        <v>3371.9999999999995</v>
      </c>
      <c r="F342" s="56"/>
      <c r="G342" s="56"/>
      <c r="H342" s="56">
        <v>0</v>
      </c>
      <c r="I342" s="56"/>
      <c r="J342" s="56">
        <v>5</v>
      </c>
      <c r="K342" s="56"/>
      <c r="L342" s="56">
        <v>-5</v>
      </c>
      <c r="M342" s="56"/>
      <c r="N342" s="56"/>
      <c r="O342" s="56"/>
      <c r="P342" s="56">
        <v>0</v>
      </c>
      <c r="Q342" s="56">
        <v>0</v>
      </c>
      <c r="R342" s="56">
        <v>51.922307692307683</v>
      </c>
      <c r="S342" s="56"/>
      <c r="T342" s="56">
        <v>2008.9</v>
      </c>
      <c r="U342" s="56"/>
      <c r="V342" s="56">
        <v>279543.99999999994</v>
      </c>
      <c r="W342" s="56"/>
      <c r="X342" s="56"/>
      <c r="Y342" s="56"/>
    </row>
    <row r="343" spans="1:25" x14ac:dyDescent="0.35">
      <c r="A343" s="58">
        <v>43290</v>
      </c>
      <c r="B343" s="56">
        <v>22.4</v>
      </c>
      <c r="C343" s="56">
        <v>18.600000000000001</v>
      </c>
      <c r="D343" s="56">
        <v>26.1</v>
      </c>
      <c r="E343" s="56">
        <v>3394.3999999999996</v>
      </c>
      <c r="F343" s="56"/>
      <c r="G343" s="56"/>
      <c r="H343" s="56">
        <v>0</v>
      </c>
      <c r="I343" s="56"/>
      <c r="J343" s="56">
        <v>6.7</v>
      </c>
      <c r="K343" s="56"/>
      <c r="L343" s="56">
        <v>-6.7</v>
      </c>
      <c r="M343" s="56"/>
      <c r="N343" s="56"/>
      <c r="O343" s="56"/>
      <c r="P343" s="56">
        <v>0</v>
      </c>
      <c r="Q343" s="56">
        <v>0</v>
      </c>
      <c r="R343" s="56">
        <v>51.922307692307683</v>
      </c>
      <c r="S343" s="56"/>
      <c r="T343" s="56">
        <v>2794.7</v>
      </c>
      <c r="U343" s="56"/>
      <c r="V343" s="56">
        <v>282338.69999999995</v>
      </c>
      <c r="W343" s="56"/>
      <c r="X343" s="56"/>
      <c r="Y343" s="56"/>
    </row>
    <row r="344" spans="1:25" x14ac:dyDescent="0.35">
      <c r="A344" s="58">
        <v>43291</v>
      </c>
      <c r="B344" s="56">
        <v>20.5</v>
      </c>
      <c r="C344" s="56">
        <v>16.399999999999999</v>
      </c>
      <c r="D344" s="56">
        <v>24.8</v>
      </c>
      <c r="E344" s="56">
        <v>3414.8999999999996</v>
      </c>
      <c r="F344" s="56"/>
      <c r="G344" s="56"/>
      <c r="H344" s="56">
        <v>0</v>
      </c>
      <c r="I344" s="56"/>
      <c r="J344" s="56">
        <v>4.4000000000000004</v>
      </c>
      <c r="K344" s="56"/>
      <c r="L344" s="56">
        <v>-4.4000000000000004</v>
      </c>
      <c r="M344" s="56"/>
      <c r="N344" s="56"/>
      <c r="O344" s="56"/>
      <c r="P344" s="56">
        <v>0</v>
      </c>
      <c r="Q344" s="56">
        <v>0</v>
      </c>
      <c r="R344" s="56">
        <v>51.922307692307683</v>
      </c>
      <c r="S344" s="56"/>
      <c r="T344" s="56">
        <v>1866.6</v>
      </c>
      <c r="U344" s="56"/>
      <c r="V344" s="56">
        <v>284205.29999999993</v>
      </c>
      <c r="W344" s="56"/>
      <c r="X344" s="56"/>
      <c r="Y344" s="56"/>
    </row>
    <row r="345" spans="1:25" x14ac:dyDescent="0.35">
      <c r="A345" s="58">
        <v>43292</v>
      </c>
      <c r="B345" s="56">
        <v>17.899999999999999</v>
      </c>
      <c r="C345" s="56">
        <v>13.7</v>
      </c>
      <c r="D345" s="56">
        <v>22.4</v>
      </c>
      <c r="E345" s="56">
        <v>3432.7999999999997</v>
      </c>
      <c r="F345" s="56"/>
      <c r="G345" s="56"/>
      <c r="H345" s="56">
        <v>0</v>
      </c>
      <c r="I345" s="56"/>
      <c r="J345" s="56">
        <v>2.4</v>
      </c>
      <c r="K345" s="56"/>
      <c r="L345" s="56">
        <v>-2.4</v>
      </c>
      <c r="M345" s="56"/>
      <c r="N345" s="56"/>
      <c r="O345" s="56"/>
      <c r="P345" s="56">
        <v>0</v>
      </c>
      <c r="Q345" s="56">
        <v>0</v>
      </c>
      <c r="R345" s="56">
        <v>51.922307692307683</v>
      </c>
      <c r="S345" s="56"/>
      <c r="T345" s="56">
        <v>915.9</v>
      </c>
      <c r="U345" s="56"/>
      <c r="V345" s="56">
        <v>285121.19999999995</v>
      </c>
      <c r="W345" s="56"/>
      <c r="X345" s="56"/>
      <c r="Y345" s="56"/>
    </row>
    <row r="346" spans="1:25" x14ac:dyDescent="0.35">
      <c r="A346" s="58">
        <v>43293</v>
      </c>
      <c r="B346" s="56">
        <v>20.3</v>
      </c>
      <c r="C346" s="56">
        <v>14.4</v>
      </c>
      <c r="D346" s="56">
        <v>25</v>
      </c>
      <c r="E346" s="56">
        <v>3453.1</v>
      </c>
      <c r="F346" s="56"/>
      <c r="G346" s="56"/>
      <c r="H346" s="56">
        <v>0</v>
      </c>
      <c r="I346" s="56"/>
      <c r="J346" s="56">
        <v>3.2</v>
      </c>
      <c r="K346" s="56"/>
      <c r="L346" s="56">
        <v>-3.2</v>
      </c>
      <c r="M346" s="56"/>
      <c r="N346" s="56"/>
      <c r="O346" s="56"/>
      <c r="P346" s="56">
        <v>0</v>
      </c>
      <c r="Q346" s="56">
        <v>0</v>
      </c>
      <c r="R346" s="56">
        <v>51.922307692307683</v>
      </c>
      <c r="S346" s="56"/>
      <c r="T346" s="56">
        <v>1315</v>
      </c>
      <c r="U346" s="56"/>
      <c r="V346" s="56">
        <v>286436.19999999995</v>
      </c>
      <c r="W346" s="56"/>
      <c r="X346" s="56"/>
      <c r="Y346" s="56"/>
    </row>
    <row r="347" spans="1:25" x14ac:dyDescent="0.35">
      <c r="A347" s="58">
        <v>43294</v>
      </c>
      <c r="B347" s="56">
        <v>22.6</v>
      </c>
      <c r="C347" s="56">
        <v>16.5</v>
      </c>
      <c r="D347" s="56">
        <v>27.8</v>
      </c>
      <c r="E347" s="56">
        <v>3475.7</v>
      </c>
      <c r="F347" s="56"/>
      <c r="G347" s="56"/>
      <c r="H347" s="56">
        <v>0</v>
      </c>
      <c r="I347" s="56"/>
      <c r="J347" s="56">
        <v>5.3</v>
      </c>
      <c r="K347" s="56"/>
      <c r="L347" s="56">
        <v>-5.3</v>
      </c>
      <c r="M347" s="56"/>
      <c r="N347" s="56"/>
      <c r="O347" s="56"/>
      <c r="P347" s="56">
        <v>0</v>
      </c>
      <c r="Q347" s="56">
        <v>0</v>
      </c>
      <c r="R347" s="56">
        <v>51.922307692307683</v>
      </c>
      <c r="S347" s="56"/>
      <c r="T347" s="56">
        <v>2470.6999999999998</v>
      </c>
      <c r="U347" s="56"/>
      <c r="V347" s="56">
        <v>288906.89999999997</v>
      </c>
      <c r="W347" s="56"/>
      <c r="X347" s="56"/>
      <c r="Y347" s="56"/>
    </row>
    <row r="348" spans="1:25" x14ac:dyDescent="0.35">
      <c r="A348" s="58">
        <v>43295</v>
      </c>
      <c r="B348" s="56">
        <v>23.4</v>
      </c>
      <c r="C348" s="56">
        <v>18.2</v>
      </c>
      <c r="D348" s="56">
        <v>30</v>
      </c>
      <c r="E348" s="56">
        <v>3499.1</v>
      </c>
      <c r="F348" s="56"/>
      <c r="G348" s="56"/>
      <c r="H348" s="56">
        <v>0</v>
      </c>
      <c r="I348" s="56"/>
      <c r="J348" s="56">
        <v>5.2</v>
      </c>
      <c r="K348" s="56"/>
      <c r="L348" s="56">
        <v>-5.2</v>
      </c>
      <c r="M348" s="56"/>
      <c r="N348" s="56"/>
      <c r="O348" s="56"/>
      <c r="P348" s="56">
        <v>0</v>
      </c>
      <c r="Q348" s="56">
        <v>0</v>
      </c>
      <c r="R348" s="56">
        <v>51.922307692307683</v>
      </c>
      <c r="S348" s="56"/>
      <c r="T348" s="56">
        <v>2324.6</v>
      </c>
      <c r="U348" s="56"/>
      <c r="V348" s="56">
        <v>291231.49999999994</v>
      </c>
      <c r="W348" s="56"/>
      <c r="X348" s="56"/>
      <c r="Y348" s="56"/>
    </row>
    <row r="349" spans="1:25" x14ac:dyDescent="0.35">
      <c r="A349" s="58">
        <v>43296</v>
      </c>
      <c r="B349" s="56">
        <v>24.6</v>
      </c>
      <c r="C349" s="56">
        <v>19.100000000000001</v>
      </c>
      <c r="D349" s="56">
        <v>31.1</v>
      </c>
      <c r="E349" s="56">
        <v>3523.7</v>
      </c>
      <c r="F349" s="56"/>
      <c r="G349" s="56"/>
      <c r="H349" s="56">
        <v>0</v>
      </c>
      <c r="I349" s="56"/>
      <c r="J349" s="56">
        <v>5.7</v>
      </c>
      <c r="K349" s="56"/>
      <c r="L349" s="56">
        <v>-5.7</v>
      </c>
      <c r="M349" s="56"/>
      <c r="N349" s="56"/>
      <c r="O349" s="56"/>
      <c r="P349" s="56">
        <v>0</v>
      </c>
      <c r="Q349" s="56">
        <v>0</v>
      </c>
      <c r="R349" s="56">
        <v>51.922307692307683</v>
      </c>
      <c r="S349" s="56"/>
      <c r="T349" s="56">
        <v>2561.8000000000002</v>
      </c>
      <c r="U349" s="56"/>
      <c r="V349" s="56">
        <v>293793.29999999993</v>
      </c>
      <c r="W349" s="56"/>
      <c r="X349" s="56"/>
      <c r="Y349" s="56"/>
    </row>
    <row r="350" spans="1:25" x14ac:dyDescent="0.35">
      <c r="A350" s="58">
        <v>43297</v>
      </c>
      <c r="B350" s="56">
        <v>23.5</v>
      </c>
      <c r="C350" s="56">
        <v>17.600000000000001</v>
      </c>
      <c r="D350" s="56">
        <v>29</v>
      </c>
      <c r="E350" s="56">
        <v>3547.2</v>
      </c>
      <c r="F350" s="56"/>
      <c r="G350" s="56"/>
      <c r="H350" s="56">
        <v>0</v>
      </c>
      <c r="I350" s="56"/>
      <c r="J350" s="56">
        <v>5.5</v>
      </c>
      <c r="K350" s="56"/>
      <c r="L350" s="56">
        <v>-5.5</v>
      </c>
      <c r="M350" s="56"/>
      <c r="N350" s="56"/>
      <c r="O350" s="56"/>
      <c r="P350" s="56">
        <v>0</v>
      </c>
      <c r="Q350" s="56">
        <v>0</v>
      </c>
      <c r="R350" s="56">
        <v>51.922307692307683</v>
      </c>
      <c r="S350" s="56"/>
      <c r="T350" s="56">
        <v>2143.8000000000002</v>
      </c>
      <c r="U350" s="56"/>
      <c r="V350" s="56">
        <v>295937.09999999992</v>
      </c>
      <c r="W350" s="56"/>
      <c r="X350" s="56"/>
      <c r="Y350" s="56"/>
    </row>
    <row r="351" spans="1:25" x14ac:dyDescent="0.35">
      <c r="A351" s="58">
        <v>43298</v>
      </c>
      <c r="B351" s="56">
        <v>21.3</v>
      </c>
      <c r="C351" s="56">
        <v>17.100000000000001</v>
      </c>
      <c r="D351" s="56">
        <v>25.5</v>
      </c>
      <c r="E351" s="56">
        <v>3568.5</v>
      </c>
      <c r="F351" s="56"/>
      <c r="G351" s="56"/>
      <c r="H351" s="56">
        <v>0</v>
      </c>
      <c r="I351" s="56"/>
      <c r="J351" s="56">
        <v>4</v>
      </c>
      <c r="K351" s="56"/>
      <c r="L351" s="56">
        <v>-4</v>
      </c>
      <c r="M351" s="56"/>
      <c r="N351" s="56"/>
      <c r="O351" s="56"/>
      <c r="P351" s="56">
        <v>0</v>
      </c>
      <c r="Q351" s="56">
        <v>0</v>
      </c>
      <c r="R351" s="56">
        <v>51.922307692307683</v>
      </c>
      <c r="S351" s="56"/>
      <c r="T351" s="56">
        <v>1557.5</v>
      </c>
      <c r="U351" s="56"/>
      <c r="V351" s="56">
        <v>297494.59999999992</v>
      </c>
      <c r="W351" s="56"/>
      <c r="X351" s="56"/>
      <c r="Y351" s="56"/>
    </row>
    <row r="352" spans="1:25" x14ac:dyDescent="0.35">
      <c r="A352" s="58">
        <v>43299</v>
      </c>
      <c r="B352" s="56">
        <v>22.6</v>
      </c>
      <c r="C352" s="56">
        <v>15.6</v>
      </c>
      <c r="D352" s="56">
        <v>28.5</v>
      </c>
      <c r="E352" s="56">
        <v>3591.1</v>
      </c>
      <c r="F352" s="56"/>
      <c r="G352" s="56"/>
      <c r="H352" s="56">
        <v>0</v>
      </c>
      <c r="I352" s="56"/>
      <c r="J352" s="56">
        <v>3.1</v>
      </c>
      <c r="K352" s="56"/>
      <c r="L352" s="56">
        <v>-3.1</v>
      </c>
      <c r="M352" s="56"/>
      <c r="N352" s="56"/>
      <c r="O352" s="56"/>
      <c r="P352" s="56">
        <v>0</v>
      </c>
      <c r="Q352" s="56">
        <v>0</v>
      </c>
      <c r="R352" s="56">
        <v>51.922307692307683</v>
      </c>
      <c r="S352" s="56"/>
      <c r="T352" s="56">
        <v>1495.7</v>
      </c>
      <c r="U352" s="56"/>
      <c r="V352" s="56">
        <v>298990.29999999993</v>
      </c>
      <c r="W352" s="56"/>
      <c r="X352" s="56"/>
      <c r="Y352" s="56"/>
    </row>
    <row r="353" spans="1:25" x14ac:dyDescent="0.35">
      <c r="A353" s="58">
        <v>43300</v>
      </c>
      <c r="B353" s="56">
        <v>23.8</v>
      </c>
      <c r="C353" s="56">
        <v>18.5</v>
      </c>
      <c r="D353" s="56">
        <v>30</v>
      </c>
      <c r="E353" s="56">
        <v>3614.9</v>
      </c>
      <c r="F353" s="56"/>
      <c r="G353" s="56"/>
      <c r="H353" s="56">
        <v>8.3000000000000007</v>
      </c>
      <c r="I353" s="56"/>
      <c r="J353" s="56">
        <v>4.8</v>
      </c>
      <c r="K353" s="56"/>
      <c r="L353" s="56">
        <v>3.5000000000000009</v>
      </c>
      <c r="M353" s="56"/>
      <c r="N353" s="56"/>
      <c r="O353" s="56"/>
      <c r="P353" s="56">
        <v>0</v>
      </c>
      <c r="Q353" s="56">
        <v>8.3000000000000007</v>
      </c>
      <c r="R353" s="56">
        <v>60.22230769230768</v>
      </c>
      <c r="S353" s="56"/>
      <c r="T353" s="56">
        <v>1948.7</v>
      </c>
      <c r="U353" s="56"/>
      <c r="V353" s="56">
        <v>300938.99999999994</v>
      </c>
      <c r="W353" s="56"/>
      <c r="X353" s="56"/>
      <c r="Y353" s="56"/>
    </row>
    <row r="354" spans="1:25" x14ac:dyDescent="0.35">
      <c r="A354" s="58">
        <v>43301</v>
      </c>
      <c r="B354" s="56">
        <v>19.600000000000001</v>
      </c>
      <c r="C354" s="56">
        <v>18.100000000000001</v>
      </c>
      <c r="D354" s="56">
        <v>22.8</v>
      </c>
      <c r="E354" s="56">
        <v>3634.5</v>
      </c>
      <c r="F354" s="56"/>
      <c r="G354" s="56"/>
      <c r="H354" s="56">
        <v>0</v>
      </c>
      <c r="I354" s="56"/>
      <c r="J354" s="56">
        <v>3</v>
      </c>
      <c r="K354" s="56"/>
      <c r="L354" s="56">
        <v>-3</v>
      </c>
      <c r="M354" s="56"/>
      <c r="N354" s="56"/>
      <c r="O354" s="56"/>
      <c r="P354" s="56">
        <v>0</v>
      </c>
      <c r="Q354" s="56">
        <v>0</v>
      </c>
      <c r="R354" s="56">
        <v>60.22230769230768</v>
      </c>
      <c r="S354" s="56"/>
      <c r="T354" s="56">
        <v>1514.9</v>
      </c>
      <c r="U354" s="56"/>
      <c r="V354" s="56">
        <v>302453.89999999997</v>
      </c>
      <c r="W354" s="56"/>
      <c r="X354" s="56"/>
      <c r="Y354" s="56"/>
    </row>
    <row r="355" spans="1:25" x14ac:dyDescent="0.35">
      <c r="A355" s="58">
        <v>43302</v>
      </c>
      <c r="B355" s="56">
        <v>19.600000000000001</v>
      </c>
      <c r="C355" s="56">
        <v>15.2</v>
      </c>
      <c r="D355" s="56">
        <v>24.7</v>
      </c>
      <c r="E355" s="56">
        <v>3654.1</v>
      </c>
      <c r="F355" s="56"/>
      <c r="G355" s="56"/>
      <c r="H355" s="56">
        <v>0</v>
      </c>
      <c r="I355" s="56"/>
      <c r="J355" s="56">
        <v>3.7</v>
      </c>
      <c r="K355" s="56"/>
      <c r="L355" s="56">
        <v>-3.7</v>
      </c>
      <c r="M355" s="56"/>
      <c r="N355" s="56"/>
      <c r="O355" s="56"/>
      <c r="P355" s="56">
        <v>0</v>
      </c>
      <c r="Q355" s="56">
        <v>0</v>
      </c>
      <c r="R355" s="56">
        <v>60.22230769230768</v>
      </c>
      <c r="S355" s="56"/>
      <c r="T355" s="56">
        <v>1817.9</v>
      </c>
      <c r="U355" s="56"/>
      <c r="V355" s="56">
        <v>304271.8</v>
      </c>
      <c r="W355" s="56"/>
      <c r="X355" s="56"/>
      <c r="Y355" s="56"/>
    </row>
    <row r="356" spans="1:25" x14ac:dyDescent="0.35">
      <c r="A356" s="58">
        <v>43303</v>
      </c>
      <c r="B356" s="56">
        <v>20.5</v>
      </c>
      <c r="C356" s="56">
        <v>14.3</v>
      </c>
      <c r="D356" s="56">
        <v>26</v>
      </c>
      <c r="E356" s="56">
        <v>3674.6</v>
      </c>
      <c r="F356" s="56"/>
      <c r="G356" s="56"/>
      <c r="H356" s="56">
        <v>0</v>
      </c>
      <c r="I356" s="56"/>
      <c r="J356" s="56">
        <v>4.7</v>
      </c>
      <c r="K356" s="56"/>
      <c r="L356" s="56">
        <v>-4.7</v>
      </c>
      <c r="M356" s="56"/>
      <c r="N356" s="56"/>
      <c r="O356" s="56"/>
      <c r="P356" s="56">
        <v>0</v>
      </c>
      <c r="Q356" s="56">
        <v>0</v>
      </c>
      <c r="R356" s="56">
        <v>60.22230769230768</v>
      </c>
      <c r="S356" s="56"/>
      <c r="T356" s="56">
        <v>2345.6</v>
      </c>
      <c r="U356" s="56"/>
      <c r="V356" s="56">
        <v>306617.39999999997</v>
      </c>
      <c r="W356" s="56"/>
      <c r="X356" s="56"/>
      <c r="Y356" s="56"/>
    </row>
    <row r="357" spans="1:25" x14ac:dyDescent="0.35">
      <c r="A357" s="58">
        <v>43304</v>
      </c>
      <c r="B357" s="56">
        <v>23.4</v>
      </c>
      <c r="C357" s="56">
        <v>15.6</v>
      </c>
      <c r="D357" s="56">
        <v>29.3</v>
      </c>
      <c r="E357" s="56">
        <v>3698</v>
      </c>
      <c r="F357" s="56"/>
      <c r="G357" s="56"/>
      <c r="H357" s="56">
        <v>0</v>
      </c>
      <c r="I357" s="56"/>
      <c r="J357" s="56">
        <v>4.7</v>
      </c>
      <c r="K357" s="56"/>
      <c r="L357" s="56">
        <v>-4.7</v>
      </c>
      <c r="M357" s="56"/>
      <c r="N357" s="56"/>
      <c r="O357" s="56"/>
      <c r="P357" s="56">
        <v>0</v>
      </c>
      <c r="Q357" s="56">
        <v>0</v>
      </c>
      <c r="R357" s="56">
        <v>60.22230769230768</v>
      </c>
      <c r="S357" s="56"/>
      <c r="T357" s="56">
        <v>2204.6</v>
      </c>
      <c r="U357" s="56"/>
      <c r="V357" s="56">
        <v>308821.99999999994</v>
      </c>
      <c r="W357" s="56"/>
      <c r="X357" s="56"/>
      <c r="Y357" s="56"/>
    </row>
    <row r="358" spans="1:25" x14ac:dyDescent="0.35">
      <c r="A358" s="58">
        <v>43305</v>
      </c>
      <c r="B358" s="56">
        <v>24.9</v>
      </c>
      <c r="C358" s="56">
        <v>18.2</v>
      </c>
      <c r="D358" s="56">
        <v>32.1</v>
      </c>
      <c r="E358" s="56">
        <v>3722.9</v>
      </c>
      <c r="F358" s="56"/>
      <c r="G358" s="56"/>
      <c r="H358" s="56">
        <v>0</v>
      </c>
      <c r="I358" s="56"/>
      <c r="J358" s="56">
        <v>2.9</v>
      </c>
      <c r="K358" s="56"/>
      <c r="L358" s="56">
        <v>-2.9</v>
      </c>
      <c r="M358" s="56"/>
      <c r="N358" s="56"/>
      <c r="O358" s="56"/>
      <c r="P358" s="56">
        <v>0</v>
      </c>
      <c r="Q358" s="56">
        <v>0</v>
      </c>
      <c r="R358" s="56">
        <v>60.22230769230768</v>
      </c>
      <c r="S358" s="56"/>
      <c r="T358" s="56">
        <v>1019.8</v>
      </c>
      <c r="U358" s="56"/>
      <c r="V358" s="56">
        <v>309841.79999999993</v>
      </c>
      <c r="W358" s="56"/>
      <c r="X358" s="56"/>
      <c r="Y358" s="56"/>
    </row>
    <row r="359" spans="1:25" x14ac:dyDescent="0.35">
      <c r="A359" s="58">
        <v>43306</v>
      </c>
      <c r="B359" s="56">
        <v>25.4</v>
      </c>
      <c r="C359" s="56">
        <v>18.8</v>
      </c>
      <c r="D359" s="56">
        <v>31.9</v>
      </c>
      <c r="E359" s="56">
        <v>3748.3</v>
      </c>
      <c r="F359" s="56"/>
      <c r="G359" s="56"/>
      <c r="H359" s="56">
        <v>0</v>
      </c>
      <c r="I359" s="56"/>
      <c r="J359" s="56">
        <v>6.2</v>
      </c>
      <c r="K359" s="56"/>
      <c r="L359" s="56">
        <v>-6.2</v>
      </c>
      <c r="M359" s="56"/>
      <c r="N359" s="56"/>
      <c r="O359" s="56"/>
      <c r="P359" s="56">
        <v>0</v>
      </c>
      <c r="Q359" s="56">
        <v>0</v>
      </c>
      <c r="R359" s="56">
        <v>60.22230769230768</v>
      </c>
      <c r="S359" s="56"/>
      <c r="T359" s="56">
        <v>2700.4</v>
      </c>
      <c r="U359" s="56"/>
      <c r="V359" s="56">
        <v>312542.19999999995</v>
      </c>
      <c r="W359" s="56"/>
      <c r="X359" s="56"/>
      <c r="Y359" s="56"/>
    </row>
    <row r="360" spans="1:25" x14ac:dyDescent="0.35">
      <c r="A360" s="58">
        <v>43307</v>
      </c>
      <c r="B360" s="56">
        <v>27</v>
      </c>
      <c r="C360" s="56">
        <v>19.600000000000001</v>
      </c>
      <c r="D360" s="56">
        <v>33.9</v>
      </c>
      <c r="E360" s="56">
        <v>3775.3</v>
      </c>
      <c r="F360" s="56"/>
      <c r="G360" s="56"/>
      <c r="H360" s="56">
        <v>0</v>
      </c>
      <c r="I360" s="56"/>
      <c r="J360" s="56">
        <v>5.4</v>
      </c>
      <c r="K360" s="56"/>
      <c r="L360" s="56">
        <v>-5.4</v>
      </c>
      <c r="M360" s="56"/>
      <c r="N360" s="56"/>
      <c r="O360" s="56"/>
      <c r="P360" s="56">
        <v>0</v>
      </c>
      <c r="Q360" s="56">
        <v>0</v>
      </c>
      <c r="R360" s="56">
        <v>60.22230769230768</v>
      </c>
      <c r="S360" s="56"/>
      <c r="T360" s="56">
        <v>1987.3</v>
      </c>
      <c r="U360" s="56"/>
      <c r="V360" s="56">
        <v>314529.49999999994</v>
      </c>
      <c r="W360" s="56"/>
      <c r="X360" s="56"/>
      <c r="Y360" s="56"/>
    </row>
    <row r="361" spans="1:25" x14ac:dyDescent="0.35">
      <c r="A361" s="58">
        <v>43308</v>
      </c>
      <c r="B361" s="56">
        <v>24.5</v>
      </c>
      <c r="C361" s="56">
        <v>20.5</v>
      </c>
      <c r="D361" s="56">
        <v>31.6</v>
      </c>
      <c r="E361" s="56">
        <v>3799.8</v>
      </c>
      <c r="F361" s="56"/>
      <c r="G361" s="56"/>
      <c r="H361" s="56">
        <v>0</v>
      </c>
      <c r="I361" s="56"/>
      <c r="J361" s="56">
        <v>5.5</v>
      </c>
      <c r="K361" s="56"/>
      <c r="L361" s="56">
        <v>-5.5</v>
      </c>
      <c r="M361" s="56"/>
      <c r="N361" s="56"/>
      <c r="O361" s="56"/>
      <c r="P361" s="56">
        <v>0</v>
      </c>
      <c r="Q361" s="56">
        <v>0</v>
      </c>
      <c r="R361" s="56">
        <v>60.22230769230768</v>
      </c>
      <c r="S361" s="56"/>
      <c r="T361" s="56">
        <v>2148.1</v>
      </c>
      <c r="U361" s="56"/>
      <c r="V361" s="56">
        <v>316677.59999999992</v>
      </c>
      <c r="W361" s="56"/>
      <c r="X361" s="56"/>
      <c r="Y361" s="56"/>
    </row>
    <row r="362" spans="1:25" x14ac:dyDescent="0.35">
      <c r="A362" s="58">
        <v>43309</v>
      </c>
      <c r="B362" s="56">
        <v>21.5</v>
      </c>
      <c r="C362" s="56">
        <v>19.7</v>
      </c>
      <c r="D362" s="56">
        <v>24</v>
      </c>
      <c r="E362" s="56">
        <v>3821.3</v>
      </c>
      <c r="F362" s="56"/>
      <c r="G362" s="56"/>
      <c r="H362" s="56">
        <v>0</v>
      </c>
      <c r="I362" s="56"/>
      <c r="J362" s="56">
        <v>5.4</v>
      </c>
      <c r="K362" s="56"/>
      <c r="L362" s="56">
        <v>-5.4</v>
      </c>
      <c r="M362" s="56"/>
      <c r="N362" s="56"/>
      <c r="O362" s="56"/>
      <c r="P362" s="56">
        <v>0</v>
      </c>
      <c r="Q362" s="56">
        <v>0</v>
      </c>
      <c r="R362" s="56">
        <v>60.22230769230768</v>
      </c>
      <c r="S362" s="56"/>
      <c r="T362" s="56">
        <v>1987.2</v>
      </c>
      <c r="U362" s="56"/>
      <c r="V362" s="56">
        <v>318664.79999999993</v>
      </c>
      <c r="W362" s="56"/>
      <c r="X362" s="56"/>
      <c r="Y362" s="56"/>
    </row>
    <row r="363" spans="1:25" x14ac:dyDescent="0.35">
      <c r="A363" s="58">
        <v>43310</v>
      </c>
      <c r="B363" s="56">
        <v>21.4</v>
      </c>
      <c r="C363" s="56">
        <v>16.399999999999999</v>
      </c>
      <c r="D363" s="56">
        <v>26.3</v>
      </c>
      <c r="E363" s="56">
        <v>3842.7000000000003</v>
      </c>
      <c r="F363" s="56"/>
      <c r="G363" s="56"/>
      <c r="H363" s="56">
        <v>0</v>
      </c>
      <c r="I363" s="56"/>
      <c r="J363" s="56">
        <v>4.4000000000000004</v>
      </c>
      <c r="K363" s="56"/>
      <c r="L363" s="56">
        <v>-4.4000000000000004</v>
      </c>
      <c r="M363" s="56"/>
      <c r="N363" s="56"/>
      <c r="O363" s="56"/>
      <c r="P363" s="56">
        <v>0</v>
      </c>
      <c r="Q363" s="56">
        <v>0</v>
      </c>
      <c r="R363" s="56">
        <v>60.22230769230768</v>
      </c>
      <c r="S363" s="56"/>
      <c r="T363" s="56">
        <v>1317.4</v>
      </c>
      <c r="U363" s="56"/>
      <c r="V363" s="56">
        <v>319982.19999999995</v>
      </c>
      <c r="W363" s="56"/>
      <c r="X363" s="56"/>
      <c r="Y363" s="56"/>
    </row>
    <row r="364" spans="1:25" x14ac:dyDescent="0.35">
      <c r="A364" s="58">
        <v>43311</v>
      </c>
      <c r="B364" s="56">
        <v>22.1</v>
      </c>
      <c r="C364" s="56">
        <v>17.600000000000001</v>
      </c>
      <c r="D364" s="56">
        <v>26.3</v>
      </c>
      <c r="E364" s="56">
        <v>3864.8</v>
      </c>
      <c r="F364" s="56"/>
      <c r="G364" s="56"/>
      <c r="H364" s="56">
        <v>0</v>
      </c>
      <c r="I364" s="56"/>
      <c r="J364" s="56">
        <v>3.1</v>
      </c>
      <c r="K364" s="56"/>
      <c r="L364" s="56">
        <v>-3.1</v>
      </c>
      <c r="M364" s="56"/>
      <c r="N364" s="56"/>
      <c r="O364" s="56"/>
      <c r="P364" s="56">
        <v>0</v>
      </c>
      <c r="Q364" s="56">
        <v>0</v>
      </c>
      <c r="R364" s="56">
        <v>60.22230769230768</v>
      </c>
      <c r="S364" s="56"/>
      <c r="T364" s="56">
        <v>1020.7</v>
      </c>
      <c r="U364" s="56"/>
      <c r="V364" s="56">
        <v>321002.89999999997</v>
      </c>
      <c r="W364" s="56"/>
      <c r="X364" s="56"/>
      <c r="Y364" s="56"/>
    </row>
    <row r="365" spans="1:25" x14ac:dyDescent="0.35">
      <c r="A365" s="58">
        <v>43312</v>
      </c>
      <c r="B365" s="56">
        <v>22.3</v>
      </c>
      <c r="C365" s="56">
        <v>17.8</v>
      </c>
      <c r="D365" s="56">
        <v>26.4</v>
      </c>
      <c r="E365" s="56">
        <v>3887.1000000000004</v>
      </c>
      <c r="F365" s="56"/>
      <c r="G365" s="56"/>
      <c r="H365" s="56">
        <v>0</v>
      </c>
      <c r="I365" s="56"/>
      <c r="J365" s="56">
        <v>3</v>
      </c>
      <c r="K365" s="56"/>
      <c r="L365" s="56">
        <v>-3</v>
      </c>
      <c r="M365" s="56"/>
      <c r="N365" s="56"/>
      <c r="O365" s="56"/>
      <c r="P365" s="56">
        <v>0</v>
      </c>
      <c r="Q365" s="56">
        <v>0</v>
      </c>
      <c r="R365" s="56">
        <v>60.22230769230768</v>
      </c>
      <c r="S365" s="56"/>
      <c r="T365" s="56">
        <v>1263.3</v>
      </c>
      <c r="U365" s="56"/>
      <c r="V365" s="56">
        <v>322266.19999999995</v>
      </c>
      <c r="W365" s="56"/>
      <c r="X365" s="56"/>
      <c r="Y365" s="56"/>
    </row>
  </sheetData>
  <conditionalFormatting sqref="Y31:Y341">
    <cfRule type="cellIs" dxfId="0" priority="1" operator="lessThan">
      <formula>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7"/>
  <sheetViews>
    <sheetView zoomScale="70" zoomScaleNormal="70" workbookViewId="0">
      <pane xSplit="6" ySplit="3" topLeftCell="R348" activePane="bottomRight" state="frozen"/>
      <selection pane="topRight" activeCell="G1" sqref="G1"/>
      <selection pane="bottomLeft" activeCell="A4" sqref="A4"/>
      <selection pane="bottomRight" activeCell="AC364" sqref="AC364"/>
    </sheetView>
  </sheetViews>
  <sheetFormatPr baseColWidth="10" defaultRowHeight="14.5" x14ac:dyDescent="0.35"/>
  <sheetData>
    <row r="1" spans="1:27" s="3" customFormat="1" x14ac:dyDescent="0.35">
      <c r="O1" s="3" t="s">
        <v>28</v>
      </c>
      <c r="P1" s="3">
        <v>150.80000000000001</v>
      </c>
      <c r="Q1" s="4" t="s">
        <v>29</v>
      </c>
      <c r="R1" s="5">
        <f>P1/3</f>
        <v>50.266666666666673</v>
      </c>
    </row>
    <row r="2" spans="1:27" s="3" customFormat="1" x14ac:dyDescent="0.35">
      <c r="G2" s="34" t="s">
        <v>15</v>
      </c>
      <c r="H2" s="34"/>
      <c r="I2" s="34"/>
      <c r="J2" s="34"/>
      <c r="K2" s="34"/>
      <c r="L2" s="34"/>
      <c r="M2" s="34" t="s">
        <v>26</v>
      </c>
      <c r="N2" s="34"/>
      <c r="O2" s="34"/>
      <c r="P2" s="34"/>
      <c r="Q2" s="34"/>
      <c r="R2" s="34"/>
      <c r="S2" s="34"/>
      <c r="T2" s="34"/>
      <c r="U2" s="34"/>
      <c r="V2" s="34"/>
      <c r="W2" s="34" t="s">
        <v>27</v>
      </c>
      <c r="X2" s="34"/>
      <c r="Y2" s="34"/>
      <c r="Z2" s="34"/>
      <c r="AA2" s="34"/>
    </row>
    <row r="3" spans="1:27" s="3" customFormat="1" x14ac:dyDescent="0.35">
      <c r="A3" s="3" t="s">
        <v>0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  <c r="G3" s="3" t="s">
        <v>4</v>
      </c>
      <c r="H3" s="3" t="s">
        <v>7</v>
      </c>
      <c r="I3" s="3" t="s">
        <v>8</v>
      </c>
      <c r="J3" s="3" t="s">
        <v>12</v>
      </c>
      <c r="K3" s="3" t="s">
        <v>13</v>
      </c>
      <c r="L3" s="3" t="s">
        <v>14</v>
      </c>
      <c r="M3" s="3" t="s">
        <v>3</v>
      </c>
      <c r="N3" s="3" t="s">
        <v>6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21</v>
      </c>
      <c r="T3" s="3" t="s">
        <v>20</v>
      </c>
      <c r="U3" s="3" t="s">
        <v>22</v>
      </c>
      <c r="V3" s="3" t="s">
        <v>14</v>
      </c>
      <c r="W3" s="3" t="s">
        <v>5</v>
      </c>
      <c r="X3" s="3" t="s">
        <v>23</v>
      </c>
      <c r="Y3" s="3" t="s">
        <v>24</v>
      </c>
      <c r="Z3" s="3" t="s">
        <v>25</v>
      </c>
      <c r="AA3" s="3" t="s">
        <v>14</v>
      </c>
    </row>
    <row r="4" spans="1:27" x14ac:dyDescent="0.35">
      <c r="A4">
        <v>5160</v>
      </c>
      <c r="B4">
        <v>23050</v>
      </c>
      <c r="C4" s="1">
        <v>42949</v>
      </c>
      <c r="G4">
        <v>21.9</v>
      </c>
      <c r="H4">
        <v>15.7</v>
      </c>
      <c r="I4">
        <v>27.7</v>
      </c>
      <c r="M4">
        <v>0</v>
      </c>
      <c r="N4">
        <v>5.3</v>
      </c>
      <c r="O4">
        <f>M4-N4</f>
        <v>-5.3</v>
      </c>
      <c r="P4">
        <v>0</v>
      </c>
      <c r="S4">
        <f>R4*N4</f>
        <v>0</v>
      </c>
      <c r="T4">
        <f>M4-S4</f>
        <v>0</v>
      </c>
      <c r="W4">
        <v>2166.9</v>
      </c>
    </row>
    <row r="5" spans="1:27" x14ac:dyDescent="0.35">
      <c r="A5">
        <v>5160</v>
      </c>
      <c r="B5">
        <v>23050</v>
      </c>
      <c r="C5" s="1">
        <v>42950</v>
      </c>
      <c r="G5">
        <v>22.4</v>
      </c>
      <c r="H5">
        <v>16.899999999999999</v>
      </c>
      <c r="I5">
        <v>26.3</v>
      </c>
      <c r="M5">
        <v>0.1</v>
      </c>
      <c r="N5">
        <v>4.8</v>
      </c>
      <c r="O5">
        <f t="shared" ref="O5:O68" si="0">M5-N5</f>
        <v>-4.7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1508.7</v>
      </c>
    </row>
    <row r="6" spans="1:27" x14ac:dyDescent="0.35">
      <c r="A6">
        <v>5160</v>
      </c>
      <c r="B6">
        <v>23050</v>
      </c>
      <c r="C6" s="1">
        <v>42951</v>
      </c>
      <c r="G6">
        <v>21.4</v>
      </c>
      <c r="H6">
        <v>17.7</v>
      </c>
      <c r="I6">
        <v>24.9</v>
      </c>
      <c r="M6">
        <v>0</v>
      </c>
      <c r="N6">
        <v>2.9</v>
      </c>
      <c r="O6">
        <f t="shared" si="0"/>
        <v>-2.9</v>
      </c>
      <c r="P6">
        <v>0</v>
      </c>
      <c r="S6">
        <f t="shared" si="1"/>
        <v>0</v>
      </c>
      <c r="T6">
        <f t="shared" si="2"/>
        <v>0</v>
      </c>
      <c r="W6">
        <v>565.29999999999995</v>
      </c>
    </row>
    <row r="7" spans="1:27" x14ac:dyDescent="0.35">
      <c r="A7">
        <v>5160</v>
      </c>
      <c r="B7">
        <v>23050</v>
      </c>
      <c r="C7" s="1">
        <v>42952</v>
      </c>
      <c r="G7">
        <v>19.2</v>
      </c>
      <c r="H7">
        <v>16.399999999999999</v>
      </c>
      <c r="I7">
        <v>22.4</v>
      </c>
      <c r="M7">
        <v>0</v>
      </c>
      <c r="N7">
        <v>3</v>
      </c>
      <c r="O7">
        <f t="shared" si="0"/>
        <v>-3</v>
      </c>
      <c r="P7">
        <v>0</v>
      </c>
      <c r="S7">
        <f t="shared" si="1"/>
        <v>0</v>
      </c>
      <c r="T7">
        <f t="shared" si="2"/>
        <v>0</v>
      </c>
      <c r="W7">
        <v>879.6</v>
      </c>
    </row>
    <row r="8" spans="1:27" x14ac:dyDescent="0.35">
      <c r="A8">
        <v>5160</v>
      </c>
      <c r="B8">
        <v>23050</v>
      </c>
      <c r="C8" s="1">
        <v>42953</v>
      </c>
      <c r="G8">
        <v>17.399999999999999</v>
      </c>
      <c r="H8">
        <v>11.9</v>
      </c>
      <c r="I8">
        <v>23.3</v>
      </c>
      <c r="M8">
        <v>0</v>
      </c>
      <c r="N8">
        <v>4.2</v>
      </c>
      <c r="O8">
        <f t="shared" si="0"/>
        <v>-4.2</v>
      </c>
      <c r="P8">
        <v>0</v>
      </c>
      <c r="S8">
        <f t="shared" si="1"/>
        <v>0</v>
      </c>
      <c r="T8">
        <f t="shared" si="2"/>
        <v>0</v>
      </c>
      <c r="W8">
        <v>2080.6</v>
      </c>
    </row>
    <row r="9" spans="1:27" x14ac:dyDescent="0.35">
      <c r="A9">
        <v>5160</v>
      </c>
      <c r="B9">
        <v>23050</v>
      </c>
      <c r="C9" s="1">
        <v>42954</v>
      </c>
      <c r="G9">
        <v>19.5</v>
      </c>
      <c r="H9">
        <v>12.7</v>
      </c>
      <c r="I9">
        <v>25</v>
      </c>
      <c r="M9">
        <v>2.2000000000000002</v>
      </c>
      <c r="N9">
        <v>4.5999999999999996</v>
      </c>
      <c r="O9">
        <f t="shared" si="0"/>
        <v>-2.3999999999999995</v>
      </c>
      <c r="P9">
        <v>0</v>
      </c>
      <c r="S9">
        <f t="shared" si="1"/>
        <v>0</v>
      </c>
      <c r="T9">
        <f t="shared" si="2"/>
        <v>2.2000000000000002</v>
      </c>
      <c r="W9">
        <v>2069.1</v>
      </c>
    </row>
    <row r="10" spans="1:27" x14ac:dyDescent="0.35">
      <c r="A10">
        <v>5160</v>
      </c>
      <c r="B10">
        <v>23050</v>
      </c>
      <c r="C10" s="1">
        <v>42955</v>
      </c>
      <c r="G10">
        <v>15.9</v>
      </c>
      <c r="H10">
        <v>14.9</v>
      </c>
      <c r="I10">
        <v>17.600000000000001</v>
      </c>
      <c r="M10">
        <v>2.8</v>
      </c>
      <c r="N10">
        <v>1.7</v>
      </c>
      <c r="O10">
        <f t="shared" si="0"/>
        <v>1.0999999999999999</v>
      </c>
      <c r="P10">
        <f>O10</f>
        <v>1.0999999999999999</v>
      </c>
      <c r="S10">
        <f t="shared" si="1"/>
        <v>0</v>
      </c>
      <c r="T10">
        <f t="shared" si="2"/>
        <v>2.8</v>
      </c>
      <c r="W10">
        <v>738.4</v>
      </c>
    </row>
    <row r="11" spans="1:27" x14ac:dyDescent="0.35">
      <c r="A11">
        <v>5160</v>
      </c>
      <c r="B11">
        <v>23050</v>
      </c>
      <c r="C11" s="1">
        <v>42956</v>
      </c>
      <c r="G11">
        <v>13</v>
      </c>
      <c r="H11">
        <v>12.3</v>
      </c>
      <c r="I11">
        <v>13.6</v>
      </c>
      <c r="M11">
        <v>12</v>
      </c>
      <c r="N11">
        <v>0.9</v>
      </c>
      <c r="O11">
        <f t="shared" si="0"/>
        <v>11.1</v>
      </c>
      <c r="P11">
        <f>P10+O11</f>
        <v>12.2</v>
      </c>
      <c r="S11">
        <f t="shared" si="1"/>
        <v>0</v>
      </c>
      <c r="T11">
        <f t="shared" si="2"/>
        <v>12</v>
      </c>
      <c r="W11">
        <v>781</v>
      </c>
    </row>
    <row r="12" spans="1:27" x14ac:dyDescent="0.35">
      <c r="A12">
        <v>5160</v>
      </c>
      <c r="B12">
        <v>23050</v>
      </c>
      <c r="C12" s="1">
        <v>42957</v>
      </c>
      <c r="G12">
        <v>14.2</v>
      </c>
      <c r="H12">
        <v>12.5</v>
      </c>
      <c r="I12">
        <v>16.100000000000001</v>
      </c>
      <c r="M12">
        <v>9.5</v>
      </c>
      <c r="N12">
        <v>1.4</v>
      </c>
      <c r="O12">
        <f t="shared" si="0"/>
        <v>8.1</v>
      </c>
      <c r="P12">
        <f t="shared" ref="P12:P32" si="3">P11+O12</f>
        <v>20.299999999999997</v>
      </c>
      <c r="S12">
        <f t="shared" si="1"/>
        <v>0</v>
      </c>
      <c r="T12">
        <f t="shared" si="2"/>
        <v>9.5</v>
      </c>
      <c r="W12">
        <v>852</v>
      </c>
    </row>
    <row r="13" spans="1:27" x14ac:dyDescent="0.35">
      <c r="A13">
        <v>5160</v>
      </c>
      <c r="B13">
        <v>23050</v>
      </c>
      <c r="C13" s="1">
        <v>42958</v>
      </c>
      <c r="G13">
        <v>16.100000000000001</v>
      </c>
      <c r="H13">
        <v>13.7</v>
      </c>
      <c r="I13">
        <v>19.8</v>
      </c>
      <c r="M13">
        <v>1.5</v>
      </c>
      <c r="N13">
        <v>2.2999999999999998</v>
      </c>
      <c r="O13">
        <f t="shared" si="0"/>
        <v>-0.79999999999999982</v>
      </c>
      <c r="P13">
        <f t="shared" si="3"/>
        <v>19.499999999999996</v>
      </c>
      <c r="S13">
        <f t="shared" si="1"/>
        <v>0</v>
      </c>
      <c r="T13">
        <f t="shared" si="2"/>
        <v>1.5</v>
      </c>
      <c r="W13">
        <v>1226.5999999999999</v>
      </c>
    </row>
    <row r="14" spans="1:27" x14ac:dyDescent="0.35">
      <c r="A14">
        <v>5160</v>
      </c>
      <c r="B14">
        <v>23050</v>
      </c>
      <c r="C14" s="1">
        <v>42959</v>
      </c>
      <c r="G14">
        <v>16.7</v>
      </c>
      <c r="H14">
        <v>12.2</v>
      </c>
      <c r="I14">
        <v>19.2</v>
      </c>
      <c r="M14">
        <v>3.3</v>
      </c>
      <c r="N14">
        <v>0.9</v>
      </c>
      <c r="O14">
        <f t="shared" si="0"/>
        <v>2.4</v>
      </c>
      <c r="P14">
        <f t="shared" si="3"/>
        <v>21.899999999999995</v>
      </c>
      <c r="S14">
        <f t="shared" si="1"/>
        <v>0</v>
      </c>
      <c r="T14">
        <f t="shared" si="2"/>
        <v>3.3</v>
      </c>
      <c r="W14">
        <v>501.9</v>
      </c>
    </row>
    <row r="15" spans="1:27" x14ac:dyDescent="0.35">
      <c r="A15">
        <v>5160</v>
      </c>
      <c r="B15">
        <v>23050</v>
      </c>
      <c r="C15" s="1">
        <v>42960</v>
      </c>
      <c r="G15">
        <v>17.7</v>
      </c>
      <c r="H15">
        <v>14.4</v>
      </c>
      <c r="I15">
        <v>21.6</v>
      </c>
      <c r="M15">
        <v>0</v>
      </c>
      <c r="N15">
        <v>2.2000000000000002</v>
      </c>
      <c r="O15">
        <f t="shared" si="0"/>
        <v>-2.2000000000000002</v>
      </c>
      <c r="P15">
        <f t="shared" si="3"/>
        <v>19.699999999999996</v>
      </c>
      <c r="S15">
        <f t="shared" si="1"/>
        <v>0</v>
      </c>
      <c r="T15">
        <f t="shared" si="2"/>
        <v>0</v>
      </c>
      <c r="W15">
        <v>943.7</v>
      </c>
    </row>
    <row r="16" spans="1:27" x14ac:dyDescent="0.35">
      <c r="A16">
        <v>5160</v>
      </c>
      <c r="B16">
        <v>23050</v>
      </c>
      <c r="C16" s="1">
        <v>42961</v>
      </c>
      <c r="G16">
        <v>21.5</v>
      </c>
      <c r="H16">
        <v>14.3</v>
      </c>
      <c r="I16">
        <v>26.9</v>
      </c>
      <c r="M16">
        <v>0</v>
      </c>
      <c r="N16">
        <v>2.8</v>
      </c>
      <c r="O16">
        <f t="shared" si="0"/>
        <v>-2.8</v>
      </c>
      <c r="P16">
        <f t="shared" si="3"/>
        <v>16.899999999999995</v>
      </c>
      <c r="S16">
        <f t="shared" si="1"/>
        <v>0</v>
      </c>
      <c r="T16">
        <f t="shared" si="2"/>
        <v>0</v>
      </c>
      <c r="W16">
        <v>1422.2</v>
      </c>
    </row>
    <row r="17" spans="1:23" x14ac:dyDescent="0.35">
      <c r="A17">
        <v>5160</v>
      </c>
      <c r="B17">
        <v>23050</v>
      </c>
      <c r="C17" s="1">
        <v>42962</v>
      </c>
      <c r="G17">
        <v>22.1</v>
      </c>
      <c r="H17">
        <v>20.8</v>
      </c>
      <c r="I17">
        <v>23.8</v>
      </c>
      <c r="M17">
        <v>5</v>
      </c>
      <c r="N17">
        <v>3.3</v>
      </c>
      <c r="O17">
        <f t="shared" si="0"/>
        <v>1.7000000000000002</v>
      </c>
      <c r="P17">
        <f t="shared" si="3"/>
        <v>18.599999999999994</v>
      </c>
      <c r="S17">
        <f t="shared" si="1"/>
        <v>0</v>
      </c>
      <c r="T17">
        <f t="shared" si="2"/>
        <v>5</v>
      </c>
      <c r="W17">
        <v>1583.8</v>
      </c>
    </row>
    <row r="18" spans="1:23" x14ac:dyDescent="0.35">
      <c r="A18">
        <v>5160</v>
      </c>
      <c r="B18">
        <v>23050</v>
      </c>
      <c r="C18" s="1">
        <v>42963</v>
      </c>
      <c r="G18">
        <v>19.600000000000001</v>
      </c>
      <c r="H18">
        <v>16</v>
      </c>
      <c r="I18">
        <v>23.4</v>
      </c>
      <c r="M18">
        <v>0</v>
      </c>
      <c r="N18">
        <v>2</v>
      </c>
      <c r="O18">
        <f t="shared" si="0"/>
        <v>-2</v>
      </c>
      <c r="P18">
        <f t="shared" si="3"/>
        <v>16.599999999999994</v>
      </c>
      <c r="S18">
        <f t="shared" si="1"/>
        <v>0</v>
      </c>
      <c r="T18">
        <f t="shared" si="2"/>
        <v>0</v>
      </c>
      <c r="W18">
        <v>975.8</v>
      </c>
    </row>
    <row r="19" spans="1:23" x14ac:dyDescent="0.35">
      <c r="A19">
        <v>5160</v>
      </c>
      <c r="B19">
        <v>23050</v>
      </c>
      <c r="C19" s="1">
        <v>42964</v>
      </c>
      <c r="G19">
        <v>20.2</v>
      </c>
      <c r="H19">
        <v>16.600000000000001</v>
      </c>
      <c r="I19">
        <v>23.1</v>
      </c>
      <c r="M19">
        <v>11.5</v>
      </c>
      <c r="N19">
        <v>1.7</v>
      </c>
      <c r="O19">
        <f t="shared" si="0"/>
        <v>9.8000000000000007</v>
      </c>
      <c r="P19">
        <f t="shared" si="3"/>
        <v>26.399999999999995</v>
      </c>
      <c r="S19">
        <f t="shared" si="1"/>
        <v>0</v>
      </c>
      <c r="T19">
        <f t="shared" si="2"/>
        <v>11.5</v>
      </c>
      <c r="W19">
        <v>923.6</v>
      </c>
    </row>
    <row r="20" spans="1:23" x14ac:dyDescent="0.35">
      <c r="A20">
        <v>5160</v>
      </c>
      <c r="B20">
        <v>23050</v>
      </c>
      <c r="C20" s="1">
        <v>42965</v>
      </c>
      <c r="G20">
        <v>18.3</v>
      </c>
      <c r="H20">
        <v>18.3</v>
      </c>
      <c r="I20">
        <v>21</v>
      </c>
      <c r="M20">
        <v>5.2</v>
      </c>
      <c r="N20">
        <v>1.7</v>
      </c>
      <c r="O20">
        <f t="shared" si="0"/>
        <v>3.5</v>
      </c>
      <c r="P20">
        <f t="shared" si="3"/>
        <v>29.899999999999995</v>
      </c>
      <c r="S20">
        <f t="shared" si="1"/>
        <v>0</v>
      </c>
      <c r="T20">
        <f t="shared" si="2"/>
        <v>5.2</v>
      </c>
      <c r="W20">
        <v>589.70000000000005</v>
      </c>
    </row>
    <row r="21" spans="1:23" x14ac:dyDescent="0.35">
      <c r="A21">
        <v>5160</v>
      </c>
      <c r="B21">
        <v>23050</v>
      </c>
      <c r="C21" s="1">
        <v>42966</v>
      </c>
      <c r="G21">
        <v>15.6</v>
      </c>
      <c r="H21">
        <v>10.7</v>
      </c>
      <c r="I21">
        <v>19.8</v>
      </c>
      <c r="M21">
        <v>0</v>
      </c>
      <c r="N21">
        <v>3</v>
      </c>
      <c r="O21">
        <f t="shared" si="0"/>
        <v>-3</v>
      </c>
      <c r="P21">
        <f t="shared" si="3"/>
        <v>26.899999999999995</v>
      </c>
      <c r="S21">
        <f t="shared" si="1"/>
        <v>0</v>
      </c>
      <c r="T21">
        <f t="shared" si="2"/>
        <v>0</v>
      </c>
      <c r="W21">
        <v>1792.5</v>
      </c>
    </row>
    <row r="22" spans="1:23" x14ac:dyDescent="0.35">
      <c r="A22">
        <v>5160</v>
      </c>
      <c r="B22">
        <v>23050</v>
      </c>
      <c r="C22" s="1">
        <v>42967</v>
      </c>
      <c r="G22">
        <v>17.399999999999999</v>
      </c>
      <c r="H22">
        <v>11.9</v>
      </c>
      <c r="I22">
        <v>21.4</v>
      </c>
      <c r="M22">
        <v>0</v>
      </c>
      <c r="N22">
        <v>3</v>
      </c>
      <c r="O22">
        <f t="shared" si="0"/>
        <v>-3</v>
      </c>
      <c r="P22">
        <f t="shared" si="3"/>
        <v>23.899999999999995</v>
      </c>
      <c r="S22">
        <f t="shared" si="1"/>
        <v>0</v>
      </c>
      <c r="T22">
        <f t="shared" si="2"/>
        <v>0</v>
      </c>
      <c r="W22">
        <v>1653.5</v>
      </c>
    </row>
    <row r="23" spans="1:23" x14ac:dyDescent="0.35">
      <c r="A23">
        <v>5160</v>
      </c>
      <c r="B23">
        <v>23050</v>
      </c>
      <c r="C23" s="1">
        <v>42968</v>
      </c>
      <c r="G23">
        <v>21.4</v>
      </c>
      <c r="H23">
        <v>16.100000000000001</v>
      </c>
      <c r="I23">
        <v>26.1</v>
      </c>
      <c r="M23">
        <v>0</v>
      </c>
      <c r="N23">
        <v>2.9</v>
      </c>
      <c r="O23">
        <f t="shared" si="0"/>
        <v>-2.9</v>
      </c>
      <c r="P23">
        <f t="shared" si="3"/>
        <v>20.999999999999996</v>
      </c>
      <c r="S23">
        <f t="shared" si="1"/>
        <v>0</v>
      </c>
      <c r="T23">
        <f t="shared" si="2"/>
        <v>0</v>
      </c>
      <c r="W23">
        <v>1280.3</v>
      </c>
    </row>
    <row r="24" spans="1:23" x14ac:dyDescent="0.35">
      <c r="A24">
        <v>5160</v>
      </c>
      <c r="B24">
        <v>23050</v>
      </c>
      <c r="C24" s="1">
        <v>42969</v>
      </c>
      <c r="G24">
        <v>22.9</v>
      </c>
      <c r="H24">
        <v>16.600000000000001</v>
      </c>
      <c r="I24">
        <v>28.5</v>
      </c>
      <c r="M24">
        <v>0</v>
      </c>
      <c r="N24">
        <v>3.9</v>
      </c>
      <c r="O24">
        <f t="shared" si="0"/>
        <v>-3.9</v>
      </c>
      <c r="P24">
        <f t="shared" si="3"/>
        <v>17.099999999999998</v>
      </c>
      <c r="S24">
        <f t="shared" si="1"/>
        <v>0</v>
      </c>
      <c r="T24">
        <f t="shared" si="2"/>
        <v>0</v>
      </c>
      <c r="W24">
        <v>1659</v>
      </c>
    </row>
    <row r="25" spans="1:23" x14ac:dyDescent="0.35">
      <c r="A25">
        <v>5160</v>
      </c>
      <c r="B25">
        <v>23050</v>
      </c>
      <c r="C25" s="1">
        <v>42970</v>
      </c>
      <c r="G25">
        <v>20.100000000000001</v>
      </c>
      <c r="H25">
        <v>18.2</v>
      </c>
      <c r="I25">
        <v>23.4</v>
      </c>
      <c r="M25">
        <v>0</v>
      </c>
      <c r="N25">
        <v>1.9</v>
      </c>
      <c r="O25">
        <f t="shared" si="0"/>
        <v>-1.9</v>
      </c>
      <c r="P25">
        <f t="shared" si="3"/>
        <v>15.199999999999998</v>
      </c>
      <c r="S25">
        <f t="shared" si="1"/>
        <v>0</v>
      </c>
      <c r="T25">
        <f t="shared" si="2"/>
        <v>0</v>
      </c>
      <c r="W25">
        <v>746.4</v>
      </c>
    </row>
    <row r="26" spans="1:23" x14ac:dyDescent="0.35">
      <c r="A26">
        <v>5160</v>
      </c>
      <c r="B26">
        <v>23050</v>
      </c>
      <c r="C26" s="1">
        <v>42971</v>
      </c>
      <c r="G26">
        <v>20.7</v>
      </c>
      <c r="H26">
        <v>15.7</v>
      </c>
      <c r="I26">
        <v>24.4</v>
      </c>
      <c r="M26">
        <v>0</v>
      </c>
      <c r="N26">
        <v>2.9</v>
      </c>
      <c r="O26">
        <f t="shared" si="0"/>
        <v>-2.9</v>
      </c>
      <c r="P26">
        <f t="shared" si="3"/>
        <v>12.299999999999997</v>
      </c>
      <c r="S26">
        <f t="shared" si="1"/>
        <v>0</v>
      </c>
      <c r="T26">
        <f t="shared" si="2"/>
        <v>0</v>
      </c>
      <c r="W26">
        <v>1393.8</v>
      </c>
    </row>
    <row r="27" spans="1:23" x14ac:dyDescent="0.35">
      <c r="A27">
        <v>5160</v>
      </c>
      <c r="B27">
        <v>23050</v>
      </c>
      <c r="C27" s="1">
        <v>42972</v>
      </c>
      <c r="G27">
        <v>21.1</v>
      </c>
      <c r="H27">
        <v>17.7</v>
      </c>
      <c r="I27">
        <v>24.7</v>
      </c>
      <c r="M27">
        <v>4.7</v>
      </c>
      <c r="N27">
        <v>2.4</v>
      </c>
      <c r="O27">
        <f t="shared" si="0"/>
        <v>2.3000000000000003</v>
      </c>
      <c r="P27">
        <f t="shared" si="3"/>
        <v>14.599999999999998</v>
      </c>
      <c r="S27">
        <f t="shared" si="1"/>
        <v>0</v>
      </c>
      <c r="T27">
        <f t="shared" si="2"/>
        <v>4.7</v>
      </c>
      <c r="W27">
        <v>1178.7</v>
      </c>
    </row>
    <row r="28" spans="1:23" x14ac:dyDescent="0.35">
      <c r="A28">
        <v>5160</v>
      </c>
      <c r="B28">
        <v>23050</v>
      </c>
      <c r="C28" s="1">
        <v>42973</v>
      </c>
      <c r="G28">
        <v>21.9</v>
      </c>
      <c r="H28">
        <v>15</v>
      </c>
      <c r="I28">
        <v>27.3</v>
      </c>
      <c r="M28">
        <v>0</v>
      </c>
      <c r="N28">
        <v>3.4</v>
      </c>
      <c r="O28">
        <f t="shared" si="0"/>
        <v>-3.4</v>
      </c>
      <c r="P28">
        <f t="shared" si="3"/>
        <v>11.199999999999998</v>
      </c>
      <c r="S28">
        <f t="shared" si="1"/>
        <v>0</v>
      </c>
      <c r="T28">
        <f t="shared" si="2"/>
        <v>0</v>
      </c>
      <c r="W28">
        <v>1877.3</v>
      </c>
    </row>
    <row r="29" spans="1:23" x14ac:dyDescent="0.35">
      <c r="A29">
        <v>5160</v>
      </c>
      <c r="B29">
        <v>23050</v>
      </c>
      <c r="C29" s="1">
        <v>42974</v>
      </c>
      <c r="G29">
        <v>24.4</v>
      </c>
      <c r="H29">
        <v>19</v>
      </c>
      <c r="I29">
        <v>29.6</v>
      </c>
      <c r="M29">
        <v>0</v>
      </c>
      <c r="N29">
        <v>4</v>
      </c>
      <c r="O29">
        <f t="shared" si="0"/>
        <v>-4</v>
      </c>
      <c r="P29">
        <f t="shared" si="3"/>
        <v>7.1999999999999975</v>
      </c>
      <c r="S29">
        <f t="shared" si="1"/>
        <v>0</v>
      </c>
      <c r="T29">
        <f t="shared" si="2"/>
        <v>0</v>
      </c>
      <c r="W29">
        <v>1851.6</v>
      </c>
    </row>
    <row r="30" spans="1:23" x14ac:dyDescent="0.35">
      <c r="A30">
        <v>5160</v>
      </c>
      <c r="B30">
        <v>23050</v>
      </c>
      <c r="C30" s="1">
        <v>42975</v>
      </c>
      <c r="G30">
        <v>25.1</v>
      </c>
      <c r="H30">
        <v>19.2</v>
      </c>
      <c r="I30">
        <v>30.2</v>
      </c>
      <c r="M30">
        <v>0</v>
      </c>
      <c r="N30">
        <v>3.2</v>
      </c>
      <c r="O30">
        <f t="shared" si="0"/>
        <v>-3.2</v>
      </c>
      <c r="P30">
        <f t="shared" si="3"/>
        <v>3.9999999999999973</v>
      </c>
      <c r="S30">
        <f t="shared" si="1"/>
        <v>0</v>
      </c>
      <c r="T30">
        <f t="shared" si="2"/>
        <v>0</v>
      </c>
      <c r="W30">
        <v>1171</v>
      </c>
    </row>
    <row r="31" spans="1:23" x14ac:dyDescent="0.35">
      <c r="A31">
        <v>5160</v>
      </c>
      <c r="B31">
        <v>23050</v>
      </c>
      <c r="C31" s="1">
        <v>42976</v>
      </c>
      <c r="G31">
        <v>26.3</v>
      </c>
      <c r="H31">
        <v>19.2</v>
      </c>
      <c r="I31">
        <v>33.1</v>
      </c>
      <c r="M31">
        <v>0</v>
      </c>
      <c r="N31">
        <v>5</v>
      </c>
      <c r="O31">
        <f t="shared" si="0"/>
        <v>-5</v>
      </c>
      <c r="P31">
        <v>0</v>
      </c>
      <c r="S31">
        <f t="shared" si="1"/>
        <v>0</v>
      </c>
      <c r="T31">
        <f t="shared" si="2"/>
        <v>0</v>
      </c>
      <c r="W31">
        <v>1824.3</v>
      </c>
    </row>
    <row r="32" spans="1:23" s="6" customFormat="1" ht="15" thickBot="1" x14ac:dyDescent="0.4">
      <c r="A32" s="6">
        <v>5160</v>
      </c>
      <c r="B32" s="6">
        <v>23050</v>
      </c>
      <c r="C32" s="7">
        <v>42977</v>
      </c>
      <c r="G32" s="6">
        <v>18.3</v>
      </c>
      <c r="H32" s="6">
        <v>16.2</v>
      </c>
      <c r="I32" s="6">
        <v>22.1</v>
      </c>
      <c r="M32" s="6">
        <v>5.3</v>
      </c>
      <c r="N32" s="6">
        <v>1.6</v>
      </c>
      <c r="O32" s="6">
        <f t="shared" si="0"/>
        <v>3.6999999999999997</v>
      </c>
      <c r="P32" s="8">
        <f t="shared" si="3"/>
        <v>3.6999999999999997</v>
      </c>
      <c r="S32" s="6">
        <f t="shared" si="1"/>
        <v>0</v>
      </c>
      <c r="T32" s="6">
        <f t="shared" si="2"/>
        <v>5.3</v>
      </c>
      <c r="W32" s="6">
        <v>652.9</v>
      </c>
    </row>
    <row r="33" spans="1:27" x14ac:dyDescent="0.35">
      <c r="A33">
        <v>5160</v>
      </c>
      <c r="B33">
        <v>23050</v>
      </c>
      <c r="C33" s="1">
        <v>42978</v>
      </c>
      <c r="D33" t="s">
        <v>30</v>
      </c>
      <c r="F33" s="53" t="s">
        <v>54</v>
      </c>
      <c r="G33">
        <v>15.4</v>
      </c>
      <c r="H33">
        <v>9.6999999999999993</v>
      </c>
      <c r="I33">
        <v>19.5</v>
      </c>
      <c r="J33">
        <f>G33</f>
        <v>15.4</v>
      </c>
      <c r="K33">
        <f>G33</f>
        <v>15.4</v>
      </c>
      <c r="L33" s="10" t="s">
        <v>36</v>
      </c>
      <c r="M33">
        <v>0</v>
      </c>
      <c r="N33">
        <v>2.8</v>
      </c>
      <c r="O33">
        <f t="shared" si="0"/>
        <v>-2.8</v>
      </c>
      <c r="Q33">
        <v>1</v>
      </c>
      <c r="R33">
        <v>0.35</v>
      </c>
      <c r="S33">
        <f t="shared" si="1"/>
        <v>0.97999999999999987</v>
      </c>
      <c r="T33">
        <f t="shared" si="2"/>
        <v>-0.97999999999999987</v>
      </c>
      <c r="U33" s="2">
        <f>P32+T33</f>
        <v>2.7199999999999998</v>
      </c>
      <c r="V33" s="12" t="s">
        <v>43</v>
      </c>
      <c r="W33">
        <v>1703.3</v>
      </c>
      <c r="X33">
        <f>W33</f>
        <v>1703.3</v>
      </c>
      <c r="Y33">
        <f>W33</f>
        <v>1703.3</v>
      </c>
      <c r="Z33">
        <v>13.202576184706533</v>
      </c>
      <c r="AA33" s="12" t="s">
        <v>48</v>
      </c>
    </row>
    <row r="34" spans="1:27" x14ac:dyDescent="0.35">
      <c r="A34">
        <v>5160</v>
      </c>
      <c r="B34">
        <v>23050</v>
      </c>
      <c r="C34" s="1">
        <v>42979</v>
      </c>
      <c r="F34" s="54"/>
      <c r="G34">
        <v>14.8</v>
      </c>
      <c r="H34">
        <v>10.9</v>
      </c>
      <c r="I34">
        <v>19.600000000000001</v>
      </c>
      <c r="J34">
        <f>J33+G34</f>
        <v>30.200000000000003</v>
      </c>
      <c r="K34">
        <f>K33+G34</f>
        <v>30.200000000000003</v>
      </c>
      <c r="L34" s="11">
        <v>1082.3</v>
      </c>
      <c r="M34">
        <v>1.2</v>
      </c>
      <c r="N34">
        <v>1.6</v>
      </c>
      <c r="O34">
        <f t="shared" si="0"/>
        <v>-0.40000000000000013</v>
      </c>
      <c r="Q34">
        <v>2</v>
      </c>
      <c r="R34">
        <v>0.35</v>
      </c>
      <c r="S34">
        <f t="shared" si="1"/>
        <v>0.55999999999999994</v>
      </c>
      <c r="T34">
        <f t="shared" si="2"/>
        <v>0.64</v>
      </c>
      <c r="U34" s="2">
        <f>MIN(U33+T34,150.8)</f>
        <v>3.36</v>
      </c>
      <c r="V34">
        <v>1</v>
      </c>
      <c r="W34">
        <v>1100.8</v>
      </c>
      <c r="X34">
        <f>X33+W34</f>
        <v>2804.1</v>
      </c>
      <c r="Y34">
        <f>Y33+W34</f>
        <v>2804.1</v>
      </c>
      <c r="Z34">
        <v>13.14504558293851</v>
      </c>
      <c r="AA34">
        <v>63646.7</v>
      </c>
    </row>
    <row r="35" spans="1:27" x14ac:dyDescent="0.35">
      <c r="A35">
        <v>5160</v>
      </c>
      <c r="B35">
        <v>23050</v>
      </c>
      <c r="C35" s="1">
        <v>42980</v>
      </c>
      <c r="F35" s="54"/>
      <c r="G35">
        <v>15</v>
      </c>
      <c r="H35">
        <v>10.3</v>
      </c>
      <c r="I35">
        <v>20.2</v>
      </c>
      <c r="J35">
        <f t="shared" ref="J35:J98" si="4">J34+G35</f>
        <v>45.2</v>
      </c>
      <c r="K35">
        <f t="shared" ref="K35:K98" si="5">K34+G35</f>
        <v>45.2</v>
      </c>
      <c r="L35" s="10" t="s">
        <v>37</v>
      </c>
      <c r="M35">
        <v>0</v>
      </c>
      <c r="N35">
        <v>2.8</v>
      </c>
      <c r="O35">
        <f t="shared" si="0"/>
        <v>-2.8</v>
      </c>
      <c r="Q35">
        <v>3</v>
      </c>
      <c r="R35">
        <v>0.35</v>
      </c>
      <c r="S35">
        <f t="shared" si="1"/>
        <v>0.97999999999999987</v>
      </c>
      <c r="T35">
        <f t="shared" si="2"/>
        <v>-0.97999999999999987</v>
      </c>
      <c r="U35" s="2">
        <f t="shared" ref="U35:U98" si="6">MIN(U34+T35,150.8)</f>
        <v>2.38</v>
      </c>
      <c r="V35" s="12" t="s">
        <v>44</v>
      </c>
      <c r="W35">
        <v>1552.9</v>
      </c>
      <c r="X35">
        <f t="shared" ref="X35:X98" si="7">X34+W35</f>
        <v>4357</v>
      </c>
      <c r="Y35">
        <f t="shared" ref="Y35:Y98" si="8">Y34+W35</f>
        <v>4357</v>
      </c>
      <c r="Z35">
        <v>13.087338524455982</v>
      </c>
      <c r="AA35" s="12" t="s">
        <v>49</v>
      </c>
    </row>
    <row r="36" spans="1:27" x14ac:dyDescent="0.35">
      <c r="A36">
        <v>5160</v>
      </c>
      <c r="B36">
        <v>23050</v>
      </c>
      <c r="C36" s="1">
        <v>42981</v>
      </c>
      <c r="F36" s="54"/>
      <c r="G36">
        <v>15.7</v>
      </c>
      <c r="H36">
        <v>10.1</v>
      </c>
      <c r="I36">
        <v>21.8</v>
      </c>
      <c r="J36">
        <f t="shared" si="4"/>
        <v>60.900000000000006</v>
      </c>
      <c r="K36">
        <f t="shared" si="5"/>
        <v>60.900000000000006</v>
      </c>
      <c r="L36" s="11">
        <f>AVERAGE(G33:G122)</f>
        <v>12.025555555555554</v>
      </c>
      <c r="M36">
        <v>0.5</v>
      </c>
      <c r="N36">
        <v>1.6</v>
      </c>
      <c r="O36">
        <f t="shared" si="0"/>
        <v>-1.1000000000000001</v>
      </c>
      <c r="Q36">
        <v>4</v>
      </c>
      <c r="R36">
        <v>0.35</v>
      </c>
      <c r="S36">
        <f t="shared" si="1"/>
        <v>0.55999999999999994</v>
      </c>
      <c r="T36">
        <f t="shared" si="2"/>
        <v>-5.9999999999999942E-2</v>
      </c>
      <c r="U36" s="2">
        <f t="shared" si="6"/>
        <v>2.3199999999999998</v>
      </c>
      <c r="V36">
        <v>51</v>
      </c>
      <c r="W36">
        <v>620.4</v>
      </c>
      <c r="X36">
        <f t="shared" si="7"/>
        <v>4977.3999999999996</v>
      </c>
      <c r="Y36">
        <f t="shared" si="8"/>
        <v>4977.3999999999996</v>
      </c>
      <c r="Z36">
        <v>13.029465765693395</v>
      </c>
      <c r="AA36">
        <f>(AA34/100)/L34</f>
        <v>0.58806892728448679</v>
      </c>
    </row>
    <row r="37" spans="1:27" x14ac:dyDescent="0.35">
      <c r="A37">
        <v>5160</v>
      </c>
      <c r="B37">
        <v>23050</v>
      </c>
      <c r="C37" s="1">
        <v>42982</v>
      </c>
      <c r="F37" s="54"/>
      <c r="G37">
        <v>19.2</v>
      </c>
      <c r="H37">
        <v>14.7</v>
      </c>
      <c r="I37">
        <v>23</v>
      </c>
      <c r="J37">
        <f t="shared" si="4"/>
        <v>80.100000000000009</v>
      </c>
      <c r="K37">
        <f t="shared" si="5"/>
        <v>80.100000000000009</v>
      </c>
      <c r="L37" s="10" t="s">
        <v>38</v>
      </c>
      <c r="M37">
        <v>0</v>
      </c>
      <c r="N37">
        <v>1.8</v>
      </c>
      <c r="O37">
        <f t="shared" si="0"/>
        <v>-1.8</v>
      </c>
      <c r="Q37">
        <v>5</v>
      </c>
      <c r="R37">
        <v>0.35</v>
      </c>
      <c r="S37">
        <f t="shared" si="1"/>
        <v>0.63</v>
      </c>
      <c r="T37">
        <f t="shared" si="2"/>
        <v>-0.63</v>
      </c>
      <c r="U37" s="2">
        <f t="shared" si="6"/>
        <v>1.69</v>
      </c>
      <c r="V37" s="12" t="s">
        <v>45</v>
      </c>
      <c r="W37">
        <v>633.6</v>
      </c>
      <c r="X37">
        <f t="shared" si="7"/>
        <v>5611</v>
      </c>
      <c r="Y37">
        <f t="shared" si="8"/>
        <v>5611</v>
      </c>
      <c r="Z37">
        <v>12.971437798442604</v>
      </c>
      <c r="AA37" s="12" t="s">
        <v>50</v>
      </c>
    </row>
    <row r="38" spans="1:27" x14ac:dyDescent="0.35">
      <c r="A38">
        <v>5160</v>
      </c>
      <c r="B38">
        <v>23050</v>
      </c>
      <c r="C38" s="1">
        <v>42983</v>
      </c>
      <c r="F38" s="54"/>
      <c r="G38">
        <v>19.600000000000001</v>
      </c>
      <c r="H38">
        <v>17.100000000000001</v>
      </c>
      <c r="I38">
        <v>22.1</v>
      </c>
      <c r="J38">
        <f t="shared" si="4"/>
        <v>99.700000000000017</v>
      </c>
      <c r="K38">
        <f t="shared" si="5"/>
        <v>99.700000000000017</v>
      </c>
      <c r="L38" s="11">
        <f>MIN(H33:H122)</f>
        <v>-2.2999999999999998</v>
      </c>
      <c r="M38">
        <v>0</v>
      </c>
      <c r="N38">
        <v>2</v>
      </c>
      <c r="O38">
        <f t="shared" si="0"/>
        <v>-2</v>
      </c>
      <c r="Q38">
        <v>6</v>
      </c>
      <c r="R38">
        <f>0.35+((Q38-5)/85)*(1-0.35)</f>
        <v>0.35764705882352937</v>
      </c>
      <c r="S38">
        <f t="shared" si="1"/>
        <v>0.71529411764705875</v>
      </c>
      <c r="T38">
        <f t="shared" si="2"/>
        <v>-0.71529411764705875</v>
      </c>
      <c r="U38" s="2">
        <f t="shared" si="6"/>
        <v>0.9747058823529412</v>
      </c>
      <c r="V38" s="2">
        <f>MIN(U33:U122)</f>
        <v>0</v>
      </c>
      <c r="W38">
        <v>818.9</v>
      </c>
      <c r="X38">
        <f t="shared" si="7"/>
        <v>6429.9</v>
      </c>
      <c r="Y38">
        <f t="shared" si="8"/>
        <v>6429.9</v>
      </c>
      <c r="Z38">
        <v>12.913264862729008</v>
      </c>
      <c r="AA38">
        <v>64</v>
      </c>
    </row>
    <row r="39" spans="1:27" x14ac:dyDescent="0.35">
      <c r="A39">
        <v>5160</v>
      </c>
      <c r="B39">
        <v>23050</v>
      </c>
      <c r="C39" s="1">
        <v>42984</v>
      </c>
      <c r="F39" s="54"/>
      <c r="G39">
        <v>16.600000000000001</v>
      </c>
      <c r="H39">
        <v>14</v>
      </c>
      <c r="I39">
        <v>18.8</v>
      </c>
      <c r="J39">
        <f t="shared" si="4"/>
        <v>116.30000000000001</v>
      </c>
      <c r="K39">
        <f t="shared" si="5"/>
        <v>116.30000000000001</v>
      </c>
      <c r="L39" s="10" t="s">
        <v>39</v>
      </c>
      <c r="M39">
        <v>0</v>
      </c>
      <c r="N39">
        <v>2.2999999999999998</v>
      </c>
      <c r="O39">
        <f t="shared" si="0"/>
        <v>-2.2999999999999998</v>
      </c>
      <c r="Q39">
        <v>7</v>
      </c>
      <c r="R39">
        <f t="shared" ref="R39:R102" si="9">0.35+((Q39-5)/85)*(1-0.35)</f>
        <v>0.36529411764705882</v>
      </c>
      <c r="S39">
        <f t="shared" si="1"/>
        <v>0.84017647058823519</v>
      </c>
      <c r="T39">
        <f t="shared" si="2"/>
        <v>-0.84017647058823519</v>
      </c>
      <c r="U39" s="2">
        <f t="shared" si="6"/>
        <v>0.13452941176470601</v>
      </c>
      <c r="V39" s="12" t="s">
        <v>46</v>
      </c>
      <c r="W39">
        <v>786.1</v>
      </c>
      <c r="X39">
        <f t="shared" si="7"/>
        <v>7216</v>
      </c>
      <c r="Y39">
        <f t="shared" si="8"/>
        <v>7216</v>
      </c>
      <c r="Z39">
        <v>12.854956959961921</v>
      </c>
    </row>
    <row r="40" spans="1:27" x14ac:dyDescent="0.35">
      <c r="A40">
        <v>5160</v>
      </c>
      <c r="B40">
        <v>23050</v>
      </c>
      <c r="C40" s="1">
        <v>42985</v>
      </c>
      <c r="F40" s="54"/>
      <c r="G40">
        <v>15.6</v>
      </c>
      <c r="H40">
        <v>10.8</v>
      </c>
      <c r="I40">
        <v>18.600000000000001</v>
      </c>
      <c r="J40">
        <f t="shared" si="4"/>
        <v>131.9</v>
      </c>
      <c r="K40">
        <f t="shared" si="5"/>
        <v>131.9</v>
      </c>
      <c r="L40" s="11">
        <f>MAX(I33:I122)</f>
        <v>24.8</v>
      </c>
      <c r="M40">
        <v>0</v>
      </c>
      <c r="N40">
        <v>1.5</v>
      </c>
      <c r="O40">
        <f t="shared" si="0"/>
        <v>-1.5</v>
      </c>
      <c r="Q40">
        <v>8</v>
      </c>
      <c r="R40">
        <f t="shared" si="9"/>
        <v>0.37294117647058822</v>
      </c>
      <c r="S40">
        <f t="shared" si="1"/>
        <v>0.55941176470588228</v>
      </c>
      <c r="T40">
        <f t="shared" si="2"/>
        <v>-0.55941176470588228</v>
      </c>
      <c r="U40" s="2">
        <v>0</v>
      </c>
      <c r="V40" s="2">
        <f>MAX(U33:U122)</f>
        <v>64.822705882352949</v>
      </c>
      <c r="W40">
        <v>482</v>
      </c>
      <c r="X40">
        <f t="shared" si="7"/>
        <v>7698</v>
      </c>
      <c r="Y40">
        <f t="shared" si="8"/>
        <v>7698</v>
      </c>
      <c r="Z40">
        <v>12.796523866333239</v>
      </c>
    </row>
    <row r="41" spans="1:27" x14ac:dyDescent="0.35">
      <c r="A41">
        <v>5160</v>
      </c>
      <c r="B41">
        <v>23050</v>
      </c>
      <c r="C41" s="1">
        <v>42986</v>
      </c>
      <c r="F41" s="54"/>
      <c r="G41">
        <v>16.600000000000001</v>
      </c>
      <c r="H41">
        <v>15.2</v>
      </c>
      <c r="I41">
        <v>18.3</v>
      </c>
      <c r="J41">
        <f t="shared" si="4"/>
        <v>148.5</v>
      </c>
      <c r="K41">
        <f t="shared" si="5"/>
        <v>148.5</v>
      </c>
      <c r="L41" s="10" t="s">
        <v>40</v>
      </c>
      <c r="M41">
        <v>32.799999999999997</v>
      </c>
      <c r="N41">
        <v>1.7</v>
      </c>
      <c r="O41">
        <f t="shared" si="0"/>
        <v>31.099999999999998</v>
      </c>
      <c r="Q41">
        <v>9</v>
      </c>
      <c r="R41">
        <f t="shared" si="9"/>
        <v>0.38058823529411762</v>
      </c>
      <c r="S41">
        <f t="shared" si="1"/>
        <v>0.64699999999999991</v>
      </c>
      <c r="T41">
        <f t="shared" si="2"/>
        <v>32.152999999999999</v>
      </c>
      <c r="U41" s="2">
        <f t="shared" si="6"/>
        <v>32.152999999999999</v>
      </c>
      <c r="V41" s="12" t="s">
        <v>47</v>
      </c>
      <c r="W41">
        <v>426.2</v>
      </c>
      <c r="X41">
        <f t="shared" si="7"/>
        <v>8124.2</v>
      </c>
      <c r="Y41">
        <f t="shared" si="8"/>
        <v>8124.2</v>
      </c>
      <c r="Z41">
        <v>12.737975146440302</v>
      </c>
    </row>
    <row r="42" spans="1:27" x14ac:dyDescent="0.35">
      <c r="A42">
        <v>5160</v>
      </c>
      <c r="B42">
        <v>23050</v>
      </c>
      <c r="C42" s="1">
        <v>42987</v>
      </c>
      <c r="F42" s="54"/>
      <c r="G42">
        <v>14.1</v>
      </c>
      <c r="H42">
        <v>12.9</v>
      </c>
      <c r="I42">
        <v>17.2</v>
      </c>
      <c r="J42">
        <f t="shared" si="4"/>
        <v>162.6</v>
      </c>
      <c r="K42">
        <f t="shared" si="5"/>
        <v>162.6</v>
      </c>
      <c r="L42" s="11">
        <v>0</v>
      </c>
      <c r="M42">
        <v>0.4</v>
      </c>
      <c r="N42">
        <v>2</v>
      </c>
      <c r="O42">
        <f t="shared" si="0"/>
        <v>-1.6</v>
      </c>
      <c r="Q42">
        <v>10</v>
      </c>
      <c r="R42">
        <f t="shared" si="9"/>
        <v>0.38823529411764701</v>
      </c>
      <c r="S42">
        <f t="shared" si="1"/>
        <v>0.77647058823529402</v>
      </c>
      <c r="T42">
        <f t="shared" si="2"/>
        <v>-0.376470588235294</v>
      </c>
      <c r="U42" s="2">
        <f t="shared" si="6"/>
        <v>31.776529411764706</v>
      </c>
      <c r="V42" s="2">
        <f>AVERAGE(U33:U122)</f>
        <v>44.381178431372561</v>
      </c>
      <c r="W42">
        <v>925</v>
      </c>
      <c r="X42">
        <f t="shared" si="7"/>
        <v>9049.2000000000007</v>
      </c>
      <c r="Y42">
        <f t="shared" si="8"/>
        <v>9049.2000000000007</v>
      </c>
      <c r="Z42">
        <v>12.67932016711044</v>
      </c>
    </row>
    <row r="43" spans="1:27" x14ac:dyDescent="0.35">
      <c r="A43">
        <v>5160</v>
      </c>
      <c r="B43">
        <v>23050</v>
      </c>
      <c r="C43" s="1">
        <v>42988</v>
      </c>
      <c r="F43" s="54"/>
      <c r="G43">
        <v>14.9</v>
      </c>
      <c r="H43">
        <v>11</v>
      </c>
      <c r="I43">
        <v>17.5</v>
      </c>
      <c r="J43">
        <f t="shared" si="4"/>
        <v>177.5</v>
      </c>
      <c r="K43">
        <f t="shared" si="5"/>
        <v>177.5</v>
      </c>
      <c r="L43" s="10" t="s">
        <v>41</v>
      </c>
      <c r="M43">
        <v>0.5</v>
      </c>
      <c r="N43">
        <v>1.2</v>
      </c>
      <c r="O43">
        <f t="shared" si="0"/>
        <v>-0.7</v>
      </c>
      <c r="Q43">
        <v>11</v>
      </c>
      <c r="R43">
        <f t="shared" si="9"/>
        <v>0.39588235294117646</v>
      </c>
      <c r="S43">
        <f t="shared" si="1"/>
        <v>0.47505882352941176</v>
      </c>
      <c r="T43">
        <f t="shared" si="2"/>
        <v>2.4941176470588244E-2</v>
      </c>
      <c r="U43" s="2">
        <f t="shared" si="6"/>
        <v>31.801470588235293</v>
      </c>
      <c r="W43">
        <v>618.70000000000005</v>
      </c>
      <c r="X43">
        <f t="shared" si="7"/>
        <v>9667.9000000000015</v>
      </c>
      <c r="Y43">
        <f t="shared" si="8"/>
        <v>9667.9000000000015</v>
      </c>
      <c r="Z43">
        <v>12.620568111406389</v>
      </c>
    </row>
    <row r="44" spans="1:27" x14ac:dyDescent="0.35">
      <c r="A44">
        <v>5160</v>
      </c>
      <c r="B44">
        <v>23050</v>
      </c>
      <c r="C44" s="1">
        <v>42989</v>
      </c>
      <c r="F44" s="54"/>
      <c r="G44">
        <v>14.7</v>
      </c>
      <c r="H44">
        <v>11.7</v>
      </c>
      <c r="I44">
        <v>18.3</v>
      </c>
      <c r="J44">
        <f t="shared" si="4"/>
        <v>192.2</v>
      </c>
      <c r="K44">
        <f t="shared" si="5"/>
        <v>192.2</v>
      </c>
      <c r="L44" s="11">
        <v>16</v>
      </c>
      <c r="M44">
        <v>0.2</v>
      </c>
      <c r="N44">
        <v>2.6</v>
      </c>
      <c r="O44">
        <f t="shared" si="0"/>
        <v>-2.4</v>
      </c>
      <c r="Q44">
        <v>12</v>
      </c>
      <c r="R44">
        <f t="shared" si="9"/>
        <v>0.40352941176470586</v>
      </c>
      <c r="S44">
        <f t="shared" si="1"/>
        <v>1.0491764705882354</v>
      </c>
      <c r="T44">
        <f t="shared" si="2"/>
        <v>-0.84917647058823542</v>
      </c>
      <c r="U44" s="2">
        <f t="shared" si="6"/>
        <v>30.952294117647057</v>
      </c>
      <c r="V44">
        <f>(V42*100)/150.8</f>
        <v>29.430489675976499</v>
      </c>
      <c r="W44">
        <v>1135.2</v>
      </c>
      <c r="X44">
        <f t="shared" si="7"/>
        <v>10803.100000000002</v>
      </c>
      <c r="Y44">
        <f t="shared" si="8"/>
        <v>10803.100000000002</v>
      </c>
      <c r="Z44">
        <v>12.56172799279312</v>
      </c>
    </row>
    <row r="45" spans="1:27" x14ac:dyDescent="0.35">
      <c r="A45">
        <v>5160</v>
      </c>
      <c r="B45">
        <v>23050</v>
      </c>
      <c r="C45" s="1">
        <v>42990</v>
      </c>
      <c r="F45" s="54"/>
      <c r="G45">
        <v>15.1</v>
      </c>
      <c r="H45">
        <v>11.6</v>
      </c>
      <c r="I45">
        <v>18.5</v>
      </c>
      <c r="J45">
        <f t="shared" si="4"/>
        <v>207.29999999999998</v>
      </c>
      <c r="K45">
        <f t="shared" si="5"/>
        <v>207.29999999999998</v>
      </c>
      <c r="L45" s="10" t="s">
        <v>42</v>
      </c>
      <c r="M45">
        <v>0.4</v>
      </c>
      <c r="N45">
        <v>2.5</v>
      </c>
      <c r="O45">
        <f t="shared" si="0"/>
        <v>-2.1</v>
      </c>
      <c r="Q45">
        <v>13</v>
      </c>
      <c r="R45">
        <f t="shared" si="9"/>
        <v>0.41117647058823525</v>
      </c>
      <c r="S45">
        <f t="shared" si="1"/>
        <v>1.0279411764705881</v>
      </c>
      <c r="T45">
        <f t="shared" si="2"/>
        <v>-0.62794117647058811</v>
      </c>
      <c r="U45" s="2">
        <f t="shared" si="6"/>
        <v>30.324352941176468</v>
      </c>
      <c r="W45">
        <v>819.8</v>
      </c>
      <c r="X45">
        <f t="shared" si="7"/>
        <v>11622.900000000001</v>
      </c>
      <c r="Y45">
        <f t="shared" si="8"/>
        <v>11622.900000000001</v>
      </c>
      <c r="Z45">
        <v>12.502808669448111</v>
      </c>
    </row>
    <row r="46" spans="1:27" x14ac:dyDescent="0.35">
      <c r="A46">
        <v>5160</v>
      </c>
      <c r="B46">
        <v>23050</v>
      </c>
      <c r="C46" s="1">
        <v>42991</v>
      </c>
      <c r="F46" s="54"/>
      <c r="G46">
        <v>17.2</v>
      </c>
      <c r="H46">
        <v>15.5</v>
      </c>
      <c r="I46">
        <v>19.399999999999999</v>
      </c>
      <c r="J46">
        <f t="shared" si="4"/>
        <v>224.49999999999997</v>
      </c>
      <c r="K46">
        <f t="shared" si="5"/>
        <v>224.49999999999997</v>
      </c>
      <c r="L46" s="11">
        <v>3</v>
      </c>
      <c r="M46">
        <v>17.100000000000001</v>
      </c>
      <c r="N46">
        <v>1.6</v>
      </c>
      <c r="O46">
        <f t="shared" si="0"/>
        <v>15.500000000000002</v>
      </c>
      <c r="Q46">
        <v>14</v>
      </c>
      <c r="R46">
        <f t="shared" si="9"/>
        <v>0.41882352941176471</v>
      </c>
      <c r="S46">
        <f t="shared" si="1"/>
        <v>0.6701176470588236</v>
      </c>
      <c r="T46">
        <f t="shared" si="2"/>
        <v>16.429882352941178</v>
      </c>
      <c r="U46" s="2">
        <f t="shared" si="6"/>
        <v>46.754235294117649</v>
      </c>
      <c r="W46">
        <v>426.2</v>
      </c>
      <c r="X46">
        <f t="shared" si="7"/>
        <v>12049.100000000002</v>
      </c>
      <c r="Y46">
        <f t="shared" si="8"/>
        <v>12049.100000000002</v>
      </c>
      <c r="Z46">
        <v>12.4438188586983</v>
      </c>
    </row>
    <row r="47" spans="1:27" x14ac:dyDescent="0.35">
      <c r="A47">
        <v>5160</v>
      </c>
      <c r="B47">
        <v>23050</v>
      </c>
      <c r="C47" s="1">
        <v>42992</v>
      </c>
      <c r="F47" s="54"/>
      <c r="G47">
        <v>13</v>
      </c>
      <c r="H47">
        <v>11.6</v>
      </c>
      <c r="I47">
        <v>15.8</v>
      </c>
      <c r="J47">
        <f t="shared" si="4"/>
        <v>237.49999999999997</v>
      </c>
      <c r="K47">
        <f t="shared" si="5"/>
        <v>237.49999999999997</v>
      </c>
      <c r="M47">
        <v>0.4</v>
      </c>
      <c r="N47">
        <v>2</v>
      </c>
      <c r="O47">
        <f t="shared" si="0"/>
        <v>-1.6</v>
      </c>
      <c r="Q47">
        <v>15</v>
      </c>
      <c r="R47">
        <f t="shared" si="9"/>
        <v>0.4264705882352941</v>
      </c>
      <c r="S47">
        <f t="shared" si="1"/>
        <v>0.8529411764705882</v>
      </c>
      <c r="T47">
        <f t="shared" si="2"/>
        <v>-0.45294117647058818</v>
      </c>
      <c r="U47" s="2">
        <f t="shared" si="6"/>
        <v>46.30129411764706</v>
      </c>
      <c r="W47">
        <v>947.6</v>
      </c>
      <c r="X47">
        <f t="shared" si="7"/>
        <v>12996.700000000003</v>
      </c>
      <c r="Y47">
        <f t="shared" si="8"/>
        <v>12996.700000000003</v>
      </c>
      <c r="Z47">
        <v>12.384767151568125</v>
      </c>
    </row>
    <row r="48" spans="1:27" x14ac:dyDescent="0.35">
      <c r="A48">
        <v>5160</v>
      </c>
      <c r="B48">
        <v>23050</v>
      </c>
      <c r="C48" s="1">
        <v>42993</v>
      </c>
      <c r="F48" s="54"/>
      <c r="G48">
        <v>11.5</v>
      </c>
      <c r="H48">
        <v>8</v>
      </c>
      <c r="I48">
        <v>16.5</v>
      </c>
      <c r="J48">
        <f t="shared" si="4"/>
        <v>248.99999999999997</v>
      </c>
      <c r="K48">
        <f t="shared" si="5"/>
        <v>248.99999999999997</v>
      </c>
      <c r="M48">
        <v>4.5</v>
      </c>
      <c r="N48">
        <v>1.9</v>
      </c>
      <c r="O48">
        <f t="shared" si="0"/>
        <v>2.6</v>
      </c>
      <c r="Q48">
        <v>16</v>
      </c>
      <c r="R48">
        <f t="shared" si="9"/>
        <v>0.4341176470588235</v>
      </c>
      <c r="S48">
        <f t="shared" si="1"/>
        <v>0.82482352941176462</v>
      </c>
      <c r="T48">
        <f t="shared" si="2"/>
        <v>3.6751764705882355</v>
      </c>
      <c r="U48" s="2">
        <f t="shared" si="6"/>
        <v>49.976470588235294</v>
      </c>
      <c r="W48">
        <v>1253.2</v>
      </c>
      <c r="X48">
        <f t="shared" si="7"/>
        <v>14249.900000000003</v>
      </c>
      <c r="Y48">
        <f t="shared" si="8"/>
        <v>14249.900000000003</v>
      </c>
      <c r="Z48">
        <v>12.325662027424119</v>
      </c>
    </row>
    <row r="49" spans="1:26" x14ac:dyDescent="0.35">
      <c r="A49">
        <v>5160</v>
      </c>
      <c r="B49">
        <v>23050</v>
      </c>
      <c r="C49" s="1">
        <v>42994</v>
      </c>
      <c r="F49" s="54"/>
      <c r="G49">
        <v>11.7</v>
      </c>
      <c r="H49">
        <v>8.6</v>
      </c>
      <c r="I49">
        <v>14.3</v>
      </c>
      <c r="J49">
        <f t="shared" si="4"/>
        <v>260.7</v>
      </c>
      <c r="K49">
        <f t="shared" si="5"/>
        <v>260.7</v>
      </c>
      <c r="M49">
        <v>1.1000000000000001</v>
      </c>
      <c r="N49">
        <v>1.2</v>
      </c>
      <c r="O49">
        <f t="shared" si="0"/>
        <v>-9.9999999999999867E-2</v>
      </c>
      <c r="Q49">
        <v>17</v>
      </c>
      <c r="R49">
        <f t="shared" si="9"/>
        <v>0.44176470588235295</v>
      </c>
      <c r="S49">
        <f t="shared" si="1"/>
        <v>0.53011764705882347</v>
      </c>
      <c r="T49">
        <f t="shared" si="2"/>
        <v>0.56988235294117662</v>
      </c>
      <c r="U49" s="2">
        <f t="shared" si="6"/>
        <v>50.546352941176472</v>
      </c>
      <c r="W49">
        <v>1037.4000000000001</v>
      </c>
      <c r="X49">
        <f t="shared" si="7"/>
        <v>15287.300000000003</v>
      </c>
      <c r="Y49">
        <f t="shared" si="8"/>
        <v>15287.300000000003</v>
      </c>
      <c r="Z49">
        <v>12.266511868702503</v>
      </c>
    </row>
    <row r="50" spans="1:26" x14ac:dyDescent="0.35">
      <c r="A50">
        <v>5160</v>
      </c>
      <c r="B50">
        <v>23050</v>
      </c>
      <c r="C50" s="1">
        <v>42995</v>
      </c>
      <c r="F50" s="54"/>
      <c r="G50">
        <v>10.199999999999999</v>
      </c>
      <c r="H50">
        <v>8.6999999999999993</v>
      </c>
      <c r="I50">
        <v>12.5</v>
      </c>
      <c r="J50">
        <f t="shared" si="4"/>
        <v>270.89999999999998</v>
      </c>
      <c r="K50">
        <f t="shared" si="5"/>
        <v>270.89999999999998</v>
      </c>
      <c r="M50">
        <v>2</v>
      </c>
      <c r="N50">
        <v>0.6</v>
      </c>
      <c r="O50">
        <f t="shared" si="0"/>
        <v>1.4</v>
      </c>
      <c r="Q50">
        <v>18</v>
      </c>
      <c r="R50">
        <f t="shared" si="9"/>
        <v>0.44941176470588234</v>
      </c>
      <c r="S50">
        <f t="shared" si="1"/>
        <v>0.26964705882352941</v>
      </c>
      <c r="T50">
        <f t="shared" si="2"/>
        <v>1.7303529411764706</v>
      </c>
      <c r="U50" s="2">
        <f t="shared" si="6"/>
        <v>52.276705882352942</v>
      </c>
      <c r="W50">
        <v>587</v>
      </c>
      <c r="X50">
        <f t="shared" si="7"/>
        <v>15874.300000000003</v>
      </c>
      <c r="Y50">
        <f t="shared" si="8"/>
        <v>15874.300000000003</v>
      </c>
      <c r="Z50">
        <v>12.207324975706985</v>
      </c>
    </row>
    <row r="51" spans="1:26" x14ac:dyDescent="0.35">
      <c r="A51">
        <v>5160</v>
      </c>
      <c r="B51">
        <v>23050</v>
      </c>
      <c r="C51" s="1">
        <v>42996</v>
      </c>
      <c r="F51" s="54"/>
      <c r="G51">
        <v>10</v>
      </c>
      <c r="H51">
        <v>5.2</v>
      </c>
      <c r="I51">
        <v>15.9</v>
      </c>
      <c r="J51">
        <f t="shared" si="4"/>
        <v>280.89999999999998</v>
      </c>
      <c r="K51">
        <f t="shared" si="5"/>
        <v>280.89999999999998</v>
      </c>
      <c r="M51">
        <v>2.5</v>
      </c>
      <c r="N51">
        <v>1.6</v>
      </c>
      <c r="O51">
        <f t="shared" si="0"/>
        <v>0.89999999999999991</v>
      </c>
      <c r="Q51">
        <v>19</v>
      </c>
      <c r="R51">
        <f t="shared" si="9"/>
        <v>0.45705882352941174</v>
      </c>
      <c r="S51">
        <f t="shared" si="1"/>
        <v>0.73129411764705887</v>
      </c>
      <c r="T51">
        <f t="shared" si="2"/>
        <v>1.7687058823529411</v>
      </c>
      <c r="U51" s="2">
        <f t="shared" si="6"/>
        <v>54.045411764705882</v>
      </c>
      <c r="W51">
        <v>1069.5</v>
      </c>
      <c r="X51">
        <f t="shared" si="7"/>
        <v>16943.800000000003</v>
      </c>
      <c r="Y51">
        <f t="shared" si="8"/>
        <v>16943.800000000003</v>
      </c>
      <c r="Z51">
        <v>12.148109581464766</v>
      </c>
    </row>
    <row r="52" spans="1:26" x14ac:dyDescent="0.35">
      <c r="A52">
        <v>5160</v>
      </c>
      <c r="B52">
        <v>23050</v>
      </c>
      <c r="C52" s="1">
        <v>42997</v>
      </c>
      <c r="F52" s="54"/>
      <c r="G52">
        <v>11.6</v>
      </c>
      <c r="H52">
        <v>8.6</v>
      </c>
      <c r="I52">
        <v>14.7</v>
      </c>
      <c r="J52">
        <f t="shared" si="4"/>
        <v>292.5</v>
      </c>
      <c r="K52">
        <f t="shared" si="5"/>
        <v>292.5</v>
      </c>
      <c r="M52">
        <v>0.5</v>
      </c>
      <c r="N52">
        <v>1.5</v>
      </c>
      <c r="O52">
        <f t="shared" si="0"/>
        <v>-1</v>
      </c>
      <c r="Q52">
        <v>20</v>
      </c>
      <c r="R52">
        <f t="shared" si="9"/>
        <v>0.46470588235294119</v>
      </c>
      <c r="S52">
        <f t="shared" si="1"/>
        <v>0.69705882352941173</v>
      </c>
      <c r="T52">
        <f t="shared" si="2"/>
        <v>-0.19705882352941173</v>
      </c>
      <c r="U52" s="2">
        <f t="shared" si="6"/>
        <v>53.848352941176472</v>
      </c>
      <c r="W52">
        <v>1112.5</v>
      </c>
      <c r="X52">
        <f t="shared" si="7"/>
        <v>18056.300000000003</v>
      </c>
      <c r="Y52">
        <f t="shared" si="8"/>
        <v>18056.300000000003</v>
      </c>
      <c r="Z52">
        <v>12.088873866629303</v>
      </c>
    </row>
    <row r="53" spans="1:26" x14ac:dyDescent="0.35">
      <c r="A53">
        <v>5160</v>
      </c>
      <c r="B53">
        <v>23050</v>
      </c>
      <c r="C53" s="1">
        <v>42998</v>
      </c>
      <c r="F53" s="54"/>
      <c r="G53">
        <v>12</v>
      </c>
      <c r="H53">
        <v>6.3</v>
      </c>
      <c r="I53">
        <v>18</v>
      </c>
      <c r="J53">
        <f t="shared" si="4"/>
        <v>304.5</v>
      </c>
      <c r="K53">
        <f t="shared" si="5"/>
        <v>304.5</v>
      </c>
      <c r="M53">
        <v>0.1</v>
      </c>
      <c r="N53">
        <v>2.1</v>
      </c>
      <c r="O53">
        <f t="shared" si="0"/>
        <v>-2</v>
      </c>
      <c r="Q53">
        <v>21</v>
      </c>
      <c r="R53">
        <f t="shared" si="9"/>
        <v>0.47235294117647059</v>
      </c>
      <c r="S53">
        <f t="shared" si="1"/>
        <v>0.99194117647058833</v>
      </c>
      <c r="T53">
        <f t="shared" si="2"/>
        <v>-0.89194117647058835</v>
      </c>
      <c r="U53" s="2">
        <f t="shared" si="6"/>
        <v>52.956411764705884</v>
      </c>
      <c r="W53">
        <v>1431.9</v>
      </c>
      <c r="X53">
        <f t="shared" si="7"/>
        <v>19488.200000000004</v>
      </c>
      <c r="Y53">
        <f t="shared" si="8"/>
        <v>19488.200000000004</v>
      </c>
      <c r="Z53">
        <v>12.02962597441897</v>
      </c>
    </row>
    <row r="54" spans="1:26" x14ac:dyDescent="0.35">
      <c r="A54">
        <v>5160</v>
      </c>
      <c r="B54">
        <v>23050</v>
      </c>
      <c r="C54" s="1">
        <v>42999</v>
      </c>
      <c r="F54" s="54"/>
      <c r="G54">
        <v>13.6</v>
      </c>
      <c r="H54">
        <v>7.6</v>
      </c>
      <c r="I54">
        <v>19.8</v>
      </c>
      <c r="J54">
        <f t="shared" si="4"/>
        <v>318.10000000000002</v>
      </c>
      <c r="K54">
        <f t="shared" si="5"/>
        <v>318.10000000000002</v>
      </c>
      <c r="M54">
        <v>0</v>
      </c>
      <c r="N54">
        <v>3</v>
      </c>
      <c r="O54">
        <f t="shared" si="0"/>
        <v>-3</v>
      </c>
      <c r="Q54">
        <v>22</v>
      </c>
      <c r="R54">
        <f t="shared" si="9"/>
        <v>0.48</v>
      </c>
      <c r="S54">
        <f t="shared" si="1"/>
        <v>1.44</v>
      </c>
      <c r="T54">
        <f t="shared" si="2"/>
        <v>-1.44</v>
      </c>
      <c r="U54" s="2">
        <f t="shared" si="6"/>
        <v>51.516411764705886</v>
      </c>
      <c r="W54">
        <v>1845.7</v>
      </c>
      <c r="X54">
        <f t="shared" si="7"/>
        <v>21333.900000000005</v>
      </c>
      <c r="Y54">
        <f t="shared" si="8"/>
        <v>21333.900000000005</v>
      </c>
      <c r="Z54">
        <v>11.97037402558103</v>
      </c>
    </row>
    <row r="55" spans="1:26" x14ac:dyDescent="0.35">
      <c r="A55">
        <v>5160</v>
      </c>
      <c r="B55">
        <v>23050</v>
      </c>
      <c r="C55" s="1">
        <v>43000</v>
      </c>
      <c r="F55" s="54"/>
      <c r="G55">
        <v>13.5</v>
      </c>
      <c r="H55">
        <v>10.8</v>
      </c>
      <c r="I55">
        <v>18.399999999999999</v>
      </c>
      <c r="J55">
        <f t="shared" si="4"/>
        <v>331.6</v>
      </c>
      <c r="K55">
        <f t="shared" si="5"/>
        <v>331.6</v>
      </c>
      <c r="M55">
        <v>0.1</v>
      </c>
      <c r="N55">
        <v>0.9</v>
      </c>
      <c r="O55">
        <f t="shared" si="0"/>
        <v>-0.8</v>
      </c>
      <c r="Q55">
        <v>23</v>
      </c>
      <c r="R55">
        <f t="shared" si="9"/>
        <v>0.48764705882352943</v>
      </c>
      <c r="S55">
        <f t="shared" si="1"/>
        <v>0.4388823529411765</v>
      </c>
      <c r="T55">
        <f t="shared" si="2"/>
        <v>-0.33888235294117652</v>
      </c>
      <c r="U55" s="2">
        <f t="shared" si="6"/>
        <v>51.177529411764709</v>
      </c>
      <c r="W55">
        <v>551.5</v>
      </c>
      <c r="X55">
        <f t="shared" si="7"/>
        <v>21885.400000000005</v>
      </c>
      <c r="Y55">
        <f t="shared" si="8"/>
        <v>21885.400000000005</v>
      </c>
      <c r="Z55">
        <v>11.911126133370697</v>
      </c>
    </row>
    <row r="56" spans="1:26" x14ac:dyDescent="0.35">
      <c r="A56">
        <v>5160</v>
      </c>
      <c r="B56">
        <v>23050</v>
      </c>
      <c r="C56" s="1">
        <v>43001</v>
      </c>
      <c r="F56" s="54"/>
      <c r="G56">
        <v>14.3</v>
      </c>
      <c r="H56">
        <v>7.8</v>
      </c>
      <c r="I56">
        <v>20.2</v>
      </c>
      <c r="J56">
        <f t="shared" si="4"/>
        <v>345.90000000000003</v>
      </c>
      <c r="K56">
        <f t="shared" si="5"/>
        <v>345.90000000000003</v>
      </c>
      <c r="M56">
        <v>0</v>
      </c>
      <c r="N56">
        <v>2.4</v>
      </c>
      <c r="O56">
        <f t="shared" si="0"/>
        <v>-2.4</v>
      </c>
      <c r="Q56">
        <v>24</v>
      </c>
      <c r="R56">
        <f t="shared" si="9"/>
        <v>0.49529411764705877</v>
      </c>
      <c r="S56">
        <f t="shared" si="1"/>
        <v>1.1887058823529411</v>
      </c>
      <c r="T56">
        <f t="shared" si="2"/>
        <v>-1.1887058823529411</v>
      </c>
      <c r="U56" s="2">
        <f t="shared" si="6"/>
        <v>49.988823529411768</v>
      </c>
      <c r="W56">
        <v>1610.9</v>
      </c>
      <c r="X56">
        <f t="shared" si="7"/>
        <v>23496.300000000007</v>
      </c>
      <c r="Y56">
        <f t="shared" si="8"/>
        <v>23496.300000000007</v>
      </c>
      <c r="Z56">
        <v>11.851890418535236</v>
      </c>
    </row>
    <row r="57" spans="1:26" x14ac:dyDescent="0.35">
      <c r="A57">
        <v>5160</v>
      </c>
      <c r="B57">
        <v>23050</v>
      </c>
      <c r="C57" s="1">
        <v>43002</v>
      </c>
      <c r="F57" s="54"/>
      <c r="G57">
        <v>17.399999999999999</v>
      </c>
      <c r="H57">
        <v>11.2</v>
      </c>
      <c r="I57">
        <v>23.9</v>
      </c>
      <c r="J57">
        <f t="shared" si="4"/>
        <v>363.3</v>
      </c>
      <c r="K57">
        <f t="shared" si="5"/>
        <v>363.3</v>
      </c>
      <c r="M57">
        <v>0</v>
      </c>
      <c r="N57">
        <v>2.5</v>
      </c>
      <c r="O57">
        <f t="shared" si="0"/>
        <v>-2.5</v>
      </c>
      <c r="Q57">
        <v>25</v>
      </c>
      <c r="R57">
        <f t="shared" si="9"/>
        <v>0.50294117647058822</v>
      </c>
      <c r="S57">
        <f t="shared" si="1"/>
        <v>1.2573529411764706</v>
      </c>
      <c r="T57">
        <f t="shared" si="2"/>
        <v>-1.2573529411764706</v>
      </c>
      <c r="U57" s="2">
        <f t="shared" si="6"/>
        <v>48.731470588235297</v>
      </c>
      <c r="W57">
        <v>1275.9000000000001</v>
      </c>
      <c r="X57">
        <f t="shared" si="7"/>
        <v>24772.200000000008</v>
      </c>
      <c r="Y57">
        <f t="shared" si="8"/>
        <v>24772.200000000008</v>
      </c>
      <c r="Z57">
        <v>11.792675024293013</v>
      </c>
    </row>
    <row r="58" spans="1:26" x14ac:dyDescent="0.35">
      <c r="A58">
        <v>5160</v>
      </c>
      <c r="B58">
        <v>23050</v>
      </c>
      <c r="C58" s="1">
        <v>43003</v>
      </c>
      <c r="F58" s="54"/>
      <c r="G58">
        <v>16.2</v>
      </c>
      <c r="H58">
        <v>14.3</v>
      </c>
      <c r="I58">
        <v>19.5</v>
      </c>
      <c r="J58">
        <f t="shared" si="4"/>
        <v>379.5</v>
      </c>
      <c r="K58">
        <f t="shared" si="5"/>
        <v>379.5</v>
      </c>
      <c r="M58">
        <v>0.6</v>
      </c>
      <c r="N58">
        <v>1.1000000000000001</v>
      </c>
      <c r="O58">
        <f t="shared" si="0"/>
        <v>-0.50000000000000011</v>
      </c>
      <c r="Q58">
        <v>26</v>
      </c>
      <c r="R58">
        <f t="shared" si="9"/>
        <v>0.51058823529411768</v>
      </c>
      <c r="S58">
        <f t="shared" si="1"/>
        <v>0.5616470588235295</v>
      </c>
      <c r="T58">
        <f t="shared" si="2"/>
        <v>3.8352941176470479E-2</v>
      </c>
      <c r="U58" s="2">
        <f t="shared" si="6"/>
        <v>48.769823529411767</v>
      </c>
      <c r="W58">
        <v>712.6</v>
      </c>
      <c r="X58">
        <f t="shared" si="7"/>
        <v>25484.800000000007</v>
      </c>
      <c r="Y58">
        <f t="shared" si="8"/>
        <v>25484.800000000007</v>
      </c>
      <c r="Z58">
        <v>11.733488131297495</v>
      </c>
    </row>
    <row r="59" spans="1:26" x14ac:dyDescent="0.35">
      <c r="A59">
        <v>5160</v>
      </c>
      <c r="B59">
        <v>23050</v>
      </c>
      <c r="C59" s="1">
        <v>43004</v>
      </c>
      <c r="F59" s="54"/>
      <c r="G59">
        <v>15.3</v>
      </c>
      <c r="H59">
        <v>12.5</v>
      </c>
      <c r="I59">
        <v>18</v>
      </c>
      <c r="J59">
        <f t="shared" si="4"/>
        <v>394.8</v>
      </c>
      <c r="K59">
        <f t="shared" si="5"/>
        <v>394.8</v>
      </c>
      <c r="M59">
        <v>0.2</v>
      </c>
      <c r="N59">
        <v>1</v>
      </c>
      <c r="O59">
        <f t="shared" si="0"/>
        <v>-0.8</v>
      </c>
      <c r="Q59">
        <v>27</v>
      </c>
      <c r="R59">
        <f t="shared" si="9"/>
        <v>0.51823529411764713</v>
      </c>
      <c r="S59">
        <f t="shared" si="1"/>
        <v>0.51823529411764713</v>
      </c>
      <c r="T59">
        <f t="shared" si="2"/>
        <v>-0.31823529411764712</v>
      </c>
      <c r="U59" s="2">
        <f t="shared" si="6"/>
        <v>48.451588235294118</v>
      </c>
      <c r="W59">
        <v>709.3</v>
      </c>
      <c r="X59">
        <f t="shared" si="7"/>
        <v>26194.100000000006</v>
      </c>
      <c r="Y59">
        <f t="shared" si="8"/>
        <v>26194.100000000006</v>
      </c>
      <c r="Z59">
        <v>11.674337972575879</v>
      </c>
    </row>
    <row r="60" spans="1:26" x14ac:dyDescent="0.35">
      <c r="A60">
        <v>5160</v>
      </c>
      <c r="B60">
        <v>23050</v>
      </c>
      <c r="C60" s="1">
        <v>43005</v>
      </c>
      <c r="F60" s="54"/>
      <c r="G60">
        <v>15.7</v>
      </c>
      <c r="H60">
        <v>10.1</v>
      </c>
      <c r="I60">
        <v>21.2</v>
      </c>
      <c r="J60">
        <f t="shared" si="4"/>
        <v>410.5</v>
      </c>
      <c r="K60">
        <f t="shared" si="5"/>
        <v>410.5</v>
      </c>
      <c r="M60">
        <v>1.1000000000000001</v>
      </c>
      <c r="N60">
        <v>1.7</v>
      </c>
      <c r="O60">
        <f t="shared" si="0"/>
        <v>-0.59999999999999987</v>
      </c>
      <c r="Q60">
        <v>28</v>
      </c>
      <c r="R60">
        <f t="shared" si="9"/>
        <v>0.52588235294117647</v>
      </c>
      <c r="S60">
        <f t="shared" si="1"/>
        <v>0.89400000000000002</v>
      </c>
      <c r="T60">
        <f t="shared" si="2"/>
        <v>0.20600000000000007</v>
      </c>
      <c r="U60" s="2">
        <f t="shared" si="6"/>
        <v>48.657588235294121</v>
      </c>
      <c r="W60">
        <v>1045.2</v>
      </c>
      <c r="X60">
        <f t="shared" si="7"/>
        <v>27239.300000000007</v>
      </c>
      <c r="Y60">
        <f t="shared" si="8"/>
        <v>27239.300000000007</v>
      </c>
      <c r="Z60">
        <v>11.615232848431875</v>
      </c>
    </row>
    <row r="61" spans="1:26" x14ac:dyDescent="0.35">
      <c r="A61">
        <v>5160</v>
      </c>
      <c r="B61">
        <v>23050</v>
      </c>
      <c r="C61" s="1">
        <v>43006</v>
      </c>
      <c r="F61" s="54"/>
      <c r="G61">
        <v>17.600000000000001</v>
      </c>
      <c r="H61">
        <v>14.3</v>
      </c>
      <c r="I61">
        <v>21.8</v>
      </c>
      <c r="J61">
        <f t="shared" si="4"/>
        <v>428.1</v>
      </c>
      <c r="K61">
        <f t="shared" si="5"/>
        <v>428.1</v>
      </c>
      <c r="M61">
        <v>0</v>
      </c>
      <c r="N61">
        <v>1.1000000000000001</v>
      </c>
      <c r="O61">
        <f t="shared" si="0"/>
        <v>-1.1000000000000001</v>
      </c>
      <c r="Q61">
        <v>29</v>
      </c>
      <c r="R61">
        <f t="shared" si="9"/>
        <v>0.53352941176470581</v>
      </c>
      <c r="S61">
        <f t="shared" si="1"/>
        <v>0.58688235294117641</v>
      </c>
      <c r="T61">
        <f t="shared" si="2"/>
        <v>-0.58688235294117641</v>
      </c>
      <c r="U61" s="2">
        <f t="shared" si="6"/>
        <v>48.070705882352947</v>
      </c>
      <c r="W61">
        <v>700.6</v>
      </c>
      <c r="X61">
        <f t="shared" si="7"/>
        <v>27939.900000000005</v>
      </c>
      <c r="Y61">
        <f t="shared" si="8"/>
        <v>27939.900000000005</v>
      </c>
      <c r="Z61">
        <v>11.556181141301696</v>
      </c>
    </row>
    <row r="62" spans="1:26" x14ac:dyDescent="0.35">
      <c r="A62">
        <v>5160</v>
      </c>
      <c r="B62">
        <v>23050</v>
      </c>
      <c r="C62" s="1">
        <v>43007</v>
      </c>
      <c r="F62" s="54"/>
      <c r="G62">
        <v>19</v>
      </c>
      <c r="H62">
        <v>14.6</v>
      </c>
      <c r="I62">
        <v>24.6</v>
      </c>
      <c r="J62">
        <f t="shared" si="4"/>
        <v>447.1</v>
      </c>
      <c r="K62">
        <f t="shared" si="5"/>
        <v>447.1</v>
      </c>
      <c r="M62">
        <v>4.3</v>
      </c>
      <c r="N62">
        <v>2.8</v>
      </c>
      <c r="O62">
        <f t="shared" si="0"/>
        <v>1.5</v>
      </c>
      <c r="Q62">
        <v>30</v>
      </c>
      <c r="R62">
        <f t="shared" si="9"/>
        <v>0.54117647058823526</v>
      </c>
      <c r="S62">
        <f t="shared" si="1"/>
        <v>1.5152941176470587</v>
      </c>
      <c r="T62">
        <f t="shared" si="2"/>
        <v>2.7847058823529411</v>
      </c>
      <c r="U62" s="2">
        <f t="shared" si="6"/>
        <v>50.855411764705885</v>
      </c>
      <c r="W62">
        <v>1348.1</v>
      </c>
      <c r="X62">
        <f t="shared" si="7"/>
        <v>29288.000000000004</v>
      </c>
      <c r="Y62">
        <f t="shared" si="8"/>
        <v>29288.000000000004</v>
      </c>
      <c r="Z62">
        <v>11.497191330551889</v>
      </c>
    </row>
    <row r="63" spans="1:26" x14ac:dyDescent="0.35">
      <c r="A63">
        <v>5160</v>
      </c>
      <c r="B63">
        <v>23050</v>
      </c>
      <c r="C63" s="1">
        <v>43008</v>
      </c>
      <c r="F63" s="54"/>
      <c r="G63">
        <v>14.9</v>
      </c>
      <c r="H63">
        <v>13</v>
      </c>
      <c r="I63">
        <v>17.5</v>
      </c>
      <c r="J63">
        <f t="shared" si="4"/>
        <v>462</v>
      </c>
      <c r="K63">
        <f t="shared" si="5"/>
        <v>462</v>
      </c>
      <c r="M63">
        <v>0.7</v>
      </c>
      <c r="N63">
        <v>1.9</v>
      </c>
      <c r="O63">
        <f t="shared" si="0"/>
        <v>-1.2</v>
      </c>
      <c r="Q63">
        <v>31</v>
      </c>
      <c r="R63">
        <f t="shared" si="9"/>
        <v>0.54882352941176471</v>
      </c>
      <c r="S63">
        <f t="shared" si="1"/>
        <v>1.0427647058823528</v>
      </c>
      <c r="T63">
        <f t="shared" si="2"/>
        <v>-0.34276470588235286</v>
      </c>
      <c r="U63" s="2">
        <f t="shared" si="6"/>
        <v>50.512647058823532</v>
      </c>
      <c r="W63">
        <v>852.1</v>
      </c>
      <c r="X63">
        <f t="shared" si="7"/>
        <v>30140.100000000002</v>
      </c>
      <c r="Y63">
        <f t="shared" si="8"/>
        <v>30140.100000000002</v>
      </c>
      <c r="Z63">
        <v>11.438272007206884</v>
      </c>
    </row>
    <row r="64" spans="1:26" x14ac:dyDescent="0.35">
      <c r="A64">
        <v>5160</v>
      </c>
      <c r="B64">
        <v>23050</v>
      </c>
      <c r="C64" s="1">
        <v>43009</v>
      </c>
      <c r="F64" s="54"/>
      <c r="G64">
        <v>14.4</v>
      </c>
      <c r="H64">
        <v>12.7</v>
      </c>
      <c r="I64">
        <v>15.9</v>
      </c>
      <c r="J64">
        <f t="shared" si="4"/>
        <v>476.4</v>
      </c>
      <c r="K64">
        <f t="shared" si="5"/>
        <v>476.4</v>
      </c>
      <c r="M64">
        <v>2.2999999999999998</v>
      </c>
      <c r="N64">
        <v>0.7</v>
      </c>
      <c r="O64">
        <f t="shared" si="0"/>
        <v>1.5999999999999999</v>
      </c>
      <c r="Q64">
        <v>32</v>
      </c>
      <c r="R64">
        <f t="shared" si="9"/>
        <v>0.55647058823529405</v>
      </c>
      <c r="S64">
        <f t="shared" si="1"/>
        <v>0.38952941176470579</v>
      </c>
      <c r="T64">
        <f t="shared" si="2"/>
        <v>1.9104705882352939</v>
      </c>
      <c r="U64" s="2">
        <f t="shared" si="6"/>
        <v>52.423117647058824</v>
      </c>
      <c r="W64">
        <v>414.9</v>
      </c>
      <c r="X64">
        <f t="shared" si="7"/>
        <v>30555.000000000004</v>
      </c>
      <c r="Y64">
        <f t="shared" si="8"/>
        <v>30555.000000000004</v>
      </c>
      <c r="Z64">
        <v>11.379431888593611</v>
      </c>
    </row>
    <row r="65" spans="1:26" x14ac:dyDescent="0.35">
      <c r="A65">
        <v>5160</v>
      </c>
      <c r="B65">
        <v>23050</v>
      </c>
      <c r="C65" s="1">
        <v>43010</v>
      </c>
      <c r="F65" s="54"/>
      <c r="G65">
        <v>17.5</v>
      </c>
      <c r="H65">
        <v>15.1</v>
      </c>
      <c r="I65">
        <v>19.5</v>
      </c>
      <c r="J65">
        <f t="shared" si="4"/>
        <v>493.9</v>
      </c>
      <c r="K65">
        <f t="shared" si="5"/>
        <v>493.9</v>
      </c>
      <c r="M65">
        <v>2.8</v>
      </c>
      <c r="N65">
        <v>1.1000000000000001</v>
      </c>
      <c r="O65">
        <f t="shared" si="0"/>
        <v>1.6999999999999997</v>
      </c>
      <c r="Q65">
        <v>33</v>
      </c>
      <c r="R65">
        <f t="shared" si="9"/>
        <v>0.5641176470588235</v>
      </c>
      <c r="S65">
        <f t="shared" si="1"/>
        <v>0.62052941176470588</v>
      </c>
      <c r="T65">
        <f t="shared" si="2"/>
        <v>2.179470588235294</v>
      </c>
      <c r="U65" s="2">
        <f t="shared" si="6"/>
        <v>54.602588235294121</v>
      </c>
      <c r="W65">
        <v>717.8</v>
      </c>
      <c r="X65">
        <f t="shared" si="7"/>
        <v>31272.800000000003</v>
      </c>
      <c r="Y65">
        <f t="shared" si="8"/>
        <v>31272.800000000003</v>
      </c>
      <c r="Z65">
        <v>11.32067983288956</v>
      </c>
    </row>
    <row r="66" spans="1:26" x14ac:dyDescent="0.35">
      <c r="A66">
        <v>5160</v>
      </c>
      <c r="B66">
        <v>23050</v>
      </c>
      <c r="C66" s="1">
        <v>43011</v>
      </c>
      <c r="F66" s="54"/>
      <c r="G66">
        <v>13.8</v>
      </c>
      <c r="H66">
        <v>12.8</v>
      </c>
      <c r="I66">
        <v>17.600000000000001</v>
      </c>
      <c r="J66">
        <f t="shared" si="4"/>
        <v>507.7</v>
      </c>
      <c r="K66">
        <f t="shared" si="5"/>
        <v>507.7</v>
      </c>
      <c r="M66">
        <v>0</v>
      </c>
      <c r="N66">
        <v>2</v>
      </c>
      <c r="O66">
        <f t="shared" si="0"/>
        <v>-2</v>
      </c>
      <c r="Q66">
        <v>34</v>
      </c>
      <c r="R66">
        <f t="shared" si="9"/>
        <v>0.57176470588235295</v>
      </c>
      <c r="S66">
        <f t="shared" si="1"/>
        <v>1.1435294117647059</v>
      </c>
      <c r="T66">
        <f t="shared" si="2"/>
        <v>-1.1435294117647059</v>
      </c>
      <c r="U66" s="2">
        <f t="shared" si="6"/>
        <v>53.459058823529418</v>
      </c>
      <c r="W66">
        <v>890.7</v>
      </c>
      <c r="X66">
        <f t="shared" si="7"/>
        <v>32163.500000000004</v>
      </c>
      <c r="Y66">
        <f t="shared" si="8"/>
        <v>32163.500000000004</v>
      </c>
      <c r="Z66">
        <v>11.2620248535597</v>
      </c>
    </row>
    <row r="67" spans="1:26" x14ac:dyDescent="0.35">
      <c r="A67">
        <v>5160</v>
      </c>
      <c r="B67">
        <v>23050</v>
      </c>
      <c r="C67" s="1">
        <v>43012</v>
      </c>
      <c r="F67" s="54"/>
      <c r="G67">
        <v>11.3</v>
      </c>
      <c r="H67">
        <v>5.8</v>
      </c>
      <c r="I67">
        <v>17.7</v>
      </c>
      <c r="J67">
        <f t="shared" si="4"/>
        <v>519</v>
      </c>
      <c r="K67">
        <f t="shared" si="5"/>
        <v>519</v>
      </c>
      <c r="M67">
        <v>0.1</v>
      </c>
      <c r="N67">
        <v>2.2999999999999998</v>
      </c>
      <c r="O67">
        <f t="shared" si="0"/>
        <v>-2.1999999999999997</v>
      </c>
      <c r="Q67">
        <v>35</v>
      </c>
      <c r="R67">
        <f t="shared" si="9"/>
        <v>0.57941176470588229</v>
      </c>
      <c r="S67">
        <f t="shared" si="1"/>
        <v>1.3326470588235291</v>
      </c>
      <c r="T67">
        <f t="shared" si="2"/>
        <v>-1.232647058823529</v>
      </c>
      <c r="U67" s="2">
        <f t="shared" si="6"/>
        <v>52.226411764705887</v>
      </c>
      <c r="W67">
        <v>1372.2</v>
      </c>
      <c r="X67">
        <f t="shared" si="7"/>
        <v>33535.700000000004</v>
      </c>
      <c r="Y67">
        <f t="shared" si="8"/>
        <v>33535.700000000004</v>
      </c>
      <c r="Z67">
        <v>11.203476133666761</v>
      </c>
    </row>
    <row r="68" spans="1:26" x14ac:dyDescent="0.35">
      <c r="A68">
        <v>5160</v>
      </c>
      <c r="B68">
        <v>23050</v>
      </c>
      <c r="C68" s="1">
        <v>43013</v>
      </c>
      <c r="F68" s="54"/>
      <c r="G68">
        <v>11.1</v>
      </c>
      <c r="H68">
        <v>6.4</v>
      </c>
      <c r="I68">
        <v>16.399999999999999</v>
      </c>
      <c r="J68">
        <f t="shared" si="4"/>
        <v>530.1</v>
      </c>
      <c r="K68">
        <f t="shared" si="5"/>
        <v>530.1</v>
      </c>
      <c r="M68">
        <v>0.5</v>
      </c>
      <c r="N68">
        <v>1.1000000000000001</v>
      </c>
      <c r="O68">
        <f t="shared" si="0"/>
        <v>-0.60000000000000009</v>
      </c>
      <c r="Q68">
        <v>36</v>
      </c>
      <c r="R68">
        <f t="shared" si="9"/>
        <v>0.58705882352941174</v>
      </c>
      <c r="S68">
        <f t="shared" si="1"/>
        <v>0.64576470588235302</v>
      </c>
      <c r="T68">
        <f t="shared" si="2"/>
        <v>-0.14576470588235302</v>
      </c>
      <c r="U68" s="2">
        <f t="shared" si="6"/>
        <v>52.080647058823537</v>
      </c>
      <c r="W68">
        <v>597.79999999999995</v>
      </c>
      <c r="X68">
        <f t="shared" si="7"/>
        <v>34133.500000000007</v>
      </c>
      <c r="Y68">
        <f t="shared" si="8"/>
        <v>34133.500000000007</v>
      </c>
      <c r="Z68">
        <v>11.145043040038079</v>
      </c>
    </row>
    <row r="69" spans="1:26" x14ac:dyDescent="0.35">
      <c r="A69">
        <v>5160</v>
      </c>
      <c r="B69">
        <v>23050</v>
      </c>
      <c r="C69" s="1">
        <v>43014</v>
      </c>
      <c r="F69" s="54"/>
      <c r="G69">
        <v>10</v>
      </c>
      <c r="H69">
        <v>7.3</v>
      </c>
      <c r="I69">
        <v>14.6</v>
      </c>
      <c r="J69">
        <f t="shared" si="4"/>
        <v>540.1</v>
      </c>
      <c r="K69">
        <f t="shared" si="5"/>
        <v>540.1</v>
      </c>
      <c r="M69">
        <v>0</v>
      </c>
      <c r="N69">
        <v>1.3</v>
      </c>
      <c r="O69">
        <f t="shared" ref="O69:O132" si="10">M69-N69</f>
        <v>-1.3</v>
      </c>
      <c r="Q69">
        <v>37</v>
      </c>
      <c r="R69">
        <f t="shared" si="9"/>
        <v>0.5947058823529412</v>
      </c>
      <c r="S69">
        <f t="shared" ref="S69:S132" si="11">R69*N69</f>
        <v>0.77311764705882358</v>
      </c>
      <c r="T69">
        <f t="shared" ref="T69:T132" si="12">M69-S69</f>
        <v>-0.77311764705882358</v>
      </c>
      <c r="U69" s="2">
        <f t="shared" si="6"/>
        <v>51.307529411764712</v>
      </c>
      <c r="W69">
        <v>729.8</v>
      </c>
      <c r="X69">
        <f t="shared" si="7"/>
        <v>34863.30000000001</v>
      </c>
      <c r="Y69">
        <f t="shared" si="8"/>
        <v>34863.30000000001</v>
      </c>
      <c r="Z69">
        <v>11.086735137270988</v>
      </c>
    </row>
    <row r="70" spans="1:26" x14ac:dyDescent="0.35">
      <c r="A70">
        <v>5160</v>
      </c>
      <c r="B70">
        <v>23050</v>
      </c>
      <c r="C70" s="1">
        <v>43015</v>
      </c>
      <c r="F70" s="54"/>
      <c r="G70">
        <v>10.6</v>
      </c>
      <c r="H70">
        <v>2.7</v>
      </c>
      <c r="I70">
        <v>15.8</v>
      </c>
      <c r="J70">
        <f t="shared" si="4"/>
        <v>550.70000000000005</v>
      </c>
      <c r="K70">
        <f t="shared" si="5"/>
        <v>550.70000000000005</v>
      </c>
      <c r="M70">
        <v>1.9</v>
      </c>
      <c r="N70">
        <v>1.8</v>
      </c>
      <c r="O70">
        <f t="shared" si="10"/>
        <v>9.9999999999999867E-2</v>
      </c>
      <c r="Q70">
        <v>38</v>
      </c>
      <c r="R70">
        <f t="shared" si="9"/>
        <v>0.60235294117647054</v>
      </c>
      <c r="S70">
        <f t="shared" si="11"/>
        <v>1.084235294117647</v>
      </c>
      <c r="T70">
        <f t="shared" si="12"/>
        <v>0.81576470588235295</v>
      </c>
      <c r="U70" s="2">
        <f t="shared" si="6"/>
        <v>52.123294117647063</v>
      </c>
      <c r="W70">
        <v>1385.2</v>
      </c>
      <c r="X70">
        <f t="shared" si="7"/>
        <v>36248.500000000007</v>
      </c>
      <c r="Y70">
        <f t="shared" si="8"/>
        <v>36248.500000000007</v>
      </c>
      <c r="Z70">
        <v>11.028562201557394</v>
      </c>
    </row>
    <row r="71" spans="1:26" x14ac:dyDescent="0.35">
      <c r="A71">
        <v>5160</v>
      </c>
      <c r="B71">
        <v>23050</v>
      </c>
      <c r="C71" s="1">
        <v>43016</v>
      </c>
      <c r="F71" s="54"/>
      <c r="G71">
        <v>13.6</v>
      </c>
      <c r="H71">
        <v>12.2</v>
      </c>
      <c r="I71">
        <v>16.600000000000001</v>
      </c>
      <c r="J71">
        <f t="shared" si="4"/>
        <v>564.30000000000007</v>
      </c>
      <c r="K71">
        <f t="shared" si="5"/>
        <v>564.30000000000007</v>
      </c>
      <c r="M71">
        <v>0.1</v>
      </c>
      <c r="N71">
        <v>1</v>
      </c>
      <c r="O71">
        <f t="shared" si="10"/>
        <v>-0.9</v>
      </c>
      <c r="Q71">
        <v>39</v>
      </c>
      <c r="R71">
        <f t="shared" si="9"/>
        <v>0.61</v>
      </c>
      <c r="S71">
        <f t="shared" si="11"/>
        <v>0.61</v>
      </c>
      <c r="T71">
        <f t="shared" si="12"/>
        <v>-0.51</v>
      </c>
      <c r="U71" s="2">
        <f t="shared" si="6"/>
        <v>51.613294117647065</v>
      </c>
      <c r="W71">
        <v>395.9</v>
      </c>
      <c r="X71">
        <f t="shared" si="7"/>
        <v>36644.400000000009</v>
      </c>
      <c r="Y71">
        <f t="shared" si="8"/>
        <v>36644.400000000009</v>
      </c>
      <c r="Z71">
        <v>10.970534234306607</v>
      </c>
    </row>
    <row r="72" spans="1:26" x14ac:dyDescent="0.35">
      <c r="A72">
        <v>5160</v>
      </c>
      <c r="B72">
        <v>23050</v>
      </c>
      <c r="C72" s="1">
        <v>43017</v>
      </c>
      <c r="F72" s="54"/>
      <c r="G72">
        <v>12.8</v>
      </c>
      <c r="H72">
        <v>8.5</v>
      </c>
      <c r="I72">
        <v>17.5</v>
      </c>
      <c r="J72">
        <f t="shared" si="4"/>
        <v>577.1</v>
      </c>
      <c r="K72">
        <f t="shared" si="5"/>
        <v>577.1</v>
      </c>
      <c r="M72">
        <v>0</v>
      </c>
      <c r="N72">
        <v>0.6</v>
      </c>
      <c r="O72">
        <f t="shared" si="10"/>
        <v>-0.6</v>
      </c>
      <c r="Q72">
        <v>40</v>
      </c>
      <c r="R72">
        <f t="shared" si="9"/>
        <v>0.61764705882352944</v>
      </c>
      <c r="S72">
        <f t="shared" si="11"/>
        <v>0.37058823529411766</v>
      </c>
      <c r="T72">
        <f t="shared" si="12"/>
        <v>-0.37058823529411766</v>
      </c>
      <c r="U72" s="2">
        <f t="shared" si="6"/>
        <v>51.242705882352951</v>
      </c>
      <c r="W72">
        <v>367.1</v>
      </c>
      <c r="X72">
        <f t="shared" si="7"/>
        <v>37011.500000000007</v>
      </c>
      <c r="Y72">
        <f t="shared" si="8"/>
        <v>37011.500000000007</v>
      </c>
      <c r="Z72">
        <v>10.91266147554402</v>
      </c>
    </row>
    <row r="73" spans="1:26" x14ac:dyDescent="0.35">
      <c r="A73">
        <v>5160</v>
      </c>
      <c r="B73">
        <v>23050</v>
      </c>
      <c r="C73" s="1">
        <v>43018</v>
      </c>
      <c r="F73" s="54"/>
      <c r="G73">
        <v>14.7</v>
      </c>
      <c r="H73">
        <v>12.9</v>
      </c>
      <c r="I73">
        <v>16.399999999999999</v>
      </c>
      <c r="J73">
        <f t="shared" si="4"/>
        <v>591.80000000000007</v>
      </c>
      <c r="K73">
        <f t="shared" si="5"/>
        <v>591.80000000000007</v>
      </c>
      <c r="M73">
        <v>0</v>
      </c>
      <c r="N73">
        <v>0.8</v>
      </c>
      <c r="O73">
        <f t="shared" si="10"/>
        <v>-0.8</v>
      </c>
      <c r="Q73">
        <v>41</v>
      </c>
      <c r="R73">
        <f t="shared" si="9"/>
        <v>0.62529411764705878</v>
      </c>
      <c r="S73">
        <f t="shared" si="11"/>
        <v>0.500235294117647</v>
      </c>
      <c r="T73">
        <f t="shared" si="12"/>
        <v>-0.500235294117647</v>
      </c>
      <c r="U73" s="2">
        <f t="shared" si="6"/>
        <v>50.742470588235307</v>
      </c>
      <c r="W73">
        <v>528.6</v>
      </c>
      <c r="X73">
        <f t="shared" si="7"/>
        <v>37540.100000000006</v>
      </c>
      <c r="Y73">
        <f t="shared" si="8"/>
        <v>37540.100000000006</v>
      </c>
      <c r="Z73">
        <v>10.85495441706149</v>
      </c>
    </row>
    <row r="74" spans="1:26" x14ac:dyDescent="0.35">
      <c r="A74">
        <v>5160</v>
      </c>
      <c r="B74">
        <v>23050</v>
      </c>
      <c r="C74" s="1">
        <v>43019</v>
      </c>
      <c r="F74" s="54"/>
      <c r="G74">
        <v>15.7</v>
      </c>
      <c r="H74">
        <v>12.6</v>
      </c>
      <c r="I74">
        <v>19.600000000000001</v>
      </c>
      <c r="J74">
        <f t="shared" si="4"/>
        <v>607.50000000000011</v>
      </c>
      <c r="K74">
        <f t="shared" si="5"/>
        <v>607.50000000000011</v>
      </c>
      <c r="M74">
        <v>0</v>
      </c>
      <c r="N74">
        <v>1.4</v>
      </c>
      <c r="O74">
        <f t="shared" si="10"/>
        <v>-1.4</v>
      </c>
      <c r="Q74">
        <v>42</v>
      </c>
      <c r="R74">
        <f t="shared" si="9"/>
        <v>0.63294117647058823</v>
      </c>
      <c r="S74">
        <f t="shared" si="11"/>
        <v>0.88611764705882345</v>
      </c>
      <c r="T74">
        <f t="shared" si="12"/>
        <v>-0.88611764705882345</v>
      </c>
      <c r="U74" s="2">
        <f t="shared" si="6"/>
        <v>49.856352941176482</v>
      </c>
      <c r="W74">
        <v>605.70000000000005</v>
      </c>
      <c r="X74">
        <f t="shared" si="7"/>
        <v>38145.800000000003</v>
      </c>
      <c r="Y74">
        <f t="shared" si="8"/>
        <v>38145.800000000003</v>
      </c>
      <c r="Z74">
        <v>10.797423815293467</v>
      </c>
    </row>
    <row r="75" spans="1:26" x14ac:dyDescent="0.35">
      <c r="A75">
        <v>5160</v>
      </c>
      <c r="B75">
        <v>23050</v>
      </c>
      <c r="C75" s="1">
        <v>43020</v>
      </c>
      <c r="F75" s="54"/>
      <c r="G75">
        <v>16.600000000000001</v>
      </c>
      <c r="H75">
        <v>14.4</v>
      </c>
      <c r="I75">
        <v>20.100000000000001</v>
      </c>
      <c r="J75">
        <f t="shared" si="4"/>
        <v>624.10000000000014</v>
      </c>
      <c r="K75">
        <f t="shared" si="5"/>
        <v>624.10000000000014</v>
      </c>
      <c r="M75">
        <v>0.1</v>
      </c>
      <c r="N75">
        <v>1.3</v>
      </c>
      <c r="O75">
        <f t="shared" si="10"/>
        <v>-1.2</v>
      </c>
      <c r="Q75">
        <v>43</v>
      </c>
      <c r="R75">
        <f t="shared" si="9"/>
        <v>0.64058823529411768</v>
      </c>
      <c r="S75">
        <f t="shared" si="11"/>
        <v>0.83276470588235296</v>
      </c>
      <c r="T75">
        <f t="shared" si="12"/>
        <v>-0.73276470588235298</v>
      </c>
      <c r="U75" s="2">
        <f t="shared" si="6"/>
        <v>49.123588235294129</v>
      </c>
      <c r="W75">
        <v>276.8</v>
      </c>
      <c r="X75">
        <f t="shared" si="7"/>
        <v>38422.600000000006</v>
      </c>
      <c r="Y75">
        <f t="shared" si="8"/>
        <v>38422.600000000006</v>
      </c>
      <c r="Z75">
        <v>10.74008070389111</v>
      </c>
    </row>
    <row r="76" spans="1:26" x14ac:dyDescent="0.35">
      <c r="A76">
        <v>5160</v>
      </c>
      <c r="B76">
        <v>23050</v>
      </c>
      <c r="C76" s="1">
        <v>43021</v>
      </c>
      <c r="F76" s="54"/>
      <c r="G76">
        <v>15.4</v>
      </c>
      <c r="H76">
        <v>10.3</v>
      </c>
      <c r="I76">
        <v>21.2</v>
      </c>
      <c r="J76">
        <f t="shared" si="4"/>
        <v>639.50000000000011</v>
      </c>
      <c r="K76">
        <f t="shared" si="5"/>
        <v>639.50000000000011</v>
      </c>
      <c r="M76">
        <v>0.1</v>
      </c>
      <c r="N76">
        <v>1.5</v>
      </c>
      <c r="O76">
        <f t="shared" si="10"/>
        <v>-1.4</v>
      </c>
      <c r="Q76">
        <v>44</v>
      </c>
      <c r="R76">
        <f t="shared" si="9"/>
        <v>0.64823529411764702</v>
      </c>
      <c r="S76">
        <f t="shared" si="11"/>
        <v>0.97235294117647053</v>
      </c>
      <c r="T76">
        <f t="shared" si="12"/>
        <v>-0.87235294117647055</v>
      </c>
      <c r="U76" s="2">
        <f t="shared" si="6"/>
        <v>48.251235294117656</v>
      </c>
      <c r="W76">
        <v>828.6</v>
      </c>
      <c r="X76">
        <f t="shared" si="7"/>
        <v>39251.200000000004</v>
      </c>
      <c r="Y76">
        <f t="shared" si="8"/>
        <v>39251.200000000004</v>
      </c>
      <c r="Z76">
        <v>10.682936405964647</v>
      </c>
    </row>
    <row r="77" spans="1:26" x14ac:dyDescent="0.35">
      <c r="A77">
        <v>5160</v>
      </c>
      <c r="B77">
        <v>23050</v>
      </c>
      <c r="C77" s="1">
        <v>43022</v>
      </c>
      <c r="F77" s="54"/>
      <c r="G77">
        <v>14.7</v>
      </c>
      <c r="H77">
        <v>7.8</v>
      </c>
      <c r="I77">
        <v>21.9</v>
      </c>
      <c r="J77">
        <f t="shared" si="4"/>
        <v>654.20000000000016</v>
      </c>
      <c r="K77">
        <f t="shared" si="5"/>
        <v>654.20000000000016</v>
      </c>
      <c r="M77">
        <v>0.1</v>
      </c>
      <c r="N77">
        <v>2.5</v>
      </c>
      <c r="O77">
        <f t="shared" si="10"/>
        <v>-2.4</v>
      </c>
      <c r="Q77">
        <v>45</v>
      </c>
      <c r="R77">
        <f t="shared" si="9"/>
        <v>0.65588235294117647</v>
      </c>
      <c r="S77">
        <f t="shared" si="11"/>
        <v>1.6397058823529411</v>
      </c>
      <c r="T77">
        <f t="shared" si="12"/>
        <v>-1.539705882352941</v>
      </c>
      <c r="U77" s="2">
        <f t="shared" si="6"/>
        <v>46.711529411764715</v>
      </c>
      <c r="W77">
        <v>1261.9000000000001</v>
      </c>
      <c r="X77">
        <f t="shared" si="7"/>
        <v>40513.100000000006</v>
      </c>
      <c r="Y77">
        <f t="shared" si="8"/>
        <v>40513.100000000006</v>
      </c>
      <c r="Z77">
        <v>10.626002545962196</v>
      </c>
    </row>
    <row r="78" spans="1:26" x14ac:dyDescent="0.35">
      <c r="A78">
        <v>5160</v>
      </c>
      <c r="B78">
        <v>23050</v>
      </c>
      <c r="C78" s="1">
        <v>43023</v>
      </c>
      <c r="F78" s="54"/>
      <c r="G78">
        <v>16.7</v>
      </c>
      <c r="H78">
        <v>9.6999999999999993</v>
      </c>
      <c r="I78">
        <v>23.1</v>
      </c>
      <c r="J78">
        <f t="shared" si="4"/>
        <v>670.9000000000002</v>
      </c>
      <c r="K78">
        <f t="shared" si="5"/>
        <v>670.9000000000002</v>
      </c>
      <c r="M78">
        <v>0</v>
      </c>
      <c r="N78">
        <v>2.4</v>
      </c>
      <c r="O78">
        <f t="shared" si="10"/>
        <v>-2.4</v>
      </c>
      <c r="Q78">
        <v>46</v>
      </c>
      <c r="R78">
        <f t="shared" si="9"/>
        <v>0.66352941176470592</v>
      </c>
      <c r="S78">
        <f t="shared" si="11"/>
        <v>1.5924705882352941</v>
      </c>
      <c r="T78">
        <f t="shared" si="12"/>
        <v>-1.5924705882352941</v>
      </c>
      <c r="U78" s="2">
        <f t="shared" si="6"/>
        <v>45.119058823529421</v>
      </c>
      <c r="W78">
        <v>1275.4000000000001</v>
      </c>
      <c r="X78">
        <f t="shared" si="7"/>
        <v>41788.500000000007</v>
      </c>
      <c r="Y78">
        <f t="shared" si="8"/>
        <v>41788.500000000007</v>
      </c>
      <c r="Z78">
        <v>10.56929106115115</v>
      </c>
    </row>
    <row r="79" spans="1:26" x14ac:dyDescent="0.35">
      <c r="A79">
        <v>5160</v>
      </c>
      <c r="B79">
        <v>23050</v>
      </c>
      <c r="C79" s="1">
        <v>43024</v>
      </c>
      <c r="F79" s="54"/>
      <c r="G79">
        <v>17.5</v>
      </c>
      <c r="H79">
        <v>12.3</v>
      </c>
      <c r="I79">
        <v>24.8</v>
      </c>
      <c r="J79">
        <f t="shared" si="4"/>
        <v>688.4000000000002</v>
      </c>
      <c r="K79">
        <f t="shared" si="5"/>
        <v>688.4000000000002</v>
      </c>
      <c r="M79">
        <v>0</v>
      </c>
      <c r="N79">
        <v>2.8</v>
      </c>
      <c r="O79">
        <f t="shared" si="10"/>
        <v>-2.8</v>
      </c>
      <c r="Q79">
        <v>47</v>
      </c>
      <c r="R79">
        <f t="shared" si="9"/>
        <v>0.67117647058823526</v>
      </c>
      <c r="S79">
        <f t="shared" si="11"/>
        <v>1.8792941176470586</v>
      </c>
      <c r="T79">
        <f t="shared" si="12"/>
        <v>-1.8792941176470586</v>
      </c>
      <c r="U79" s="2">
        <f t="shared" si="6"/>
        <v>43.239764705882365</v>
      </c>
      <c r="W79">
        <v>1271.9000000000001</v>
      </c>
      <c r="X79">
        <f t="shared" si="7"/>
        <v>43060.400000000009</v>
      </c>
      <c r="Y79">
        <f t="shared" si="8"/>
        <v>43060.400000000009</v>
      </c>
      <c r="Z79">
        <v>10.512814212666026</v>
      </c>
    </row>
    <row r="80" spans="1:26" x14ac:dyDescent="0.35">
      <c r="A80">
        <v>5160</v>
      </c>
      <c r="B80">
        <v>23050</v>
      </c>
      <c r="C80" s="1">
        <v>43025</v>
      </c>
      <c r="F80" s="54"/>
      <c r="G80">
        <v>16.600000000000001</v>
      </c>
      <c r="H80">
        <v>12.5</v>
      </c>
      <c r="I80">
        <v>21.7</v>
      </c>
      <c r="J80">
        <f t="shared" si="4"/>
        <v>705.00000000000023</v>
      </c>
      <c r="K80">
        <f t="shared" si="5"/>
        <v>705.00000000000023</v>
      </c>
      <c r="M80">
        <v>0</v>
      </c>
      <c r="N80">
        <v>2.1</v>
      </c>
      <c r="O80">
        <f t="shared" si="10"/>
        <v>-2.1</v>
      </c>
      <c r="Q80">
        <v>48</v>
      </c>
      <c r="R80">
        <f t="shared" si="9"/>
        <v>0.6788235294117646</v>
      </c>
      <c r="S80">
        <f t="shared" si="11"/>
        <v>1.4255294117647057</v>
      </c>
      <c r="T80">
        <f t="shared" si="12"/>
        <v>-1.4255294117647057</v>
      </c>
      <c r="U80" s="2">
        <f t="shared" si="6"/>
        <v>41.814235294117658</v>
      </c>
      <c r="W80">
        <v>1296.5999999999999</v>
      </c>
      <c r="X80">
        <f t="shared" si="7"/>
        <v>44357.000000000007</v>
      </c>
      <c r="Y80">
        <f t="shared" si="8"/>
        <v>44357.000000000007</v>
      </c>
      <c r="Z80">
        <v>10.456584596084546</v>
      </c>
    </row>
    <row r="81" spans="1:26" x14ac:dyDescent="0.35">
      <c r="A81">
        <v>5160</v>
      </c>
      <c r="B81">
        <v>23050</v>
      </c>
      <c r="C81" s="1">
        <v>43026</v>
      </c>
      <c r="F81" s="54"/>
      <c r="G81">
        <v>15.4</v>
      </c>
      <c r="H81">
        <v>12.3</v>
      </c>
      <c r="I81">
        <v>19.100000000000001</v>
      </c>
      <c r="J81">
        <f t="shared" si="4"/>
        <v>720.4000000000002</v>
      </c>
      <c r="K81">
        <f t="shared" si="5"/>
        <v>720.4000000000002</v>
      </c>
      <c r="M81">
        <v>0.4</v>
      </c>
      <c r="N81">
        <v>1</v>
      </c>
      <c r="O81">
        <f t="shared" si="10"/>
        <v>-0.6</v>
      </c>
      <c r="Q81">
        <v>49</v>
      </c>
      <c r="R81">
        <f t="shared" si="9"/>
        <v>0.68647058823529417</v>
      </c>
      <c r="S81">
        <f t="shared" si="11"/>
        <v>0.68647058823529417</v>
      </c>
      <c r="T81">
        <f t="shared" si="12"/>
        <v>-0.28647058823529414</v>
      </c>
      <c r="U81" s="2">
        <f t="shared" si="6"/>
        <v>41.527764705882362</v>
      </c>
      <c r="W81">
        <v>578.70000000000005</v>
      </c>
      <c r="X81">
        <f t="shared" si="7"/>
        <v>44935.700000000004</v>
      </c>
      <c r="Y81">
        <f t="shared" si="8"/>
        <v>44935.700000000004</v>
      </c>
      <c r="Z81">
        <v>10.400615151491301</v>
      </c>
    </row>
    <row r="82" spans="1:26" x14ac:dyDescent="0.35">
      <c r="A82">
        <v>5160</v>
      </c>
      <c r="B82">
        <v>23050</v>
      </c>
      <c r="C82" s="1">
        <v>43027</v>
      </c>
      <c r="F82" s="54"/>
      <c r="G82">
        <v>15.8</v>
      </c>
      <c r="H82">
        <v>12.7</v>
      </c>
      <c r="I82">
        <v>19.5</v>
      </c>
      <c r="J82">
        <f t="shared" si="4"/>
        <v>736.20000000000016</v>
      </c>
      <c r="K82">
        <f t="shared" si="5"/>
        <v>736.20000000000016</v>
      </c>
      <c r="M82">
        <v>3.3</v>
      </c>
      <c r="N82">
        <v>1.8</v>
      </c>
      <c r="O82">
        <f t="shared" si="10"/>
        <v>1.4999999999999998</v>
      </c>
      <c r="Q82">
        <v>50</v>
      </c>
      <c r="R82">
        <f t="shared" si="9"/>
        <v>0.69411764705882351</v>
      </c>
      <c r="S82">
        <f t="shared" si="11"/>
        <v>1.2494117647058824</v>
      </c>
      <c r="T82">
        <f t="shared" si="12"/>
        <v>2.0505882352941174</v>
      </c>
      <c r="U82" s="2">
        <f t="shared" si="6"/>
        <v>43.578352941176476</v>
      </c>
      <c r="W82">
        <v>624.9</v>
      </c>
      <c r="X82">
        <f t="shared" si="7"/>
        <v>45560.600000000006</v>
      </c>
      <c r="Y82">
        <f t="shared" si="8"/>
        <v>45560.600000000006</v>
      </c>
      <c r="Z82">
        <v>10.344919172986113</v>
      </c>
    </row>
    <row r="83" spans="1:26" x14ac:dyDescent="0.35">
      <c r="A83">
        <v>5160</v>
      </c>
      <c r="B83">
        <v>23050</v>
      </c>
      <c r="C83" s="1">
        <v>43028</v>
      </c>
      <c r="F83" s="54"/>
      <c r="G83">
        <v>13.7</v>
      </c>
      <c r="H83">
        <v>10.8</v>
      </c>
      <c r="I83">
        <v>16.2</v>
      </c>
      <c r="J83">
        <f t="shared" si="4"/>
        <v>749.9000000000002</v>
      </c>
      <c r="K83">
        <f t="shared" si="5"/>
        <v>749.9000000000002</v>
      </c>
      <c r="M83">
        <v>1</v>
      </c>
      <c r="N83">
        <v>1.6</v>
      </c>
      <c r="O83">
        <f t="shared" si="10"/>
        <v>-0.60000000000000009</v>
      </c>
      <c r="Q83">
        <v>51</v>
      </c>
      <c r="R83">
        <f t="shared" si="9"/>
        <v>0.70176470588235285</v>
      </c>
      <c r="S83">
        <f t="shared" si="11"/>
        <v>1.1228235294117646</v>
      </c>
      <c r="T83">
        <f t="shared" si="12"/>
        <v>-0.12282352941176455</v>
      </c>
      <c r="U83" s="2">
        <f t="shared" si="6"/>
        <v>43.455529411764715</v>
      </c>
      <c r="W83">
        <v>840.2</v>
      </c>
      <c r="X83">
        <f t="shared" si="7"/>
        <v>46400.800000000003</v>
      </c>
      <c r="Y83">
        <f t="shared" si="8"/>
        <v>46400.800000000003</v>
      </c>
      <c r="Z83">
        <v>10.289510317591857</v>
      </c>
    </row>
    <row r="84" spans="1:26" x14ac:dyDescent="0.35">
      <c r="A84">
        <v>5160</v>
      </c>
      <c r="B84">
        <v>23050</v>
      </c>
      <c r="C84" s="1">
        <v>43029</v>
      </c>
      <c r="F84" s="54"/>
      <c r="G84">
        <v>13.3</v>
      </c>
      <c r="H84">
        <v>12.2</v>
      </c>
      <c r="I84">
        <v>15.6</v>
      </c>
      <c r="J84">
        <f t="shared" si="4"/>
        <v>763.20000000000016</v>
      </c>
      <c r="K84">
        <f t="shared" si="5"/>
        <v>763.20000000000016</v>
      </c>
      <c r="M84">
        <v>1.6</v>
      </c>
      <c r="N84">
        <v>1.9</v>
      </c>
      <c r="O84">
        <f t="shared" si="10"/>
        <v>-0.29999999999999982</v>
      </c>
      <c r="Q84">
        <v>52</v>
      </c>
      <c r="R84">
        <f t="shared" si="9"/>
        <v>0.70941176470588241</v>
      </c>
      <c r="S84">
        <f t="shared" si="11"/>
        <v>1.3478823529411765</v>
      </c>
      <c r="T84">
        <f t="shared" si="12"/>
        <v>0.25211764705882356</v>
      </c>
      <c r="U84" s="2">
        <f t="shared" si="6"/>
        <v>43.70764705882354</v>
      </c>
      <c r="W84">
        <v>713.1</v>
      </c>
      <c r="X84">
        <f t="shared" si="7"/>
        <v>47113.9</v>
      </c>
      <c r="Y84">
        <f t="shared" si="8"/>
        <v>47113.9</v>
      </c>
      <c r="Z84">
        <v>10.234402613514222</v>
      </c>
    </row>
    <row r="85" spans="1:26" x14ac:dyDescent="0.35">
      <c r="A85">
        <v>5160</v>
      </c>
      <c r="B85">
        <v>23050</v>
      </c>
      <c r="C85" s="1">
        <v>43030</v>
      </c>
      <c r="F85" s="54"/>
      <c r="G85">
        <v>10.199999999999999</v>
      </c>
      <c r="H85">
        <v>7.9</v>
      </c>
      <c r="I85">
        <v>12.4</v>
      </c>
      <c r="J85">
        <f t="shared" si="4"/>
        <v>773.4000000000002</v>
      </c>
      <c r="K85">
        <f t="shared" si="5"/>
        <v>773.4000000000002</v>
      </c>
      <c r="M85">
        <v>0.7</v>
      </c>
      <c r="N85">
        <v>1.4</v>
      </c>
      <c r="O85">
        <f t="shared" si="10"/>
        <v>-0.7</v>
      </c>
      <c r="Q85">
        <v>53</v>
      </c>
      <c r="R85">
        <f t="shared" si="9"/>
        <v>0.71705882352941175</v>
      </c>
      <c r="S85">
        <f t="shared" si="11"/>
        <v>1.0038823529411764</v>
      </c>
      <c r="T85">
        <f t="shared" si="12"/>
        <v>-0.30388235294117649</v>
      </c>
      <c r="U85" s="2">
        <f t="shared" si="6"/>
        <v>43.403764705882367</v>
      </c>
      <c r="W85">
        <v>719.3</v>
      </c>
      <c r="X85">
        <f t="shared" si="7"/>
        <v>47833.200000000004</v>
      </c>
      <c r="Y85">
        <f t="shared" si="8"/>
        <v>47833.200000000004</v>
      </c>
      <c r="Z85">
        <v>10.179610467703426</v>
      </c>
    </row>
    <row r="86" spans="1:26" x14ac:dyDescent="0.35">
      <c r="A86">
        <v>5160</v>
      </c>
      <c r="B86">
        <v>23050</v>
      </c>
      <c r="C86" s="1">
        <v>43031</v>
      </c>
      <c r="F86" s="54"/>
      <c r="G86">
        <v>12.2</v>
      </c>
      <c r="H86">
        <v>9.6</v>
      </c>
      <c r="I86">
        <v>14.1</v>
      </c>
      <c r="J86">
        <f t="shared" si="4"/>
        <v>785.60000000000025</v>
      </c>
      <c r="K86">
        <f t="shared" si="5"/>
        <v>785.60000000000025</v>
      </c>
      <c r="M86">
        <v>2</v>
      </c>
      <c r="N86">
        <v>0.5</v>
      </c>
      <c r="O86">
        <f t="shared" si="10"/>
        <v>1.5</v>
      </c>
      <c r="Q86">
        <v>54</v>
      </c>
      <c r="R86">
        <f t="shared" si="9"/>
        <v>0.72470588235294109</v>
      </c>
      <c r="S86">
        <f t="shared" si="11"/>
        <v>0.36235294117647054</v>
      </c>
      <c r="T86">
        <f t="shared" si="12"/>
        <v>1.6376470588235295</v>
      </c>
      <c r="U86" s="2">
        <f t="shared" si="6"/>
        <v>45.041411764705899</v>
      </c>
      <c r="W86">
        <v>289.5</v>
      </c>
      <c r="X86">
        <f t="shared" si="7"/>
        <v>48122.700000000004</v>
      </c>
      <c r="Y86">
        <f t="shared" si="8"/>
        <v>48122.700000000004</v>
      </c>
      <c r="Z86">
        <v>10.125148672665754</v>
      </c>
    </row>
    <row r="87" spans="1:26" x14ac:dyDescent="0.35">
      <c r="A87">
        <v>5160</v>
      </c>
      <c r="B87">
        <v>23050</v>
      </c>
      <c r="C87" s="1">
        <v>43032</v>
      </c>
      <c r="F87" s="54"/>
      <c r="G87">
        <v>15.3</v>
      </c>
      <c r="H87">
        <v>13</v>
      </c>
      <c r="I87">
        <v>17.600000000000001</v>
      </c>
      <c r="J87">
        <f t="shared" si="4"/>
        <v>800.9000000000002</v>
      </c>
      <c r="K87">
        <f t="shared" si="5"/>
        <v>800.9000000000002</v>
      </c>
      <c r="M87">
        <v>0.1</v>
      </c>
      <c r="N87">
        <v>0.3</v>
      </c>
      <c r="O87">
        <f t="shared" si="10"/>
        <v>-0.19999999999999998</v>
      </c>
      <c r="Q87">
        <v>55</v>
      </c>
      <c r="R87">
        <f t="shared" si="9"/>
        <v>0.73235294117647065</v>
      </c>
      <c r="S87">
        <f t="shared" si="11"/>
        <v>0.2197058823529412</v>
      </c>
      <c r="T87">
        <f t="shared" si="12"/>
        <v>-0.11970588235294119</v>
      </c>
      <c r="U87" s="2">
        <f t="shared" si="6"/>
        <v>44.92170588235296</v>
      </c>
      <c r="W87">
        <v>206.3</v>
      </c>
      <c r="X87">
        <f t="shared" si="7"/>
        <v>48329.000000000007</v>
      </c>
      <c r="Y87">
        <f t="shared" si="8"/>
        <v>48329.000000000007</v>
      </c>
      <c r="Z87">
        <v>10.071032412470462</v>
      </c>
    </row>
    <row r="88" spans="1:26" x14ac:dyDescent="0.35">
      <c r="A88">
        <v>5160</v>
      </c>
      <c r="B88">
        <v>23050</v>
      </c>
      <c r="C88" s="1">
        <v>43033</v>
      </c>
      <c r="F88" s="54"/>
      <c r="G88">
        <v>14.9</v>
      </c>
      <c r="H88">
        <v>13.8</v>
      </c>
      <c r="I88">
        <v>17.899999999999999</v>
      </c>
      <c r="J88">
        <f t="shared" si="4"/>
        <v>815.80000000000018</v>
      </c>
      <c r="K88">
        <f t="shared" si="5"/>
        <v>815.80000000000018</v>
      </c>
      <c r="M88">
        <v>0.2</v>
      </c>
      <c r="N88">
        <v>0.8</v>
      </c>
      <c r="O88">
        <f t="shared" si="10"/>
        <v>-0.60000000000000009</v>
      </c>
      <c r="Q88">
        <v>56</v>
      </c>
      <c r="R88">
        <f t="shared" si="9"/>
        <v>0.74</v>
      </c>
      <c r="S88">
        <f t="shared" si="11"/>
        <v>0.59199999999999997</v>
      </c>
      <c r="T88">
        <f t="shared" si="12"/>
        <v>-0.39199999999999996</v>
      </c>
      <c r="U88" s="2">
        <f t="shared" si="6"/>
        <v>44.529705882352957</v>
      </c>
      <c r="W88">
        <v>536.5</v>
      </c>
      <c r="X88">
        <f t="shared" si="7"/>
        <v>48865.500000000007</v>
      </c>
      <c r="Y88">
        <f t="shared" si="8"/>
        <v>48865.500000000007</v>
      </c>
      <c r="Z88">
        <v>10.017277267895453</v>
      </c>
    </row>
    <row r="89" spans="1:26" x14ac:dyDescent="0.35">
      <c r="A89">
        <v>5160</v>
      </c>
      <c r="B89">
        <v>23050</v>
      </c>
      <c r="C89" s="1">
        <v>43034</v>
      </c>
      <c r="F89" s="54"/>
      <c r="G89">
        <v>14.4</v>
      </c>
      <c r="H89">
        <v>8.8000000000000007</v>
      </c>
      <c r="I89">
        <v>20.399999999999999</v>
      </c>
      <c r="J89">
        <f t="shared" si="4"/>
        <v>830.20000000000016</v>
      </c>
      <c r="K89">
        <f t="shared" si="5"/>
        <v>830.20000000000016</v>
      </c>
      <c r="M89">
        <v>0.2</v>
      </c>
      <c r="N89">
        <v>1.5</v>
      </c>
      <c r="O89">
        <f t="shared" si="10"/>
        <v>-1.3</v>
      </c>
      <c r="Q89">
        <v>57</v>
      </c>
      <c r="R89">
        <f t="shared" si="9"/>
        <v>0.74764705882352944</v>
      </c>
      <c r="S89">
        <f t="shared" si="11"/>
        <v>1.1214705882352942</v>
      </c>
      <c r="T89">
        <f t="shared" si="12"/>
        <v>-0.92147058823529426</v>
      </c>
      <c r="U89" s="2">
        <f t="shared" si="6"/>
        <v>43.608235294117662</v>
      </c>
      <c r="W89">
        <v>801.1</v>
      </c>
      <c r="X89">
        <f t="shared" si="7"/>
        <v>49666.600000000006</v>
      </c>
      <c r="Y89">
        <f t="shared" si="8"/>
        <v>49666.600000000006</v>
      </c>
      <c r="Z89">
        <v>9.9638992206530936</v>
      </c>
    </row>
    <row r="90" spans="1:26" x14ac:dyDescent="0.35">
      <c r="A90">
        <v>5160</v>
      </c>
      <c r="B90">
        <v>23050</v>
      </c>
      <c r="C90" s="1">
        <v>43035</v>
      </c>
      <c r="F90" s="54"/>
      <c r="G90">
        <v>11.3</v>
      </c>
      <c r="H90">
        <v>10.8</v>
      </c>
      <c r="I90">
        <v>14.8</v>
      </c>
      <c r="J90">
        <f t="shared" si="4"/>
        <v>841.50000000000011</v>
      </c>
      <c r="K90">
        <f t="shared" si="5"/>
        <v>841.50000000000011</v>
      </c>
      <c r="M90">
        <v>0.2</v>
      </c>
      <c r="N90">
        <v>0.7</v>
      </c>
      <c r="O90">
        <f t="shared" si="10"/>
        <v>-0.49999999999999994</v>
      </c>
      <c r="Q90">
        <v>58</v>
      </c>
      <c r="R90">
        <f t="shared" si="9"/>
        <v>0.75529411764705889</v>
      </c>
      <c r="S90">
        <f t="shared" si="11"/>
        <v>0.52870588235294114</v>
      </c>
      <c r="T90">
        <f t="shared" si="12"/>
        <v>-0.32870588235294113</v>
      </c>
      <c r="U90" s="2">
        <f t="shared" si="6"/>
        <v>43.27952941176472</v>
      </c>
      <c r="W90">
        <v>337.2</v>
      </c>
      <c r="X90">
        <f t="shared" si="7"/>
        <v>50003.8</v>
      </c>
      <c r="Y90">
        <f t="shared" si="8"/>
        <v>50003.8</v>
      </c>
      <c r="Z90">
        <v>9.9109146566355335</v>
      </c>
    </row>
    <row r="91" spans="1:26" x14ac:dyDescent="0.35">
      <c r="A91">
        <v>5160</v>
      </c>
      <c r="B91">
        <v>23050</v>
      </c>
      <c r="C91" s="1">
        <v>43036</v>
      </c>
      <c r="F91" s="54"/>
      <c r="G91">
        <v>7.8</v>
      </c>
      <c r="H91">
        <v>2.2000000000000002</v>
      </c>
      <c r="I91">
        <v>13.1</v>
      </c>
      <c r="J91">
        <f t="shared" si="4"/>
        <v>849.30000000000007</v>
      </c>
      <c r="K91">
        <f t="shared" si="5"/>
        <v>849.30000000000007</v>
      </c>
      <c r="M91">
        <v>0.2</v>
      </c>
      <c r="N91">
        <v>1.3</v>
      </c>
      <c r="O91">
        <f t="shared" si="10"/>
        <v>-1.1000000000000001</v>
      </c>
      <c r="Q91">
        <v>59</v>
      </c>
      <c r="R91">
        <f t="shared" si="9"/>
        <v>0.76294117647058823</v>
      </c>
      <c r="S91">
        <f t="shared" si="11"/>
        <v>0.99182352941176477</v>
      </c>
      <c r="T91">
        <f t="shared" si="12"/>
        <v>-0.79182352941176481</v>
      </c>
      <c r="U91" s="2">
        <f t="shared" si="6"/>
        <v>42.487705882352955</v>
      </c>
      <c r="W91">
        <v>810.3</v>
      </c>
      <c r="X91">
        <f t="shared" si="7"/>
        <v>50814.100000000006</v>
      </c>
      <c r="Y91">
        <f t="shared" si="8"/>
        <v>50814.100000000006</v>
      </c>
      <c r="Z91">
        <v>9.8583403681172683</v>
      </c>
    </row>
    <row r="92" spans="1:26" x14ac:dyDescent="0.35">
      <c r="A92">
        <v>5160</v>
      </c>
      <c r="B92">
        <v>23050</v>
      </c>
      <c r="C92" s="1">
        <v>43037</v>
      </c>
      <c r="F92" s="54"/>
      <c r="G92">
        <v>11.2</v>
      </c>
      <c r="H92">
        <v>8.1</v>
      </c>
      <c r="I92">
        <v>13.9</v>
      </c>
      <c r="J92">
        <f t="shared" si="4"/>
        <v>860.50000000000011</v>
      </c>
      <c r="K92">
        <f t="shared" si="5"/>
        <v>860.50000000000011</v>
      </c>
      <c r="M92">
        <v>2.7</v>
      </c>
      <c r="N92">
        <v>0.4</v>
      </c>
      <c r="O92">
        <f t="shared" si="10"/>
        <v>2.3000000000000003</v>
      </c>
      <c r="Q92">
        <v>60</v>
      </c>
      <c r="R92">
        <f t="shared" si="9"/>
        <v>0.77058823529411768</v>
      </c>
      <c r="S92">
        <f t="shared" si="11"/>
        <v>0.30823529411764711</v>
      </c>
      <c r="T92">
        <f t="shared" si="12"/>
        <v>2.3917647058823532</v>
      </c>
      <c r="U92" s="2">
        <f t="shared" si="6"/>
        <v>44.879470588235307</v>
      </c>
      <c r="W92">
        <v>144</v>
      </c>
      <c r="X92">
        <f t="shared" si="7"/>
        <v>50958.100000000006</v>
      </c>
      <c r="Y92">
        <f t="shared" si="8"/>
        <v>50958.100000000006</v>
      </c>
      <c r="Z92">
        <v>9.8061935548509691</v>
      </c>
    </row>
    <row r="93" spans="1:26" x14ac:dyDescent="0.35">
      <c r="A93">
        <v>5160</v>
      </c>
      <c r="B93">
        <v>23050</v>
      </c>
      <c r="C93" s="1">
        <v>43038</v>
      </c>
      <c r="F93" s="54"/>
      <c r="G93">
        <v>7.2</v>
      </c>
      <c r="H93">
        <v>4.0999999999999996</v>
      </c>
      <c r="I93">
        <v>11.5</v>
      </c>
      <c r="J93">
        <f t="shared" si="4"/>
        <v>867.70000000000016</v>
      </c>
      <c r="K93">
        <f t="shared" si="5"/>
        <v>867.70000000000016</v>
      </c>
      <c r="M93">
        <v>0</v>
      </c>
      <c r="N93">
        <v>0.8</v>
      </c>
      <c r="O93">
        <f t="shared" si="10"/>
        <v>-0.8</v>
      </c>
      <c r="Q93">
        <v>61</v>
      </c>
      <c r="R93">
        <f t="shared" si="9"/>
        <v>0.77823529411764703</v>
      </c>
      <c r="S93">
        <f t="shared" si="11"/>
        <v>0.62258823529411766</v>
      </c>
      <c r="T93">
        <f t="shared" si="12"/>
        <v>-0.62258823529411766</v>
      </c>
      <c r="U93" s="2">
        <f t="shared" si="6"/>
        <v>44.25688235294119</v>
      </c>
      <c r="W93">
        <v>486.8</v>
      </c>
      <c r="X93">
        <f t="shared" si="7"/>
        <v>51444.900000000009</v>
      </c>
      <c r="Y93">
        <f t="shared" si="8"/>
        <v>51444.900000000009</v>
      </c>
      <c r="Z93">
        <v>9.7544918239913976</v>
      </c>
    </row>
    <row r="94" spans="1:26" x14ac:dyDescent="0.35">
      <c r="A94">
        <v>5160</v>
      </c>
      <c r="B94">
        <v>23050</v>
      </c>
      <c r="C94" s="1">
        <v>43039</v>
      </c>
      <c r="F94" s="54"/>
      <c r="G94">
        <v>6.5</v>
      </c>
      <c r="H94">
        <v>2.4</v>
      </c>
      <c r="I94">
        <v>11.4</v>
      </c>
      <c r="J94">
        <f t="shared" si="4"/>
        <v>874.20000000000016</v>
      </c>
      <c r="K94">
        <f t="shared" si="5"/>
        <v>874.20000000000016</v>
      </c>
      <c r="M94">
        <v>0</v>
      </c>
      <c r="N94">
        <v>1.4</v>
      </c>
      <c r="O94">
        <f t="shared" si="10"/>
        <v>-1.4</v>
      </c>
      <c r="Q94">
        <v>62</v>
      </c>
      <c r="R94">
        <f t="shared" si="9"/>
        <v>0.78588235294117648</v>
      </c>
      <c r="S94">
        <f t="shared" si="11"/>
        <v>1.100235294117647</v>
      </c>
      <c r="T94">
        <f t="shared" si="12"/>
        <v>-1.100235294117647</v>
      </c>
      <c r="U94" s="2">
        <f t="shared" si="6"/>
        <v>43.156647058823545</v>
      </c>
      <c r="W94">
        <v>1101.5999999999999</v>
      </c>
      <c r="X94">
        <f t="shared" si="7"/>
        <v>52546.500000000007</v>
      </c>
      <c r="Y94">
        <f t="shared" si="8"/>
        <v>52546.500000000007</v>
      </c>
      <c r="Z94">
        <v>9.7032531887810745</v>
      </c>
    </row>
    <row r="95" spans="1:26" x14ac:dyDescent="0.35">
      <c r="A95">
        <v>5160</v>
      </c>
      <c r="B95">
        <v>23050</v>
      </c>
      <c r="C95" s="1">
        <v>43040</v>
      </c>
      <c r="F95" s="54"/>
      <c r="G95">
        <v>8.3000000000000007</v>
      </c>
      <c r="H95">
        <v>3.6</v>
      </c>
      <c r="I95">
        <v>13.4</v>
      </c>
      <c r="J95">
        <f t="shared" si="4"/>
        <v>882.50000000000011</v>
      </c>
      <c r="K95">
        <f t="shared" si="5"/>
        <v>882.50000000000011</v>
      </c>
      <c r="M95">
        <v>0</v>
      </c>
      <c r="N95">
        <v>1.4</v>
      </c>
      <c r="O95">
        <f t="shared" si="10"/>
        <v>-1.4</v>
      </c>
      <c r="Q95">
        <v>63</v>
      </c>
      <c r="R95">
        <f t="shared" si="9"/>
        <v>0.79352941176470582</v>
      </c>
      <c r="S95">
        <f t="shared" si="11"/>
        <v>1.1109411764705881</v>
      </c>
      <c r="T95">
        <f t="shared" si="12"/>
        <v>-1.1109411764705881</v>
      </c>
      <c r="U95" s="2">
        <f t="shared" si="6"/>
        <v>42.045705882352955</v>
      </c>
      <c r="W95">
        <v>993.9</v>
      </c>
      <c r="X95">
        <f t="shared" si="7"/>
        <v>53540.400000000009</v>
      </c>
      <c r="Y95">
        <f t="shared" si="8"/>
        <v>53540.400000000009</v>
      </c>
      <c r="Z95">
        <v>9.6524960659307144</v>
      </c>
    </row>
    <row r="96" spans="1:26" x14ac:dyDescent="0.35">
      <c r="A96">
        <v>5160</v>
      </c>
      <c r="B96">
        <v>23050</v>
      </c>
      <c r="C96" s="1">
        <v>43041</v>
      </c>
      <c r="F96" s="54"/>
      <c r="G96">
        <v>11.7</v>
      </c>
      <c r="H96">
        <v>9.1999999999999993</v>
      </c>
      <c r="I96">
        <v>13.8</v>
      </c>
      <c r="J96">
        <f t="shared" si="4"/>
        <v>894.20000000000016</v>
      </c>
      <c r="K96">
        <f t="shared" si="5"/>
        <v>894.20000000000016</v>
      </c>
      <c r="M96">
        <v>0.2</v>
      </c>
      <c r="N96">
        <v>0.3</v>
      </c>
      <c r="O96">
        <f t="shared" si="10"/>
        <v>-9.9999999999999978E-2</v>
      </c>
      <c r="Q96">
        <v>64</v>
      </c>
      <c r="R96">
        <f t="shared" si="9"/>
        <v>0.80117647058823527</v>
      </c>
      <c r="S96">
        <f t="shared" si="11"/>
        <v>0.24035294117647057</v>
      </c>
      <c r="T96">
        <f t="shared" si="12"/>
        <v>-4.0352941176470564E-2</v>
      </c>
      <c r="U96" s="2">
        <f t="shared" si="6"/>
        <v>42.005352941176483</v>
      </c>
      <c r="W96">
        <v>402.1</v>
      </c>
      <c r="X96">
        <f t="shared" si="7"/>
        <v>53942.500000000007</v>
      </c>
      <c r="Y96">
        <f t="shared" si="8"/>
        <v>53942.500000000007</v>
      </c>
      <c r="Z96">
        <v>9.6022392716269582</v>
      </c>
    </row>
    <row r="97" spans="1:26" x14ac:dyDescent="0.35">
      <c r="A97">
        <v>5160</v>
      </c>
      <c r="B97">
        <v>23050</v>
      </c>
      <c r="C97" s="1">
        <v>43042</v>
      </c>
      <c r="F97" s="54"/>
      <c r="G97">
        <v>10.9</v>
      </c>
      <c r="H97">
        <v>5.4</v>
      </c>
      <c r="I97">
        <v>15.8</v>
      </c>
      <c r="J97">
        <f t="shared" si="4"/>
        <v>905.10000000000014</v>
      </c>
      <c r="K97">
        <f t="shared" si="5"/>
        <v>905.10000000000014</v>
      </c>
      <c r="M97">
        <v>0</v>
      </c>
      <c r="N97">
        <v>1.2</v>
      </c>
      <c r="O97">
        <f t="shared" si="10"/>
        <v>-1.2</v>
      </c>
      <c r="Q97">
        <v>65</v>
      </c>
      <c r="R97">
        <f t="shared" si="9"/>
        <v>0.80882352941176472</v>
      </c>
      <c r="S97">
        <f t="shared" si="11"/>
        <v>0.97058823529411764</v>
      </c>
      <c r="T97">
        <f t="shared" si="12"/>
        <v>-0.97058823529411764</v>
      </c>
      <c r="U97" s="2">
        <f t="shared" si="6"/>
        <v>41.034764705882367</v>
      </c>
      <c r="W97">
        <v>939.9</v>
      </c>
      <c r="X97">
        <f t="shared" si="7"/>
        <v>54882.400000000009</v>
      </c>
      <c r="Y97">
        <f t="shared" si="8"/>
        <v>54882.400000000009</v>
      </c>
      <c r="Z97">
        <v>9.5525020161000569</v>
      </c>
    </row>
    <row r="98" spans="1:26" x14ac:dyDescent="0.35">
      <c r="A98">
        <v>5160</v>
      </c>
      <c r="B98">
        <v>23050</v>
      </c>
      <c r="C98" s="1">
        <v>43043</v>
      </c>
      <c r="F98" s="54"/>
      <c r="G98">
        <v>11.9</v>
      </c>
      <c r="H98">
        <v>10.1</v>
      </c>
      <c r="I98">
        <v>15.9</v>
      </c>
      <c r="J98">
        <f t="shared" si="4"/>
        <v>917.00000000000011</v>
      </c>
      <c r="K98">
        <f t="shared" si="5"/>
        <v>917.00000000000011</v>
      </c>
      <c r="M98">
        <v>7.2</v>
      </c>
      <c r="N98">
        <v>1.1000000000000001</v>
      </c>
      <c r="O98">
        <f t="shared" si="10"/>
        <v>6.1</v>
      </c>
      <c r="Q98">
        <v>66</v>
      </c>
      <c r="R98">
        <f t="shared" si="9"/>
        <v>0.81647058823529406</v>
      </c>
      <c r="S98">
        <f t="shared" si="11"/>
        <v>0.89811764705882358</v>
      </c>
      <c r="T98">
        <f t="shared" si="12"/>
        <v>6.3018823529411767</v>
      </c>
      <c r="U98" s="2">
        <f t="shared" si="6"/>
        <v>47.336647058823544</v>
      </c>
      <c r="W98">
        <v>371.2</v>
      </c>
      <c r="X98">
        <f t="shared" si="7"/>
        <v>55253.600000000006</v>
      </c>
      <c r="Y98">
        <f t="shared" si="8"/>
        <v>55253.600000000006</v>
      </c>
      <c r="Z98">
        <v>9.5033038966845069</v>
      </c>
    </row>
    <row r="99" spans="1:26" x14ac:dyDescent="0.35">
      <c r="A99">
        <v>5160</v>
      </c>
      <c r="B99">
        <v>23050</v>
      </c>
      <c r="C99" s="1">
        <v>43044</v>
      </c>
      <c r="F99" s="54"/>
      <c r="G99">
        <v>6.8</v>
      </c>
      <c r="H99">
        <v>5.5</v>
      </c>
      <c r="I99">
        <v>10.1</v>
      </c>
      <c r="J99">
        <f t="shared" ref="J99:J162" si="13">J98+G99</f>
        <v>923.80000000000007</v>
      </c>
      <c r="K99">
        <f t="shared" ref="K99:K162" si="14">K98+G99</f>
        <v>923.80000000000007</v>
      </c>
      <c r="M99">
        <v>1.3</v>
      </c>
      <c r="N99">
        <v>0.7</v>
      </c>
      <c r="O99">
        <f t="shared" si="10"/>
        <v>0.60000000000000009</v>
      </c>
      <c r="Q99">
        <v>67</v>
      </c>
      <c r="R99">
        <f t="shared" si="9"/>
        <v>0.82411764705882351</v>
      </c>
      <c r="S99">
        <f t="shared" si="11"/>
        <v>0.5768823529411764</v>
      </c>
      <c r="T99">
        <f t="shared" si="12"/>
        <v>0.72311764705882364</v>
      </c>
      <c r="U99" s="2">
        <f t="shared" ref="U99:U162" si="15">MIN(U98+T99,150.8)</f>
        <v>48.059764705882365</v>
      </c>
      <c r="W99">
        <v>480.7</v>
      </c>
      <c r="X99">
        <f t="shared" ref="X99:X162" si="16">X98+W99</f>
        <v>55734.3</v>
      </c>
      <c r="Y99">
        <f t="shared" ref="Y99:Y162" si="17">Y98+W99</f>
        <v>55734.3</v>
      </c>
      <c r="Z99">
        <v>9.4546648893067538</v>
      </c>
    </row>
    <row r="100" spans="1:26" x14ac:dyDescent="0.35">
      <c r="A100">
        <v>5160</v>
      </c>
      <c r="B100">
        <v>23050</v>
      </c>
      <c r="C100" s="1">
        <v>43045</v>
      </c>
      <c r="F100" s="54"/>
      <c r="G100">
        <v>4.2</v>
      </c>
      <c r="H100">
        <v>2.4</v>
      </c>
      <c r="I100">
        <v>9.9</v>
      </c>
      <c r="J100">
        <f t="shared" si="13"/>
        <v>928.00000000000011</v>
      </c>
      <c r="K100">
        <f t="shared" si="14"/>
        <v>928.00000000000011</v>
      </c>
      <c r="M100">
        <v>0.3</v>
      </c>
      <c r="N100">
        <v>1</v>
      </c>
      <c r="O100">
        <f t="shared" si="10"/>
        <v>-0.7</v>
      </c>
      <c r="Q100">
        <v>68</v>
      </c>
      <c r="R100">
        <f t="shared" si="9"/>
        <v>0.83176470588235296</v>
      </c>
      <c r="S100">
        <f t="shared" si="11"/>
        <v>0.83176470588235296</v>
      </c>
      <c r="T100">
        <f t="shared" si="12"/>
        <v>-0.53176470588235292</v>
      </c>
      <c r="U100" s="2">
        <f t="shared" si="15"/>
        <v>47.528000000000013</v>
      </c>
      <c r="W100">
        <v>815.7</v>
      </c>
      <c r="X100">
        <f t="shared" si="16"/>
        <v>56550</v>
      </c>
      <c r="Y100">
        <f t="shared" si="17"/>
        <v>56550</v>
      </c>
      <c r="Z100">
        <v>9.406605338335412</v>
      </c>
    </row>
    <row r="101" spans="1:26" x14ac:dyDescent="0.35">
      <c r="A101">
        <v>5160</v>
      </c>
      <c r="B101">
        <v>23050</v>
      </c>
      <c r="C101" s="1">
        <v>43046</v>
      </c>
      <c r="F101" s="54"/>
      <c r="G101">
        <v>3</v>
      </c>
      <c r="H101">
        <v>-2.2999999999999998</v>
      </c>
      <c r="I101">
        <v>9.1999999999999993</v>
      </c>
      <c r="J101">
        <f t="shared" si="13"/>
        <v>931.00000000000011</v>
      </c>
      <c r="K101">
        <f t="shared" si="14"/>
        <v>931.00000000000011</v>
      </c>
      <c r="M101">
        <v>1.1000000000000001</v>
      </c>
      <c r="N101">
        <v>1.2</v>
      </c>
      <c r="O101">
        <f t="shared" si="10"/>
        <v>-9.9999999999999867E-2</v>
      </c>
      <c r="Q101">
        <v>69</v>
      </c>
      <c r="R101">
        <f t="shared" si="9"/>
        <v>0.8394117647058823</v>
      </c>
      <c r="S101">
        <f t="shared" si="11"/>
        <v>1.0072941176470587</v>
      </c>
      <c r="T101">
        <f t="shared" si="12"/>
        <v>9.2705882352941416E-2</v>
      </c>
      <c r="U101" s="2">
        <f t="shared" si="15"/>
        <v>47.620705882352951</v>
      </c>
      <c r="W101">
        <v>934.4</v>
      </c>
      <c r="X101">
        <f t="shared" si="16"/>
        <v>57484.4</v>
      </c>
      <c r="Y101">
        <f t="shared" si="17"/>
        <v>57484.4</v>
      </c>
      <c r="Z101">
        <v>9.3591459447317558</v>
      </c>
    </row>
    <row r="102" spans="1:26" x14ac:dyDescent="0.35">
      <c r="A102">
        <v>5160</v>
      </c>
      <c r="B102">
        <v>23050</v>
      </c>
      <c r="C102" s="1">
        <v>43047</v>
      </c>
      <c r="F102" s="54"/>
      <c r="G102">
        <v>6.1</v>
      </c>
      <c r="H102">
        <v>3.4</v>
      </c>
      <c r="I102">
        <v>7.2</v>
      </c>
      <c r="J102">
        <f t="shared" si="13"/>
        <v>937.10000000000014</v>
      </c>
      <c r="K102">
        <f t="shared" si="14"/>
        <v>937.10000000000014</v>
      </c>
      <c r="M102">
        <v>1.7</v>
      </c>
      <c r="N102">
        <v>0.1</v>
      </c>
      <c r="O102">
        <f t="shared" si="10"/>
        <v>1.5999999999999999</v>
      </c>
      <c r="Q102">
        <v>70</v>
      </c>
      <c r="R102">
        <f t="shared" si="9"/>
        <v>0.84705882352941175</v>
      </c>
      <c r="S102">
        <f t="shared" si="11"/>
        <v>8.4705882352941186E-2</v>
      </c>
      <c r="T102">
        <f t="shared" si="12"/>
        <v>1.6152941176470588</v>
      </c>
      <c r="U102" s="2">
        <f t="shared" si="15"/>
        <v>49.236000000000011</v>
      </c>
      <c r="W102">
        <v>132.5</v>
      </c>
      <c r="X102">
        <f t="shared" si="16"/>
        <v>57616.9</v>
      </c>
      <c r="Y102">
        <f t="shared" si="17"/>
        <v>57616.9</v>
      </c>
      <c r="Z102">
        <v>9.3123077524408071</v>
      </c>
    </row>
    <row r="103" spans="1:26" x14ac:dyDescent="0.35">
      <c r="A103">
        <v>5160</v>
      </c>
      <c r="B103">
        <v>23050</v>
      </c>
      <c r="C103" s="1">
        <v>43048</v>
      </c>
      <c r="F103" s="54"/>
      <c r="G103">
        <v>7.6</v>
      </c>
      <c r="H103">
        <v>6.3</v>
      </c>
      <c r="I103">
        <v>9.3000000000000007</v>
      </c>
      <c r="J103">
        <f t="shared" si="13"/>
        <v>944.70000000000016</v>
      </c>
      <c r="K103">
        <f t="shared" si="14"/>
        <v>944.70000000000016</v>
      </c>
      <c r="M103">
        <v>0.9</v>
      </c>
      <c r="N103">
        <v>0.2</v>
      </c>
      <c r="O103">
        <f t="shared" si="10"/>
        <v>0.7</v>
      </c>
      <c r="Q103">
        <v>71</v>
      </c>
      <c r="R103">
        <f t="shared" ref="R103:R122" si="18">0.35+((Q103-5)/85)*(1-0.35)</f>
        <v>0.8547058823529412</v>
      </c>
      <c r="S103">
        <f t="shared" si="11"/>
        <v>0.17094117647058826</v>
      </c>
      <c r="T103">
        <f t="shared" si="12"/>
        <v>0.72905882352941176</v>
      </c>
      <c r="U103" s="2">
        <f t="shared" si="15"/>
        <v>49.965058823529425</v>
      </c>
      <c r="W103">
        <v>143</v>
      </c>
      <c r="X103">
        <f t="shared" si="16"/>
        <v>57759.9</v>
      </c>
      <c r="Y103">
        <f t="shared" si="17"/>
        <v>57759.9</v>
      </c>
      <c r="Z103">
        <v>9.2661121329669811</v>
      </c>
    </row>
    <row r="104" spans="1:26" x14ac:dyDescent="0.35">
      <c r="A104">
        <v>5160</v>
      </c>
      <c r="B104">
        <v>23050</v>
      </c>
      <c r="C104" s="1">
        <v>43049</v>
      </c>
      <c r="F104" s="54"/>
      <c r="G104">
        <v>9.6999999999999993</v>
      </c>
      <c r="H104">
        <v>7.6</v>
      </c>
      <c r="I104">
        <v>11</v>
      </c>
      <c r="J104">
        <f t="shared" si="13"/>
        <v>954.4000000000002</v>
      </c>
      <c r="K104">
        <f t="shared" si="14"/>
        <v>954.4000000000002</v>
      </c>
      <c r="M104">
        <v>1.5</v>
      </c>
      <c r="N104">
        <v>0.2</v>
      </c>
      <c r="O104">
        <f t="shared" si="10"/>
        <v>1.3</v>
      </c>
      <c r="Q104">
        <v>72</v>
      </c>
      <c r="R104">
        <f t="shared" si="18"/>
        <v>0.86235294117647054</v>
      </c>
      <c r="S104">
        <f t="shared" si="11"/>
        <v>0.17247058823529413</v>
      </c>
      <c r="T104">
        <f t="shared" si="12"/>
        <v>1.3275294117647058</v>
      </c>
      <c r="U104" s="2">
        <f t="shared" si="15"/>
        <v>51.292588235294133</v>
      </c>
      <c r="W104">
        <v>254.9</v>
      </c>
      <c r="X104">
        <f t="shared" si="16"/>
        <v>58014.8</v>
      </c>
      <c r="Y104">
        <f t="shared" si="17"/>
        <v>58014.8</v>
      </c>
      <c r="Z104">
        <v>9.2205807680822787</v>
      </c>
    </row>
    <row r="105" spans="1:26" x14ac:dyDescent="0.35">
      <c r="A105">
        <v>5160</v>
      </c>
      <c r="B105">
        <v>23050</v>
      </c>
      <c r="C105" s="1">
        <v>43050</v>
      </c>
      <c r="F105" s="54"/>
      <c r="G105">
        <v>11.4</v>
      </c>
      <c r="H105">
        <v>9.1</v>
      </c>
      <c r="I105">
        <v>12.9</v>
      </c>
      <c r="J105">
        <f t="shared" si="13"/>
        <v>965.80000000000018</v>
      </c>
      <c r="K105">
        <f t="shared" si="14"/>
        <v>965.80000000000018</v>
      </c>
      <c r="M105">
        <v>2.9</v>
      </c>
      <c r="N105">
        <v>0.2</v>
      </c>
      <c r="O105">
        <f t="shared" si="10"/>
        <v>2.6999999999999997</v>
      </c>
      <c r="Q105">
        <v>73</v>
      </c>
      <c r="R105">
        <f t="shared" si="18"/>
        <v>0.87</v>
      </c>
      <c r="S105">
        <f t="shared" si="11"/>
        <v>0.17400000000000002</v>
      </c>
      <c r="T105">
        <f t="shared" si="12"/>
        <v>2.726</v>
      </c>
      <c r="U105" s="2">
        <f t="shared" si="15"/>
        <v>54.018588235294132</v>
      </c>
      <c r="W105">
        <v>144.30000000000001</v>
      </c>
      <c r="X105">
        <f t="shared" si="16"/>
        <v>58159.100000000006</v>
      </c>
      <c r="Y105">
        <f t="shared" si="17"/>
        <v>58159.100000000006</v>
      </c>
      <c r="Z105">
        <v>9.1757356306201672</v>
      </c>
    </row>
    <row r="106" spans="1:26" x14ac:dyDescent="0.35">
      <c r="A106">
        <v>5160</v>
      </c>
      <c r="B106">
        <v>23050</v>
      </c>
      <c r="C106" s="1">
        <v>43051</v>
      </c>
      <c r="F106" s="54"/>
      <c r="G106">
        <v>8.3000000000000007</v>
      </c>
      <c r="H106">
        <v>5.0999999999999996</v>
      </c>
      <c r="I106">
        <v>11.2</v>
      </c>
      <c r="J106">
        <f t="shared" si="13"/>
        <v>974.10000000000014</v>
      </c>
      <c r="K106">
        <f t="shared" si="14"/>
        <v>974.10000000000014</v>
      </c>
      <c r="M106">
        <v>2.2999999999999998</v>
      </c>
      <c r="N106">
        <v>0.3</v>
      </c>
      <c r="O106">
        <f t="shared" si="10"/>
        <v>1.9999999999999998</v>
      </c>
      <c r="Q106">
        <v>74</v>
      </c>
      <c r="R106">
        <f t="shared" si="18"/>
        <v>0.87764705882352945</v>
      </c>
      <c r="S106">
        <f t="shared" si="11"/>
        <v>0.26329411764705885</v>
      </c>
      <c r="T106">
        <f t="shared" si="12"/>
        <v>2.0367058823529409</v>
      </c>
      <c r="U106" s="2">
        <f t="shared" si="15"/>
        <v>56.055294117647072</v>
      </c>
      <c r="W106">
        <v>351.8</v>
      </c>
      <c r="X106">
        <f t="shared" si="16"/>
        <v>58510.900000000009</v>
      </c>
      <c r="Y106">
        <f t="shared" si="17"/>
        <v>58510.900000000009</v>
      </c>
      <c r="Z106">
        <v>9.1315989633139694</v>
      </c>
    </row>
    <row r="107" spans="1:26" x14ac:dyDescent="0.35">
      <c r="A107">
        <v>5160</v>
      </c>
      <c r="B107">
        <v>23050</v>
      </c>
      <c r="C107" s="1">
        <v>43052</v>
      </c>
      <c r="F107" s="54"/>
      <c r="G107">
        <v>4.0999999999999996</v>
      </c>
      <c r="H107">
        <v>2.2999999999999998</v>
      </c>
      <c r="I107">
        <v>9.1</v>
      </c>
      <c r="J107">
        <f t="shared" si="13"/>
        <v>978.20000000000016</v>
      </c>
      <c r="K107">
        <f t="shared" si="14"/>
        <v>978.20000000000016</v>
      </c>
      <c r="M107">
        <v>0</v>
      </c>
      <c r="N107">
        <v>1</v>
      </c>
      <c r="O107">
        <f t="shared" si="10"/>
        <v>-1</v>
      </c>
      <c r="Q107">
        <v>75</v>
      </c>
      <c r="R107">
        <f t="shared" si="18"/>
        <v>0.88529411764705879</v>
      </c>
      <c r="S107">
        <f t="shared" si="11"/>
        <v>0.88529411764705879</v>
      </c>
      <c r="T107">
        <f t="shared" si="12"/>
        <v>-0.88529411764705879</v>
      </c>
      <c r="U107" s="2">
        <f t="shared" si="15"/>
        <v>55.170000000000016</v>
      </c>
      <c r="W107">
        <v>342.5</v>
      </c>
      <c r="X107">
        <f t="shared" si="16"/>
        <v>58853.400000000009</v>
      </c>
      <c r="Y107">
        <f t="shared" si="17"/>
        <v>58853.400000000009</v>
      </c>
      <c r="Z107">
        <v>9.0881932556453684</v>
      </c>
    </row>
    <row r="108" spans="1:26" x14ac:dyDescent="0.35">
      <c r="A108">
        <v>5160</v>
      </c>
      <c r="B108">
        <v>23050</v>
      </c>
      <c r="C108" s="1">
        <v>43053</v>
      </c>
      <c r="F108" s="54"/>
      <c r="G108">
        <v>3.6</v>
      </c>
      <c r="H108">
        <v>-0.2</v>
      </c>
      <c r="I108">
        <v>9.1</v>
      </c>
      <c r="J108">
        <f t="shared" si="13"/>
        <v>981.80000000000018</v>
      </c>
      <c r="K108">
        <f t="shared" si="14"/>
        <v>981.80000000000018</v>
      </c>
      <c r="M108">
        <v>0</v>
      </c>
      <c r="N108">
        <v>1</v>
      </c>
      <c r="O108">
        <f t="shared" si="10"/>
        <v>-1</v>
      </c>
      <c r="Q108">
        <v>76</v>
      </c>
      <c r="R108">
        <f t="shared" si="18"/>
        <v>0.89294117647058824</v>
      </c>
      <c r="S108">
        <f t="shared" si="11"/>
        <v>0.89294117647058824</v>
      </c>
      <c r="T108">
        <f t="shared" si="12"/>
        <v>-0.89294117647058824</v>
      </c>
      <c r="U108" s="2">
        <f t="shared" si="15"/>
        <v>54.27705882352943</v>
      </c>
      <c r="W108">
        <v>738.9</v>
      </c>
      <c r="X108">
        <f t="shared" si="16"/>
        <v>59592.30000000001</v>
      </c>
      <c r="Y108">
        <f t="shared" si="17"/>
        <v>59592.30000000001</v>
      </c>
      <c r="Z108">
        <v>9.045541218676151</v>
      </c>
    </row>
    <row r="109" spans="1:26" x14ac:dyDescent="0.35">
      <c r="A109">
        <v>5160</v>
      </c>
      <c r="B109">
        <v>23050</v>
      </c>
      <c r="C109" s="1">
        <v>43054</v>
      </c>
      <c r="E109" t="s">
        <v>35</v>
      </c>
      <c r="F109" s="54"/>
      <c r="G109">
        <v>5.2</v>
      </c>
      <c r="H109">
        <v>1.6</v>
      </c>
      <c r="I109">
        <v>8.8000000000000007</v>
      </c>
      <c r="J109">
        <f t="shared" si="13"/>
        <v>987.00000000000023</v>
      </c>
      <c r="K109">
        <f t="shared" si="14"/>
        <v>987.00000000000023</v>
      </c>
      <c r="M109">
        <v>0.1</v>
      </c>
      <c r="N109">
        <v>0.7</v>
      </c>
      <c r="O109">
        <f t="shared" si="10"/>
        <v>-0.6</v>
      </c>
      <c r="Q109">
        <v>77</v>
      </c>
      <c r="R109">
        <f t="shared" si="18"/>
        <v>0.90058823529411769</v>
      </c>
      <c r="S109">
        <f t="shared" si="11"/>
        <v>0.63041176470588234</v>
      </c>
      <c r="T109">
        <f t="shared" si="12"/>
        <v>-0.53041176470588236</v>
      </c>
      <c r="U109" s="2">
        <f t="shared" si="15"/>
        <v>53.746647058823548</v>
      </c>
      <c r="W109">
        <v>429.9</v>
      </c>
      <c r="X109">
        <f t="shared" si="16"/>
        <v>60022.200000000012</v>
      </c>
      <c r="Y109">
        <f t="shared" si="17"/>
        <v>60022.200000000012</v>
      </c>
      <c r="Z109">
        <v>9.0036657578448196</v>
      </c>
    </row>
    <row r="110" spans="1:26" x14ac:dyDescent="0.35">
      <c r="A110">
        <v>5160</v>
      </c>
      <c r="B110">
        <v>23050</v>
      </c>
      <c r="C110" s="1">
        <v>43055</v>
      </c>
      <c r="E110">
        <v>1</v>
      </c>
      <c r="F110" s="54"/>
      <c r="G110">
        <v>4.3</v>
      </c>
      <c r="H110">
        <v>3.7</v>
      </c>
      <c r="I110">
        <v>5</v>
      </c>
      <c r="J110">
        <f t="shared" si="13"/>
        <v>991.30000000000018</v>
      </c>
      <c r="K110">
        <f t="shared" si="14"/>
        <v>991.30000000000018</v>
      </c>
      <c r="M110">
        <v>0</v>
      </c>
      <c r="N110">
        <v>0.3</v>
      </c>
      <c r="O110">
        <f t="shared" si="10"/>
        <v>-0.3</v>
      </c>
      <c r="Q110">
        <v>78</v>
      </c>
      <c r="R110">
        <f t="shared" si="18"/>
        <v>0.90823529411764703</v>
      </c>
      <c r="S110">
        <f t="shared" si="11"/>
        <v>0.27247058823529408</v>
      </c>
      <c r="T110">
        <f t="shared" si="12"/>
        <v>-0.27247058823529408</v>
      </c>
      <c r="U110" s="2">
        <f t="shared" si="15"/>
        <v>53.474176470588255</v>
      </c>
      <c r="W110">
        <v>227.9</v>
      </c>
      <c r="X110">
        <f t="shared" si="16"/>
        <v>60250.100000000013</v>
      </c>
      <c r="Y110">
        <f t="shared" si="17"/>
        <v>60250.100000000013</v>
      </c>
      <c r="Z110">
        <v>8.9625899437191912</v>
      </c>
    </row>
    <row r="111" spans="1:26" x14ac:dyDescent="0.35">
      <c r="A111">
        <v>5160</v>
      </c>
      <c r="B111">
        <v>23050</v>
      </c>
      <c r="C111" s="1">
        <v>43056</v>
      </c>
      <c r="F111" s="54"/>
      <c r="G111">
        <v>6.7</v>
      </c>
      <c r="H111">
        <v>3.4</v>
      </c>
      <c r="I111">
        <v>9.3000000000000007</v>
      </c>
      <c r="J111">
        <f t="shared" si="13"/>
        <v>998.00000000000023</v>
      </c>
      <c r="K111">
        <f t="shared" si="14"/>
        <v>998.00000000000023</v>
      </c>
      <c r="M111">
        <v>0.1</v>
      </c>
      <c r="N111">
        <v>0.1</v>
      </c>
      <c r="O111">
        <f t="shared" si="10"/>
        <v>0</v>
      </c>
      <c r="Q111">
        <v>79</v>
      </c>
      <c r="R111">
        <f t="shared" si="18"/>
        <v>0.91588235294117648</v>
      </c>
      <c r="S111">
        <f t="shared" si="11"/>
        <v>9.1588235294117651E-2</v>
      </c>
      <c r="T111">
        <f t="shared" si="12"/>
        <v>8.4117647058823547E-3</v>
      </c>
      <c r="U111" s="2">
        <f t="shared" si="15"/>
        <v>53.482588235294138</v>
      </c>
      <c r="W111">
        <v>210.6</v>
      </c>
      <c r="X111">
        <f t="shared" si="16"/>
        <v>60460.700000000012</v>
      </c>
      <c r="Y111">
        <f t="shared" si="17"/>
        <v>60460.700000000012</v>
      </c>
      <c r="Z111">
        <v>8.9223369807063477</v>
      </c>
    </row>
    <row r="112" spans="1:26" x14ac:dyDescent="0.35">
      <c r="A112">
        <v>5160</v>
      </c>
      <c r="B112">
        <v>23050</v>
      </c>
      <c r="C112" s="1">
        <v>43057</v>
      </c>
      <c r="F112" s="54"/>
      <c r="G112">
        <v>5.6</v>
      </c>
      <c r="H112">
        <v>3.6</v>
      </c>
      <c r="I112">
        <v>8.1</v>
      </c>
      <c r="J112">
        <f t="shared" si="13"/>
        <v>1003.6000000000003</v>
      </c>
      <c r="K112">
        <f t="shared" si="14"/>
        <v>1003.6000000000003</v>
      </c>
      <c r="M112">
        <v>0.1</v>
      </c>
      <c r="N112">
        <v>0.3</v>
      </c>
      <c r="O112">
        <f t="shared" si="10"/>
        <v>-0.19999999999999998</v>
      </c>
      <c r="Q112">
        <v>80</v>
      </c>
      <c r="R112">
        <f t="shared" si="18"/>
        <v>0.92352941176470582</v>
      </c>
      <c r="S112">
        <f t="shared" si="11"/>
        <v>0.27705882352941175</v>
      </c>
      <c r="T112">
        <f t="shared" si="12"/>
        <v>-0.17705882352941174</v>
      </c>
      <c r="U112" s="2">
        <f t="shared" si="15"/>
        <v>53.305529411764724</v>
      </c>
      <c r="W112">
        <v>186.7</v>
      </c>
      <c r="X112">
        <f t="shared" si="16"/>
        <v>60647.400000000009</v>
      </c>
      <c r="Y112">
        <f t="shared" si="17"/>
        <v>60647.400000000009</v>
      </c>
      <c r="Z112">
        <v>8.88293017373271</v>
      </c>
    </row>
    <row r="113" spans="1:27" x14ac:dyDescent="0.35">
      <c r="A113">
        <v>5160</v>
      </c>
      <c r="B113">
        <v>23050</v>
      </c>
      <c r="C113" s="1">
        <v>43058</v>
      </c>
      <c r="F113" s="54"/>
      <c r="G113">
        <v>6</v>
      </c>
      <c r="H113">
        <v>3.8</v>
      </c>
      <c r="I113">
        <v>7.9</v>
      </c>
      <c r="J113">
        <f t="shared" si="13"/>
        <v>1009.6000000000003</v>
      </c>
      <c r="K113">
        <f t="shared" si="14"/>
        <v>1009.6000000000003</v>
      </c>
      <c r="M113">
        <v>0.2</v>
      </c>
      <c r="N113">
        <v>0.2</v>
      </c>
      <c r="O113">
        <f t="shared" si="10"/>
        <v>0</v>
      </c>
      <c r="Q113">
        <v>81</v>
      </c>
      <c r="R113">
        <f t="shared" si="18"/>
        <v>0.93117647058823527</v>
      </c>
      <c r="S113">
        <f t="shared" si="11"/>
        <v>0.18623529411764705</v>
      </c>
      <c r="T113">
        <f t="shared" si="12"/>
        <v>1.3764705882352957E-2</v>
      </c>
      <c r="U113" s="2">
        <f t="shared" si="15"/>
        <v>53.319294117647075</v>
      </c>
      <c r="W113">
        <v>270.60000000000002</v>
      </c>
      <c r="X113">
        <f t="shared" si="16"/>
        <v>60918.000000000007</v>
      </c>
      <c r="Y113">
        <f t="shared" si="17"/>
        <v>60918.000000000007</v>
      </c>
      <c r="Z113">
        <v>8.8443928929191156</v>
      </c>
    </row>
    <row r="114" spans="1:27" x14ac:dyDescent="0.35">
      <c r="A114">
        <v>5160</v>
      </c>
      <c r="B114">
        <v>23050</v>
      </c>
      <c r="C114" s="1">
        <v>43059</v>
      </c>
      <c r="F114" s="54"/>
      <c r="G114">
        <v>7.6</v>
      </c>
      <c r="H114">
        <v>4.5</v>
      </c>
      <c r="I114">
        <v>9.3000000000000007</v>
      </c>
      <c r="J114">
        <f t="shared" si="13"/>
        <v>1017.2000000000003</v>
      </c>
      <c r="K114">
        <f t="shared" si="14"/>
        <v>1017.2000000000003</v>
      </c>
      <c r="M114">
        <v>0.1</v>
      </c>
      <c r="N114">
        <v>0.1</v>
      </c>
      <c r="O114">
        <f t="shared" si="10"/>
        <v>0</v>
      </c>
      <c r="Q114">
        <v>82</v>
      </c>
      <c r="R114">
        <f t="shared" si="18"/>
        <v>0.93882352941176472</v>
      </c>
      <c r="S114">
        <f t="shared" si="11"/>
        <v>9.3882352941176472E-2</v>
      </c>
      <c r="T114">
        <f t="shared" si="12"/>
        <v>6.1176470588235332E-3</v>
      </c>
      <c r="U114" s="2">
        <f t="shared" si="15"/>
        <v>53.325411764705898</v>
      </c>
      <c r="W114">
        <v>196.5</v>
      </c>
      <c r="X114">
        <f t="shared" si="16"/>
        <v>61114.500000000007</v>
      </c>
      <c r="Y114">
        <f t="shared" si="17"/>
        <v>61114.500000000007</v>
      </c>
      <c r="Z114">
        <v>8.8067485362889073</v>
      </c>
    </row>
    <row r="115" spans="1:27" x14ac:dyDescent="0.35">
      <c r="A115">
        <v>5160</v>
      </c>
      <c r="B115">
        <v>23050</v>
      </c>
      <c r="C115" s="1">
        <v>43060</v>
      </c>
      <c r="F115" s="54"/>
      <c r="G115">
        <v>8.1</v>
      </c>
      <c r="H115">
        <v>7.6</v>
      </c>
      <c r="I115">
        <v>8.6</v>
      </c>
      <c r="J115">
        <f t="shared" si="13"/>
        <v>1025.3000000000002</v>
      </c>
      <c r="K115">
        <f t="shared" si="14"/>
        <v>1025.3000000000002</v>
      </c>
      <c r="M115">
        <v>0</v>
      </c>
      <c r="N115">
        <v>0.3</v>
      </c>
      <c r="O115">
        <f t="shared" si="10"/>
        <v>-0.3</v>
      </c>
      <c r="Q115">
        <v>83</v>
      </c>
      <c r="R115">
        <f t="shared" si="18"/>
        <v>0.94647058823529406</v>
      </c>
      <c r="S115">
        <f t="shared" si="11"/>
        <v>0.2839411764705882</v>
      </c>
      <c r="T115">
        <f t="shared" si="12"/>
        <v>-0.2839411764705882</v>
      </c>
      <c r="U115" s="2">
        <f t="shared" si="15"/>
        <v>53.041470588235306</v>
      </c>
      <c r="W115">
        <v>248.8</v>
      </c>
      <c r="X115">
        <f t="shared" si="16"/>
        <v>61363.30000000001</v>
      </c>
      <c r="Y115">
        <f t="shared" si="17"/>
        <v>61363.30000000001</v>
      </c>
      <c r="Z115">
        <v>8.7700204905608743</v>
      </c>
    </row>
    <row r="116" spans="1:27" x14ac:dyDescent="0.35">
      <c r="A116">
        <v>5160</v>
      </c>
      <c r="B116">
        <v>23050</v>
      </c>
      <c r="C116" s="1">
        <v>43061</v>
      </c>
      <c r="F116" s="54"/>
      <c r="G116">
        <v>10.6</v>
      </c>
      <c r="H116">
        <v>5.5</v>
      </c>
      <c r="I116">
        <v>13.5</v>
      </c>
      <c r="J116">
        <f t="shared" si="13"/>
        <v>1035.9000000000001</v>
      </c>
      <c r="K116">
        <f t="shared" si="14"/>
        <v>1035.9000000000001</v>
      </c>
      <c r="M116">
        <v>0.1</v>
      </c>
      <c r="N116">
        <v>1.4</v>
      </c>
      <c r="O116">
        <f t="shared" si="10"/>
        <v>-1.2999999999999998</v>
      </c>
      <c r="Q116">
        <v>84</v>
      </c>
      <c r="R116">
        <f t="shared" si="18"/>
        <v>0.95411764705882351</v>
      </c>
      <c r="S116">
        <f t="shared" si="11"/>
        <v>1.3357647058823527</v>
      </c>
      <c r="T116">
        <f t="shared" si="12"/>
        <v>-1.2357647058823527</v>
      </c>
      <c r="U116" s="2">
        <f t="shared" si="15"/>
        <v>51.805705882352953</v>
      </c>
      <c r="W116">
        <v>658.3</v>
      </c>
      <c r="X116">
        <f t="shared" si="16"/>
        <v>62021.600000000013</v>
      </c>
      <c r="Y116">
        <f t="shared" si="17"/>
        <v>62021.600000000013</v>
      </c>
      <c r="Z116">
        <v>8.7342320900935455</v>
      </c>
    </row>
    <row r="117" spans="1:27" x14ac:dyDescent="0.35">
      <c r="A117">
        <v>5160</v>
      </c>
      <c r="B117">
        <v>23050</v>
      </c>
      <c r="C117" s="1">
        <v>43062</v>
      </c>
      <c r="F117" s="54"/>
      <c r="G117">
        <v>13.8</v>
      </c>
      <c r="H117">
        <v>12.5</v>
      </c>
      <c r="I117">
        <v>16</v>
      </c>
      <c r="J117">
        <f t="shared" si="13"/>
        <v>1049.7</v>
      </c>
      <c r="K117">
        <f t="shared" si="14"/>
        <v>1049.7</v>
      </c>
      <c r="M117">
        <v>5.8</v>
      </c>
      <c r="N117">
        <v>2.1</v>
      </c>
      <c r="O117">
        <f t="shared" si="10"/>
        <v>3.6999999999999997</v>
      </c>
      <c r="Q117">
        <v>85</v>
      </c>
      <c r="R117">
        <f t="shared" si="18"/>
        <v>0.96176470588235297</v>
      </c>
      <c r="S117">
        <f t="shared" si="11"/>
        <v>2.0197058823529415</v>
      </c>
      <c r="T117">
        <f t="shared" si="12"/>
        <v>3.7802941176470584</v>
      </c>
      <c r="U117" s="2">
        <f t="shared" si="15"/>
        <v>55.586000000000013</v>
      </c>
      <c r="W117">
        <v>363.1</v>
      </c>
      <c r="X117">
        <f t="shared" si="16"/>
        <v>62384.700000000012</v>
      </c>
      <c r="Y117">
        <f t="shared" si="17"/>
        <v>62384.700000000012</v>
      </c>
      <c r="Z117">
        <v>8.6994065740626283</v>
      </c>
    </row>
    <row r="118" spans="1:27" x14ac:dyDescent="0.35">
      <c r="A118">
        <v>5160</v>
      </c>
      <c r="B118">
        <v>23050</v>
      </c>
      <c r="C118" s="1">
        <v>43063</v>
      </c>
      <c r="F118" s="54"/>
      <c r="G118">
        <v>11.1</v>
      </c>
      <c r="H118">
        <v>9.1</v>
      </c>
      <c r="I118">
        <v>13.2</v>
      </c>
      <c r="J118">
        <f t="shared" si="13"/>
        <v>1060.8</v>
      </c>
      <c r="K118">
        <f t="shared" si="14"/>
        <v>1060.8</v>
      </c>
      <c r="M118">
        <v>0.9</v>
      </c>
      <c r="N118">
        <v>0.6</v>
      </c>
      <c r="O118">
        <f t="shared" si="10"/>
        <v>0.30000000000000004</v>
      </c>
      <c r="Q118">
        <v>86</v>
      </c>
      <c r="R118">
        <f t="shared" si="18"/>
        <v>0.96941176470588231</v>
      </c>
      <c r="S118">
        <f t="shared" si="11"/>
        <v>0.58164705882352941</v>
      </c>
      <c r="T118">
        <f t="shared" si="12"/>
        <v>0.31835294117647062</v>
      </c>
      <c r="U118" s="2">
        <f t="shared" si="15"/>
        <v>55.904352941176484</v>
      </c>
      <c r="W118">
        <v>120.6</v>
      </c>
      <c r="X118">
        <f t="shared" si="16"/>
        <v>62505.30000000001</v>
      </c>
      <c r="Y118">
        <f t="shared" si="17"/>
        <v>62505.30000000001</v>
      </c>
      <c r="Z118">
        <v>8.6655670419692452</v>
      </c>
    </row>
    <row r="119" spans="1:27" x14ac:dyDescent="0.35">
      <c r="A119">
        <v>5160</v>
      </c>
      <c r="B119">
        <v>23050</v>
      </c>
      <c r="C119" s="1">
        <v>43064</v>
      </c>
      <c r="E119">
        <v>2</v>
      </c>
      <c r="F119" s="54"/>
      <c r="G119">
        <v>4.5999999999999996</v>
      </c>
      <c r="H119">
        <v>2.8</v>
      </c>
      <c r="I119">
        <v>6.5</v>
      </c>
      <c r="J119">
        <f t="shared" si="13"/>
        <v>1065.3999999999999</v>
      </c>
      <c r="K119">
        <f t="shared" si="14"/>
        <v>1065.3999999999999</v>
      </c>
      <c r="M119">
        <v>0.2</v>
      </c>
      <c r="N119">
        <v>0.3</v>
      </c>
      <c r="O119">
        <f t="shared" si="10"/>
        <v>-9.9999999999999978E-2</v>
      </c>
      <c r="Q119">
        <v>87</v>
      </c>
      <c r="R119">
        <f t="shared" si="18"/>
        <v>0.97705882352941176</v>
      </c>
      <c r="S119">
        <f t="shared" si="11"/>
        <v>0.29311764705882354</v>
      </c>
      <c r="T119">
        <f t="shared" si="12"/>
        <v>-9.3117647058823527E-2</v>
      </c>
      <c r="U119" s="2">
        <f t="shared" si="15"/>
        <v>55.811235294117658</v>
      </c>
      <c r="W119">
        <v>272.7</v>
      </c>
      <c r="X119">
        <f t="shared" si="16"/>
        <v>62778.000000000007</v>
      </c>
      <c r="Y119">
        <f t="shared" si="17"/>
        <v>62778.000000000007</v>
      </c>
      <c r="Z119">
        <v>8.6327364075929296</v>
      </c>
    </row>
    <row r="120" spans="1:27" x14ac:dyDescent="0.35">
      <c r="A120">
        <v>5160</v>
      </c>
      <c r="B120">
        <v>23050</v>
      </c>
      <c r="C120" s="1">
        <v>43065</v>
      </c>
      <c r="E120">
        <v>3</v>
      </c>
      <c r="F120" s="54"/>
      <c r="G120">
        <v>3.7</v>
      </c>
      <c r="H120">
        <v>-0.7</v>
      </c>
      <c r="I120">
        <v>7.4</v>
      </c>
      <c r="J120">
        <f t="shared" si="13"/>
        <v>1069.0999999999999</v>
      </c>
      <c r="K120">
        <f t="shared" si="14"/>
        <v>1069.0999999999999</v>
      </c>
      <c r="M120">
        <v>0.1</v>
      </c>
      <c r="N120">
        <v>0.4</v>
      </c>
      <c r="O120">
        <f t="shared" si="10"/>
        <v>-0.30000000000000004</v>
      </c>
      <c r="Q120">
        <v>88</v>
      </c>
      <c r="R120">
        <f t="shared" si="18"/>
        <v>0.98470588235294121</v>
      </c>
      <c r="S120">
        <f t="shared" si="11"/>
        <v>0.39388235294117652</v>
      </c>
      <c r="T120">
        <f t="shared" si="12"/>
        <v>-0.29388235294117648</v>
      </c>
      <c r="U120" s="2">
        <f t="shared" si="15"/>
        <v>55.517352941176483</v>
      </c>
      <c r="W120">
        <v>474.4</v>
      </c>
      <c r="X120">
        <f t="shared" si="16"/>
        <v>63252.400000000009</v>
      </c>
      <c r="Y120">
        <f t="shared" si="17"/>
        <v>63252.400000000009</v>
      </c>
      <c r="Z120">
        <v>8.600937351519887</v>
      </c>
    </row>
    <row r="121" spans="1:27" x14ac:dyDescent="0.35">
      <c r="A121">
        <v>5160</v>
      </c>
      <c r="B121">
        <v>23050</v>
      </c>
      <c r="C121" s="1">
        <v>43066</v>
      </c>
      <c r="F121" s="54"/>
      <c r="G121">
        <v>6.7</v>
      </c>
      <c r="H121">
        <v>3.7</v>
      </c>
      <c r="I121">
        <v>8.5</v>
      </c>
      <c r="J121">
        <f t="shared" si="13"/>
        <v>1075.8</v>
      </c>
      <c r="K121">
        <f t="shared" si="14"/>
        <v>1075.8</v>
      </c>
      <c r="M121">
        <v>8.9</v>
      </c>
      <c r="N121">
        <v>0.7</v>
      </c>
      <c r="O121">
        <f t="shared" si="10"/>
        <v>8.2000000000000011</v>
      </c>
      <c r="Q121">
        <v>89</v>
      </c>
      <c r="R121">
        <f t="shared" si="18"/>
        <v>0.99235294117647066</v>
      </c>
      <c r="S121">
        <f t="shared" si="11"/>
        <v>0.6946470588235294</v>
      </c>
      <c r="T121">
        <f t="shared" si="12"/>
        <v>8.2053529411764714</v>
      </c>
      <c r="U121" s="2">
        <f t="shared" si="15"/>
        <v>63.722705882352955</v>
      </c>
      <c r="W121">
        <v>204</v>
      </c>
      <c r="X121">
        <f t="shared" si="16"/>
        <v>63456.400000000009</v>
      </c>
      <c r="Y121">
        <f t="shared" si="17"/>
        <v>63456.400000000009</v>
      </c>
      <c r="Z121">
        <v>8.5701922723938182</v>
      </c>
    </row>
    <row r="122" spans="1:27" s="6" customFormat="1" ht="15" thickBot="1" x14ac:dyDescent="0.4">
      <c r="A122" s="6">
        <v>5160</v>
      </c>
      <c r="B122" s="6">
        <v>23050</v>
      </c>
      <c r="C122" s="7">
        <v>43067</v>
      </c>
      <c r="F122" s="55"/>
      <c r="G122" s="6">
        <v>6.5</v>
      </c>
      <c r="H122" s="6">
        <v>5.5</v>
      </c>
      <c r="I122" s="6">
        <v>9.1</v>
      </c>
      <c r="J122" s="6">
        <f t="shared" si="13"/>
        <v>1082.3</v>
      </c>
      <c r="K122" s="6">
        <f t="shared" si="14"/>
        <v>1082.3</v>
      </c>
      <c r="M122" s="6">
        <v>1.8</v>
      </c>
      <c r="N122" s="6">
        <v>0.7</v>
      </c>
      <c r="O122" s="6">
        <f t="shared" si="10"/>
        <v>1.1000000000000001</v>
      </c>
      <c r="Q122" s="6">
        <v>90</v>
      </c>
      <c r="R122" s="6">
        <f t="shared" si="18"/>
        <v>1</v>
      </c>
      <c r="S122" s="6">
        <f t="shared" si="11"/>
        <v>0.7</v>
      </c>
      <c r="T122" s="6">
        <f t="shared" si="12"/>
        <v>1.1000000000000001</v>
      </c>
      <c r="U122" s="9">
        <f t="shared" si="15"/>
        <v>64.822705882352949</v>
      </c>
      <c r="W122" s="6">
        <v>190.3</v>
      </c>
      <c r="X122" s="6">
        <f t="shared" si="16"/>
        <v>63646.700000000012</v>
      </c>
      <c r="Y122" s="6">
        <f t="shared" si="17"/>
        <v>63646.700000000012</v>
      </c>
      <c r="Z122" s="6">
        <v>8.5405232370532556</v>
      </c>
    </row>
    <row r="123" spans="1:27" x14ac:dyDescent="0.35">
      <c r="A123">
        <v>5160</v>
      </c>
      <c r="B123">
        <v>23050</v>
      </c>
      <c r="C123" s="1">
        <v>43068</v>
      </c>
      <c r="E123">
        <v>4</v>
      </c>
      <c r="F123" s="50" t="s">
        <v>52</v>
      </c>
      <c r="G123">
        <v>2.1</v>
      </c>
      <c r="H123">
        <v>-0.7</v>
      </c>
      <c r="I123">
        <v>5.5</v>
      </c>
      <c r="J123">
        <f t="shared" si="13"/>
        <v>1084.3999999999999</v>
      </c>
      <c r="K123">
        <f>G123</f>
        <v>2.1</v>
      </c>
      <c r="L123" s="13" t="s">
        <v>36</v>
      </c>
      <c r="M123">
        <v>0.2</v>
      </c>
      <c r="N123">
        <v>0.3</v>
      </c>
      <c r="O123">
        <f t="shared" si="10"/>
        <v>-9.9999999999999978E-2</v>
      </c>
      <c r="Q123">
        <v>91</v>
      </c>
      <c r="R123">
        <v>1</v>
      </c>
      <c r="S123">
        <f t="shared" si="11"/>
        <v>0.3</v>
      </c>
      <c r="T123">
        <f t="shared" si="12"/>
        <v>-9.9999999999999978E-2</v>
      </c>
      <c r="U123" s="2">
        <f t="shared" si="15"/>
        <v>64.722705882352955</v>
      </c>
      <c r="V123" s="14" t="s">
        <v>43</v>
      </c>
      <c r="W123">
        <v>373.4</v>
      </c>
      <c r="X123">
        <f t="shared" si="16"/>
        <v>64020.100000000013</v>
      </c>
      <c r="Y123">
        <f>W123</f>
        <v>373.4</v>
      </c>
      <c r="Z123">
        <v>8.5119519297357726</v>
      </c>
      <c r="AA123" s="14" t="s">
        <v>48</v>
      </c>
    </row>
    <row r="124" spans="1:27" x14ac:dyDescent="0.35">
      <c r="A124">
        <v>5160</v>
      </c>
      <c r="B124">
        <v>23050</v>
      </c>
      <c r="C124" s="1">
        <v>43069</v>
      </c>
      <c r="E124">
        <v>5</v>
      </c>
      <c r="F124" s="51"/>
      <c r="G124">
        <v>1.3</v>
      </c>
      <c r="H124">
        <v>-0.4</v>
      </c>
      <c r="I124">
        <v>4.5999999999999996</v>
      </c>
      <c r="J124">
        <f t="shared" si="13"/>
        <v>1085.6999999999998</v>
      </c>
      <c r="K124">
        <f t="shared" si="14"/>
        <v>3.4000000000000004</v>
      </c>
      <c r="L124" s="11">
        <v>459.8</v>
      </c>
      <c r="M124">
        <v>0.6</v>
      </c>
      <c r="N124">
        <v>0.5</v>
      </c>
      <c r="O124">
        <f t="shared" si="10"/>
        <v>9.9999999999999978E-2</v>
      </c>
      <c r="Q124">
        <v>92</v>
      </c>
      <c r="R124">
        <v>1</v>
      </c>
      <c r="S124">
        <f t="shared" si="11"/>
        <v>0.5</v>
      </c>
      <c r="T124">
        <f t="shared" si="12"/>
        <v>9.9999999999999978E-2</v>
      </c>
      <c r="U124" s="2">
        <f t="shared" si="15"/>
        <v>64.822705882352949</v>
      </c>
      <c r="V124">
        <v>0</v>
      </c>
      <c r="W124">
        <v>229.3</v>
      </c>
      <c r="X124">
        <f t="shared" si="16"/>
        <v>64249.400000000016</v>
      </c>
      <c r="Y124">
        <f t="shared" si="17"/>
        <v>602.70000000000005</v>
      </c>
      <c r="Z124">
        <v>8.4844996005455222</v>
      </c>
      <c r="AA124">
        <v>31894.2</v>
      </c>
    </row>
    <row r="125" spans="1:27" x14ac:dyDescent="0.35">
      <c r="A125">
        <v>5160</v>
      </c>
      <c r="B125">
        <v>23050</v>
      </c>
      <c r="C125" s="1">
        <v>43070</v>
      </c>
      <c r="E125">
        <v>6</v>
      </c>
      <c r="F125" s="51"/>
      <c r="G125">
        <v>1.1000000000000001</v>
      </c>
      <c r="H125">
        <v>-0.4</v>
      </c>
      <c r="I125">
        <v>2.2000000000000002</v>
      </c>
      <c r="J125">
        <f t="shared" si="13"/>
        <v>1086.7999999999997</v>
      </c>
      <c r="K125">
        <f t="shared" si="14"/>
        <v>4.5</v>
      </c>
      <c r="L125" s="13" t="s">
        <v>37</v>
      </c>
      <c r="M125">
        <v>0.5</v>
      </c>
      <c r="N125">
        <v>0.2</v>
      </c>
      <c r="O125">
        <f t="shared" si="10"/>
        <v>0.3</v>
      </c>
      <c r="Q125">
        <v>93</v>
      </c>
      <c r="R125">
        <v>1</v>
      </c>
      <c r="S125">
        <f t="shared" si="11"/>
        <v>0.2</v>
      </c>
      <c r="T125">
        <f t="shared" si="12"/>
        <v>0.3</v>
      </c>
      <c r="U125" s="2">
        <f t="shared" si="15"/>
        <v>65.122705882352946</v>
      </c>
      <c r="V125" s="14" t="s">
        <v>44</v>
      </c>
      <c r="W125">
        <v>173.8</v>
      </c>
      <c r="X125">
        <f t="shared" si="16"/>
        <v>64423.200000000019</v>
      </c>
      <c r="Y125">
        <f t="shared" si="17"/>
        <v>776.5</v>
      </c>
      <c r="Z125">
        <v>8.4581870133957828</v>
      </c>
      <c r="AA125" s="14" t="s">
        <v>49</v>
      </c>
    </row>
    <row r="126" spans="1:27" x14ac:dyDescent="0.35">
      <c r="A126">
        <v>5160</v>
      </c>
      <c r="B126">
        <v>23050</v>
      </c>
      <c r="C126" s="1">
        <v>43071</v>
      </c>
      <c r="E126">
        <v>7</v>
      </c>
      <c r="F126" s="51"/>
      <c r="G126">
        <v>-0.2</v>
      </c>
      <c r="H126">
        <v>-0.7</v>
      </c>
      <c r="I126">
        <v>0.6</v>
      </c>
      <c r="J126">
        <v>1086.8</v>
      </c>
      <c r="K126">
        <v>4.5</v>
      </c>
      <c r="L126" s="11">
        <f>AVERAGE(G123:G216)</f>
        <v>4.6595744680851059</v>
      </c>
      <c r="M126">
        <v>0</v>
      </c>
      <c r="N126">
        <v>0.2</v>
      </c>
      <c r="O126">
        <f t="shared" si="10"/>
        <v>-0.2</v>
      </c>
      <c r="Q126">
        <v>94</v>
      </c>
      <c r="R126">
        <v>1</v>
      </c>
      <c r="S126">
        <f t="shared" si="11"/>
        <v>0.2</v>
      </c>
      <c r="T126">
        <f t="shared" si="12"/>
        <v>-0.2</v>
      </c>
      <c r="U126" s="2">
        <f t="shared" si="15"/>
        <v>64.922705882352943</v>
      </c>
      <c r="V126">
        <v>0</v>
      </c>
      <c r="W126">
        <v>150.9</v>
      </c>
      <c r="X126">
        <f t="shared" si="16"/>
        <v>64574.10000000002</v>
      </c>
      <c r="Y126">
        <f t="shared" si="17"/>
        <v>927.4</v>
      </c>
      <c r="Z126">
        <v>8.4330343936527097</v>
      </c>
      <c r="AA126">
        <f>(AA124/100)/L124</f>
        <v>0.6936537625054372</v>
      </c>
    </row>
    <row r="127" spans="1:27" x14ac:dyDescent="0.35">
      <c r="A127">
        <v>5160</v>
      </c>
      <c r="B127">
        <v>23050</v>
      </c>
      <c r="C127" s="1">
        <v>43072</v>
      </c>
      <c r="E127">
        <v>8</v>
      </c>
      <c r="F127" s="51"/>
      <c r="G127">
        <v>0.1</v>
      </c>
      <c r="H127">
        <v>-2.2999999999999998</v>
      </c>
      <c r="I127">
        <v>4.3</v>
      </c>
      <c r="J127">
        <f t="shared" si="13"/>
        <v>1086.8999999999999</v>
      </c>
      <c r="K127">
        <f t="shared" si="14"/>
        <v>4.5999999999999996</v>
      </c>
      <c r="L127" s="13" t="s">
        <v>38</v>
      </c>
      <c r="M127">
        <v>0.8</v>
      </c>
      <c r="N127">
        <v>0.4</v>
      </c>
      <c r="O127">
        <f t="shared" si="10"/>
        <v>0.4</v>
      </c>
      <c r="Q127">
        <v>95</v>
      </c>
      <c r="R127">
        <v>1</v>
      </c>
      <c r="S127">
        <f t="shared" si="11"/>
        <v>0.4</v>
      </c>
      <c r="T127">
        <f t="shared" si="12"/>
        <v>0.4</v>
      </c>
      <c r="U127" s="2">
        <f t="shared" si="15"/>
        <v>65.322705882352949</v>
      </c>
      <c r="V127" s="14" t="s">
        <v>45</v>
      </c>
      <c r="W127">
        <v>180.4</v>
      </c>
      <c r="X127">
        <f t="shared" si="16"/>
        <v>64754.500000000022</v>
      </c>
      <c r="Y127">
        <f t="shared" si="17"/>
        <v>1107.8</v>
      </c>
      <c r="Z127">
        <v>8.4090613757197445</v>
      </c>
      <c r="AA127" s="14" t="s">
        <v>50</v>
      </c>
    </row>
    <row r="128" spans="1:27" x14ac:dyDescent="0.35">
      <c r="A128">
        <v>5160</v>
      </c>
      <c r="B128">
        <v>23050</v>
      </c>
      <c r="C128" s="1">
        <v>43073</v>
      </c>
      <c r="F128" s="51"/>
      <c r="G128">
        <v>5.5</v>
      </c>
      <c r="H128">
        <v>1.9</v>
      </c>
      <c r="I128">
        <v>7.4</v>
      </c>
      <c r="J128">
        <f t="shared" si="13"/>
        <v>1092.3999999999999</v>
      </c>
      <c r="K128">
        <f t="shared" si="14"/>
        <v>10.1</v>
      </c>
      <c r="L128" s="11">
        <f>MIN(H123:H216)</f>
        <v>-9.1999999999999993</v>
      </c>
      <c r="M128">
        <v>0</v>
      </c>
      <c r="N128">
        <v>0.1</v>
      </c>
      <c r="O128">
        <f t="shared" si="10"/>
        <v>-0.1</v>
      </c>
      <c r="Q128">
        <v>96</v>
      </c>
      <c r="R128">
        <v>1</v>
      </c>
      <c r="S128">
        <f t="shared" si="11"/>
        <v>0.1</v>
      </c>
      <c r="T128">
        <f t="shared" si="12"/>
        <v>-0.1</v>
      </c>
      <c r="U128" s="2">
        <f t="shared" si="15"/>
        <v>65.222705882352955</v>
      </c>
      <c r="V128" s="2">
        <f>MIN(U123:U216)</f>
        <v>64.722705882352955</v>
      </c>
      <c r="W128">
        <v>189.2</v>
      </c>
      <c r="X128">
        <f t="shared" si="16"/>
        <v>64943.700000000019</v>
      </c>
      <c r="Y128">
        <f t="shared" si="17"/>
        <v>1297</v>
      </c>
      <c r="Z128">
        <v>8.3862869508140712</v>
      </c>
      <c r="AA128">
        <v>86</v>
      </c>
    </row>
    <row r="129" spans="1:27" x14ac:dyDescent="0.35">
      <c r="A129">
        <v>5160</v>
      </c>
      <c r="B129">
        <v>23050</v>
      </c>
      <c r="C129" s="1">
        <v>43074</v>
      </c>
      <c r="F129" s="51"/>
      <c r="G129">
        <v>6.1</v>
      </c>
      <c r="H129">
        <v>4.8</v>
      </c>
      <c r="I129">
        <v>7.2</v>
      </c>
      <c r="J129">
        <f t="shared" si="13"/>
        <v>1098.4999999999998</v>
      </c>
      <c r="K129">
        <f t="shared" si="14"/>
        <v>16.2</v>
      </c>
      <c r="L129" s="13" t="s">
        <v>39</v>
      </c>
      <c r="M129">
        <v>0</v>
      </c>
      <c r="N129">
        <v>0.1</v>
      </c>
      <c r="O129">
        <f t="shared" si="10"/>
        <v>-0.1</v>
      </c>
      <c r="Q129">
        <v>97</v>
      </c>
      <c r="R129">
        <v>1</v>
      </c>
      <c r="S129">
        <f t="shared" si="11"/>
        <v>0.1</v>
      </c>
      <c r="T129">
        <f t="shared" si="12"/>
        <v>-0.1</v>
      </c>
      <c r="U129" s="2">
        <f t="shared" si="15"/>
        <v>65.12270588235296</v>
      </c>
      <c r="V129" s="14" t="s">
        <v>46</v>
      </c>
      <c r="W129">
        <v>148.9</v>
      </c>
      <c r="X129">
        <f t="shared" si="16"/>
        <v>65092.60000000002</v>
      </c>
      <c r="Y129">
        <f t="shared" si="17"/>
        <v>1445.9</v>
      </c>
      <c r="Z129">
        <v>8.3647294151968303</v>
      </c>
      <c r="AA129" t="s">
        <v>51</v>
      </c>
    </row>
    <row r="130" spans="1:27" x14ac:dyDescent="0.35">
      <c r="A130">
        <v>5160</v>
      </c>
      <c r="B130">
        <v>23050</v>
      </c>
      <c r="C130" s="1">
        <v>43075</v>
      </c>
      <c r="E130">
        <v>9</v>
      </c>
      <c r="F130" s="51"/>
      <c r="G130">
        <v>3.2</v>
      </c>
      <c r="H130">
        <v>2.2000000000000002</v>
      </c>
      <c r="I130">
        <v>3.9</v>
      </c>
      <c r="J130">
        <f t="shared" si="13"/>
        <v>1101.6999999999998</v>
      </c>
      <c r="K130">
        <f t="shared" si="14"/>
        <v>19.399999999999999</v>
      </c>
      <c r="L130" s="11">
        <f>MAX(I123:I216)</f>
        <v>14.1</v>
      </c>
      <c r="M130">
        <v>0</v>
      </c>
      <c r="N130">
        <v>0.2</v>
      </c>
      <c r="O130">
        <f t="shared" si="10"/>
        <v>-0.2</v>
      </c>
      <c r="Q130">
        <v>98</v>
      </c>
      <c r="R130">
        <v>1</v>
      </c>
      <c r="S130">
        <f t="shared" si="11"/>
        <v>0.2</v>
      </c>
      <c r="T130">
        <f t="shared" si="12"/>
        <v>-0.2</v>
      </c>
      <c r="U130" s="2">
        <f t="shared" si="15"/>
        <v>64.922705882352957</v>
      </c>
      <c r="V130" s="2">
        <f>MAX(U123:U216)</f>
        <v>150.80000000000001</v>
      </c>
      <c r="W130">
        <v>101.8</v>
      </c>
      <c r="X130">
        <f t="shared" si="16"/>
        <v>65194.400000000023</v>
      </c>
      <c r="Y130">
        <f t="shared" si="17"/>
        <v>1547.7</v>
      </c>
      <c r="Z130">
        <v>8.3444063191272893</v>
      </c>
      <c r="AA130">
        <v>25</v>
      </c>
    </row>
    <row r="131" spans="1:27" x14ac:dyDescent="0.35">
      <c r="A131">
        <v>5160</v>
      </c>
      <c r="B131">
        <v>23050</v>
      </c>
      <c r="C131" s="1">
        <v>43076</v>
      </c>
      <c r="E131">
        <v>10</v>
      </c>
      <c r="F131" s="51"/>
      <c r="G131">
        <v>4.4000000000000004</v>
      </c>
      <c r="H131">
        <v>-0.1</v>
      </c>
      <c r="I131">
        <v>8</v>
      </c>
      <c r="J131">
        <f t="shared" si="13"/>
        <v>1106.0999999999999</v>
      </c>
      <c r="K131">
        <f t="shared" si="14"/>
        <v>23.799999999999997</v>
      </c>
      <c r="L131" s="13" t="s">
        <v>40</v>
      </c>
      <c r="M131">
        <v>5.2</v>
      </c>
      <c r="N131">
        <v>0.2</v>
      </c>
      <c r="O131">
        <f t="shared" si="10"/>
        <v>5</v>
      </c>
      <c r="Q131">
        <v>99</v>
      </c>
      <c r="R131">
        <v>1</v>
      </c>
      <c r="S131">
        <f t="shared" si="11"/>
        <v>0.2</v>
      </c>
      <c r="T131">
        <f t="shared" si="12"/>
        <v>5</v>
      </c>
      <c r="U131" s="2">
        <f t="shared" si="15"/>
        <v>69.922705882352957</v>
      </c>
      <c r="V131" s="14" t="s">
        <v>47</v>
      </c>
      <c r="W131">
        <v>137.19999999999999</v>
      </c>
      <c r="X131">
        <f t="shared" si="16"/>
        <v>65331.60000000002</v>
      </c>
      <c r="Y131">
        <f t="shared" si="17"/>
        <v>1684.9</v>
      </c>
      <c r="Z131">
        <v>8.3253344168175492</v>
      </c>
    </row>
    <row r="132" spans="1:27" x14ac:dyDescent="0.35">
      <c r="A132">
        <v>5160</v>
      </c>
      <c r="B132">
        <v>23050</v>
      </c>
      <c r="C132" s="1">
        <v>43077</v>
      </c>
      <c r="E132">
        <v>11</v>
      </c>
      <c r="F132" s="51"/>
      <c r="G132">
        <v>3.5</v>
      </c>
      <c r="H132">
        <v>1.3</v>
      </c>
      <c r="I132">
        <v>6.3</v>
      </c>
      <c r="J132">
        <f t="shared" si="13"/>
        <v>1109.5999999999999</v>
      </c>
      <c r="K132">
        <f t="shared" si="14"/>
        <v>27.299999999999997</v>
      </c>
      <c r="L132" s="11">
        <v>0</v>
      </c>
      <c r="M132">
        <v>0.8</v>
      </c>
      <c r="N132">
        <v>0.6</v>
      </c>
      <c r="O132">
        <f t="shared" si="10"/>
        <v>0.20000000000000007</v>
      </c>
      <c r="Q132">
        <v>100</v>
      </c>
      <c r="R132">
        <v>1</v>
      </c>
      <c r="S132">
        <f t="shared" si="11"/>
        <v>0.6</v>
      </c>
      <c r="T132">
        <f t="shared" si="12"/>
        <v>0.20000000000000007</v>
      </c>
      <c r="U132" s="2">
        <f t="shared" si="15"/>
        <v>70.12270588235296</v>
      </c>
      <c r="V132" s="2">
        <f>AVERAGE(U123:U216)</f>
        <v>127.57329662077588</v>
      </c>
      <c r="W132">
        <v>227.1</v>
      </c>
      <c r="X132">
        <f t="shared" si="16"/>
        <v>65558.700000000026</v>
      </c>
      <c r="Y132">
        <f t="shared" si="17"/>
        <v>1912</v>
      </c>
      <c r="Z132">
        <v>8.3075296176685569</v>
      </c>
    </row>
    <row r="133" spans="1:27" x14ac:dyDescent="0.35">
      <c r="A133">
        <v>5160</v>
      </c>
      <c r="B133">
        <v>23050</v>
      </c>
      <c r="C133" s="1">
        <v>43078</v>
      </c>
      <c r="E133">
        <v>12</v>
      </c>
      <c r="F133" s="51"/>
      <c r="G133">
        <v>2</v>
      </c>
      <c r="H133">
        <v>-0.3</v>
      </c>
      <c r="I133">
        <v>3.9</v>
      </c>
      <c r="J133">
        <f t="shared" si="13"/>
        <v>1111.5999999999999</v>
      </c>
      <c r="K133">
        <f t="shared" si="14"/>
        <v>29.299999999999997</v>
      </c>
      <c r="L133" s="13" t="s">
        <v>41</v>
      </c>
      <c r="M133">
        <v>13.7</v>
      </c>
      <c r="N133">
        <v>0.3</v>
      </c>
      <c r="O133">
        <f t="shared" ref="O133:O196" si="19">M133-N133</f>
        <v>13.399999999999999</v>
      </c>
      <c r="Q133">
        <v>101</v>
      </c>
      <c r="R133">
        <v>1</v>
      </c>
      <c r="S133">
        <f t="shared" ref="S133:S196" si="20">R133*N133</f>
        <v>0.3</v>
      </c>
      <c r="T133">
        <f t="shared" ref="T133:T196" si="21">M133-S133</f>
        <v>13.399999999999999</v>
      </c>
      <c r="U133" s="2">
        <f t="shared" si="15"/>
        <v>83.522705882352966</v>
      </c>
      <c r="W133">
        <v>405.4</v>
      </c>
      <c r="X133">
        <f t="shared" si="16"/>
        <v>65964.10000000002</v>
      </c>
      <c r="Y133">
        <f t="shared" si="17"/>
        <v>2317.4</v>
      </c>
      <c r="Z133">
        <v>8.291006939069975</v>
      </c>
    </row>
    <row r="134" spans="1:27" x14ac:dyDescent="0.35">
      <c r="A134">
        <v>5160</v>
      </c>
      <c r="B134">
        <v>23050</v>
      </c>
      <c r="C134" s="1">
        <v>43079</v>
      </c>
      <c r="F134" s="51"/>
      <c r="G134">
        <v>7.4</v>
      </c>
      <c r="H134">
        <v>3.1</v>
      </c>
      <c r="I134">
        <v>10.5</v>
      </c>
      <c r="J134">
        <f t="shared" si="13"/>
        <v>1119</v>
      </c>
      <c r="K134">
        <f t="shared" si="14"/>
        <v>36.699999999999996</v>
      </c>
      <c r="L134" s="11">
        <v>36</v>
      </c>
      <c r="M134">
        <v>9.6</v>
      </c>
      <c r="N134">
        <v>0.8</v>
      </c>
      <c r="O134">
        <f t="shared" si="19"/>
        <v>8.7999999999999989</v>
      </c>
      <c r="Q134">
        <v>102</v>
      </c>
      <c r="R134">
        <v>1</v>
      </c>
      <c r="S134">
        <f t="shared" si="20"/>
        <v>0.8</v>
      </c>
      <c r="T134">
        <f t="shared" si="21"/>
        <v>8.7999999999999989</v>
      </c>
      <c r="U134" s="2">
        <f t="shared" si="15"/>
        <v>92.322705882352963</v>
      </c>
      <c r="V134">
        <f>(V132*100)/150.8</f>
        <v>84.59767680422803</v>
      </c>
      <c r="W134">
        <v>277.10000000000002</v>
      </c>
      <c r="X134">
        <f t="shared" si="16"/>
        <v>66241.200000000026</v>
      </c>
      <c r="Y134">
        <f t="shared" si="17"/>
        <v>2594.5</v>
      </c>
      <c r="Z134">
        <v>8.2757804610454624</v>
      </c>
    </row>
    <row r="135" spans="1:27" x14ac:dyDescent="0.35">
      <c r="A135">
        <v>5160</v>
      </c>
      <c r="B135">
        <v>23050</v>
      </c>
      <c r="C135" s="1">
        <v>43080</v>
      </c>
      <c r="F135" s="51"/>
      <c r="G135">
        <v>6.6</v>
      </c>
      <c r="H135">
        <v>4.4000000000000004</v>
      </c>
      <c r="I135">
        <v>9.6</v>
      </c>
      <c r="J135">
        <f t="shared" si="13"/>
        <v>1125.5999999999999</v>
      </c>
      <c r="K135">
        <f t="shared" si="14"/>
        <v>43.3</v>
      </c>
      <c r="L135" s="13" t="s">
        <v>42</v>
      </c>
      <c r="M135">
        <v>0.4</v>
      </c>
      <c r="N135">
        <v>1.3</v>
      </c>
      <c r="O135">
        <f t="shared" si="19"/>
        <v>-0.9</v>
      </c>
      <c r="Q135">
        <v>103</v>
      </c>
      <c r="R135">
        <v>1</v>
      </c>
      <c r="S135">
        <f t="shared" si="20"/>
        <v>1.3</v>
      </c>
      <c r="T135">
        <f t="shared" si="21"/>
        <v>-0.9</v>
      </c>
      <c r="U135" s="2">
        <f t="shared" si="15"/>
        <v>91.422705882352957</v>
      </c>
      <c r="W135">
        <v>120.8</v>
      </c>
      <c r="X135">
        <f t="shared" si="16"/>
        <v>66362.000000000029</v>
      </c>
      <c r="Y135">
        <f t="shared" si="17"/>
        <v>2715.3</v>
      </c>
      <c r="Z135">
        <v>8.2618632830215475</v>
      </c>
    </row>
    <row r="136" spans="1:27" x14ac:dyDescent="0.35">
      <c r="A136">
        <v>5160</v>
      </c>
      <c r="B136">
        <v>23050</v>
      </c>
      <c r="C136" s="1">
        <v>43081</v>
      </c>
      <c r="E136">
        <v>13</v>
      </c>
      <c r="F136" s="51"/>
      <c r="G136">
        <v>2.1</v>
      </c>
      <c r="H136">
        <v>-1.5</v>
      </c>
      <c r="I136">
        <v>5.8</v>
      </c>
      <c r="J136">
        <f t="shared" si="13"/>
        <v>1127.6999999999998</v>
      </c>
      <c r="K136">
        <f t="shared" si="14"/>
        <v>45.4</v>
      </c>
      <c r="L136" s="11">
        <v>30</v>
      </c>
      <c r="M136">
        <v>1</v>
      </c>
      <c r="N136">
        <v>0.5</v>
      </c>
      <c r="O136">
        <f t="shared" si="19"/>
        <v>0.5</v>
      </c>
      <c r="Q136">
        <v>104</v>
      </c>
      <c r="R136">
        <v>1</v>
      </c>
      <c r="S136">
        <f t="shared" si="20"/>
        <v>0.5</v>
      </c>
      <c r="T136">
        <f t="shared" si="21"/>
        <v>0.5</v>
      </c>
      <c r="U136" s="2">
        <f t="shared" si="15"/>
        <v>91.922705882352957</v>
      </c>
      <c r="W136">
        <v>430.3</v>
      </c>
      <c r="X136">
        <f t="shared" si="16"/>
        <v>66792.300000000032</v>
      </c>
      <c r="Y136">
        <f t="shared" si="17"/>
        <v>3145.6000000000004</v>
      </c>
      <c r="Z136">
        <v>8.2492674829917547</v>
      </c>
    </row>
    <row r="137" spans="1:27" x14ac:dyDescent="0.35">
      <c r="A137">
        <v>5160</v>
      </c>
      <c r="B137">
        <v>23050</v>
      </c>
      <c r="C137" s="1">
        <v>43082</v>
      </c>
      <c r="F137" s="51"/>
      <c r="G137">
        <v>8.1</v>
      </c>
      <c r="H137">
        <v>2.7</v>
      </c>
      <c r="I137">
        <v>10.199999999999999</v>
      </c>
      <c r="J137">
        <f t="shared" si="13"/>
        <v>1135.7999999999997</v>
      </c>
      <c r="K137">
        <f t="shared" si="14"/>
        <v>53.5</v>
      </c>
      <c r="M137">
        <v>4.4000000000000004</v>
      </c>
      <c r="N137">
        <v>0.4</v>
      </c>
      <c r="O137">
        <f t="shared" si="19"/>
        <v>4</v>
      </c>
      <c r="Q137">
        <v>105</v>
      </c>
      <c r="R137">
        <v>1</v>
      </c>
      <c r="S137">
        <f t="shared" si="20"/>
        <v>0.4</v>
      </c>
      <c r="T137">
        <f t="shared" si="21"/>
        <v>4</v>
      </c>
      <c r="U137" s="2">
        <f t="shared" si="15"/>
        <v>95.922705882352957</v>
      </c>
      <c r="W137">
        <v>190.4</v>
      </c>
      <c r="X137">
        <f t="shared" si="16"/>
        <v>66982.700000000026</v>
      </c>
      <c r="Y137">
        <f t="shared" si="17"/>
        <v>3336.0000000000005</v>
      </c>
      <c r="Z137">
        <v>8.2380040793386176</v>
      </c>
    </row>
    <row r="138" spans="1:27" x14ac:dyDescent="0.35">
      <c r="A138">
        <v>5160</v>
      </c>
      <c r="B138">
        <v>23050</v>
      </c>
      <c r="C138" s="1">
        <v>43083</v>
      </c>
      <c r="F138" s="51"/>
      <c r="G138">
        <v>6.1</v>
      </c>
      <c r="H138">
        <v>5.4</v>
      </c>
      <c r="I138">
        <v>7.2</v>
      </c>
      <c r="J138">
        <f t="shared" si="13"/>
        <v>1141.8999999999996</v>
      </c>
      <c r="K138">
        <f t="shared" si="14"/>
        <v>59.6</v>
      </c>
      <c r="M138">
        <v>6.4</v>
      </c>
      <c r="N138">
        <v>1</v>
      </c>
      <c r="O138">
        <f t="shared" si="19"/>
        <v>5.4</v>
      </c>
      <c r="Q138">
        <v>106</v>
      </c>
      <c r="R138">
        <v>1</v>
      </c>
      <c r="S138">
        <f t="shared" si="20"/>
        <v>1</v>
      </c>
      <c r="T138">
        <f t="shared" si="21"/>
        <v>5.4</v>
      </c>
      <c r="U138" s="2">
        <f t="shared" si="15"/>
        <v>101.32270588235296</v>
      </c>
      <c r="W138">
        <v>178.4</v>
      </c>
      <c r="X138">
        <f t="shared" si="16"/>
        <v>67161.10000000002</v>
      </c>
      <c r="Y138">
        <f t="shared" si="17"/>
        <v>3514.4000000000005</v>
      </c>
      <c r="Z138">
        <v>8.2280829955641064</v>
      </c>
    </row>
    <row r="139" spans="1:27" x14ac:dyDescent="0.35">
      <c r="A139">
        <v>5160</v>
      </c>
      <c r="B139">
        <v>23050</v>
      </c>
      <c r="C139" s="1">
        <v>43084</v>
      </c>
      <c r="E139">
        <v>14</v>
      </c>
      <c r="F139" s="51"/>
      <c r="G139">
        <v>4.7</v>
      </c>
      <c r="H139">
        <v>4</v>
      </c>
      <c r="I139">
        <v>6.6</v>
      </c>
      <c r="J139">
        <f t="shared" si="13"/>
        <v>1146.5999999999997</v>
      </c>
      <c r="K139">
        <f t="shared" si="14"/>
        <v>64.3</v>
      </c>
      <c r="M139">
        <v>4.2</v>
      </c>
      <c r="N139">
        <v>1</v>
      </c>
      <c r="O139">
        <f t="shared" si="19"/>
        <v>3.2</v>
      </c>
      <c r="Q139">
        <v>107</v>
      </c>
      <c r="R139">
        <v>1</v>
      </c>
      <c r="S139">
        <f t="shared" si="20"/>
        <v>1</v>
      </c>
      <c r="T139">
        <f t="shared" si="21"/>
        <v>3.2</v>
      </c>
      <c r="U139" s="2">
        <f t="shared" si="15"/>
        <v>104.52270588235297</v>
      </c>
      <c r="W139">
        <v>184</v>
      </c>
      <c r="X139">
        <f t="shared" si="16"/>
        <v>67345.10000000002</v>
      </c>
      <c r="Y139">
        <f t="shared" si="17"/>
        <v>3698.4000000000005</v>
      </c>
      <c r="Z139">
        <v>8.2195130281643021</v>
      </c>
    </row>
    <row r="140" spans="1:27" x14ac:dyDescent="0.35">
      <c r="A140">
        <v>5160</v>
      </c>
      <c r="B140">
        <v>23050</v>
      </c>
      <c r="C140" s="1">
        <v>43085</v>
      </c>
      <c r="E140">
        <v>15</v>
      </c>
      <c r="F140" s="51"/>
      <c r="G140">
        <v>2.6</v>
      </c>
      <c r="H140">
        <v>0.9</v>
      </c>
      <c r="I140">
        <v>5.2</v>
      </c>
      <c r="J140">
        <f t="shared" si="13"/>
        <v>1149.1999999999996</v>
      </c>
      <c r="K140">
        <f t="shared" si="14"/>
        <v>66.899999999999991</v>
      </c>
      <c r="M140">
        <v>0.6</v>
      </c>
      <c r="N140">
        <v>0.6</v>
      </c>
      <c r="O140">
        <f t="shared" si="19"/>
        <v>0</v>
      </c>
      <c r="Q140">
        <v>108</v>
      </c>
      <c r="R140">
        <v>1</v>
      </c>
      <c r="S140">
        <f t="shared" si="20"/>
        <v>0.6</v>
      </c>
      <c r="T140">
        <f t="shared" si="21"/>
        <v>0</v>
      </c>
      <c r="U140" s="2">
        <f t="shared" si="15"/>
        <v>104.52270588235297</v>
      </c>
      <c r="W140">
        <v>314.60000000000002</v>
      </c>
      <c r="X140">
        <f t="shared" si="16"/>
        <v>67659.700000000026</v>
      </c>
      <c r="Y140">
        <f t="shared" si="17"/>
        <v>4013.0000000000005</v>
      </c>
      <c r="Z140">
        <v>8.2123018178666243</v>
      </c>
    </row>
    <row r="141" spans="1:27" x14ac:dyDescent="0.35">
      <c r="A141">
        <v>5160</v>
      </c>
      <c r="B141">
        <v>23050</v>
      </c>
      <c r="C141" s="1">
        <v>43086</v>
      </c>
      <c r="E141">
        <v>16</v>
      </c>
      <c r="F141" s="51"/>
      <c r="G141">
        <v>3.4</v>
      </c>
      <c r="H141">
        <v>1.2</v>
      </c>
      <c r="I141">
        <v>8.9</v>
      </c>
      <c r="J141">
        <f t="shared" si="13"/>
        <v>1152.5999999999997</v>
      </c>
      <c r="K141">
        <f t="shared" si="14"/>
        <v>70.3</v>
      </c>
      <c r="M141">
        <v>1.9</v>
      </c>
      <c r="N141">
        <v>0.6</v>
      </c>
      <c r="O141">
        <f t="shared" si="19"/>
        <v>1.2999999999999998</v>
      </c>
      <c r="Q141">
        <v>109</v>
      </c>
      <c r="R141">
        <v>1</v>
      </c>
      <c r="S141">
        <f t="shared" si="20"/>
        <v>0.6</v>
      </c>
      <c r="T141">
        <f t="shared" si="21"/>
        <v>1.2999999999999998</v>
      </c>
      <c r="U141" s="2">
        <f t="shared" si="15"/>
        <v>105.82270588235296</v>
      </c>
      <c r="W141">
        <v>113.3</v>
      </c>
      <c r="X141">
        <f t="shared" si="16"/>
        <v>67773.000000000029</v>
      </c>
      <c r="Y141">
        <f t="shared" si="17"/>
        <v>4126.3</v>
      </c>
      <c r="Z141">
        <v>8.2064558244279908</v>
      </c>
    </row>
    <row r="142" spans="1:27" x14ac:dyDescent="0.35">
      <c r="A142">
        <v>5160</v>
      </c>
      <c r="B142">
        <v>23050</v>
      </c>
      <c r="C142" s="1">
        <v>43087</v>
      </c>
      <c r="F142" s="51"/>
      <c r="G142">
        <v>6.4</v>
      </c>
      <c r="H142">
        <v>4.3</v>
      </c>
      <c r="I142">
        <v>8.8000000000000007</v>
      </c>
      <c r="J142">
        <f t="shared" si="13"/>
        <v>1158.9999999999998</v>
      </c>
      <c r="K142">
        <f t="shared" si="14"/>
        <v>76.7</v>
      </c>
      <c r="M142">
        <v>0.9</v>
      </c>
      <c r="N142">
        <v>0.6</v>
      </c>
      <c r="O142">
        <f t="shared" si="19"/>
        <v>0.30000000000000004</v>
      </c>
      <c r="Q142">
        <v>110</v>
      </c>
      <c r="R142">
        <v>1</v>
      </c>
      <c r="S142">
        <f t="shared" si="20"/>
        <v>0.6</v>
      </c>
      <c r="T142">
        <f t="shared" si="21"/>
        <v>0.30000000000000004</v>
      </c>
      <c r="U142" s="2">
        <f t="shared" si="15"/>
        <v>106.12270588235296</v>
      </c>
      <c r="W142">
        <v>299.39999999999998</v>
      </c>
      <c r="X142">
        <f t="shared" si="16"/>
        <v>68072.400000000023</v>
      </c>
      <c r="Y142">
        <f t="shared" si="17"/>
        <v>4425.7</v>
      </c>
      <c r="Z142">
        <v>8.201980305169851</v>
      </c>
    </row>
    <row r="143" spans="1:27" x14ac:dyDescent="0.35">
      <c r="A143">
        <v>5160</v>
      </c>
      <c r="B143">
        <v>23050</v>
      </c>
      <c r="C143" s="1">
        <v>43088</v>
      </c>
      <c r="E143">
        <v>17</v>
      </c>
      <c r="F143" s="51"/>
      <c r="G143">
        <v>1.6</v>
      </c>
      <c r="H143">
        <v>-0.1</v>
      </c>
      <c r="I143">
        <v>2.8</v>
      </c>
      <c r="J143">
        <f t="shared" si="13"/>
        <v>1160.5999999999997</v>
      </c>
      <c r="K143">
        <f t="shared" si="14"/>
        <v>78.3</v>
      </c>
      <c r="M143">
        <v>0.1</v>
      </c>
      <c r="N143">
        <v>0.2</v>
      </c>
      <c r="O143">
        <f t="shared" si="19"/>
        <v>-0.1</v>
      </c>
      <c r="Q143">
        <v>111</v>
      </c>
      <c r="R143">
        <v>1</v>
      </c>
      <c r="S143">
        <f t="shared" si="20"/>
        <v>0.2</v>
      </c>
      <c r="T143">
        <f t="shared" si="21"/>
        <v>-0.1</v>
      </c>
      <c r="U143" s="2">
        <f t="shared" si="15"/>
        <v>106.02270588235297</v>
      </c>
      <c r="W143">
        <v>230.7</v>
      </c>
      <c r="X143">
        <f t="shared" si="16"/>
        <v>68303.10000000002</v>
      </c>
      <c r="Y143">
        <f t="shared" si="17"/>
        <v>4656.3999999999996</v>
      </c>
      <c r="Z143">
        <v>8.1988792974015752</v>
      </c>
    </row>
    <row r="144" spans="1:27" x14ac:dyDescent="0.35">
      <c r="A144">
        <v>5160</v>
      </c>
      <c r="B144">
        <v>23050</v>
      </c>
      <c r="C144" s="1">
        <v>43089</v>
      </c>
      <c r="E144">
        <v>18</v>
      </c>
      <c r="F144" s="51"/>
      <c r="G144">
        <v>5</v>
      </c>
      <c r="H144">
        <v>1.1000000000000001</v>
      </c>
      <c r="I144">
        <v>7</v>
      </c>
      <c r="J144">
        <f t="shared" si="13"/>
        <v>1165.5999999999997</v>
      </c>
      <c r="K144">
        <f t="shared" si="14"/>
        <v>83.3</v>
      </c>
      <c r="M144">
        <v>0.4</v>
      </c>
      <c r="N144">
        <v>0.1</v>
      </c>
      <c r="O144">
        <f t="shared" si="19"/>
        <v>0.30000000000000004</v>
      </c>
      <c r="Q144">
        <v>112</v>
      </c>
      <c r="R144">
        <v>1</v>
      </c>
      <c r="S144">
        <f t="shared" si="20"/>
        <v>0.1</v>
      </c>
      <c r="T144">
        <f t="shared" si="21"/>
        <v>0.30000000000000004</v>
      </c>
      <c r="U144" s="2">
        <f t="shared" si="15"/>
        <v>106.32270588235296</v>
      </c>
      <c r="W144">
        <v>179.2</v>
      </c>
      <c r="X144">
        <f t="shared" si="16"/>
        <v>68482.300000000017</v>
      </c>
      <c r="Y144">
        <f t="shared" si="17"/>
        <v>4835.5999999999995</v>
      </c>
      <c r="Z144">
        <v>8.1971556048573593</v>
      </c>
    </row>
    <row r="145" spans="1:26" x14ac:dyDescent="0.35">
      <c r="A145">
        <v>5160</v>
      </c>
      <c r="B145">
        <v>23050</v>
      </c>
      <c r="C145" s="1">
        <v>43090</v>
      </c>
      <c r="F145" s="51"/>
      <c r="G145">
        <v>8</v>
      </c>
      <c r="H145">
        <v>6.7</v>
      </c>
      <c r="I145">
        <v>8.6999999999999993</v>
      </c>
      <c r="J145">
        <f t="shared" si="13"/>
        <v>1173.5999999999997</v>
      </c>
      <c r="K145">
        <f t="shared" si="14"/>
        <v>91.3</v>
      </c>
      <c r="M145">
        <v>1.3</v>
      </c>
      <c r="N145">
        <v>0.2</v>
      </c>
      <c r="O145">
        <f t="shared" si="19"/>
        <v>1.1000000000000001</v>
      </c>
      <c r="Q145">
        <v>113</v>
      </c>
      <c r="R145">
        <v>1</v>
      </c>
      <c r="S145">
        <f t="shared" si="20"/>
        <v>0.2</v>
      </c>
      <c r="T145">
        <f t="shared" si="21"/>
        <v>1.1000000000000001</v>
      </c>
      <c r="U145" s="2">
        <f t="shared" si="15"/>
        <v>107.42270588235296</v>
      </c>
      <c r="W145">
        <v>180.1</v>
      </c>
      <c r="X145">
        <f t="shared" si="16"/>
        <v>68662.400000000023</v>
      </c>
      <c r="Y145">
        <f t="shared" si="17"/>
        <v>5015.7</v>
      </c>
      <c r="Z145">
        <v>8.1968107882438357</v>
      </c>
    </row>
    <row r="146" spans="1:26" x14ac:dyDescent="0.35">
      <c r="A146">
        <v>5160</v>
      </c>
      <c r="B146">
        <v>23050</v>
      </c>
      <c r="C146" s="1">
        <v>43091</v>
      </c>
      <c r="F146" s="51"/>
      <c r="G146">
        <v>8.6999999999999993</v>
      </c>
      <c r="H146">
        <v>7.7</v>
      </c>
      <c r="I146">
        <v>9.5</v>
      </c>
      <c r="J146">
        <f t="shared" si="13"/>
        <v>1182.2999999999997</v>
      </c>
      <c r="K146">
        <f t="shared" si="14"/>
        <v>100</v>
      </c>
      <c r="M146">
        <v>0.5</v>
      </c>
      <c r="N146">
        <v>0.2</v>
      </c>
      <c r="O146">
        <f t="shared" si="19"/>
        <v>0.3</v>
      </c>
      <c r="Q146">
        <v>114</v>
      </c>
      <c r="R146">
        <v>1</v>
      </c>
      <c r="S146">
        <f t="shared" si="20"/>
        <v>0.2</v>
      </c>
      <c r="T146">
        <f t="shared" si="21"/>
        <v>0.3</v>
      </c>
      <c r="U146" s="2">
        <f t="shared" si="15"/>
        <v>107.72270588235295</v>
      </c>
      <c r="W146">
        <v>210.2</v>
      </c>
      <c r="X146">
        <f t="shared" si="16"/>
        <v>68872.60000000002</v>
      </c>
      <c r="Y146">
        <f t="shared" si="17"/>
        <v>5225.8999999999996</v>
      </c>
      <c r="Z146">
        <v>8.1978451599665085</v>
      </c>
    </row>
    <row r="147" spans="1:26" x14ac:dyDescent="0.35">
      <c r="A147">
        <v>5160</v>
      </c>
      <c r="B147">
        <v>23050</v>
      </c>
      <c r="C147" s="1">
        <v>43092</v>
      </c>
      <c r="F147" s="51"/>
      <c r="G147">
        <v>8.3000000000000007</v>
      </c>
      <c r="H147">
        <v>8</v>
      </c>
      <c r="I147">
        <v>9.1</v>
      </c>
      <c r="J147">
        <f t="shared" si="13"/>
        <v>1190.5999999999997</v>
      </c>
      <c r="K147">
        <f t="shared" si="14"/>
        <v>108.3</v>
      </c>
      <c r="M147">
        <v>0.3</v>
      </c>
      <c r="N147">
        <v>0.3</v>
      </c>
      <c r="O147">
        <f t="shared" si="19"/>
        <v>0</v>
      </c>
      <c r="Q147">
        <v>115</v>
      </c>
      <c r="R147">
        <v>1</v>
      </c>
      <c r="S147">
        <f t="shared" si="20"/>
        <v>0.3</v>
      </c>
      <c r="T147">
        <f t="shared" si="21"/>
        <v>0</v>
      </c>
      <c r="U147" s="2">
        <f t="shared" si="15"/>
        <v>107.72270588235295</v>
      </c>
      <c r="W147">
        <v>155.6</v>
      </c>
      <c r="X147">
        <f t="shared" si="16"/>
        <v>69028.200000000026</v>
      </c>
      <c r="Y147">
        <f t="shared" si="17"/>
        <v>5381.5</v>
      </c>
      <c r="Z147">
        <v>8.200257783073134</v>
      </c>
    </row>
    <row r="148" spans="1:26" x14ac:dyDescent="0.35">
      <c r="A148">
        <v>5160</v>
      </c>
      <c r="B148">
        <v>23050</v>
      </c>
      <c r="C148" s="1">
        <v>43093</v>
      </c>
      <c r="F148" s="51"/>
      <c r="G148">
        <v>7.7</v>
      </c>
      <c r="H148">
        <v>7.5</v>
      </c>
      <c r="I148">
        <v>8.5</v>
      </c>
      <c r="J148">
        <f t="shared" si="13"/>
        <v>1198.2999999999997</v>
      </c>
      <c r="K148">
        <f t="shared" si="14"/>
        <v>116</v>
      </c>
      <c r="M148">
        <v>0.4</v>
      </c>
      <c r="N148">
        <v>0.4</v>
      </c>
      <c r="O148">
        <f t="shared" si="19"/>
        <v>0</v>
      </c>
      <c r="Q148">
        <v>116</v>
      </c>
      <c r="R148">
        <v>1</v>
      </c>
      <c r="S148">
        <f t="shared" si="20"/>
        <v>0.4</v>
      </c>
      <c r="T148">
        <f t="shared" si="21"/>
        <v>0</v>
      </c>
      <c r="U148" s="2">
        <f t="shared" si="15"/>
        <v>107.72270588235295</v>
      </c>
      <c r="W148">
        <v>91.9</v>
      </c>
      <c r="X148">
        <f t="shared" si="16"/>
        <v>69120.10000000002</v>
      </c>
      <c r="Y148">
        <f t="shared" si="17"/>
        <v>5473.4</v>
      </c>
      <c r="Z148">
        <v>8.2040464744216823</v>
      </c>
    </row>
    <row r="149" spans="1:26" x14ac:dyDescent="0.35">
      <c r="A149">
        <v>5160</v>
      </c>
      <c r="B149">
        <v>23050</v>
      </c>
      <c r="C149" s="1">
        <v>43094</v>
      </c>
      <c r="E149">
        <v>19</v>
      </c>
      <c r="F149" s="51"/>
      <c r="G149">
        <v>4.5</v>
      </c>
      <c r="H149">
        <v>4</v>
      </c>
      <c r="I149">
        <v>5.6</v>
      </c>
      <c r="J149">
        <f t="shared" si="13"/>
        <v>1202.7999999999997</v>
      </c>
      <c r="K149">
        <f t="shared" si="14"/>
        <v>120.5</v>
      </c>
      <c r="M149">
        <v>0.5</v>
      </c>
      <c r="N149">
        <v>0.4</v>
      </c>
      <c r="O149">
        <f t="shared" si="19"/>
        <v>9.9999999999999978E-2</v>
      </c>
      <c r="Q149">
        <v>117</v>
      </c>
      <c r="R149">
        <v>1</v>
      </c>
      <c r="S149">
        <f t="shared" si="20"/>
        <v>0.4</v>
      </c>
      <c r="T149">
        <f t="shared" si="21"/>
        <v>9.9999999999999978E-2</v>
      </c>
      <c r="U149" s="2">
        <f t="shared" si="15"/>
        <v>107.82270588235295</v>
      </c>
      <c r="W149">
        <v>205.4</v>
      </c>
      <c r="X149">
        <f t="shared" si="16"/>
        <v>69325.500000000015</v>
      </c>
      <c r="Y149">
        <f t="shared" si="17"/>
        <v>5678.7999999999993</v>
      </c>
      <c r="Z149">
        <v>8.209207812049959</v>
      </c>
    </row>
    <row r="150" spans="1:26" x14ac:dyDescent="0.35">
      <c r="A150">
        <v>5160</v>
      </c>
      <c r="B150">
        <v>23050</v>
      </c>
      <c r="C150" s="1">
        <v>43095</v>
      </c>
      <c r="F150" s="51"/>
      <c r="G150">
        <v>6.8</v>
      </c>
      <c r="H150">
        <v>4.2</v>
      </c>
      <c r="I150">
        <v>7.9</v>
      </c>
      <c r="J150">
        <f t="shared" si="13"/>
        <v>1209.5999999999997</v>
      </c>
      <c r="K150">
        <f t="shared" si="14"/>
        <v>127.3</v>
      </c>
      <c r="M150">
        <v>5.7</v>
      </c>
      <c r="N150">
        <v>0.7</v>
      </c>
      <c r="O150">
        <f t="shared" si="19"/>
        <v>5</v>
      </c>
      <c r="Q150">
        <v>118</v>
      </c>
      <c r="R150">
        <v>1</v>
      </c>
      <c r="S150">
        <f t="shared" si="20"/>
        <v>0.7</v>
      </c>
      <c r="T150">
        <f t="shared" si="21"/>
        <v>5</v>
      </c>
      <c r="U150" s="2">
        <f t="shared" si="15"/>
        <v>112.82270588235295</v>
      </c>
      <c r="W150">
        <v>157.30000000000001</v>
      </c>
      <c r="X150">
        <f t="shared" si="16"/>
        <v>69482.800000000017</v>
      </c>
      <c r="Y150">
        <f t="shared" si="17"/>
        <v>5836.0999999999995</v>
      </c>
      <c r="Z150">
        <v>8.2157371466937068</v>
      </c>
    </row>
    <row r="151" spans="1:26" x14ac:dyDescent="0.35">
      <c r="A151">
        <v>5160</v>
      </c>
      <c r="B151">
        <v>23050</v>
      </c>
      <c r="C151" s="1">
        <v>43096</v>
      </c>
      <c r="E151">
        <v>20</v>
      </c>
      <c r="F151" s="51"/>
      <c r="G151">
        <v>4.5</v>
      </c>
      <c r="H151">
        <v>4.0999999999999996</v>
      </c>
      <c r="I151">
        <v>5.4</v>
      </c>
      <c r="J151">
        <f t="shared" si="13"/>
        <v>1214.0999999999997</v>
      </c>
      <c r="K151">
        <f t="shared" si="14"/>
        <v>131.80000000000001</v>
      </c>
      <c r="M151">
        <v>0.9</v>
      </c>
      <c r="N151">
        <v>0.9</v>
      </c>
      <c r="O151">
        <f t="shared" si="19"/>
        <v>0</v>
      </c>
      <c r="Q151">
        <v>119</v>
      </c>
      <c r="R151">
        <v>1</v>
      </c>
      <c r="S151">
        <f t="shared" si="20"/>
        <v>0.9</v>
      </c>
      <c r="T151">
        <f t="shared" si="21"/>
        <v>0</v>
      </c>
      <c r="U151" s="2">
        <f t="shared" si="15"/>
        <v>112.82270588235295</v>
      </c>
      <c r="W151">
        <v>137</v>
      </c>
      <c r="X151">
        <f t="shared" si="16"/>
        <v>69619.800000000017</v>
      </c>
      <c r="Y151">
        <f t="shared" si="17"/>
        <v>5973.0999999999995</v>
      </c>
      <c r="Z151">
        <v>8.2236286173703981</v>
      </c>
    </row>
    <row r="152" spans="1:26" x14ac:dyDescent="0.35">
      <c r="A152">
        <v>5160</v>
      </c>
      <c r="B152">
        <v>23050</v>
      </c>
      <c r="C152" s="1">
        <v>43097</v>
      </c>
      <c r="E152">
        <v>21</v>
      </c>
      <c r="F152" s="51"/>
      <c r="G152">
        <v>1.2</v>
      </c>
      <c r="H152">
        <v>-0.3</v>
      </c>
      <c r="I152">
        <v>4</v>
      </c>
      <c r="J152">
        <f t="shared" si="13"/>
        <v>1215.2999999999997</v>
      </c>
      <c r="K152">
        <f t="shared" si="14"/>
        <v>133</v>
      </c>
      <c r="M152">
        <v>1.2</v>
      </c>
      <c r="N152">
        <v>0.5</v>
      </c>
      <c r="O152">
        <f t="shared" si="19"/>
        <v>0.7</v>
      </c>
      <c r="Q152">
        <v>120</v>
      </c>
      <c r="R152">
        <v>1</v>
      </c>
      <c r="S152">
        <f t="shared" si="20"/>
        <v>0.5</v>
      </c>
      <c r="T152">
        <f t="shared" si="21"/>
        <v>0.7</v>
      </c>
      <c r="U152" s="2">
        <f t="shared" si="15"/>
        <v>113.52270588235295</v>
      </c>
      <c r="W152">
        <v>552.20000000000005</v>
      </c>
      <c r="X152">
        <f t="shared" si="16"/>
        <v>70172.000000000015</v>
      </c>
      <c r="Y152">
        <f t="shared" si="17"/>
        <v>6525.2999999999993</v>
      </c>
      <c r="Z152">
        <v>8.2328751709173389</v>
      </c>
    </row>
    <row r="153" spans="1:26" x14ac:dyDescent="0.35">
      <c r="A153">
        <v>5160</v>
      </c>
      <c r="B153">
        <v>23050</v>
      </c>
      <c r="C153" s="1">
        <v>43098</v>
      </c>
      <c r="F153" s="51"/>
      <c r="G153">
        <v>6.1</v>
      </c>
      <c r="H153">
        <v>-0.1</v>
      </c>
      <c r="I153">
        <v>13.3</v>
      </c>
      <c r="J153">
        <f t="shared" si="13"/>
        <v>1221.3999999999996</v>
      </c>
      <c r="K153">
        <f t="shared" si="14"/>
        <v>139.1</v>
      </c>
      <c r="M153">
        <v>7.6</v>
      </c>
      <c r="N153">
        <v>0.7</v>
      </c>
      <c r="O153">
        <f t="shared" si="19"/>
        <v>6.8999999999999995</v>
      </c>
      <c r="Q153">
        <v>121</v>
      </c>
      <c r="R153">
        <v>1</v>
      </c>
      <c r="S153">
        <f t="shared" si="20"/>
        <v>0.7</v>
      </c>
      <c r="T153">
        <f t="shared" si="21"/>
        <v>6.8999999999999995</v>
      </c>
      <c r="U153" s="2">
        <f t="shared" si="15"/>
        <v>120.42270588235296</v>
      </c>
      <c r="W153">
        <v>122.9</v>
      </c>
      <c r="X153">
        <f t="shared" si="16"/>
        <v>70294.900000000009</v>
      </c>
      <c r="Y153">
        <f t="shared" si="17"/>
        <v>6648.1999999999989</v>
      </c>
      <c r="Z153">
        <v>8.2434685853455907</v>
      </c>
    </row>
    <row r="154" spans="1:26" x14ac:dyDescent="0.35">
      <c r="A154">
        <v>5160</v>
      </c>
      <c r="B154">
        <v>23050</v>
      </c>
      <c r="C154" s="1">
        <v>43099</v>
      </c>
      <c r="F154" s="51"/>
      <c r="G154">
        <v>12.9</v>
      </c>
      <c r="H154">
        <v>9.3000000000000007</v>
      </c>
      <c r="I154">
        <v>13.5</v>
      </c>
      <c r="J154">
        <f t="shared" si="13"/>
        <v>1234.2999999999997</v>
      </c>
      <c r="K154">
        <f t="shared" si="14"/>
        <v>152</v>
      </c>
      <c r="M154">
        <v>0.1</v>
      </c>
      <c r="N154">
        <v>0.2</v>
      </c>
      <c r="O154">
        <f t="shared" si="19"/>
        <v>-0.1</v>
      </c>
      <c r="Q154">
        <v>122</v>
      </c>
      <c r="R154">
        <v>1</v>
      </c>
      <c r="S154">
        <f t="shared" si="20"/>
        <v>0.2</v>
      </c>
      <c r="T154">
        <f t="shared" si="21"/>
        <v>-0.1</v>
      </c>
      <c r="U154" s="2">
        <f t="shared" si="15"/>
        <v>120.32270588235296</v>
      </c>
      <c r="W154">
        <v>93.1</v>
      </c>
      <c r="X154">
        <f t="shared" si="16"/>
        <v>70388.000000000015</v>
      </c>
      <c r="Y154">
        <f t="shared" si="17"/>
        <v>6741.2999999999993</v>
      </c>
      <c r="Z154">
        <v>8.2553994968457349</v>
      </c>
    </row>
    <row r="155" spans="1:26" x14ac:dyDescent="0.35">
      <c r="A155">
        <v>5160</v>
      </c>
      <c r="B155">
        <v>23050</v>
      </c>
      <c r="C155" s="1">
        <v>43100</v>
      </c>
      <c r="F155" s="51"/>
      <c r="G155">
        <v>11.5</v>
      </c>
      <c r="H155">
        <v>9.6999999999999993</v>
      </c>
      <c r="I155">
        <v>14.1</v>
      </c>
      <c r="J155">
        <f t="shared" si="13"/>
        <v>1245.7999999999997</v>
      </c>
      <c r="K155">
        <f t="shared" si="14"/>
        <v>163.5</v>
      </c>
      <c r="M155">
        <v>2.6</v>
      </c>
      <c r="N155">
        <v>2</v>
      </c>
      <c r="O155">
        <f t="shared" si="19"/>
        <v>0.60000000000000009</v>
      </c>
      <c r="Q155">
        <v>123</v>
      </c>
      <c r="R155">
        <v>1</v>
      </c>
      <c r="S155">
        <f t="shared" si="20"/>
        <v>2</v>
      </c>
      <c r="T155">
        <f t="shared" si="21"/>
        <v>0.60000000000000009</v>
      </c>
      <c r="U155" s="2">
        <f t="shared" si="15"/>
        <v>120.92270588235296</v>
      </c>
      <c r="W155">
        <v>305.7</v>
      </c>
      <c r="X155">
        <f t="shared" si="16"/>
        <v>70693.700000000012</v>
      </c>
      <c r="Y155">
        <f t="shared" si="17"/>
        <v>7046.9999999999991</v>
      </c>
      <c r="Z155">
        <v>8.2686574302579956</v>
      </c>
    </row>
    <row r="156" spans="1:26" x14ac:dyDescent="0.35">
      <c r="A156">
        <v>5160</v>
      </c>
      <c r="B156">
        <v>23050</v>
      </c>
      <c r="C156" s="1">
        <v>43101</v>
      </c>
      <c r="F156" s="51"/>
      <c r="G156">
        <v>7.6</v>
      </c>
      <c r="H156">
        <v>6.2</v>
      </c>
      <c r="I156">
        <v>9.5</v>
      </c>
      <c r="J156">
        <f t="shared" si="13"/>
        <v>1253.3999999999996</v>
      </c>
      <c r="K156">
        <f t="shared" si="14"/>
        <v>171.1</v>
      </c>
      <c r="M156">
        <v>2.2000000000000002</v>
      </c>
      <c r="N156">
        <v>1.3</v>
      </c>
      <c r="O156">
        <f t="shared" si="19"/>
        <v>0.90000000000000013</v>
      </c>
      <c r="Q156">
        <v>124</v>
      </c>
      <c r="R156">
        <v>1</v>
      </c>
      <c r="S156">
        <f t="shared" si="20"/>
        <v>1.3</v>
      </c>
      <c r="T156">
        <f t="shared" si="21"/>
        <v>0.90000000000000013</v>
      </c>
      <c r="U156" s="2">
        <f t="shared" si="15"/>
        <v>121.82270588235296</v>
      </c>
      <c r="W156">
        <v>136.19999999999999</v>
      </c>
      <c r="X156">
        <f t="shared" si="16"/>
        <v>70829.900000000009</v>
      </c>
      <c r="Y156">
        <f t="shared" si="17"/>
        <v>7183.1999999999989</v>
      </c>
      <c r="Z156">
        <v>8.2832308327981625</v>
      </c>
    </row>
    <row r="157" spans="1:26" x14ac:dyDescent="0.35">
      <c r="A157">
        <v>5160</v>
      </c>
      <c r="B157">
        <v>23050</v>
      </c>
      <c r="C157" s="1">
        <v>43102</v>
      </c>
      <c r="F157" s="51"/>
      <c r="G157">
        <v>8.6999999999999993</v>
      </c>
      <c r="H157">
        <v>5.3</v>
      </c>
      <c r="I157">
        <v>12.8</v>
      </c>
      <c r="J157">
        <f t="shared" si="13"/>
        <v>1262.0999999999997</v>
      </c>
      <c r="K157">
        <f t="shared" si="14"/>
        <v>179.79999999999998</v>
      </c>
      <c r="M157">
        <v>2.2999999999999998</v>
      </c>
      <c r="N157">
        <v>0.8</v>
      </c>
      <c r="O157">
        <f t="shared" si="19"/>
        <v>1.4999999999999998</v>
      </c>
      <c r="Q157">
        <v>125</v>
      </c>
      <c r="R157">
        <v>1</v>
      </c>
      <c r="S157">
        <f t="shared" si="20"/>
        <v>0.8</v>
      </c>
      <c r="T157">
        <f t="shared" si="21"/>
        <v>1.4999999999999998</v>
      </c>
      <c r="U157" s="2">
        <f t="shared" si="15"/>
        <v>123.32270588235296</v>
      </c>
      <c r="W157">
        <v>149.6</v>
      </c>
      <c r="X157">
        <f t="shared" si="16"/>
        <v>70979.500000000015</v>
      </c>
      <c r="Y157">
        <f t="shared" si="17"/>
        <v>7332.7999999999993</v>
      </c>
      <c r="Z157">
        <v>8.299107110811816</v>
      </c>
    </row>
    <row r="158" spans="1:26" x14ac:dyDescent="0.35">
      <c r="A158">
        <v>5160</v>
      </c>
      <c r="B158">
        <v>23050</v>
      </c>
      <c r="C158" s="1">
        <v>43103</v>
      </c>
      <c r="F158" s="51"/>
      <c r="G158">
        <v>11</v>
      </c>
      <c r="H158">
        <v>9.6999999999999993</v>
      </c>
      <c r="I158">
        <v>13</v>
      </c>
      <c r="J158">
        <f t="shared" si="13"/>
        <v>1273.0999999999997</v>
      </c>
      <c r="K158">
        <f t="shared" si="14"/>
        <v>190.79999999999998</v>
      </c>
      <c r="M158">
        <v>6.1</v>
      </c>
      <c r="N158">
        <v>2</v>
      </c>
      <c r="O158">
        <f t="shared" si="19"/>
        <v>4.0999999999999996</v>
      </c>
      <c r="Q158">
        <v>126</v>
      </c>
      <c r="R158">
        <v>1</v>
      </c>
      <c r="S158">
        <f t="shared" si="20"/>
        <v>2</v>
      </c>
      <c r="T158">
        <f t="shared" si="21"/>
        <v>4.0999999999999996</v>
      </c>
      <c r="U158" s="2">
        <f t="shared" si="15"/>
        <v>127.42270588235296</v>
      </c>
      <c r="W158">
        <v>394.9</v>
      </c>
      <c r="X158">
        <f t="shared" si="16"/>
        <v>71374.400000000009</v>
      </c>
      <c r="Y158">
        <f t="shared" si="17"/>
        <v>7727.6999999999989</v>
      </c>
      <c r="Z158">
        <v>8.3162726693133955</v>
      </c>
    </row>
    <row r="159" spans="1:26" x14ac:dyDescent="0.35">
      <c r="A159">
        <v>5160</v>
      </c>
      <c r="B159">
        <v>23050</v>
      </c>
      <c r="C159" s="1">
        <v>43104</v>
      </c>
      <c r="F159" s="51"/>
      <c r="G159">
        <v>11.6</v>
      </c>
      <c r="H159">
        <v>9.5</v>
      </c>
      <c r="I159">
        <v>13.6</v>
      </c>
      <c r="J159">
        <f t="shared" si="13"/>
        <v>1284.6999999999996</v>
      </c>
      <c r="K159">
        <f t="shared" si="14"/>
        <v>202.39999999999998</v>
      </c>
      <c r="M159">
        <v>5.4</v>
      </c>
      <c r="N159">
        <v>0.8</v>
      </c>
      <c r="O159">
        <f t="shared" si="19"/>
        <v>4.6000000000000005</v>
      </c>
      <c r="Q159">
        <v>127</v>
      </c>
      <c r="R159">
        <v>1</v>
      </c>
      <c r="S159">
        <f t="shared" si="20"/>
        <v>0.8</v>
      </c>
      <c r="T159">
        <f t="shared" si="21"/>
        <v>4.6000000000000005</v>
      </c>
      <c r="U159" s="2">
        <f t="shared" si="15"/>
        <v>132.02270588235297</v>
      </c>
      <c r="W159">
        <v>114.2</v>
      </c>
      <c r="X159">
        <f t="shared" si="16"/>
        <v>71488.600000000006</v>
      </c>
      <c r="Y159">
        <f t="shared" si="17"/>
        <v>7841.8999999999987</v>
      </c>
      <c r="Z159">
        <v>8.3347129540531704</v>
      </c>
    </row>
    <row r="160" spans="1:26" x14ac:dyDescent="0.35">
      <c r="A160">
        <v>5160</v>
      </c>
      <c r="B160">
        <v>23050</v>
      </c>
      <c r="C160" s="1">
        <v>43105</v>
      </c>
      <c r="F160" s="51"/>
      <c r="G160">
        <v>9</v>
      </c>
      <c r="H160">
        <v>8</v>
      </c>
      <c r="I160">
        <v>10.9</v>
      </c>
      <c r="J160">
        <f t="shared" si="13"/>
        <v>1293.6999999999996</v>
      </c>
      <c r="K160">
        <f t="shared" si="14"/>
        <v>211.39999999999998</v>
      </c>
      <c r="M160">
        <v>0.9</v>
      </c>
      <c r="N160">
        <v>0.7</v>
      </c>
      <c r="O160">
        <f t="shared" si="19"/>
        <v>0.20000000000000007</v>
      </c>
      <c r="Q160">
        <v>128</v>
      </c>
      <c r="R160">
        <v>1</v>
      </c>
      <c r="S160">
        <f t="shared" si="20"/>
        <v>0.7</v>
      </c>
      <c r="T160">
        <f t="shared" si="21"/>
        <v>0.20000000000000007</v>
      </c>
      <c r="U160" s="2">
        <f t="shared" si="15"/>
        <v>132.22270588235295</v>
      </c>
      <c r="W160">
        <v>153</v>
      </c>
      <c r="X160">
        <f t="shared" si="16"/>
        <v>71641.600000000006</v>
      </c>
      <c r="Y160">
        <f t="shared" si="17"/>
        <v>7994.8999999999987</v>
      </c>
      <c r="Z160">
        <v>8.3544124958445867</v>
      </c>
    </row>
    <row r="161" spans="1:26" x14ac:dyDescent="0.35">
      <c r="A161">
        <v>5160</v>
      </c>
      <c r="B161">
        <v>23050</v>
      </c>
      <c r="C161" s="1">
        <v>43106</v>
      </c>
      <c r="F161" s="51"/>
      <c r="G161">
        <v>6.8</v>
      </c>
      <c r="H161">
        <v>6.1</v>
      </c>
      <c r="I161">
        <v>7.5</v>
      </c>
      <c r="J161">
        <f t="shared" si="13"/>
        <v>1300.4999999999995</v>
      </c>
      <c r="K161">
        <f t="shared" si="14"/>
        <v>218.2</v>
      </c>
      <c r="M161">
        <v>4.4000000000000004</v>
      </c>
      <c r="N161">
        <v>0.2</v>
      </c>
      <c r="O161">
        <f t="shared" si="19"/>
        <v>4.2</v>
      </c>
      <c r="Q161">
        <v>129</v>
      </c>
      <c r="R161">
        <v>1</v>
      </c>
      <c r="S161">
        <f t="shared" si="20"/>
        <v>0.2</v>
      </c>
      <c r="T161">
        <f t="shared" si="21"/>
        <v>4.2</v>
      </c>
      <c r="U161" s="2">
        <f t="shared" si="15"/>
        <v>136.42270588235294</v>
      </c>
      <c r="W161">
        <v>110.7</v>
      </c>
      <c r="X161">
        <f t="shared" si="16"/>
        <v>71752.3</v>
      </c>
      <c r="Y161">
        <f t="shared" si="17"/>
        <v>8105.5999999999985</v>
      </c>
      <c r="Z161">
        <v>8.3753549568767358</v>
      </c>
    </row>
    <row r="162" spans="1:26" x14ac:dyDescent="0.35">
      <c r="A162">
        <v>5160</v>
      </c>
      <c r="B162">
        <v>23050</v>
      </c>
      <c r="C162" s="1">
        <v>43107</v>
      </c>
      <c r="F162" s="51"/>
      <c r="G162">
        <v>7</v>
      </c>
      <c r="H162">
        <v>6.6</v>
      </c>
      <c r="I162">
        <v>7.2</v>
      </c>
      <c r="J162">
        <f t="shared" si="13"/>
        <v>1307.4999999999995</v>
      </c>
      <c r="K162">
        <f t="shared" si="14"/>
        <v>225.2</v>
      </c>
      <c r="M162">
        <v>0.2</v>
      </c>
      <c r="N162">
        <v>0.6</v>
      </c>
      <c r="O162">
        <f t="shared" si="19"/>
        <v>-0.39999999999999997</v>
      </c>
      <c r="Q162">
        <v>130</v>
      </c>
      <c r="R162">
        <v>1</v>
      </c>
      <c r="S162">
        <f t="shared" si="20"/>
        <v>0.6</v>
      </c>
      <c r="T162">
        <f t="shared" si="21"/>
        <v>-0.39999999999999997</v>
      </c>
      <c r="U162" s="2">
        <f t="shared" si="15"/>
        <v>136.02270588235294</v>
      </c>
      <c r="W162">
        <v>99</v>
      </c>
      <c r="X162">
        <f t="shared" si="16"/>
        <v>71851.3</v>
      </c>
      <c r="Y162">
        <f t="shared" si="17"/>
        <v>8204.5999999999985</v>
      </c>
      <c r="Z162">
        <v>8.3975231787317437</v>
      </c>
    </row>
    <row r="163" spans="1:26" x14ac:dyDescent="0.35">
      <c r="A163">
        <v>5160</v>
      </c>
      <c r="B163">
        <v>23050</v>
      </c>
      <c r="C163" s="1">
        <v>43108</v>
      </c>
      <c r="F163" s="51"/>
      <c r="G163">
        <v>6.4</v>
      </c>
      <c r="H163">
        <v>6.4</v>
      </c>
      <c r="I163">
        <v>7.3</v>
      </c>
      <c r="J163">
        <f t="shared" ref="J163:J226" si="22">J162+G163</f>
        <v>1313.8999999999996</v>
      </c>
      <c r="K163">
        <f t="shared" ref="K163:K226" si="23">K162+G163</f>
        <v>231.6</v>
      </c>
      <c r="M163">
        <v>0.2</v>
      </c>
      <c r="N163">
        <v>0.7</v>
      </c>
      <c r="O163">
        <f t="shared" si="19"/>
        <v>-0.49999999999999994</v>
      </c>
      <c r="Q163">
        <v>131</v>
      </c>
      <c r="R163">
        <v>1</v>
      </c>
      <c r="S163">
        <f t="shared" si="20"/>
        <v>0.7</v>
      </c>
      <c r="T163">
        <f t="shared" si="21"/>
        <v>-0.49999999999999994</v>
      </c>
      <c r="U163" s="2">
        <f t="shared" ref="U163:U226" si="24">MIN(U162+T163,150.8)</f>
        <v>135.52270588235294</v>
      </c>
      <c r="W163">
        <v>290.10000000000002</v>
      </c>
      <c r="X163">
        <f t="shared" ref="X163:X226" si="25">X162+W163</f>
        <v>72141.400000000009</v>
      </c>
      <c r="Y163">
        <f t="shared" ref="Y163:Y226" si="26">Y162+W163</f>
        <v>8494.6999999999989</v>
      </c>
      <c r="Z163">
        <v>8.4208992318246683</v>
      </c>
    </row>
    <row r="164" spans="1:26" x14ac:dyDescent="0.35">
      <c r="A164">
        <v>5160</v>
      </c>
      <c r="B164">
        <v>23050</v>
      </c>
      <c r="C164" s="1">
        <v>43109</v>
      </c>
      <c r="F164" s="51"/>
      <c r="G164">
        <v>6</v>
      </c>
      <c r="H164">
        <v>3.4</v>
      </c>
      <c r="I164">
        <v>8.3000000000000007</v>
      </c>
      <c r="J164">
        <f t="shared" si="22"/>
        <v>1319.8999999999996</v>
      </c>
      <c r="K164">
        <f t="shared" si="23"/>
        <v>237.6</v>
      </c>
      <c r="M164">
        <v>3.5</v>
      </c>
      <c r="N164">
        <v>0.2</v>
      </c>
      <c r="O164">
        <f t="shared" si="19"/>
        <v>3.3</v>
      </c>
      <c r="Q164">
        <v>132</v>
      </c>
      <c r="R164">
        <v>1</v>
      </c>
      <c r="S164">
        <f t="shared" si="20"/>
        <v>0.2</v>
      </c>
      <c r="T164">
        <f t="shared" si="21"/>
        <v>3.3</v>
      </c>
      <c r="U164" s="2">
        <f t="shared" si="24"/>
        <v>138.82270588235295</v>
      </c>
      <c r="W164">
        <v>122.2</v>
      </c>
      <c r="X164">
        <f t="shared" si="25"/>
        <v>72263.600000000006</v>
      </c>
      <c r="Y164">
        <f t="shared" si="26"/>
        <v>8616.9</v>
      </c>
      <c r="Z164">
        <v>8.4454644659839477</v>
      </c>
    </row>
    <row r="165" spans="1:26" x14ac:dyDescent="0.35">
      <c r="A165">
        <v>5160</v>
      </c>
      <c r="B165">
        <v>23050</v>
      </c>
      <c r="C165" s="1">
        <v>43110</v>
      </c>
      <c r="F165" s="51"/>
      <c r="G165">
        <v>7.2</v>
      </c>
      <c r="H165">
        <v>7</v>
      </c>
      <c r="I165">
        <v>8.5</v>
      </c>
      <c r="J165">
        <f t="shared" si="22"/>
        <v>1327.0999999999997</v>
      </c>
      <c r="K165">
        <f t="shared" si="23"/>
        <v>244.79999999999998</v>
      </c>
      <c r="M165">
        <v>1.6</v>
      </c>
      <c r="N165">
        <v>0.5</v>
      </c>
      <c r="O165">
        <f t="shared" si="19"/>
        <v>1.1000000000000001</v>
      </c>
      <c r="Q165">
        <v>133</v>
      </c>
      <c r="R165">
        <v>1</v>
      </c>
      <c r="S165">
        <f t="shared" si="20"/>
        <v>0.5</v>
      </c>
      <c r="T165">
        <f t="shared" si="21"/>
        <v>1.1000000000000001</v>
      </c>
      <c r="U165" s="2">
        <f t="shared" si="24"/>
        <v>139.92270588235294</v>
      </c>
      <c r="W165">
        <v>127.5</v>
      </c>
      <c r="X165">
        <f t="shared" si="25"/>
        <v>72391.100000000006</v>
      </c>
      <c r="Y165">
        <f t="shared" si="26"/>
        <v>8744.4</v>
      </c>
      <c r="Z165">
        <v>8.4711995618934495</v>
      </c>
    </row>
    <row r="166" spans="1:26" x14ac:dyDescent="0.35">
      <c r="A166">
        <v>5160</v>
      </c>
      <c r="B166">
        <v>23050</v>
      </c>
      <c r="C166" s="1">
        <v>43111</v>
      </c>
      <c r="F166" s="51"/>
      <c r="G166">
        <v>6.9</v>
      </c>
      <c r="H166">
        <v>5.7</v>
      </c>
      <c r="I166">
        <v>8.6999999999999993</v>
      </c>
      <c r="J166">
        <f t="shared" si="22"/>
        <v>1333.9999999999998</v>
      </c>
      <c r="K166">
        <f t="shared" si="23"/>
        <v>251.7</v>
      </c>
      <c r="M166">
        <v>0.1</v>
      </c>
      <c r="N166">
        <v>0.4</v>
      </c>
      <c r="O166">
        <f t="shared" si="19"/>
        <v>-0.30000000000000004</v>
      </c>
      <c r="Q166">
        <v>134</v>
      </c>
      <c r="R166">
        <v>1</v>
      </c>
      <c r="S166">
        <f t="shared" si="20"/>
        <v>0.4</v>
      </c>
      <c r="T166">
        <f t="shared" si="21"/>
        <v>-0.30000000000000004</v>
      </c>
      <c r="U166" s="2">
        <f t="shared" si="24"/>
        <v>139.62270588235293</v>
      </c>
      <c r="W166">
        <v>167.4</v>
      </c>
      <c r="X166">
        <f t="shared" si="25"/>
        <v>72558.5</v>
      </c>
      <c r="Y166">
        <f t="shared" si="26"/>
        <v>8911.7999999999993</v>
      </c>
      <c r="Z166">
        <v>8.4980845831224041</v>
      </c>
    </row>
    <row r="167" spans="1:26" x14ac:dyDescent="0.35">
      <c r="A167">
        <v>5160</v>
      </c>
      <c r="B167">
        <v>23050</v>
      </c>
      <c r="C167" s="1">
        <v>43112</v>
      </c>
      <c r="E167">
        <v>22</v>
      </c>
      <c r="F167" s="51"/>
      <c r="G167">
        <v>4.9000000000000004</v>
      </c>
      <c r="H167">
        <v>4.5</v>
      </c>
      <c r="I167">
        <v>6.1</v>
      </c>
      <c r="J167">
        <f t="shared" si="22"/>
        <v>1338.8999999999999</v>
      </c>
      <c r="K167">
        <f t="shared" si="23"/>
        <v>256.59999999999997</v>
      </c>
      <c r="M167">
        <v>0</v>
      </c>
      <c r="N167">
        <v>0.3</v>
      </c>
      <c r="O167">
        <f t="shared" si="19"/>
        <v>-0.3</v>
      </c>
      <c r="Q167">
        <v>135</v>
      </c>
      <c r="R167">
        <v>1</v>
      </c>
      <c r="S167">
        <f t="shared" si="20"/>
        <v>0.3</v>
      </c>
      <c r="T167">
        <f t="shared" si="21"/>
        <v>-0.3</v>
      </c>
      <c r="U167" s="2">
        <f t="shared" si="24"/>
        <v>139.32270588235292</v>
      </c>
      <c r="W167">
        <v>135.19999999999999</v>
      </c>
      <c r="X167">
        <f t="shared" si="25"/>
        <v>72693.7</v>
      </c>
      <c r="Y167">
        <f t="shared" si="26"/>
        <v>9047</v>
      </c>
      <c r="Z167">
        <v>8.5260990284770966</v>
      </c>
    </row>
    <row r="168" spans="1:26" x14ac:dyDescent="0.35">
      <c r="A168">
        <v>5160</v>
      </c>
      <c r="B168">
        <v>23050</v>
      </c>
      <c r="C168" s="1">
        <v>43113</v>
      </c>
      <c r="E168">
        <v>23</v>
      </c>
      <c r="F168" s="51"/>
      <c r="G168">
        <v>3</v>
      </c>
      <c r="H168">
        <v>1.8</v>
      </c>
      <c r="I168">
        <v>3.6</v>
      </c>
      <c r="J168">
        <f t="shared" si="22"/>
        <v>1341.8999999999999</v>
      </c>
      <c r="K168">
        <f t="shared" si="23"/>
        <v>259.59999999999997</v>
      </c>
      <c r="M168">
        <v>0</v>
      </c>
      <c r="N168">
        <v>0.1</v>
      </c>
      <c r="O168">
        <f t="shared" si="19"/>
        <v>-0.1</v>
      </c>
      <c r="Q168">
        <v>136</v>
      </c>
      <c r="R168">
        <v>1</v>
      </c>
      <c r="S168">
        <f t="shared" si="20"/>
        <v>0.1</v>
      </c>
      <c r="T168">
        <f t="shared" si="21"/>
        <v>-0.1</v>
      </c>
      <c r="U168" s="2">
        <f t="shared" si="24"/>
        <v>139.22270588235293</v>
      </c>
      <c r="W168">
        <v>204.8</v>
      </c>
      <c r="X168">
        <f t="shared" si="25"/>
        <v>72898.5</v>
      </c>
      <c r="Y168">
        <f t="shared" si="26"/>
        <v>9251.7999999999993</v>
      </c>
      <c r="Z168">
        <v>8.5552218844174899</v>
      </c>
    </row>
    <row r="169" spans="1:26" x14ac:dyDescent="0.35">
      <c r="A169">
        <v>5160</v>
      </c>
      <c r="B169">
        <v>23050</v>
      </c>
      <c r="C169" s="1">
        <v>43114</v>
      </c>
      <c r="E169">
        <v>24</v>
      </c>
      <c r="F169" s="51"/>
      <c r="G169">
        <v>2.8</v>
      </c>
      <c r="H169">
        <v>1.2</v>
      </c>
      <c r="I169">
        <v>5.8</v>
      </c>
      <c r="J169">
        <f t="shared" si="22"/>
        <v>1344.6999999999998</v>
      </c>
      <c r="K169">
        <f t="shared" si="23"/>
        <v>262.39999999999998</v>
      </c>
      <c r="M169">
        <v>0.1</v>
      </c>
      <c r="N169">
        <v>0.5</v>
      </c>
      <c r="O169">
        <f t="shared" si="19"/>
        <v>-0.4</v>
      </c>
      <c r="Q169">
        <v>137</v>
      </c>
      <c r="R169">
        <v>1</v>
      </c>
      <c r="S169">
        <f t="shared" si="20"/>
        <v>0.5</v>
      </c>
      <c r="T169">
        <f t="shared" si="21"/>
        <v>-0.4</v>
      </c>
      <c r="U169" s="2">
        <f t="shared" si="24"/>
        <v>138.82270588235292</v>
      </c>
      <c r="W169">
        <v>283.39999999999998</v>
      </c>
      <c r="X169">
        <f t="shared" si="25"/>
        <v>73181.899999999994</v>
      </c>
      <c r="Y169">
        <f t="shared" si="26"/>
        <v>9535.1999999999989</v>
      </c>
      <c r="Z169">
        <v>8.5854316772932187</v>
      </c>
    </row>
    <row r="170" spans="1:26" x14ac:dyDescent="0.35">
      <c r="A170">
        <v>5160</v>
      </c>
      <c r="B170">
        <v>23050</v>
      </c>
      <c r="C170" s="1">
        <v>43115</v>
      </c>
      <c r="F170" s="51"/>
      <c r="G170">
        <v>7.2</v>
      </c>
      <c r="H170">
        <v>1.3</v>
      </c>
      <c r="I170">
        <v>9.8000000000000007</v>
      </c>
      <c r="J170">
        <f t="shared" si="22"/>
        <v>1351.8999999999999</v>
      </c>
      <c r="K170">
        <f t="shared" si="23"/>
        <v>269.59999999999997</v>
      </c>
      <c r="M170">
        <v>8.6999999999999993</v>
      </c>
      <c r="N170">
        <v>0.1</v>
      </c>
      <c r="O170">
        <f t="shared" si="19"/>
        <v>8.6</v>
      </c>
      <c r="Q170">
        <v>138</v>
      </c>
      <c r="R170">
        <v>1</v>
      </c>
      <c r="S170">
        <f t="shared" si="20"/>
        <v>0.1</v>
      </c>
      <c r="T170">
        <f t="shared" si="21"/>
        <v>8.6</v>
      </c>
      <c r="U170" s="2">
        <f t="shared" si="24"/>
        <v>147.42270588235291</v>
      </c>
      <c r="W170">
        <v>124.8</v>
      </c>
      <c r="X170">
        <f t="shared" si="25"/>
        <v>73306.7</v>
      </c>
      <c r="Y170">
        <f t="shared" si="26"/>
        <v>9659.9999999999982</v>
      </c>
      <c r="Z170">
        <v>8.6167065251659256</v>
      </c>
    </row>
    <row r="171" spans="1:26" x14ac:dyDescent="0.35">
      <c r="A171">
        <v>5160</v>
      </c>
      <c r="B171">
        <v>23050</v>
      </c>
      <c r="C171" s="1">
        <v>43116</v>
      </c>
      <c r="F171" s="51"/>
      <c r="G171">
        <v>8.9</v>
      </c>
      <c r="H171">
        <v>8.1</v>
      </c>
      <c r="I171">
        <v>10.9</v>
      </c>
      <c r="J171">
        <f t="shared" si="22"/>
        <v>1360.8</v>
      </c>
      <c r="K171">
        <f t="shared" si="23"/>
        <v>278.49999999999994</v>
      </c>
      <c r="M171">
        <v>5</v>
      </c>
      <c r="N171">
        <v>1.3</v>
      </c>
      <c r="O171">
        <f t="shared" si="19"/>
        <v>3.7</v>
      </c>
      <c r="Q171">
        <v>139</v>
      </c>
      <c r="R171">
        <v>1</v>
      </c>
      <c r="S171">
        <f t="shared" si="20"/>
        <v>1.3</v>
      </c>
      <c r="T171">
        <f t="shared" si="21"/>
        <v>3.7</v>
      </c>
      <c r="U171" s="2">
        <f t="shared" si="24"/>
        <v>150.80000000000001</v>
      </c>
      <c r="W171">
        <v>140.19999999999999</v>
      </c>
      <c r="X171">
        <f t="shared" si="25"/>
        <v>73446.899999999994</v>
      </c>
      <c r="Y171">
        <f t="shared" si="26"/>
        <v>9800.1999999999989</v>
      </c>
      <c r="Z171">
        <v>8.6490241889989221</v>
      </c>
    </row>
    <row r="172" spans="1:26" x14ac:dyDescent="0.35">
      <c r="A172">
        <v>5160</v>
      </c>
      <c r="B172">
        <v>23050</v>
      </c>
      <c r="C172" s="1">
        <v>43117</v>
      </c>
      <c r="F172" s="51"/>
      <c r="G172">
        <v>5.7</v>
      </c>
      <c r="H172">
        <v>4.5</v>
      </c>
      <c r="I172">
        <v>9.1</v>
      </c>
      <c r="J172">
        <f t="shared" si="22"/>
        <v>1366.5</v>
      </c>
      <c r="K172">
        <f t="shared" si="23"/>
        <v>284.19999999999993</v>
      </c>
      <c r="M172">
        <v>0.6</v>
      </c>
      <c r="N172">
        <v>1.7</v>
      </c>
      <c r="O172">
        <f t="shared" si="19"/>
        <v>-1.1000000000000001</v>
      </c>
      <c r="Q172">
        <v>140</v>
      </c>
      <c r="R172">
        <v>1</v>
      </c>
      <c r="S172">
        <f t="shared" si="20"/>
        <v>1.7</v>
      </c>
      <c r="T172">
        <f t="shared" si="21"/>
        <v>-1.1000000000000001</v>
      </c>
      <c r="U172" s="2">
        <f t="shared" si="24"/>
        <v>149.70000000000002</v>
      </c>
      <c r="W172">
        <v>434.8</v>
      </c>
      <c r="X172">
        <f t="shared" si="25"/>
        <v>73881.7</v>
      </c>
      <c r="Y172">
        <f t="shared" si="26"/>
        <v>10234.999999999998</v>
      </c>
      <c r="Z172">
        <v>8.6823621230099821</v>
      </c>
    </row>
    <row r="173" spans="1:26" x14ac:dyDescent="0.35">
      <c r="A173">
        <v>5160</v>
      </c>
      <c r="B173">
        <v>23050</v>
      </c>
      <c r="C173" s="1">
        <v>43118</v>
      </c>
      <c r="F173" s="51"/>
      <c r="G173">
        <v>9.1999999999999993</v>
      </c>
      <c r="H173">
        <v>5.2</v>
      </c>
      <c r="I173">
        <v>10.8</v>
      </c>
      <c r="J173">
        <f t="shared" si="22"/>
        <v>1375.7</v>
      </c>
      <c r="K173">
        <f t="shared" si="23"/>
        <v>293.39999999999992</v>
      </c>
      <c r="M173">
        <v>5.3</v>
      </c>
      <c r="N173">
        <v>0.2</v>
      </c>
      <c r="O173">
        <f t="shared" si="19"/>
        <v>5.0999999999999996</v>
      </c>
      <c r="Q173">
        <v>141</v>
      </c>
      <c r="R173">
        <v>1</v>
      </c>
      <c r="S173">
        <f t="shared" si="20"/>
        <v>0.2</v>
      </c>
      <c r="T173">
        <f t="shared" si="21"/>
        <v>5.0999999999999996</v>
      </c>
      <c r="U173" s="2">
        <f t="shared" si="24"/>
        <v>150.80000000000001</v>
      </c>
      <c r="W173">
        <v>129.1</v>
      </c>
      <c r="X173">
        <f t="shared" si="25"/>
        <v>74010.8</v>
      </c>
      <c r="Y173">
        <f t="shared" si="26"/>
        <v>10364.099999999999</v>
      </c>
      <c r="Z173">
        <v>8.7166975239987732</v>
      </c>
    </row>
    <row r="174" spans="1:26" x14ac:dyDescent="0.35">
      <c r="A174">
        <v>5160</v>
      </c>
      <c r="B174">
        <v>23050</v>
      </c>
      <c r="C174" s="1">
        <v>43119</v>
      </c>
      <c r="E174">
        <v>25</v>
      </c>
      <c r="F174" s="51"/>
      <c r="G174">
        <v>4.8</v>
      </c>
      <c r="H174">
        <v>3.4</v>
      </c>
      <c r="I174">
        <v>7.2</v>
      </c>
      <c r="J174">
        <f t="shared" si="22"/>
        <v>1380.5</v>
      </c>
      <c r="K174">
        <f t="shared" si="23"/>
        <v>298.19999999999993</v>
      </c>
      <c r="M174">
        <v>6.2</v>
      </c>
      <c r="N174">
        <v>0.8</v>
      </c>
      <c r="O174">
        <f t="shared" si="19"/>
        <v>5.4</v>
      </c>
      <c r="Q174">
        <v>142</v>
      </c>
      <c r="R174">
        <v>1</v>
      </c>
      <c r="S174">
        <f t="shared" si="20"/>
        <v>0.8</v>
      </c>
      <c r="T174">
        <f t="shared" si="21"/>
        <v>5.4</v>
      </c>
      <c r="U174" s="2">
        <f t="shared" si="24"/>
        <v>150.80000000000001</v>
      </c>
      <c r="W174">
        <v>316.8</v>
      </c>
      <c r="X174">
        <f t="shared" si="25"/>
        <v>74327.600000000006</v>
      </c>
      <c r="Y174">
        <f t="shared" si="26"/>
        <v>10680.899999999998</v>
      </c>
      <c r="Z174">
        <v>8.7520073794767974</v>
      </c>
    </row>
    <row r="175" spans="1:26" x14ac:dyDescent="0.35">
      <c r="A175">
        <v>5160</v>
      </c>
      <c r="B175">
        <v>23050</v>
      </c>
      <c r="C175" s="1">
        <v>43120</v>
      </c>
      <c r="F175" s="51"/>
      <c r="G175">
        <v>9.1999999999999993</v>
      </c>
      <c r="H175">
        <v>3.1</v>
      </c>
      <c r="I175">
        <v>12.2</v>
      </c>
      <c r="J175">
        <f t="shared" si="22"/>
        <v>1389.7</v>
      </c>
      <c r="K175">
        <f t="shared" si="23"/>
        <v>307.39999999999992</v>
      </c>
      <c r="M175">
        <v>6.9</v>
      </c>
      <c r="N175">
        <v>0.1</v>
      </c>
      <c r="O175">
        <f t="shared" si="19"/>
        <v>6.8000000000000007</v>
      </c>
      <c r="Q175">
        <v>143</v>
      </c>
      <c r="R175">
        <v>1</v>
      </c>
      <c r="S175">
        <f t="shared" si="20"/>
        <v>0.1</v>
      </c>
      <c r="T175">
        <f t="shared" si="21"/>
        <v>6.8000000000000007</v>
      </c>
      <c r="U175" s="2">
        <f t="shared" si="24"/>
        <v>150.80000000000001</v>
      </c>
      <c r="W175">
        <v>202.4</v>
      </c>
      <c r="X175">
        <f t="shared" si="25"/>
        <v>74530</v>
      </c>
      <c r="Y175">
        <f t="shared" si="26"/>
        <v>10883.299999999997</v>
      </c>
      <c r="Z175">
        <v>8.7882685144440984</v>
      </c>
    </row>
    <row r="176" spans="1:26" x14ac:dyDescent="0.35">
      <c r="A176">
        <v>5160</v>
      </c>
      <c r="B176">
        <v>23050</v>
      </c>
      <c r="C176" s="1">
        <v>43121</v>
      </c>
      <c r="F176" s="51"/>
      <c r="G176">
        <v>9.6</v>
      </c>
      <c r="H176">
        <v>7.9</v>
      </c>
      <c r="I176">
        <v>11.9</v>
      </c>
      <c r="J176">
        <f t="shared" si="22"/>
        <v>1399.3</v>
      </c>
      <c r="K176">
        <f t="shared" si="23"/>
        <v>316.99999999999994</v>
      </c>
      <c r="M176">
        <v>1.9</v>
      </c>
      <c r="N176">
        <v>0.7</v>
      </c>
      <c r="O176">
        <f t="shared" si="19"/>
        <v>1.2</v>
      </c>
      <c r="Q176">
        <v>144</v>
      </c>
      <c r="R176">
        <v>1</v>
      </c>
      <c r="S176">
        <f t="shared" si="20"/>
        <v>0.7</v>
      </c>
      <c r="T176">
        <f t="shared" si="21"/>
        <v>1.2</v>
      </c>
      <c r="U176" s="2">
        <f t="shared" si="24"/>
        <v>150.80000000000001</v>
      </c>
      <c r="W176">
        <v>206.8</v>
      </c>
      <c r="X176">
        <f t="shared" si="25"/>
        <v>74736.800000000003</v>
      </c>
      <c r="Y176">
        <f t="shared" si="26"/>
        <v>11090.099999999997</v>
      </c>
      <c r="Z176">
        <v>8.8254576366739368</v>
      </c>
    </row>
    <row r="177" spans="1:26" x14ac:dyDescent="0.35">
      <c r="A177">
        <v>5160</v>
      </c>
      <c r="B177">
        <v>23050</v>
      </c>
      <c r="C177" s="1">
        <v>43122</v>
      </c>
      <c r="F177" s="51"/>
      <c r="G177">
        <v>10</v>
      </c>
      <c r="H177">
        <v>7.2</v>
      </c>
      <c r="I177">
        <v>12.6</v>
      </c>
      <c r="J177">
        <f t="shared" si="22"/>
        <v>1409.3</v>
      </c>
      <c r="K177">
        <f t="shared" si="23"/>
        <v>326.99999999999994</v>
      </c>
      <c r="M177">
        <v>1.1000000000000001</v>
      </c>
      <c r="N177">
        <v>0.6</v>
      </c>
      <c r="O177">
        <f t="shared" si="19"/>
        <v>0.50000000000000011</v>
      </c>
      <c r="Q177">
        <v>145</v>
      </c>
      <c r="R177">
        <v>1</v>
      </c>
      <c r="S177">
        <f t="shared" si="20"/>
        <v>0.6</v>
      </c>
      <c r="T177">
        <f t="shared" si="21"/>
        <v>0.50000000000000011</v>
      </c>
      <c r="U177" s="2">
        <f t="shared" si="24"/>
        <v>150.80000000000001</v>
      </c>
      <c r="W177">
        <v>114.6</v>
      </c>
      <c r="X177">
        <f t="shared" si="25"/>
        <v>74851.400000000009</v>
      </c>
      <c r="Y177">
        <f t="shared" si="26"/>
        <v>11204.699999999997</v>
      </c>
      <c r="Z177">
        <v>8.8635513803831607</v>
      </c>
    </row>
    <row r="178" spans="1:26" x14ac:dyDescent="0.35">
      <c r="A178">
        <v>5160</v>
      </c>
      <c r="B178">
        <v>23050</v>
      </c>
      <c r="C178" s="1">
        <v>43123</v>
      </c>
      <c r="F178" s="51"/>
      <c r="G178">
        <v>8.8000000000000007</v>
      </c>
      <c r="H178">
        <v>5.6</v>
      </c>
      <c r="I178">
        <v>11.1</v>
      </c>
      <c r="J178">
        <f t="shared" si="22"/>
        <v>1418.1</v>
      </c>
      <c r="K178">
        <f t="shared" si="23"/>
        <v>335.79999999999995</v>
      </c>
      <c r="M178">
        <v>0.3</v>
      </c>
      <c r="N178">
        <v>0.2</v>
      </c>
      <c r="O178">
        <f t="shared" si="19"/>
        <v>9.9999999999999978E-2</v>
      </c>
      <c r="Q178">
        <v>146</v>
      </c>
      <c r="R178">
        <v>1</v>
      </c>
      <c r="S178">
        <f t="shared" si="20"/>
        <v>0.2</v>
      </c>
      <c r="T178">
        <f t="shared" si="21"/>
        <v>9.9999999999999978E-2</v>
      </c>
      <c r="U178" s="2">
        <f t="shared" si="24"/>
        <v>150.80000000000001</v>
      </c>
      <c r="W178">
        <v>200.5</v>
      </c>
      <c r="X178">
        <f t="shared" si="25"/>
        <v>75051.900000000009</v>
      </c>
      <c r="Y178">
        <f t="shared" si="26"/>
        <v>11405.199999999997</v>
      </c>
      <c r="Z178">
        <v>8.9025263481825476</v>
      </c>
    </row>
    <row r="179" spans="1:26" x14ac:dyDescent="0.35">
      <c r="A179">
        <v>5160</v>
      </c>
      <c r="B179">
        <v>23050</v>
      </c>
      <c r="C179" s="1">
        <v>43124</v>
      </c>
      <c r="F179" s="51"/>
      <c r="G179">
        <v>11.4</v>
      </c>
      <c r="H179">
        <v>10.9</v>
      </c>
      <c r="I179">
        <v>12.2</v>
      </c>
      <c r="J179">
        <f t="shared" si="22"/>
        <v>1429.5</v>
      </c>
      <c r="K179">
        <f t="shared" si="23"/>
        <v>347.19999999999993</v>
      </c>
      <c r="M179">
        <v>4.5</v>
      </c>
      <c r="N179">
        <v>1</v>
      </c>
      <c r="O179">
        <f t="shared" si="19"/>
        <v>3.5</v>
      </c>
      <c r="Q179">
        <v>147</v>
      </c>
      <c r="R179">
        <v>1</v>
      </c>
      <c r="S179">
        <f t="shared" si="20"/>
        <v>1</v>
      </c>
      <c r="T179">
        <f t="shared" si="21"/>
        <v>3.5</v>
      </c>
      <c r="U179" s="2">
        <f t="shared" si="24"/>
        <v>150.80000000000001</v>
      </c>
      <c r="W179">
        <v>249.2</v>
      </c>
      <c r="X179">
        <f t="shared" si="25"/>
        <v>75301.100000000006</v>
      </c>
      <c r="Y179">
        <f t="shared" si="26"/>
        <v>11654.399999999998</v>
      </c>
      <c r="Z179">
        <v>8.9423591512174401</v>
      </c>
    </row>
    <row r="180" spans="1:26" x14ac:dyDescent="0.35">
      <c r="A180">
        <v>5160</v>
      </c>
      <c r="B180">
        <v>23050</v>
      </c>
      <c r="C180" s="1">
        <v>43125</v>
      </c>
      <c r="F180" s="51"/>
      <c r="G180">
        <v>7.9</v>
      </c>
      <c r="H180">
        <v>7.5</v>
      </c>
      <c r="I180">
        <v>8.3000000000000007</v>
      </c>
      <c r="J180">
        <f t="shared" si="22"/>
        <v>1437.4</v>
      </c>
      <c r="K180">
        <f t="shared" si="23"/>
        <v>355.09999999999991</v>
      </c>
      <c r="M180">
        <v>6.6</v>
      </c>
      <c r="N180">
        <v>0.3</v>
      </c>
      <c r="O180">
        <f t="shared" si="19"/>
        <v>6.3</v>
      </c>
      <c r="Q180">
        <v>148</v>
      </c>
      <c r="R180">
        <v>1</v>
      </c>
      <c r="S180">
        <f t="shared" si="20"/>
        <v>0.3</v>
      </c>
      <c r="T180">
        <f t="shared" si="21"/>
        <v>6.3</v>
      </c>
      <c r="U180" s="2">
        <f t="shared" si="24"/>
        <v>150.80000000000001</v>
      </c>
      <c r="W180">
        <v>147.30000000000001</v>
      </c>
      <c r="X180">
        <f t="shared" si="25"/>
        <v>75448.400000000009</v>
      </c>
      <c r="Y180">
        <f t="shared" si="26"/>
        <v>11801.699999999997</v>
      </c>
      <c r="Z180">
        <v>8.9830264474246029</v>
      </c>
    </row>
    <row r="181" spans="1:26" x14ac:dyDescent="0.35">
      <c r="A181">
        <v>5160</v>
      </c>
      <c r="B181">
        <v>23050</v>
      </c>
      <c r="C181" s="1">
        <v>43126</v>
      </c>
      <c r="E181" t="s">
        <v>34</v>
      </c>
      <c r="F181" s="51"/>
      <c r="G181">
        <v>4.5999999999999996</v>
      </c>
      <c r="H181">
        <v>4</v>
      </c>
      <c r="I181">
        <v>5.7</v>
      </c>
      <c r="J181">
        <f t="shared" si="22"/>
        <v>1442</v>
      </c>
      <c r="K181">
        <f t="shared" si="23"/>
        <v>359.69999999999993</v>
      </c>
      <c r="M181">
        <v>0.2</v>
      </c>
      <c r="N181">
        <v>0.2</v>
      </c>
      <c r="O181">
        <f t="shared" si="19"/>
        <v>0</v>
      </c>
      <c r="Q181">
        <v>149</v>
      </c>
      <c r="R181">
        <v>1</v>
      </c>
      <c r="S181">
        <f t="shared" si="20"/>
        <v>0.2</v>
      </c>
      <c r="T181">
        <f t="shared" si="21"/>
        <v>0</v>
      </c>
      <c r="U181" s="2">
        <f t="shared" si="24"/>
        <v>150.80000000000001</v>
      </c>
      <c r="W181">
        <v>241.4</v>
      </c>
      <c r="X181">
        <f t="shared" si="25"/>
        <v>75689.8</v>
      </c>
      <c r="Y181">
        <f t="shared" si="26"/>
        <v>12043.099999999997</v>
      </c>
      <c r="Z181">
        <v>9.0245049778462523</v>
      </c>
    </row>
    <row r="182" spans="1:26" x14ac:dyDescent="0.35">
      <c r="A182">
        <v>5160</v>
      </c>
      <c r="B182">
        <v>23050</v>
      </c>
      <c r="C182" s="1">
        <v>43127</v>
      </c>
      <c r="F182" s="51"/>
      <c r="G182">
        <v>2.4</v>
      </c>
      <c r="H182">
        <v>1.1000000000000001</v>
      </c>
      <c r="I182">
        <v>4.3</v>
      </c>
      <c r="J182">
        <f t="shared" si="22"/>
        <v>1444.4</v>
      </c>
      <c r="K182">
        <f t="shared" si="23"/>
        <v>362.09999999999991</v>
      </c>
      <c r="M182">
        <v>0.2</v>
      </c>
      <c r="N182">
        <v>0.5</v>
      </c>
      <c r="O182">
        <f t="shared" si="19"/>
        <v>-0.3</v>
      </c>
      <c r="Q182">
        <v>150</v>
      </c>
      <c r="R182">
        <v>1</v>
      </c>
      <c r="S182">
        <f t="shared" si="20"/>
        <v>0.5</v>
      </c>
      <c r="T182">
        <f t="shared" si="21"/>
        <v>-0.3</v>
      </c>
      <c r="U182" s="2">
        <f t="shared" si="24"/>
        <v>150.5</v>
      </c>
      <c r="W182">
        <v>434</v>
      </c>
      <c r="X182">
        <f t="shared" si="25"/>
        <v>76123.8</v>
      </c>
      <c r="Y182">
        <f t="shared" si="26"/>
        <v>12477.099999999997</v>
      </c>
      <c r="Z182">
        <v>9.0667716009563826</v>
      </c>
    </row>
    <row r="183" spans="1:26" x14ac:dyDescent="0.35">
      <c r="A183">
        <v>5160</v>
      </c>
      <c r="B183">
        <v>23050</v>
      </c>
      <c r="C183" s="1">
        <v>43128</v>
      </c>
      <c r="F183" s="51"/>
      <c r="G183">
        <v>6.8</v>
      </c>
      <c r="H183">
        <v>3</v>
      </c>
      <c r="I183">
        <v>8.9</v>
      </c>
      <c r="J183">
        <f t="shared" si="22"/>
        <v>1451.2</v>
      </c>
      <c r="K183">
        <f t="shared" si="23"/>
        <v>368.89999999999992</v>
      </c>
      <c r="M183">
        <v>1.1000000000000001</v>
      </c>
      <c r="N183">
        <v>0.2</v>
      </c>
      <c r="O183">
        <f t="shared" si="19"/>
        <v>0.90000000000000013</v>
      </c>
      <c r="Q183">
        <v>151</v>
      </c>
      <c r="R183">
        <v>1</v>
      </c>
      <c r="S183">
        <f t="shared" si="20"/>
        <v>0.2</v>
      </c>
      <c r="T183">
        <f t="shared" si="21"/>
        <v>0.90000000000000013</v>
      </c>
      <c r="U183" s="2">
        <f t="shared" si="24"/>
        <v>150.80000000000001</v>
      </c>
      <c r="W183">
        <v>101.7</v>
      </c>
      <c r="X183">
        <f t="shared" si="25"/>
        <v>76225.5</v>
      </c>
      <c r="Y183">
        <f t="shared" si="26"/>
        <v>12578.799999999997</v>
      </c>
      <c r="Z183">
        <v>9.1098033249680732</v>
      </c>
    </row>
    <row r="184" spans="1:26" x14ac:dyDescent="0.35">
      <c r="A184">
        <v>5160</v>
      </c>
      <c r="B184">
        <v>23050</v>
      </c>
      <c r="C184" s="1">
        <v>43129</v>
      </c>
      <c r="F184" s="51"/>
      <c r="G184">
        <v>9</v>
      </c>
      <c r="H184">
        <v>8.6</v>
      </c>
      <c r="I184">
        <v>9.9</v>
      </c>
      <c r="J184">
        <f t="shared" si="22"/>
        <v>1460.2</v>
      </c>
      <c r="K184">
        <f t="shared" si="23"/>
        <v>377.89999999999992</v>
      </c>
      <c r="M184">
        <v>0.4</v>
      </c>
      <c r="N184">
        <v>0.4</v>
      </c>
      <c r="O184">
        <f t="shared" si="19"/>
        <v>0</v>
      </c>
      <c r="Q184">
        <v>152</v>
      </c>
      <c r="R184">
        <v>1</v>
      </c>
      <c r="S184">
        <f t="shared" si="20"/>
        <v>0.4</v>
      </c>
      <c r="T184">
        <f t="shared" si="21"/>
        <v>0</v>
      </c>
      <c r="U184" s="2">
        <f t="shared" si="24"/>
        <v>150.80000000000001</v>
      </c>
      <c r="W184">
        <v>143</v>
      </c>
      <c r="X184">
        <f t="shared" si="25"/>
        <v>76368.5</v>
      </c>
      <c r="Y184">
        <f t="shared" si="26"/>
        <v>12721.799999999997</v>
      </c>
      <c r="Z184">
        <v>9.1535773381030996</v>
      </c>
    </row>
    <row r="185" spans="1:26" x14ac:dyDescent="0.35">
      <c r="A185">
        <v>5160</v>
      </c>
      <c r="B185">
        <v>23050</v>
      </c>
      <c r="C185" s="1">
        <v>43130</v>
      </c>
      <c r="F185" s="51"/>
      <c r="G185">
        <v>9.1</v>
      </c>
      <c r="H185">
        <v>7.7</v>
      </c>
      <c r="I185">
        <v>10.3</v>
      </c>
      <c r="J185">
        <f t="shared" si="22"/>
        <v>1469.3</v>
      </c>
      <c r="K185">
        <f t="shared" si="23"/>
        <v>386.99999999999994</v>
      </c>
      <c r="M185">
        <v>0.3</v>
      </c>
      <c r="N185">
        <v>0.4</v>
      </c>
      <c r="O185">
        <f t="shared" si="19"/>
        <v>-0.10000000000000003</v>
      </c>
      <c r="Q185">
        <v>153</v>
      </c>
      <c r="R185">
        <v>1</v>
      </c>
      <c r="S185">
        <f t="shared" si="20"/>
        <v>0.4</v>
      </c>
      <c r="T185">
        <f t="shared" si="21"/>
        <v>-0.10000000000000003</v>
      </c>
      <c r="U185" s="2">
        <f t="shared" si="24"/>
        <v>150.70000000000002</v>
      </c>
      <c r="W185">
        <v>209.7</v>
      </c>
      <c r="X185">
        <f t="shared" si="25"/>
        <v>76578.2</v>
      </c>
      <c r="Y185">
        <f t="shared" si="26"/>
        <v>12931.499999999998</v>
      </c>
      <c r="Z185">
        <v>9.1980710368168275</v>
      </c>
    </row>
    <row r="186" spans="1:26" x14ac:dyDescent="0.35">
      <c r="A186">
        <v>5160</v>
      </c>
      <c r="B186">
        <v>23050</v>
      </c>
      <c r="C186" s="1">
        <v>43131</v>
      </c>
      <c r="F186" s="51"/>
      <c r="G186">
        <v>7.4</v>
      </c>
      <c r="H186">
        <v>7.4</v>
      </c>
      <c r="I186">
        <v>8.1999999999999993</v>
      </c>
      <c r="J186">
        <f t="shared" si="22"/>
        <v>1476.7</v>
      </c>
      <c r="K186">
        <f t="shared" si="23"/>
        <v>394.39999999999992</v>
      </c>
      <c r="M186">
        <v>13.9</v>
      </c>
      <c r="N186">
        <v>0.7</v>
      </c>
      <c r="O186">
        <f t="shared" si="19"/>
        <v>13.200000000000001</v>
      </c>
      <c r="Q186">
        <v>154</v>
      </c>
      <c r="R186">
        <v>1</v>
      </c>
      <c r="S186">
        <f t="shared" si="20"/>
        <v>0.7</v>
      </c>
      <c r="T186">
        <f t="shared" si="21"/>
        <v>13.200000000000001</v>
      </c>
      <c r="U186" s="2">
        <f t="shared" si="24"/>
        <v>150.80000000000001</v>
      </c>
      <c r="W186">
        <v>141.19999999999999</v>
      </c>
      <c r="X186">
        <f t="shared" si="25"/>
        <v>76719.399999999994</v>
      </c>
      <c r="Y186">
        <f t="shared" si="26"/>
        <v>13072.699999999999</v>
      </c>
      <c r="Z186">
        <v>9.2432620519823026</v>
      </c>
    </row>
    <row r="187" spans="1:26" x14ac:dyDescent="0.35">
      <c r="A187">
        <v>5160</v>
      </c>
      <c r="B187">
        <v>23050</v>
      </c>
      <c r="C187" s="1">
        <v>43132</v>
      </c>
      <c r="F187" s="51"/>
      <c r="G187">
        <v>3.7</v>
      </c>
      <c r="H187">
        <v>2.5</v>
      </c>
      <c r="I187">
        <v>6.4</v>
      </c>
      <c r="J187">
        <f t="shared" si="22"/>
        <v>1480.4</v>
      </c>
      <c r="K187">
        <f t="shared" si="23"/>
        <v>398.09999999999991</v>
      </c>
      <c r="M187">
        <v>0.1</v>
      </c>
      <c r="N187">
        <v>0.7</v>
      </c>
      <c r="O187">
        <f t="shared" si="19"/>
        <v>-0.6</v>
      </c>
      <c r="Q187">
        <v>155</v>
      </c>
      <c r="R187">
        <v>1</v>
      </c>
      <c r="S187">
        <f t="shared" si="20"/>
        <v>0.7</v>
      </c>
      <c r="T187">
        <f t="shared" si="21"/>
        <v>-0.6</v>
      </c>
      <c r="U187" s="2">
        <f t="shared" si="24"/>
        <v>150.20000000000002</v>
      </c>
      <c r="W187">
        <v>347.3</v>
      </c>
      <c r="X187">
        <f t="shared" si="25"/>
        <v>77066.7</v>
      </c>
      <c r="Y187">
        <f t="shared" si="26"/>
        <v>13419.999999999998</v>
      </c>
      <c r="Z187">
        <v>9.2891282730472842</v>
      </c>
    </row>
    <row r="188" spans="1:26" x14ac:dyDescent="0.35">
      <c r="A188">
        <v>5160</v>
      </c>
      <c r="B188">
        <v>23050</v>
      </c>
      <c r="C188" s="1">
        <v>43133</v>
      </c>
      <c r="F188" s="51"/>
      <c r="G188">
        <v>2.5</v>
      </c>
      <c r="H188">
        <v>-0.6</v>
      </c>
      <c r="I188">
        <v>6.1</v>
      </c>
      <c r="J188">
        <f t="shared" si="22"/>
        <v>1482.9</v>
      </c>
      <c r="K188">
        <f t="shared" si="23"/>
        <v>400.59999999999991</v>
      </c>
      <c r="M188">
        <v>0.5</v>
      </c>
      <c r="N188">
        <v>0.6</v>
      </c>
      <c r="O188">
        <f t="shared" si="19"/>
        <v>-9.9999999999999978E-2</v>
      </c>
      <c r="Q188">
        <v>156</v>
      </c>
      <c r="R188">
        <v>1</v>
      </c>
      <c r="S188">
        <f t="shared" si="20"/>
        <v>0.6</v>
      </c>
      <c r="T188">
        <f t="shared" si="21"/>
        <v>-9.9999999999999978E-2</v>
      </c>
      <c r="U188" s="2">
        <f t="shared" si="24"/>
        <v>150.10000000000002</v>
      </c>
      <c r="W188">
        <v>503.6</v>
      </c>
      <c r="X188">
        <f t="shared" si="25"/>
        <v>77570.3</v>
      </c>
      <c r="Y188">
        <f t="shared" si="26"/>
        <v>13923.599999999999</v>
      </c>
      <c r="Z188">
        <v>9.335647870186941</v>
      </c>
    </row>
    <row r="189" spans="1:26" x14ac:dyDescent="0.35">
      <c r="A189">
        <v>5160</v>
      </c>
      <c r="B189">
        <v>23050</v>
      </c>
      <c r="C189" s="1">
        <v>43134</v>
      </c>
      <c r="F189" s="51"/>
      <c r="G189">
        <v>3</v>
      </c>
      <c r="H189">
        <v>0.6</v>
      </c>
      <c r="I189">
        <v>4.5</v>
      </c>
      <c r="J189">
        <f t="shared" si="22"/>
        <v>1485.9</v>
      </c>
      <c r="K189">
        <f t="shared" si="23"/>
        <v>403.59999999999991</v>
      </c>
      <c r="M189">
        <v>1.2</v>
      </c>
      <c r="N189">
        <v>0.1</v>
      </c>
      <c r="O189">
        <f t="shared" si="19"/>
        <v>1.0999999999999999</v>
      </c>
      <c r="Q189">
        <v>157</v>
      </c>
      <c r="R189">
        <v>1</v>
      </c>
      <c r="S189">
        <f t="shared" si="20"/>
        <v>0.1</v>
      </c>
      <c r="T189">
        <f t="shared" si="21"/>
        <v>1.0999999999999999</v>
      </c>
      <c r="U189" s="2">
        <f t="shared" si="24"/>
        <v>150.80000000000001</v>
      </c>
      <c r="W189">
        <v>169.1</v>
      </c>
      <c r="X189">
        <f t="shared" si="25"/>
        <v>77739.400000000009</v>
      </c>
      <c r="Y189">
        <f t="shared" si="26"/>
        <v>14092.699999999999</v>
      </c>
      <c r="Z189">
        <v>9.3827993144829822</v>
      </c>
    </row>
    <row r="190" spans="1:26" x14ac:dyDescent="0.35">
      <c r="A190">
        <v>5160</v>
      </c>
      <c r="B190">
        <v>23050</v>
      </c>
      <c r="C190" s="1">
        <v>43135</v>
      </c>
      <c r="F190" s="51"/>
      <c r="G190">
        <v>2.2999999999999998</v>
      </c>
      <c r="H190">
        <v>0.5</v>
      </c>
      <c r="I190">
        <v>3.7</v>
      </c>
      <c r="J190">
        <f t="shared" si="22"/>
        <v>1488.2</v>
      </c>
      <c r="K190">
        <f t="shared" si="23"/>
        <v>405.89999999999992</v>
      </c>
      <c r="M190">
        <v>1.9</v>
      </c>
      <c r="N190">
        <v>0.3</v>
      </c>
      <c r="O190">
        <f t="shared" si="19"/>
        <v>1.5999999999999999</v>
      </c>
      <c r="Q190">
        <v>158</v>
      </c>
      <c r="R190">
        <v>1</v>
      </c>
      <c r="S190">
        <f t="shared" si="20"/>
        <v>0.3</v>
      </c>
      <c r="T190">
        <f t="shared" si="21"/>
        <v>1.5999999999999999</v>
      </c>
      <c r="U190" s="2">
        <f t="shared" si="24"/>
        <v>150.80000000000001</v>
      </c>
      <c r="W190">
        <v>176.4</v>
      </c>
      <c r="X190">
        <f t="shared" si="25"/>
        <v>77915.8</v>
      </c>
      <c r="Y190">
        <f t="shared" si="26"/>
        <v>14269.099999999999</v>
      </c>
      <c r="Z190">
        <v>9.4305613961670929</v>
      </c>
    </row>
    <row r="191" spans="1:26" x14ac:dyDescent="0.35">
      <c r="A191">
        <v>5160</v>
      </c>
      <c r="B191">
        <v>23050</v>
      </c>
      <c r="C191" s="1">
        <v>43136</v>
      </c>
      <c r="F191" s="51"/>
      <c r="G191">
        <v>-0.2</v>
      </c>
      <c r="H191">
        <v>-1.7</v>
      </c>
      <c r="I191">
        <v>0.4</v>
      </c>
      <c r="J191">
        <v>1488.2</v>
      </c>
      <c r="K191">
        <v>405.9</v>
      </c>
      <c r="M191">
        <v>1.4</v>
      </c>
      <c r="N191">
        <v>0.4</v>
      </c>
      <c r="O191">
        <f t="shared" si="19"/>
        <v>0.99999999999999989</v>
      </c>
      <c r="Q191">
        <v>159</v>
      </c>
      <c r="R191">
        <v>1</v>
      </c>
      <c r="S191">
        <f t="shared" si="20"/>
        <v>0.4</v>
      </c>
      <c r="T191">
        <f t="shared" si="21"/>
        <v>0.99999999999999989</v>
      </c>
      <c r="U191" s="2">
        <f t="shared" si="24"/>
        <v>150.80000000000001</v>
      </c>
      <c r="W191">
        <v>275.7</v>
      </c>
      <c r="X191">
        <f t="shared" si="25"/>
        <v>78191.5</v>
      </c>
      <c r="Y191">
        <f t="shared" si="26"/>
        <v>14544.8</v>
      </c>
      <c r="Z191">
        <v>9.4789132409728172</v>
      </c>
    </row>
    <row r="192" spans="1:26" x14ac:dyDescent="0.35">
      <c r="A192">
        <v>5160</v>
      </c>
      <c r="B192">
        <v>23050</v>
      </c>
      <c r="C192" s="1">
        <v>43137</v>
      </c>
      <c r="F192" s="51"/>
      <c r="G192">
        <v>-0.3</v>
      </c>
      <c r="H192">
        <v>-1.1000000000000001</v>
      </c>
      <c r="I192">
        <v>0.2</v>
      </c>
      <c r="J192">
        <v>1488.2</v>
      </c>
      <c r="K192">
        <v>405.9</v>
      </c>
      <c r="M192">
        <v>1.8</v>
      </c>
      <c r="N192">
        <v>0.3</v>
      </c>
      <c r="O192">
        <f t="shared" si="19"/>
        <v>1.5</v>
      </c>
      <c r="Q192">
        <v>160</v>
      </c>
      <c r="R192">
        <v>1</v>
      </c>
      <c r="S192">
        <f t="shared" si="20"/>
        <v>0.3</v>
      </c>
      <c r="T192">
        <f t="shared" si="21"/>
        <v>1.5</v>
      </c>
      <c r="U192" s="2">
        <f t="shared" si="24"/>
        <v>150.80000000000001</v>
      </c>
      <c r="W192">
        <v>185.7</v>
      </c>
      <c r="X192">
        <f t="shared" si="25"/>
        <v>78377.2</v>
      </c>
      <c r="Y192">
        <f t="shared" si="26"/>
        <v>14730.5</v>
      </c>
      <c r="Z192">
        <v>9.5278343246454149</v>
      </c>
    </row>
    <row r="193" spans="1:26" x14ac:dyDescent="0.35">
      <c r="A193">
        <v>5160</v>
      </c>
      <c r="B193">
        <v>23050</v>
      </c>
      <c r="C193" s="1">
        <v>43138</v>
      </c>
      <c r="F193" s="51"/>
      <c r="G193">
        <v>-2.1</v>
      </c>
      <c r="H193">
        <v>-4.0999999999999996</v>
      </c>
      <c r="I193">
        <v>-0.9</v>
      </c>
      <c r="J193">
        <v>1488.2</v>
      </c>
      <c r="K193">
        <v>405.9</v>
      </c>
      <c r="M193">
        <v>0</v>
      </c>
      <c r="N193">
        <v>0.2</v>
      </c>
      <c r="O193">
        <f t="shared" si="19"/>
        <v>-0.2</v>
      </c>
      <c r="Q193">
        <v>161</v>
      </c>
      <c r="R193">
        <v>1</v>
      </c>
      <c r="S193">
        <f t="shared" si="20"/>
        <v>0.2</v>
      </c>
      <c r="T193">
        <f t="shared" si="21"/>
        <v>-0.2</v>
      </c>
      <c r="U193" s="2">
        <f t="shared" si="24"/>
        <v>150.60000000000002</v>
      </c>
      <c r="W193">
        <v>194.6</v>
      </c>
      <c r="X193">
        <f t="shared" si="25"/>
        <v>78571.8</v>
      </c>
      <c r="Y193">
        <f t="shared" si="26"/>
        <v>14925.1</v>
      </c>
      <c r="Z193">
        <v>9.5773044856638379</v>
      </c>
    </row>
    <row r="194" spans="1:26" x14ac:dyDescent="0.35">
      <c r="A194">
        <v>5160</v>
      </c>
      <c r="B194">
        <v>23050</v>
      </c>
      <c r="C194" s="1">
        <v>43139</v>
      </c>
      <c r="F194" s="51"/>
      <c r="G194">
        <v>-4.4000000000000004</v>
      </c>
      <c r="H194">
        <v>-6.3</v>
      </c>
      <c r="I194">
        <v>-1.8</v>
      </c>
      <c r="J194">
        <v>1488.2</v>
      </c>
      <c r="K194">
        <v>405.9</v>
      </c>
      <c r="M194">
        <v>0</v>
      </c>
      <c r="N194">
        <v>0.7</v>
      </c>
      <c r="O194">
        <f t="shared" si="19"/>
        <v>-0.7</v>
      </c>
      <c r="Q194">
        <v>162</v>
      </c>
      <c r="R194">
        <v>1</v>
      </c>
      <c r="S194">
        <f t="shared" si="20"/>
        <v>0.7</v>
      </c>
      <c r="T194">
        <f t="shared" si="21"/>
        <v>-0.7</v>
      </c>
      <c r="U194" s="2">
        <f t="shared" si="24"/>
        <v>149.90000000000003</v>
      </c>
      <c r="W194">
        <v>846.2</v>
      </c>
      <c r="X194">
        <f t="shared" si="25"/>
        <v>79418</v>
      </c>
      <c r="Y194">
        <f t="shared" si="26"/>
        <v>15771.300000000001</v>
      </c>
      <c r="Z194">
        <v>9.6273039362327175</v>
      </c>
    </row>
    <row r="195" spans="1:26" x14ac:dyDescent="0.35">
      <c r="A195">
        <v>5160</v>
      </c>
      <c r="B195">
        <v>23050</v>
      </c>
      <c r="C195" s="1">
        <v>43140</v>
      </c>
      <c r="F195" s="51"/>
      <c r="G195">
        <v>-2.5</v>
      </c>
      <c r="H195">
        <v>-7</v>
      </c>
      <c r="I195">
        <v>0.4</v>
      </c>
      <c r="J195">
        <v>1488.2</v>
      </c>
      <c r="K195">
        <v>405.9</v>
      </c>
      <c r="M195">
        <v>1.2</v>
      </c>
      <c r="N195">
        <v>0.1</v>
      </c>
      <c r="O195">
        <f t="shared" si="19"/>
        <v>1.0999999999999999</v>
      </c>
      <c r="Q195">
        <v>163</v>
      </c>
      <c r="R195">
        <v>1</v>
      </c>
      <c r="S195">
        <f t="shared" si="20"/>
        <v>0.1</v>
      </c>
      <c r="T195">
        <f t="shared" si="21"/>
        <v>1.0999999999999999</v>
      </c>
      <c r="U195" s="2">
        <f t="shared" si="24"/>
        <v>150.80000000000001</v>
      </c>
      <c r="W195">
        <v>252.7</v>
      </c>
      <c r="X195">
        <f t="shared" si="25"/>
        <v>79670.7</v>
      </c>
      <c r="Y195">
        <f t="shared" si="26"/>
        <v>16024.000000000002</v>
      </c>
      <c r="Z195">
        <v>9.6778132716054852</v>
      </c>
    </row>
    <row r="196" spans="1:26" x14ac:dyDescent="0.35">
      <c r="A196">
        <v>5160</v>
      </c>
      <c r="B196">
        <v>23050</v>
      </c>
      <c r="C196" s="1">
        <v>43141</v>
      </c>
      <c r="F196" s="51"/>
      <c r="G196">
        <v>-0.3</v>
      </c>
      <c r="H196">
        <v>-6.5</v>
      </c>
      <c r="I196">
        <v>6</v>
      </c>
      <c r="J196">
        <v>1488.2</v>
      </c>
      <c r="K196">
        <v>405.9</v>
      </c>
      <c r="M196">
        <v>2.7</v>
      </c>
      <c r="N196">
        <v>0.9</v>
      </c>
      <c r="O196">
        <f t="shared" si="19"/>
        <v>1.8000000000000003</v>
      </c>
      <c r="Q196">
        <v>164</v>
      </c>
      <c r="R196">
        <v>1</v>
      </c>
      <c r="S196">
        <f t="shared" si="20"/>
        <v>0.9</v>
      </c>
      <c r="T196">
        <f t="shared" si="21"/>
        <v>1.8000000000000003</v>
      </c>
      <c r="U196" s="2">
        <f t="shared" si="24"/>
        <v>150.80000000000001</v>
      </c>
      <c r="W196">
        <v>967.1</v>
      </c>
      <c r="X196">
        <f t="shared" si="25"/>
        <v>80637.8</v>
      </c>
      <c r="Y196">
        <f t="shared" si="26"/>
        <v>16991.100000000002</v>
      </c>
      <c r="Z196">
        <v>9.7288134778020279</v>
      </c>
    </row>
    <row r="197" spans="1:26" x14ac:dyDescent="0.35">
      <c r="A197">
        <v>5160</v>
      </c>
      <c r="B197">
        <v>23050</v>
      </c>
      <c r="C197" s="1">
        <v>43142</v>
      </c>
      <c r="F197" s="51"/>
      <c r="G197">
        <v>4.9000000000000004</v>
      </c>
      <c r="H197">
        <v>2.9</v>
      </c>
      <c r="I197">
        <v>8.5</v>
      </c>
      <c r="J197">
        <f t="shared" si="22"/>
        <v>1493.1000000000001</v>
      </c>
      <c r="K197">
        <f t="shared" si="23"/>
        <v>410.79999999999995</v>
      </c>
      <c r="M197">
        <v>0.8</v>
      </c>
      <c r="N197">
        <v>1.2</v>
      </c>
      <c r="O197">
        <f t="shared" ref="O197:O260" si="27">M197-N197</f>
        <v>-0.39999999999999991</v>
      </c>
      <c r="Q197">
        <v>165</v>
      </c>
      <c r="R197">
        <v>1</v>
      </c>
      <c r="S197">
        <f t="shared" ref="S197:S260" si="28">R197*N197</f>
        <v>1.2</v>
      </c>
      <c r="T197">
        <f t="shared" ref="T197:T260" si="29">M197-S197</f>
        <v>-0.39999999999999991</v>
      </c>
      <c r="U197" s="2">
        <f t="shared" si="24"/>
        <v>150.4</v>
      </c>
      <c r="W197">
        <v>847.6</v>
      </c>
      <c r="X197">
        <f t="shared" si="25"/>
        <v>81485.400000000009</v>
      </c>
      <c r="Y197">
        <f t="shared" si="26"/>
        <v>17838.7</v>
      </c>
      <c r="Z197">
        <v>9.7802859377862053</v>
      </c>
    </row>
    <row r="198" spans="1:26" x14ac:dyDescent="0.35">
      <c r="A198">
        <v>5160</v>
      </c>
      <c r="B198">
        <v>23050</v>
      </c>
      <c r="C198" s="1">
        <v>43143</v>
      </c>
      <c r="F198" s="51"/>
      <c r="G198">
        <v>1</v>
      </c>
      <c r="H198">
        <v>-2.7</v>
      </c>
      <c r="I198">
        <v>5.0999999999999996</v>
      </c>
      <c r="J198">
        <f t="shared" si="22"/>
        <v>1494.1000000000001</v>
      </c>
      <c r="K198">
        <f t="shared" si="23"/>
        <v>411.79999999999995</v>
      </c>
      <c r="M198">
        <v>0</v>
      </c>
      <c r="N198">
        <v>0.9</v>
      </c>
      <c r="O198">
        <f t="shared" si="27"/>
        <v>-0.9</v>
      </c>
      <c r="Q198">
        <v>166</v>
      </c>
      <c r="R198">
        <v>1</v>
      </c>
      <c r="S198">
        <f t="shared" si="28"/>
        <v>0.9</v>
      </c>
      <c r="T198">
        <f t="shared" si="29"/>
        <v>-0.9</v>
      </c>
      <c r="U198" s="2">
        <f t="shared" si="24"/>
        <v>149.5</v>
      </c>
      <c r="W198">
        <v>1052</v>
      </c>
      <c r="X198">
        <f t="shared" si="25"/>
        <v>82537.400000000009</v>
      </c>
      <c r="Y198">
        <f t="shared" si="26"/>
        <v>18890.7</v>
      </c>
      <c r="Z198">
        <v>9.8322124361697441</v>
      </c>
    </row>
    <row r="199" spans="1:26" x14ac:dyDescent="0.35">
      <c r="A199">
        <v>5160</v>
      </c>
      <c r="B199">
        <v>23050</v>
      </c>
      <c r="C199" s="1">
        <v>43144</v>
      </c>
      <c r="F199" s="51"/>
      <c r="G199">
        <v>0.2</v>
      </c>
      <c r="H199">
        <v>-0.6</v>
      </c>
      <c r="I199">
        <v>0.8</v>
      </c>
      <c r="J199">
        <f t="shared" si="22"/>
        <v>1494.3000000000002</v>
      </c>
      <c r="K199">
        <f t="shared" si="23"/>
        <v>411.99999999999994</v>
      </c>
      <c r="M199">
        <v>0.9</v>
      </c>
      <c r="N199">
        <v>0.4</v>
      </c>
      <c r="O199">
        <f t="shared" si="27"/>
        <v>0.5</v>
      </c>
      <c r="Q199">
        <v>167</v>
      </c>
      <c r="R199">
        <v>1</v>
      </c>
      <c r="S199">
        <f t="shared" si="28"/>
        <v>0.4</v>
      </c>
      <c r="T199">
        <f t="shared" si="29"/>
        <v>0.5</v>
      </c>
      <c r="U199" s="2">
        <f t="shared" si="24"/>
        <v>150</v>
      </c>
      <c r="W199">
        <v>259.5</v>
      </c>
      <c r="X199">
        <f t="shared" si="25"/>
        <v>82796.900000000009</v>
      </c>
      <c r="Y199">
        <f t="shared" si="26"/>
        <v>19150.2</v>
      </c>
      <c r="Z199">
        <v>9.8845751625097087</v>
      </c>
    </row>
    <row r="200" spans="1:26" x14ac:dyDescent="0.35">
      <c r="A200">
        <v>5160</v>
      </c>
      <c r="B200">
        <v>23050</v>
      </c>
      <c r="C200" s="1">
        <v>43145</v>
      </c>
      <c r="F200" s="51"/>
      <c r="G200">
        <v>1.8</v>
      </c>
      <c r="H200">
        <v>-2.6</v>
      </c>
      <c r="I200">
        <v>9.4</v>
      </c>
      <c r="J200">
        <f t="shared" si="22"/>
        <v>1496.1000000000001</v>
      </c>
      <c r="K200">
        <f t="shared" si="23"/>
        <v>413.79999999999995</v>
      </c>
      <c r="M200">
        <v>3.5</v>
      </c>
      <c r="N200">
        <v>0.9</v>
      </c>
      <c r="O200">
        <f t="shared" si="27"/>
        <v>2.6</v>
      </c>
      <c r="Q200">
        <v>168</v>
      </c>
      <c r="R200">
        <v>1</v>
      </c>
      <c r="S200">
        <f t="shared" si="28"/>
        <v>0.9</v>
      </c>
      <c r="T200">
        <f t="shared" si="29"/>
        <v>2.6</v>
      </c>
      <c r="U200" s="2">
        <f t="shared" si="24"/>
        <v>150.80000000000001</v>
      </c>
      <c r="W200">
        <v>362</v>
      </c>
      <c r="X200">
        <f t="shared" si="25"/>
        <v>83158.900000000009</v>
      </c>
      <c r="Y200">
        <f t="shared" si="26"/>
        <v>19512.2</v>
      </c>
      <c r="Z200">
        <v>9.9373567132670466</v>
      </c>
    </row>
    <row r="201" spans="1:26" x14ac:dyDescent="0.35">
      <c r="A201">
        <v>5160</v>
      </c>
      <c r="B201">
        <v>23050</v>
      </c>
      <c r="C201" s="1">
        <v>43146</v>
      </c>
      <c r="F201" s="51"/>
      <c r="G201">
        <v>9.3000000000000007</v>
      </c>
      <c r="H201">
        <v>4.4000000000000004</v>
      </c>
      <c r="I201">
        <v>11.9</v>
      </c>
      <c r="J201">
        <f t="shared" si="22"/>
        <v>1505.4</v>
      </c>
      <c r="K201">
        <f t="shared" si="23"/>
        <v>423.09999999999997</v>
      </c>
      <c r="M201">
        <v>3.9</v>
      </c>
      <c r="N201">
        <v>0.4</v>
      </c>
      <c r="O201">
        <f t="shared" si="27"/>
        <v>3.5</v>
      </c>
      <c r="Q201">
        <v>169</v>
      </c>
      <c r="R201">
        <v>1</v>
      </c>
      <c r="S201">
        <f t="shared" si="28"/>
        <v>0.4</v>
      </c>
      <c r="T201">
        <f t="shared" si="29"/>
        <v>3.5</v>
      </c>
      <c r="U201" s="2">
        <f t="shared" si="24"/>
        <v>150.80000000000001</v>
      </c>
      <c r="W201">
        <v>299.39999999999998</v>
      </c>
      <c r="X201">
        <f t="shared" si="25"/>
        <v>83458.3</v>
      </c>
      <c r="Y201">
        <f t="shared" si="26"/>
        <v>19811.600000000002</v>
      </c>
      <c r="Z201">
        <v>9.990540092493454</v>
      </c>
    </row>
    <row r="202" spans="1:26" x14ac:dyDescent="0.35">
      <c r="A202">
        <v>5160</v>
      </c>
      <c r="B202">
        <v>23050</v>
      </c>
      <c r="C202" s="1">
        <v>43147</v>
      </c>
      <c r="F202" s="51"/>
      <c r="G202">
        <v>6</v>
      </c>
      <c r="H202">
        <v>2.8</v>
      </c>
      <c r="I202">
        <v>8.8000000000000007</v>
      </c>
      <c r="J202">
        <f t="shared" si="22"/>
        <v>1511.4</v>
      </c>
      <c r="K202">
        <f t="shared" si="23"/>
        <v>429.09999999999997</v>
      </c>
      <c r="M202">
        <v>7.5</v>
      </c>
      <c r="N202">
        <v>0.6</v>
      </c>
      <c r="O202">
        <f t="shared" si="27"/>
        <v>6.9</v>
      </c>
      <c r="Q202">
        <v>170</v>
      </c>
      <c r="R202">
        <v>1</v>
      </c>
      <c r="S202">
        <f t="shared" si="28"/>
        <v>0.6</v>
      </c>
      <c r="T202">
        <f t="shared" si="29"/>
        <v>6.9</v>
      </c>
      <c r="U202" s="2">
        <f t="shared" si="24"/>
        <v>150.80000000000001</v>
      </c>
      <c r="W202">
        <v>682</v>
      </c>
      <c r="X202">
        <f t="shared" si="25"/>
        <v>84140.3</v>
      </c>
      <c r="Y202">
        <f t="shared" si="26"/>
        <v>20493.600000000002</v>
      </c>
      <c r="Z202">
        <v>10.044108711313269</v>
      </c>
    </row>
    <row r="203" spans="1:26" x14ac:dyDescent="0.35">
      <c r="A203">
        <v>5160</v>
      </c>
      <c r="B203">
        <v>23050</v>
      </c>
      <c r="C203" s="1">
        <v>43148</v>
      </c>
      <c r="F203" s="51"/>
      <c r="G203">
        <v>4.5</v>
      </c>
      <c r="H203">
        <v>4.2</v>
      </c>
      <c r="I203">
        <v>6.4</v>
      </c>
      <c r="J203">
        <f t="shared" si="22"/>
        <v>1515.9</v>
      </c>
      <c r="K203">
        <f t="shared" si="23"/>
        <v>433.59999999999997</v>
      </c>
      <c r="M203">
        <v>1.5</v>
      </c>
      <c r="N203">
        <v>0.5</v>
      </c>
      <c r="O203">
        <f t="shared" si="27"/>
        <v>1</v>
      </c>
      <c r="Q203">
        <v>171</v>
      </c>
      <c r="R203">
        <v>1</v>
      </c>
      <c r="S203">
        <f t="shared" si="28"/>
        <v>0.5</v>
      </c>
      <c r="T203">
        <f t="shared" si="29"/>
        <v>1</v>
      </c>
      <c r="U203" s="2">
        <f t="shared" si="24"/>
        <v>150.80000000000001</v>
      </c>
      <c r="W203">
        <v>201.8</v>
      </c>
      <c r="X203">
        <f t="shared" si="25"/>
        <v>84342.1</v>
      </c>
      <c r="Y203">
        <f t="shared" si="26"/>
        <v>20695.400000000001</v>
      </c>
      <c r="Z203">
        <v>10.098046386266208</v>
      </c>
    </row>
    <row r="204" spans="1:26" x14ac:dyDescent="0.35">
      <c r="A204">
        <v>5160</v>
      </c>
      <c r="B204">
        <v>23050</v>
      </c>
      <c r="C204" s="1">
        <v>43149</v>
      </c>
      <c r="F204" s="51"/>
      <c r="G204">
        <v>3.6</v>
      </c>
      <c r="H204">
        <v>-0.5</v>
      </c>
      <c r="I204">
        <v>7.7</v>
      </c>
      <c r="J204">
        <f t="shared" si="22"/>
        <v>1519.5</v>
      </c>
      <c r="K204">
        <f t="shared" si="23"/>
        <v>437.2</v>
      </c>
      <c r="M204">
        <v>0</v>
      </c>
      <c r="N204">
        <v>0.5</v>
      </c>
      <c r="O204">
        <f t="shared" si="27"/>
        <v>-0.5</v>
      </c>
      <c r="Q204">
        <v>172</v>
      </c>
      <c r="R204">
        <v>1</v>
      </c>
      <c r="S204">
        <f t="shared" si="28"/>
        <v>0.5</v>
      </c>
      <c r="T204">
        <f t="shared" si="29"/>
        <v>-0.5</v>
      </c>
      <c r="U204" s="2">
        <f t="shared" si="24"/>
        <v>150.30000000000001</v>
      </c>
      <c r="W204">
        <v>418.2</v>
      </c>
      <c r="X204">
        <f t="shared" si="25"/>
        <v>84760.3</v>
      </c>
      <c r="Y204">
        <f t="shared" si="26"/>
        <v>21113.600000000002</v>
      </c>
      <c r="Z204">
        <v>10.152337336575524</v>
      </c>
    </row>
    <row r="205" spans="1:26" x14ac:dyDescent="0.35">
      <c r="A205">
        <v>5160</v>
      </c>
      <c r="B205">
        <v>23050</v>
      </c>
      <c r="C205" s="1">
        <v>43150</v>
      </c>
      <c r="F205" s="51"/>
      <c r="G205">
        <v>5.5</v>
      </c>
      <c r="H205">
        <v>2.2999999999999998</v>
      </c>
      <c r="I205">
        <v>8.5</v>
      </c>
      <c r="J205">
        <f t="shared" si="22"/>
        <v>1525</v>
      </c>
      <c r="K205">
        <f t="shared" si="23"/>
        <v>442.7</v>
      </c>
      <c r="M205">
        <v>2.5</v>
      </c>
      <c r="N205">
        <v>0.4</v>
      </c>
      <c r="O205">
        <f t="shared" si="27"/>
        <v>2.1</v>
      </c>
      <c r="Q205">
        <v>173</v>
      </c>
      <c r="R205">
        <v>1</v>
      </c>
      <c r="S205">
        <f t="shared" si="28"/>
        <v>0.4</v>
      </c>
      <c r="T205">
        <f t="shared" si="29"/>
        <v>2.1</v>
      </c>
      <c r="U205" s="2">
        <f t="shared" si="24"/>
        <v>150.80000000000001</v>
      </c>
      <c r="W205">
        <v>221.8</v>
      </c>
      <c r="X205">
        <f t="shared" si="25"/>
        <v>84982.1</v>
      </c>
      <c r="Y205">
        <f t="shared" si="26"/>
        <v>21335.4</v>
      </c>
      <c r="Z205">
        <v>10.206966180404756</v>
      </c>
    </row>
    <row r="206" spans="1:26" x14ac:dyDescent="0.35">
      <c r="A206">
        <v>5160</v>
      </c>
      <c r="B206">
        <v>23050</v>
      </c>
      <c r="C206" s="1">
        <v>43151</v>
      </c>
      <c r="F206" s="51"/>
      <c r="G206">
        <v>6.7</v>
      </c>
      <c r="H206">
        <v>6.3</v>
      </c>
      <c r="I206">
        <v>8.1999999999999993</v>
      </c>
      <c r="J206">
        <f t="shared" si="22"/>
        <v>1531.7</v>
      </c>
      <c r="K206">
        <f t="shared" si="23"/>
        <v>449.4</v>
      </c>
      <c r="M206">
        <v>6.9</v>
      </c>
      <c r="N206">
        <v>0.4</v>
      </c>
      <c r="O206">
        <f t="shared" si="27"/>
        <v>6.5</v>
      </c>
      <c r="Q206">
        <v>174</v>
      </c>
      <c r="R206">
        <v>1</v>
      </c>
      <c r="S206">
        <f t="shared" si="28"/>
        <v>0.4</v>
      </c>
      <c r="T206">
        <f t="shared" si="29"/>
        <v>6.5</v>
      </c>
      <c r="U206" s="2">
        <f t="shared" si="24"/>
        <v>150.80000000000001</v>
      </c>
      <c r="W206">
        <v>219.6</v>
      </c>
      <c r="X206">
        <f t="shared" si="25"/>
        <v>85201.700000000012</v>
      </c>
      <c r="Y206">
        <f t="shared" si="26"/>
        <v>21555</v>
      </c>
      <c r="Z206">
        <v>10.261917930164515</v>
      </c>
    </row>
    <row r="207" spans="1:26" x14ac:dyDescent="0.35">
      <c r="A207">
        <v>5160</v>
      </c>
      <c r="B207">
        <v>23050</v>
      </c>
      <c r="C207" s="1">
        <v>43152</v>
      </c>
      <c r="F207" s="51"/>
      <c r="G207">
        <v>2.2999999999999998</v>
      </c>
      <c r="H207">
        <v>1</v>
      </c>
      <c r="I207">
        <v>4</v>
      </c>
      <c r="J207">
        <f t="shared" si="22"/>
        <v>1534</v>
      </c>
      <c r="K207">
        <f t="shared" si="23"/>
        <v>451.7</v>
      </c>
      <c r="M207">
        <v>0.1</v>
      </c>
      <c r="N207">
        <v>1</v>
      </c>
      <c r="O207">
        <f t="shared" si="27"/>
        <v>-0.9</v>
      </c>
      <c r="Q207">
        <v>175</v>
      </c>
      <c r="R207">
        <v>1</v>
      </c>
      <c r="S207">
        <f t="shared" si="28"/>
        <v>1</v>
      </c>
      <c r="T207">
        <f t="shared" si="29"/>
        <v>-0.9</v>
      </c>
      <c r="U207" s="2">
        <f t="shared" si="24"/>
        <v>149.9</v>
      </c>
      <c r="W207">
        <v>829.4</v>
      </c>
      <c r="X207">
        <f t="shared" si="25"/>
        <v>86031.1</v>
      </c>
      <c r="Y207">
        <f t="shared" si="26"/>
        <v>22384.400000000001</v>
      </c>
      <c r="Z207">
        <v>10.317177986929005</v>
      </c>
    </row>
    <row r="208" spans="1:26" x14ac:dyDescent="0.35">
      <c r="A208">
        <v>5160</v>
      </c>
      <c r="B208">
        <v>23050</v>
      </c>
      <c r="C208" s="1">
        <v>43153</v>
      </c>
      <c r="F208" s="51"/>
      <c r="G208">
        <v>0.8</v>
      </c>
      <c r="H208">
        <v>-1.3</v>
      </c>
      <c r="I208">
        <v>2.5</v>
      </c>
      <c r="J208">
        <f t="shared" si="22"/>
        <v>1534.8</v>
      </c>
      <c r="K208">
        <f t="shared" si="23"/>
        <v>452.5</v>
      </c>
      <c r="M208">
        <v>0</v>
      </c>
      <c r="N208">
        <v>1.1000000000000001</v>
      </c>
      <c r="O208">
        <f t="shared" si="27"/>
        <v>-1.1000000000000001</v>
      </c>
      <c r="Q208">
        <v>176</v>
      </c>
      <c r="R208">
        <v>1</v>
      </c>
      <c r="S208">
        <f t="shared" si="28"/>
        <v>1.1000000000000001</v>
      </c>
      <c r="T208">
        <f t="shared" si="29"/>
        <v>-1.1000000000000001</v>
      </c>
      <c r="U208" s="2">
        <f t="shared" si="24"/>
        <v>148.80000000000001</v>
      </c>
      <c r="W208">
        <v>1119.8</v>
      </c>
      <c r="X208">
        <f t="shared" si="25"/>
        <v>87150.900000000009</v>
      </c>
      <c r="Y208">
        <f t="shared" si="26"/>
        <v>23504.2</v>
      </c>
      <c r="Z208">
        <v>10.372732134019857</v>
      </c>
    </row>
    <row r="209" spans="1:29" x14ac:dyDescent="0.35">
      <c r="A209">
        <v>5160</v>
      </c>
      <c r="B209">
        <v>23050</v>
      </c>
      <c r="C209" s="1">
        <v>43154</v>
      </c>
      <c r="F209" s="51"/>
      <c r="G209">
        <v>0.6</v>
      </c>
      <c r="H209">
        <v>-1.7</v>
      </c>
      <c r="I209">
        <v>2.4</v>
      </c>
      <c r="J209">
        <f t="shared" si="22"/>
        <v>1535.3999999999999</v>
      </c>
      <c r="K209">
        <f t="shared" si="23"/>
        <v>453.1</v>
      </c>
      <c r="M209">
        <v>0</v>
      </c>
      <c r="N209">
        <v>1.3</v>
      </c>
      <c r="O209">
        <f t="shared" si="27"/>
        <v>-1.3</v>
      </c>
      <c r="Q209">
        <v>177</v>
      </c>
      <c r="R209">
        <v>1</v>
      </c>
      <c r="S209">
        <f t="shared" si="28"/>
        <v>1.3</v>
      </c>
      <c r="T209">
        <f t="shared" si="29"/>
        <v>-1.3</v>
      </c>
      <c r="U209" s="2">
        <f t="shared" si="24"/>
        <v>147.5</v>
      </c>
      <c r="W209">
        <v>1061.3</v>
      </c>
      <c r="X209">
        <f t="shared" si="25"/>
        <v>88212.200000000012</v>
      </c>
      <c r="Y209">
        <f t="shared" si="26"/>
        <v>24565.5</v>
      </c>
      <c r="Z209">
        <v>10.428566529812825</v>
      </c>
    </row>
    <row r="210" spans="1:29" x14ac:dyDescent="0.35">
      <c r="A210">
        <v>5160</v>
      </c>
      <c r="B210">
        <v>23050</v>
      </c>
      <c r="C210" s="1">
        <v>43155</v>
      </c>
      <c r="F210" s="51"/>
      <c r="G210">
        <v>0.9</v>
      </c>
      <c r="H210">
        <v>-1.5</v>
      </c>
      <c r="I210">
        <v>3</v>
      </c>
      <c r="J210">
        <f t="shared" si="22"/>
        <v>1536.3</v>
      </c>
      <c r="K210">
        <f t="shared" si="23"/>
        <v>454</v>
      </c>
      <c r="M210" s="25">
        <v>0</v>
      </c>
      <c r="N210">
        <v>1.3</v>
      </c>
      <c r="O210">
        <f t="shared" si="27"/>
        <v>-1.3</v>
      </c>
      <c r="Q210">
        <v>178</v>
      </c>
      <c r="R210">
        <v>1</v>
      </c>
      <c r="S210">
        <f t="shared" si="28"/>
        <v>1.3</v>
      </c>
      <c r="T210">
        <f t="shared" si="29"/>
        <v>-1.3</v>
      </c>
      <c r="U210" s="2">
        <f t="shared" si="24"/>
        <v>146.19999999999999</v>
      </c>
      <c r="W210">
        <v>1102.3</v>
      </c>
      <c r="X210">
        <f t="shared" si="25"/>
        <v>89314.500000000015</v>
      </c>
      <c r="Y210">
        <f t="shared" si="26"/>
        <v>25667.8</v>
      </c>
      <c r="Z210">
        <v>10.484667699820667</v>
      </c>
      <c r="AB210" s="3" t="s">
        <v>61</v>
      </c>
    </row>
    <row r="211" spans="1:29" x14ac:dyDescent="0.35">
      <c r="A211">
        <v>5160</v>
      </c>
      <c r="B211">
        <v>23050</v>
      </c>
      <c r="C211" s="1">
        <v>43156</v>
      </c>
      <c r="F211" s="51"/>
      <c r="G211">
        <v>-0.2</v>
      </c>
      <c r="H211">
        <v>-2.1</v>
      </c>
      <c r="I211">
        <v>1.6</v>
      </c>
      <c r="J211">
        <v>1536.3</v>
      </c>
      <c r="K211">
        <v>454</v>
      </c>
      <c r="M211" s="25">
        <v>0</v>
      </c>
      <c r="N211">
        <v>1.9</v>
      </c>
      <c r="O211">
        <f t="shared" si="27"/>
        <v>-1.9</v>
      </c>
      <c r="Q211">
        <v>179</v>
      </c>
      <c r="R211">
        <v>1</v>
      </c>
      <c r="S211">
        <f t="shared" si="28"/>
        <v>1.9</v>
      </c>
      <c r="T211">
        <f t="shared" si="29"/>
        <v>-1.9</v>
      </c>
      <c r="U211" s="2">
        <f t="shared" si="24"/>
        <v>144.29999999999998</v>
      </c>
      <c r="W211">
        <v>1393.6</v>
      </c>
      <c r="X211">
        <f t="shared" si="25"/>
        <v>90708.10000000002</v>
      </c>
      <c r="Y211">
        <f t="shared" si="26"/>
        <v>27061.399999999998</v>
      </c>
      <c r="Z211">
        <v>10.541022528103289</v>
      </c>
      <c r="AB211" s="2">
        <f>AVERAGE(U217:U230)</f>
        <v>150.09317857142858</v>
      </c>
    </row>
    <row r="212" spans="1:29" x14ac:dyDescent="0.35">
      <c r="A212">
        <v>5160</v>
      </c>
      <c r="B212">
        <v>23050</v>
      </c>
      <c r="C212" s="1">
        <v>43157</v>
      </c>
      <c r="F212" s="51"/>
      <c r="G212">
        <v>-2.6</v>
      </c>
      <c r="H212">
        <v>-4.3</v>
      </c>
      <c r="I212">
        <v>-0.7</v>
      </c>
      <c r="J212">
        <v>1536.3</v>
      </c>
      <c r="K212">
        <v>454</v>
      </c>
      <c r="M212" s="25">
        <v>0</v>
      </c>
      <c r="N212">
        <v>1.9</v>
      </c>
      <c r="O212">
        <f t="shared" si="27"/>
        <v>-1.9</v>
      </c>
      <c r="Q212">
        <v>180</v>
      </c>
      <c r="R212">
        <v>1</v>
      </c>
      <c r="S212">
        <f t="shared" si="28"/>
        <v>1.9</v>
      </c>
      <c r="T212">
        <f t="shared" si="29"/>
        <v>-1.9</v>
      </c>
      <c r="U212" s="2">
        <f t="shared" si="24"/>
        <v>142.39999999999998</v>
      </c>
      <c r="W212">
        <v>1457.6</v>
      </c>
      <c r="X212">
        <f t="shared" si="25"/>
        <v>92165.700000000026</v>
      </c>
      <c r="Y212">
        <f t="shared" si="26"/>
        <v>28518.999999999996</v>
      </c>
      <c r="Z212">
        <v>10.597618248053815</v>
      </c>
      <c r="AB212" s="3" t="s">
        <v>62</v>
      </c>
    </row>
    <row r="213" spans="1:29" x14ac:dyDescent="0.35">
      <c r="A213">
        <v>5160</v>
      </c>
      <c r="B213">
        <v>23050</v>
      </c>
      <c r="C213" s="1">
        <v>43158</v>
      </c>
      <c r="F213" s="51"/>
      <c r="G213">
        <v>-4.7</v>
      </c>
      <c r="H213">
        <v>-6.6</v>
      </c>
      <c r="I213">
        <v>-2.5</v>
      </c>
      <c r="J213">
        <v>1536.3</v>
      </c>
      <c r="K213">
        <v>454</v>
      </c>
      <c r="M213" s="25">
        <v>0</v>
      </c>
      <c r="N213">
        <v>1.1000000000000001</v>
      </c>
      <c r="O213">
        <f t="shared" si="27"/>
        <v>-1.1000000000000001</v>
      </c>
      <c r="Q213">
        <v>181</v>
      </c>
      <c r="R213">
        <v>1</v>
      </c>
      <c r="S213">
        <f t="shared" si="28"/>
        <v>1.1000000000000001</v>
      </c>
      <c r="T213">
        <f t="shared" si="29"/>
        <v>-1.1000000000000001</v>
      </c>
      <c r="U213" s="2">
        <f t="shared" si="24"/>
        <v>141.29999999999998</v>
      </c>
      <c r="W213">
        <v>1453.5</v>
      </c>
      <c r="X213">
        <f t="shared" si="25"/>
        <v>93619.200000000026</v>
      </c>
      <c r="Y213">
        <f t="shared" si="26"/>
        <v>29972.499999999996</v>
      </c>
      <c r="Z213">
        <v>10.654442432607084</v>
      </c>
      <c r="AB213">
        <v>4</v>
      </c>
    </row>
    <row r="214" spans="1:29" x14ac:dyDescent="0.35">
      <c r="A214">
        <v>5160</v>
      </c>
      <c r="B214">
        <v>23050</v>
      </c>
      <c r="C214" s="1">
        <v>43159</v>
      </c>
      <c r="F214" s="51"/>
      <c r="G214">
        <v>-4.3</v>
      </c>
      <c r="H214">
        <v>-9.1999999999999993</v>
      </c>
      <c r="I214">
        <v>-1.5</v>
      </c>
      <c r="J214">
        <v>1536.3</v>
      </c>
      <c r="K214">
        <v>454</v>
      </c>
      <c r="M214" s="25">
        <v>0.4</v>
      </c>
      <c r="N214">
        <v>0.9</v>
      </c>
      <c r="O214">
        <f t="shared" si="27"/>
        <v>-0.5</v>
      </c>
      <c r="Q214">
        <v>182</v>
      </c>
      <c r="R214">
        <v>1</v>
      </c>
      <c r="S214">
        <f t="shared" si="28"/>
        <v>0.9</v>
      </c>
      <c r="T214">
        <f t="shared" si="29"/>
        <v>-0.5</v>
      </c>
      <c r="U214" s="2">
        <f t="shared" si="24"/>
        <v>140.79999999999998</v>
      </c>
      <c r="W214">
        <v>703</v>
      </c>
      <c r="X214">
        <f t="shared" si="25"/>
        <v>94322.200000000026</v>
      </c>
      <c r="Y214">
        <f t="shared" si="26"/>
        <v>30675.499999999996</v>
      </c>
      <c r="Z214">
        <v>10.711482983914562</v>
      </c>
      <c r="AB214" s="3" t="s">
        <v>63</v>
      </c>
    </row>
    <row r="215" spans="1:29" x14ac:dyDescent="0.35">
      <c r="A215">
        <v>5160</v>
      </c>
      <c r="B215">
        <v>23050</v>
      </c>
      <c r="C215" s="1">
        <v>43160</v>
      </c>
      <c r="F215" s="51"/>
      <c r="G215">
        <v>1</v>
      </c>
      <c r="H215">
        <v>-2.7</v>
      </c>
      <c r="I215">
        <v>5.4</v>
      </c>
      <c r="J215">
        <f t="shared" si="22"/>
        <v>1537.3</v>
      </c>
      <c r="K215">
        <f t="shared" si="23"/>
        <v>455</v>
      </c>
      <c r="M215" s="25">
        <v>5.3</v>
      </c>
      <c r="N215">
        <v>0.8</v>
      </c>
      <c r="O215">
        <f t="shared" si="27"/>
        <v>4.5</v>
      </c>
      <c r="Q215">
        <v>183</v>
      </c>
      <c r="R215">
        <v>1</v>
      </c>
      <c r="S215">
        <f t="shared" si="28"/>
        <v>0.8</v>
      </c>
      <c r="T215">
        <f t="shared" si="29"/>
        <v>4.5</v>
      </c>
      <c r="U215" s="2">
        <f t="shared" si="24"/>
        <v>145.29999999999998</v>
      </c>
      <c r="W215">
        <v>580.1</v>
      </c>
      <c r="X215">
        <f t="shared" si="25"/>
        <v>94902.300000000032</v>
      </c>
      <c r="Y215">
        <f t="shared" si="26"/>
        <v>31255.599999999995</v>
      </c>
      <c r="Z215">
        <v>10.768728122527447</v>
      </c>
      <c r="AB215">
        <v>1</v>
      </c>
    </row>
    <row r="216" spans="1:29" s="6" customFormat="1" ht="15" thickBot="1" x14ac:dyDescent="0.4">
      <c r="A216" s="6">
        <v>5160</v>
      </c>
      <c r="B216" s="6">
        <v>23050</v>
      </c>
      <c r="C216" s="7">
        <v>43161</v>
      </c>
      <c r="F216" s="52"/>
      <c r="G216" s="6">
        <v>4.8</v>
      </c>
      <c r="H216" s="6">
        <v>2.8</v>
      </c>
      <c r="I216" s="6">
        <v>8.1999999999999993</v>
      </c>
      <c r="J216" s="6">
        <f t="shared" si="22"/>
        <v>1542.1</v>
      </c>
      <c r="K216" s="6">
        <f t="shared" si="23"/>
        <v>459.8</v>
      </c>
      <c r="M216" s="31">
        <v>1.9</v>
      </c>
      <c r="N216" s="6">
        <v>0.9</v>
      </c>
      <c r="O216" s="6">
        <f t="shared" si="27"/>
        <v>0.99999999999999989</v>
      </c>
      <c r="Q216" s="8">
        <v>184</v>
      </c>
      <c r="R216" s="8">
        <v>1</v>
      </c>
      <c r="S216" s="6">
        <f t="shared" si="28"/>
        <v>0.9</v>
      </c>
      <c r="T216" s="6">
        <f t="shared" si="29"/>
        <v>0.99999999999999989</v>
      </c>
      <c r="U216" s="9">
        <f t="shared" si="24"/>
        <v>146.29999999999998</v>
      </c>
      <c r="W216" s="6">
        <v>638.6</v>
      </c>
      <c r="X216" s="6">
        <f t="shared" si="25"/>
        <v>95540.900000000038</v>
      </c>
      <c r="Y216" s="6">
        <f t="shared" si="26"/>
        <v>31894.199999999993</v>
      </c>
      <c r="Z216" s="6">
        <v>10.826166376127393</v>
      </c>
      <c r="AB216" s="6" t="s">
        <v>64</v>
      </c>
    </row>
    <row r="217" spans="1:29" x14ac:dyDescent="0.35">
      <c r="A217">
        <v>5160</v>
      </c>
      <c r="B217">
        <v>23050</v>
      </c>
      <c r="C217" s="1">
        <v>43162</v>
      </c>
      <c r="F217" s="47" t="s">
        <v>53</v>
      </c>
      <c r="G217">
        <v>6.2</v>
      </c>
      <c r="H217">
        <v>1.4</v>
      </c>
      <c r="I217">
        <v>12.6</v>
      </c>
      <c r="J217">
        <f t="shared" si="22"/>
        <v>1548.3</v>
      </c>
      <c r="K217">
        <f>G217</f>
        <v>6.2</v>
      </c>
      <c r="L217" s="15" t="s">
        <v>36</v>
      </c>
      <c r="M217" s="25">
        <v>9.1999999999999993</v>
      </c>
      <c r="N217">
        <v>1.1000000000000001</v>
      </c>
      <c r="O217">
        <f t="shared" si="27"/>
        <v>8.1</v>
      </c>
      <c r="Q217">
        <v>185</v>
      </c>
      <c r="R217">
        <f>1+((Q217-184)/30)*(1.15-1)</f>
        <v>1.0049999999999999</v>
      </c>
      <c r="S217">
        <f t="shared" si="28"/>
        <v>1.1054999999999999</v>
      </c>
      <c r="T217">
        <f t="shared" si="29"/>
        <v>8.0945</v>
      </c>
      <c r="U217" s="26">
        <f t="shared" si="24"/>
        <v>150.80000000000001</v>
      </c>
      <c r="V217" s="16" t="s">
        <v>43</v>
      </c>
      <c r="W217">
        <v>636.1</v>
      </c>
      <c r="X217">
        <f t="shared" si="25"/>
        <v>96177.000000000044</v>
      </c>
      <c r="Y217">
        <f>W217</f>
        <v>636.1</v>
      </c>
      <c r="Z217">
        <v>10.883786567842053</v>
      </c>
      <c r="AA217" s="16" t="s">
        <v>48</v>
      </c>
      <c r="AB217">
        <v>5</v>
      </c>
    </row>
    <row r="218" spans="1:29" x14ac:dyDescent="0.35">
      <c r="A218">
        <v>5160</v>
      </c>
      <c r="B218">
        <v>23050</v>
      </c>
      <c r="C218" s="1">
        <v>43163</v>
      </c>
      <c r="F218" s="48"/>
      <c r="G218">
        <v>5.7</v>
      </c>
      <c r="H218">
        <v>3.3</v>
      </c>
      <c r="I218">
        <v>7.2</v>
      </c>
      <c r="J218">
        <f t="shared" si="22"/>
        <v>1554</v>
      </c>
      <c r="K218">
        <f t="shared" si="23"/>
        <v>11.9</v>
      </c>
      <c r="L218" s="11">
        <v>218.9</v>
      </c>
      <c r="M218" s="25">
        <v>7.8</v>
      </c>
      <c r="N218">
        <v>0.3</v>
      </c>
      <c r="O218">
        <f t="shared" si="27"/>
        <v>7.5</v>
      </c>
      <c r="Q218">
        <v>186</v>
      </c>
      <c r="R218">
        <f t="shared" ref="R218:R246" si="30">1+((Q218-184)/30)*(1.15-1)</f>
        <v>1.01</v>
      </c>
      <c r="S218">
        <f t="shared" si="28"/>
        <v>0.30299999999999999</v>
      </c>
      <c r="T218">
        <f t="shared" si="29"/>
        <v>7.4969999999999999</v>
      </c>
      <c r="U218" s="26">
        <f t="shared" si="24"/>
        <v>150.80000000000001</v>
      </c>
      <c r="V218">
        <v>0</v>
      </c>
      <c r="W218">
        <v>281.39999999999998</v>
      </c>
      <c r="X218">
        <f t="shared" si="25"/>
        <v>96458.400000000038</v>
      </c>
      <c r="Y218">
        <f t="shared" si="26"/>
        <v>917.5</v>
      </c>
      <c r="Z218">
        <v>10.941577804180367</v>
      </c>
      <c r="AA218">
        <v>20925.599999999999</v>
      </c>
      <c r="AB218" s="3" t="s">
        <v>65</v>
      </c>
    </row>
    <row r="219" spans="1:29" x14ac:dyDescent="0.35">
      <c r="A219">
        <v>5160</v>
      </c>
      <c r="B219">
        <v>23050</v>
      </c>
      <c r="C219" s="1">
        <v>43164</v>
      </c>
      <c r="F219" s="48"/>
      <c r="G219">
        <v>6.9</v>
      </c>
      <c r="H219">
        <v>2.6</v>
      </c>
      <c r="I219">
        <v>10.8</v>
      </c>
      <c r="J219">
        <f t="shared" si="22"/>
        <v>1560.9</v>
      </c>
      <c r="K219">
        <f t="shared" si="23"/>
        <v>18.8</v>
      </c>
      <c r="L219" s="15" t="s">
        <v>37</v>
      </c>
      <c r="M219" s="25">
        <v>0.2</v>
      </c>
      <c r="N219">
        <v>0.6</v>
      </c>
      <c r="O219">
        <f t="shared" si="27"/>
        <v>-0.39999999999999997</v>
      </c>
      <c r="Q219">
        <v>187</v>
      </c>
      <c r="R219">
        <f t="shared" si="30"/>
        <v>1.0149999999999999</v>
      </c>
      <c r="S219">
        <f t="shared" si="28"/>
        <v>0.60899999999999987</v>
      </c>
      <c r="T219">
        <f t="shared" si="29"/>
        <v>-0.40899999999999986</v>
      </c>
      <c r="U219" s="26">
        <f t="shared" si="24"/>
        <v>150.39100000000002</v>
      </c>
      <c r="V219" s="16" t="s">
        <v>44</v>
      </c>
      <c r="W219">
        <v>530.9</v>
      </c>
      <c r="X219">
        <f t="shared" si="25"/>
        <v>96989.300000000032</v>
      </c>
      <c r="Y219">
        <f t="shared" si="26"/>
        <v>1448.4</v>
      </c>
      <c r="Z219">
        <v>10.999529462620504</v>
      </c>
      <c r="AA219" s="16" t="s">
        <v>49</v>
      </c>
      <c r="AB219">
        <f>SUM(M221:M230)</f>
        <v>31.7</v>
      </c>
    </row>
    <row r="220" spans="1:29" s="27" customFormat="1" x14ac:dyDescent="0.35">
      <c r="A220" s="27">
        <v>5160</v>
      </c>
      <c r="B220" s="27">
        <v>23050</v>
      </c>
      <c r="C220" s="28">
        <v>43165</v>
      </c>
      <c r="D220" s="27" t="s">
        <v>59</v>
      </c>
      <c r="F220" s="48"/>
      <c r="G220" s="27">
        <v>6.5</v>
      </c>
      <c r="H220" s="27">
        <v>3.2</v>
      </c>
      <c r="I220" s="27">
        <v>10.3</v>
      </c>
      <c r="J220" s="27">
        <f t="shared" si="22"/>
        <v>1567.4</v>
      </c>
      <c r="K220" s="27">
        <f t="shared" si="23"/>
        <v>25.3</v>
      </c>
      <c r="L220" s="29">
        <f>AVERAGE(G217:G246)</f>
        <v>7.2966666666666642</v>
      </c>
      <c r="M220" s="27">
        <v>3.6</v>
      </c>
      <c r="N220" s="27">
        <v>0.8</v>
      </c>
      <c r="O220" s="27">
        <f t="shared" si="27"/>
        <v>2.8</v>
      </c>
      <c r="Q220" s="27">
        <v>188</v>
      </c>
      <c r="R220" s="27">
        <f t="shared" si="30"/>
        <v>1.02</v>
      </c>
      <c r="S220" s="27">
        <f t="shared" si="28"/>
        <v>0.81600000000000006</v>
      </c>
      <c r="T220" s="27">
        <f t="shared" si="29"/>
        <v>2.7839999999999998</v>
      </c>
      <c r="U220" s="30">
        <f t="shared" si="24"/>
        <v>150.80000000000001</v>
      </c>
      <c r="V220" s="27">
        <v>0</v>
      </c>
      <c r="W220" s="27">
        <v>421.4</v>
      </c>
      <c r="X220" s="27">
        <f t="shared" si="25"/>
        <v>97410.700000000026</v>
      </c>
      <c r="Y220" s="27">
        <f t="shared" si="26"/>
        <v>1869.8000000000002</v>
      </c>
      <c r="Z220" s="27">
        <v>11.057631178881126</v>
      </c>
      <c r="AA220" s="27">
        <f>(AA218/100)/L218</f>
        <v>0.95594335312928258</v>
      </c>
    </row>
    <row r="221" spans="1:29" x14ac:dyDescent="0.35">
      <c r="A221">
        <v>5160</v>
      </c>
      <c r="B221">
        <v>23050</v>
      </c>
      <c r="C221" s="1">
        <v>43166</v>
      </c>
      <c r="F221" s="48"/>
      <c r="G221">
        <v>6.5</v>
      </c>
      <c r="H221">
        <v>4.9000000000000004</v>
      </c>
      <c r="I221">
        <v>9.1</v>
      </c>
      <c r="J221">
        <f t="shared" si="22"/>
        <v>1573.9</v>
      </c>
      <c r="K221">
        <f t="shared" si="23"/>
        <v>31.8</v>
      </c>
      <c r="L221" s="15" t="s">
        <v>38</v>
      </c>
      <c r="M221" s="25">
        <v>0.2</v>
      </c>
      <c r="N221">
        <v>1.1000000000000001</v>
      </c>
      <c r="O221">
        <f t="shared" si="27"/>
        <v>-0.90000000000000013</v>
      </c>
      <c r="Q221">
        <v>189</v>
      </c>
      <c r="R221">
        <f t="shared" si="30"/>
        <v>1.0249999999999999</v>
      </c>
      <c r="S221">
        <f t="shared" si="28"/>
        <v>1.1274999999999999</v>
      </c>
      <c r="T221">
        <f t="shared" si="29"/>
        <v>-0.92749999999999999</v>
      </c>
      <c r="U221" s="26">
        <f t="shared" si="24"/>
        <v>149.8725</v>
      </c>
      <c r="V221" s="16" t="s">
        <v>45</v>
      </c>
      <c r="W221">
        <v>615.9</v>
      </c>
      <c r="X221">
        <f t="shared" si="25"/>
        <v>98026.60000000002</v>
      </c>
      <c r="Y221">
        <f t="shared" si="26"/>
        <v>2485.7000000000003</v>
      </c>
      <c r="Z221">
        <v>11.115872833904769</v>
      </c>
      <c r="AA221" s="16" t="s">
        <v>50</v>
      </c>
    </row>
    <row r="222" spans="1:29" x14ac:dyDescent="0.35">
      <c r="A222">
        <v>5160</v>
      </c>
      <c r="B222">
        <v>23050</v>
      </c>
      <c r="C222" s="1">
        <v>43167</v>
      </c>
      <c r="F222" s="48"/>
      <c r="G222">
        <v>8.1</v>
      </c>
      <c r="H222">
        <v>4.3</v>
      </c>
      <c r="I222">
        <v>12.1</v>
      </c>
      <c r="J222">
        <f t="shared" si="22"/>
        <v>1582</v>
      </c>
      <c r="K222">
        <f t="shared" si="23"/>
        <v>39.9</v>
      </c>
      <c r="L222" s="11">
        <f>MIN(H217:H246)</f>
        <v>-2.4</v>
      </c>
      <c r="M222" s="25">
        <v>0.1</v>
      </c>
      <c r="N222">
        <v>1.6</v>
      </c>
      <c r="O222">
        <f t="shared" si="27"/>
        <v>-1.5</v>
      </c>
      <c r="Q222">
        <v>190</v>
      </c>
      <c r="R222">
        <f t="shared" si="30"/>
        <v>1.03</v>
      </c>
      <c r="S222">
        <f t="shared" si="28"/>
        <v>1.6480000000000001</v>
      </c>
      <c r="T222">
        <f t="shared" si="29"/>
        <v>-1.548</v>
      </c>
      <c r="U222" s="26">
        <f t="shared" si="24"/>
        <v>148.3245</v>
      </c>
      <c r="V222" s="2">
        <f>MIN(U217:U246)</f>
        <v>144.06950000000006</v>
      </c>
      <c r="W222">
        <v>918.2</v>
      </c>
      <c r="X222">
        <f t="shared" si="25"/>
        <v>98944.800000000017</v>
      </c>
      <c r="Y222">
        <f t="shared" si="26"/>
        <v>3403.9000000000005</v>
      </c>
      <c r="Z222">
        <v>11.174244540580226</v>
      </c>
      <c r="AA222">
        <v>22</v>
      </c>
    </row>
    <row r="223" spans="1:29" x14ac:dyDescent="0.35">
      <c r="A223">
        <v>5160</v>
      </c>
      <c r="B223">
        <v>23050</v>
      </c>
      <c r="C223" s="1">
        <v>43168</v>
      </c>
      <c r="F223" s="48"/>
      <c r="G223">
        <v>12.3</v>
      </c>
      <c r="H223">
        <v>7.7</v>
      </c>
      <c r="I223">
        <v>15.1</v>
      </c>
      <c r="J223">
        <f t="shared" si="22"/>
        <v>1594.3</v>
      </c>
      <c r="K223">
        <f t="shared" si="23"/>
        <v>52.2</v>
      </c>
      <c r="L223" s="15" t="s">
        <v>39</v>
      </c>
      <c r="M223" s="25">
        <v>2.9</v>
      </c>
      <c r="N223">
        <v>1.8</v>
      </c>
      <c r="O223">
        <f t="shared" si="27"/>
        <v>1.0999999999999999</v>
      </c>
      <c r="Q223">
        <v>191</v>
      </c>
      <c r="R223">
        <f t="shared" si="30"/>
        <v>1.0349999999999999</v>
      </c>
      <c r="S223">
        <f t="shared" si="28"/>
        <v>1.863</v>
      </c>
      <c r="T223">
        <f t="shared" si="29"/>
        <v>1.0369999999999999</v>
      </c>
      <c r="U223" s="26">
        <f t="shared" si="24"/>
        <v>149.36150000000001</v>
      </c>
      <c r="V223" s="16" t="s">
        <v>46</v>
      </c>
      <c r="W223">
        <v>781.6</v>
      </c>
      <c r="X223">
        <f t="shared" si="25"/>
        <v>99726.400000000023</v>
      </c>
      <c r="Y223">
        <f t="shared" si="26"/>
        <v>4185.5000000000009</v>
      </c>
      <c r="Z223">
        <v>11.232736630228848</v>
      </c>
      <c r="AC223" s="3" t="s">
        <v>61</v>
      </c>
    </row>
    <row r="224" spans="1:29" x14ac:dyDescent="0.35">
      <c r="A224">
        <v>5160</v>
      </c>
      <c r="B224">
        <v>23050</v>
      </c>
      <c r="C224" s="1">
        <v>43169</v>
      </c>
      <c r="F224" s="48"/>
      <c r="G224">
        <v>14</v>
      </c>
      <c r="H224">
        <v>10.8</v>
      </c>
      <c r="I224">
        <v>16.899999999999999</v>
      </c>
      <c r="J224">
        <f t="shared" si="22"/>
        <v>1608.3</v>
      </c>
      <c r="K224">
        <f t="shared" si="23"/>
        <v>66.2</v>
      </c>
      <c r="L224" s="11">
        <f>MAX(I217:I246)</f>
        <v>16.899999999999999</v>
      </c>
      <c r="M224" s="25">
        <v>13.1</v>
      </c>
      <c r="N224">
        <v>1.4</v>
      </c>
      <c r="O224">
        <f t="shared" si="27"/>
        <v>11.7</v>
      </c>
      <c r="Q224">
        <v>192</v>
      </c>
      <c r="R224">
        <f t="shared" si="30"/>
        <v>1.04</v>
      </c>
      <c r="S224">
        <f t="shared" si="28"/>
        <v>1.456</v>
      </c>
      <c r="T224">
        <f t="shared" si="29"/>
        <v>11.644</v>
      </c>
      <c r="U224" s="26">
        <f t="shared" si="24"/>
        <v>150.80000000000001</v>
      </c>
      <c r="V224" s="2">
        <f>MAX(U217:U246)</f>
        <v>150.80000000000001</v>
      </c>
      <c r="W224">
        <v>509.4</v>
      </c>
      <c r="X224">
        <f t="shared" si="25"/>
        <v>100235.80000000002</v>
      </c>
      <c r="Y224">
        <f t="shared" si="26"/>
        <v>4694.9000000000005</v>
      </c>
      <c r="Z224">
        <v>11.291339638878142</v>
      </c>
      <c r="AC224" s="2">
        <f>(AB211*(82/150))+(AB229*(68/150))</f>
        <v>149.1444166666667</v>
      </c>
    </row>
    <row r="225" spans="1:29" x14ac:dyDescent="0.35">
      <c r="A225">
        <v>5160</v>
      </c>
      <c r="B225">
        <v>23050</v>
      </c>
      <c r="C225" s="1">
        <v>43170</v>
      </c>
      <c r="F225" s="48"/>
      <c r="G225">
        <v>12.5</v>
      </c>
      <c r="H225">
        <v>9.9</v>
      </c>
      <c r="I225">
        <v>16.3</v>
      </c>
      <c r="J225">
        <f t="shared" si="22"/>
        <v>1620.8</v>
      </c>
      <c r="K225">
        <f t="shared" si="23"/>
        <v>78.7</v>
      </c>
      <c r="L225" s="15" t="s">
        <v>40</v>
      </c>
      <c r="M225" s="25">
        <v>0.2</v>
      </c>
      <c r="N225">
        <v>2.2999999999999998</v>
      </c>
      <c r="O225">
        <f t="shared" si="27"/>
        <v>-2.0999999999999996</v>
      </c>
      <c r="Q225">
        <v>193</v>
      </c>
      <c r="R225">
        <f t="shared" si="30"/>
        <v>1.0449999999999999</v>
      </c>
      <c r="S225">
        <f t="shared" si="28"/>
        <v>2.4034999999999997</v>
      </c>
      <c r="T225">
        <f t="shared" si="29"/>
        <v>-2.2034999999999996</v>
      </c>
      <c r="U225" s="26">
        <f t="shared" si="24"/>
        <v>148.59650000000002</v>
      </c>
      <c r="V225" s="16" t="s">
        <v>47</v>
      </c>
      <c r="W225">
        <v>647.4</v>
      </c>
      <c r="X225">
        <f t="shared" si="25"/>
        <v>100883.20000000001</v>
      </c>
      <c r="Y225">
        <f t="shared" si="26"/>
        <v>5342.3</v>
      </c>
      <c r="Z225">
        <v>11.350044293344279</v>
      </c>
      <c r="AC225" s="3" t="s">
        <v>62</v>
      </c>
    </row>
    <row r="226" spans="1:29" x14ac:dyDescent="0.35">
      <c r="A226">
        <v>5160</v>
      </c>
      <c r="B226">
        <v>23050</v>
      </c>
      <c r="C226" s="1">
        <v>43171</v>
      </c>
      <c r="F226" s="48"/>
      <c r="G226">
        <v>10.3</v>
      </c>
      <c r="H226">
        <v>9.5</v>
      </c>
      <c r="I226">
        <v>12.9</v>
      </c>
      <c r="J226">
        <f t="shared" si="22"/>
        <v>1631.1</v>
      </c>
      <c r="K226">
        <f t="shared" si="23"/>
        <v>89</v>
      </c>
      <c r="L226" s="11">
        <v>0</v>
      </c>
      <c r="M226" s="25">
        <v>4.4000000000000004</v>
      </c>
      <c r="N226">
        <v>2.2999999999999998</v>
      </c>
      <c r="O226">
        <f t="shared" si="27"/>
        <v>2.1000000000000005</v>
      </c>
      <c r="Q226">
        <v>194</v>
      </c>
      <c r="R226">
        <f t="shared" si="30"/>
        <v>1.05</v>
      </c>
      <c r="S226">
        <f t="shared" si="28"/>
        <v>2.415</v>
      </c>
      <c r="T226">
        <f t="shared" si="29"/>
        <v>1.9850000000000003</v>
      </c>
      <c r="U226" s="26">
        <f t="shared" si="24"/>
        <v>150.58150000000003</v>
      </c>
      <c r="V226" s="2">
        <f>AVERAGE(U217:U246)</f>
        <v>149.06838333333337</v>
      </c>
      <c r="W226">
        <v>697.4</v>
      </c>
      <c r="X226">
        <f t="shared" si="25"/>
        <v>101580.6</v>
      </c>
      <c r="Y226">
        <f t="shared" si="26"/>
        <v>6039.7</v>
      </c>
      <c r="Z226">
        <v>11.408841497143632</v>
      </c>
      <c r="AC226" s="33">
        <f>(AB213*(82/150))+(AB231*(68/150))</f>
        <v>3.5466666666666664</v>
      </c>
    </row>
    <row r="227" spans="1:29" x14ac:dyDescent="0.35">
      <c r="A227">
        <v>5160</v>
      </c>
      <c r="B227">
        <v>23050</v>
      </c>
      <c r="C227" s="1">
        <v>43172</v>
      </c>
      <c r="F227" s="48"/>
      <c r="G227">
        <v>7.9</v>
      </c>
      <c r="H227">
        <v>7.7</v>
      </c>
      <c r="I227">
        <v>10.4</v>
      </c>
      <c r="J227">
        <f t="shared" ref="J227:J290" si="31">J226+G227</f>
        <v>1639</v>
      </c>
      <c r="K227">
        <f t="shared" ref="K227:K290" si="32">K226+G227</f>
        <v>96.9</v>
      </c>
      <c r="L227" s="15" t="s">
        <v>41</v>
      </c>
      <c r="M227" s="25">
        <v>0</v>
      </c>
      <c r="N227">
        <v>1.9</v>
      </c>
      <c r="O227">
        <f t="shared" si="27"/>
        <v>-1.9</v>
      </c>
      <c r="Q227">
        <v>195</v>
      </c>
      <c r="R227">
        <f t="shared" si="30"/>
        <v>1.0549999999999999</v>
      </c>
      <c r="S227">
        <f t="shared" si="28"/>
        <v>2.0044999999999997</v>
      </c>
      <c r="T227">
        <f t="shared" si="29"/>
        <v>-2.0044999999999997</v>
      </c>
      <c r="U227" s="26">
        <f t="shared" ref="U227:U290" si="33">MIN(U226+T227,150.8)</f>
        <v>148.57700000000003</v>
      </c>
      <c r="W227">
        <v>1245.0999999999999</v>
      </c>
      <c r="X227">
        <f t="shared" ref="X227:X290" si="34">X226+W227</f>
        <v>102825.70000000001</v>
      </c>
      <c r="Y227">
        <f t="shared" ref="Y227:Y290" si="35">Y226+W227</f>
        <v>7284.7999999999993</v>
      </c>
      <c r="Z227">
        <v>11.467722316252058</v>
      </c>
      <c r="AC227" s="3" t="s">
        <v>63</v>
      </c>
    </row>
    <row r="228" spans="1:29" x14ac:dyDescent="0.35">
      <c r="A228">
        <v>5160</v>
      </c>
      <c r="B228">
        <v>23050</v>
      </c>
      <c r="C228" s="1">
        <v>43173</v>
      </c>
      <c r="F228" s="48"/>
      <c r="G228">
        <v>8.6999999999999993</v>
      </c>
      <c r="H228">
        <v>1.4</v>
      </c>
      <c r="I228">
        <v>14</v>
      </c>
      <c r="J228">
        <f t="shared" si="31"/>
        <v>1647.7</v>
      </c>
      <c r="K228">
        <f t="shared" si="32"/>
        <v>105.60000000000001</v>
      </c>
      <c r="L228" s="11">
        <v>14</v>
      </c>
      <c r="M228" s="25">
        <v>7.3</v>
      </c>
      <c r="N228">
        <v>1.9</v>
      </c>
      <c r="O228">
        <f t="shared" si="27"/>
        <v>5.4</v>
      </c>
      <c r="Q228">
        <v>196</v>
      </c>
      <c r="R228">
        <f t="shared" si="30"/>
        <v>1.06</v>
      </c>
      <c r="S228">
        <f t="shared" si="28"/>
        <v>2.0139999999999998</v>
      </c>
      <c r="T228">
        <f t="shared" si="29"/>
        <v>5.2859999999999996</v>
      </c>
      <c r="U228" s="26">
        <f t="shared" si="33"/>
        <v>150.80000000000001</v>
      </c>
      <c r="V228">
        <f>(V226*100)/150.8</f>
        <v>98.851713085764828</v>
      </c>
      <c r="W228">
        <v>1280.0999999999999</v>
      </c>
      <c r="X228">
        <f t="shared" si="34"/>
        <v>104105.80000000002</v>
      </c>
      <c r="Y228">
        <f t="shared" si="35"/>
        <v>8564.9</v>
      </c>
      <c r="Z228">
        <v>11.526677964729256</v>
      </c>
      <c r="AB228" s="3" t="s">
        <v>61</v>
      </c>
      <c r="AC228">
        <f>(AB215*(82/150))+(AB233*(68/150))</f>
        <v>1</v>
      </c>
    </row>
    <row r="229" spans="1:29" x14ac:dyDescent="0.35">
      <c r="A229">
        <v>5160</v>
      </c>
      <c r="B229">
        <v>23050</v>
      </c>
      <c r="C229" s="1">
        <v>43174</v>
      </c>
      <c r="F229" s="48"/>
      <c r="G229">
        <v>9.1</v>
      </c>
      <c r="H229">
        <v>7.8</v>
      </c>
      <c r="I229">
        <v>11.1</v>
      </c>
      <c r="J229">
        <f t="shared" si="31"/>
        <v>1656.8</v>
      </c>
      <c r="K229">
        <f t="shared" si="32"/>
        <v>114.7</v>
      </c>
      <c r="L229" s="15" t="s">
        <v>42</v>
      </c>
      <c r="M229" s="25">
        <v>1.7</v>
      </c>
      <c r="N229">
        <v>0.9</v>
      </c>
      <c r="O229">
        <f t="shared" si="27"/>
        <v>0.79999999999999993</v>
      </c>
      <c r="Q229">
        <v>197</v>
      </c>
      <c r="R229">
        <f t="shared" si="30"/>
        <v>1.0649999999999999</v>
      </c>
      <c r="S229">
        <f t="shared" si="28"/>
        <v>0.95850000000000002</v>
      </c>
      <c r="T229">
        <f t="shared" si="29"/>
        <v>0.74149999999999994</v>
      </c>
      <c r="U229" s="26">
        <f t="shared" si="33"/>
        <v>150.80000000000001</v>
      </c>
      <c r="W229">
        <v>376.7</v>
      </c>
      <c r="X229">
        <f t="shared" si="34"/>
        <v>104482.50000000001</v>
      </c>
      <c r="Y229">
        <f t="shared" si="35"/>
        <v>8941.6</v>
      </c>
      <c r="Z229">
        <v>11.585699790224414</v>
      </c>
      <c r="AB229" s="2">
        <f>AVERAGE(U235:U248)</f>
        <v>148.00032142857148</v>
      </c>
      <c r="AC229" s="3" t="s">
        <v>64</v>
      </c>
    </row>
    <row r="230" spans="1:29" x14ac:dyDescent="0.35">
      <c r="A230">
        <v>5160</v>
      </c>
      <c r="B230">
        <v>23050</v>
      </c>
      <c r="C230" s="1">
        <v>43175</v>
      </c>
      <c r="F230" s="48"/>
      <c r="G230">
        <v>8</v>
      </c>
      <c r="H230">
        <v>6.4</v>
      </c>
      <c r="I230">
        <v>12.1</v>
      </c>
      <c r="J230">
        <f t="shared" si="31"/>
        <v>1664.8</v>
      </c>
      <c r="K230">
        <f t="shared" si="32"/>
        <v>122.7</v>
      </c>
      <c r="L230" s="11">
        <v>4</v>
      </c>
      <c r="M230" s="25">
        <v>1.8</v>
      </c>
      <c r="N230">
        <v>1.3</v>
      </c>
      <c r="O230">
        <f t="shared" si="27"/>
        <v>0.5</v>
      </c>
      <c r="Q230">
        <v>198</v>
      </c>
      <c r="R230">
        <f t="shared" si="30"/>
        <v>1.07</v>
      </c>
      <c r="S230">
        <f t="shared" si="28"/>
        <v>1.3910000000000002</v>
      </c>
      <c r="T230">
        <f t="shared" si="29"/>
        <v>0.40899999999999981</v>
      </c>
      <c r="U230" s="26">
        <f t="shared" si="33"/>
        <v>150.80000000000001</v>
      </c>
      <c r="W230">
        <v>862.5</v>
      </c>
      <c r="X230">
        <f t="shared" si="34"/>
        <v>105345.00000000001</v>
      </c>
      <c r="Y230">
        <f t="shared" si="35"/>
        <v>9804.1</v>
      </c>
      <c r="Z230">
        <v>11.644779259378117</v>
      </c>
      <c r="AB230" s="3" t="s">
        <v>62</v>
      </c>
      <c r="AC230" s="33">
        <f>(AB217*(82/150))+(AB235*(68/150))</f>
        <v>4.0933333333333337</v>
      </c>
    </row>
    <row r="231" spans="1:29" x14ac:dyDescent="0.35">
      <c r="A231">
        <v>5160</v>
      </c>
      <c r="B231">
        <v>23050</v>
      </c>
      <c r="C231" s="1">
        <v>43176</v>
      </c>
      <c r="F231" s="48"/>
      <c r="G231">
        <v>5.5</v>
      </c>
      <c r="H231">
        <v>2.2999999999999998</v>
      </c>
      <c r="I231">
        <v>10.199999999999999</v>
      </c>
      <c r="J231">
        <f t="shared" si="31"/>
        <v>1670.3</v>
      </c>
      <c r="K231">
        <f t="shared" si="32"/>
        <v>128.19999999999999</v>
      </c>
      <c r="M231" s="25">
        <v>1</v>
      </c>
      <c r="N231">
        <v>1.2</v>
      </c>
      <c r="O231">
        <f t="shared" si="27"/>
        <v>-0.19999999999999996</v>
      </c>
      <c r="Q231">
        <v>199</v>
      </c>
      <c r="R231">
        <f t="shared" si="30"/>
        <v>1.075</v>
      </c>
      <c r="S231">
        <f t="shared" si="28"/>
        <v>1.2899999999999998</v>
      </c>
      <c r="T231">
        <f t="shared" si="29"/>
        <v>-0.28999999999999981</v>
      </c>
      <c r="U231" s="2">
        <f t="shared" si="33"/>
        <v>150.51000000000002</v>
      </c>
      <c r="W231">
        <v>1034.5</v>
      </c>
      <c r="X231">
        <f t="shared" si="34"/>
        <v>106379.50000000001</v>
      </c>
      <c r="Y231">
        <f t="shared" si="35"/>
        <v>10838.6</v>
      </c>
      <c r="Z231">
        <v>11.70390794313461</v>
      </c>
      <c r="AB231">
        <v>3</v>
      </c>
      <c r="AC231" s="3" t="s">
        <v>65</v>
      </c>
    </row>
    <row r="232" spans="1:29" x14ac:dyDescent="0.35">
      <c r="A232">
        <v>5160</v>
      </c>
      <c r="B232">
        <v>23050</v>
      </c>
      <c r="C232" s="1">
        <v>43177</v>
      </c>
      <c r="F232" s="48"/>
      <c r="G232">
        <v>1.7</v>
      </c>
      <c r="H232">
        <v>1.5</v>
      </c>
      <c r="I232">
        <v>2.6</v>
      </c>
      <c r="J232">
        <f t="shared" si="31"/>
        <v>1672</v>
      </c>
      <c r="K232">
        <f t="shared" si="32"/>
        <v>129.89999999999998</v>
      </c>
      <c r="M232" s="25">
        <v>0</v>
      </c>
      <c r="N232">
        <v>0.7</v>
      </c>
      <c r="O232">
        <f t="shared" si="27"/>
        <v>-0.7</v>
      </c>
      <c r="Q232">
        <v>200</v>
      </c>
      <c r="R232">
        <f t="shared" si="30"/>
        <v>1.0799999999999998</v>
      </c>
      <c r="S232">
        <f t="shared" si="28"/>
        <v>0.75599999999999989</v>
      </c>
      <c r="T232">
        <f t="shared" si="29"/>
        <v>-0.75599999999999989</v>
      </c>
      <c r="U232" s="2">
        <f t="shared" si="33"/>
        <v>149.75400000000002</v>
      </c>
      <c r="W232">
        <v>602.29999999999995</v>
      </c>
      <c r="X232">
        <f t="shared" si="34"/>
        <v>106981.80000000002</v>
      </c>
      <c r="Y232">
        <f t="shared" si="35"/>
        <v>11440.9</v>
      </c>
      <c r="Z232">
        <v>11.763077501977568</v>
      </c>
      <c r="AB232" s="3" t="s">
        <v>63</v>
      </c>
      <c r="AC232" s="33">
        <f>(AB219*(82/150))+(AB237*(68/150))</f>
        <v>28.163999999999994</v>
      </c>
    </row>
    <row r="233" spans="1:29" x14ac:dyDescent="0.35">
      <c r="A233">
        <v>5160</v>
      </c>
      <c r="B233">
        <v>23050</v>
      </c>
      <c r="C233" s="1">
        <v>43178</v>
      </c>
      <c r="F233" s="48"/>
      <c r="G233">
        <v>1</v>
      </c>
      <c r="H233">
        <v>-0.5</v>
      </c>
      <c r="I233">
        <v>2</v>
      </c>
      <c r="J233">
        <f t="shared" si="31"/>
        <v>1673</v>
      </c>
      <c r="K233">
        <f t="shared" si="32"/>
        <v>130.89999999999998</v>
      </c>
      <c r="M233" s="25">
        <v>0.2</v>
      </c>
      <c r="N233">
        <v>0.6</v>
      </c>
      <c r="O233">
        <f t="shared" si="27"/>
        <v>-0.39999999999999997</v>
      </c>
      <c r="Q233">
        <v>201</v>
      </c>
      <c r="R233">
        <f t="shared" si="30"/>
        <v>1.085</v>
      </c>
      <c r="S233">
        <f t="shared" si="28"/>
        <v>0.65099999999999991</v>
      </c>
      <c r="T233">
        <f t="shared" si="29"/>
        <v>-0.4509999999999999</v>
      </c>
      <c r="U233" s="2">
        <f t="shared" si="33"/>
        <v>149.30300000000003</v>
      </c>
      <c r="W233">
        <v>484.6</v>
      </c>
      <c r="X233">
        <f t="shared" si="34"/>
        <v>107466.40000000002</v>
      </c>
      <c r="Y233">
        <f t="shared" si="35"/>
        <v>11925.5</v>
      </c>
      <c r="Z233">
        <v>11.822279671101724</v>
      </c>
      <c r="AB233">
        <v>1</v>
      </c>
    </row>
    <row r="234" spans="1:29" x14ac:dyDescent="0.35">
      <c r="A234">
        <v>5160</v>
      </c>
      <c r="B234">
        <v>23050</v>
      </c>
      <c r="C234" s="1">
        <v>43179</v>
      </c>
      <c r="F234" s="48"/>
      <c r="G234">
        <v>3.1</v>
      </c>
      <c r="H234">
        <v>-1</v>
      </c>
      <c r="I234">
        <v>6.6</v>
      </c>
      <c r="J234">
        <f t="shared" si="31"/>
        <v>1676.1</v>
      </c>
      <c r="K234">
        <f t="shared" si="32"/>
        <v>133.99999999999997</v>
      </c>
      <c r="M234" s="25">
        <v>0</v>
      </c>
      <c r="N234">
        <v>1.5</v>
      </c>
      <c r="O234">
        <f t="shared" si="27"/>
        <v>-1.5</v>
      </c>
      <c r="Q234">
        <v>202</v>
      </c>
      <c r="R234">
        <f t="shared" si="30"/>
        <v>1.0899999999999999</v>
      </c>
      <c r="S234">
        <f t="shared" si="28"/>
        <v>1.6349999999999998</v>
      </c>
      <c r="T234">
        <f t="shared" si="29"/>
        <v>-1.6349999999999998</v>
      </c>
      <c r="U234" s="2">
        <f t="shared" si="33"/>
        <v>147.66800000000003</v>
      </c>
      <c r="W234">
        <v>1281</v>
      </c>
      <c r="X234">
        <f t="shared" si="34"/>
        <v>108747.40000000002</v>
      </c>
      <c r="Y234">
        <f t="shared" si="35"/>
        <v>13206.5</v>
      </c>
      <c r="Z234">
        <v>11.881506245532083</v>
      </c>
      <c r="AB234" s="3" t="s">
        <v>64</v>
      </c>
    </row>
    <row r="235" spans="1:29" x14ac:dyDescent="0.35">
      <c r="A235">
        <v>5160</v>
      </c>
      <c r="B235">
        <v>23050</v>
      </c>
      <c r="C235" s="1">
        <v>43180</v>
      </c>
      <c r="F235" s="48"/>
      <c r="G235">
        <v>3.1</v>
      </c>
      <c r="H235">
        <v>-0.6</v>
      </c>
      <c r="I235">
        <v>6.8</v>
      </c>
      <c r="J235">
        <f t="shared" si="31"/>
        <v>1679.1999999999998</v>
      </c>
      <c r="K235">
        <f t="shared" si="32"/>
        <v>137.09999999999997</v>
      </c>
      <c r="M235" s="25">
        <v>0</v>
      </c>
      <c r="N235">
        <v>1.4</v>
      </c>
      <c r="O235">
        <f t="shared" si="27"/>
        <v>-1.4</v>
      </c>
      <c r="Q235">
        <v>203</v>
      </c>
      <c r="R235">
        <f t="shared" si="30"/>
        <v>1.095</v>
      </c>
      <c r="S235">
        <f t="shared" si="28"/>
        <v>1.5329999999999999</v>
      </c>
      <c r="T235">
        <f t="shared" si="29"/>
        <v>-1.5329999999999999</v>
      </c>
      <c r="U235" s="26">
        <f t="shared" si="33"/>
        <v>146.13500000000005</v>
      </c>
      <c r="W235">
        <v>1238</v>
      </c>
      <c r="X235">
        <f t="shared" si="34"/>
        <v>109985.40000000002</v>
      </c>
      <c r="Y235">
        <f t="shared" si="35"/>
        <v>14444.5</v>
      </c>
      <c r="Z235">
        <v>11.940749065201889</v>
      </c>
      <c r="AB235">
        <v>3</v>
      </c>
    </row>
    <row r="236" spans="1:29" x14ac:dyDescent="0.35">
      <c r="A236">
        <v>5160</v>
      </c>
      <c r="B236">
        <v>23050</v>
      </c>
      <c r="C236" s="1">
        <v>43181</v>
      </c>
      <c r="F236" s="48"/>
      <c r="G236">
        <v>3.1</v>
      </c>
      <c r="H236">
        <v>-2.4</v>
      </c>
      <c r="I236">
        <v>7</v>
      </c>
      <c r="J236">
        <f t="shared" si="31"/>
        <v>1682.2999999999997</v>
      </c>
      <c r="K236">
        <f t="shared" si="32"/>
        <v>140.19999999999996</v>
      </c>
      <c r="M236" s="25">
        <v>0</v>
      </c>
      <c r="N236">
        <v>0.6</v>
      </c>
      <c r="O236">
        <f t="shared" si="27"/>
        <v>-0.6</v>
      </c>
      <c r="Q236">
        <v>204</v>
      </c>
      <c r="R236">
        <f t="shared" si="30"/>
        <v>1.0999999999999999</v>
      </c>
      <c r="S236">
        <f t="shared" si="28"/>
        <v>0.65999999999999992</v>
      </c>
      <c r="T236">
        <f t="shared" si="29"/>
        <v>-0.65999999999999992</v>
      </c>
      <c r="U236" s="26">
        <f t="shared" si="33"/>
        <v>145.47500000000005</v>
      </c>
      <c r="W236">
        <v>414.1</v>
      </c>
      <c r="X236">
        <f t="shared" si="34"/>
        <v>110399.50000000003</v>
      </c>
      <c r="Y236">
        <f t="shared" si="35"/>
        <v>14858.6</v>
      </c>
      <c r="Z236">
        <v>12</v>
      </c>
      <c r="AB236" s="3" t="s">
        <v>65</v>
      </c>
    </row>
    <row r="237" spans="1:29" x14ac:dyDescent="0.35">
      <c r="A237">
        <v>5160</v>
      </c>
      <c r="B237">
        <v>23050</v>
      </c>
      <c r="C237" s="1">
        <v>43182</v>
      </c>
      <c r="F237" s="48"/>
      <c r="G237">
        <v>5.4</v>
      </c>
      <c r="H237">
        <v>3.5</v>
      </c>
      <c r="I237">
        <v>6.3</v>
      </c>
      <c r="J237">
        <f t="shared" si="31"/>
        <v>1687.6999999999998</v>
      </c>
      <c r="K237">
        <f t="shared" si="32"/>
        <v>145.59999999999997</v>
      </c>
      <c r="M237" s="25">
        <v>0.7</v>
      </c>
      <c r="N237">
        <v>0.7</v>
      </c>
      <c r="O237">
        <f t="shared" si="27"/>
        <v>0</v>
      </c>
      <c r="Q237">
        <v>205</v>
      </c>
      <c r="R237">
        <f t="shared" si="30"/>
        <v>1.105</v>
      </c>
      <c r="S237">
        <f t="shared" si="28"/>
        <v>0.77349999999999997</v>
      </c>
      <c r="T237">
        <f t="shared" si="29"/>
        <v>-7.350000000000001E-2</v>
      </c>
      <c r="U237" s="26">
        <f t="shared" si="33"/>
        <v>145.40150000000006</v>
      </c>
      <c r="W237">
        <v>456.5</v>
      </c>
      <c r="X237">
        <f t="shared" si="34"/>
        <v>110856.00000000003</v>
      </c>
      <c r="Y237">
        <f t="shared" si="35"/>
        <v>15315.1</v>
      </c>
      <c r="Z237">
        <v>12.059250934798111</v>
      </c>
      <c r="AB237">
        <f>SUM(M239:M248)</f>
        <v>23.9</v>
      </c>
    </row>
    <row r="238" spans="1:29" s="27" customFormat="1" x14ac:dyDescent="0.35">
      <c r="A238" s="27">
        <v>5160</v>
      </c>
      <c r="B238" s="27">
        <v>23050</v>
      </c>
      <c r="C238" s="28">
        <v>43183</v>
      </c>
      <c r="D238" s="27" t="s">
        <v>60</v>
      </c>
      <c r="F238" s="48"/>
      <c r="G238" s="27">
        <v>8.1999999999999993</v>
      </c>
      <c r="H238" s="27">
        <v>5.8</v>
      </c>
      <c r="I238" s="27">
        <v>11.3</v>
      </c>
      <c r="J238" s="27">
        <f t="shared" si="31"/>
        <v>1695.8999999999999</v>
      </c>
      <c r="K238" s="27">
        <f t="shared" si="32"/>
        <v>153.79999999999995</v>
      </c>
      <c r="M238" s="27">
        <v>0</v>
      </c>
      <c r="N238" s="27">
        <v>1.2</v>
      </c>
      <c r="O238" s="27">
        <f t="shared" si="27"/>
        <v>-1.2</v>
      </c>
      <c r="Q238" s="27">
        <v>206</v>
      </c>
      <c r="R238" s="27">
        <f t="shared" si="30"/>
        <v>1.1099999999999999</v>
      </c>
      <c r="S238" s="27">
        <f t="shared" si="28"/>
        <v>1.3319999999999999</v>
      </c>
      <c r="T238" s="27">
        <f t="shared" si="29"/>
        <v>-1.3319999999999999</v>
      </c>
      <c r="U238" s="30">
        <f t="shared" si="33"/>
        <v>144.06950000000006</v>
      </c>
      <c r="W238" s="27">
        <v>986.1</v>
      </c>
      <c r="X238" s="27">
        <f t="shared" si="34"/>
        <v>111842.10000000003</v>
      </c>
      <c r="Y238" s="27">
        <f t="shared" si="35"/>
        <v>16301.2</v>
      </c>
      <c r="Z238" s="27">
        <v>12.118493754467917</v>
      </c>
    </row>
    <row r="239" spans="1:29" x14ac:dyDescent="0.35">
      <c r="A239">
        <v>5160</v>
      </c>
      <c r="B239">
        <v>23050</v>
      </c>
      <c r="C239" s="1">
        <v>43184</v>
      </c>
      <c r="F239" s="48"/>
      <c r="G239">
        <v>10.1</v>
      </c>
      <c r="H239">
        <v>5.3</v>
      </c>
      <c r="I239">
        <v>13.9</v>
      </c>
      <c r="J239">
        <f t="shared" si="31"/>
        <v>1705.9999999999998</v>
      </c>
      <c r="K239">
        <f t="shared" si="32"/>
        <v>163.89999999999995</v>
      </c>
      <c r="M239" s="25">
        <v>2.5</v>
      </c>
      <c r="N239">
        <v>0.8</v>
      </c>
      <c r="O239">
        <f t="shared" si="27"/>
        <v>1.7</v>
      </c>
      <c r="Q239">
        <v>207</v>
      </c>
      <c r="R239">
        <f t="shared" si="30"/>
        <v>1.115</v>
      </c>
      <c r="S239">
        <f t="shared" si="28"/>
        <v>0.89200000000000002</v>
      </c>
      <c r="T239">
        <f t="shared" si="29"/>
        <v>1.6080000000000001</v>
      </c>
      <c r="U239" s="26">
        <f t="shared" si="33"/>
        <v>145.67750000000007</v>
      </c>
      <c r="W239">
        <v>551.4</v>
      </c>
      <c r="X239">
        <f t="shared" si="34"/>
        <v>112393.50000000003</v>
      </c>
      <c r="Y239">
        <f t="shared" si="35"/>
        <v>16852.600000000002</v>
      </c>
      <c r="Z239">
        <v>12.177720328898275</v>
      </c>
    </row>
    <row r="240" spans="1:29" x14ac:dyDescent="0.35">
      <c r="A240">
        <v>5160</v>
      </c>
      <c r="B240">
        <v>23050</v>
      </c>
      <c r="C240" s="1">
        <v>43185</v>
      </c>
      <c r="F240" s="48"/>
      <c r="G240">
        <v>8.9</v>
      </c>
      <c r="H240">
        <v>6.6</v>
      </c>
      <c r="I240">
        <v>11.7</v>
      </c>
      <c r="J240">
        <f t="shared" si="31"/>
        <v>1714.8999999999999</v>
      </c>
      <c r="K240">
        <f t="shared" si="32"/>
        <v>172.79999999999995</v>
      </c>
      <c r="M240" s="25">
        <v>2.4</v>
      </c>
      <c r="N240">
        <v>1.3</v>
      </c>
      <c r="O240">
        <f t="shared" si="27"/>
        <v>1.0999999999999999</v>
      </c>
      <c r="Q240">
        <v>208</v>
      </c>
      <c r="R240">
        <f t="shared" si="30"/>
        <v>1.1199999999999999</v>
      </c>
      <c r="S240">
        <f t="shared" si="28"/>
        <v>1.456</v>
      </c>
      <c r="T240">
        <f t="shared" si="29"/>
        <v>0.94399999999999995</v>
      </c>
      <c r="U240" s="26">
        <f t="shared" si="33"/>
        <v>146.62150000000005</v>
      </c>
      <c r="W240">
        <v>998.9</v>
      </c>
      <c r="X240">
        <f t="shared" si="34"/>
        <v>113392.40000000002</v>
      </c>
      <c r="Y240">
        <f t="shared" si="35"/>
        <v>17851.500000000004</v>
      </c>
      <c r="Z240">
        <v>12.23692249802243</v>
      </c>
    </row>
    <row r="241" spans="1:27" x14ac:dyDescent="0.35">
      <c r="A241">
        <v>5160</v>
      </c>
      <c r="B241">
        <v>23050</v>
      </c>
      <c r="C241" s="1">
        <v>43186</v>
      </c>
      <c r="F241" s="48"/>
      <c r="G241">
        <v>9.5</v>
      </c>
      <c r="H241">
        <v>5.7</v>
      </c>
      <c r="I241">
        <v>13</v>
      </c>
      <c r="J241">
        <f t="shared" si="31"/>
        <v>1724.3999999999999</v>
      </c>
      <c r="K241">
        <f t="shared" si="32"/>
        <v>182.29999999999995</v>
      </c>
      <c r="M241" s="25">
        <v>2.9</v>
      </c>
      <c r="N241">
        <v>0.8</v>
      </c>
      <c r="O241">
        <f t="shared" si="27"/>
        <v>2.0999999999999996</v>
      </c>
      <c r="Q241">
        <v>209</v>
      </c>
      <c r="R241">
        <f t="shared" si="30"/>
        <v>1.125</v>
      </c>
      <c r="S241">
        <f t="shared" si="28"/>
        <v>0.9</v>
      </c>
      <c r="T241">
        <f t="shared" si="29"/>
        <v>2</v>
      </c>
      <c r="U241" s="26">
        <f t="shared" si="33"/>
        <v>148.62150000000005</v>
      </c>
      <c r="W241">
        <v>613.20000000000005</v>
      </c>
      <c r="X241">
        <f t="shared" si="34"/>
        <v>114005.60000000002</v>
      </c>
      <c r="Y241">
        <f t="shared" si="35"/>
        <v>18464.700000000004</v>
      </c>
      <c r="Z241">
        <v>12.296092056865389</v>
      </c>
    </row>
    <row r="242" spans="1:27" x14ac:dyDescent="0.35">
      <c r="A242">
        <v>5160</v>
      </c>
      <c r="B242">
        <v>23050</v>
      </c>
      <c r="C242" s="1">
        <v>43187</v>
      </c>
      <c r="F242" s="48"/>
      <c r="G242">
        <v>9.4</v>
      </c>
      <c r="H242">
        <v>8.5</v>
      </c>
      <c r="I242">
        <v>11.9</v>
      </c>
      <c r="J242">
        <f t="shared" si="31"/>
        <v>1733.8</v>
      </c>
      <c r="K242">
        <f t="shared" si="32"/>
        <v>191.69999999999996</v>
      </c>
      <c r="M242" s="25">
        <v>3.4</v>
      </c>
      <c r="N242">
        <v>1.2</v>
      </c>
      <c r="O242">
        <f t="shared" si="27"/>
        <v>2.2000000000000002</v>
      </c>
      <c r="Q242">
        <v>210</v>
      </c>
      <c r="R242">
        <f t="shared" si="30"/>
        <v>1.1299999999999999</v>
      </c>
      <c r="S242">
        <f t="shared" si="28"/>
        <v>1.3559999999999999</v>
      </c>
      <c r="T242">
        <f t="shared" si="29"/>
        <v>2.044</v>
      </c>
      <c r="U242" s="26">
        <f t="shared" si="33"/>
        <v>150.66550000000007</v>
      </c>
      <c r="W242">
        <v>427.4</v>
      </c>
      <c r="X242">
        <f t="shared" si="34"/>
        <v>114433.00000000001</v>
      </c>
      <c r="Y242">
        <f t="shared" si="35"/>
        <v>18892.100000000006</v>
      </c>
      <c r="Z242">
        <v>12.355220740621883</v>
      </c>
    </row>
    <row r="243" spans="1:27" x14ac:dyDescent="0.35">
      <c r="A243">
        <v>5160</v>
      </c>
      <c r="B243">
        <v>23050</v>
      </c>
      <c r="C243" s="1">
        <v>43188</v>
      </c>
      <c r="F243" s="48"/>
      <c r="G243">
        <v>6.2</v>
      </c>
      <c r="H243">
        <v>2.7</v>
      </c>
      <c r="I243">
        <v>10.199999999999999</v>
      </c>
      <c r="J243">
        <f t="shared" si="31"/>
        <v>1740</v>
      </c>
      <c r="K243">
        <f t="shared" si="32"/>
        <v>197.89999999999995</v>
      </c>
      <c r="M243" s="25">
        <v>3.1</v>
      </c>
      <c r="N243">
        <v>0.9</v>
      </c>
      <c r="O243">
        <f t="shared" si="27"/>
        <v>2.2000000000000002</v>
      </c>
      <c r="Q243">
        <v>211</v>
      </c>
      <c r="R243">
        <f t="shared" si="30"/>
        <v>1.135</v>
      </c>
      <c r="S243">
        <f t="shared" si="28"/>
        <v>1.0215000000000001</v>
      </c>
      <c r="T243">
        <f t="shared" si="29"/>
        <v>2.0785</v>
      </c>
      <c r="U243" s="26">
        <f t="shared" si="33"/>
        <v>150.80000000000001</v>
      </c>
      <c r="W243">
        <v>645.20000000000005</v>
      </c>
      <c r="X243">
        <f t="shared" si="34"/>
        <v>115078.20000000001</v>
      </c>
      <c r="Y243">
        <f t="shared" si="35"/>
        <v>19537.300000000007</v>
      </c>
      <c r="Z243">
        <v>12.414300209775586</v>
      </c>
    </row>
    <row r="244" spans="1:27" x14ac:dyDescent="0.35">
      <c r="A244">
        <v>5160</v>
      </c>
      <c r="B244">
        <v>23050</v>
      </c>
      <c r="C244" s="1">
        <v>43189</v>
      </c>
      <c r="F244" s="48"/>
      <c r="G244">
        <v>6.2</v>
      </c>
      <c r="H244">
        <v>4.2</v>
      </c>
      <c r="I244">
        <v>8.3000000000000007</v>
      </c>
      <c r="J244">
        <f t="shared" si="31"/>
        <v>1746.2</v>
      </c>
      <c r="K244">
        <f t="shared" si="32"/>
        <v>204.09999999999994</v>
      </c>
      <c r="M244" s="25">
        <v>1.2</v>
      </c>
      <c r="N244">
        <v>0.6</v>
      </c>
      <c r="O244">
        <f t="shared" si="27"/>
        <v>0.6</v>
      </c>
      <c r="Q244">
        <v>212</v>
      </c>
      <c r="R244">
        <f t="shared" si="30"/>
        <v>1.1399999999999999</v>
      </c>
      <c r="S244">
        <f t="shared" si="28"/>
        <v>0.68399999999999994</v>
      </c>
      <c r="T244">
        <f t="shared" si="29"/>
        <v>0.51600000000000001</v>
      </c>
      <c r="U244" s="26">
        <f t="shared" si="33"/>
        <v>150.80000000000001</v>
      </c>
      <c r="W244">
        <v>362.9</v>
      </c>
      <c r="X244">
        <f t="shared" si="34"/>
        <v>115441.1</v>
      </c>
      <c r="Y244">
        <f t="shared" si="35"/>
        <v>19900.200000000008</v>
      </c>
      <c r="Z244">
        <v>12.473322035270744</v>
      </c>
    </row>
    <row r="245" spans="1:27" x14ac:dyDescent="0.35">
      <c r="A245">
        <v>5160</v>
      </c>
      <c r="B245">
        <v>23050</v>
      </c>
      <c r="C245" s="1">
        <v>43190</v>
      </c>
      <c r="F245" s="48"/>
      <c r="G245">
        <v>6.6</v>
      </c>
      <c r="H245">
        <v>2.4</v>
      </c>
      <c r="I245">
        <v>8.9</v>
      </c>
      <c r="J245">
        <f t="shared" si="31"/>
        <v>1752.8</v>
      </c>
      <c r="K245">
        <f t="shared" si="32"/>
        <v>210.69999999999993</v>
      </c>
      <c r="M245" s="25">
        <v>0.2</v>
      </c>
      <c r="N245">
        <v>0.5</v>
      </c>
      <c r="O245">
        <f t="shared" si="27"/>
        <v>-0.3</v>
      </c>
      <c r="Q245">
        <v>213</v>
      </c>
      <c r="R245">
        <f t="shared" si="30"/>
        <v>1.145</v>
      </c>
      <c r="S245">
        <f t="shared" si="28"/>
        <v>0.57250000000000001</v>
      </c>
      <c r="T245">
        <f t="shared" si="29"/>
        <v>-0.3725</v>
      </c>
      <c r="U245" s="26">
        <f t="shared" si="33"/>
        <v>150.42750000000001</v>
      </c>
      <c r="W245">
        <v>379.9</v>
      </c>
      <c r="X245">
        <f t="shared" si="34"/>
        <v>115821</v>
      </c>
      <c r="Y245">
        <f t="shared" si="35"/>
        <v>20280.100000000009</v>
      </c>
      <c r="Z245">
        <v>12.532277683747942</v>
      </c>
    </row>
    <row r="246" spans="1:27" s="6" customFormat="1" ht="15" thickBot="1" x14ac:dyDescent="0.4">
      <c r="A246" s="6">
        <v>5160</v>
      </c>
      <c r="B246" s="6">
        <v>23050</v>
      </c>
      <c r="C246" s="7">
        <v>43191</v>
      </c>
      <c r="F246" s="49"/>
      <c r="G246" s="6">
        <v>8.1999999999999993</v>
      </c>
      <c r="H246" s="6">
        <v>4.9000000000000004</v>
      </c>
      <c r="I246" s="6">
        <v>10.4</v>
      </c>
      <c r="J246" s="6">
        <f t="shared" si="31"/>
        <v>1761</v>
      </c>
      <c r="K246" s="6">
        <f t="shared" si="32"/>
        <v>218.89999999999992</v>
      </c>
      <c r="M246" s="31">
        <v>0</v>
      </c>
      <c r="N246" s="6">
        <v>1.4</v>
      </c>
      <c r="O246" s="6">
        <f t="shared" si="27"/>
        <v>-1.4</v>
      </c>
      <c r="Q246" s="6">
        <v>214</v>
      </c>
      <c r="R246" s="6">
        <f t="shared" si="30"/>
        <v>1.1499999999999999</v>
      </c>
      <c r="S246" s="6">
        <f t="shared" si="28"/>
        <v>1.6099999999999999</v>
      </c>
      <c r="T246" s="6">
        <f t="shared" si="29"/>
        <v>-1.6099999999999999</v>
      </c>
      <c r="U246" s="32">
        <f t="shared" si="33"/>
        <v>148.8175</v>
      </c>
      <c r="W246" s="6">
        <v>645.5</v>
      </c>
      <c r="X246" s="6">
        <f t="shared" si="34"/>
        <v>116466.5</v>
      </c>
      <c r="Y246" s="6">
        <f t="shared" si="35"/>
        <v>20925.600000000009</v>
      </c>
      <c r="Z246" s="6">
        <v>12.591158502856366</v>
      </c>
    </row>
    <row r="247" spans="1:27" x14ac:dyDescent="0.35">
      <c r="A247">
        <v>5160</v>
      </c>
      <c r="B247">
        <v>23050</v>
      </c>
      <c r="C247" s="1">
        <v>43192</v>
      </c>
      <c r="D247" t="s">
        <v>31</v>
      </c>
      <c r="F247" s="44" t="s">
        <v>55</v>
      </c>
      <c r="G247">
        <v>11</v>
      </c>
      <c r="H247">
        <v>6.6</v>
      </c>
      <c r="I247">
        <v>13.8</v>
      </c>
      <c r="J247">
        <f t="shared" si="31"/>
        <v>1772</v>
      </c>
      <c r="K247">
        <f>G247</f>
        <v>11</v>
      </c>
      <c r="L247" s="17" t="s">
        <v>36</v>
      </c>
      <c r="M247" s="25">
        <v>0.6</v>
      </c>
      <c r="N247">
        <v>1.5</v>
      </c>
      <c r="O247">
        <f t="shared" si="27"/>
        <v>-0.9</v>
      </c>
      <c r="Q247">
        <v>215</v>
      </c>
      <c r="R247">
        <v>1.1499999999999999</v>
      </c>
      <c r="S247">
        <f t="shared" si="28"/>
        <v>1.7249999999999999</v>
      </c>
      <c r="T247">
        <f t="shared" si="29"/>
        <v>-1.125</v>
      </c>
      <c r="U247" s="26">
        <f t="shared" si="33"/>
        <v>147.6925</v>
      </c>
      <c r="V247" s="18" t="s">
        <v>43</v>
      </c>
      <c r="W247">
        <v>781.5</v>
      </c>
      <c r="X247">
        <f t="shared" si="34"/>
        <v>117248</v>
      </c>
      <c r="Y247">
        <f>W247</f>
        <v>781.5</v>
      </c>
      <c r="Z247">
        <v>12.649955706655721</v>
      </c>
      <c r="AA247" s="18" t="s">
        <v>48</v>
      </c>
    </row>
    <row r="248" spans="1:27" x14ac:dyDescent="0.35">
      <c r="A248">
        <v>5160</v>
      </c>
      <c r="B248">
        <v>23050</v>
      </c>
      <c r="C248" s="1">
        <v>43193</v>
      </c>
      <c r="F248" s="45"/>
      <c r="G248">
        <v>11</v>
      </c>
      <c r="H248">
        <v>9.4</v>
      </c>
      <c r="I248">
        <v>13.6</v>
      </c>
      <c r="J248">
        <f t="shared" si="31"/>
        <v>1783</v>
      </c>
      <c r="K248">
        <f t="shared" si="32"/>
        <v>22</v>
      </c>
      <c r="L248" s="11">
        <v>279.39999999999998</v>
      </c>
      <c r="M248" s="25">
        <v>7.6</v>
      </c>
      <c r="N248">
        <v>1.2</v>
      </c>
      <c r="O248">
        <f t="shared" si="27"/>
        <v>6.3999999999999995</v>
      </c>
      <c r="Q248">
        <v>216</v>
      </c>
      <c r="R248">
        <v>1.1499999999999999</v>
      </c>
      <c r="S248">
        <f t="shared" si="28"/>
        <v>1.38</v>
      </c>
      <c r="T248">
        <f t="shared" si="29"/>
        <v>6.22</v>
      </c>
      <c r="U248" s="26">
        <f t="shared" si="33"/>
        <v>150.80000000000001</v>
      </c>
      <c r="V248">
        <v>0</v>
      </c>
      <c r="W248">
        <v>483.9</v>
      </c>
      <c r="X248">
        <f t="shared" si="34"/>
        <v>117731.9</v>
      </c>
      <c r="Y248">
        <f t="shared" si="35"/>
        <v>1265.4000000000001</v>
      </c>
      <c r="Z248">
        <v>12.708660361121856</v>
      </c>
      <c r="AA248">
        <v>26105.1</v>
      </c>
    </row>
    <row r="249" spans="1:27" x14ac:dyDescent="0.35">
      <c r="A249">
        <v>5160</v>
      </c>
      <c r="B249">
        <v>23050</v>
      </c>
      <c r="C249" s="1">
        <v>43194</v>
      </c>
      <c r="F249" s="45"/>
      <c r="G249">
        <v>11</v>
      </c>
      <c r="H249">
        <v>9.8000000000000007</v>
      </c>
      <c r="I249">
        <v>12.6</v>
      </c>
      <c r="J249">
        <f t="shared" si="31"/>
        <v>1794</v>
      </c>
      <c r="K249">
        <f t="shared" si="32"/>
        <v>33</v>
      </c>
      <c r="L249" s="17" t="s">
        <v>37</v>
      </c>
      <c r="M249">
        <v>4.5999999999999996</v>
      </c>
      <c r="N249">
        <v>1.7</v>
      </c>
      <c r="O249">
        <f t="shared" si="27"/>
        <v>2.8999999999999995</v>
      </c>
      <c r="Q249">
        <v>217</v>
      </c>
      <c r="R249">
        <v>1.1499999999999999</v>
      </c>
      <c r="S249">
        <f t="shared" si="28"/>
        <v>1.9549999999999998</v>
      </c>
      <c r="T249">
        <f t="shared" si="29"/>
        <v>2.6449999999999996</v>
      </c>
      <c r="U249" s="2">
        <f t="shared" si="33"/>
        <v>150.80000000000001</v>
      </c>
      <c r="V249" s="18" t="s">
        <v>44</v>
      </c>
      <c r="W249">
        <v>318.10000000000002</v>
      </c>
      <c r="X249">
        <f t="shared" si="34"/>
        <v>118050</v>
      </c>
      <c r="Y249">
        <f t="shared" si="35"/>
        <v>1583.5</v>
      </c>
      <c r="Z249">
        <v>12.76726336977115</v>
      </c>
      <c r="AA249" s="18" t="s">
        <v>49</v>
      </c>
    </row>
    <row r="250" spans="1:27" x14ac:dyDescent="0.35">
      <c r="A250">
        <v>5160</v>
      </c>
      <c r="B250">
        <v>23050</v>
      </c>
      <c r="C250" s="1">
        <v>43195</v>
      </c>
      <c r="F250" s="45"/>
      <c r="G250">
        <v>8.8000000000000007</v>
      </c>
      <c r="H250">
        <v>7.1</v>
      </c>
      <c r="I250">
        <v>10.9</v>
      </c>
      <c r="J250">
        <f t="shared" si="31"/>
        <v>1802.8</v>
      </c>
      <c r="K250">
        <f t="shared" si="32"/>
        <v>41.8</v>
      </c>
      <c r="L250" s="11">
        <f>AVERAGE(G247:G267)</f>
        <v>13.304761904761904</v>
      </c>
      <c r="M250">
        <v>0</v>
      </c>
      <c r="N250">
        <v>1.4</v>
      </c>
      <c r="O250">
        <f t="shared" si="27"/>
        <v>-1.4</v>
      </c>
      <c r="Q250">
        <v>218</v>
      </c>
      <c r="R250">
        <v>1.1499999999999999</v>
      </c>
      <c r="S250">
        <f t="shared" si="28"/>
        <v>1.6099999999999999</v>
      </c>
      <c r="T250">
        <f t="shared" si="29"/>
        <v>-1.6099999999999999</v>
      </c>
      <c r="U250" s="2">
        <f t="shared" si="33"/>
        <v>149.19</v>
      </c>
      <c r="V250">
        <v>0</v>
      </c>
      <c r="W250">
        <v>673.3</v>
      </c>
      <c r="X250">
        <f t="shared" si="34"/>
        <v>118723.3</v>
      </c>
      <c r="Y250">
        <f t="shared" si="35"/>
        <v>2256.8000000000002</v>
      </c>
      <c r="Z250">
        <v>12.825755459419772</v>
      </c>
      <c r="AA250" s="2">
        <f>(AA248/100)/L248</f>
        <v>0.93432712956335007</v>
      </c>
    </row>
    <row r="251" spans="1:27" x14ac:dyDescent="0.35">
      <c r="A251">
        <v>5160</v>
      </c>
      <c r="B251">
        <v>23050</v>
      </c>
      <c r="C251" s="1">
        <v>43196</v>
      </c>
      <c r="F251" s="45"/>
      <c r="G251">
        <v>12.2</v>
      </c>
      <c r="H251">
        <v>4.0999999999999996</v>
      </c>
      <c r="I251">
        <v>18.8</v>
      </c>
      <c r="J251">
        <f t="shared" si="31"/>
        <v>1815</v>
      </c>
      <c r="K251">
        <f t="shared" si="32"/>
        <v>54</v>
      </c>
      <c r="L251" s="17" t="s">
        <v>38</v>
      </c>
      <c r="M251">
        <v>1.2</v>
      </c>
      <c r="N251">
        <v>3.2</v>
      </c>
      <c r="O251">
        <f t="shared" si="27"/>
        <v>-2</v>
      </c>
      <c r="Q251">
        <v>219</v>
      </c>
      <c r="R251">
        <v>1.1499999999999999</v>
      </c>
      <c r="S251">
        <f t="shared" si="28"/>
        <v>3.6799999999999997</v>
      </c>
      <c r="T251">
        <f t="shared" si="29"/>
        <v>-2.4799999999999995</v>
      </c>
      <c r="U251" s="2">
        <f t="shared" si="33"/>
        <v>146.71</v>
      </c>
      <c r="V251" s="18" t="s">
        <v>45</v>
      </c>
      <c r="W251">
        <v>2039.3</v>
      </c>
      <c r="X251">
        <f t="shared" si="34"/>
        <v>120762.6</v>
      </c>
      <c r="Y251">
        <f t="shared" si="35"/>
        <v>4296.1000000000004</v>
      </c>
      <c r="Z251">
        <v>12.884127166095231</v>
      </c>
      <c r="AA251" s="18" t="s">
        <v>50</v>
      </c>
    </row>
    <row r="252" spans="1:27" x14ac:dyDescent="0.35">
      <c r="A252">
        <v>5160</v>
      </c>
      <c r="B252">
        <v>23050</v>
      </c>
      <c r="C252" s="1">
        <v>43197</v>
      </c>
      <c r="F252" s="45"/>
      <c r="G252">
        <v>13.7</v>
      </c>
      <c r="H252">
        <v>10.9</v>
      </c>
      <c r="I252">
        <v>17.3</v>
      </c>
      <c r="J252">
        <f t="shared" si="31"/>
        <v>1828.7</v>
      </c>
      <c r="K252">
        <f t="shared" si="32"/>
        <v>67.7</v>
      </c>
      <c r="L252" s="11">
        <f>MIN(H247:H267)</f>
        <v>4.0999999999999996</v>
      </c>
      <c r="M252">
        <v>2.7</v>
      </c>
      <c r="N252">
        <v>1.3</v>
      </c>
      <c r="O252">
        <f t="shared" si="27"/>
        <v>1.4000000000000001</v>
      </c>
      <c r="Q252">
        <v>220</v>
      </c>
      <c r="R252">
        <v>1.1499999999999999</v>
      </c>
      <c r="S252">
        <f t="shared" si="28"/>
        <v>1.4949999999999999</v>
      </c>
      <c r="T252">
        <f t="shared" si="29"/>
        <v>1.2050000000000003</v>
      </c>
      <c r="U252" s="2">
        <f t="shared" si="33"/>
        <v>147.91500000000002</v>
      </c>
      <c r="V252" s="2">
        <f>MIN(U247:U267)</f>
        <v>117.10499999999995</v>
      </c>
      <c r="W252">
        <v>363.3</v>
      </c>
      <c r="X252">
        <f t="shared" si="34"/>
        <v>121125.90000000001</v>
      </c>
      <c r="Y252">
        <f t="shared" si="35"/>
        <v>4659.4000000000005</v>
      </c>
      <c r="Z252">
        <v>12.942368821118874</v>
      </c>
      <c r="AA252">
        <v>10</v>
      </c>
    </row>
    <row r="253" spans="1:27" x14ac:dyDescent="0.35">
      <c r="A253">
        <v>5160</v>
      </c>
      <c r="B253">
        <v>23050</v>
      </c>
      <c r="C253" s="1">
        <v>43198</v>
      </c>
      <c r="F253" s="45"/>
      <c r="G253">
        <v>13.8</v>
      </c>
      <c r="H253">
        <v>9.8000000000000007</v>
      </c>
      <c r="I253">
        <v>18.7</v>
      </c>
      <c r="J253">
        <f t="shared" si="31"/>
        <v>1842.5</v>
      </c>
      <c r="K253">
        <f t="shared" si="32"/>
        <v>81.5</v>
      </c>
      <c r="L253" s="17" t="s">
        <v>39</v>
      </c>
      <c r="M253">
        <v>2</v>
      </c>
      <c r="N253">
        <v>1.1000000000000001</v>
      </c>
      <c r="O253">
        <f t="shared" si="27"/>
        <v>0.89999999999999991</v>
      </c>
      <c r="Q253">
        <v>221</v>
      </c>
      <c r="R253">
        <v>1.1499999999999999</v>
      </c>
      <c r="S253">
        <f t="shared" si="28"/>
        <v>1.2649999999999999</v>
      </c>
      <c r="T253">
        <f t="shared" si="29"/>
        <v>0.7350000000000001</v>
      </c>
      <c r="U253" s="2">
        <f t="shared" si="33"/>
        <v>148.65000000000003</v>
      </c>
      <c r="V253" s="18" t="s">
        <v>46</v>
      </c>
      <c r="W253">
        <v>619.70000000000005</v>
      </c>
      <c r="X253">
        <f t="shared" si="34"/>
        <v>121745.60000000001</v>
      </c>
      <c r="Y253">
        <f t="shared" si="35"/>
        <v>5279.1</v>
      </c>
      <c r="Z253">
        <v>13.000470537379494</v>
      </c>
    </row>
    <row r="254" spans="1:27" x14ac:dyDescent="0.35">
      <c r="A254">
        <v>5160</v>
      </c>
      <c r="B254">
        <v>23050</v>
      </c>
      <c r="C254" s="1">
        <v>43199</v>
      </c>
      <c r="F254" s="45"/>
      <c r="G254">
        <v>12</v>
      </c>
      <c r="H254">
        <v>10.6</v>
      </c>
      <c r="I254">
        <v>14.1</v>
      </c>
      <c r="J254">
        <f t="shared" si="31"/>
        <v>1854.5</v>
      </c>
      <c r="K254">
        <f t="shared" si="32"/>
        <v>93.5</v>
      </c>
      <c r="L254" s="11">
        <f>MAX(I247:I267)</f>
        <v>26.9</v>
      </c>
      <c r="M254">
        <v>2.9</v>
      </c>
      <c r="N254">
        <v>0.8</v>
      </c>
      <c r="O254">
        <f t="shared" si="27"/>
        <v>2.0999999999999996</v>
      </c>
      <c r="Q254">
        <v>222</v>
      </c>
      <c r="R254">
        <v>1.1499999999999999</v>
      </c>
      <c r="S254">
        <f t="shared" si="28"/>
        <v>0.91999999999999993</v>
      </c>
      <c r="T254">
        <f t="shared" si="29"/>
        <v>1.98</v>
      </c>
      <c r="U254" s="2">
        <f t="shared" si="33"/>
        <v>150.63000000000002</v>
      </c>
      <c r="V254" s="2">
        <f>MAX(U247:U267)</f>
        <v>150.80000000000001</v>
      </c>
      <c r="W254">
        <v>567.70000000000005</v>
      </c>
      <c r="X254">
        <f t="shared" si="34"/>
        <v>122313.3</v>
      </c>
      <c r="Y254">
        <f t="shared" si="35"/>
        <v>5846.8</v>
      </c>
      <c r="Z254">
        <v>13.058422195819631</v>
      </c>
    </row>
    <row r="255" spans="1:27" x14ac:dyDescent="0.35">
      <c r="A255">
        <v>5160</v>
      </c>
      <c r="B255">
        <v>23050</v>
      </c>
      <c r="C255" s="1">
        <v>43200</v>
      </c>
      <c r="F255" s="45"/>
      <c r="G255">
        <v>9.9</v>
      </c>
      <c r="H255">
        <v>9.4</v>
      </c>
      <c r="I255">
        <v>10.8</v>
      </c>
      <c r="J255">
        <f t="shared" si="31"/>
        <v>1864.4</v>
      </c>
      <c r="K255">
        <f t="shared" si="32"/>
        <v>103.4</v>
      </c>
      <c r="L255" s="17" t="s">
        <v>40</v>
      </c>
      <c r="M255">
        <v>4.2</v>
      </c>
      <c r="N255">
        <v>0.8</v>
      </c>
      <c r="O255">
        <f t="shared" si="27"/>
        <v>3.4000000000000004</v>
      </c>
      <c r="Q255">
        <v>223</v>
      </c>
      <c r="R255">
        <v>1.1499999999999999</v>
      </c>
      <c r="S255">
        <f t="shared" si="28"/>
        <v>0.91999999999999993</v>
      </c>
      <c r="T255">
        <f t="shared" si="29"/>
        <v>3.2800000000000002</v>
      </c>
      <c r="U255" s="2">
        <f t="shared" si="33"/>
        <v>150.80000000000001</v>
      </c>
      <c r="V255" s="18" t="s">
        <v>47</v>
      </c>
      <c r="W255">
        <v>489</v>
      </c>
      <c r="X255">
        <f t="shared" si="34"/>
        <v>122802.3</v>
      </c>
      <c r="Y255">
        <f t="shared" si="35"/>
        <v>6335.8</v>
      </c>
      <c r="Z255">
        <v>13.116213432157945</v>
      </c>
    </row>
    <row r="256" spans="1:27" x14ac:dyDescent="0.35">
      <c r="A256">
        <v>5160</v>
      </c>
      <c r="B256">
        <v>23050</v>
      </c>
      <c r="C256" s="1">
        <v>43201</v>
      </c>
      <c r="F256" s="45"/>
      <c r="G256">
        <v>11.4</v>
      </c>
      <c r="H256">
        <v>6.7</v>
      </c>
      <c r="I256">
        <v>16.100000000000001</v>
      </c>
      <c r="J256">
        <f t="shared" si="31"/>
        <v>1875.8000000000002</v>
      </c>
      <c r="K256">
        <f t="shared" si="32"/>
        <v>114.80000000000001</v>
      </c>
      <c r="L256" s="11">
        <v>4</v>
      </c>
      <c r="M256">
        <v>0.1</v>
      </c>
      <c r="N256">
        <v>2.2999999999999998</v>
      </c>
      <c r="O256">
        <f t="shared" si="27"/>
        <v>-2.1999999999999997</v>
      </c>
      <c r="Q256">
        <v>224</v>
      </c>
      <c r="R256">
        <v>1.1499999999999999</v>
      </c>
      <c r="S256">
        <f t="shared" si="28"/>
        <v>2.6449999999999996</v>
      </c>
      <c r="T256">
        <f t="shared" si="29"/>
        <v>-2.5449999999999995</v>
      </c>
      <c r="U256" s="2">
        <f t="shared" si="33"/>
        <v>148.25500000000002</v>
      </c>
      <c r="V256" s="2">
        <f>AVERAGE(U247:U267)</f>
        <v>143.60559523809525</v>
      </c>
      <c r="W256">
        <v>1402.9</v>
      </c>
      <c r="X256">
        <f t="shared" si="34"/>
        <v>124205.2</v>
      </c>
      <c r="Y256">
        <f t="shared" si="35"/>
        <v>7738.7000000000007</v>
      </c>
      <c r="Z256">
        <v>13.173833623872605</v>
      </c>
    </row>
    <row r="257" spans="1:27" x14ac:dyDescent="0.35">
      <c r="A257">
        <v>5160</v>
      </c>
      <c r="B257">
        <v>23050</v>
      </c>
      <c r="C257" s="1">
        <v>43202</v>
      </c>
      <c r="F257" s="45"/>
      <c r="G257">
        <v>10.199999999999999</v>
      </c>
      <c r="H257">
        <v>9.1</v>
      </c>
      <c r="I257">
        <v>12</v>
      </c>
      <c r="J257">
        <f t="shared" si="31"/>
        <v>1886.0000000000002</v>
      </c>
      <c r="K257">
        <f t="shared" si="32"/>
        <v>125.00000000000001</v>
      </c>
      <c r="L257" s="17" t="s">
        <v>41</v>
      </c>
      <c r="M257">
        <v>3.9</v>
      </c>
      <c r="N257">
        <v>0.6</v>
      </c>
      <c r="O257">
        <f t="shared" si="27"/>
        <v>3.3</v>
      </c>
      <c r="Q257">
        <v>225</v>
      </c>
      <c r="R257">
        <v>1.1499999999999999</v>
      </c>
      <c r="S257">
        <f t="shared" si="28"/>
        <v>0.69</v>
      </c>
      <c r="T257">
        <f t="shared" si="29"/>
        <v>3.21</v>
      </c>
      <c r="U257" s="2">
        <f t="shared" si="33"/>
        <v>150.80000000000001</v>
      </c>
      <c r="W257">
        <v>481.7</v>
      </c>
      <c r="X257">
        <f t="shared" si="34"/>
        <v>124686.9</v>
      </c>
      <c r="Y257">
        <f t="shared" si="35"/>
        <v>8220.4000000000015</v>
      </c>
      <c r="Z257">
        <v>13.231271877472551</v>
      </c>
    </row>
    <row r="258" spans="1:27" x14ac:dyDescent="0.35">
      <c r="A258">
        <v>5160</v>
      </c>
      <c r="B258">
        <v>23050</v>
      </c>
      <c r="C258" s="1">
        <v>43203</v>
      </c>
      <c r="F258" s="45"/>
      <c r="G258">
        <v>10.9</v>
      </c>
      <c r="H258">
        <v>7.3</v>
      </c>
      <c r="I258">
        <v>14.6</v>
      </c>
      <c r="J258">
        <f t="shared" si="31"/>
        <v>1896.9000000000003</v>
      </c>
      <c r="K258">
        <f t="shared" si="32"/>
        <v>135.9</v>
      </c>
      <c r="L258" s="11">
        <v>1</v>
      </c>
      <c r="M258">
        <v>0.6</v>
      </c>
      <c r="N258">
        <v>1.9</v>
      </c>
      <c r="O258">
        <f t="shared" si="27"/>
        <v>-1.2999999999999998</v>
      </c>
      <c r="Q258">
        <v>226</v>
      </c>
      <c r="R258">
        <v>1.1499999999999999</v>
      </c>
      <c r="S258">
        <f t="shared" si="28"/>
        <v>2.1849999999999996</v>
      </c>
      <c r="T258">
        <f t="shared" si="29"/>
        <v>-1.5849999999999995</v>
      </c>
      <c r="U258" s="2">
        <f t="shared" si="33"/>
        <v>149.215</v>
      </c>
      <c r="V258">
        <f>(V256*100)/150.8</f>
        <v>95.229174561071119</v>
      </c>
      <c r="W258">
        <v>1371.6</v>
      </c>
      <c r="X258">
        <f t="shared" si="34"/>
        <v>126058.5</v>
      </c>
      <c r="Y258">
        <f t="shared" si="35"/>
        <v>9592.0000000000018</v>
      </c>
      <c r="Z258">
        <v>13.288517016085436</v>
      </c>
    </row>
    <row r="259" spans="1:27" x14ac:dyDescent="0.35">
      <c r="A259">
        <v>5160</v>
      </c>
      <c r="B259">
        <v>23050</v>
      </c>
      <c r="C259" s="1">
        <v>43204</v>
      </c>
      <c r="F259" s="45"/>
      <c r="G259">
        <v>11.4</v>
      </c>
      <c r="H259">
        <v>7.1</v>
      </c>
      <c r="I259">
        <v>15.1</v>
      </c>
      <c r="J259">
        <f t="shared" si="31"/>
        <v>1908.3000000000004</v>
      </c>
      <c r="K259">
        <f t="shared" si="32"/>
        <v>147.30000000000001</v>
      </c>
      <c r="L259" s="17" t="s">
        <v>42</v>
      </c>
      <c r="M259">
        <v>2.4</v>
      </c>
      <c r="N259">
        <v>0.7</v>
      </c>
      <c r="O259">
        <f t="shared" si="27"/>
        <v>1.7</v>
      </c>
      <c r="Q259">
        <v>227</v>
      </c>
      <c r="R259">
        <v>1.1499999999999999</v>
      </c>
      <c r="S259">
        <f t="shared" si="28"/>
        <v>0.80499999999999994</v>
      </c>
      <c r="T259">
        <f t="shared" si="29"/>
        <v>1.595</v>
      </c>
      <c r="U259" s="2">
        <f t="shared" si="33"/>
        <v>150.80000000000001</v>
      </c>
      <c r="W259">
        <v>627</v>
      </c>
      <c r="X259">
        <f t="shared" si="34"/>
        <v>126685.5</v>
      </c>
      <c r="Y259">
        <f t="shared" si="35"/>
        <v>10219.000000000002</v>
      </c>
      <c r="Z259">
        <v>13.345557567392914</v>
      </c>
    </row>
    <row r="260" spans="1:27" x14ac:dyDescent="0.35">
      <c r="A260">
        <v>5160</v>
      </c>
      <c r="B260">
        <v>23050</v>
      </c>
      <c r="C260" s="1">
        <v>43205</v>
      </c>
      <c r="F260" s="45"/>
      <c r="G260">
        <v>11.5</v>
      </c>
      <c r="H260">
        <v>6.8</v>
      </c>
      <c r="I260">
        <v>15.6</v>
      </c>
      <c r="J260">
        <f t="shared" si="31"/>
        <v>1919.8000000000004</v>
      </c>
      <c r="K260">
        <f t="shared" si="32"/>
        <v>158.80000000000001</v>
      </c>
      <c r="L260" s="11">
        <v>0</v>
      </c>
      <c r="M260">
        <v>0</v>
      </c>
      <c r="N260">
        <v>1.4</v>
      </c>
      <c r="O260">
        <f t="shared" si="27"/>
        <v>-1.4</v>
      </c>
      <c r="Q260">
        <v>228</v>
      </c>
      <c r="R260">
        <v>1.1499999999999999</v>
      </c>
      <c r="S260">
        <f t="shared" si="28"/>
        <v>1.6099999999999999</v>
      </c>
      <c r="T260">
        <f t="shared" si="29"/>
        <v>-1.6099999999999999</v>
      </c>
      <c r="U260" s="2">
        <f t="shared" si="33"/>
        <v>149.19</v>
      </c>
      <c r="W260">
        <v>1094.4000000000001</v>
      </c>
      <c r="X260">
        <f t="shared" si="34"/>
        <v>127779.9</v>
      </c>
      <c r="Y260">
        <f t="shared" si="35"/>
        <v>11313.400000000001</v>
      </c>
      <c r="Z260">
        <v>13.402381751946184</v>
      </c>
    </row>
    <row r="261" spans="1:27" x14ac:dyDescent="0.35">
      <c r="A261">
        <v>5160</v>
      </c>
      <c r="B261">
        <v>23050</v>
      </c>
      <c r="C261" s="1">
        <v>43206</v>
      </c>
      <c r="F261" s="45"/>
      <c r="G261">
        <v>11.4</v>
      </c>
      <c r="H261">
        <v>8.1</v>
      </c>
      <c r="I261">
        <v>15.2</v>
      </c>
      <c r="J261">
        <f t="shared" si="31"/>
        <v>1931.2000000000005</v>
      </c>
      <c r="K261">
        <f t="shared" si="32"/>
        <v>170.20000000000002</v>
      </c>
      <c r="M261">
        <v>0</v>
      </c>
      <c r="N261">
        <v>2</v>
      </c>
      <c r="O261">
        <f t="shared" ref="O261:O324" si="36">M261-N261</f>
        <v>-2</v>
      </c>
      <c r="Q261">
        <v>229</v>
      </c>
      <c r="R261">
        <v>1.1499999999999999</v>
      </c>
      <c r="S261">
        <f t="shared" ref="S261:S324" si="37">R261*N261</f>
        <v>2.2999999999999998</v>
      </c>
      <c r="T261">
        <f t="shared" ref="T261:T324" si="38">M261-S261</f>
        <v>-2.2999999999999998</v>
      </c>
      <c r="U261" s="2">
        <f t="shared" si="33"/>
        <v>146.88999999999999</v>
      </c>
      <c r="W261">
        <v>1589.4</v>
      </c>
      <c r="X261">
        <f t="shared" si="34"/>
        <v>129369.29999999999</v>
      </c>
      <c r="Y261">
        <f t="shared" si="35"/>
        <v>12902.800000000001</v>
      </c>
      <c r="Z261">
        <v>13.458977471896711</v>
      </c>
    </row>
    <row r="262" spans="1:27" x14ac:dyDescent="0.35">
      <c r="A262">
        <v>5160</v>
      </c>
      <c r="B262">
        <v>23050</v>
      </c>
      <c r="C262" s="1">
        <v>43207</v>
      </c>
      <c r="F262" s="45"/>
      <c r="G262">
        <v>14</v>
      </c>
      <c r="H262">
        <v>5.7</v>
      </c>
      <c r="I262">
        <v>20.5</v>
      </c>
      <c r="J262">
        <f t="shared" si="31"/>
        <v>1945.2000000000005</v>
      </c>
      <c r="K262">
        <f t="shared" si="32"/>
        <v>184.20000000000002</v>
      </c>
      <c r="M262">
        <v>0</v>
      </c>
      <c r="N262">
        <v>3.9</v>
      </c>
      <c r="O262">
        <f t="shared" si="36"/>
        <v>-3.9</v>
      </c>
      <c r="Q262">
        <v>230</v>
      </c>
      <c r="R262">
        <v>1.1499999999999999</v>
      </c>
      <c r="S262">
        <f t="shared" si="37"/>
        <v>4.4849999999999994</v>
      </c>
      <c r="T262">
        <f t="shared" si="38"/>
        <v>-4.4849999999999994</v>
      </c>
      <c r="U262" s="2">
        <f t="shared" si="33"/>
        <v>142.40499999999997</v>
      </c>
      <c r="W262">
        <v>2512.9</v>
      </c>
      <c r="X262">
        <f t="shared" si="34"/>
        <v>131882.19999999998</v>
      </c>
      <c r="Y262">
        <f t="shared" si="35"/>
        <v>15415.7</v>
      </c>
      <c r="Z262">
        <v>13.515332300179331</v>
      </c>
    </row>
    <row r="263" spans="1:27" x14ac:dyDescent="0.35">
      <c r="A263">
        <v>5160</v>
      </c>
      <c r="B263">
        <v>23050</v>
      </c>
      <c r="C263" s="1">
        <v>43208</v>
      </c>
      <c r="F263" s="45"/>
      <c r="G263">
        <v>17.5</v>
      </c>
      <c r="H263">
        <v>11.1</v>
      </c>
      <c r="I263">
        <v>24.4</v>
      </c>
      <c r="J263">
        <f t="shared" si="31"/>
        <v>1962.7000000000005</v>
      </c>
      <c r="K263">
        <f t="shared" si="32"/>
        <v>201.70000000000002</v>
      </c>
      <c r="M263">
        <v>0</v>
      </c>
      <c r="N263">
        <v>4.5</v>
      </c>
      <c r="O263">
        <f t="shared" si="36"/>
        <v>-4.5</v>
      </c>
      <c r="Q263">
        <v>231</v>
      </c>
      <c r="R263">
        <v>1.1499999999999999</v>
      </c>
      <c r="S263">
        <f t="shared" si="37"/>
        <v>5.1749999999999998</v>
      </c>
      <c r="T263">
        <f t="shared" si="38"/>
        <v>-5.1749999999999998</v>
      </c>
      <c r="U263" s="2">
        <f t="shared" si="33"/>
        <v>137.22999999999996</v>
      </c>
      <c r="W263">
        <v>2101.1</v>
      </c>
      <c r="X263">
        <f t="shared" si="34"/>
        <v>133983.29999999999</v>
      </c>
      <c r="Y263">
        <f t="shared" si="35"/>
        <v>17516.8</v>
      </c>
      <c r="Z263">
        <v>13.571433470187175</v>
      </c>
    </row>
    <row r="264" spans="1:27" x14ac:dyDescent="0.35">
      <c r="A264">
        <v>5160</v>
      </c>
      <c r="B264">
        <v>23050</v>
      </c>
      <c r="C264" s="1">
        <v>43209</v>
      </c>
      <c r="F264" s="45"/>
      <c r="G264">
        <v>18.399999999999999</v>
      </c>
      <c r="H264">
        <v>11.2</v>
      </c>
      <c r="I264">
        <v>25.4</v>
      </c>
      <c r="J264">
        <f t="shared" si="31"/>
        <v>1981.1000000000006</v>
      </c>
      <c r="K264">
        <f t="shared" si="32"/>
        <v>220.10000000000002</v>
      </c>
      <c r="M264">
        <v>0</v>
      </c>
      <c r="N264">
        <v>4.8</v>
      </c>
      <c r="O264">
        <f t="shared" si="36"/>
        <v>-4.8</v>
      </c>
      <c r="Q264">
        <v>232</v>
      </c>
      <c r="R264">
        <v>1.1499999999999999</v>
      </c>
      <c r="S264">
        <f t="shared" si="37"/>
        <v>5.52</v>
      </c>
      <c r="T264">
        <f t="shared" si="38"/>
        <v>-5.52</v>
      </c>
      <c r="U264" s="2">
        <f t="shared" si="33"/>
        <v>131.70999999999995</v>
      </c>
      <c r="W264">
        <v>2545.6999999999998</v>
      </c>
      <c r="X264">
        <f t="shared" si="34"/>
        <v>136529</v>
      </c>
      <c r="Y264">
        <f t="shared" si="35"/>
        <v>20062.5</v>
      </c>
      <c r="Z264">
        <v>13.627267865980141</v>
      </c>
    </row>
    <row r="265" spans="1:27" x14ac:dyDescent="0.35">
      <c r="A265">
        <v>5160</v>
      </c>
      <c r="B265">
        <v>23050</v>
      </c>
      <c r="C265" s="1">
        <v>43210</v>
      </c>
      <c r="F265" s="45"/>
      <c r="G265">
        <v>19.7</v>
      </c>
      <c r="H265">
        <v>11.8</v>
      </c>
      <c r="I265">
        <v>26.9</v>
      </c>
      <c r="J265">
        <f t="shared" si="31"/>
        <v>2000.8000000000006</v>
      </c>
      <c r="K265">
        <f t="shared" si="32"/>
        <v>239.8</v>
      </c>
      <c r="M265">
        <v>0</v>
      </c>
      <c r="N265">
        <v>4.0999999999999996</v>
      </c>
      <c r="O265">
        <f t="shared" si="36"/>
        <v>-4.0999999999999996</v>
      </c>
      <c r="Q265">
        <v>233</v>
      </c>
      <c r="R265">
        <v>1.1499999999999999</v>
      </c>
      <c r="S265">
        <f t="shared" si="37"/>
        <v>4.714999999999999</v>
      </c>
      <c r="T265">
        <f t="shared" si="38"/>
        <v>-4.714999999999999</v>
      </c>
      <c r="U265" s="2">
        <f t="shared" si="33"/>
        <v>126.99499999999995</v>
      </c>
      <c r="W265">
        <v>1905.9</v>
      </c>
      <c r="X265">
        <f t="shared" si="34"/>
        <v>138434.9</v>
      </c>
      <c r="Y265">
        <f t="shared" si="35"/>
        <v>21968.400000000001</v>
      </c>
      <c r="Z265">
        <v>13.682822013070995</v>
      </c>
    </row>
    <row r="266" spans="1:27" x14ac:dyDescent="0.35">
      <c r="A266">
        <v>5160</v>
      </c>
      <c r="B266">
        <v>23050</v>
      </c>
      <c r="C266" s="1">
        <v>43211</v>
      </c>
      <c r="F266" s="45"/>
      <c r="G266">
        <v>20.7</v>
      </c>
      <c r="H266">
        <v>15.6</v>
      </c>
      <c r="I266">
        <v>26.9</v>
      </c>
      <c r="J266">
        <f t="shared" si="31"/>
        <v>2021.5000000000007</v>
      </c>
      <c r="K266">
        <f t="shared" si="32"/>
        <v>260.5</v>
      </c>
      <c r="M266">
        <v>0</v>
      </c>
      <c r="N266">
        <v>4.4000000000000004</v>
      </c>
      <c r="O266">
        <f t="shared" si="36"/>
        <v>-4.4000000000000004</v>
      </c>
      <c r="Q266">
        <v>234</v>
      </c>
      <c r="R266">
        <v>1.1499999999999999</v>
      </c>
      <c r="S266">
        <f t="shared" si="37"/>
        <v>5.0599999999999996</v>
      </c>
      <c r="T266">
        <f t="shared" si="38"/>
        <v>-5.0599999999999996</v>
      </c>
      <c r="U266" s="2">
        <f t="shared" si="33"/>
        <v>121.93499999999995</v>
      </c>
      <c r="W266">
        <v>2011.8</v>
      </c>
      <c r="X266">
        <f t="shared" si="34"/>
        <v>140446.69999999998</v>
      </c>
      <c r="Y266">
        <f t="shared" si="35"/>
        <v>23980.2</v>
      </c>
      <c r="Z266">
        <v>13.738082069835485</v>
      </c>
    </row>
    <row r="267" spans="1:27" s="6" customFormat="1" ht="15" thickBot="1" x14ac:dyDescent="0.4">
      <c r="A267" s="6">
        <v>5160</v>
      </c>
      <c r="B267" s="6">
        <v>23050</v>
      </c>
      <c r="C267" s="7">
        <v>43212</v>
      </c>
      <c r="D267" s="6" t="s">
        <v>32</v>
      </c>
      <c r="F267" s="46"/>
      <c r="G267" s="6">
        <v>18.899999999999999</v>
      </c>
      <c r="H267" s="6">
        <v>14</v>
      </c>
      <c r="I267" s="6">
        <v>25</v>
      </c>
      <c r="J267" s="6">
        <f t="shared" si="31"/>
        <v>2040.4000000000008</v>
      </c>
      <c r="K267" s="6">
        <f t="shared" si="32"/>
        <v>279.39999999999998</v>
      </c>
      <c r="M267" s="6">
        <v>0</v>
      </c>
      <c r="N267" s="6">
        <v>4.2</v>
      </c>
      <c r="O267" s="6">
        <f t="shared" si="36"/>
        <v>-4.2</v>
      </c>
      <c r="Q267" s="6">
        <v>235</v>
      </c>
      <c r="R267" s="6">
        <v>1.1499999999999999</v>
      </c>
      <c r="S267" s="6">
        <f t="shared" si="37"/>
        <v>4.83</v>
      </c>
      <c r="T267" s="6">
        <f t="shared" si="38"/>
        <v>-4.83</v>
      </c>
      <c r="U267" s="9">
        <f t="shared" si="33"/>
        <v>117.10499999999995</v>
      </c>
      <c r="W267" s="6">
        <v>2124.9</v>
      </c>
      <c r="X267" s="6">
        <f t="shared" si="34"/>
        <v>142571.59999999998</v>
      </c>
      <c r="Y267" s="6">
        <f t="shared" si="35"/>
        <v>26105.100000000002</v>
      </c>
      <c r="Z267" s="6">
        <v>13.793033819595244</v>
      </c>
    </row>
    <row r="268" spans="1:27" x14ac:dyDescent="0.35">
      <c r="A268">
        <v>5160</v>
      </c>
      <c r="B268">
        <v>23050</v>
      </c>
      <c r="C268" s="1">
        <v>43213</v>
      </c>
      <c r="F268" s="41" t="s">
        <v>56</v>
      </c>
      <c r="G268">
        <v>14.5</v>
      </c>
      <c r="H268">
        <v>12.5</v>
      </c>
      <c r="I268">
        <v>17.600000000000001</v>
      </c>
      <c r="J268">
        <f t="shared" si="31"/>
        <v>2054.9000000000005</v>
      </c>
      <c r="K268">
        <f>G268</f>
        <v>14.5</v>
      </c>
      <c r="L268" s="19" t="s">
        <v>36</v>
      </c>
      <c r="M268">
        <v>0.1</v>
      </c>
      <c r="N268">
        <v>1.2</v>
      </c>
      <c r="O268">
        <f t="shared" si="36"/>
        <v>-1.0999999999999999</v>
      </c>
      <c r="Q268">
        <v>236</v>
      </c>
      <c r="R268">
        <v>1.1499999999999999</v>
      </c>
      <c r="S268">
        <f t="shared" si="37"/>
        <v>1.38</v>
      </c>
      <c r="T268">
        <f t="shared" si="38"/>
        <v>-1.2799999999999998</v>
      </c>
      <c r="U268" s="2">
        <f t="shared" si="33"/>
        <v>115.82499999999995</v>
      </c>
      <c r="V268" s="20" t="s">
        <v>43</v>
      </c>
      <c r="W268">
        <v>583.9</v>
      </c>
      <c r="X268">
        <f t="shared" si="34"/>
        <v>143155.49999999997</v>
      </c>
      <c r="Y268">
        <f>W268</f>
        <v>583.9</v>
      </c>
      <c r="Z268">
        <v>13.847662663424472</v>
      </c>
      <c r="AA268" s="20" t="s">
        <v>48</v>
      </c>
    </row>
    <row r="269" spans="1:27" x14ac:dyDescent="0.35">
      <c r="A269">
        <v>5160</v>
      </c>
      <c r="B269">
        <v>23050</v>
      </c>
      <c r="C269" s="1">
        <v>43214</v>
      </c>
      <c r="F269" s="42"/>
      <c r="G269">
        <v>13.6</v>
      </c>
      <c r="H269">
        <v>7.2</v>
      </c>
      <c r="I269">
        <v>19.399999999999999</v>
      </c>
      <c r="J269">
        <f t="shared" si="31"/>
        <v>2068.5000000000005</v>
      </c>
      <c r="K269">
        <f t="shared" si="32"/>
        <v>28.1</v>
      </c>
      <c r="L269" s="11">
        <v>313.8</v>
      </c>
      <c r="M269">
        <v>0</v>
      </c>
      <c r="N269">
        <v>3</v>
      </c>
      <c r="O269">
        <f t="shared" si="36"/>
        <v>-3</v>
      </c>
      <c r="Q269">
        <v>237</v>
      </c>
      <c r="R269">
        <v>1.1499999999999999</v>
      </c>
      <c r="S269">
        <f t="shared" si="37"/>
        <v>3.4499999999999997</v>
      </c>
      <c r="T269">
        <f t="shared" si="38"/>
        <v>-3.4499999999999997</v>
      </c>
      <c r="U269" s="2">
        <f t="shared" si="33"/>
        <v>112.37499999999994</v>
      </c>
      <c r="V269">
        <v>0</v>
      </c>
      <c r="W269">
        <v>2049.1999999999998</v>
      </c>
      <c r="X269">
        <f t="shared" si="34"/>
        <v>145204.69999999998</v>
      </c>
      <c r="Y269">
        <f t="shared" si="35"/>
        <v>2633.1</v>
      </c>
      <c r="Z269">
        <v>13.901953613733792</v>
      </c>
      <c r="AA269">
        <v>39327.699999999997</v>
      </c>
    </row>
    <row r="270" spans="1:27" x14ac:dyDescent="0.35">
      <c r="A270">
        <v>5160</v>
      </c>
      <c r="B270">
        <v>23050</v>
      </c>
      <c r="C270" s="1">
        <v>43215</v>
      </c>
      <c r="F270" s="42"/>
      <c r="G270">
        <v>12.6</v>
      </c>
      <c r="H270">
        <v>9.1999999999999993</v>
      </c>
      <c r="I270">
        <v>16</v>
      </c>
      <c r="J270">
        <f t="shared" si="31"/>
        <v>2081.1000000000004</v>
      </c>
      <c r="K270">
        <f t="shared" si="32"/>
        <v>40.700000000000003</v>
      </c>
      <c r="L270" s="19" t="s">
        <v>37</v>
      </c>
      <c r="M270">
        <v>1.1000000000000001</v>
      </c>
      <c r="N270">
        <v>1</v>
      </c>
      <c r="O270">
        <f t="shared" si="36"/>
        <v>0.10000000000000009</v>
      </c>
      <c r="Q270">
        <v>238</v>
      </c>
      <c r="R270">
        <v>1.1499999999999999</v>
      </c>
      <c r="S270">
        <f t="shared" si="37"/>
        <v>1.1499999999999999</v>
      </c>
      <c r="T270">
        <f t="shared" si="38"/>
        <v>-4.9999999999999822E-2</v>
      </c>
      <c r="U270" s="2">
        <f t="shared" si="33"/>
        <v>112.32499999999995</v>
      </c>
      <c r="V270" s="20" t="s">
        <v>44</v>
      </c>
      <c r="W270">
        <v>530.70000000000005</v>
      </c>
      <c r="X270">
        <f t="shared" si="34"/>
        <v>145735.4</v>
      </c>
      <c r="Y270">
        <f t="shared" si="35"/>
        <v>3163.8</v>
      </c>
      <c r="Z270">
        <v>13.955891288686729</v>
      </c>
      <c r="AA270" s="20" t="s">
        <v>49</v>
      </c>
    </row>
    <row r="271" spans="1:27" x14ac:dyDescent="0.35">
      <c r="A271">
        <v>5160</v>
      </c>
      <c r="B271">
        <v>23050</v>
      </c>
      <c r="C271" s="1">
        <v>43216</v>
      </c>
      <c r="F271" s="42"/>
      <c r="G271">
        <v>10.7</v>
      </c>
      <c r="H271">
        <v>6.3</v>
      </c>
      <c r="I271">
        <v>15.1</v>
      </c>
      <c r="J271">
        <f t="shared" si="31"/>
        <v>2091.8000000000002</v>
      </c>
      <c r="K271">
        <f t="shared" si="32"/>
        <v>51.400000000000006</v>
      </c>
      <c r="L271" s="11">
        <f>AVERAGE(G268:G291)</f>
        <v>13.075000000000001</v>
      </c>
      <c r="M271">
        <v>0</v>
      </c>
      <c r="N271">
        <v>2.9</v>
      </c>
      <c r="O271">
        <f t="shared" si="36"/>
        <v>-2.9</v>
      </c>
      <c r="Q271">
        <v>239</v>
      </c>
      <c r="R271">
        <v>1.1499999999999999</v>
      </c>
      <c r="S271">
        <f t="shared" si="37"/>
        <v>3.3349999999999995</v>
      </c>
      <c r="T271">
        <f t="shared" si="38"/>
        <v>-3.3349999999999995</v>
      </c>
      <c r="U271" s="2">
        <f t="shared" si="33"/>
        <v>108.98999999999995</v>
      </c>
      <c r="V271">
        <v>0</v>
      </c>
      <c r="W271">
        <v>2001.8</v>
      </c>
      <c r="X271">
        <f t="shared" si="34"/>
        <v>147737.19999999998</v>
      </c>
      <c r="Y271">
        <f t="shared" si="35"/>
        <v>5165.6000000000004</v>
      </c>
      <c r="Z271">
        <v>14.009459907506546</v>
      </c>
      <c r="AA271">
        <f>(AA269/100)/L269</f>
        <v>1.2532727852135117</v>
      </c>
    </row>
    <row r="272" spans="1:27" x14ac:dyDescent="0.35">
      <c r="A272">
        <v>5160</v>
      </c>
      <c r="B272">
        <v>23050</v>
      </c>
      <c r="C272" s="1">
        <v>43217</v>
      </c>
      <c r="F272" s="42"/>
      <c r="G272">
        <v>11.8</v>
      </c>
      <c r="H272">
        <v>6.8</v>
      </c>
      <c r="I272">
        <v>17.399999999999999</v>
      </c>
      <c r="J272">
        <f t="shared" si="31"/>
        <v>2103.6000000000004</v>
      </c>
      <c r="K272">
        <f t="shared" si="32"/>
        <v>63.2</v>
      </c>
      <c r="L272" s="19" t="s">
        <v>38</v>
      </c>
      <c r="M272">
        <v>0</v>
      </c>
      <c r="N272">
        <v>3</v>
      </c>
      <c r="O272">
        <f t="shared" si="36"/>
        <v>-3</v>
      </c>
      <c r="Q272">
        <v>240</v>
      </c>
      <c r="R272">
        <v>1.1499999999999999</v>
      </c>
      <c r="S272">
        <f t="shared" si="37"/>
        <v>3.4499999999999997</v>
      </c>
      <c r="T272">
        <f t="shared" si="38"/>
        <v>-3.4499999999999997</v>
      </c>
      <c r="U272" s="2">
        <f t="shared" si="33"/>
        <v>105.53999999999995</v>
      </c>
      <c r="V272" s="20" t="s">
        <v>45</v>
      </c>
      <c r="W272">
        <v>1382.3</v>
      </c>
      <c r="X272">
        <f t="shared" si="34"/>
        <v>149119.49999999997</v>
      </c>
      <c r="Y272">
        <f t="shared" si="35"/>
        <v>6547.9000000000005</v>
      </c>
      <c r="Z272">
        <v>14.062643286732953</v>
      </c>
      <c r="AA272" s="20" t="s">
        <v>50</v>
      </c>
    </row>
    <row r="273" spans="1:27" x14ac:dyDescent="0.35">
      <c r="A273">
        <v>5160</v>
      </c>
      <c r="B273">
        <v>23050</v>
      </c>
      <c r="C273" s="1">
        <v>43218</v>
      </c>
      <c r="F273" s="42"/>
      <c r="G273">
        <v>11.2</v>
      </c>
      <c r="H273">
        <v>8.4</v>
      </c>
      <c r="I273">
        <v>13.8</v>
      </c>
      <c r="J273">
        <f t="shared" si="31"/>
        <v>2114.8000000000002</v>
      </c>
      <c r="K273">
        <f t="shared" si="32"/>
        <v>74.400000000000006</v>
      </c>
      <c r="L273" s="11">
        <f>MIN(H268:H291)</f>
        <v>2.9</v>
      </c>
      <c r="M273">
        <v>1.8</v>
      </c>
      <c r="N273">
        <v>1.8</v>
      </c>
      <c r="O273">
        <f t="shared" si="36"/>
        <v>0</v>
      </c>
      <c r="Q273">
        <v>241</v>
      </c>
      <c r="R273">
        <v>1.1499999999999999</v>
      </c>
      <c r="S273">
        <f t="shared" si="37"/>
        <v>2.0699999999999998</v>
      </c>
      <c r="T273">
        <f t="shared" si="38"/>
        <v>-0.2699999999999998</v>
      </c>
      <c r="U273" s="2">
        <f t="shared" si="33"/>
        <v>105.26999999999995</v>
      </c>
      <c r="V273" s="2">
        <f>MIN(U268:U291)</f>
        <v>75.989999999999952</v>
      </c>
      <c r="W273">
        <v>1343.5</v>
      </c>
      <c r="X273">
        <f t="shared" si="34"/>
        <v>150462.99999999997</v>
      </c>
      <c r="Y273">
        <f t="shared" si="35"/>
        <v>7891.4000000000005</v>
      </c>
      <c r="Z273">
        <v>14.115424837490291</v>
      </c>
      <c r="AA273">
        <v>7</v>
      </c>
    </row>
    <row r="274" spans="1:27" x14ac:dyDescent="0.35">
      <c r="A274">
        <v>5160</v>
      </c>
      <c r="B274">
        <v>23050</v>
      </c>
      <c r="C274" s="1">
        <v>43219</v>
      </c>
      <c r="F274" s="42"/>
      <c r="G274">
        <v>10</v>
      </c>
      <c r="H274">
        <v>8.8000000000000007</v>
      </c>
      <c r="I274">
        <v>10.9</v>
      </c>
      <c r="J274">
        <f t="shared" si="31"/>
        <v>2124.8000000000002</v>
      </c>
      <c r="K274">
        <f t="shared" si="32"/>
        <v>84.4</v>
      </c>
      <c r="L274" s="19" t="s">
        <v>39</v>
      </c>
      <c r="M274">
        <v>15.4</v>
      </c>
      <c r="N274">
        <v>1.1000000000000001</v>
      </c>
      <c r="O274">
        <f t="shared" si="36"/>
        <v>14.3</v>
      </c>
      <c r="Q274">
        <v>242</v>
      </c>
      <c r="R274">
        <v>1.1499999999999999</v>
      </c>
      <c r="S274">
        <f t="shared" si="37"/>
        <v>1.2649999999999999</v>
      </c>
      <c r="T274">
        <f t="shared" si="38"/>
        <v>14.135</v>
      </c>
      <c r="U274" s="2">
        <f t="shared" si="33"/>
        <v>119.40499999999996</v>
      </c>
      <c r="V274" s="20" t="s">
        <v>46</v>
      </c>
      <c r="W274">
        <v>708.9</v>
      </c>
      <c r="X274">
        <f t="shared" si="34"/>
        <v>151171.89999999997</v>
      </c>
      <c r="Y274">
        <f t="shared" si="35"/>
        <v>8600.3000000000011</v>
      </c>
      <c r="Z274">
        <v>14.167787563830256</v>
      </c>
    </row>
    <row r="275" spans="1:27" x14ac:dyDescent="0.35">
      <c r="A275">
        <v>5160</v>
      </c>
      <c r="B275">
        <v>23050</v>
      </c>
      <c r="C275" s="1">
        <v>43220</v>
      </c>
      <c r="F275" s="42"/>
      <c r="G275">
        <v>6.7</v>
      </c>
      <c r="H275">
        <v>6.4</v>
      </c>
      <c r="I275">
        <v>8</v>
      </c>
      <c r="J275">
        <f t="shared" si="31"/>
        <v>2131.5</v>
      </c>
      <c r="K275">
        <f t="shared" si="32"/>
        <v>91.100000000000009</v>
      </c>
      <c r="L275" s="11">
        <f>MAX(I268:I291)</f>
        <v>25.4</v>
      </c>
      <c r="M275">
        <v>2.4</v>
      </c>
      <c r="N275">
        <v>0.9</v>
      </c>
      <c r="O275">
        <f t="shared" si="36"/>
        <v>1.5</v>
      </c>
      <c r="Q275">
        <v>243</v>
      </c>
      <c r="R275">
        <v>1.1499999999999999</v>
      </c>
      <c r="S275">
        <f t="shared" si="37"/>
        <v>1.0349999999999999</v>
      </c>
      <c r="T275">
        <f t="shared" si="38"/>
        <v>1.365</v>
      </c>
      <c r="U275" s="2">
        <f t="shared" si="33"/>
        <v>120.76999999999995</v>
      </c>
      <c r="V275" s="2">
        <f>MAX(U268:U291)</f>
        <v>120.76999999999995</v>
      </c>
      <c r="W275">
        <v>595.79999999999995</v>
      </c>
      <c r="X275">
        <f t="shared" si="34"/>
        <v>151767.69999999995</v>
      </c>
      <c r="Y275">
        <f t="shared" si="35"/>
        <v>9196.1</v>
      </c>
      <c r="Z275">
        <v>14.219714062213793</v>
      </c>
    </row>
    <row r="276" spans="1:27" x14ac:dyDescent="0.35">
      <c r="A276">
        <v>5160</v>
      </c>
      <c r="B276">
        <v>23050</v>
      </c>
      <c r="C276" s="1">
        <v>43221</v>
      </c>
      <c r="F276" s="42"/>
      <c r="G276">
        <v>7.4</v>
      </c>
      <c r="H276">
        <v>3.6</v>
      </c>
      <c r="I276">
        <v>11.6</v>
      </c>
      <c r="J276">
        <f t="shared" si="31"/>
        <v>2138.9</v>
      </c>
      <c r="K276">
        <f t="shared" si="32"/>
        <v>98.500000000000014</v>
      </c>
      <c r="L276" s="19" t="s">
        <v>40</v>
      </c>
      <c r="M276">
        <v>0.1</v>
      </c>
      <c r="N276">
        <v>1</v>
      </c>
      <c r="O276">
        <f t="shared" si="36"/>
        <v>-0.9</v>
      </c>
      <c r="Q276">
        <v>244</v>
      </c>
      <c r="R276">
        <v>1.1499999999999999</v>
      </c>
      <c r="S276">
        <f t="shared" si="37"/>
        <v>1.1499999999999999</v>
      </c>
      <c r="T276">
        <f t="shared" si="38"/>
        <v>-1.0499999999999998</v>
      </c>
      <c r="U276" s="2">
        <f t="shared" si="33"/>
        <v>119.71999999999996</v>
      </c>
      <c r="V276" s="20" t="s">
        <v>47</v>
      </c>
      <c r="W276">
        <v>861.2</v>
      </c>
      <c r="X276">
        <f t="shared" si="34"/>
        <v>152628.89999999997</v>
      </c>
      <c r="Y276">
        <f t="shared" si="35"/>
        <v>10057.300000000001</v>
      </c>
      <c r="Z276">
        <v>14.27118652219797</v>
      </c>
    </row>
    <row r="277" spans="1:27" x14ac:dyDescent="0.35">
      <c r="A277">
        <v>5160</v>
      </c>
      <c r="B277">
        <v>23050</v>
      </c>
      <c r="C277" s="1">
        <v>43222</v>
      </c>
      <c r="F277" s="42"/>
      <c r="G277">
        <v>10.199999999999999</v>
      </c>
      <c r="H277">
        <v>2.9</v>
      </c>
      <c r="I277">
        <v>14.9</v>
      </c>
      <c r="J277">
        <f t="shared" si="31"/>
        <v>2149.1</v>
      </c>
      <c r="K277">
        <f t="shared" si="32"/>
        <v>108.70000000000002</v>
      </c>
      <c r="L277" s="11">
        <v>2</v>
      </c>
      <c r="M277">
        <v>0.2</v>
      </c>
      <c r="N277">
        <v>1.6</v>
      </c>
      <c r="O277">
        <f t="shared" si="36"/>
        <v>-1.4000000000000001</v>
      </c>
      <c r="Q277">
        <v>245</v>
      </c>
      <c r="R277">
        <v>1.1499999999999999</v>
      </c>
      <c r="S277">
        <f t="shared" si="37"/>
        <v>1.8399999999999999</v>
      </c>
      <c r="T277">
        <f t="shared" si="38"/>
        <v>-1.64</v>
      </c>
      <c r="U277" s="2">
        <f t="shared" si="33"/>
        <v>118.07999999999996</v>
      </c>
      <c r="V277" s="2">
        <f>AVERAGE(U268:U291)</f>
        <v>100.29812499999996</v>
      </c>
      <c r="W277">
        <v>1251.5999999999999</v>
      </c>
      <c r="X277">
        <f t="shared" si="34"/>
        <v>153880.49999999997</v>
      </c>
      <c r="Y277">
        <f t="shared" si="35"/>
        <v>11308.900000000001</v>
      </c>
      <c r="Z277">
        <v>14.322186728394513</v>
      </c>
    </row>
    <row r="278" spans="1:27" x14ac:dyDescent="0.35">
      <c r="A278">
        <v>5160</v>
      </c>
      <c r="B278">
        <v>23050</v>
      </c>
      <c r="C278" s="1">
        <v>43223</v>
      </c>
      <c r="F278" s="42"/>
      <c r="G278">
        <v>11.2</v>
      </c>
      <c r="H278">
        <v>7.9</v>
      </c>
      <c r="I278">
        <v>15.1</v>
      </c>
      <c r="J278">
        <f t="shared" si="31"/>
        <v>2160.2999999999997</v>
      </c>
      <c r="K278">
        <f t="shared" si="32"/>
        <v>119.90000000000002</v>
      </c>
      <c r="L278" s="19" t="s">
        <v>41</v>
      </c>
      <c r="M278">
        <v>0</v>
      </c>
      <c r="N278">
        <v>2.8</v>
      </c>
      <c r="O278">
        <f t="shared" si="36"/>
        <v>-2.8</v>
      </c>
      <c r="Q278">
        <v>246</v>
      </c>
      <c r="R278">
        <v>1.1499999999999999</v>
      </c>
      <c r="S278">
        <f t="shared" si="37"/>
        <v>3.2199999999999998</v>
      </c>
      <c r="T278">
        <f t="shared" si="38"/>
        <v>-3.2199999999999998</v>
      </c>
      <c r="U278" s="2">
        <f t="shared" si="33"/>
        <v>114.85999999999996</v>
      </c>
      <c r="W278">
        <v>1616.4</v>
      </c>
      <c r="X278">
        <f t="shared" si="34"/>
        <v>155496.89999999997</v>
      </c>
      <c r="Y278">
        <f t="shared" si="35"/>
        <v>12925.300000000001</v>
      </c>
      <c r="Z278">
        <v>14.372696063767282</v>
      </c>
    </row>
    <row r="279" spans="1:27" x14ac:dyDescent="0.35">
      <c r="A279">
        <v>5160</v>
      </c>
      <c r="B279">
        <v>23050</v>
      </c>
      <c r="C279" s="1">
        <v>43224</v>
      </c>
      <c r="F279" s="42"/>
      <c r="G279">
        <v>12.3</v>
      </c>
      <c r="H279">
        <v>6.9</v>
      </c>
      <c r="I279">
        <v>17.100000000000001</v>
      </c>
      <c r="J279">
        <f t="shared" si="31"/>
        <v>2172.6</v>
      </c>
      <c r="K279">
        <f t="shared" si="32"/>
        <v>132.20000000000002</v>
      </c>
      <c r="L279" s="11">
        <v>2</v>
      </c>
      <c r="M279">
        <v>0</v>
      </c>
      <c r="N279">
        <v>4.4000000000000004</v>
      </c>
      <c r="O279">
        <f t="shared" si="36"/>
        <v>-4.4000000000000004</v>
      </c>
      <c r="Q279">
        <v>247</v>
      </c>
      <c r="R279">
        <v>1.1499999999999999</v>
      </c>
      <c r="S279">
        <f t="shared" si="37"/>
        <v>5.0599999999999996</v>
      </c>
      <c r="T279">
        <f t="shared" si="38"/>
        <v>-5.0599999999999996</v>
      </c>
      <c r="U279" s="2">
        <f t="shared" si="33"/>
        <v>109.79999999999995</v>
      </c>
      <c r="V279">
        <f>(V277*100)/150.8</f>
        <v>66.510692970822248</v>
      </c>
      <c r="W279">
        <v>2881.1</v>
      </c>
      <c r="X279">
        <f t="shared" si="34"/>
        <v>158377.99999999997</v>
      </c>
      <c r="Y279">
        <f t="shared" si="35"/>
        <v>15806.400000000001</v>
      </c>
      <c r="Z279">
        <v>14.422695514336162</v>
      </c>
    </row>
    <row r="280" spans="1:27" x14ac:dyDescent="0.35">
      <c r="A280">
        <v>5160</v>
      </c>
      <c r="B280">
        <v>23050</v>
      </c>
      <c r="C280" s="1">
        <v>43225</v>
      </c>
      <c r="F280" s="42"/>
      <c r="G280">
        <v>16.100000000000001</v>
      </c>
      <c r="H280">
        <v>9.1999999999999993</v>
      </c>
      <c r="I280">
        <v>21.6</v>
      </c>
      <c r="J280">
        <f t="shared" si="31"/>
        <v>2188.6999999999998</v>
      </c>
      <c r="K280">
        <f t="shared" si="32"/>
        <v>148.30000000000001</v>
      </c>
      <c r="L280" s="19" t="s">
        <v>42</v>
      </c>
      <c r="M280">
        <v>0</v>
      </c>
      <c r="N280">
        <v>4.9000000000000004</v>
      </c>
      <c r="O280">
        <f t="shared" si="36"/>
        <v>-4.9000000000000004</v>
      </c>
      <c r="Q280">
        <v>248</v>
      </c>
      <c r="R280">
        <v>1.1499999999999999</v>
      </c>
      <c r="S280">
        <f t="shared" si="37"/>
        <v>5.6349999999999998</v>
      </c>
      <c r="T280">
        <f t="shared" si="38"/>
        <v>-5.6349999999999998</v>
      </c>
      <c r="U280" s="2">
        <f t="shared" si="33"/>
        <v>104.16499999999995</v>
      </c>
      <c r="W280">
        <v>2879.6</v>
      </c>
      <c r="X280">
        <f t="shared" si="34"/>
        <v>161257.59999999998</v>
      </c>
      <c r="Y280">
        <f t="shared" si="35"/>
        <v>18686</v>
      </c>
      <c r="Z280">
        <v>14.472165675354583</v>
      </c>
    </row>
    <row r="281" spans="1:27" x14ac:dyDescent="0.35">
      <c r="A281">
        <v>5160</v>
      </c>
      <c r="B281">
        <v>23050</v>
      </c>
      <c r="C281" s="1">
        <v>43226</v>
      </c>
      <c r="F281" s="42"/>
      <c r="G281">
        <v>19.399999999999999</v>
      </c>
      <c r="H281">
        <v>13.4</v>
      </c>
      <c r="I281">
        <v>24.9</v>
      </c>
      <c r="J281">
        <f t="shared" si="31"/>
        <v>2208.1</v>
      </c>
      <c r="K281">
        <f t="shared" si="32"/>
        <v>167.70000000000002</v>
      </c>
      <c r="L281" s="11">
        <v>0</v>
      </c>
      <c r="M281">
        <v>0</v>
      </c>
      <c r="N281">
        <v>5.3</v>
      </c>
      <c r="O281">
        <f t="shared" si="36"/>
        <v>-5.3</v>
      </c>
      <c r="Q281">
        <v>249</v>
      </c>
      <c r="R281">
        <v>1.1499999999999999</v>
      </c>
      <c r="S281">
        <f t="shared" si="37"/>
        <v>6.0949999999999998</v>
      </c>
      <c r="T281">
        <f t="shared" si="38"/>
        <v>-6.0949999999999998</v>
      </c>
      <c r="U281" s="2">
        <f t="shared" si="33"/>
        <v>98.069999999999951</v>
      </c>
      <c r="W281">
        <v>2938.6</v>
      </c>
      <c r="X281">
        <f t="shared" si="34"/>
        <v>164196.19999999998</v>
      </c>
      <c r="Y281">
        <f t="shared" si="35"/>
        <v>21624.6</v>
      </c>
      <c r="Z281">
        <v>14.521086759027181</v>
      </c>
    </row>
    <row r="282" spans="1:27" x14ac:dyDescent="0.35">
      <c r="A282">
        <v>5160</v>
      </c>
      <c r="B282">
        <v>23050</v>
      </c>
      <c r="C282" s="1">
        <v>43227</v>
      </c>
      <c r="F282" s="42"/>
      <c r="G282">
        <v>19.5</v>
      </c>
      <c r="H282">
        <v>15</v>
      </c>
      <c r="I282">
        <v>25.4</v>
      </c>
      <c r="J282">
        <f t="shared" si="31"/>
        <v>2227.6</v>
      </c>
      <c r="K282">
        <f t="shared" si="32"/>
        <v>187.20000000000002</v>
      </c>
      <c r="M282">
        <v>0</v>
      </c>
      <c r="N282">
        <v>5.5</v>
      </c>
      <c r="O282">
        <f t="shared" si="36"/>
        <v>-5.5</v>
      </c>
      <c r="Q282">
        <v>250</v>
      </c>
      <c r="R282">
        <v>1.1499999999999999</v>
      </c>
      <c r="S282">
        <f t="shared" si="37"/>
        <v>6.3249999999999993</v>
      </c>
      <c r="T282">
        <f t="shared" si="38"/>
        <v>-6.3249999999999993</v>
      </c>
      <c r="U282" s="2">
        <f t="shared" si="33"/>
        <v>91.744999999999948</v>
      </c>
      <c r="W282">
        <v>2621.4</v>
      </c>
      <c r="X282">
        <f t="shared" si="34"/>
        <v>166817.59999999998</v>
      </c>
      <c r="Y282">
        <f t="shared" si="35"/>
        <v>24246</v>
      </c>
      <c r="Z282">
        <v>14.569438603832905</v>
      </c>
    </row>
    <row r="283" spans="1:27" x14ac:dyDescent="0.35">
      <c r="A283">
        <v>5160</v>
      </c>
      <c r="B283">
        <v>23050</v>
      </c>
      <c r="C283" s="1">
        <v>43228</v>
      </c>
      <c r="F283" s="42"/>
      <c r="G283">
        <v>18.7</v>
      </c>
      <c r="H283">
        <v>12.3</v>
      </c>
      <c r="I283">
        <v>25.2</v>
      </c>
      <c r="J283">
        <f t="shared" si="31"/>
        <v>2246.2999999999997</v>
      </c>
      <c r="K283">
        <f t="shared" si="32"/>
        <v>205.9</v>
      </c>
      <c r="M283">
        <v>0</v>
      </c>
      <c r="N283">
        <v>4.5</v>
      </c>
      <c r="O283">
        <f t="shared" si="36"/>
        <v>-4.5</v>
      </c>
      <c r="Q283">
        <v>251</v>
      </c>
      <c r="R283">
        <v>1.1499999999999999</v>
      </c>
      <c r="S283">
        <f t="shared" si="37"/>
        <v>5.1749999999999998</v>
      </c>
      <c r="T283">
        <f t="shared" si="38"/>
        <v>-5.1749999999999998</v>
      </c>
      <c r="U283" s="2">
        <f t="shared" si="33"/>
        <v>86.569999999999951</v>
      </c>
      <c r="W283">
        <v>2394.1</v>
      </c>
      <c r="X283">
        <f t="shared" si="34"/>
        <v>169211.69999999998</v>
      </c>
      <c r="Y283">
        <f t="shared" si="35"/>
        <v>26640.1</v>
      </c>
      <c r="Z283">
        <v>14.617200685517016</v>
      </c>
    </row>
    <row r="284" spans="1:27" x14ac:dyDescent="0.35">
      <c r="A284">
        <v>5160</v>
      </c>
      <c r="B284">
        <v>23050</v>
      </c>
      <c r="C284" s="1">
        <v>43229</v>
      </c>
      <c r="F284" s="42"/>
      <c r="G284">
        <v>15.3</v>
      </c>
      <c r="H284">
        <v>12</v>
      </c>
      <c r="I284">
        <v>18.100000000000001</v>
      </c>
      <c r="J284">
        <f t="shared" si="31"/>
        <v>2261.6</v>
      </c>
      <c r="K284">
        <f t="shared" si="32"/>
        <v>221.20000000000002</v>
      </c>
      <c r="M284">
        <v>0</v>
      </c>
      <c r="N284">
        <v>1.6</v>
      </c>
      <c r="O284">
        <f t="shared" si="36"/>
        <v>-1.6</v>
      </c>
      <c r="Q284">
        <v>252</v>
      </c>
      <c r="R284">
        <v>1.1499999999999999</v>
      </c>
      <c r="S284">
        <f t="shared" si="37"/>
        <v>1.8399999999999999</v>
      </c>
      <c r="T284">
        <f t="shared" si="38"/>
        <v>-1.8399999999999999</v>
      </c>
      <c r="U284" s="2">
        <f t="shared" si="33"/>
        <v>84.729999999999947</v>
      </c>
      <c r="W284">
        <v>778.5</v>
      </c>
      <c r="X284">
        <f t="shared" si="34"/>
        <v>169990.19999999998</v>
      </c>
      <c r="Y284">
        <f t="shared" si="35"/>
        <v>27418.6</v>
      </c>
      <c r="Z284">
        <v>14.664352129813057</v>
      </c>
    </row>
    <row r="285" spans="1:27" x14ac:dyDescent="0.35">
      <c r="A285">
        <v>5160</v>
      </c>
      <c r="B285">
        <v>23050</v>
      </c>
      <c r="C285" s="1">
        <v>43230</v>
      </c>
      <c r="F285" s="42"/>
      <c r="G285">
        <v>13</v>
      </c>
      <c r="H285">
        <v>10.7</v>
      </c>
      <c r="I285">
        <v>16.5</v>
      </c>
      <c r="J285">
        <f t="shared" si="31"/>
        <v>2274.6</v>
      </c>
      <c r="K285">
        <f t="shared" si="32"/>
        <v>234.20000000000002</v>
      </c>
      <c r="M285">
        <v>0</v>
      </c>
      <c r="N285">
        <v>3</v>
      </c>
      <c r="O285">
        <f t="shared" si="36"/>
        <v>-3</v>
      </c>
      <c r="Q285">
        <v>253</v>
      </c>
      <c r="R285">
        <v>1.1499999999999999</v>
      </c>
      <c r="S285">
        <f t="shared" si="37"/>
        <v>3.4499999999999997</v>
      </c>
      <c r="T285">
        <f t="shared" si="38"/>
        <v>-3.4499999999999997</v>
      </c>
      <c r="U285" s="2">
        <f t="shared" si="33"/>
        <v>81.279999999999944</v>
      </c>
      <c r="W285">
        <v>1547.1</v>
      </c>
      <c r="X285">
        <f t="shared" si="34"/>
        <v>171537.3</v>
      </c>
      <c r="Y285">
        <f t="shared" si="35"/>
        <v>28965.699999999997</v>
      </c>
      <c r="Z285">
        <v>14.710871726952716</v>
      </c>
    </row>
    <row r="286" spans="1:27" x14ac:dyDescent="0.35">
      <c r="A286">
        <v>5160</v>
      </c>
      <c r="B286">
        <v>23050</v>
      </c>
      <c r="C286" s="1">
        <v>43231</v>
      </c>
      <c r="F286" s="42"/>
      <c r="G286">
        <v>14.1</v>
      </c>
      <c r="H286">
        <v>7.8</v>
      </c>
      <c r="I286">
        <v>20</v>
      </c>
      <c r="J286">
        <f t="shared" si="31"/>
        <v>2288.6999999999998</v>
      </c>
      <c r="K286">
        <f t="shared" si="32"/>
        <v>248.3</v>
      </c>
      <c r="M286">
        <v>0</v>
      </c>
      <c r="N286">
        <v>4.5999999999999996</v>
      </c>
      <c r="O286">
        <f t="shared" si="36"/>
        <v>-4.5999999999999996</v>
      </c>
      <c r="Q286">
        <v>254</v>
      </c>
      <c r="R286">
        <v>1.1499999999999999</v>
      </c>
      <c r="S286">
        <f t="shared" si="37"/>
        <v>5.2899999999999991</v>
      </c>
      <c r="T286">
        <f t="shared" si="38"/>
        <v>-5.2899999999999991</v>
      </c>
      <c r="U286" s="2">
        <f t="shared" si="33"/>
        <v>75.989999999999952</v>
      </c>
      <c r="W286">
        <v>2762.7</v>
      </c>
      <c r="X286">
        <f t="shared" si="34"/>
        <v>174300</v>
      </c>
      <c r="Y286">
        <f t="shared" si="35"/>
        <v>31728.399999999998</v>
      </c>
      <c r="Z286">
        <v>14.756737948017696</v>
      </c>
    </row>
    <row r="287" spans="1:27" x14ac:dyDescent="0.35">
      <c r="A287">
        <v>5160</v>
      </c>
      <c r="B287">
        <v>23050</v>
      </c>
      <c r="C287" s="1">
        <v>43232</v>
      </c>
      <c r="F287" s="42"/>
      <c r="G287">
        <v>11.5</v>
      </c>
      <c r="H287">
        <v>9.5</v>
      </c>
      <c r="I287">
        <v>15.1</v>
      </c>
      <c r="J287">
        <f t="shared" si="31"/>
        <v>2300.1999999999998</v>
      </c>
      <c r="K287">
        <f t="shared" si="32"/>
        <v>259.8</v>
      </c>
      <c r="M287">
        <v>11.7</v>
      </c>
      <c r="N287">
        <v>1.7</v>
      </c>
      <c r="O287">
        <f t="shared" si="36"/>
        <v>10</v>
      </c>
      <c r="Q287">
        <v>255</v>
      </c>
      <c r="R287">
        <v>1.1499999999999999</v>
      </c>
      <c r="S287">
        <f t="shared" si="37"/>
        <v>1.9549999999999998</v>
      </c>
      <c r="T287">
        <f t="shared" si="38"/>
        <v>9.7449999999999992</v>
      </c>
      <c r="U287" s="2">
        <f t="shared" si="33"/>
        <v>85.734999999999957</v>
      </c>
      <c r="W287">
        <v>1012.1</v>
      </c>
      <c r="X287">
        <f t="shared" si="34"/>
        <v>175312.1</v>
      </c>
      <c r="Y287">
        <f t="shared" si="35"/>
        <v>32740.499999999996</v>
      </c>
      <c r="Z287">
        <v>14.801928963183173</v>
      </c>
    </row>
    <row r="288" spans="1:27" x14ac:dyDescent="0.35">
      <c r="A288">
        <v>5160</v>
      </c>
      <c r="B288">
        <v>23050</v>
      </c>
      <c r="C288" s="1">
        <v>43233</v>
      </c>
      <c r="F288" s="42"/>
      <c r="G288">
        <v>11.7</v>
      </c>
      <c r="H288">
        <v>7.9</v>
      </c>
      <c r="I288">
        <v>14.8</v>
      </c>
      <c r="J288">
        <f t="shared" si="31"/>
        <v>2311.8999999999996</v>
      </c>
      <c r="K288">
        <f t="shared" si="32"/>
        <v>271.5</v>
      </c>
      <c r="M288">
        <v>0</v>
      </c>
      <c r="N288">
        <v>2.5</v>
      </c>
      <c r="O288">
        <f t="shared" si="36"/>
        <v>-2.5</v>
      </c>
      <c r="Q288">
        <v>256</v>
      </c>
      <c r="R288">
        <v>1.1499999999999999</v>
      </c>
      <c r="S288">
        <f t="shared" si="37"/>
        <v>2.875</v>
      </c>
      <c r="T288">
        <f t="shared" si="38"/>
        <v>-2.875</v>
      </c>
      <c r="U288" s="2">
        <f t="shared" si="33"/>
        <v>82.859999999999957</v>
      </c>
      <c r="W288">
        <v>1707.6</v>
      </c>
      <c r="X288">
        <f t="shared" si="34"/>
        <v>177019.7</v>
      </c>
      <c r="Y288">
        <f t="shared" si="35"/>
        <v>34448.1</v>
      </c>
      <c r="Z288">
        <v>14.846422661896899</v>
      </c>
    </row>
    <row r="289" spans="1:27" x14ac:dyDescent="0.35">
      <c r="A289">
        <v>5160</v>
      </c>
      <c r="B289">
        <v>23050</v>
      </c>
      <c r="C289" s="1">
        <v>43234</v>
      </c>
      <c r="F289" s="42"/>
      <c r="G289">
        <v>11.6</v>
      </c>
      <c r="H289">
        <v>9.6999999999999993</v>
      </c>
      <c r="I289">
        <v>13.5</v>
      </c>
      <c r="J289">
        <f t="shared" si="31"/>
        <v>2323.4999999999995</v>
      </c>
      <c r="K289">
        <f t="shared" si="32"/>
        <v>283.10000000000002</v>
      </c>
      <c r="M289">
        <v>6.7</v>
      </c>
      <c r="N289">
        <v>1.4</v>
      </c>
      <c r="O289">
        <f t="shared" si="36"/>
        <v>5.3000000000000007</v>
      </c>
      <c r="Q289">
        <v>257</v>
      </c>
      <c r="R289">
        <v>1.1499999999999999</v>
      </c>
      <c r="S289">
        <f t="shared" si="37"/>
        <v>1.6099999999999999</v>
      </c>
      <c r="T289">
        <f t="shared" si="38"/>
        <v>5.09</v>
      </c>
      <c r="U289" s="2">
        <f t="shared" si="33"/>
        <v>87.94999999999996</v>
      </c>
      <c r="W289">
        <v>636.4</v>
      </c>
      <c r="X289">
        <f t="shared" si="34"/>
        <v>177656.1</v>
      </c>
      <c r="Y289">
        <f t="shared" si="35"/>
        <v>35084.5</v>
      </c>
      <c r="Z289">
        <v>14.890196675031927</v>
      </c>
    </row>
    <row r="290" spans="1:27" x14ac:dyDescent="0.35">
      <c r="A290">
        <v>5160</v>
      </c>
      <c r="B290">
        <v>23050</v>
      </c>
      <c r="C290" s="1">
        <v>43235</v>
      </c>
      <c r="F290" s="42"/>
      <c r="G290">
        <v>15.5</v>
      </c>
      <c r="H290">
        <v>10</v>
      </c>
      <c r="I290">
        <v>20.5</v>
      </c>
      <c r="J290">
        <f t="shared" si="31"/>
        <v>2338.9999999999995</v>
      </c>
      <c r="K290">
        <f t="shared" si="32"/>
        <v>298.60000000000002</v>
      </c>
      <c r="M290">
        <v>0</v>
      </c>
      <c r="N290">
        <v>3</v>
      </c>
      <c r="O290">
        <f t="shared" si="36"/>
        <v>-3</v>
      </c>
      <c r="Q290">
        <v>258</v>
      </c>
      <c r="R290">
        <v>1.1499999999999999</v>
      </c>
      <c r="S290">
        <f t="shared" si="37"/>
        <v>3.4499999999999997</v>
      </c>
      <c r="T290">
        <f t="shared" si="38"/>
        <v>-3.4499999999999997</v>
      </c>
      <c r="U290" s="2">
        <f t="shared" si="33"/>
        <v>84.499999999999957</v>
      </c>
      <c r="W290">
        <v>1902.4</v>
      </c>
      <c r="X290">
        <f t="shared" si="34"/>
        <v>179558.5</v>
      </c>
      <c r="Y290">
        <f t="shared" si="35"/>
        <v>36986.9</v>
      </c>
      <c r="Z290">
        <v>14.933228399043617</v>
      </c>
    </row>
    <row r="291" spans="1:27" s="6" customFormat="1" ht="15" thickBot="1" x14ac:dyDescent="0.4">
      <c r="A291" s="6">
        <v>5160</v>
      </c>
      <c r="B291" s="6">
        <v>23050</v>
      </c>
      <c r="C291" s="7">
        <v>43236</v>
      </c>
      <c r="D291" s="6">
        <v>300</v>
      </c>
      <c r="F291" s="43"/>
      <c r="G291" s="6">
        <v>15.2</v>
      </c>
      <c r="H291" s="6">
        <v>10.199999999999999</v>
      </c>
      <c r="I291" s="6">
        <v>21.2</v>
      </c>
      <c r="J291" s="6">
        <f t="shared" ref="J291:J354" si="39">J290+G291</f>
        <v>2354.1999999999994</v>
      </c>
      <c r="K291" s="6">
        <f t="shared" ref="K291:K354" si="40">K290+G291</f>
        <v>313.8</v>
      </c>
      <c r="M291" s="6">
        <v>0.7</v>
      </c>
      <c r="N291" s="6">
        <v>4</v>
      </c>
      <c r="O291" s="6">
        <f t="shared" si="36"/>
        <v>-3.3</v>
      </c>
      <c r="Q291" s="6">
        <v>259</v>
      </c>
      <c r="R291" s="6">
        <v>1.1499999999999999</v>
      </c>
      <c r="S291" s="6">
        <f t="shared" si="37"/>
        <v>4.5999999999999996</v>
      </c>
      <c r="T291" s="6">
        <f t="shared" si="38"/>
        <v>-3.8999999999999995</v>
      </c>
      <c r="U291" s="9">
        <f t="shared" ref="U291:U354" si="41">MIN(U290+T291,150.8)</f>
        <v>80.599999999999952</v>
      </c>
      <c r="W291" s="6">
        <v>2340.8000000000002</v>
      </c>
      <c r="X291" s="6">
        <f t="shared" ref="X291:X354" si="42">X290+W291</f>
        <v>181899.3</v>
      </c>
      <c r="Y291" s="6">
        <f t="shared" ref="Y291:Y354" si="43">Y290+W291</f>
        <v>39327.700000000004</v>
      </c>
      <c r="Z291" s="6">
        <v>14.975495022153746</v>
      </c>
    </row>
    <row r="292" spans="1:27" x14ac:dyDescent="0.35">
      <c r="A292">
        <v>5160</v>
      </c>
      <c r="B292">
        <v>23050</v>
      </c>
      <c r="C292" s="1">
        <v>43237</v>
      </c>
      <c r="F292" s="38" t="s">
        <v>57</v>
      </c>
      <c r="G292">
        <v>13.5</v>
      </c>
      <c r="H292">
        <v>10.8</v>
      </c>
      <c r="I292">
        <v>18.5</v>
      </c>
      <c r="J292">
        <f t="shared" si="39"/>
        <v>2367.6999999999994</v>
      </c>
      <c r="K292">
        <f>G292</f>
        <v>13.5</v>
      </c>
      <c r="L292" s="21" t="s">
        <v>36</v>
      </c>
      <c r="M292">
        <v>0</v>
      </c>
      <c r="N292">
        <v>2.7</v>
      </c>
      <c r="O292">
        <f t="shared" si="36"/>
        <v>-2.7</v>
      </c>
      <c r="Q292">
        <v>260</v>
      </c>
      <c r="R292">
        <f>1.15+((Q292-259)/52)*(0.35-1.15)</f>
        <v>1.1346153846153846</v>
      </c>
      <c r="S292">
        <f t="shared" si="37"/>
        <v>3.0634615384615387</v>
      </c>
      <c r="T292">
        <f t="shared" si="38"/>
        <v>-3.0634615384615387</v>
      </c>
      <c r="U292" s="2">
        <f t="shared" si="41"/>
        <v>77.536538461538413</v>
      </c>
      <c r="V292" s="22" t="s">
        <v>43</v>
      </c>
      <c r="W292">
        <v>1383.8</v>
      </c>
      <c r="X292">
        <f t="shared" si="42"/>
        <v>183283.09999999998</v>
      </c>
      <c r="Y292">
        <f>W292</f>
        <v>1383.8</v>
      </c>
      <c r="Z292">
        <v>15.016973552575397</v>
      </c>
      <c r="AA292" s="22" t="s">
        <v>48</v>
      </c>
    </row>
    <row r="293" spans="1:27" x14ac:dyDescent="0.35">
      <c r="A293">
        <v>5160</v>
      </c>
      <c r="B293">
        <v>23050</v>
      </c>
      <c r="C293" s="1">
        <v>43238</v>
      </c>
      <c r="F293" s="39"/>
      <c r="G293">
        <v>13.2</v>
      </c>
      <c r="H293">
        <v>8.3000000000000007</v>
      </c>
      <c r="I293">
        <v>17.7</v>
      </c>
      <c r="J293">
        <f t="shared" si="39"/>
        <v>2380.8999999999992</v>
      </c>
      <c r="K293">
        <f t="shared" si="40"/>
        <v>26.7</v>
      </c>
      <c r="L293" s="11">
        <v>313.39999999999998</v>
      </c>
      <c r="M293">
        <v>0</v>
      </c>
      <c r="N293">
        <v>4.4000000000000004</v>
      </c>
      <c r="O293">
        <f t="shared" si="36"/>
        <v>-4.4000000000000004</v>
      </c>
      <c r="Q293">
        <v>261</v>
      </c>
      <c r="R293">
        <f t="shared" ref="R293:R343" si="44">1.15+((Q293-259)/52)*(0.35-1.15)</f>
        <v>1.1192307692307693</v>
      </c>
      <c r="S293">
        <f t="shared" si="37"/>
        <v>4.9246153846153851</v>
      </c>
      <c r="T293">
        <f t="shared" si="38"/>
        <v>-4.9246153846153851</v>
      </c>
      <c r="U293" s="2">
        <f t="shared" si="41"/>
        <v>72.611923076923034</v>
      </c>
      <c r="V293">
        <v>0</v>
      </c>
      <c r="W293">
        <v>2979.2</v>
      </c>
      <c r="X293">
        <f t="shared" si="42"/>
        <v>186262.3</v>
      </c>
      <c r="Y293">
        <f t="shared" si="43"/>
        <v>4363</v>
      </c>
      <c r="Z293">
        <v>15.05764084878256</v>
      </c>
      <c r="AA293">
        <v>31858.3</v>
      </c>
    </row>
    <row r="294" spans="1:27" x14ac:dyDescent="0.35">
      <c r="A294">
        <v>5160</v>
      </c>
      <c r="B294">
        <v>23050</v>
      </c>
      <c r="C294" s="1">
        <v>43239</v>
      </c>
      <c r="F294" s="39"/>
      <c r="G294">
        <v>13.8</v>
      </c>
      <c r="H294">
        <v>8.6999999999999993</v>
      </c>
      <c r="I294">
        <v>18.600000000000001</v>
      </c>
      <c r="J294">
        <f t="shared" si="39"/>
        <v>2394.6999999999994</v>
      </c>
      <c r="K294">
        <f t="shared" si="40"/>
        <v>40.5</v>
      </c>
      <c r="L294" s="21" t="s">
        <v>37</v>
      </c>
      <c r="M294">
        <v>0</v>
      </c>
      <c r="N294">
        <v>4.5</v>
      </c>
      <c r="O294">
        <f t="shared" si="36"/>
        <v>-4.5</v>
      </c>
      <c r="Q294">
        <v>262</v>
      </c>
      <c r="R294">
        <f t="shared" si="44"/>
        <v>1.1038461538461537</v>
      </c>
      <c r="S294">
        <f t="shared" si="37"/>
        <v>4.967307692307692</v>
      </c>
      <c r="T294">
        <f t="shared" si="38"/>
        <v>-4.967307692307692</v>
      </c>
      <c r="U294" s="2">
        <f t="shared" si="41"/>
        <v>67.644615384615349</v>
      </c>
      <c r="V294" s="22" t="s">
        <v>44</v>
      </c>
      <c r="W294">
        <v>2887</v>
      </c>
      <c r="X294">
        <f t="shared" si="42"/>
        <v>189149.3</v>
      </c>
      <c r="Y294">
        <f t="shared" si="43"/>
        <v>7250</v>
      </c>
      <c r="Z294">
        <v>15.097473651817451</v>
      </c>
      <c r="AA294" s="22" t="s">
        <v>49</v>
      </c>
    </row>
    <row r="295" spans="1:27" x14ac:dyDescent="0.35">
      <c r="A295">
        <v>5160</v>
      </c>
      <c r="B295">
        <v>23050</v>
      </c>
      <c r="C295" s="1">
        <v>43240</v>
      </c>
      <c r="F295" s="39"/>
      <c r="G295">
        <v>15.6</v>
      </c>
      <c r="H295">
        <v>8.9</v>
      </c>
      <c r="I295">
        <v>21.3</v>
      </c>
      <c r="J295">
        <f t="shared" si="39"/>
        <v>2410.2999999999993</v>
      </c>
      <c r="K295">
        <f t="shared" si="40"/>
        <v>56.1</v>
      </c>
      <c r="L295" s="11">
        <f>AVERAGE(G292:G309)</f>
        <v>17.411111111111111</v>
      </c>
      <c r="M295">
        <v>0</v>
      </c>
      <c r="N295">
        <v>4.4000000000000004</v>
      </c>
      <c r="O295">
        <f t="shared" si="36"/>
        <v>-4.4000000000000004</v>
      </c>
      <c r="Q295">
        <v>263</v>
      </c>
      <c r="R295">
        <f t="shared" si="44"/>
        <v>1.0884615384615384</v>
      </c>
      <c r="S295">
        <f t="shared" si="37"/>
        <v>4.7892307692307696</v>
      </c>
      <c r="T295">
        <f t="shared" si="38"/>
        <v>-4.7892307692307696</v>
      </c>
      <c r="U295" s="2">
        <f t="shared" si="41"/>
        <v>62.85538461538458</v>
      </c>
      <c r="V295">
        <v>1</v>
      </c>
      <c r="W295">
        <v>2649.4</v>
      </c>
      <c r="X295">
        <f t="shared" si="42"/>
        <v>191798.69999999998</v>
      </c>
      <c r="Y295">
        <f t="shared" si="43"/>
        <v>9899.4</v>
      </c>
      <c r="Z295">
        <v>15.136448619616839</v>
      </c>
      <c r="AA295">
        <f>(AA293/100)/L293</f>
        <v>1.0165379706445437</v>
      </c>
    </row>
    <row r="296" spans="1:27" x14ac:dyDescent="0.35">
      <c r="A296">
        <v>5160</v>
      </c>
      <c r="B296">
        <v>23050</v>
      </c>
      <c r="C296" s="1">
        <v>43241</v>
      </c>
      <c r="F296" s="39"/>
      <c r="G296">
        <v>17.2</v>
      </c>
      <c r="H296">
        <v>12.1</v>
      </c>
      <c r="I296">
        <v>22.6</v>
      </c>
      <c r="J296">
        <f t="shared" si="39"/>
        <v>2427.4999999999991</v>
      </c>
      <c r="K296">
        <f t="shared" si="40"/>
        <v>73.3</v>
      </c>
      <c r="L296" s="21" t="s">
        <v>38</v>
      </c>
      <c r="M296">
        <v>0</v>
      </c>
      <c r="N296">
        <v>4.2</v>
      </c>
      <c r="O296">
        <f t="shared" si="36"/>
        <v>-4.2</v>
      </c>
      <c r="Q296">
        <v>264</v>
      </c>
      <c r="R296">
        <f t="shared" si="44"/>
        <v>1.073076923076923</v>
      </c>
      <c r="S296">
        <f t="shared" si="37"/>
        <v>4.5069230769230773</v>
      </c>
      <c r="T296">
        <f t="shared" si="38"/>
        <v>-4.5069230769230773</v>
      </c>
      <c r="U296" s="2">
        <f t="shared" si="41"/>
        <v>58.3484615384615</v>
      </c>
      <c r="V296" s="22" t="s">
        <v>45</v>
      </c>
      <c r="W296">
        <v>2525.4</v>
      </c>
      <c r="X296">
        <f t="shared" si="42"/>
        <v>194324.09999999998</v>
      </c>
      <c r="Y296">
        <f t="shared" si="43"/>
        <v>12424.8</v>
      </c>
      <c r="Z296">
        <v>15.174542363326063</v>
      </c>
      <c r="AA296" s="22" t="s">
        <v>50</v>
      </c>
    </row>
    <row r="297" spans="1:27" x14ac:dyDescent="0.35">
      <c r="A297">
        <v>5160</v>
      </c>
      <c r="B297">
        <v>23050</v>
      </c>
      <c r="C297" s="1">
        <v>43242</v>
      </c>
      <c r="F297" s="39"/>
      <c r="G297">
        <v>16.399999999999999</v>
      </c>
      <c r="H297">
        <v>11.6</v>
      </c>
      <c r="I297">
        <v>22</v>
      </c>
      <c r="J297">
        <f t="shared" si="39"/>
        <v>2443.8999999999992</v>
      </c>
      <c r="K297">
        <f t="shared" si="40"/>
        <v>89.699999999999989</v>
      </c>
      <c r="L297" s="11">
        <f>MIN(H292:H309)</f>
        <v>8.3000000000000007</v>
      </c>
      <c r="M297">
        <v>4.3</v>
      </c>
      <c r="N297">
        <v>3.4</v>
      </c>
      <c r="O297">
        <f t="shared" si="36"/>
        <v>0.89999999999999991</v>
      </c>
      <c r="Q297">
        <v>265</v>
      </c>
      <c r="R297">
        <f t="shared" si="44"/>
        <v>1.0576923076923077</v>
      </c>
      <c r="S297">
        <f t="shared" si="37"/>
        <v>3.5961538461538463</v>
      </c>
      <c r="T297">
        <f t="shared" si="38"/>
        <v>0.70384615384615357</v>
      </c>
      <c r="U297" s="2">
        <f t="shared" si="41"/>
        <v>59.05230769230765</v>
      </c>
      <c r="V297" s="2">
        <f>MIN(U292:U309)</f>
        <v>49.885384615384581</v>
      </c>
      <c r="W297">
        <v>2070.9</v>
      </c>
      <c r="X297">
        <f t="shared" si="42"/>
        <v>196394.99999999997</v>
      </c>
      <c r="Y297">
        <f t="shared" si="43"/>
        <v>14495.699999999999</v>
      </c>
      <c r="Z297">
        <v>15.211731485555902</v>
      </c>
      <c r="AA297">
        <v>2</v>
      </c>
    </row>
    <row r="298" spans="1:27" x14ac:dyDescent="0.35">
      <c r="A298">
        <v>5160</v>
      </c>
      <c r="B298">
        <v>23050</v>
      </c>
      <c r="C298" s="1">
        <v>43243</v>
      </c>
      <c r="F298" s="39"/>
      <c r="G298">
        <v>16.2</v>
      </c>
      <c r="H298">
        <v>11.7</v>
      </c>
      <c r="I298">
        <v>20.6</v>
      </c>
      <c r="J298">
        <f t="shared" si="39"/>
        <v>2460.099999999999</v>
      </c>
      <c r="K298">
        <f t="shared" si="40"/>
        <v>105.89999999999999</v>
      </c>
      <c r="L298" s="21" t="s">
        <v>39</v>
      </c>
      <c r="M298">
        <v>0.1</v>
      </c>
      <c r="N298">
        <v>2.7</v>
      </c>
      <c r="O298">
        <f t="shared" si="36"/>
        <v>-2.6</v>
      </c>
      <c r="Q298">
        <v>266</v>
      </c>
      <c r="R298">
        <f t="shared" si="44"/>
        <v>1.0423076923076922</v>
      </c>
      <c r="S298">
        <f t="shared" si="37"/>
        <v>2.8142307692307691</v>
      </c>
      <c r="T298">
        <f t="shared" si="38"/>
        <v>-2.714230769230769</v>
      </c>
      <c r="U298" s="2">
        <f t="shared" si="41"/>
        <v>56.338076923076883</v>
      </c>
      <c r="V298" s="22" t="s">
        <v>46</v>
      </c>
      <c r="W298">
        <v>1682.7</v>
      </c>
      <c r="X298">
        <f t="shared" si="42"/>
        <v>198077.69999999998</v>
      </c>
      <c r="Y298">
        <f t="shared" si="43"/>
        <v>16178.4</v>
      </c>
      <c r="Z298">
        <v>15.247992620523203</v>
      </c>
    </row>
    <row r="299" spans="1:27" x14ac:dyDescent="0.35">
      <c r="A299">
        <v>5160</v>
      </c>
      <c r="B299">
        <v>23050</v>
      </c>
      <c r="C299" s="1">
        <v>43244</v>
      </c>
      <c r="F299" s="39"/>
      <c r="G299">
        <v>18.7</v>
      </c>
      <c r="H299">
        <v>12.9</v>
      </c>
      <c r="I299">
        <v>23.6</v>
      </c>
      <c r="J299">
        <f t="shared" si="39"/>
        <v>2478.7999999999988</v>
      </c>
      <c r="K299">
        <f t="shared" si="40"/>
        <v>124.6</v>
      </c>
      <c r="L299" s="11">
        <f>MAX(I292:I309)</f>
        <v>26.2</v>
      </c>
      <c r="M299">
        <v>0</v>
      </c>
      <c r="N299">
        <v>2.5</v>
      </c>
      <c r="O299">
        <f t="shared" si="36"/>
        <v>-2.5</v>
      </c>
      <c r="Q299">
        <v>267</v>
      </c>
      <c r="R299">
        <f t="shared" si="44"/>
        <v>1.0269230769230768</v>
      </c>
      <c r="S299">
        <f t="shared" si="37"/>
        <v>2.5673076923076921</v>
      </c>
      <c r="T299">
        <f t="shared" si="38"/>
        <v>-2.5673076923076921</v>
      </c>
      <c r="U299" s="2">
        <f t="shared" si="41"/>
        <v>53.77076923076919</v>
      </c>
      <c r="V299" s="2">
        <f>MAX(U292:U309)</f>
        <v>77.536538461538413</v>
      </c>
      <c r="W299">
        <v>1338</v>
      </c>
      <c r="X299">
        <f t="shared" si="42"/>
        <v>199415.69999999998</v>
      </c>
      <c r="Y299">
        <f t="shared" si="43"/>
        <v>17516.400000000001</v>
      </c>
      <c r="Z299">
        <v>15.283302476001227</v>
      </c>
    </row>
    <row r="300" spans="1:27" x14ac:dyDescent="0.35">
      <c r="A300">
        <v>5160</v>
      </c>
      <c r="B300">
        <v>23050</v>
      </c>
      <c r="C300" s="1">
        <v>43245</v>
      </c>
      <c r="F300" s="39"/>
      <c r="G300">
        <v>18.8</v>
      </c>
      <c r="H300">
        <v>14.7</v>
      </c>
      <c r="I300">
        <v>25.2</v>
      </c>
      <c r="J300">
        <f t="shared" si="39"/>
        <v>2497.599999999999</v>
      </c>
      <c r="K300">
        <f t="shared" si="40"/>
        <v>143.4</v>
      </c>
      <c r="L300" s="21" t="s">
        <v>40</v>
      </c>
      <c r="M300">
        <v>4.0999999999999996</v>
      </c>
      <c r="N300">
        <v>2.7</v>
      </c>
      <c r="O300">
        <f t="shared" si="36"/>
        <v>1.3999999999999995</v>
      </c>
      <c r="Q300">
        <v>268</v>
      </c>
      <c r="R300">
        <f t="shared" si="44"/>
        <v>1.0115384615384615</v>
      </c>
      <c r="S300">
        <f t="shared" si="37"/>
        <v>2.731153846153846</v>
      </c>
      <c r="T300">
        <f t="shared" si="38"/>
        <v>1.3688461538461536</v>
      </c>
      <c r="U300" s="2">
        <f t="shared" si="41"/>
        <v>55.139615384615347</v>
      </c>
      <c r="V300" s="22" t="s">
        <v>47</v>
      </c>
      <c r="W300">
        <v>1297.0999999999999</v>
      </c>
      <c r="X300">
        <f t="shared" si="42"/>
        <v>200712.8</v>
      </c>
      <c r="Y300">
        <f t="shared" si="43"/>
        <v>18813.5</v>
      </c>
      <c r="Z300">
        <v>15.317637876990018</v>
      </c>
    </row>
    <row r="301" spans="1:27" x14ac:dyDescent="0.35">
      <c r="A301">
        <v>5160</v>
      </c>
      <c r="B301">
        <v>23050</v>
      </c>
      <c r="C301" s="1">
        <v>43246</v>
      </c>
      <c r="F301" s="39"/>
      <c r="G301">
        <v>19.100000000000001</v>
      </c>
      <c r="H301">
        <v>15.8</v>
      </c>
      <c r="I301">
        <v>26.2</v>
      </c>
      <c r="J301">
        <f t="shared" si="39"/>
        <v>2516.6999999999989</v>
      </c>
      <c r="K301">
        <f t="shared" si="40"/>
        <v>162.5</v>
      </c>
      <c r="L301" s="11">
        <v>4</v>
      </c>
      <c r="M301">
        <v>3.8</v>
      </c>
      <c r="N301">
        <v>3.9</v>
      </c>
      <c r="O301">
        <f t="shared" si="36"/>
        <v>-0.10000000000000009</v>
      </c>
      <c r="Q301">
        <v>269</v>
      </c>
      <c r="R301">
        <f t="shared" si="44"/>
        <v>0.99615384615384606</v>
      </c>
      <c r="S301">
        <f t="shared" si="37"/>
        <v>3.8849999999999993</v>
      </c>
      <c r="T301">
        <f t="shared" si="38"/>
        <v>-8.499999999999952E-2</v>
      </c>
      <c r="U301" s="2">
        <f t="shared" si="41"/>
        <v>55.054615384615346</v>
      </c>
      <c r="V301" s="2">
        <f>AVERAGE(U292:U309)</f>
        <v>57.732115384615341</v>
      </c>
      <c r="W301">
        <v>1405.9</v>
      </c>
      <c r="X301">
        <f t="shared" si="42"/>
        <v>202118.69999999998</v>
      </c>
      <c r="Y301">
        <f t="shared" si="43"/>
        <v>20219.400000000001</v>
      </c>
      <c r="Z301">
        <v>15.350975811001076</v>
      </c>
    </row>
    <row r="302" spans="1:27" x14ac:dyDescent="0.35">
      <c r="A302">
        <v>5160</v>
      </c>
      <c r="B302">
        <v>23050</v>
      </c>
      <c r="C302" s="1">
        <v>43247</v>
      </c>
      <c r="F302" s="39"/>
      <c r="G302">
        <v>20.399999999999999</v>
      </c>
      <c r="H302">
        <v>15.7</v>
      </c>
      <c r="I302">
        <v>25</v>
      </c>
      <c r="J302">
        <f t="shared" si="39"/>
        <v>2537.099999999999</v>
      </c>
      <c r="K302">
        <f t="shared" si="40"/>
        <v>182.9</v>
      </c>
      <c r="L302" s="21" t="s">
        <v>41</v>
      </c>
      <c r="M302">
        <v>0.1</v>
      </c>
      <c r="N302">
        <v>4.0999999999999996</v>
      </c>
      <c r="O302">
        <f t="shared" si="36"/>
        <v>-3.9999999999999996</v>
      </c>
      <c r="Q302">
        <v>270</v>
      </c>
      <c r="R302">
        <f t="shared" si="44"/>
        <v>0.98076923076923073</v>
      </c>
      <c r="S302">
        <f t="shared" si="37"/>
        <v>4.0211538461538456</v>
      </c>
      <c r="T302">
        <f t="shared" si="38"/>
        <v>-3.9211538461538455</v>
      </c>
      <c r="U302" s="2">
        <f t="shared" si="41"/>
        <v>51.133461538461503</v>
      </c>
      <c r="W302">
        <v>2128.8000000000002</v>
      </c>
      <c r="X302">
        <f t="shared" si="42"/>
        <v>204247.49999999997</v>
      </c>
      <c r="Y302">
        <f t="shared" si="43"/>
        <v>22348.2</v>
      </c>
      <c r="Z302">
        <v>15.383293474834074</v>
      </c>
    </row>
    <row r="303" spans="1:27" x14ac:dyDescent="0.35">
      <c r="A303">
        <v>5160</v>
      </c>
      <c r="B303">
        <v>23050</v>
      </c>
      <c r="C303" s="1">
        <v>43248</v>
      </c>
      <c r="F303" s="39"/>
      <c r="G303">
        <v>19</v>
      </c>
      <c r="H303">
        <v>16.2</v>
      </c>
      <c r="I303">
        <v>21.6</v>
      </c>
      <c r="J303">
        <f t="shared" si="39"/>
        <v>2556.099999999999</v>
      </c>
      <c r="K303">
        <f t="shared" si="40"/>
        <v>201.9</v>
      </c>
      <c r="L303" s="11">
        <v>0</v>
      </c>
      <c r="M303">
        <v>0.2</v>
      </c>
      <c r="N303">
        <v>1.5</v>
      </c>
      <c r="O303">
        <f t="shared" si="36"/>
        <v>-1.3</v>
      </c>
      <c r="Q303">
        <v>271</v>
      </c>
      <c r="R303">
        <f t="shared" si="44"/>
        <v>0.96538461538461529</v>
      </c>
      <c r="S303">
        <f t="shared" si="37"/>
        <v>1.4480769230769228</v>
      </c>
      <c r="T303">
        <f t="shared" si="38"/>
        <v>-1.2480769230769229</v>
      </c>
      <c r="U303" s="2">
        <f t="shared" si="41"/>
        <v>49.885384615384581</v>
      </c>
      <c r="V303">
        <f>(V301*100)/150.8</f>
        <v>38.283896143644128</v>
      </c>
      <c r="W303">
        <v>1174.7</v>
      </c>
      <c r="X303">
        <f t="shared" si="42"/>
        <v>205422.19999999998</v>
      </c>
      <c r="Y303">
        <f t="shared" si="43"/>
        <v>23522.9</v>
      </c>
      <c r="Z303">
        <v>15.41456832270678</v>
      </c>
    </row>
    <row r="304" spans="1:27" x14ac:dyDescent="0.35">
      <c r="A304">
        <v>5160</v>
      </c>
      <c r="B304">
        <v>23050</v>
      </c>
      <c r="C304" s="1">
        <v>43249</v>
      </c>
      <c r="F304" s="39"/>
      <c r="G304">
        <v>17.899999999999999</v>
      </c>
      <c r="H304">
        <v>15.6</v>
      </c>
      <c r="I304">
        <v>22.2</v>
      </c>
      <c r="J304">
        <f t="shared" si="39"/>
        <v>2573.9999999999991</v>
      </c>
      <c r="K304">
        <f t="shared" si="40"/>
        <v>219.8</v>
      </c>
      <c r="L304" s="21" t="s">
        <v>42</v>
      </c>
      <c r="M304">
        <v>10.4</v>
      </c>
      <c r="N304">
        <v>3.5</v>
      </c>
      <c r="O304">
        <f t="shared" si="36"/>
        <v>6.9</v>
      </c>
      <c r="Q304">
        <v>272</v>
      </c>
      <c r="R304">
        <f t="shared" si="44"/>
        <v>0.95</v>
      </c>
      <c r="S304">
        <f t="shared" si="37"/>
        <v>3.3249999999999997</v>
      </c>
      <c r="T304">
        <f t="shared" si="38"/>
        <v>7.0750000000000011</v>
      </c>
      <c r="U304" s="2">
        <f t="shared" si="41"/>
        <v>56.960384615384584</v>
      </c>
      <c r="W304">
        <v>1970.6</v>
      </c>
      <c r="X304">
        <f t="shared" si="42"/>
        <v>207392.8</v>
      </c>
      <c r="Y304">
        <f t="shared" si="43"/>
        <v>25493.5</v>
      </c>
      <c r="Z304">
        <v>15.444778115582508</v>
      </c>
    </row>
    <row r="305" spans="1:27" x14ac:dyDescent="0.35">
      <c r="A305">
        <v>5160</v>
      </c>
      <c r="B305">
        <v>23050</v>
      </c>
      <c r="C305" s="1">
        <v>43250</v>
      </c>
      <c r="F305" s="39"/>
      <c r="G305">
        <v>18.5</v>
      </c>
      <c r="H305">
        <v>15.2</v>
      </c>
      <c r="I305">
        <v>23.2</v>
      </c>
      <c r="J305">
        <f t="shared" si="39"/>
        <v>2592.4999999999991</v>
      </c>
      <c r="K305">
        <f t="shared" si="40"/>
        <v>238.3</v>
      </c>
      <c r="L305" s="11">
        <v>0</v>
      </c>
      <c r="M305">
        <v>1.5</v>
      </c>
      <c r="N305">
        <v>2.4</v>
      </c>
      <c r="O305">
        <f t="shared" si="36"/>
        <v>-0.89999999999999991</v>
      </c>
      <c r="Q305">
        <v>273</v>
      </c>
      <c r="R305">
        <f t="shared" si="44"/>
        <v>0.93461538461538451</v>
      </c>
      <c r="S305">
        <f t="shared" si="37"/>
        <v>2.2430769230769227</v>
      </c>
      <c r="T305">
        <f t="shared" si="38"/>
        <v>-0.74307692307692275</v>
      </c>
      <c r="U305" s="2">
        <f t="shared" si="41"/>
        <v>56.217307692307664</v>
      </c>
      <c r="W305">
        <v>1102.8</v>
      </c>
      <c r="X305">
        <f t="shared" si="42"/>
        <v>208495.59999999998</v>
      </c>
      <c r="Y305">
        <f t="shared" si="43"/>
        <v>26596.3</v>
      </c>
      <c r="Z305">
        <v>15.473900971522902</v>
      </c>
    </row>
    <row r="306" spans="1:27" x14ac:dyDescent="0.35">
      <c r="A306">
        <v>5160</v>
      </c>
      <c r="B306">
        <v>23050</v>
      </c>
      <c r="C306" s="1">
        <v>43251</v>
      </c>
      <c r="F306" s="39"/>
      <c r="G306">
        <v>18.5</v>
      </c>
      <c r="H306">
        <v>16.3</v>
      </c>
      <c r="I306">
        <v>21.5</v>
      </c>
      <c r="J306">
        <f t="shared" si="39"/>
        <v>2610.9999999999991</v>
      </c>
      <c r="K306">
        <f t="shared" si="40"/>
        <v>256.8</v>
      </c>
      <c r="M306">
        <v>0.2</v>
      </c>
      <c r="N306">
        <v>3.1</v>
      </c>
      <c r="O306">
        <f t="shared" si="36"/>
        <v>-2.9</v>
      </c>
      <c r="Q306">
        <v>274</v>
      </c>
      <c r="R306">
        <f t="shared" si="44"/>
        <v>0.91923076923076918</v>
      </c>
      <c r="S306">
        <f t="shared" si="37"/>
        <v>2.8496153846153844</v>
      </c>
      <c r="T306">
        <f t="shared" si="38"/>
        <v>-2.6496153846153843</v>
      </c>
      <c r="U306" s="2">
        <f t="shared" si="41"/>
        <v>53.567692307692276</v>
      </c>
      <c r="W306">
        <v>1684.2</v>
      </c>
      <c r="X306">
        <f t="shared" si="42"/>
        <v>210179.8</v>
      </c>
      <c r="Y306">
        <f t="shared" si="43"/>
        <v>28280.5</v>
      </c>
      <c r="Z306">
        <v>15.501915416877596</v>
      </c>
    </row>
    <row r="307" spans="1:27" x14ac:dyDescent="0.35">
      <c r="A307">
        <v>5160</v>
      </c>
      <c r="B307">
        <v>23050</v>
      </c>
      <c r="C307" s="1">
        <v>43252</v>
      </c>
      <c r="F307" s="39"/>
      <c r="G307">
        <v>17.100000000000001</v>
      </c>
      <c r="H307">
        <v>15.6</v>
      </c>
      <c r="I307">
        <v>20.2</v>
      </c>
      <c r="J307">
        <f t="shared" si="39"/>
        <v>2628.099999999999</v>
      </c>
      <c r="K307">
        <f t="shared" si="40"/>
        <v>273.90000000000003</v>
      </c>
      <c r="M307">
        <v>0</v>
      </c>
      <c r="N307">
        <v>1.8</v>
      </c>
      <c r="O307">
        <f t="shared" si="36"/>
        <v>-1.8</v>
      </c>
      <c r="Q307">
        <v>275</v>
      </c>
      <c r="R307">
        <f t="shared" si="44"/>
        <v>0.90384615384615374</v>
      </c>
      <c r="S307">
        <f t="shared" si="37"/>
        <v>1.6269230769230767</v>
      </c>
      <c r="T307">
        <f t="shared" si="38"/>
        <v>-1.6269230769230767</v>
      </c>
      <c r="U307" s="2">
        <f t="shared" si="41"/>
        <v>51.940769230769199</v>
      </c>
      <c r="W307">
        <v>826.9</v>
      </c>
      <c r="X307">
        <f t="shared" si="42"/>
        <v>211006.69999999998</v>
      </c>
      <c r="Y307">
        <f t="shared" si="43"/>
        <v>29107.4</v>
      </c>
      <c r="Z307">
        <v>15.528800438106551</v>
      </c>
    </row>
    <row r="308" spans="1:27" x14ac:dyDescent="0.35">
      <c r="A308">
        <v>5160</v>
      </c>
      <c r="B308">
        <v>23050</v>
      </c>
      <c r="C308" s="1">
        <v>43253</v>
      </c>
      <c r="F308" s="39"/>
      <c r="G308">
        <v>18.8</v>
      </c>
      <c r="H308">
        <v>11.9</v>
      </c>
      <c r="I308">
        <v>23.3</v>
      </c>
      <c r="J308">
        <f t="shared" si="39"/>
        <v>2646.8999999999992</v>
      </c>
      <c r="K308">
        <f t="shared" si="40"/>
        <v>292.70000000000005</v>
      </c>
      <c r="M308">
        <v>0</v>
      </c>
      <c r="N308">
        <v>1.6</v>
      </c>
      <c r="O308">
        <f t="shared" si="36"/>
        <v>-1.6</v>
      </c>
      <c r="Q308">
        <v>276</v>
      </c>
      <c r="R308">
        <f t="shared" si="44"/>
        <v>0.88846153846153841</v>
      </c>
      <c r="S308">
        <f t="shared" si="37"/>
        <v>1.4215384615384616</v>
      </c>
      <c r="T308">
        <f t="shared" si="38"/>
        <v>-1.4215384615384616</v>
      </c>
      <c r="U308" s="2">
        <f t="shared" si="41"/>
        <v>50.519230769230738</v>
      </c>
      <c r="W308">
        <v>870.5</v>
      </c>
      <c r="X308">
        <f t="shared" si="42"/>
        <v>211877.19999999998</v>
      </c>
      <c r="Y308">
        <f t="shared" si="43"/>
        <v>29977.9</v>
      </c>
      <c r="Z308">
        <v>15.554535534016049</v>
      </c>
    </row>
    <row r="309" spans="1:27" s="6" customFormat="1" ht="15" thickBot="1" x14ac:dyDescent="0.4">
      <c r="A309" s="6">
        <v>5160</v>
      </c>
      <c r="B309" s="6">
        <v>23050</v>
      </c>
      <c r="C309" s="7">
        <v>43254</v>
      </c>
      <c r="D309" s="6">
        <v>600</v>
      </c>
      <c r="F309" s="40"/>
      <c r="G309" s="6">
        <v>20.7</v>
      </c>
      <c r="H309" s="6">
        <v>16.8</v>
      </c>
      <c r="I309" s="6">
        <v>25.7</v>
      </c>
      <c r="J309" s="6">
        <f t="shared" si="39"/>
        <v>2667.599999999999</v>
      </c>
      <c r="K309" s="6">
        <f t="shared" si="40"/>
        <v>313.40000000000003</v>
      </c>
      <c r="M309" s="6">
        <v>3.4</v>
      </c>
      <c r="N309" s="6">
        <v>3.8</v>
      </c>
      <c r="O309" s="6">
        <f t="shared" si="36"/>
        <v>-0.39999999999999991</v>
      </c>
      <c r="Q309" s="6">
        <v>277</v>
      </c>
      <c r="R309">
        <f t="shared" si="44"/>
        <v>0.87307692307692308</v>
      </c>
      <c r="S309" s="6">
        <f t="shared" si="37"/>
        <v>3.3176923076923077</v>
      </c>
      <c r="T309" s="6">
        <f t="shared" si="38"/>
        <v>8.2307692307692193E-2</v>
      </c>
      <c r="U309" s="9">
        <f t="shared" si="41"/>
        <v>50.601538461538432</v>
      </c>
      <c r="W309" s="6">
        <v>1880.4</v>
      </c>
      <c r="X309" s="6">
        <f t="shared" si="42"/>
        <v>213757.59999999998</v>
      </c>
      <c r="Y309" s="6">
        <f t="shared" si="43"/>
        <v>31858.300000000003</v>
      </c>
      <c r="Z309" s="6">
        <v>15.57910076817533</v>
      </c>
    </row>
    <row r="310" spans="1:27" x14ac:dyDescent="0.35">
      <c r="A310">
        <v>5160</v>
      </c>
      <c r="B310">
        <v>23050</v>
      </c>
      <c r="C310" s="1">
        <v>43255</v>
      </c>
      <c r="F310" s="35" t="s">
        <v>58</v>
      </c>
      <c r="G310">
        <v>20</v>
      </c>
      <c r="H310">
        <v>16.8</v>
      </c>
      <c r="I310">
        <v>24.3</v>
      </c>
      <c r="J310">
        <f t="shared" si="39"/>
        <v>2687.599999999999</v>
      </c>
      <c r="K310">
        <v>20</v>
      </c>
      <c r="L310" s="23" t="s">
        <v>36</v>
      </c>
      <c r="M310">
        <v>0.2</v>
      </c>
      <c r="N310">
        <v>2.7</v>
      </c>
      <c r="O310">
        <f t="shared" si="36"/>
        <v>-2.5</v>
      </c>
      <c r="Q310">
        <v>278</v>
      </c>
      <c r="R310">
        <f t="shared" si="44"/>
        <v>0.85769230769230764</v>
      </c>
      <c r="S310">
        <f t="shared" si="37"/>
        <v>2.3157692307692308</v>
      </c>
      <c r="T310">
        <f t="shared" si="38"/>
        <v>-2.1157692307692306</v>
      </c>
      <c r="U310" s="2">
        <f t="shared" si="41"/>
        <v>48.485769230769201</v>
      </c>
      <c r="V310" s="24" t="s">
        <v>43</v>
      </c>
      <c r="W310">
        <v>1520</v>
      </c>
      <c r="X310">
        <f t="shared" si="42"/>
        <v>215277.59999999998</v>
      </c>
      <c r="Y310">
        <f>W310</f>
        <v>1520</v>
      </c>
      <c r="Z310">
        <v>15.602476821268258</v>
      </c>
      <c r="AA310" s="24" t="s">
        <v>48</v>
      </c>
    </row>
    <row r="311" spans="1:27" x14ac:dyDescent="0.35">
      <c r="A311">
        <v>5160</v>
      </c>
      <c r="B311">
        <v>23050</v>
      </c>
      <c r="C311" s="1">
        <v>43256</v>
      </c>
      <c r="F311" s="36"/>
      <c r="G311">
        <v>18.399999999999999</v>
      </c>
      <c r="H311">
        <v>15.2</v>
      </c>
      <c r="I311">
        <v>21.2</v>
      </c>
      <c r="J311">
        <f t="shared" si="39"/>
        <v>2705.9999999999991</v>
      </c>
      <c r="K311">
        <f t="shared" si="40"/>
        <v>38.4</v>
      </c>
      <c r="L311" s="11">
        <v>404.4</v>
      </c>
      <c r="M311">
        <v>12.5</v>
      </c>
      <c r="N311">
        <v>1.1000000000000001</v>
      </c>
      <c r="O311">
        <f t="shared" si="36"/>
        <v>11.4</v>
      </c>
      <c r="Q311">
        <v>279</v>
      </c>
      <c r="R311">
        <f t="shared" si="44"/>
        <v>0.8423076923076922</v>
      </c>
      <c r="S311">
        <f t="shared" si="37"/>
        <v>0.92653846153846153</v>
      </c>
      <c r="T311">
        <f t="shared" si="38"/>
        <v>11.573461538461538</v>
      </c>
      <c r="U311" s="2">
        <f t="shared" si="41"/>
        <v>60.059230769230737</v>
      </c>
      <c r="V311">
        <v>0</v>
      </c>
      <c r="W311">
        <v>711.1</v>
      </c>
      <c r="X311">
        <f t="shared" si="42"/>
        <v>215988.69999999998</v>
      </c>
      <c r="Y311">
        <f t="shared" si="43"/>
        <v>2231.1</v>
      </c>
      <c r="Z311">
        <v>15.624645043123266</v>
      </c>
      <c r="AA311">
        <v>36124.699999999997</v>
      </c>
    </row>
    <row r="312" spans="1:27" x14ac:dyDescent="0.35">
      <c r="A312">
        <v>5160</v>
      </c>
      <c r="B312">
        <v>23050</v>
      </c>
      <c r="C312" s="1">
        <v>43257</v>
      </c>
      <c r="F312" s="36"/>
      <c r="G312">
        <v>17.8</v>
      </c>
      <c r="H312">
        <v>15.8</v>
      </c>
      <c r="I312">
        <v>20.399999999999999</v>
      </c>
      <c r="J312">
        <f t="shared" si="39"/>
        <v>2723.7999999999993</v>
      </c>
      <c r="K312">
        <f t="shared" si="40"/>
        <v>56.2</v>
      </c>
      <c r="L312" s="23" t="s">
        <v>37</v>
      </c>
      <c r="M312">
        <v>6.3</v>
      </c>
      <c r="N312">
        <v>1.5</v>
      </c>
      <c r="O312">
        <f t="shared" si="36"/>
        <v>4.8</v>
      </c>
      <c r="Q312">
        <v>280</v>
      </c>
      <c r="R312">
        <f t="shared" si="44"/>
        <v>0.82692307692307687</v>
      </c>
      <c r="S312">
        <f t="shared" si="37"/>
        <v>1.2403846153846154</v>
      </c>
      <c r="T312">
        <f t="shared" si="38"/>
        <v>5.059615384615384</v>
      </c>
      <c r="U312" s="2">
        <f t="shared" si="41"/>
        <v>65.118846153846121</v>
      </c>
      <c r="V312" s="24" t="s">
        <v>44</v>
      </c>
      <c r="W312">
        <v>774.8</v>
      </c>
      <c r="X312">
        <f t="shared" si="42"/>
        <v>216763.49999999997</v>
      </c>
      <c r="Y312">
        <f t="shared" si="43"/>
        <v>3005.8999999999996</v>
      </c>
      <c r="Z312">
        <v>15.645587504155413</v>
      </c>
      <c r="AA312" s="24" t="s">
        <v>49</v>
      </c>
    </row>
    <row r="313" spans="1:27" x14ac:dyDescent="0.35">
      <c r="A313">
        <v>5160</v>
      </c>
      <c r="B313">
        <v>23050</v>
      </c>
      <c r="C313" s="1">
        <v>43258</v>
      </c>
      <c r="F313" s="36"/>
      <c r="G313">
        <v>19.2</v>
      </c>
      <c r="H313">
        <v>14.8</v>
      </c>
      <c r="I313">
        <v>24.9</v>
      </c>
      <c r="J313">
        <f t="shared" si="39"/>
        <v>2742.9999999999991</v>
      </c>
      <c r="K313">
        <f t="shared" si="40"/>
        <v>75.400000000000006</v>
      </c>
      <c r="L313" s="11">
        <f>AVERAGE(G310:G331)</f>
        <v>18.381818181818183</v>
      </c>
      <c r="M313">
        <v>0</v>
      </c>
      <c r="N313">
        <v>2.1</v>
      </c>
      <c r="O313">
        <f t="shared" si="36"/>
        <v>-2.1</v>
      </c>
      <c r="Q313">
        <v>281</v>
      </c>
      <c r="R313">
        <f t="shared" si="44"/>
        <v>0.81153846153846154</v>
      </c>
      <c r="S313">
        <f t="shared" si="37"/>
        <v>1.7042307692307692</v>
      </c>
      <c r="T313">
        <f t="shared" si="38"/>
        <v>-1.7042307692307692</v>
      </c>
      <c r="U313" s="2">
        <f t="shared" si="41"/>
        <v>63.414615384615352</v>
      </c>
      <c r="V313">
        <v>3</v>
      </c>
      <c r="W313">
        <v>943.1</v>
      </c>
      <c r="X313">
        <f t="shared" si="42"/>
        <v>217706.59999999998</v>
      </c>
      <c r="Y313">
        <f t="shared" si="43"/>
        <v>3948.9999999999995</v>
      </c>
      <c r="Z313">
        <v>15.66528704594683</v>
      </c>
      <c r="AA313">
        <f>(AA311/100)/L311</f>
        <v>0.89329129574678534</v>
      </c>
    </row>
    <row r="314" spans="1:27" x14ac:dyDescent="0.35">
      <c r="A314">
        <v>5160</v>
      </c>
      <c r="B314">
        <v>23050</v>
      </c>
      <c r="C314" s="1">
        <v>43259</v>
      </c>
      <c r="F314" s="36"/>
      <c r="G314">
        <v>21.1</v>
      </c>
      <c r="H314">
        <v>15.1</v>
      </c>
      <c r="I314">
        <v>25.5</v>
      </c>
      <c r="J314">
        <f t="shared" si="39"/>
        <v>2764.099999999999</v>
      </c>
      <c r="K314">
        <f t="shared" si="40"/>
        <v>96.5</v>
      </c>
      <c r="L314" s="23" t="s">
        <v>38</v>
      </c>
      <c r="M314">
        <v>0</v>
      </c>
      <c r="N314">
        <v>3.4</v>
      </c>
      <c r="O314">
        <f t="shared" si="36"/>
        <v>-3.4</v>
      </c>
      <c r="Q314">
        <v>282</v>
      </c>
      <c r="R314">
        <f t="shared" si="44"/>
        <v>0.7961538461538461</v>
      </c>
      <c r="S314">
        <f t="shared" si="37"/>
        <v>2.7069230769230765</v>
      </c>
      <c r="T314">
        <f t="shared" si="38"/>
        <v>-2.7069230769230765</v>
      </c>
      <c r="U314" s="2">
        <f t="shared" si="41"/>
        <v>60.707692307692277</v>
      </c>
      <c r="V314" s="24" t="s">
        <v>45</v>
      </c>
      <c r="W314">
        <v>1958.6</v>
      </c>
      <c r="X314">
        <f t="shared" si="42"/>
        <v>219665.19999999998</v>
      </c>
      <c r="Y314">
        <f t="shared" si="43"/>
        <v>5907.5999999999995</v>
      </c>
      <c r="Z314">
        <v>15.683727330686601</v>
      </c>
      <c r="AA314" s="24" t="s">
        <v>50</v>
      </c>
    </row>
    <row r="315" spans="1:27" x14ac:dyDescent="0.35">
      <c r="A315">
        <v>5160</v>
      </c>
      <c r="B315">
        <v>23050</v>
      </c>
      <c r="C315" s="1">
        <v>43260</v>
      </c>
      <c r="F315" s="36"/>
      <c r="G315">
        <v>20</v>
      </c>
      <c r="H315">
        <v>18.5</v>
      </c>
      <c r="I315">
        <v>25.2</v>
      </c>
      <c r="J315">
        <f t="shared" si="39"/>
        <v>2784.099999999999</v>
      </c>
      <c r="K315">
        <f t="shared" si="40"/>
        <v>116.5</v>
      </c>
      <c r="L315" s="11">
        <f>MIN(H310:H331)</f>
        <v>9.1</v>
      </c>
      <c r="M315">
        <v>7.1</v>
      </c>
      <c r="N315">
        <v>4.3</v>
      </c>
      <c r="O315">
        <f t="shared" si="36"/>
        <v>2.8</v>
      </c>
      <c r="Q315">
        <v>283</v>
      </c>
      <c r="R315">
        <f t="shared" si="44"/>
        <v>0.78076923076923066</v>
      </c>
      <c r="S315">
        <f t="shared" si="37"/>
        <v>3.3573076923076917</v>
      </c>
      <c r="T315">
        <f t="shared" si="38"/>
        <v>3.742692307692308</v>
      </c>
      <c r="U315" s="2">
        <f t="shared" si="41"/>
        <v>64.450384615384579</v>
      </c>
      <c r="V315" s="2">
        <f>MIN(U310:U331)</f>
        <v>46.444230769230749</v>
      </c>
      <c r="W315">
        <v>2055.4</v>
      </c>
      <c r="X315">
        <f t="shared" si="42"/>
        <v>221720.59999999998</v>
      </c>
      <c r="Y315">
        <f t="shared" si="43"/>
        <v>7963</v>
      </c>
      <c r="Z315">
        <v>15.700892889188184</v>
      </c>
      <c r="AA315">
        <v>6</v>
      </c>
    </row>
    <row r="316" spans="1:27" x14ac:dyDescent="0.35">
      <c r="A316">
        <v>5160</v>
      </c>
      <c r="B316">
        <v>23050</v>
      </c>
      <c r="C316" s="1">
        <v>43261</v>
      </c>
      <c r="F316" s="36"/>
      <c r="G316">
        <v>19.8</v>
      </c>
      <c r="H316">
        <v>15.3</v>
      </c>
      <c r="I316">
        <v>23.2</v>
      </c>
      <c r="J316">
        <f t="shared" si="39"/>
        <v>2803.8999999999992</v>
      </c>
      <c r="K316">
        <f t="shared" si="40"/>
        <v>136.30000000000001</v>
      </c>
      <c r="L316" s="23" t="s">
        <v>39</v>
      </c>
      <c r="M316">
        <v>6.9</v>
      </c>
      <c r="N316">
        <v>2.2000000000000002</v>
      </c>
      <c r="O316">
        <f t="shared" si="36"/>
        <v>4.7</v>
      </c>
      <c r="Q316">
        <v>284</v>
      </c>
      <c r="R316">
        <f t="shared" si="44"/>
        <v>0.76538461538461533</v>
      </c>
      <c r="S316">
        <f t="shared" si="37"/>
        <v>1.6838461538461538</v>
      </c>
      <c r="T316">
        <f t="shared" si="38"/>
        <v>5.2161538461538468</v>
      </c>
      <c r="U316" s="2">
        <f t="shared" si="41"/>
        <v>69.666538461538423</v>
      </c>
      <c r="V316" s="24" t="s">
        <v>46</v>
      </c>
      <c r="W316">
        <v>1328.2</v>
      </c>
      <c r="X316">
        <f t="shared" si="42"/>
        <v>223048.8</v>
      </c>
      <c r="Y316">
        <f t="shared" si="43"/>
        <v>9291.2000000000007</v>
      </c>
      <c r="Z316">
        <v>15.716769167201836</v>
      </c>
    </row>
    <row r="317" spans="1:27" x14ac:dyDescent="0.35">
      <c r="A317">
        <v>5160</v>
      </c>
      <c r="B317">
        <v>23050</v>
      </c>
      <c r="C317" s="1">
        <v>43262</v>
      </c>
      <c r="F317" s="36"/>
      <c r="G317">
        <v>19.600000000000001</v>
      </c>
      <c r="H317">
        <v>17.7</v>
      </c>
      <c r="I317">
        <v>23.5</v>
      </c>
      <c r="J317">
        <f t="shared" si="39"/>
        <v>2823.4999999999991</v>
      </c>
      <c r="K317">
        <f t="shared" si="40"/>
        <v>155.9</v>
      </c>
      <c r="L317" s="11">
        <f>MAX(I310:I331)</f>
        <v>28.4</v>
      </c>
      <c r="M317">
        <v>6.3</v>
      </c>
      <c r="N317">
        <v>2.7</v>
      </c>
      <c r="O317">
        <f t="shared" si="36"/>
        <v>3.5999999999999996</v>
      </c>
      <c r="Q317">
        <v>285</v>
      </c>
      <c r="R317">
        <f t="shared" si="44"/>
        <v>0.75</v>
      </c>
      <c r="S317">
        <f t="shared" si="37"/>
        <v>2.0250000000000004</v>
      </c>
      <c r="T317">
        <f t="shared" si="38"/>
        <v>4.2749999999999995</v>
      </c>
      <c r="U317" s="2">
        <f t="shared" si="41"/>
        <v>73.941538461538428</v>
      </c>
      <c r="V317" s="2">
        <f>MAX(U310:U331)</f>
        <v>74.166153846153819</v>
      </c>
      <c r="W317">
        <v>1314.9</v>
      </c>
      <c r="X317">
        <f t="shared" si="42"/>
        <v>224363.69999999998</v>
      </c>
      <c r="Y317">
        <f t="shared" si="43"/>
        <v>10606.1</v>
      </c>
      <c r="Z317">
        <v>15.731342569741999</v>
      </c>
    </row>
    <row r="318" spans="1:27" x14ac:dyDescent="0.35">
      <c r="A318">
        <v>5160</v>
      </c>
      <c r="B318">
        <v>23050</v>
      </c>
      <c r="C318" s="1">
        <v>43263</v>
      </c>
      <c r="F318" s="36"/>
      <c r="G318">
        <v>16.899999999999999</v>
      </c>
      <c r="H318">
        <v>15</v>
      </c>
      <c r="I318">
        <v>19.600000000000001</v>
      </c>
      <c r="J318">
        <f t="shared" si="39"/>
        <v>2840.3999999999992</v>
      </c>
      <c r="K318">
        <f t="shared" si="40"/>
        <v>172.8</v>
      </c>
      <c r="L318" s="23" t="s">
        <v>40</v>
      </c>
      <c r="M318">
        <v>1.4</v>
      </c>
      <c r="N318">
        <v>1.6</v>
      </c>
      <c r="O318">
        <f t="shared" si="36"/>
        <v>-0.20000000000000018</v>
      </c>
      <c r="Q318">
        <v>286</v>
      </c>
      <c r="R318">
        <f t="shared" si="44"/>
        <v>0.73461538461538445</v>
      </c>
      <c r="S318">
        <f t="shared" si="37"/>
        <v>1.1753846153846153</v>
      </c>
      <c r="T318">
        <f t="shared" si="38"/>
        <v>0.22461538461538466</v>
      </c>
      <c r="U318" s="2">
        <f t="shared" si="41"/>
        <v>74.166153846153819</v>
      </c>
      <c r="V318" s="24" t="s">
        <v>47</v>
      </c>
      <c r="W318">
        <v>713.8</v>
      </c>
      <c r="X318">
        <f t="shared" si="42"/>
        <v>225077.49999999997</v>
      </c>
      <c r="Y318">
        <f t="shared" si="43"/>
        <v>11319.9</v>
      </c>
      <c r="Z318">
        <v>15.744600503154267</v>
      </c>
    </row>
    <row r="319" spans="1:27" x14ac:dyDescent="0.35">
      <c r="A319">
        <v>5160</v>
      </c>
      <c r="B319">
        <v>23050</v>
      </c>
      <c r="C319" s="1">
        <v>43264</v>
      </c>
      <c r="F319" s="36"/>
      <c r="G319">
        <v>14.6</v>
      </c>
      <c r="H319">
        <v>13.1</v>
      </c>
      <c r="I319">
        <v>17.100000000000001</v>
      </c>
      <c r="J319">
        <f t="shared" si="39"/>
        <v>2854.9999999999991</v>
      </c>
      <c r="K319">
        <f t="shared" si="40"/>
        <v>187.4</v>
      </c>
      <c r="L319" s="11">
        <v>3</v>
      </c>
      <c r="M319">
        <v>0</v>
      </c>
      <c r="N319">
        <v>2.5</v>
      </c>
      <c r="O319">
        <f t="shared" si="36"/>
        <v>-2.5</v>
      </c>
      <c r="Q319">
        <v>287</v>
      </c>
      <c r="R319">
        <f t="shared" si="44"/>
        <v>0.71923076923076912</v>
      </c>
      <c r="S319">
        <f t="shared" si="37"/>
        <v>1.7980769230769229</v>
      </c>
      <c r="T319">
        <f t="shared" si="38"/>
        <v>-1.7980769230769229</v>
      </c>
      <c r="U319" s="2">
        <f t="shared" si="41"/>
        <v>72.368076923076899</v>
      </c>
      <c r="V319" s="2">
        <f>AVERAGE(U310:U331)</f>
        <v>63.488566433566398</v>
      </c>
      <c r="W319">
        <v>1448</v>
      </c>
      <c r="X319">
        <f t="shared" si="42"/>
        <v>226525.49999999997</v>
      </c>
      <c r="Y319">
        <f t="shared" si="43"/>
        <v>12767.9</v>
      </c>
      <c r="Z319">
        <v>15.756531414654408</v>
      </c>
    </row>
    <row r="320" spans="1:27" x14ac:dyDescent="0.35">
      <c r="A320">
        <v>5160</v>
      </c>
      <c r="B320">
        <v>23050</v>
      </c>
      <c r="C320" s="1">
        <v>43265</v>
      </c>
      <c r="F320" s="36"/>
      <c r="G320">
        <v>15.9</v>
      </c>
      <c r="H320">
        <v>9.1</v>
      </c>
      <c r="I320">
        <v>19.399999999999999</v>
      </c>
      <c r="J320">
        <f t="shared" si="39"/>
        <v>2870.8999999999992</v>
      </c>
      <c r="K320">
        <f t="shared" si="40"/>
        <v>203.3</v>
      </c>
      <c r="L320" s="23" t="s">
        <v>41</v>
      </c>
      <c r="M320">
        <v>1</v>
      </c>
      <c r="N320">
        <v>2.5</v>
      </c>
      <c r="O320">
        <f t="shared" si="36"/>
        <v>-1.5</v>
      </c>
      <c r="Q320">
        <v>288</v>
      </c>
      <c r="R320">
        <f t="shared" si="44"/>
        <v>0.70384615384615379</v>
      </c>
      <c r="S320">
        <f t="shared" si="37"/>
        <v>1.7596153846153846</v>
      </c>
      <c r="T320">
        <f t="shared" si="38"/>
        <v>-0.75961538461538458</v>
      </c>
      <c r="U320" s="2">
        <f t="shared" si="41"/>
        <v>71.608461538461512</v>
      </c>
      <c r="W320">
        <v>1847.1</v>
      </c>
      <c r="X320">
        <f t="shared" si="42"/>
        <v>228372.59999999998</v>
      </c>
      <c r="Y320">
        <f t="shared" si="43"/>
        <v>14615</v>
      </c>
      <c r="Z320">
        <v>15.767124829082663</v>
      </c>
    </row>
    <row r="321" spans="1:26" x14ac:dyDescent="0.35">
      <c r="A321">
        <v>5160</v>
      </c>
      <c r="B321">
        <v>23050</v>
      </c>
      <c r="C321" s="1">
        <v>43266</v>
      </c>
      <c r="F321" s="36"/>
      <c r="G321">
        <v>18.3</v>
      </c>
      <c r="H321">
        <v>16</v>
      </c>
      <c r="I321">
        <v>20.5</v>
      </c>
      <c r="J321">
        <f t="shared" si="39"/>
        <v>2889.1999999999994</v>
      </c>
      <c r="K321">
        <f t="shared" si="40"/>
        <v>221.60000000000002</v>
      </c>
      <c r="L321" s="11">
        <v>0</v>
      </c>
      <c r="M321">
        <v>0.3</v>
      </c>
      <c r="N321">
        <v>1.4</v>
      </c>
      <c r="O321">
        <f t="shared" si="36"/>
        <v>-1.0999999999999999</v>
      </c>
      <c r="Q321">
        <v>289</v>
      </c>
      <c r="R321">
        <f t="shared" si="44"/>
        <v>0.68846153846153846</v>
      </c>
      <c r="S321">
        <f t="shared" si="37"/>
        <v>0.9638461538461538</v>
      </c>
      <c r="T321">
        <f t="shared" si="38"/>
        <v>-0.66384615384615375</v>
      </c>
      <c r="U321" s="2">
        <f t="shared" si="41"/>
        <v>70.944615384615361</v>
      </c>
      <c r="V321">
        <f>(V319*100)/150.8</f>
        <v>42.101171375044025</v>
      </c>
      <c r="W321">
        <v>655.8</v>
      </c>
      <c r="X321">
        <f t="shared" si="42"/>
        <v>229028.39999999997</v>
      </c>
      <c r="Y321">
        <f t="shared" si="43"/>
        <v>15270.8</v>
      </c>
      <c r="Z321">
        <v>15.776371382629602</v>
      </c>
    </row>
    <row r="322" spans="1:26" x14ac:dyDescent="0.35">
      <c r="A322">
        <v>5160</v>
      </c>
      <c r="B322">
        <v>23050</v>
      </c>
      <c r="C322" s="1">
        <v>43267</v>
      </c>
      <c r="F322" s="36"/>
      <c r="G322">
        <v>17.399999999999999</v>
      </c>
      <c r="H322">
        <v>13.5</v>
      </c>
      <c r="I322">
        <v>21.5</v>
      </c>
      <c r="J322">
        <f t="shared" si="39"/>
        <v>2906.5999999999995</v>
      </c>
      <c r="K322">
        <f t="shared" si="40"/>
        <v>239.00000000000003</v>
      </c>
      <c r="L322" s="23" t="s">
        <v>42</v>
      </c>
      <c r="M322">
        <v>0.1</v>
      </c>
      <c r="N322">
        <v>1.9</v>
      </c>
      <c r="O322">
        <f t="shared" si="36"/>
        <v>-1.7999999999999998</v>
      </c>
      <c r="Q322">
        <v>290</v>
      </c>
      <c r="R322">
        <f t="shared" si="44"/>
        <v>0.67307692307692302</v>
      </c>
      <c r="S322">
        <f t="shared" si="37"/>
        <v>1.2788461538461537</v>
      </c>
      <c r="T322">
        <f t="shared" si="38"/>
        <v>-1.1788461538461537</v>
      </c>
      <c r="U322" s="2">
        <f t="shared" si="41"/>
        <v>69.765769230769209</v>
      </c>
      <c r="W322">
        <v>1082.4000000000001</v>
      </c>
      <c r="X322">
        <f t="shared" si="42"/>
        <v>230110.79999999996</v>
      </c>
      <c r="Y322">
        <f t="shared" si="43"/>
        <v>16353.199999999999</v>
      </c>
      <c r="Z322">
        <v>15.784262853306293</v>
      </c>
    </row>
    <row r="323" spans="1:26" x14ac:dyDescent="0.35">
      <c r="A323">
        <v>5160</v>
      </c>
      <c r="B323">
        <v>23050</v>
      </c>
      <c r="C323" s="1">
        <v>43268</v>
      </c>
      <c r="F323" s="36"/>
      <c r="G323">
        <v>16.7</v>
      </c>
      <c r="H323">
        <v>12.8</v>
      </c>
      <c r="I323">
        <v>19.899999999999999</v>
      </c>
      <c r="J323">
        <f t="shared" si="39"/>
        <v>2923.2999999999993</v>
      </c>
      <c r="K323">
        <f t="shared" si="40"/>
        <v>255.70000000000002</v>
      </c>
      <c r="L323" s="11">
        <v>0</v>
      </c>
      <c r="M323">
        <v>0.2</v>
      </c>
      <c r="N323">
        <v>1.5</v>
      </c>
      <c r="O323">
        <f t="shared" si="36"/>
        <v>-1.3</v>
      </c>
      <c r="Q323">
        <v>291</v>
      </c>
      <c r="R323">
        <f t="shared" si="44"/>
        <v>0.65769230769230758</v>
      </c>
      <c r="S323">
        <f t="shared" si="37"/>
        <v>0.98653846153846136</v>
      </c>
      <c r="T323">
        <f t="shared" si="38"/>
        <v>-0.78653846153846141</v>
      </c>
      <c r="U323" s="2">
        <f t="shared" si="41"/>
        <v>68.979230769230753</v>
      </c>
      <c r="W323">
        <v>574.5</v>
      </c>
      <c r="X323">
        <f t="shared" si="42"/>
        <v>230685.29999999996</v>
      </c>
      <c r="Y323">
        <f t="shared" si="43"/>
        <v>16927.699999999997</v>
      </c>
      <c r="Z323">
        <v>15.790792187950041</v>
      </c>
    </row>
    <row r="324" spans="1:26" x14ac:dyDescent="0.35">
      <c r="A324">
        <v>5160</v>
      </c>
      <c r="B324">
        <v>23050</v>
      </c>
      <c r="C324" s="1">
        <v>43269</v>
      </c>
      <c r="F324" s="36"/>
      <c r="G324">
        <v>18.899999999999999</v>
      </c>
      <c r="H324">
        <v>15.1</v>
      </c>
      <c r="I324">
        <v>23.1</v>
      </c>
      <c r="J324">
        <f t="shared" si="39"/>
        <v>2942.1999999999994</v>
      </c>
      <c r="K324">
        <f t="shared" si="40"/>
        <v>274.60000000000002</v>
      </c>
      <c r="M324">
        <v>0</v>
      </c>
      <c r="N324">
        <v>2.2000000000000002</v>
      </c>
      <c r="O324">
        <f t="shared" si="36"/>
        <v>-2.2000000000000002</v>
      </c>
      <c r="Q324">
        <v>292</v>
      </c>
      <c r="R324">
        <f t="shared" si="44"/>
        <v>0.64230769230769225</v>
      </c>
      <c r="S324">
        <f t="shared" si="37"/>
        <v>1.4130769230769231</v>
      </c>
      <c r="T324">
        <f t="shared" si="38"/>
        <v>-1.4130769230769231</v>
      </c>
      <c r="U324" s="2">
        <f t="shared" si="41"/>
        <v>67.566153846153824</v>
      </c>
      <c r="W324">
        <v>989.9</v>
      </c>
      <c r="X324">
        <f t="shared" si="42"/>
        <v>231675.19999999995</v>
      </c>
      <c r="Y324">
        <f t="shared" si="43"/>
        <v>17917.599999999999</v>
      </c>
      <c r="Z324">
        <v>15.795953525578319</v>
      </c>
    </row>
    <row r="325" spans="1:26" x14ac:dyDescent="0.35">
      <c r="A325">
        <v>5160</v>
      </c>
      <c r="B325">
        <v>23050</v>
      </c>
      <c r="C325" s="1">
        <v>43270</v>
      </c>
      <c r="F325" s="36"/>
      <c r="G325">
        <v>18.600000000000001</v>
      </c>
      <c r="H325">
        <v>14.1</v>
      </c>
      <c r="I325">
        <v>23.3</v>
      </c>
      <c r="J325">
        <f t="shared" si="39"/>
        <v>2960.7999999999993</v>
      </c>
      <c r="K325">
        <f t="shared" si="40"/>
        <v>293.20000000000005</v>
      </c>
      <c r="M325">
        <v>0.2</v>
      </c>
      <c r="N325">
        <v>1.8</v>
      </c>
      <c r="O325">
        <f t="shared" ref="O325:O367" si="45">M325-N325</f>
        <v>-1.6</v>
      </c>
      <c r="Q325">
        <v>293</v>
      </c>
      <c r="R325">
        <f t="shared" si="44"/>
        <v>0.62692307692307692</v>
      </c>
      <c r="S325">
        <f t="shared" ref="S325:S367" si="46">R325*N325</f>
        <v>1.1284615384615384</v>
      </c>
      <c r="T325">
        <f t="shared" ref="T325:T367" si="47">M325-S325</f>
        <v>-0.92846153846153845</v>
      </c>
      <c r="U325" s="2">
        <f t="shared" si="41"/>
        <v>66.637692307692291</v>
      </c>
      <c r="W325">
        <v>822</v>
      </c>
      <c r="X325">
        <f t="shared" si="42"/>
        <v>232497.19999999995</v>
      </c>
      <c r="Y325">
        <f t="shared" si="43"/>
        <v>18739.599999999999</v>
      </c>
      <c r="Z325">
        <v>15.799742216926866</v>
      </c>
    </row>
    <row r="326" spans="1:26" x14ac:dyDescent="0.35">
      <c r="A326">
        <v>5160</v>
      </c>
      <c r="B326">
        <v>23050</v>
      </c>
      <c r="C326" s="1">
        <v>43271</v>
      </c>
      <c r="F326" s="36"/>
      <c r="G326">
        <v>22.5</v>
      </c>
      <c r="H326">
        <v>16.5</v>
      </c>
      <c r="I326">
        <v>28.4</v>
      </c>
      <c r="J326">
        <f t="shared" si="39"/>
        <v>2983.2999999999993</v>
      </c>
      <c r="K326">
        <f t="shared" si="40"/>
        <v>315.70000000000005</v>
      </c>
      <c r="M326">
        <v>0</v>
      </c>
      <c r="N326">
        <v>6.4</v>
      </c>
      <c r="O326">
        <f t="shared" si="45"/>
        <v>-6.4</v>
      </c>
      <c r="Q326">
        <v>294</v>
      </c>
      <c r="R326">
        <f t="shared" si="44"/>
        <v>0.61153846153846148</v>
      </c>
      <c r="S326">
        <f t="shared" si="46"/>
        <v>3.9138461538461535</v>
      </c>
      <c r="T326">
        <f t="shared" si="47"/>
        <v>-3.9138461538461535</v>
      </c>
      <c r="U326" s="2">
        <f t="shared" si="41"/>
        <v>62.723846153846139</v>
      </c>
      <c r="W326">
        <v>3023.2</v>
      </c>
      <c r="X326">
        <f t="shared" si="42"/>
        <v>235520.39999999997</v>
      </c>
      <c r="Y326">
        <f t="shared" si="43"/>
        <v>21762.799999999999</v>
      </c>
      <c r="Z326">
        <v>15.802154840033493</v>
      </c>
    </row>
    <row r="327" spans="1:26" x14ac:dyDescent="0.35">
      <c r="A327">
        <v>5160</v>
      </c>
      <c r="B327">
        <v>23050</v>
      </c>
      <c r="C327" s="1">
        <v>43272</v>
      </c>
      <c r="F327" s="36"/>
      <c r="G327">
        <v>18.3</v>
      </c>
      <c r="H327">
        <v>15.5</v>
      </c>
      <c r="I327">
        <v>22.6</v>
      </c>
      <c r="J327">
        <f t="shared" si="39"/>
        <v>3001.5999999999995</v>
      </c>
      <c r="K327">
        <f t="shared" si="40"/>
        <v>334.00000000000006</v>
      </c>
      <c r="M327">
        <v>0</v>
      </c>
      <c r="N327">
        <v>4.2</v>
      </c>
      <c r="O327">
        <f t="shared" si="45"/>
        <v>-4.2</v>
      </c>
      <c r="Q327">
        <v>295</v>
      </c>
      <c r="R327">
        <f t="shared" si="44"/>
        <v>0.59615384615384615</v>
      </c>
      <c r="S327">
        <f t="shared" si="46"/>
        <v>2.5038461538461538</v>
      </c>
      <c r="T327">
        <f t="shared" si="47"/>
        <v>-2.5038461538461538</v>
      </c>
      <c r="U327" s="2">
        <f t="shared" si="41"/>
        <v>60.219999999999985</v>
      </c>
      <c r="W327">
        <v>1942.9</v>
      </c>
      <c r="X327">
        <f t="shared" si="42"/>
        <v>237463.29999999996</v>
      </c>
      <c r="Y327">
        <f t="shared" si="43"/>
        <v>23705.7</v>
      </c>
      <c r="Z327">
        <v>15.803189211756163</v>
      </c>
    </row>
    <row r="328" spans="1:26" x14ac:dyDescent="0.35">
      <c r="A328">
        <v>5160</v>
      </c>
      <c r="B328">
        <v>23050</v>
      </c>
      <c r="C328" s="1">
        <v>43273</v>
      </c>
      <c r="F328" s="36"/>
      <c r="G328">
        <v>15.7</v>
      </c>
      <c r="H328">
        <v>10.9</v>
      </c>
      <c r="I328">
        <v>20.5</v>
      </c>
      <c r="J328">
        <f t="shared" si="39"/>
        <v>3017.2999999999993</v>
      </c>
      <c r="K328">
        <f t="shared" si="40"/>
        <v>349.70000000000005</v>
      </c>
      <c r="M328">
        <v>0</v>
      </c>
      <c r="N328">
        <v>6.3</v>
      </c>
      <c r="O328">
        <f t="shared" si="45"/>
        <v>-6.3</v>
      </c>
      <c r="Q328">
        <v>296</v>
      </c>
      <c r="R328">
        <f t="shared" si="44"/>
        <v>0.5807692307692307</v>
      </c>
      <c r="S328">
        <f t="shared" si="46"/>
        <v>3.6588461538461532</v>
      </c>
      <c r="T328">
        <f t="shared" si="47"/>
        <v>-3.6588461538461532</v>
      </c>
      <c r="U328" s="2">
        <f t="shared" si="41"/>
        <v>56.561153846153829</v>
      </c>
      <c r="W328">
        <v>3281.3</v>
      </c>
      <c r="X328">
        <f t="shared" si="42"/>
        <v>240744.59999999995</v>
      </c>
      <c r="Y328">
        <f t="shared" si="43"/>
        <v>26987</v>
      </c>
      <c r="Z328">
        <v>15.802844395142637</v>
      </c>
    </row>
    <row r="329" spans="1:26" x14ac:dyDescent="0.35">
      <c r="A329">
        <v>5160</v>
      </c>
      <c r="B329">
        <v>23050</v>
      </c>
      <c r="C329" s="1">
        <v>43274</v>
      </c>
      <c r="F329" s="36"/>
      <c r="G329">
        <v>16.7</v>
      </c>
      <c r="H329">
        <v>12</v>
      </c>
      <c r="I329">
        <v>21.5</v>
      </c>
      <c r="J329">
        <f t="shared" si="39"/>
        <v>3033.9999999999991</v>
      </c>
      <c r="K329">
        <f t="shared" si="40"/>
        <v>366.40000000000003</v>
      </c>
      <c r="M329">
        <v>0</v>
      </c>
      <c r="N329">
        <v>6.3</v>
      </c>
      <c r="O329">
        <f t="shared" si="45"/>
        <v>-6.3</v>
      </c>
      <c r="Q329">
        <v>297</v>
      </c>
      <c r="R329">
        <f t="shared" si="44"/>
        <v>0.56538461538461537</v>
      </c>
      <c r="S329">
        <f t="shared" si="46"/>
        <v>3.561923076923077</v>
      </c>
      <c r="T329">
        <f t="shared" si="47"/>
        <v>-3.561923076923077</v>
      </c>
      <c r="U329" s="2">
        <f t="shared" si="41"/>
        <v>52.999230769230749</v>
      </c>
      <c r="W329">
        <v>3213.6</v>
      </c>
      <c r="X329">
        <f t="shared" si="42"/>
        <v>243958.19999999995</v>
      </c>
      <c r="Y329">
        <f t="shared" si="43"/>
        <v>30200.6</v>
      </c>
      <c r="Z329">
        <v>15.801120702598423</v>
      </c>
    </row>
    <row r="330" spans="1:26" x14ac:dyDescent="0.35">
      <c r="A330">
        <v>5160</v>
      </c>
      <c r="B330">
        <v>23050</v>
      </c>
      <c r="C330" s="1">
        <v>43275</v>
      </c>
      <c r="F330" s="36"/>
      <c r="G330">
        <v>18.2</v>
      </c>
      <c r="H330">
        <v>13.8</v>
      </c>
      <c r="I330">
        <v>23.1</v>
      </c>
      <c r="J330">
        <f t="shared" si="39"/>
        <v>3052.1999999999989</v>
      </c>
      <c r="K330">
        <f t="shared" si="40"/>
        <v>384.6</v>
      </c>
      <c r="M330">
        <v>0</v>
      </c>
      <c r="N330">
        <v>5.6</v>
      </c>
      <c r="O330">
        <f t="shared" si="45"/>
        <v>-5.6</v>
      </c>
      <c r="Q330">
        <v>298</v>
      </c>
      <c r="R330">
        <f t="shared" si="44"/>
        <v>0.54999999999999993</v>
      </c>
      <c r="S330">
        <f t="shared" si="46"/>
        <v>3.0799999999999996</v>
      </c>
      <c r="T330">
        <f t="shared" si="47"/>
        <v>-3.0799999999999996</v>
      </c>
      <c r="U330" s="2">
        <f t="shared" si="41"/>
        <v>49.919230769230751</v>
      </c>
      <c r="W330">
        <v>2616.3000000000002</v>
      </c>
      <c r="X330">
        <f t="shared" si="42"/>
        <v>246574.49999999994</v>
      </c>
      <c r="Y330">
        <f t="shared" si="43"/>
        <v>32816.9</v>
      </c>
      <c r="Z330">
        <v>15.798019694830149</v>
      </c>
    </row>
    <row r="331" spans="1:26" s="6" customFormat="1" ht="15" thickBot="1" x14ac:dyDescent="0.4">
      <c r="A331" s="6">
        <v>5160</v>
      </c>
      <c r="B331" s="6">
        <v>23050</v>
      </c>
      <c r="C331" s="7">
        <v>43276</v>
      </c>
      <c r="F331" s="37"/>
      <c r="G331" s="6">
        <v>19.8</v>
      </c>
      <c r="H331" s="6">
        <v>13.4</v>
      </c>
      <c r="I331" s="6">
        <v>24.7</v>
      </c>
      <c r="J331" s="6">
        <f t="shared" si="39"/>
        <v>3071.9999999999991</v>
      </c>
      <c r="K331" s="6">
        <f t="shared" si="40"/>
        <v>404.40000000000003</v>
      </c>
      <c r="M331" s="6">
        <v>0</v>
      </c>
      <c r="N331" s="6">
        <v>6.5</v>
      </c>
      <c r="O331" s="6">
        <f t="shared" si="45"/>
        <v>-6.5</v>
      </c>
      <c r="Q331" s="6">
        <v>299</v>
      </c>
      <c r="R331" s="8">
        <f t="shared" si="44"/>
        <v>0.53461538461538449</v>
      </c>
      <c r="S331" s="6">
        <f t="shared" si="46"/>
        <v>3.4749999999999992</v>
      </c>
      <c r="T331" s="6">
        <f t="shared" si="47"/>
        <v>-3.4749999999999992</v>
      </c>
      <c r="U331" s="9">
        <f t="shared" si="41"/>
        <v>46.444230769230749</v>
      </c>
      <c r="W331" s="6">
        <v>3307.8</v>
      </c>
      <c r="X331" s="6">
        <f t="shared" si="42"/>
        <v>249882.29999999993</v>
      </c>
      <c r="Y331" s="6">
        <f t="shared" si="43"/>
        <v>36124.700000000004</v>
      </c>
      <c r="Z331" s="6">
        <v>15.793544175572009</v>
      </c>
    </row>
    <row r="332" spans="1:26" x14ac:dyDescent="0.35">
      <c r="A332">
        <v>5160</v>
      </c>
      <c r="B332">
        <v>23050</v>
      </c>
      <c r="C332" s="1">
        <v>43277</v>
      </c>
      <c r="G332">
        <v>22</v>
      </c>
      <c r="H332">
        <v>16.899999999999999</v>
      </c>
      <c r="I332">
        <v>27.2</v>
      </c>
      <c r="J332">
        <f t="shared" si="39"/>
        <v>3093.9999999999991</v>
      </c>
      <c r="K332">
        <f>G332</f>
        <v>22</v>
      </c>
      <c r="M332">
        <v>0</v>
      </c>
      <c r="N332">
        <v>7.5</v>
      </c>
      <c r="O332">
        <f t="shared" si="45"/>
        <v>-7.5</v>
      </c>
      <c r="Q332">
        <v>300</v>
      </c>
      <c r="R332">
        <f t="shared" si="44"/>
        <v>0.51923076923076916</v>
      </c>
      <c r="S332">
        <f t="shared" si="46"/>
        <v>3.8942307692307687</v>
      </c>
      <c r="T332">
        <f t="shared" si="47"/>
        <v>-3.8942307692307687</v>
      </c>
      <c r="U332" s="2">
        <f t="shared" si="41"/>
        <v>42.549999999999983</v>
      </c>
      <c r="W332">
        <v>3296.7</v>
      </c>
      <c r="X332">
        <f t="shared" si="42"/>
        <v>253178.99999999994</v>
      </c>
      <c r="Y332">
        <f t="shared" si="43"/>
        <v>39421.4</v>
      </c>
      <c r="Z332">
        <v>15.787698182133378</v>
      </c>
    </row>
    <row r="333" spans="1:26" x14ac:dyDescent="0.35">
      <c r="A333">
        <v>5160</v>
      </c>
      <c r="B333">
        <v>23050</v>
      </c>
      <c r="C333" s="1">
        <v>43278</v>
      </c>
      <c r="G333">
        <v>22.9</v>
      </c>
      <c r="H333">
        <v>16.600000000000001</v>
      </c>
      <c r="I333">
        <v>28.8</v>
      </c>
      <c r="J333">
        <f t="shared" si="39"/>
        <v>3116.8999999999992</v>
      </c>
      <c r="K333">
        <f t="shared" si="40"/>
        <v>44.9</v>
      </c>
      <c r="M333">
        <v>0</v>
      </c>
      <c r="N333">
        <v>7.7</v>
      </c>
      <c r="O333">
        <f t="shared" si="45"/>
        <v>-7.7</v>
      </c>
      <c r="Q333">
        <v>301</v>
      </c>
      <c r="R333">
        <f t="shared" si="44"/>
        <v>0.50384615384615383</v>
      </c>
      <c r="S333">
        <f t="shared" si="46"/>
        <v>3.8796153846153847</v>
      </c>
      <c r="T333">
        <f t="shared" si="47"/>
        <v>-3.8796153846153847</v>
      </c>
      <c r="U333" s="2">
        <f t="shared" si="41"/>
        <v>38.670384615384599</v>
      </c>
      <c r="W333">
        <v>3295.3</v>
      </c>
      <c r="X333">
        <f t="shared" si="42"/>
        <v>256474.29999999993</v>
      </c>
      <c r="Y333">
        <f t="shared" si="43"/>
        <v>42716.700000000004</v>
      </c>
      <c r="Z333">
        <v>15.780486971835696</v>
      </c>
    </row>
    <row r="334" spans="1:26" x14ac:dyDescent="0.35">
      <c r="A334">
        <v>5160</v>
      </c>
      <c r="B334">
        <v>23050</v>
      </c>
      <c r="C334" s="1">
        <v>43279</v>
      </c>
      <c r="G334">
        <v>22.9</v>
      </c>
      <c r="H334">
        <v>18.100000000000001</v>
      </c>
      <c r="I334">
        <v>27.4</v>
      </c>
      <c r="J334">
        <f t="shared" si="39"/>
        <v>3139.7999999999993</v>
      </c>
      <c r="K334">
        <f t="shared" si="40"/>
        <v>67.8</v>
      </c>
      <c r="M334">
        <v>0</v>
      </c>
      <c r="N334">
        <v>8.3000000000000007</v>
      </c>
      <c r="O334">
        <f t="shared" si="45"/>
        <v>-8.3000000000000007</v>
      </c>
      <c r="Q334">
        <v>302</v>
      </c>
      <c r="R334">
        <f t="shared" si="44"/>
        <v>0.4884615384615385</v>
      </c>
      <c r="S334">
        <f t="shared" si="46"/>
        <v>4.0542307692307702</v>
      </c>
      <c r="T334">
        <f t="shared" si="47"/>
        <v>-4.0542307692307702</v>
      </c>
      <c r="U334" s="2">
        <f t="shared" si="41"/>
        <v>34.616153846153829</v>
      </c>
      <c r="W334">
        <v>3308.9</v>
      </c>
      <c r="X334">
        <f t="shared" si="42"/>
        <v>259783.19999999992</v>
      </c>
      <c r="Y334">
        <f t="shared" si="43"/>
        <v>46025.600000000006</v>
      </c>
      <c r="Z334">
        <v>15.771917004435894</v>
      </c>
    </row>
    <row r="335" spans="1:26" x14ac:dyDescent="0.35">
      <c r="A335">
        <v>5160</v>
      </c>
      <c r="B335">
        <v>23050</v>
      </c>
      <c r="C335" s="1">
        <v>43280</v>
      </c>
      <c r="G335">
        <v>23.8</v>
      </c>
      <c r="H335">
        <v>19</v>
      </c>
      <c r="I335">
        <v>27.7</v>
      </c>
      <c r="J335">
        <f t="shared" si="39"/>
        <v>3163.5999999999995</v>
      </c>
      <c r="K335">
        <f t="shared" si="40"/>
        <v>91.6</v>
      </c>
      <c r="M335">
        <v>0</v>
      </c>
      <c r="N335">
        <v>6.5</v>
      </c>
      <c r="O335">
        <f t="shared" si="45"/>
        <v>-6.5</v>
      </c>
      <c r="Q335">
        <v>303</v>
      </c>
      <c r="R335">
        <f t="shared" si="44"/>
        <v>0.47307692307692306</v>
      </c>
      <c r="S335">
        <f t="shared" si="46"/>
        <v>3.0749999999999997</v>
      </c>
      <c r="T335">
        <f t="shared" si="47"/>
        <v>-3.0749999999999997</v>
      </c>
      <c r="U335" s="2">
        <f t="shared" si="41"/>
        <v>31.541153846153829</v>
      </c>
      <c r="W335">
        <v>2251.1</v>
      </c>
      <c r="X335">
        <f t="shared" si="42"/>
        <v>262034.29999999993</v>
      </c>
      <c r="Y335">
        <f t="shared" si="43"/>
        <v>48276.700000000004</v>
      </c>
      <c r="Z335">
        <v>15.761995920661381</v>
      </c>
    </row>
    <row r="336" spans="1:26" x14ac:dyDescent="0.35">
      <c r="A336">
        <v>5160</v>
      </c>
      <c r="B336">
        <v>23050</v>
      </c>
      <c r="C336" s="1">
        <v>43281</v>
      </c>
      <c r="G336">
        <v>26.4</v>
      </c>
      <c r="H336">
        <v>20.399999999999999</v>
      </c>
      <c r="I336">
        <v>31.9</v>
      </c>
      <c r="J336">
        <f t="shared" si="39"/>
        <v>3189.9999999999995</v>
      </c>
      <c r="K336">
        <f t="shared" si="40"/>
        <v>118</v>
      </c>
      <c r="M336">
        <v>0</v>
      </c>
      <c r="N336">
        <v>6.9</v>
      </c>
      <c r="O336">
        <f t="shared" si="45"/>
        <v>-6.9</v>
      </c>
      <c r="Q336">
        <v>304</v>
      </c>
      <c r="R336">
        <f t="shared" si="44"/>
        <v>0.45769230769230762</v>
      </c>
      <c r="S336">
        <f t="shared" si="46"/>
        <v>3.1580769230769228</v>
      </c>
      <c r="T336">
        <f t="shared" si="47"/>
        <v>-3.1580769230769228</v>
      </c>
      <c r="U336" s="2">
        <f t="shared" si="41"/>
        <v>28.383076923076906</v>
      </c>
      <c r="W336">
        <v>2659</v>
      </c>
      <c r="X336">
        <f t="shared" si="42"/>
        <v>264693.29999999993</v>
      </c>
      <c r="Y336">
        <f t="shared" si="43"/>
        <v>50935.700000000004</v>
      </c>
      <c r="Z336">
        <v>15.750732517008247</v>
      </c>
    </row>
    <row r="337" spans="1:26" x14ac:dyDescent="0.35">
      <c r="A337">
        <v>5160</v>
      </c>
      <c r="B337">
        <v>23050</v>
      </c>
      <c r="C337" s="1">
        <v>43282</v>
      </c>
      <c r="G337">
        <v>26</v>
      </c>
      <c r="H337">
        <v>21.6</v>
      </c>
      <c r="I337">
        <v>30.1</v>
      </c>
      <c r="J337">
        <f t="shared" si="39"/>
        <v>3215.9999999999995</v>
      </c>
      <c r="K337">
        <f t="shared" si="40"/>
        <v>144</v>
      </c>
      <c r="M337">
        <v>12.4</v>
      </c>
      <c r="N337">
        <v>3.5</v>
      </c>
      <c r="O337">
        <f t="shared" si="45"/>
        <v>8.9</v>
      </c>
      <c r="Q337">
        <v>305</v>
      </c>
      <c r="R337">
        <f t="shared" si="44"/>
        <v>0.44230769230769229</v>
      </c>
      <c r="S337">
        <f t="shared" si="46"/>
        <v>1.5480769230769229</v>
      </c>
      <c r="T337">
        <f t="shared" si="47"/>
        <v>10.851923076923077</v>
      </c>
      <c r="U337" s="2">
        <f t="shared" si="41"/>
        <v>39.234999999999985</v>
      </c>
      <c r="W337">
        <v>1326.6</v>
      </c>
      <c r="X337">
        <f t="shared" si="42"/>
        <v>266019.89999999991</v>
      </c>
      <c r="Y337">
        <f t="shared" si="43"/>
        <v>52262.3</v>
      </c>
      <c r="Z337">
        <v>15.738136716978454</v>
      </c>
    </row>
    <row r="338" spans="1:26" x14ac:dyDescent="0.35">
      <c r="A338">
        <v>5160</v>
      </c>
      <c r="B338">
        <v>23050</v>
      </c>
      <c r="C338" s="1">
        <v>43283</v>
      </c>
      <c r="G338">
        <v>22.4</v>
      </c>
      <c r="H338">
        <v>18.8</v>
      </c>
      <c r="I338">
        <v>26.2</v>
      </c>
      <c r="J338">
        <f t="shared" si="39"/>
        <v>3238.3999999999996</v>
      </c>
      <c r="K338">
        <f t="shared" si="40"/>
        <v>166.4</v>
      </c>
      <c r="M338">
        <v>8.1</v>
      </c>
      <c r="N338">
        <v>4.2</v>
      </c>
      <c r="O338">
        <f t="shared" si="45"/>
        <v>3.8999999999999995</v>
      </c>
      <c r="Q338">
        <v>306</v>
      </c>
      <c r="R338">
        <f t="shared" si="44"/>
        <v>0.42692307692307685</v>
      </c>
      <c r="S338">
        <f t="shared" si="46"/>
        <v>1.7930769230769228</v>
      </c>
      <c r="T338">
        <f t="shared" si="47"/>
        <v>6.3069230769230771</v>
      </c>
      <c r="U338" s="2">
        <f t="shared" si="41"/>
        <v>45.541923076923062</v>
      </c>
      <c r="W338">
        <v>1959.2</v>
      </c>
      <c r="X338">
        <f t="shared" si="42"/>
        <v>267979.09999999992</v>
      </c>
      <c r="Y338">
        <f t="shared" si="43"/>
        <v>54221.5</v>
      </c>
      <c r="Z338">
        <v>15.724219538954539</v>
      </c>
    </row>
    <row r="339" spans="1:26" x14ac:dyDescent="0.35">
      <c r="A339">
        <v>5160</v>
      </c>
      <c r="B339">
        <v>23050</v>
      </c>
      <c r="C339" s="1">
        <v>43284</v>
      </c>
      <c r="G339">
        <v>21.6</v>
      </c>
      <c r="H339">
        <v>17.2</v>
      </c>
      <c r="I339">
        <v>26.4</v>
      </c>
      <c r="J339">
        <f t="shared" si="39"/>
        <v>3259.9999999999995</v>
      </c>
      <c r="K339">
        <f t="shared" si="40"/>
        <v>188</v>
      </c>
      <c r="M339">
        <v>0.3</v>
      </c>
      <c r="N339">
        <v>4.4000000000000004</v>
      </c>
      <c r="O339">
        <f t="shared" si="45"/>
        <v>-4.1000000000000005</v>
      </c>
      <c r="Q339">
        <v>307</v>
      </c>
      <c r="R339">
        <f t="shared" si="44"/>
        <v>0.41153846153846152</v>
      </c>
      <c r="S339">
        <f t="shared" si="46"/>
        <v>1.8107692307692309</v>
      </c>
      <c r="T339">
        <f t="shared" si="47"/>
        <v>-1.5107692307692309</v>
      </c>
      <c r="U339" s="2">
        <f t="shared" si="41"/>
        <v>44.031153846153835</v>
      </c>
      <c r="W339">
        <v>2156.9</v>
      </c>
      <c r="X339">
        <f t="shared" si="42"/>
        <v>270135.99999999994</v>
      </c>
      <c r="Y339">
        <f t="shared" si="43"/>
        <v>56378.400000000001</v>
      </c>
      <c r="Z339">
        <v>15.708993060930023</v>
      </c>
    </row>
    <row r="340" spans="1:26" x14ac:dyDescent="0.35">
      <c r="A340">
        <v>5160</v>
      </c>
      <c r="B340">
        <v>23050</v>
      </c>
      <c r="C340" s="1">
        <v>43285</v>
      </c>
      <c r="G340">
        <v>22.2</v>
      </c>
      <c r="H340">
        <v>17.100000000000001</v>
      </c>
      <c r="I340">
        <v>26.5</v>
      </c>
      <c r="J340">
        <f t="shared" si="39"/>
        <v>3282.1999999999994</v>
      </c>
      <c r="K340">
        <f t="shared" si="40"/>
        <v>210.2</v>
      </c>
      <c r="M340">
        <v>10.5</v>
      </c>
      <c r="N340">
        <v>4.0999999999999996</v>
      </c>
      <c r="O340">
        <f t="shared" si="45"/>
        <v>6.4</v>
      </c>
      <c r="Q340">
        <v>308</v>
      </c>
      <c r="R340">
        <f t="shared" si="44"/>
        <v>0.39615384615384619</v>
      </c>
      <c r="S340">
        <f t="shared" si="46"/>
        <v>1.6242307692307691</v>
      </c>
      <c r="T340">
        <f t="shared" si="47"/>
        <v>8.8757692307692313</v>
      </c>
      <c r="U340" s="2">
        <f t="shared" si="41"/>
        <v>52.906923076923064</v>
      </c>
      <c r="W340">
        <v>1920.2</v>
      </c>
      <c r="X340">
        <f t="shared" si="42"/>
        <v>272056.19999999995</v>
      </c>
      <c r="Y340">
        <f t="shared" si="43"/>
        <v>58298.6</v>
      </c>
      <c r="Z340">
        <v>15.692470382331441</v>
      </c>
    </row>
    <row r="341" spans="1:26" x14ac:dyDescent="0.35">
      <c r="A341">
        <v>5160</v>
      </c>
      <c r="B341">
        <v>23050</v>
      </c>
      <c r="C341" s="1">
        <v>43286</v>
      </c>
      <c r="G341">
        <v>19.899999999999999</v>
      </c>
      <c r="H341">
        <v>17.399999999999999</v>
      </c>
      <c r="I341">
        <v>23.6</v>
      </c>
      <c r="J341">
        <f t="shared" si="39"/>
        <v>3302.0999999999995</v>
      </c>
      <c r="K341">
        <f t="shared" si="40"/>
        <v>230.1</v>
      </c>
      <c r="M341">
        <v>3.2</v>
      </c>
      <c r="N341">
        <v>1.7</v>
      </c>
      <c r="O341">
        <f t="shared" si="45"/>
        <v>1.5000000000000002</v>
      </c>
      <c r="Q341">
        <v>309</v>
      </c>
      <c r="R341">
        <f t="shared" si="44"/>
        <v>0.38076923076923075</v>
      </c>
      <c r="S341">
        <f t="shared" si="46"/>
        <v>0.64730769230769225</v>
      </c>
      <c r="T341">
        <f t="shared" si="47"/>
        <v>2.552692307692308</v>
      </c>
      <c r="U341" s="2">
        <f t="shared" si="41"/>
        <v>55.459615384615375</v>
      </c>
      <c r="W341">
        <v>765.2</v>
      </c>
      <c r="X341">
        <f t="shared" si="42"/>
        <v>272821.39999999997</v>
      </c>
      <c r="Y341">
        <f t="shared" si="43"/>
        <v>59063.799999999996</v>
      </c>
      <c r="Z341">
        <v>15.674665583182453</v>
      </c>
    </row>
    <row r="342" spans="1:26" x14ac:dyDescent="0.35">
      <c r="A342">
        <v>5160</v>
      </c>
      <c r="B342">
        <v>23050</v>
      </c>
      <c r="C342" s="1">
        <v>43287</v>
      </c>
      <c r="G342">
        <v>21.8</v>
      </c>
      <c r="H342">
        <v>18.100000000000001</v>
      </c>
      <c r="I342">
        <v>26.5</v>
      </c>
      <c r="J342">
        <f t="shared" si="39"/>
        <v>3323.8999999999996</v>
      </c>
      <c r="K342">
        <f t="shared" si="40"/>
        <v>251.9</v>
      </c>
      <c r="M342">
        <v>0</v>
      </c>
      <c r="N342">
        <v>4.7</v>
      </c>
      <c r="O342">
        <f t="shared" si="45"/>
        <v>-4.7</v>
      </c>
      <c r="Q342">
        <v>310</v>
      </c>
      <c r="R342">
        <f t="shared" si="44"/>
        <v>0.36538461538461542</v>
      </c>
      <c r="S342">
        <f t="shared" si="46"/>
        <v>1.7173076923076924</v>
      </c>
      <c r="T342">
        <f t="shared" si="47"/>
        <v>-1.7173076923076924</v>
      </c>
      <c r="U342" s="2">
        <f t="shared" si="41"/>
        <v>53.742307692307683</v>
      </c>
      <c r="W342">
        <v>2297.1</v>
      </c>
      <c r="X342">
        <f t="shared" si="42"/>
        <v>275118.49999999994</v>
      </c>
      <c r="Y342">
        <f t="shared" si="43"/>
        <v>61360.899999999994</v>
      </c>
      <c r="Z342">
        <v>15.655593680872709</v>
      </c>
    </row>
    <row r="343" spans="1:26" s="6" customFormat="1" ht="15" thickBot="1" x14ac:dyDescent="0.4">
      <c r="A343" s="6">
        <v>5160</v>
      </c>
      <c r="B343" s="6">
        <v>23050</v>
      </c>
      <c r="C343" s="7">
        <v>43288</v>
      </c>
      <c r="D343" s="6" t="s">
        <v>33</v>
      </c>
      <c r="G343" s="6">
        <v>23.5</v>
      </c>
      <c r="H343" s="6">
        <v>16.899999999999999</v>
      </c>
      <c r="I343" s="6">
        <v>29.3</v>
      </c>
      <c r="J343" s="6">
        <f t="shared" si="39"/>
        <v>3347.3999999999996</v>
      </c>
      <c r="K343" s="6">
        <f t="shared" si="40"/>
        <v>275.39999999999998</v>
      </c>
      <c r="M343" s="6">
        <v>0</v>
      </c>
      <c r="N343" s="6">
        <v>5.2</v>
      </c>
      <c r="O343" s="6">
        <f t="shared" si="45"/>
        <v>-5.2</v>
      </c>
      <c r="Q343" s="6">
        <v>311</v>
      </c>
      <c r="R343" s="8">
        <f t="shared" si="44"/>
        <v>0.35</v>
      </c>
      <c r="S343" s="6">
        <f t="shared" si="46"/>
        <v>1.8199999999999998</v>
      </c>
      <c r="T343" s="6">
        <f t="shared" si="47"/>
        <v>-1.8199999999999998</v>
      </c>
      <c r="U343" s="9">
        <f t="shared" si="41"/>
        <v>51.922307692307683</v>
      </c>
      <c r="W343" s="6">
        <v>2416.6</v>
      </c>
      <c r="X343" s="6">
        <f t="shared" si="42"/>
        <v>277535.09999999992</v>
      </c>
      <c r="Y343" s="6">
        <f t="shared" si="43"/>
        <v>63777.499999999993</v>
      </c>
      <c r="Z343" s="6">
        <v>15.635270584803173</v>
      </c>
    </row>
    <row r="344" spans="1:26" x14ac:dyDescent="0.35">
      <c r="A344">
        <v>5160</v>
      </c>
      <c r="B344">
        <v>23050</v>
      </c>
      <c r="C344" s="1">
        <v>43289</v>
      </c>
      <c r="G344">
        <v>24.6</v>
      </c>
      <c r="H344">
        <v>18.8</v>
      </c>
      <c r="I344">
        <v>29.9</v>
      </c>
      <c r="J344">
        <f t="shared" si="39"/>
        <v>3371.9999999999995</v>
      </c>
      <c r="K344">
        <f t="shared" si="40"/>
        <v>300</v>
      </c>
      <c r="M344">
        <v>0</v>
      </c>
      <c r="N344">
        <v>5</v>
      </c>
      <c r="O344">
        <f t="shared" si="45"/>
        <v>-5</v>
      </c>
      <c r="S344">
        <f t="shared" si="46"/>
        <v>0</v>
      </c>
      <c r="T344">
        <f t="shared" si="47"/>
        <v>0</v>
      </c>
      <c r="U344" s="2">
        <f t="shared" si="41"/>
        <v>51.922307692307683</v>
      </c>
      <c r="W344">
        <v>2008.9</v>
      </c>
      <c r="X344">
        <f t="shared" si="42"/>
        <v>279543.99999999994</v>
      </c>
      <c r="Y344">
        <f t="shared" si="43"/>
        <v>65786.399999999994</v>
      </c>
    </row>
    <row r="345" spans="1:26" x14ac:dyDescent="0.35">
      <c r="A345">
        <v>5160</v>
      </c>
      <c r="B345">
        <v>23050</v>
      </c>
      <c r="C345" s="1">
        <v>43290</v>
      </c>
      <c r="G345">
        <v>22.4</v>
      </c>
      <c r="H345">
        <v>18.600000000000001</v>
      </c>
      <c r="I345">
        <v>26.1</v>
      </c>
      <c r="J345">
        <f t="shared" si="39"/>
        <v>3394.3999999999996</v>
      </c>
      <c r="K345">
        <f t="shared" si="40"/>
        <v>322.39999999999998</v>
      </c>
      <c r="M345">
        <v>0</v>
      </c>
      <c r="N345">
        <v>6.7</v>
      </c>
      <c r="O345">
        <f t="shared" si="45"/>
        <v>-6.7</v>
      </c>
      <c r="S345">
        <f t="shared" si="46"/>
        <v>0</v>
      </c>
      <c r="T345">
        <f t="shared" si="47"/>
        <v>0</v>
      </c>
      <c r="U345" s="2">
        <f t="shared" si="41"/>
        <v>51.922307692307683</v>
      </c>
      <c r="W345">
        <v>2794.7</v>
      </c>
      <c r="X345">
        <f t="shared" si="42"/>
        <v>282338.69999999995</v>
      </c>
      <c r="Y345">
        <f t="shared" si="43"/>
        <v>68581.099999999991</v>
      </c>
    </row>
    <row r="346" spans="1:26" x14ac:dyDescent="0.35">
      <c r="A346">
        <v>5160</v>
      </c>
      <c r="B346">
        <v>23050</v>
      </c>
      <c r="C346" s="1">
        <v>43291</v>
      </c>
      <c r="G346">
        <v>20.5</v>
      </c>
      <c r="H346">
        <v>16.399999999999999</v>
      </c>
      <c r="I346">
        <v>24.8</v>
      </c>
      <c r="J346">
        <f t="shared" si="39"/>
        <v>3414.8999999999996</v>
      </c>
      <c r="K346">
        <f t="shared" si="40"/>
        <v>342.9</v>
      </c>
      <c r="M346">
        <v>0</v>
      </c>
      <c r="N346">
        <v>4.4000000000000004</v>
      </c>
      <c r="O346">
        <f t="shared" si="45"/>
        <v>-4.4000000000000004</v>
      </c>
      <c r="S346">
        <f t="shared" si="46"/>
        <v>0</v>
      </c>
      <c r="T346">
        <f t="shared" si="47"/>
        <v>0</v>
      </c>
      <c r="U346" s="2">
        <f t="shared" si="41"/>
        <v>51.922307692307683</v>
      </c>
      <c r="W346">
        <v>1866.6</v>
      </c>
      <c r="X346">
        <f t="shared" si="42"/>
        <v>284205.29999999993</v>
      </c>
      <c r="Y346">
        <f t="shared" si="43"/>
        <v>70447.7</v>
      </c>
    </row>
    <row r="347" spans="1:26" x14ac:dyDescent="0.35">
      <c r="A347">
        <v>5160</v>
      </c>
      <c r="B347">
        <v>23050</v>
      </c>
      <c r="C347" s="1">
        <v>43292</v>
      </c>
      <c r="G347">
        <v>17.899999999999999</v>
      </c>
      <c r="H347">
        <v>13.7</v>
      </c>
      <c r="I347">
        <v>22.4</v>
      </c>
      <c r="J347">
        <f t="shared" si="39"/>
        <v>3432.7999999999997</v>
      </c>
      <c r="K347">
        <f t="shared" si="40"/>
        <v>360.79999999999995</v>
      </c>
      <c r="M347">
        <v>0</v>
      </c>
      <c r="N347">
        <v>2.4</v>
      </c>
      <c r="O347">
        <f t="shared" si="45"/>
        <v>-2.4</v>
      </c>
      <c r="S347">
        <f t="shared" si="46"/>
        <v>0</v>
      </c>
      <c r="T347">
        <f t="shared" si="47"/>
        <v>0</v>
      </c>
      <c r="U347" s="2">
        <f t="shared" si="41"/>
        <v>51.922307692307683</v>
      </c>
      <c r="W347">
        <v>915.9</v>
      </c>
      <c r="X347">
        <f t="shared" si="42"/>
        <v>285121.19999999995</v>
      </c>
      <c r="Y347">
        <f t="shared" si="43"/>
        <v>71363.599999999991</v>
      </c>
    </row>
    <row r="348" spans="1:26" x14ac:dyDescent="0.35">
      <c r="A348">
        <v>5160</v>
      </c>
      <c r="B348">
        <v>23050</v>
      </c>
      <c r="C348" s="1">
        <v>43293</v>
      </c>
      <c r="G348">
        <v>20.3</v>
      </c>
      <c r="H348">
        <v>14.4</v>
      </c>
      <c r="I348">
        <v>25</v>
      </c>
      <c r="J348">
        <f t="shared" si="39"/>
        <v>3453.1</v>
      </c>
      <c r="K348">
        <f t="shared" si="40"/>
        <v>381.09999999999997</v>
      </c>
      <c r="M348">
        <v>0</v>
      </c>
      <c r="N348">
        <v>3.2</v>
      </c>
      <c r="O348">
        <f t="shared" si="45"/>
        <v>-3.2</v>
      </c>
      <c r="S348">
        <f t="shared" si="46"/>
        <v>0</v>
      </c>
      <c r="T348">
        <f t="shared" si="47"/>
        <v>0</v>
      </c>
      <c r="U348" s="2">
        <f t="shared" si="41"/>
        <v>51.922307692307683</v>
      </c>
      <c r="W348">
        <v>1315</v>
      </c>
      <c r="X348">
        <f t="shared" si="42"/>
        <v>286436.19999999995</v>
      </c>
      <c r="Y348">
        <f t="shared" si="43"/>
        <v>72678.599999999991</v>
      </c>
    </row>
    <row r="349" spans="1:26" x14ac:dyDescent="0.35">
      <c r="A349">
        <v>5160</v>
      </c>
      <c r="B349">
        <v>23050</v>
      </c>
      <c r="C349" s="1">
        <v>43294</v>
      </c>
      <c r="G349">
        <v>22.6</v>
      </c>
      <c r="H349">
        <v>16.5</v>
      </c>
      <c r="I349">
        <v>27.8</v>
      </c>
      <c r="J349">
        <f t="shared" si="39"/>
        <v>3475.7</v>
      </c>
      <c r="K349">
        <f t="shared" si="40"/>
        <v>403.7</v>
      </c>
      <c r="M349">
        <v>0</v>
      </c>
      <c r="N349">
        <v>5.3</v>
      </c>
      <c r="O349">
        <f t="shared" si="45"/>
        <v>-5.3</v>
      </c>
      <c r="S349">
        <f t="shared" si="46"/>
        <v>0</v>
      </c>
      <c r="T349">
        <f t="shared" si="47"/>
        <v>0</v>
      </c>
      <c r="U349" s="2">
        <f t="shared" si="41"/>
        <v>51.922307692307683</v>
      </c>
      <c r="W349">
        <v>2470.6999999999998</v>
      </c>
      <c r="X349">
        <f t="shared" si="42"/>
        <v>288906.89999999997</v>
      </c>
      <c r="Y349">
        <f t="shared" si="43"/>
        <v>75149.299999999988</v>
      </c>
    </row>
    <row r="350" spans="1:26" x14ac:dyDescent="0.35">
      <c r="A350">
        <v>5160</v>
      </c>
      <c r="B350">
        <v>23050</v>
      </c>
      <c r="C350" s="1">
        <v>43295</v>
      </c>
      <c r="G350">
        <v>23.4</v>
      </c>
      <c r="H350">
        <v>18.2</v>
      </c>
      <c r="I350">
        <v>30</v>
      </c>
      <c r="J350">
        <f t="shared" si="39"/>
        <v>3499.1</v>
      </c>
      <c r="K350">
        <f t="shared" si="40"/>
        <v>427.09999999999997</v>
      </c>
      <c r="M350">
        <v>0</v>
      </c>
      <c r="N350">
        <v>5.2</v>
      </c>
      <c r="O350">
        <f t="shared" si="45"/>
        <v>-5.2</v>
      </c>
      <c r="S350">
        <f t="shared" si="46"/>
        <v>0</v>
      </c>
      <c r="T350">
        <f t="shared" si="47"/>
        <v>0</v>
      </c>
      <c r="U350" s="2">
        <f t="shared" si="41"/>
        <v>51.922307692307683</v>
      </c>
      <c r="W350">
        <v>2324.6</v>
      </c>
      <c r="X350">
        <f t="shared" si="42"/>
        <v>291231.49999999994</v>
      </c>
      <c r="Y350">
        <f t="shared" si="43"/>
        <v>77473.899999999994</v>
      </c>
    </row>
    <row r="351" spans="1:26" x14ac:dyDescent="0.35">
      <c r="A351">
        <v>5160</v>
      </c>
      <c r="B351">
        <v>23050</v>
      </c>
      <c r="C351" s="1">
        <v>43296</v>
      </c>
      <c r="G351">
        <v>24.6</v>
      </c>
      <c r="H351">
        <v>19.100000000000001</v>
      </c>
      <c r="I351">
        <v>31.1</v>
      </c>
      <c r="J351">
        <f t="shared" si="39"/>
        <v>3523.7</v>
      </c>
      <c r="K351">
        <f t="shared" si="40"/>
        <v>451.7</v>
      </c>
      <c r="M351">
        <v>0</v>
      </c>
      <c r="N351">
        <v>5.7</v>
      </c>
      <c r="O351">
        <f t="shared" si="45"/>
        <v>-5.7</v>
      </c>
      <c r="S351">
        <f t="shared" si="46"/>
        <v>0</v>
      </c>
      <c r="T351">
        <f t="shared" si="47"/>
        <v>0</v>
      </c>
      <c r="U351" s="2">
        <f t="shared" si="41"/>
        <v>51.922307692307683</v>
      </c>
      <c r="W351">
        <v>2561.8000000000002</v>
      </c>
      <c r="X351">
        <f t="shared" si="42"/>
        <v>293793.29999999993</v>
      </c>
      <c r="Y351">
        <f t="shared" si="43"/>
        <v>80035.7</v>
      </c>
    </row>
    <row r="352" spans="1:26" x14ac:dyDescent="0.35">
      <c r="A352">
        <v>5160</v>
      </c>
      <c r="B352">
        <v>23050</v>
      </c>
      <c r="C352" s="1">
        <v>43297</v>
      </c>
      <c r="G352">
        <v>23.5</v>
      </c>
      <c r="H352">
        <v>17.600000000000001</v>
      </c>
      <c r="I352">
        <v>29</v>
      </c>
      <c r="J352">
        <f t="shared" si="39"/>
        <v>3547.2</v>
      </c>
      <c r="K352">
        <f t="shared" si="40"/>
        <v>475.2</v>
      </c>
      <c r="M352">
        <v>0</v>
      </c>
      <c r="N352">
        <v>5.5</v>
      </c>
      <c r="O352">
        <f t="shared" si="45"/>
        <v>-5.5</v>
      </c>
      <c r="S352">
        <f t="shared" si="46"/>
        <v>0</v>
      </c>
      <c r="T352">
        <f t="shared" si="47"/>
        <v>0</v>
      </c>
      <c r="U352" s="2">
        <f t="shared" si="41"/>
        <v>51.922307692307683</v>
      </c>
      <c r="W352">
        <v>2143.8000000000002</v>
      </c>
      <c r="X352">
        <f t="shared" si="42"/>
        <v>295937.09999999992</v>
      </c>
      <c r="Y352">
        <f t="shared" si="43"/>
        <v>82179.5</v>
      </c>
    </row>
    <row r="353" spans="1:25" x14ac:dyDescent="0.35">
      <c r="A353">
        <v>5160</v>
      </c>
      <c r="B353">
        <v>23050</v>
      </c>
      <c r="C353" s="1">
        <v>43298</v>
      </c>
      <c r="G353">
        <v>21.3</v>
      </c>
      <c r="H353">
        <v>17.100000000000001</v>
      </c>
      <c r="I353">
        <v>25.5</v>
      </c>
      <c r="J353">
        <f t="shared" si="39"/>
        <v>3568.5</v>
      </c>
      <c r="K353">
        <f t="shared" si="40"/>
        <v>496.5</v>
      </c>
      <c r="M353">
        <v>0</v>
      </c>
      <c r="N353">
        <v>4</v>
      </c>
      <c r="O353">
        <f t="shared" si="45"/>
        <v>-4</v>
      </c>
      <c r="S353">
        <f t="shared" si="46"/>
        <v>0</v>
      </c>
      <c r="T353">
        <f t="shared" si="47"/>
        <v>0</v>
      </c>
      <c r="U353" s="2">
        <f t="shared" si="41"/>
        <v>51.922307692307683</v>
      </c>
      <c r="W353">
        <v>1557.5</v>
      </c>
      <c r="X353">
        <f t="shared" si="42"/>
        <v>297494.59999999992</v>
      </c>
      <c r="Y353">
        <f t="shared" si="43"/>
        <v>83737</v>
      </c>
    </row>
    <row r="354" spans="1:25" x14ac:dyDescent="0.35">
      <c r="A354">
        <v>5160</v>
      </c>
      <c r="B354">
        <v>23050</v>
      </c>
      <c r="C354" s="1">
        <v>43299</v>
      </c>
      <c r="G354">
        <v>22.6</v>
      </c>
      <c r="H354">
        <v>15.6</v>
      </c>
      <c r="I354">
        <v>28.5</v>
      </c>
      <c r="J354">
        <f t="shared" si="39"/>
        <v>3591.1</v>
      </c>
      <c r="K354">
        <f t="shared" si="40"/>
        <v>519.1</v>
      </c>
      <c r="M354">
        <v>0</v>
      </c>
      <c r="N354">
        <v>3.1</v>
      </c>
      <c r="O354">
        <f t="shared" si="45"/>
        <v>-3.1</v>
      </c>
      <c r="S354">
        <f t="shared" si="46"/>
        <v>0</v>
      </c>
      <c r="T354">
        <f t="shared" si="47"/>
        <v>0</v>
      </c>
      <c r="U354" s="2">
        <f t="shared" si="41"/>
        <v>51.922307692307683</v>
      </c>
      <c r="W354">
        <v>1495.7</v>
      </c>
      <c r="X354">
        <f t="shared" si="42"/>
        <v>298990.29999999993</v>
      </c>
      <c r="Y354">
        <f t="shared" si="43"/>
        <v>85232.7</v>
      </c>
    </row>
    <row r="355" spans="1:25" x14ac:dyDescent="0.35">
      <c r="A355">
        <v>5160</v>
      </c>
      <c r="B355">
        <v>23050</v>
      </c>
      <c r="C355" s="1">
        <v>43300</v>
      </c>
      <c r="G355">
        <v>23.8</v>
      </c>
      <c r="H355">
        <v>18.5</v>
      </c>
      <c r="I355">
        <v>30</v>
      </c>
      <c r="J355">
        <f t="shared" ref="J355:J367" si="48">J354+G355</f>
        <v>3614.9</v>
      </c>
      <c r="K355">
        <f t="shared" ref="K355:K367" si="49">K354+G355</f>
        <v>542.9</v>
      </c>
      <c r="M355">
        <v>8.3000000000000007</v>
      </c>
      <c r="N355">
        <v>4.8</v>
      </c>
      <c r="O355">
        <f t="shared" si="45"/>
        <v>3.5000000000000009</v>
      </c>
      <c r="S355">
        <f t="shared" si="46"/>
        <v>0</v>
      </c>
      <c r="T355">
        <f t="shared" si="47"/>
        <v>8.3000000000000007</v>
      </c>
      <c r="U355" s="2">
        <f t="shared" ref="U355:U367" si="50">MIN(U354+T355,150.8)</f>
        <v>60.22230769230768</v>
      </c>
      <c r="W355">
        <v>1948.7</v>
      </c>
      <c r="X355">
        <f t="shared" ref="X355:X367" si="51">X354+W355</f>
        <v>300938.99999999994</v>
      </c>
      <c r="Y355">
        <f t="shared" ref="Y355:Y367" si="52">Y354+W355</f>
        <v>87181.4</v>
      </c>
    </row>
    <row r="356" spans="1:25" x14ac:dyDescent="0.35">
      <c r="A356">
        <v>5160</v>
      </c>
      <c r="B356">
        <v>23050</v>
      </c>
      <c r="C356" s="1">
        <v>43301</v>
      </c>
      <c r="G356">
        <v>19.600000000000001</v>
      </c>
      <c r="H356">
        <v>18.100000000000001</v>
      </c>
      <c r="I356">
        <v>22.8</v>
      </c>
      <c r="J356">
        <f t="shared" si="48"/>
        <v>3634.5</v>
      </c>
      <c r="K356">
        <f t="shared" si="49"/>
        <v>562.5</v>
      </c>
      <c r="M356">
        <v>0</v>
      </c>
      <c r="N356">
        <v>3</v>
      </c>
      <c r="O356">
        <f t="shared" si="45"/>
        <v>-3</v>
      </c>
      <c r="S356">
        <f t="shared" si="46"/>
        <v>0</v>
      </c>
      <c r="T356">
        <f t="shared" si="47"/>
        <v>0</v>
      </c>
      <c r="U356" s="2">
        <f t="shared" si="50"/>
        <v>60.22230769230768</v>
      </c>
      <c r="W356">
        <v>1514.9</v>
      </c>
      <c r="X356">
        <f t="shared" si="51"/>
        <v>302453.89999999997</v>
      </c>
      <c r="Y356">
        <f t="shared" si="52"/>
        <v>88696.299999999988</v>
      </c>
    </row>
    <row r="357" spans="1:25" x14ac:dyDescent="0.35">
      <c r="A357">
        <v>5160</v>
      </c>
      <c r="B357">
        <v>23050</v>
      </c>
      <c r="C357" s="1">
        <v>43302</v>
      </c>
      <c r="G357">
        <v>19.600000000000001</v>
      </c>
      <c r="H357">
        <v>15.2</v>
      </c>
      <c r="I357">
        <v>24.7</v>
      </c>
      <c r="J357">
        <f t="shared" si="48"/>
        <v>3654.1</v>
      </c>
      <c r="K357">
        <f t="shared" si="49"/>
        <v>582.1</v>
      </c>
      <c r="M357">
        <v>0</v>
      </c>
      <c r="N357">
        <v>3.7</v>
      </c>
      <c r="O357">
        <f t="shared" si="45"/>
        <v>-3.7</v>
      </c>
      <c r="S357">
        <f t="shared" si="46"/>
        <v>0</v>
      </c>
      <c r="T357">
        <f t="shared" si="47"/>
        <v>0</v>
      </c>
      <c r="U357" s="2">
        <f t="shared" si="50"/>
        <v>60.22230769230768</v>
      </c>
      <c r="W357">
        <v>1817.9</v>
      </c>
      <c r="X357">
        <f t="shared" si="51"/>
        <v>304271.8</v>
      </c>
      <c r="Y357">
        <f t="shared" si="52"/>
        <v>90514.199999999983</v>
      </c>
    </row>
    <row r="358" spans="1:25" x14ac:dyDescent="0.35">
      <c r="A358">
        <v>5160</v>
      </c>
      <c r="B358">
        <v>23050</v>
      </c>
      <c r="C358" s="1">
        <v>43303</v>
      </c>
      <c r="G358">
        <v>20.5</v>
      </c>
      <c r="H358">
        <v>14.3</v>
      </c>
      <c r="I358">
        <v>26</v>
      </c>
      <c r="J358">
        <f t="shared" si="48"/>
        <v>3674.6</v>
      </c>
      <c r="K358">
        <f t="shared" si="49"/>
        <v>602.6</v>
      </c>
      <c r="M358">
        <v>0</v>
      </c>
      <c r="N358">
        <v>4.7</v>
      </c>
      <c r="O358">
        <f t="shared" si="45"/>
        <v>-4.7</v>
      </c>
      <c r="S358">
        <f t="shared" si="46"/>
        <v>0</v>
      </c>
      <c r="T358">
        <f t="shared" si="47"/>
        <v>0</v>
      </c>
      <c r="U358" s="2">
        <f t="shared" si="50"/>
        <v>60.22230769230768</v>
      </c>
      <c r="W358">
        <v>2345.6</v>
      </c>
      <c r="X358">
        <f t="shared" si="51"/>
        <v>306617.39999999997</v>
      </c>
      <c r="Y358">
        <f t="shared" si="52"/>
        <v>92859.799999999988</v>
      </c>
    </row>
    <row r="359" spans="1:25" x14ac:dyDescent="0.35">
      <c r="A359">
        <v>5160</v>
      </c>
      <c r="B359">
        <v>23050</v>
      </c>
      <c r="C359" s="1">
        <v>43304</v>
      </c>
      <c r="G359">
        <v>23.4</v>
      </c>
      <c r="H359">
        <v>15.6</v>
      </c>
      <c r="I359">
        <v>29.3</v>
      </c>
      <c r="J359">
        <f t="shared" si="48"/>
        <v>3698</v>
      </c>
      <c r="K359">
        <f t="shared" si="49"/>
        <v>626</v>
      </c>
      <c r="M359">
        <v>0</v>
      </c>
      <c r="N359">
        <v>4.7</v>
      </c>
      <c r="O359">
        <f t="shared" si="45"/>
        <v>-4.7</v>
      </c>
      <c r="S359">
        <f t="shared" si="46"/>
        <v>0</v>
      </c>
      <c r="T359">
        <f t="shared" si="47"/>
        <v>0</v>
      </c>
      <c r="U359" s="2">
        <f t="shared" si="50"/>
        <v>60.22230769230768</v>
      </c>
      <c r="W359">
        <v>2204.6</v>
      </c>
      <c r="X359">
        <f t="shared" si="51"/>
        <v>308821.99999999994</v>
      </c>
      <c r="Y359">
        <f t="shared" si="52"/>
        <v>95064.4</v>
      </c>
    </row>
    <row r="360" spans="1:25" x14ac:dyDescent="0.35">
      <c r="A360">
        <v>5160</v>
      </c>
      <c r="B360">
        <v>23050</v>
      </c>
      <c r="C360" s="1">
        <v>43305</v>
      </c>
      <c r="G360">
        <v>24.9</v>
      </c>
      <c r="H360">
        <v>18.2</v>
      </c>
      <c r="I360">
        <v>32.1</v>
      </c>
      <c r="J360">
        <f t="shared" si="48"/>
        <v>3722.9</v>
      </c>
      <c r="K360">
        <f t="shared" si="49"/>
        <v>650.9</v>
      </c>
      <c r="M360">
        <v>0</v>
      </c>
      <c r="N360">
        <v>2.9</v>
      </c>
      <c r="O360">
        <f t="shared" si="45"/>
        <v>-2.9</v>
      </c>
      <c r="S360">
        <f t="shared" si="46"/>
        <v>0</v>
      </c>
      <c r="T360">
        <f t="shared" si="47"/>
        <v>0</v>
      </c>
      <c r="U360" s="2">
        <f t="shared" si="50"/>
        <v>60.22230769230768</v>
      </c>
      <c r="W360">
        <v>1019.8</v>
      </c>
      <c r="X360">
        <f t="shared" si="51"/>
        <v>309841.79999999993</v>
      </c>
      <c r="Y360">
        <f t="shared" si="52"/>
        <v>96084.2</v>
      </c>
    </row>
    <row r="361" spans="1:25" x14ac:dyDescent="0.35">
      <c r="A361">
        <v>5160</v>
      </c>
      <c r="B361">
        <v>23050</v>
      </c>
      <c r="C361" s="1">
        <v>43306</v>
      </c>
      <c r="G361">
        <v>25.4</v>
      </c>
      <c r="H361">
        <v>18.8</v>
      </c>
      <c r="I361">
        <v>31.9</v>
      </c>
      <c r="J361">
        <f t="shared" si="48"/>
        <v>3748.3</v>
      </c>
      <c r="K361">
        <f t="shared" si="49"/>
        <v>676.3</v>
      </c>
      <c r="M361">
        <v>0</v>
      </c>
      <c r="N361">
        <v>6.2</v>
      </c>
      <c r="O361">
        <f t="shared" si="45"/>
        <v>-6.2</v>
      </c>
      <c r="S361">
        <f t="shared" si="46"/>
        <v>0</v>
      </c>
      <c r="T361">
        <f t="shared" si="47"/>
        <v>0</v>
      </c>
      <c r="U361" s="2">
        <f t="shared" si="50"/>
        <v>60.22230769230768</v>
      </c>
      <c r="W361">
        <v>2700.4</v>
      </c>
      <c r="X361">
        <f t="shared" si="51"/>
        <v>312542.19999999995</v>
      </c>
      <c r="Y361">
        <f t="shared" si="52"/>
        <v>98784.599999999991</v>
      </c>
    </row>
    <row r="362" spans="1:25" x14ac:dyDescent="0.35">
      <c r="A362">
        <v>5160</v>
      </c>
      <c r="B362">
        <v>23050</v>
      </c>
      <c r="C362" s="1">
        <v>43307</v>
      </c>
      <c r="G362">
        <v>27</v>
      </c>
      <c r="H362">
        <v>19.600000000000001</v>
      </c>
      <c r="I362">
        <v>33.9</v>
      </c>
      <c r="J362">
        <f t="shared" si="48"/>
        <v>3775.3</v>
      </c>
      <c r="K362">
        <f t="shared" si="49"/>
        <v>703.3</v>
      </c>
      <c r="M362">
        <v>0</v>
      </c>
      <c r="N362">
        <v>5.4</v>
      </c>
      <c r="O362">
        <f t="shared" si="45"/>
        <v>-5.4</v>
      </c>
      <c r="S362">
        <f t="shared" si="46"/>
        <v>0</v>
      </c>
      <c r="T362">
        <f t="shared" si="47"/>
        <v>0</v>
      </c>
      <c r="U362" s="2">
        <f t="shared" si="50"/>
        <v>60.22230769230768</v>
      </c>
      <c r="W362">
        <v>1987.3</v>
      </c>
      <c r="X362">
        <f t="shared" si="51"/>
        <v>314529.49999999994</v>
      </c>
      <c r="Y362">
        <f t="shared" si="52"/>
        <v>100771.9</v>
      </c>
    </row>
    <row r="363" spans="1:25" x14ac:dyDescent="0.35">
      <c r="A363">
        <v>5160</v>
      </c>
      <c r="B363">
        <v>23050</v>
      </c>
      <c r="C363" s="1">
        <v>43308</v>
      </c>
      <c r="G363">
        <v>24.5</v>
      </c>
      <c r="H363">
        <v>20.5</v>
      </c>
      <c r="I363">
        <v>31.6</v>
      </c>
      <c r="J363">
        <f t="shared" si="48"/>
        <v>3799.8</v>
      </c>
      <c r="K363">
        <f t="shared" si="49"/>
        <v>727.8</v>
      </c>
      <c r="M363">
        <v>0</v>
      </c>
      <c r="N363">
        <v>5.5</v>
      </c>
      <c r="O363">
        <f t="shared" si="45"/>
        <v>-5.5</v>
      </c>
      <c r="S363">
        <f t="shared" si="46"/>
        <v>0</v>
      </c>
      <c r="T363">
        <f t="shared" si="47"/>
        <v>0</v>
      </c>
      <c r="U363" s="2">
        <f t="shared" si="50"/>
        <v>60.22230769230768</v>
      </c>
      <c r="W363">
        <v>2148.1</v>
      </c>
      <c r="X363">
        <f t="shared" si="51"/>
        <v>316677.59999999992</v>
      </c>
      <c r="Y363">
        <f t="shared" si="52"/>
        <v>102920</v>
      </c>
    </row>
    <row r="364" spans="1:25" x14ac:dyDescent="0.35">
      <c r="A364">
        <v>5160</v>
      </c>
      <c r="B364">
        <v>23050</v>
      </c>
      <c r="C364" s="1">
        <v>43309</v>
      </c>
      <c r="G364">
        <v>21.5</v>
      </c>
      <c r="H364">
        <v>19.7</v>
      </c>
      <c r="I364">
        <v>24</v>
      </c>
      <c r="J364">
        <f t="shared" si="48"/>
        <v>3821.3</v>
      </c>
      <c r="K364">
        <f t="shared" si="49"/>
        <v>749.3</v>
      </c>
      <c r="M364">
        <v>0</v>
      </c>
      <c r="N364">
        <v>5.4</v>
      </c>
      <c r="O364">
        <f t="shared" si="45"/>
        <v>-5.4</v>
      </c>
      <c r="S364">
        <f t="shared" si="46"/>
        <v>0</v>
      </c>
      <c r="T364">
        <f t="shared" si="47"/>
        <v>0</v>
      </c>
      <c r="U364" s="2">
        <f t="shared" si="50"/>
        <v>60.22230769230768</v>
      </c>
      <c r="W364">
        <v>1987.2</v>
      </c>
      <c r="X364">
        <f t="shared" si="51"/>
        <v>318664.79999999993</v>
      </c>
      <c r="Y364">
        <f t="shared" si="52"/>
        <v>104907.2</v>
      </c>
    </row>
    <row r="365" spans="1:25" x14ac:dyDescent="0.35">
      <c r="A365">
        <v>5160</v>
      </c>
      <c r="B365">
        <v>23050</v>
      </c>
      <c r="C365" s="1">
        <v>43310</v>
      </c>
      <c r="G365">
        <v>21.4</v>
      </c>
      <c r="H365">
        <v>16.399999999999999</v>
      </c>
      <c r="I365">
        <v>26.3</v>
      </c>
      <c r="J365">
        <f t="shared" si="48"/>
        <v>3842.7000000000003</v>
      </c>
      <c r="K365">
        <f t="shared" si="49"/>
        <v>770.69999999999993</v>
      </c>
      <c r="M365">
        <v>0</v>
      </c>
      <c r="N365">
        <v>4.4000000000000004</v>
      </c>
      <c r="O365">
        <f t="shared" si="45"/>
        <v>-4.4000000000000004</v>
      </c>
      <c r="S365">
        <f t="shared" si="46"/>
        <v>0</v>
      </c>
      <c r="T365">
        <f t="shared" si="47"/>
        <v>0</v>
      </c>
      <c r="U365" s="2">
        <f t="shared" si="50"/>
        <v>60.22230769230768</v>
      </c>
      <c r="W365">
        <v>1317.4</v>
      </c>
      <c r="X365">
        <f t="shared" si="51"/>
        <v>319982.19999999995</v>
      </c>
      <c r="Y365">
        <f t="shared" si="52"/>
        <v>106224.59999999999</v>
      </c>
    </row>
    <row r="366" spans="1:25" x14ac:dyDescent="0.35">
      <c r="A366">
        <v>5160</v>
      </c>
      <c r="B366">
        <v>23050</v>
      </c>
      <c r="C366" s="1">
        <v>43311</v>
      </c>
      <c r="G366">
        <v>22.1</v>
      </c>
      <c r="H366">
        <v>17.600000000000001</v>
      </c>
      <c r="I366">
        <v>26.3</v>
      </c>
      <c r="J366">
        <f t="shared" si="48"/>
        <v>3864.8</v>
      </c>
      <c r="K366">
        <f t="shared" si="49"/>
        <v>792.8</v>
      </c>
      <c r="M366">
        <v>0</v>
      </c>
      <c r="N366">
        <v>3.1</v>
      </c>
      <c r="O366">
        <f t="shared" si="45"/>
        <v>-3.1</v>
      </c>
      <c r="S366">
        <f t="shared" si="46"/>
        <v>0</v>
      </c>
      <c r="T366">
        <f t="shared" si="47"/>
        <v>0</v>
      </c>
      <c r="U366" s="2">
        <f t="shared" si="50"/>
        <v>60.22230769230768</v>
      </c>
      <c r="W366">
        <v>1020.7</v>
      </c>
      <c r="X366">
        <f t="shared" si="51"/>
        <v>321002.89999999997</v>
      </c>
      <c r="Y366">
        <f t="shared" si="52"/>
        <v>107245.29999999999</v>
      </c>
    </row>
    <row r="367" spans="1:25" x14ac:dyDescent="0.35">
      <c r="A367">
        <v>5160</v>
      </c>
      <c r="B367">
        <v>23050</v>
      </c>
      <c r="C367" s="1">
        <v>43312</v>
      </c>
      <c r="G367">
        <v>22.3</v>
      </c>
      <c r="H367">
        <v>17.8</v>
      </c>
      <c r="I367">
        <v>26.4</v>
      </c>
      <c r="J367">
        <f t="shared" si="48"/>
        <v>3887.1000000000004</v>
      </c>
      <c r="K367">
        <f t="shared" si="49"/>
        <v>815.09999999999991</v>
      </c>
      <c r="M367">
        <v>0</v>
      </c>
      <c r="N367">
        <v>3</v>
      </c>
      <c r="O367">
        <f t="shared" si="45"/>
        <v>-3</v>
      </c>
      <c r="S367">
        <f t="shared" si="46"/>
        <v>0</v>
      </c>
      <c r="T367">
        <f t="shared" si="47"/>
        <v>0</v>
      </c>
      <c r="U367" s="2">
        <f t="shared" si="50"/>
        <v>60.22230769230768</v>
      </c>
      <c r="W367">
        <v>1263.3</v>
      </c>
      <c r="X367">
        <f t="shared" si="51"/>
        <v>322266.19999999995</v>
      </c>
      <c r="Y367">
        <f t="shared" si="52"/>
        <v>108508.59999999999</v>
      </c>
    </row>
  </sheetData>
  <mergeCells count="10">
    <mergeCell ref="G2:L2"/>
    <mergeCell ref="M2:V2"/>
    <mergeCell ref="W2:AA2"/>
    <mergeCell ref="F310:F331"/>
    <mergeCell ref="F292:F309"/>
    <mergeCell ref="F268:F291"/>
    <mergeCell ref="F247:F267"/>
    <mergeCell ref="F217:F246"/>
    <mergeCell ref="F123:F216"/>
    <mergeCell ref="F33:F122"/>
  </mergeCells>
  <conditionalFormatting sqref="G4:I367">
    <cfRule type="cellIs" dxfId="61" priority="23" operator="lessThan">
      <formula>0</formula>
    </cfRule>
    <cfRule type="cellIs" dxfId="60" priority="24" operator="between">
      <formula>5</formula>
      <formula>0</formula>
    </cfRule>
    <cfRule type="cellIs" dxfId="59" priority="25" operator="greaterThanOrEqual">
      <formula>25</formula>
    </cfRule>
  </conditionalFormatting>
  <conditionalFormatting sqref="L34 L42 L44 L46">
    <cfRule type="cellIs" dxfId="58" priority="15" operator="lessThanOrEqual">
      <formula>0</formula>
    </cfRule>
    <cfRule type="cellIs" dxfId="57" priority="16" operator="lessThanOrEqual">
      <formula>5</formula>
    </cfRule>
  </conditionalFormatting>
  <conditionalFormatting sqref="L124 L132 L134 L136">
    <cfRule type="cellIs" dxfId="56" priority="11" operator="lessThanOrEqual">
      <formula>0</formula>
    </cfRule>
    <cfRule type="cellIs" dxfId="55" priority="12" operator="lessThanOrEqual">
      <formula>5</formula>
    </cfRule>
  </conditionalFormatting>
  <conditionalFormatting sqref="L218 L226 L228 L230">
    <cfRule type="cellIs" dxfId="54" priority="9" operator="lessThanOrEqual">
      <formula>0</formula>
    </cfRule>
    <cfRule type="cellIs" dxfId="53" priority="10" operator="lessThanOrEqual">
      <formula>5</formula>
    </cfRule>
  </conditionalFormatting>
  <conditionalFormatting sqref="L248 L256 L258 L260">
    <cfRule type="cellIs" dxfId="52" priority="7" operator="lessThanOrEqual">
      <formula>0</formula>
    </cfRule>
    <cfRule type="cellIs" dxfId="51" priority="8" operator="lessThanOrEqual">
      <formula>5</formula>
    </cfRule>
  </conditionalFormatting>
  <conditionalFormatting sqref="L269 L277 L279 L281">
    <cfRule type="cellIs" dxfId="50" priority="5" operator="lessThanOrEqual">
      <formula>0</formula>
    </cfRule>
    <cfRule type="cellIs" dxfId="49" priority="6" operator="lessThanOrEqual">
      <formula>5</formula>
    </cfRule>
  </conditionalFormatting>
  <conditionalFormatting sqref="L293 L303">
    <cfRule type="cellIs" dxfId="48" priority="3" operator="lessThanOrEqual">
      <formula>0</formula>
    </cfRule>
    <cfRule type="cellIs" dxfId="47" priority="4" operator="lessThanOrEqual">
      <formula>5</formula>
    </cfRule>
  </conditionalFormatting>
  <conditionalFormatting sqref="L311 L321">
    <cfRule type="cellIs" dxfId="46" priority="1" operator="lessThanOrEqual">
      <formula>0</formula>
    </cfRule>
    <cfRule type="cellIs" dxfId="45" priority="2" operator="lessThanOrEqual">
      <formula>5</formula>
    </cfRule>
  </conditionalFormatting>
  <conditionalFormatting sqref="O4:O367">
    <cfRule type="cellIs" dxfId="44" priority="26" operator="lessThan">
      <formula>0</formula>
    </cfRule>
  </conditionalFormatting>
  <conditionalFormatting sqref="T4:T367">
    <cfRule type="cellIs" dxfId="43" priority="21" operator="lessThan">
      <formula>0</formula>
    </cfRule>
  </conditionalFormatting>
  <conditionalFormatting sqref="U33">
    <cfRule type="cellIs" dxfId="42" priority="18" operator="lessThan">
      <formula>50.27</formula>
    </cfRule>
  </conditionalFormatting>
  <conditionalFormatting sqref="U34:U367">
    <cfRule type="cellIs" dxfId="41" priority="19" operator="equal">
      <formula>0</formula>
    </cfRule>
    <cfRule type="cellIs" dxfId="40" priority="20" operator="lessThanOrEqual">
      <formula>50.27</formula>
    </cfRule>
  </conditionalFormatting>
  <conditionalFormatting sqref="V34">
    <cfRule type="cellIs" dxfId="39" priority="13" operator="equal">
      <formula>0</formula>
    </cfRule>
    <cfRule type="cellIs" dxfId="38" priority="14" operator="lessThanOrEqual">
      <formula>63.2</formula>
    </cfRule>
  </conditionalFormatting>
  <conditionalFormatting sqref="W4:W367">
    <cfRule type="cellIs" dxfId="37" priority="22" operator="lessThan">
      <formula>900</formula>
    </cfRule>
  </conditionalFormatting>
  <conditionalFormatting sqref="Z33:Z343">
    <cfRule type="cellIs" dxfId="36" priority="17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7"/>
  <sheetViews>
    <sheetView zoomScale="80" zoomScaleNormal="80" workbookViewId="0">
      <pane xSplit="6" ySplit="3" topLeftCell="G205" activePane="bottomRight" state="frozen"/>
      <selection pane="topRight" activeCell="G1" sqref="G1"/>
      <selection pane="bottomLeft" activeCell="A4" sqref="A4"/>
      <selection pane="bottomRight" activeCell="V226" sqref="V226"/>
    </sheetView>
  </sheetViews>
  <sheetFormatPr baseColWidth="10" defaultRowHeight="14.5" x14ac:dyDescent="0.35"/>
  <sheetData>
    <row r="1" spans="1:27" s="3" customFormat="1" x14ac:dyDescent="0.35">
      <c r="O1" s="3" t="s">
        <v>28</v>
      </c>
      <c r="P1" s="3">
        <v>150.80000000000001</v>
      </c>
      <c r="Q1" s="4" t="s">
        <v>29</v>
      </c>
      <c r="R1" s="5">
        <f>P1/3</f>
        <v>50.266666666666673</v>
      </c>
    </row>
    <row r="2" spans="1:27" s="3" customFormat="1" x14ac:dyDescent="0.35">
      <c r="G2" s="34" t="s">
        <v>15</v>
      </c>
      <c r="H2" s="34"/>
      <c r="I2" s="34"/>
      <c r="J2" s="34"/>
      <c r="K2" s="34"/>
      <c r="L2" s="34"/>
      <c r="M2" s="34" t="s">
        <v>26</v>
      </c>
      <c r="N2" s="34"/>
      <c r="O2" s="34"/>
      <c r="P2" s="34"/>
      <c r="Q2" s="34"/>
      <c r="R2" s="34"/>
      <c r="S2" s="34"/>
      <c r="T2" s="34"/>
      <c r="U2" s="34"/>
      <c r="V2" s="34"/>
      <c r="W2" s="34" t="s">
        <v>27</v>
      </c>
      <c r="X2" s="34"/>
      <c r="Y2" s="34"/>
      <c r="Z2" s="34"/>
      <c r="AA2" s="34"/>
    </row>
    <row r="3" spans="1:27" s="3" customFormat="1" x14ac:dyDescent="0.35">
      <c r="A3" s="3" t="s">
        <v>0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  <c r="G3" s="3" t="s">
        <v>4</v>
      </c>
      <c r="H3" s="3" t="s">
        <v>7</v>
      </c>
      <c r="I3" s="3" t="s">
        <v>8</v>
      </c>
      <c r="J3" s="3" t="s">
        <v>12</v>
      </c>
      <c r="K3" s="3" t="s">
        <v>13</v>
      </c>
      <c r="L3" s="3" t="s">
        <v>14</v>
      </c>
      <c r="M3" s="3" t="s">
        <v>3</v>
      </c>
      <c r="N3" s="3" t="s">
        <v>6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21</v>
      </c>
      <c r="T3" s="3" t="s">
        <v>20</v>
      </c>
      <c r="U3" s="3" t="s">
        <v>22</v>
      </c>
      <c r="V3" s="3" t="s">
        <v>14</v>
      </c>
      <c r="W3" s="3" t="s">
        <v>5</v>
      </c>
      <c r="X3" s="3" t="s">
        <v>23</v>
      </c>
      <c r="Y3" s="3" t="s">
        <v>24</v>
      </c>
      <c r="Z3" s="3" t="s">
        <v>25</v>
      </c>
      <c r="AA3" s="3" t="s">
        <v>14</v>
      </c>
    </row>
    <row r="4" spans="1:27" x14ac:dyDescent="0.35">
      <c r="A4">
        <v>5160</v>
      </c>
      <c r="B4">
        <v>23050</v>
      </c>
      <c r="C4" s="1">
        <v>42949</v>
      </c>
      <c r="G4">
        <v>21.9</v>
      </c>
      <c r="H4">
        <v>15.7</v>
      </c>
      <c r="I4">
        <v>27.7</v>
      </c>
      <c r="M4">
        <v>0</v>
      </c>
      <c r="N4">
        <v>5.3</v>
      </c>
      <c r="O4">
        <f>M4-N4</f>
        <v>-5.3</v>
      </c>
      <c r="P4">
        <v>0</v>
      </c>
      <c r="S4">
        <f>R4*N4</f>
        <v>0</v>
      </c>
      <c r="T4">
        <f>M4-S4</f>
        <v>0</v>
      </c>
      <c r="W4">
        <v>2166.9</v>
      </c>
    </row>
    <row r="5" spans="1:27" x14ac:dyDescent="0.35">
      <c r="A5">
        <v>5160</v>
      </c>
      <c r="B5">
        <v>23050</v>
      </c>
      <c r="C5" s="1">
        <v>42950</v>
      </c>
      <c r="G5">
        <v>22.4</v>
      </c>
      <c r="H5">
        <v>16.899999999999999</v>
      </c>
      <c r="I5">
        <v>26.3</v>
      </c>
      <c r="M5">
        <v>0.1</v>
      </c>
      <c r="N5">
        <v>4.8</v>
      </c>
      <c r="O5">
        <f t="shared" ref="O5:O68" si="0">M5-N5</f>
        <v>-4.7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1508.7</v>
      </c>
    </row>
    <row r="6" spans="1:27" x14ac:dyDescent="0.35">
      <c r="A6">
        <v>5160</v>
      </c>
      <c r="B6">
        <v>23050</v>
      </c>
      <c r="C6" s="1">
        <v>42951</v>
      </c>
      <c r="G6">
        <v>21.4</v>
      </c>
      <c r="H6">
        <v>17.7</v>
      </c>
      <c r="I6">
        <v>24.9</v>
      </c>
      <c r="M6">
        <v>0</v>
      </c>
      <c r="N6">
        <v>2.9</v>
      </c>
      <c r="O6">
        <f t="shared" si="0"/>
        <v>-2.9</v>
      </c>
      <c r="P6">
        <v>0</v>
      </c>
      <c r="S6">
        <f t="shared" si="1"/>
        <v>0</v>
      </c>
      <c r="T6">
        <f t="shared" si="2"/>
        <v>0</v>
      </c>
      <c r="W6">
        <v>565.29999999999995</v>
      </c>
    </row>
    <row r="7" spans="1:27" x14ac:dyDescent="0.35">
      <c r="A7">
        <v>5160</v>
      </c>
      <c r="B7">
        <v>23050</v>
      </c>
      <c r="C7" s="1">
        <v>42952</v>
      </c>
      <c r="G7">
        <v>19.2</v>
      </c>
      <c r="H7">
        <v>16.399999999999999</v>
      </c>
      <c r="I7">
        <v>22.4</v>
      </c>
      <c r="M7">
        <v>0</v>
      </c>
      <c r="N7">
        <v>3</v>
      </c>
      <c r="O7">
        <f t="shared" si="0"/>
        <v>-3</v>
      </c>
      <c r="P7">
        <v>0</v>
      </c>
      <c r="S7">
        <f t="shared" si="1"/>
        <v>0</v>
      </c>
      <c r="T7">
        <f t="shared" si="2"/>
        <v>0</v>
      </c>
      <c r="W7">
        <v>879.6</v>
      </c>
    </row>
    <row r="8" spans="1:27" x14ac:dyDescent="0.35">
      <c r="A8">
        <v>5160</v>
      </c>
      <c r="B8">
        <v>23050</v>
      </c>
      <c r="C8" s="1">
        <v>42953</v>
      </c>
      <c r="G8">
        <v>17.399999999999999</v>
      </c>
      <c r="H8">
        <v>11.9</v>
      </c>
      <c r="I8">
        <v>23.3</v>
      </c>
      <c r="M8">
        <v>0</v>
      </c>
      <c r="N8">
        <v>4.2</v>
      </c>
      <c r="O8">
        <f t="shared" si="0"/>
        <v>-4.2</v>
      </c>
      <c r="P8">
        <v>0</v>
      </c>
      <c r="S8">
        <f t="shared" si="1"/>
        <v>0</v>
      </c>
      <c r="T8">
        <f t="shared" si="2"/>
        <v>0</v>
      </c>
      <c r="W8">
        <v>2080.6</v>
      </c>
    </row>
    <row r="9" spans="1:27" x14ac:dyDescent="0.35">
      <c r="A9">
        <v>5160</v>
      </c>
      <c r="B9">
        <v>23050</v>
      </c>
      <c r="C9" s="1">
        <v>42954</v>
      </c>
      <c r="G9">
        <v>19.5</v>
      </c>
      <c r="H9">
        <v>12.7</v>
      </c>
      <c r="I9">
        <v>25</v>
      </c>
      <c r="M9">
        <v>2.2000000000000002</v>
      </c>
      <c r="N9">
        <v>4.5999999999999996</v>
      </c>
      <c r="O9">
        <f t="shared" si="0"/>
        <v>-2.3999999999999995</v>
      </c>
      <c r="P9">
        <v>0</v>
      </c>
      <c r="S9">
        <f t="shared" si="1"/>
        <v>0</v>
      </c>
      <c r="T9">
        <f t="shared" si="2"/>
        <v>2.2000000000000002</v>
      </c>
      <c r="W9">
        <v>2069.1</v>
      </c>
    </row>
    <row r="10" spans="1:27" x14ac:dyDescent="0.35">
      <c r="A10">
        <v>5160</v>
      </c>
      <c r="B10">
        <v>23050</v>
      </c>
      <c r="C10" s="1">
        <v>42955</v>
      </c>
      <c r="G10">
        <v>15.9</v>
      </c>
      <c r="H10">
        <v>14.9</v>
      </c>
      <c r="I10">
        <v>17.600000000000001</v>
      </c>
      <c r="M10">
        <v>2.8</v>
      </c>
      <c r="N10">
        <v>1.7</v>
      </c>
      <c r="O10">
        <f t="shared" si="0"/>
        <v>1.0999999999999999</v>
      </c>
      <c r="P10">
        <f>O10</f>
        <v>1.0999999999999999</v>
      </c>
      <c r="S10">
        <f t="shared" si="1"/>
        <v>0</v>
      </c>
      <c r="T10">
        <f t="shared" si="2"/>
        <v>2.8</v>
      </c>
      <c r="W10">
        <v>738.4</v>
      </c>
    </row>
    <row r="11" spans="1:27" x14ac:dyDescent="0.35">
      <c r="A11">
        <v>5160</v>
      </c>
      <c r="B11">
        <v>23050</v>
      </c>
      <c r="C11" s="1">
        <v>42956</v>
      </c>
      <c r="G11">
        <v>13</v>
      </c>
      <c r="H11">
        <v>12.3</v>
      </c>
      <c r="I11">
        <v>13.6</v>
      </c>
      <c r="M11">
        <v>12</v>
      </c>
      <c r="N11">
        <v>0.9</v>
      </c>
      <c r="O11">
        <f t="shared" si="0"/>
        <v>11.1</v>
      </c>
      <c r="P11">
        <f>P10+O11</f>
        <v>12.2</v>
      </c>
      <c r="S11">
        <f t="shared" si="1"/>
        <v>0</v>
      </c>
      <c r="T11">
        <f t="shared" si="2"/>
        <v>12</v>
      </c>
      <c r="W11">
        <v>781</v>
      </c>
    </row>
    <row r="12" spans="1:27" x14ac:dyDescent="0.35">
      <c r="A12">
        <v>5160</v>
      </c>
      <c r="B12">
        <v>23050</v>
      </c>
      <c r="C12" s="1">
        <v>42957</v>
      </c>
      <c r="G12">
        <v>14.2</v>
      </c>
      <c r="H12">
        <v>12.5</v>
      </c>
      <c r="I12">
        <v>16.100000000000001</v>
      </c>
      <c r="M12">
        <v>9.5</v>
      </c>
      <c r="N12">
        <v>1.4</v>
      </c>
      <c r="O12">
        <f t="shared" si="0"/>
        <v>8.1</v>
      </c>
      <c r="P12">
        <f t="shared" ref="P12:P32" si="3">P11+O12</f>
        <v>20.299999999999997</v>
      </c>
      <c r="S12">
        <f t="shared" si="1"/>
        <v>0</v>
      </c>
      <c r="T12">
        <f t="shared" si="2"/>
        <v>9.5</v>
      </c>
      <c r="W12">
        <v>852</v>
      </c>
    </row>
    <row r="13" spans="1:27" x14ac:dyDescent="0.35">
      <c r="A13">
        <v>5160</v>
      </c>
      <c r="B13">
        <v>23050</v>
      </c>
      <c r="C13" s="1">
        <v>42958</v>
      </c>
      <c r="G13">
        <v>16.100000000000001</v>
      </c>
      <c r="H13">
        <v>13.7</v>
      </c>
      <c r="I13">
        <v>19.8</v>
      </c>
      <c r="M13">
        <v>1.5</v>
      </c>
      <c r="N13">
        <v>2.2999999999999998</v>
      </c>
      <c r="O13">
        <f t="shared" si="0"/>
        <v>-0.79999999999999982</v>
      </c>
      <c r="P13">
        <f t="shared" si="3"/>
        <v>19.499999999999996</v>
      </c>
      <c r="S13">
        <f t="shared" si="1"/>
        <v>0</v>
      </c>
      <c r="T13">
        <f t="shared" si="2"/>
        <v>1.5</v>
      </c>
      <c r="W13">
        <v>1226.5999999999999</v>
      </c>
    </row>
    <row r="14" spans="1:27" x14ac:dyDescent="0.35">
      <c r="A14">
        <v>5160</v>
      </c>
      <c r="B14">
        <v>23050</v>
      </c>
      <c r="C14" s="1">
        <v>42959</v>
      </c>
      <c r="G14">
        <v>16.7</v>
      </c>
      <c r="H14">
        <v>12.2</v>
      </c>
      <c r="I14">
        <v>19.2</v>
      </c>
      <c r="M14">
        <v>3.3</v>
      </c>
      <c r="N14">
        <v>0.9</v>
      </c>
      <c r="O14">
        <f t="shared" si="0"/>
        <v>2.4</v>
      </c>
      <c r="P14">
        <f t="shared" si="3"/>
        <v>21.899999999999995</v>
      </c>
      <c r="S14">
        <f t="shared" si="1"/>
        <v>0</v>
      </c>
      <c r="T14">
        <f t="shared" si="2"/>
        <v>3.3</v>
      </c>
      <c r="W14">
        <v>501.9</v>
      </c>
    </row>
    <row r="15" spans="1:27" x14ac:dyDescent="0.35">
      <c r="A15">
        <v>5160</v>
      </c>
      <c r="B15">
        <v>23050</v>
      </c>
      <c r="C15" s="1">
        <v>42960</v>
      </c>
      <c r="G15">
        <v>17.7</v>
      </c>
      <c r="H15">
        <v>14.4</v>
      </c>
      <c r="I15">
        <v>21.6</v>
      </c>
      <c r="M15">
        <v>0</v>
      </c>
      <c r="N15">
        <v>2.2000000000000002</v>
      </c>
      <c r="O15">
        <f t="shared" si="0"/>
        <v>-2.2000000000000002</v>
      </c>
      <c r="P15">
        <f t="shared" si="3"/>
        <v>19.699999999999996</v>
      </c>
      <c r="S15">
        <f t="shared" si="1"/>
        <v>0</v>
      </c>
      <c r="T15">
        <f t="shared" si="2"/>
        <v>0</v>
      </c>
      <c r="W15">
        <v>943.7</v>
      </c>
    </row>
    <row r="16" spans="1:27" x14ac:dyDescent="0.35">
      <c r="A16">
        <v>5160</v>
      </c>
      <c r="B16">
        <v>23050</v>
      </c>
      <c r="C16" s="1">
        <v>42961</v>
      </c>
      <c r="G16">
        <v>21.5</v>
      </c>
      <c r="H16">
        <v>14.3</v>
      </c>
      <c r="I16">
        <v>26.9</v>
      </c>
      <c r="M16">
        <v>0</v>
      </c>
      <c r="N16">
        <v>2.8</v>
      </c>
      <c r="O16">
        <f t="shared" si="0"/>
        <v>-2.8</v>
      </c>
      <c r="P16">
        <f t="shared" si="3"/>
        <v>16.899999999999995</v>
      </c>
      <c r="S16">
        <f t="shared" si="1"/>
        <v>0</v>
      </c>
      <c r="T16">
        <f t="shared" si="2"/>
        <v>0</v>
      </c>
      <c r="W16">
        <v>1422.2</v>
      </c>
    </row>
    <row r="17" spans="1:23" x14ac:dyDescent="0.35">
      <c r="A17">
        <v>5160</v>
      </c>
      <c r="B17">
        <v>23050</v>
      </c>
      <c r="C17" s="1">
        <v>42962</v>
      </c>
      <c r="G17">
        <v>22.1</v>
      </c>
      <c r="H17">
        <v>20.8</v>
      </c>
      <c r="I17">
        <v>23.8</v>
      </c>
      <c r="M17">
        <v>5</v>
      </c>
      <c r="N17">
        <v>3.3</v>
      </c>
      <c r="O17">
        <f t="shared" si="0"/>
        <v>1.7000000000000002</v>
      </c>
      <c r="P17">
        <f t="shared" si="3"/>
        <v>18.599999999999994</v>
      </c>
      <c r="S17">
        <f t="shared" si="1"/>
        <v>0</v>
      </c>
      <c r="T17">
        <f t="shared" si="2"/>
        <v>5</v>
      </c>
      <c r="W17">
        <v>1583.8</v>
      </c>
    </row>
    <row r="18" spans="1:23" x14ac:dyDescent="0.35">
      <c r="A18">
        <v>5160</v>
      </c>
      <c r="B18">
        <v>23050</v>
      </c>
      <c r="C18" s="1">
        <v>42963</v>
      </c>
      <c r="G18">
        <v>19.600000000000001</v>
      </c>
      <c r="H18">
        <v>16</v>
      </c>
      <c r="I18">
        <v>23.4</v>
      </c>
      <c r="M18">
        <v>0</v>
      </c>
      <c r="N18">
        <v>2</v>
      </c>
      <c r="O18">
        <f t="shared" si="0"/>
        <v>-2</v>
      </c>
      <c r="P18">
        <f t="shared" si="3"/>
        <v>16.599999999999994</v>
      </c>
      <c r="S18">
        <f t="shared" si="1"/>
        <v>0</v>
      </c>
      <c r="T18">
        <f t="shared" si="2"/>
        <v>0</v>
      </c>
      <c r="W18">
        <v>975.8</v>
      </c>
    </row>
    <row r="19" spans="1:23" x14ac:dyDescent="0.35">
      <c r="A19">
        <v>5160</v>
      </c>
      <c r="B19">
        <v>23050</v>
      </c>
      <c r="C19" s="1">
        <v>42964</v>
      </c>
      <c r="G19">
        <v>20.2</v>
      </c>
      <c r="H19">
        <v>16.600000000000001</v>
      </c>
      <c r="I19">
        <v>23.1</v>
      </c>
      <c r="M19">
        <v>11.5</v>
      </c>
      <c r="N19">
        <v>1.7</v>
      </c>
      <c r="O19">
        <f t="shared" si="0"/>
        <v>9.8000000000000007</v>
      </c>
      <c r="P19">
        <f t="shared" si="3"/>
        <v>26.399999999999995</v>
      </c>
      <c r="S19">
        <f t="shared" si="1"/>
        <v>0</v>
      </c>
      <c r="T19">
        <f t="shared" si="2"/>
        <v>11.5</v>
      </c>
      <c r="W19">
        <v>923.6</v>
      </c>
    </row>
    <row r="20" spans="1:23" x14ac:dyDescent="0.35">
      <c r="A20">
        <v>5160</v>
      </c>
      <c r="B20">
        <v>23050</v>
      </c>
      <c r="C20" s="1">
        <v>42965</v>
      </c>
      <c r="G20">
        <v>18.3</v>
      </c>
      <c r="H20">
        <v>18.3</v>
      </c>
      <c r="I20">
        <v>21</v>
      </c>
      <c r="M20">
        <v>5.2</v>
      </c>
      <c r="N20">
        <v>1.7</v>
      </c>
      <c r="O20">
        <f t="shared" si="0"/>
        <v>3.5</v>
      </c>
      <c r="P20">
        <f t="shared" si="3"/>
        <v>29.899999999999995</v>
      </c>
      <c r="S20">
        <f t="shared" si="1"/>
        <v>0</v>
      </c>
      <c r="T20">
        <f t="shared" si="2"/>
        <v>5.2</v>
      </c>
      <c r="W20">
        <v>589.70000000000005</v>
      </c>
    </row>
    <row r="21" spans="1:23" x14ac:dyDescent="0.35">
      <c r="A21">
        <v>5160</v>
      </c>
      <c r="B21">
        <v>23050</v>
      </c>
      <c r="C21" s="1">
        <v>42966</v>
      </c>
      <c r="G21">
        <v>15.6</v>
      </c>
      <c r="H21">
        <v>10.7</v>
      </c>
      <c r="I21">
        <v>19.8</v>
      </c>
      <c r="M21">
        <v>0</v>
      </c>
      <c r="N21">
        <v>3</v>
      </c>
      <c r="O21">
        <f t="shared" si="0"/>
        <v>-3</v>
      </c>
      <c r="P21">
        <f t="shared" si="3"/>
        <v>26.899999999999995</v>
      </c>
      <c r="S21">
        <f t="shared" si="1"/>
        <v>0</v>
      </c>
      <c r="T21">
        <f t="shared" si="2"/>
        <v>0</v>
      </c>
      <c r="W21">
        <v>1792.5</v>
      </c>
    </row>
    <row r="22" spans="1:23" x14ac:dyDescent="0.35">
      <c r="A22">
        <v>5160</v>
      </c>
      <c r="B22">
        <v>23050</v>
      </c>
      <c r="C22" s="1">
        <v>42967</v>
      </c>
      <c r="G22">
        <v>17.399999999999999</v>
      </c>
      <c r="H22">
        <v>11.9</v>
      </c>
      <c r="I22">
        <v>21.4</v>
      </c>
      <c r="M22">
        <v>0</v>
      </c>
      <c r="N22">
        <v>3</v>
      </c>
      <c r="O22">
        <f t="shared" si="0"/>
        <v>-3</v>
      </c>
      <c r="P22">
        <f t="shared" si="3"/>
        <v>23.899999999999995</v>
      </c>
      <c r="S22">
        <f t="shared" si="1"/>
        <v>0</v>
      </c>
      <c r="T22">
        <f t="shared" si="2"/>
        <v>0</v>
      </c>
      <c r="W22">
        <v>1653.5</v>
      </c>
    </row>
    <row r="23" spans="1:23" x14ac:dyDescent="0.35">
      <c r="A23">
        <v>5160</v>
      </c>
      <c r="B23">
        <v>23050</v>
      </c>
      <c r="C23" s="1">
        <v>42968</v>
      </c>
      <c r="G23">
        <v>21.4</v>
      </c>
      <c r="H23">
        <v>16.100000000000001</v>
      </c>
      <c r="I23">
        <v>26.1</v>
      </c>
      <c r="M23">
        <v>0</v>
      </c>
      <c r="N23">
        <v>2.9</v>
      </c>
      <c r="O23">
        <f t="shared" si="0"/>
        <v>-2.9</v>
      </c>
      <c r="P23">
        <f t="shared" si="3"/>
        <v>20.999999999999996</v>
      </c>
      <c r="S23">
        <f t="shared" si="1"/>
        <v>0</v>
      </c>
      <c r="T23">
        <f t="shared" si="2"/>
        <v>0</v>
      </c>
      <c r="W23">
        <v>1280.3</v>
      </c>
    </row>
    <row r="24" spans="1:23" x14ac:dyDescent="0.35">
      <c r="A24">
        <v>5160</v>
      </c>
      <c r="B24">
        <v>23050</v>
      </c>
      <c r="C24" s="1">
        <v>42969</v>
      </c>
      <c r="G24">
        <v>22.9</v>
      </c>
      <c r="H24">
        <v>16.600000000000001</v>
      </c>
      <c r="I24">
        <v>28.5</v>
      </c>
      <c r="M24">
        <v>0</v>
      </c>
      <c r="N24">
        <v>3.9</v>
      </c>
      <c r="O24">
        <f t="shared" si="0"/>
        <v>-3.9</v>
      </c>
      <c r="P24">
        <f t="shared" si="3"/>
        <v>17.099999999999998</v>
      </c>
      <c r="S24">
        <f t="shared" si="1"/>
        <v>0</v>
      </c>
      <c r="T24">
        <f t="shared" si="2"/>
        <v>0</v>
      </c>
      <c r="W24">
        <v>1659</v>
      </c>
    </row>
    <row r="25" spans="1:23" x14ac:dyDescent="0.35">
      <c r="A25">
        <v>5160</v>
      </c>
      <c r="B25">
        <v>23050</v>
      </c>
      <c r="C25" s="1">
        <v>42970</v>
      </c>
      <c r="G25">
        <v>20.100000000000001</v>
      </c>
      <c r="H25">
        <v>18.2</v>
      </c>
      <c r="I25">
        <v>23.4</v>
      </c>
      <c r="M25">
        <v>0</v>
      </c>
      <c r="N25">
        <v>1.9</v>
      </c>
      <c r="O25">
        <f t="shared" si="0"/>
        <v>-1.9</v>
      </c>
      <c r="P25">
        <f t="shared" si="3"/>
        <v>15.199999999999998</v>
      </c>
      <c r="S25">
        <f t="shared" si="1"/>
        <v>0</v>
      </c>
      <c r="T25">
        <f t="shared" si="2"/>
        <v>0</v>
      </c>
      <c r="W25">
        <v>746.4</v>
      </c>
    </row>
    <row r="26" spans="1:23" x14ac:dyDescent="0.35">
      <c r="A26">
        <v>5160</v>
      </c>
      <c r="B26">
        <v>23050</v>
      </c>
      <c r="C26" s="1">
        <v>42971</v>
      </c>
      <c r="G26">
        <v>20.7</v>
      </c>
      <c r="H26">
        <v>15.7</v>
      </c>
      <c r="I26">
        <v>24.4</v>
      </c>
      <c r="M26">
        <v>0</v>
      </c>
      <c r="N26">
        <v>2.9</v>
      </c>
      <c r="O26">
        <f t="shared" si="0"/>
        <v>-2.9</v>
      </c>
      <c r="P26">
        <f t="shared" si="3"/>
        <v>12.299999999999997</v>
      </c>
      <c r="S26">
        <f t="shared" si="1"/>
        <v>0</v>
      </c>
      <c r="T26">
        <f t="shared" si="2"/>
        <v>0</v>
      </c>
      <c r="W26">
        <v>1393.8</v>
      </c>
    </row>
    <row r="27" spans="1:23" x14ac:dyDescent="0.35">
      <c r="A27">
        <v>5160</v>
      </c>
      <c r="B27">
        <v>23050</v>
      </c>
      <c r="C27" s="1">
        <v>42972</v>
      </c>
      <c r="G27">
        <v>21.1</v>
      </c>
      <c r="H27">
        <v>17.7</v>
      </c>
      <c r="I27">
        <v>24.7</v>
      </c>
      <c r="M27">
        <v>4.7</v>
      </c>
      <c r="N27">
        <v>2.4</v>
      </c>
      <c r="O27">
        <f t="shared" si="0"/>
        <v>2.3000000000000003</v>
      </c>
      <c r="P27">
        <f t="shared" si="3"/>
        <v>14.599999999999998</v>
      </c>
      <c r="S27">
        <f t="shared" si="1"/>
        <v>0</v>
      </c>
      <c r="T27">
        <f t="shared" si="2"/>
        <v>4.7</v>
      </c>
      <c r="W27">
        <v>1178.7</v>
      </c>
    </row>
    <row r="28" spans="1:23" x14ac:dyDescent="0.35">
      <c r="A28">
        <v>5160</v>
      </c>
      <c r="B28">
        <v>23050</v>
      </c>
      <c r="C28" s="1">
        <v>42973</v>
      </c>
      <c r="G28">
        <v>21.9</v>
      </c>
      <c r="H28">
        <v>15</v>
      </c>
      <c r="I28">
        <v>27.3</v>
      </c>
      <c r="M28">
        <v>0</v>
      </c>
      <c r="N28">
        <v>3.4</v>
      </c>
      <c r="O28">
        <f t="shared" si="0"/>
        <v>-3.4</v>
      </c>
      <c r="P28">
        <f t="shared" si="3"/>
        <v>11.199999999999998</v>
      </c>
      <c r="S28">
        <f t="shared" si="1"/>
        <v>0</v>
      </c>
      <c r="T28">
        <f t="shared" si="2"/>
        <v>0</v>
      </c>
      <c r="W28">
        <v>1877.3</v>
      </c>
    </row>
    <row r="29" spans="1:23" x14ac:dyDescent="0.35">
      <c r="A29">
        <v>5160</v>
      </c>
      <c r="B29">
        <v>23050</v>
      </c>
      <c r="C29" s="1">
        <v>42974</v>
      </c>
      <c r="G29">
        <v>24.4</v>
      </c>
      <c r="H29">
        <v>19</v>
      </c>
      <c r="I29">
        <v>29.6</v>
      </c>
      <c r="M29">
        <v>0</v>
      </c>
      <c r="N29">
        <v>4</v>
      </c>
      <c r="O29">
        <f t="shared" si="0"/>
        <v>-4</v>
      </c>
      <c r="P29">
        <f t="shared" si="3"/>
        <v>7.1999999999999975</v>
      </c>
      <c r="S29">
        <f t="shared" si="1"/>
        <v>0</v>
      </c>
      <c r="T29">
        <f t="shared" si="2"/>
        <v>0</v>
      </c>
      <c r="W29">
        <v>1851.6</v>
      </c>
    </row>
    <row r="30" spans="1:23" x14ac:dyDescent="0.35">
      <c r="A30">
        <v>5160</v>
      </c>
      <c r="B30">
        <v>23050</v>
      </c>
      <c r="C30" s="1">
        <v>42975</v>
      </c>
      <c r="G30">
        <v>25.1</v>
      </c>
      <c r="H30">
        <v>19.2</v>
      </c>
      <c r="I30">
        <v>30.2</v>
      </c>
      <c r="M30">
        <v>0</v>
      </c>
      <c r="N30">
        <v>3.2</v>
      </c>
      <c r="O30">
        <f t="shared" si="0"/>
        <v>-3.2</v>
      </c>
      <c r="P30">
        <f t="shared" si="3"/>
        <v>3.9999999999999973</v>
      </c>
      <c r="S30">
        <f t="shared" si="1"/>
        <v>0</v>
      </c>
      <c r="T30">
        <f t="shared" si="2"/>
        <v>0</v>
      </c>
      <c r="W30">
        <v>1171</v>
      </c>
    </row>
    <row r="31" spans="1:23" x14ac:dyDescent="0.35">
      <c r="A31">
        <v>5160</v>
      </c>
      <c r="B31">
        <v>23050</v>
      </c>
      <c r="C31" s="1">
        <v>42976</v>
      </c>
      <c r="G31">
        <v>26.3</v>
      </c>
      <c r="H31">
        <v>19.2</v>
      </c>
      <c r="I31">
        <v>33.1</v>
      </c>
      <c r="M31">
        <v>0</v>
      </c>
      <c r="N31">
        <v>5</v>
      </c>
      <c r="O31">
        <f t="shared" si="0"/>
        <v>-5</v>
      </c>
      <c r="P31">
        <v>0</v>
      </c>
      <c r="S31">
        <f t="shared" si="1"/>
        <v>0</v>
      </c>
      <c r="T31">
        <f t="shared" si="2"/>
        <v>0</v>
      </c>
      <c r="W31">
        <v>1824.3</v>
      </c>
    </row>
    <row r="32" spans="1:23" s="6" customFormat="1" ht="15" thickBot="1" x14ac:dyDescent="0.4">
      <c r="A32" s="6">
        <v>5160</v>
      </c>
      <c r="B32" s="6">
        <v>23050</v>
      </c>
      <c r="C32" s="7">
        <v>42977</v>
      </c>
      <c r="G32" s="6">
        <v>18.3</v>
      </c>
      <c r="H32" s="6">
        <v>16.2</v>
      </c>
      <c r="I32" s="6">
        <v>22.1</v>
      </c>
      <c r="M32" s="6">
        <v>5.3</v>
      </c>
      <c r="N32" s="6">
        <v>1.6</v>
      </c>
      <c r="O32" s="6">
        <f t="shared" si="0"/>
        <v>3.6999999999999997</v>
      </c>
      <c r="P32" s="8">
        <f t="shared" si="3"/>
        <v>3.6999999999999997</v>
      </c>
      <c r="S32" s="6">
        <f t="shared" si="1"/>
        <v>0</v>
      </c>
      <c r="T32" s="6">
        <f t="shared" si="2"/>
        <v>5.3</v>
      </c>
      <c r="W32" s="6">
        <v>652.9</v>
      </c>
    </row>
    <row r="33" spans="1:27" x14ac:dyDescent="0.35">
      <c r="A33">
        <v>5160</v>
      </c>
      <c r="B33">
        <v>23050</v>
      </c>
      <c r="C33" s="1">
        <v>42978</v>
      </c>
      <c r="D33" t="s">
        <v>30</v>
      </c>
      <c r="F33" s="53" t="s">
        <v>54</v>
      </c>
      <c r="G33">
        <v>15.4</v>
      </c>
      <c r="H33">
        <v>9.6999999999999993</v>
      </c>
      <c r="I33">
        <v>19.5</v>
      </c>
      <c r="J33">
        <f>G33</f>
        <v>15.4</v>
      </c>
      <c r="K33">
        <f>G33</f>
        <v>15.4</v>
      </c>
      <c r="L33" s="10" t="s">
        <v>36</v>
      </c>
      <c r="M33">
        <v>0</v>
      </c>
      <c r="N33">
        <v>2.8</v>
      </c>
      <c r="O33">
        <f t="shared" si="0"/>
        <v>-2.8</v>
      </c>
      <c r="Q33">
        <v>1</v>
      </c>
      <c r="R33">
        <v>0.35</v>
      </c>
      <c r="S33">
        <f t="shared" si="1"/>
        <v>0.97999999999999987</v>
      </c>
      <c r="T33">
        <f t="shared" si="2"/>
        <v>-0.97999999999999987</v>
      </c>
      <c r="U33" s="2">
        <f>P32+T33</f>
        <v>2.7199999999999998</v>
      </c>
      <c r="V33" s="12" t="s">
        <v>43</v>
      </c>
      <c r="W33">
        <v>1703.3</v>
      </c>
      <c r="X33">
        <f>W33</f>
        <v>1703.3</v>
      </c>
      <c r="Y33">
        <f>W33</f>
        <v>1703.3</v>
      </c>
      <c r="Z33">
        <v>13.202576184706533</v>
      </c>
      <c r="AA33" s="12" t="s">
        <v>48</v>
      </c>
    </row>
    <row r="34" spans="1:27" x14ac:dyDescent="0.35">
      <c r="A34">
        <v>5160</v>
      </c>
      <c r="B34">
        <v>23050</v>
      </c>
      <c r="C34" s="1">
        <v>42979</v>
      </c>
      <c r="F34" s="54"/>
      <c r="G34">
        <v>14.8</v>
      </c>
      <c r="H34">
        <v>10.9</v>
      </c>
      <c r="I34">
        <v>19.600000000000001</v>
      </c>
      <c r="J34">
        <f>J33+G34</f>
        <v>30.200000000000003</v>
      </c>
      <c r="K34">
        <f>K33+G34</f>
        <v>30.200000000000003</v>
      </c>
      <c r="L34" s="11">
        <v>1082.3</v>
      </c>
      <c r="M34">
        <v>1.2</v>
      </c>
      <c r="N34">
        <v>1.6</v>
      </c>
      <c r="O34">
        <f t="shared" si="0"/>
        <v>-0.40000000000000013</v>
      </c>
      <c r="Q34">
        <v>2</v>
      </c>
      <c r="R34">
        <v>0.35</v>
      </c>
      <c r="S34">
        <f t="shared" si="1"/>
        <v>0.55999999999999994</v>
      </c>
      <c r="T34">
        <f t="shared" si="2"/>
        <v>0.64</v>
      </c>
      <c r="U34" s="2">
        <f>MIN(U33+T34,150.8)</f>
        <v>3.36</v>
      </c>
      <c r="V34">
        <v>1</v>
      </c>
      <c r="W34">
        <v>1100.8</v>
      </c>
      <c r="X34">
        <f>X33+W34</f>
        <v>2804.1</v>
      </c>
      <c r="Y34">
        <f>Y33+W34</f>
        <v>2804.1</v>
      </c>
      <c r="Z34">
        <v>13.14504558293851</v>
      </c>
      <c r="AA34">
        <v>63646.7</v>
      </c>
    </row>
    <row r="35" spans="1:27" x14ac:dyDescent="0.35">
      <c r="A35">
        <v>5160</v>
      </c>
      <c r="B35">
        <v>23050</v>
      </c>
      <c r="C35" s="1">
        <v>42980</v>
      </c>
      <c r="F35" s="54"/>
      <c r="G35">
        <v>15</v>
      </c>
      <c r="H35">
        <v>10.3</v>
      </c>
      <c r="I35">
        <v>20.2</v>
      </c>
      <c r="J35">
        <f t="shared" ref="J35:J98" si="4">J34+G35</f>
        <v>45.2</v>
      </c>
      <c r="K35">
        <f t="shared" ref="K35:K98" si="5">K34+G35</f>
        <v>45.2</v>
      </c>
      <c r="L35" s="10" t="s">
        <v>37</v>
      </c>
      <c r="M35">
        <v>0</v>
      </c>
      <c r="N35">
        <v>2.8</v>
      </c>
      <c r="O35">
        <f t="shared" si="0"/>
        <v>-2.8</v>
      </c>
      <c r="Q35">
        <v>3</v>
      </c>
      <c r="R35">
        <v>0.35</v>
      </c>
      <c r="S35">
        <f t="shared" si="1"/>
        <v>0.97999999999999987</v>
      </c>
      <c r="T35">
        <f t="shared" si="2"/>
        <v>-0.97999999999999987</v>
      </c>
      <c r="U35" s="2">
        <f t="shared" ref="U35:U98" si="6">MIN(U34+T35,150.8)</f>
        <v>2.38</v>
      </c>
      <c r="V35" s="12" t="s">
        <v>44</v>
      </c>
      <c r="W35">
        <v>1552.9</v>
      </c>
      <c r="X35">
        <f t="shared" ref="X35:X98" si="7">X34+W35</f>
        <v>4357</v>
      </c>
      <c r="Y35">
        <f t="shared" ref="Y35:Y98" si="8">Y34+W35</f>
        <v>4357</v>
      </c>
      <c r="Z35">
        <v>13.087338524455982</v>
      </c>
      <c r="AA35" s="12" t="s">
        <v>49</v>
      </c>
    </row>
    <row r="36" spans="1:27" x14ac:dyDescent="0.35">
      <c r="A36">
        <v>5160</v>
      </c>
      <c r="B36">
        <v>23050</v>
      </c>
      <c r="C36" s="1">
        <v>42981</v>
      </c>
      <c r="F36" s="54"/>
      <c r="G36">
        <v>15.7</v>
      </c>
      <c r="H36">
        <v>10.1</v>
      </c>
      <c r="I36">
        <v>21.8</v>
      </c>
      <c r="J36">
        <f t="shared" si="4"/>
        <v>60.900000000000006</v>
      </c>
      <c r="K36">
        <f t="shared" si="5"/>
        <v>60.900000000000006</v>
      </c>
      <c r="L36" s="11">
        <f>AVERAGE(G33:G122)</f>
        <v>12.025555555555554</v>
      </c>
      <c r="M36">
        <v>0.5</v>
      </c>
      <c r="N36">
        <v>1.6</v>
      </c>
      <c r="O36">
        <f t="shared" si="0"/>
        <v>-1.1000000000000001</v>
      </c>
      <c r="Q36">
        <v>4</v>
      </c>
      <c r="R36">
        <v>0.35</v>
      </c>
      <c r="S36">
        <f t="shared" si="1"/>
        <v>0.55999999999999994</v>
      </c>
      <c r="T36">
        <f t="shared" si="2"/>
        <v>-5.9999999999999942E-2</v>
      </c>
      <c r="U36" s="2">
        <f t="shared" si="6"/>
        <v>2.3199999999999998</v>
      </c>
      <c r="V36">
        <v>51</v>
      </c>
      <c r="W36">
        <v>620.4</v>
      </c>
      <c r="X36">
        <f t="shared" si="7"/>
        <v>4977.3999999999996</v>
      </c>
      <c r="Y36">
        <f t="shared" si="8"/>
        <v>4977.3999999999996</v>
      </c>
      <c r="Z36">
        <v>13.029465765693395</v>
      </c>
      <c r="AA36">
        <f>(AA34/100)/L34</f>
        <v>0.58806892728448679</v>
      </c>
    </row>
    <row r="37" spans="1:27" x14ac:dyDescent="0.35">
      <c r="A37">
        <v>5160</v>
      </c>
      <c r="B37">
        <v>23050</v>
      </c>
      <c r="C37" s="1">
        <v>42982</v>
      </c>
      <c r="F37" s="54"/>
      <c r="G37">
        <v>19.2</v>
      </c>
      <c r="H37">
        <v>14.7</v>
      </c>
      <c r="I37">
        <v>23</v>
      </c>
      <c r="J37">
        <f t="shared" si="4"/>
        <v>80.100000000000009</v>
      </c>
      <c r="K37">
        <f t="shared" si="5"/>
        <v>80.100000000000009</v>
      </c>
      <c r="L37" s="10" t="s">
        <v>38</v>
      </c>
      <c r="M37">
        <v>0</v>
      </c>
      <c r="N37">
        <v>1.8</v>
      </c>
      <c r="O37">
        <f t="shared" si="0"/>
        <v>-1.8</v>
      </c>
      <c r="Q37">
        <v>5</v>
      </c>
      <c r="R37">
        <v>0.35</v>
      </c>
      <c r="S37">
        <f t="shared" si="1"/>
        <v>0.63</v>
      </c>
      <c r="T37">
        <f t="shared" si="2"/>
        <v>-0.63</v>
      </c>
      <c r="U37" s="2">
        <f t="shared" si="6"/>
        <v>1.69</v>
      </c>
      <c r="V37" s="12" t="s">
        <v>45</v>
      </c>
      <c r="W37">
        <v>633.6</v>
      </c>
      <c r="X37">
        <f t="shared" si="7"/>
        <v>5611</v>
      </c>
      <c r="Y37">
        <f t="shared" si="8"/>
        <v>5611</v>
      </c>
      <c r="Z37">
        <v>12.971437798442604</v>
      </c>
      <c r="AA37" s="12" t="s">
        <v>50</v>
      </c>
    </row>
    <row r="38" spans="1:27" x14ac:dyDescent="0.35">
      <c r="A38">
        <v>5160</v>
      </c>
      <c r="B38">
        <v>23050</v>
      </c>
      <c r="C38" s="1">
        <v>42983</v>
      </c>
      <c r="F38" s="54"/>
      <c r="G38">
        <v>19.600000000000001</v>
      </c>
      <c r="H38">
        <v>17.100000000000001</v>
      </c>
      <c r="I38">
        <v>22.1</v>
      </c>
      <c r="J38">
        <f t="shared" si="4"/>
        <v>99.700000000000017</v>
      </c>
      <c r="K38">
        <f t="shared" si="5"/>
        <v>99.700000000000017</v>
      </c>
      <c r="L38" s="11">
        <f>MIN(H33:H122)</f>
        <v>-2.2999999999999998</v>
      </c>
      <c r="M38">
        <v>0</v>
      </c>
      <c r="N38">
        <v>2</v>
      </c>
      <c r="O38">
        <f t="shared" si="0"/>
        <v>-2</v>
      </c>
      <c r="Q38">
        <v>6</v>
      </c>
      <c r="R38">
        <f>0.35+((Q38-5)/85)*(1-0.35)</f>
        <v>0.35764705882352937</v>
      </c>
      <c r="S38">
        <f t="shared" si="1"/>
        <v>0.71529411764705875</v>
      </c>
      <c r="T38">
        <f t="shared" si="2"/>
        <v>-0.71529411764705875</v>
      </c>
      <c r="U38" s="2">
        <f t="shared" si="6"/>
        <v>0.9747058823529412</v>
      </c>
      <c r="V38" s="2">
        <f>MIN(U33:U122)</f>
        <v>0</v>
      </c>
      <c r="W38">
        <v>818.9</v>
      </c>
      <c r="X38">
        <f t="shared" si="7"/>
        <v>6429.9</v>
      </c>
      <c r="Y38">
        <f t="shared" si="8"/>
        <v>6429.9</v>
      </c>
      <c r="Z38">
        <v>12.913264862729008</v>
      </c>
      <c r="AA38">
        <v>64</v>
      </c>
    </row>
    <row r="39" spans="1:27" x14ac:dyDescent="0.35">
      <c r="A39">
        <v>5160</v>
      </c>
      <c r="B39">
        <v>23050</v>
      </c>
      <c r="C39" s="1">
        <v>42984</v>
      </c>
      <c r="F39" s="54"/>
      <c r="G39">
        <v>16.600000000000001</v>
      </c>
      <c r="H39">
        <v>14</v>
      </c>
      <c r="I39">
        <v>18.8</v>
      </c>
      <c r="J39">
        <f t="shared" si="4"/>
        <v>116.30000000000001</v>
      </c>
      <c r="K39">
        <f t="shared" si="5"/>
        <v>116.30000000000001</v>
      </c>
      <c r="L39" s="10" t="s">
        <v>39</v>
      </c>
      <c r="M39">
        <v>0</v>
      </c>
      <c r="N39">
        <v>2.2999999999999998</v>
      </c>
      <c r="O39">
        <f t="shared" si="0"/>
        <v>-2.2999999999999998</v>
      </c>
      <c r="Q39">
        <v>7</v>
      </c>
      <c r="R39">
        <f t="shared" ref="R39:R102" si="9">0.35+((Q39-5)/85)*(1-0.35)</f>
        <v>0.36529411764705882</v>
      </c>
      <c r="S39">
        <f t="shared" si="1"/>
        <v>0.84017647058823519</v>
      </c>
      <c r="T39">
        <f t="shared" si="2"/>
        <v>-0.84017647058823519</v>
      </c>
      <c r="U39" s="2">
        <f t="shared" si="6"/>
        <v>0.13452941176470601</v>
      </c>
      <c r="V39" s="12" t="s">
        <v>46</v>
      </c>
      <c r="W39">
        <v>786.1</v>
      </c>
      <c r="X39">
        <f t="shared" si="7"/>
        <v>7216</v>
      </c>
      <c r="Y39">
        <f t="shared" si="8"/>
        <v>7216</v>
      </c>
      <c r="Z39">
        <v>12.854956959961921</v>
      </c>
    </row>
    <row r="40" spans="1:27" x14ac:dyDescent="0.35">
      <c r="A40">
        <v>5160</v>
      </c>
      <c r="B40">
        <v>23050</v>
      </c>
      <c r="C40" s="1">
        <v>42985</v>
      </c>
      <c r="F40" s="54"/>
      <c r="G40">
        <v>15.6</v>
      </c>
      <c r="H40">
        <v>10.8</v>
      </c>
      <c r="I40">
        <v>18.600000000000001</v>
      </c>
      <c r="J40">
        <f t="shared" si="4"/>
        <v>131.9</v>
      </c>
      <c r="K40">
        <f t="shared" si="5"/>
        <v>131.9</v>
      </c>
      <c r="L40" s="11">
        <f>MAX(I33:I122)</f>
        <v>24.8</v>
      </c>
      <c r="M40">
        <v>0</v>
      </c>
      <c r="N40">
        <v>1.5</v>
      </c>
      <c r="O40">
        <f t="shared" si="0"/>
        <v>-1.5</v>
      </c>
      <c r="Q40">
        <v>8</v>
      </c>
      <c r="R40">
        <f t="shared" si="9"/>
        <v>0.37294117647058822</v>
      </c>
      <c r="S40">
        <f t="shared" si="1"/>
        <v>0.55941176470588228</v>
      </c>
      <c r="T40">
        <f t="shared" si="2"/>
        <v>-0.55941176470588228</v>
      </c>
      <c r="U40" s="2">
        <v>0</v>
      </c>
      <c r="V40" s="2">
        <f>MAX(U33:U122)</f>
        <v>64.822705882352949</v>
      </c>
      <c r="W40">
        <v>482</v>
      </c>
      <c r="X40">
        <f t="shared" si="7"/>
        <v>7698</v>
      </c>
      <c r="Y40">
        <f t="shared" si="8"/>
        <v>7698</v>
      </c>
      <c r="Z40">
        <v>12.796523866333239</v>
      </c>
    </row>
    <row r="41" spans="1:27" x14ac:dyDescent="0.35">
      <c r="A41">
        <v>5160</v>
      </c>
      <c r="B41">
        <v>23050</v>
      </c>
      <c r="C41" s="1">
        <v>42986</v>
      </c>
      <c r="F41" s="54"/>
      <c r="G41">
        <v>16.600000000000001</v>
      </c>
      <c r="H41">
        <v>15.2</v>
      </c>
      <c r="I41">
        <v>18.3</v>
      </c>
      <c r="J41">
        <f t="shared" si="4"/>
        <v>148.5</v>
      </c>
      <c r="K41">
        <f t="shared" si="5"/>
        <v>148.5</v>
      </c>
      <c r="L41" s="10" t="s">
        <v>40</v>
      </c>
      <c r="M41">
        <v>32.799999999999997</v>
      </c>
      <c r="N41">
        <v>1.7</v>
      </c>
      <c r="O41">
        <f t="shared" si="0"/>
        <v>31.099999999999998</v>
      </c>
      <c r="Q41">
        <v>9</v>
      </c>
      <c r="R41">
        <f t="shared" si="9"/>
        <v>0.38058823529411762</v>
      </c>
      <c r="S41">
        <f t="shared" si="1"/>
        <v>0.64699999999999991</v>
      </c>
      <c r="T41">
        <f t="shared" si="2"/>
        <v>32.152999999999999</v>
      </c>
      <c r="U41" s="2">
        <f t="shared" si="6"/>
        <v>32.152999999999999</v>
      </c>
      <c r="V41" s="12" t="s">
        <v>47</v>
      </c>
      <c r="W41">
        <v>426.2</v>
      </c>
      <c r="X41">
        <f t="shared" si="7"/>
        <v>8124.2</v>
      </c>
      <c r="Y41">
        <f t="shared" si="8"/>
        <v>8124.2</v>
      </c>
      <c r="Z41">
        <v>12.737975146440302</v>
      </c>
    </row>
    <row r="42" spans="1:27" x14ac:dyDescent="0.35">
      <c r="A42">
        <v>5160</v>
      </c>
      <c r="B42">
        <v>23050</v>
      </c>
      <c r="C42" s="1">
        <v>42987</v>
      </c>
      <c r="F42" s="54"/>
      <c r="G42">
        <v>14.1</v>
      </c>
      <c r="H42">
        <v>12.9</v>
      </c>
      <c r="I42">
        <v>17.2</v>
      </c>
      <c r="J42">
        <f t="shared" si="4"/>
        <v>162.6</v>
      </c>
      <c r="K42">
        <f t="shared" si="5"/>
        <v>162.6</v>
      </c>
      <c r="L42" s="11">
        <v>0</v>
      </c>
      <c r="M42">
        <v>0.4</v>
      </c>
      <c r="N42">
        <v>2</v>
      </c>
      <c r="O42">
        <f t="shared" si="0"/>
        <v>-1.6</v>
      </c>
      <c r="Q42">
        <v>10</v>
      </c>
      <c r="R42">
        <f t="shared" si="9"/>
        <v>0.38823529411764701</v>
      </c>
      <c r="S42">
        <f t="shared" si="1"/>
        <v>0.77647058823529402</v>
      </c>
      <c r="T42">
        <f t="shared" si="2"/>
        <v>-0.376470588235294</v>
      </c>
      <c r="U42" s="2">
        <f t="shared" si="6"/>
        <v>31.776529411764706</v>
      </c>
      <c r="V42" s="2">
        <f>AVERAGE(U33:U122)</f>
        <v>44.381178431372561</v>
      </c>
      <c r="W42">
        <v>925</v>
      </c>
      <c r="X42">
        <f t="shared" si="7"/>
        <v>9049.2000000000007</v>
      </c>
      <c r="Y42">
        <f t="shared" si="8"/>
        <v>9049.2000000000007</v>
      </c>
      <c r="Z42">
        <v>12.67932016711044</v>
      </c>
    </row>
    <row r="43" spans="1:27" x14ac:dyDescent="0.35">
      <c r="A43">
        <v>5160</v>
      </c>
      <c r="B43">
        <v>23050</v>
      </c>
      <c r="C43" s="1">
        <v>42988</v>
      </c>
      <c r="F43" s="54"/>
      <c r="G43">
        <v>14.9</v>
      </c>
      <c r="H43">
        <v>11</v>
      </c>
      <c r="I43">
        <v>17.5</v>
      </c>
      <c r="J43">
        <f t="shared" si="4"/>
        <v>177.5</v>
      </c>
      <c r="K43">
        <f t="shared" si="5"/>
        <v>177.5</v>
      </c>
      <c r="L43" s="10" t="s">
        <v>41</v>
      </c>
      <c r="M43">
        <v>0.5</v>
      </c>
      <c r="N43">
        <v>1.2</v>
      </c>
      <c r="O43">
        <f t="shared" si="0"/>
        <v>-0.7</v>
      </c>
      <c r="Q43">
        <v>11</v>
      </c>
      <c r="R43">
        <f t="shared" si="9"/>
        <v>0.39588235294117646</v>
      </c>
      <c r="S43">
        <f t="shared" si="1"/>
        <v>0.47505882352941176</v>
      </c>
      <c r="T43">
        <f t="shared" si="2"/>
        <v>2.4941176470588244E-2</v>
      </c>
      <c r="U43" s="2">
        <f t="shared" si="6"/>
        <v>31.801470588235293</v>
      </c>
      <c r="W43">
        <v>618.70000000000005</v>
      </c>
      <c r="X43">
        <f t="shared" si="7"/>
        <v>9667.9000000000015</v>
      </c>
      <c r="Y43">
        <f t="shared" si="8"/>
        <v>9667.9000000000015</v>
      </c>
      <c r="Z43">
        <v>12.620568111406389</v>
      </c>
    </row>
    <row r="44" spans="1:27" x14ac:dyDescent="0.35">
      <c r="A44">
        <v>5160</v>
      </c>
      <c r="B44">
        <v>23050</v>
      </c>
      <c r="C44" s="1">
        <v>42989</v>
      </c>
      <c r="F44" s="54"/>
      <c r="G44">
        <v>14.7</v>
      </c>
      <c r="H44">
        <v>11.7</v>
      </c>
      <c r="I44">
        <v>18.3</v>
      </c>
      <c r="J44">
        <f t="shared" si="4"/>
        <v>192.2</v>
      </c>
      <c r="K44">
        <f t="shared" si="5"/>
        <v>192.2</v>
      </c>
      <c r="L44" s="11">
        <v>16</v>
      </c>
      <c r="M44">
        <v>0.2</v>
      </c>
      <c r="N44">
        <v>2.6</v>
      </c>
      <c r="O44">
        <f t="shared" si="0"/>
        <v>-2.4</v>
      </c>
      <c r="Q44">
        <v>12</v>
      </c>
      <c r="R44">
        <f t="shared" si="9"/>
        <v>0.40352941176470586</v>
      </c>
      <c r="S44">
        <f t="shared" si="1"/>
        <v>1.0491764705882354</v>
      </c>
      <c r="T44">
        <f t="shared" si="2"/>
        <v>-0.84917647058823542</v>
      </c>
      <c r="U44" s="2">
        <f t="shared" si="6"/>
        <v>30.952294117647057</v>
      </c>
      <c r="V44">
        <f>(V42*100)/150.8</f>
        <v>29.430489675976499</v>
      </c>
      <c r="W44">
        <v>1135.2</v>
      </c>
      <c r="X44">
        <f t="shared" si="7"/>
        <v>10803.100000000002</v>
      </c>
      <c r="Y44">
        <f t="shared" si="8"/>
        <v>10803.100000000002</v>
      </c>
      <c r="Z44">
        <v>12.56172799279312</v>
      </c>
    </row>
    <row r="45" spans="1:27" x14ac:dyDescent="0.35">
      <c r="A45">
        <v>5160</v>
      </c>
      <c r="B45">
        <v>23050</v>
      </c>
      <c r="C45" s="1">
        <v>42990</v>
      </c>
      <c r="F45" s="54"/>
      <c r="G45">
        <v>15.1</v>
      </c>
      <c r="H45">
        <v>11.6</v>
      </c>
      <c r="I45">
        <v>18.5</v>
      </c>
      <c r="J45">
        <f t="shared" si="4"/>
        <v>207.29999999999998</v>
      </c>
      <c r="K45">
        <f t="shared" si="5"/>
        <v>207.29999999999998</v>
      </c>
      <c r="L45" s="10" t="s">
        <v>42</v>
      </c>
      <c r="M45">
        <v>0.4</v>
      </c>
      <c r="N45">
        <v>2.5</v>
      </c>
      <c r="O45">
        <f t="shared" si="0"/>
        <v>-2.1</v>
      </c>
      <c r="Q45">
        <v>13</v>
      </c>
      <c r="R45">
        <f t="shared" si="9"/>
        <v>0.41117647058823525</v>
      </c>
      <c r="S45">
        <f t="shared" si="1"/>
        <v>1.0279411764705881</v>
      </c>
      <c r="T45">
        <f t="shared" si="2"/>
        <v>-0.62794117647058811</v>
      </c>
      <c r="U45" s="2">
        <f t="shared" si="6"/>
        <v>30.324352941176468</v>
      </c>
      <c r="W45">
        <v>819.8</v>
      </c>
      <c r="X45">
        <f t="shared" si="7"/>
        <v>11622.900000000001</v>
      </c>
      <c r="Y45">
        <f t="shared" si="8"/>
        <v>11622.900000000001</v>
      </c>
      <c r="Z45">
        <v>12.502808669448111</v>
      </c>
    </row>
    <row r="46" spans="1:27" x14ac:dyDescent="0.35">
      <c r="A46">
        <v>5160</v>
      </c>
      <c r="B46">
        <v>23050</v>
      </c>
      <c r="C46" s="1">
        <v>42991</v>
      </c>
      <c r="F46" s="54"/>
      <c r="G46">
        <v>17.2</v>
      </c>
      <c r="H46">
        <v>15.5</v>
      </c>
      <c r="I46">
        <v>19.399999999999999</v>
      </c>
      <c r="J46">
        <f t="shared" si="4"/>
        <v>224.49999999999997</v>
      </c>
      <c r="K46">
        <f t="shared" si="5"/>
        <v>224.49999999999997</v>
      </c>
      <c r="L46" s="11">
        <v>3</v>
      </c>
      <c r="M46">
        <v>17.100000000000001</v>
      </c>
      <c r="N46">
        <v>1.6</v>
      </c>
      <c r="O46">
        <f t="shared" si="0"/>
        <v>15.500000000000002</v>
      </c>
      <c r="Q46">
        <v>14</v>
      </c>
      <c r="R46">
        <f t="shared" si="9"/>
        <v>0.41882352941176471</v>
      </c>
      <c r="S46">
        <f t="shared" si="1"/>
        <v>0.6701176470588236</v>
      </c>
      <c r="T46">
        <f t="shared" si="2"/>
        <v>16.429882352941178</v>
      </c>
      <c r="U46" s="2">
        <f t="shared" si="6"/>
        <v>46.754235294117649</v>
      </c>
      <c r="W46">
        <v>426.2</v>
      </c>
      <c r="X46">
        <f t="shared" si="7"/>
        <v>12049.100000000002</v>
      </c>
      <c r="Y46">
        <f t="shared" si="8"/>
        <v>12049.100000000002</v>
      </c>
      <c r="Z46">
        <v>12.4438188586983</v>
      </c>
    </row>
    <row r="47" spans="1:27" x14ac:dyDescent="0.35">
      <c r="A47">
        <v>5160</v>
      </c>
      <c r="B47">
        <v>23050</v>
      </c>
      <c r="C47" s="1">
        <v>42992</v>
      </c>
      <c r="F47" s="54"/>
      <c r="G47">
        <v>13</v>
      </c>
      <c r="H47">
        <v>11.6</v>
      </c>
      <c r="I47">
        <v>15.8</v>
      </c>
      <c r="J47">
        <f t="shared" si="4"/>
        <v>237.49999999999997</v>
      </c>
      <c r="K47">
        <f t="shared" si="5"/>
        <v>237.49999999999997</v>
      </c>
      <c r="M47">
        <v>0.4</v>
      </c>
      <c r="N47">
        <v>2</v>
      </c>
      <c r="O47">
        <f t="shared" si="0"/>
        <v>-1.6</v>
      </c>
      <c r="Q47">
        <v>15</v>
      </c>
      <c r="R47">
        <f t="shared" si="9"/>
        <v>0.4264705882352941</v>
      </c>
      <c r="S47">
        <f t="shared" si="1"/>
        <v>0.8529411764705882</v>
      </c>
      <c r="T47">
        <f t="shared" si="2"/>
        <v>-0.45294117647058818</v>
      </c>
      <c r="U47" s="2">
        <f t="shared" si="6"/>
        <v>46.30129411764706</v>
      </c>
      <c r="W47">
        <v>947.6</v>
      </c>
      <c r="X47">
        <f t="shared" si="7"/>
        <v>12996.700000000003</v>
      </c>
      <c r="Y47">
        <f t="shared" si="8"/>
        <v>12996.700000000003</v>
      </c>
      <c r="Z47">
        <v>12.384767151568125</v>
      </c>
    </row>
    <row r="48" spans="1:27" x14ac:dyDescent="0.35">
      <c r="A48">
        <v>5160</v>
      </c>
      <c r="B48">
        <v>23050</v>
      </c>
      <c r="C48" s="1">
        <v>42993</v>
      </c>
      <c r="F48" s="54"/>
      <c r="G48">
        <v>11.5</v>
      </c>
      <c r="H48">
        <v>8</v>
      </c>
      <c r="I48">
        <v>16.5</v>
      </c>
      <c r="J48">
        <f t="shared" si="4"/>
        <v>248.99999999999997</v>
      </c>
      <c r="K48">
        <f t="shared" si="5"/>
        <v>248.99999999999997</v>
      </c>
      <c r="M48">
        <v>4.5</v>
      </c>
      <c r="N48">
        <v>1.9</v>
      </c>
      <c r="O48">
        <f t="shared" si="0"/>
        <v>2.6</v>
      </c>
      <c r="Q48">
        <v>16</v>
      </c>
      <c r="R48">
        <f t="shared" si="9"/>
        <v>0.4341176470588235</v>
      </c>
      <c r="S48">
        <f t="shared" si="1"/>
        <v>0.82482352941176462</v>
      </c>
      <c r="T48">
        <f t="shared" si="2"/>
        <v>3.6751764705882355</v>
      </c>
      <c r="U48" s="2">
        <f t="shared" si="6"/>
        <v>49.976470588235294</v>
      </c>
      <c r="W48">
        <v>1253.2</v>
      </c>
      <c r="X48">
        <f t="shared" si="7"/>
        <v>14249.900000000003</v>
      </c>
      <c r="Y48">
        <f t="shared" si="8"/>
        <v>14249.900000000003</v>
      </c>
      <c r="Z48">
        <v>12.325662027424119</v>
      </c>
    </row>
    <row r="49" spans="1:26" x14ac:dyDescent="0.35">
      <c r="A49">
        <v>5160</v>
      </c>
      <c r="B49">
        <v>23050</v>
      </c>
      <c r="C49" s="1">
        <v>42994</v>
      </c>
      <c r="F49" s="54"/>
      <c r="G49">
        <v>11.7</v>
      </c>
      <c r="H49">
        <v>8.6</v>
      </c>
      <c r="I49">
        <v>14.3</v>
      </c>
      <c r="J49">
        <f t="shared" si="4"/>
        <v>260.7</v>
      </c>
      <c r="K49">
        <f t="shared" si="5"/>
        <v>260.7</v>
      </c>
      <c r="M49">
        <v>1.1000000000000001</v>
      </c>
      <c r="N49">
        <v>1.2</v>
      </c>
      <c r="O49">
        <f t="shared" si="0"/>
        <v>-9.9999999999999867E-2</v>
      </c>
      <c r="Q49">
        <v>17</v>
      </c>
      <c r="R49">
        <f t="shared" si="9"/>
        <v>0.44176470588235295</v>
      </c>
      <c r="S49">
        <f t="shared" si="1"/>
        <v>0.53011764705882347</v>
      </c>
      <c r="T49">
        <f t="shared" si="2"/>
        <v>0.56988235294117662</v>
      </c>
      <c r="U49" s="2">
        <f t="shared" si="6"/>
        <v>50.546352941176472</v>
      </c>
      <c r="W49">
        <v>1037.4000000000001</v>
      </c>
      <c r="X49">
        <f t="shared" si="7"/>
        <v>15287.300000000003</v>
      </c>
      <c r="Y49">
        <f t="shared" si="8"/>
        <v>15287.300000000003</v>
      </c>
      <c r="Z49">
        <v>12.266511868702503</v>
      </c>
    </row>
    <row r="50" spans="1:26" x14ac:dyDescent="0.35">
      <c r="A50">
        <v>5160</v>
      </c>
      <c r="B50">
        <v>23050</v>
      </c>
      <c r="C50" s="1">
        <v>42995</v>
      </c>
      <c r="F50" s="54"/>
      <c r="G50">
        <v>10.199999999999999</v>
      </c>
      <c r="H50">
        <v>8.6999999999999993</v>
      </c>
      <c r="I50">
        <v>12.5</v>
      </c>
      <c r="J50">
        <f t="shared" si="4"/>
        <v>270.89999999999998</v>
      </c>
      <c r="K50">
        <f t="shared" si="5"/>
        <v>270.89999999999998</v>
      </c>
      <c r="M50">
        <v>2</v>
      </c>
      <c r="N50">
        <v>0.6</v>
      </c>
      <c r="O50">
        <f t="shared" si="0"/>
        <v>1.4</v>
      </c>
      <c r="Q50">
        <v>18</v>
      </c>
      <c r="R50">
        <f t="shared" si="9"/>
        <v>0.44941176470588234</v>
      </c>
      <c r="S50">
        <f t="shared" si="1"/>
        <v>0.26964705882352941</v>
      </c>
      <c r="T50">
        <f t="shared" si="2"/>
        <v>1.7303529411764706</v>
      </c>
      <c r="U50" s="2">
        <f t="shared" si="6"/>
        <v>52.276705882352942</v>
      </c>
      <c r="W50">
        <v>587</v>
      </c>
      <c r="X50">
        <f t="shared" si="7"/>
        <v>15874.300000000003</v>
      </c>
      <c r="Y50">
        <f t="shared" si="8"/>
        <v>15874.300000000003</v>
      </c>
      <c r="Z50">
        <v>12.207324975706985</v>
      </c>
    </row>
    <row r="51" spans="1:26" x14ac:dyDescent="0.35">
      <c r="A51">
        <v>5160</v>
      </c>
      <c r="B51">
        <v>23050</v>
      </c>
      <c r="C51" s="1">
        <v>42996</v>
      </c>
      <c r="F51" s="54"/>
      <c r="G51">
        <v>10</v>
      </c>
      <c r="H51">
        <v>5.2</v>
      </c>
      <c r="I51">
        <v>15.9</v>
      </c>
      <c r="J51">
        <f t="shared" si="4"/>
        <v>280.89999999999998</v>
      </c>
      <c r="K51">
        <f t="shared" si="5"/>
        <v>280.89999999999998</v>
      </c>
      <c r="M51">
        <v>2.5</v>
      </c>
      <c r="N51">
        <v>1.6</v>
      </c>
      <c r="O51">
        <f t="shared" si="0"/>
        <v>0.89999999999999991</v>
      </c>
      <c r="Q51">
        <v>19</v>
      </c>
      <c r="R51">
        <f t="shared" si="9"/>
        <v>0.45705882352941174</v>
      </c>
      <c r="S51">
        <f t="shared" si="1"/>
        <v>0.73129411764705887</v>
      </c>
      <c r="T51">
        <f t="shared" si="2"/>
        <v>1.7687058823529411</v>
      </c>
      <c r="U51" s="2">
        <f t="shared" si="6"/>
        <v>54.045411764705882</v>
      </c>
      <c r="W51">
        <v>1069.5</v>
      </c>
      <c r="X51">
        <f t="shared" si="7"/>
        <v>16943.800000000003</v>
      </c>
      <c r="Y51">
        <f t="shared" si="8"/>
        <v>16943.800000000003</v>
      </c>
      <c r="Z51">
        <v>12.148109581464766</v>
      </c>
    </row>
    <row r="52" spans="1:26" x14ac:dyDescent="0.35">
      <c r="A52">
        <v>5160</v>
      </c>
      <c r="B52">
        <v>23050</v>
      </c>
      <c r="C52" s="1">
        <v>42997</v>
      </c>
      <c r="F52" s="54"/>
      <c r="G52">
        <v>11.6</v>
      </c>
      <c r="H52">
        <v>8.6</v>
      </c>
      <c r="I52">
        <v>14.7</v>
      </c>
      <c r="J52">
        <f t="shared" si="4"/>
        <v>292.5</v>
      </c>
      <c r="K52">
        <f t="shared" si="5"/>
        <v>292.5</v>
      </c>
      <c r="M52">
        <v>0.5</v>
      </c>
      <c r="N52">
        <v>1.5</v>
      </c>
      <c r="O52">
        <f t="shared" si="0"/>
        <v>-1</v>
      </c>
      <c r="Q52">
        <v>20</v>
      </c>
      <c r="R52">
        <f t="shared" si="9"/>
        <v>0.46470588235294119</v>
      </c>
      <c r="S52">
        <f t="shared" si="1"/>
        <v>0.69705882352941173</v>
      </c>
      <c r="T52">
        <f t="shared" si="2"/>
        <v>-0.19705882352941173</v>
      </c>
      <c r="U52" s="2">
        <f t="shared" si="6"/>
        <v>53.848352941176472</v>
      </c>
      <c r="W52">
        <v>1112.5</v>
      </c>
      <c r="X52">
        <f t="shared" si="7"/>
        <v>18056.300000000003</v>
      </c>
      <c r="Y52">
        <f t="shared" si="8"/>
        <v>18056.300000000003</v>
      </c>
      <c r="Z52">
        <v>12.088873866629303</v>
      </c>
    </row>
    <row r="53" spans="1:26" x14ac:dyDescent="0.35">
      <c r="A53">
        <v>5160</v>
      </c>
      <c r="B53">
        <v>23050</v>
      </c>
      <c r="C53" s="1">
        <v>42998</v>
      </c>
      <c r="F53" s="54"/>
      <c r="G53">
        <v>12</v>
      </c>
      <c r="H53">
        <v>6.3</v>
      </c>
      <c r="I53">
        <v>18</v>
      </c>
      <c r="J53">
        <f t="shared" si="4"/>
        <v>304.5</v>
      </c>
      <c r="K53">
        <f t="shared" si="5"/>
        <v>304.5</v>
      </c>
      <c r="M53">
        <v>0.1</v>
      </c>
      <c r="N53">
        <v>2.1</v>
      </c>
      <c r="O53">
        <f t="shared" si="0"/>
        <v>-2</v>
      </c>
      <c r="Q53">
        <v>21</v>
      </c>
      <c r="R53">
        <f t="shared" si="9"/>
        <v>0.47235294117647059</v>
      </c>
      <c r="S53">
        <f t="shared" si="1"/>
        <v>0.99194117647058833</v>
      </c>
      <c r="T53">
        <f t="shared" si="2"/>
        <v>-0.89194117647058835</v>
      </c>
      <c r="U53" s="2">
        <f t="shared" si="6"/>
        <v>52.956411764705884</v>
      </c>
      <c r="W53">
        <v>1431.9</v>
      </c>
      <c r="X53">
        <f t="shared" si="7"/>
        <v>19488.200000000004</v>
      </c>
      <c r="Y53">
        <f t="shared" si="8"/>
        <v>19488.200000000004</v>
      </c>
      <c r="Z53">
        <v>12.02962597441897</v>
      </c>
    </row>
    <row r="54" spans="1:26" x14ac:dyDescent="0.35">
      <c r="A54">
        <v>5160</v>
      </c>
      <c r="B54">
        <v>23050</v>
      </c>
      <c r="C54" s="1">
        <v>42999</v>
      </c>
      <c r="F54" s="54"/>
      <c r="G54">
        <v>13.6</v>
      </c>
      <c r="H54">
        <v>7.6</v>
      </c>
      <c r="I54">
        <v>19.8</v>
      </c>
      <c r="J54">
        <f t="shared" si="4"/>
        <v>318.10000000000002</v>
      </c>
      <c r="K54">
        <f t="shared" si="5"/>
        <v>318.10000000000002</v>
      </c>
      <c r="M54">
        <v>0</v>
      </c>
      <c r="N54">
        <v>3</v>
      </c>
      <c r="O54">
        <f t="shared" si="0"/>
        <v>-3</v>
      </c>
      <c r="Q54">
        <v>22</v>
      </c>
      <c r="R54">
        <f t="shared" si="9"/>
        <v>0.48</v>
      </c>
      <c r="S54">
        <f t="shared" si="1"/>
        <v>1.44</v>
      </c>
      <c r="T54">
        <f t="shared" si="2"/>
        <v>-1.44</v>
      </c>
      <c r="U54" s="2">
        <f t="shared" si="6"/>
        <v>51.516411764705886</v>
      </c>
      <c r="W54">
        <v>1845.7</v>
      </c>
      <c r="X54">
        <f t="shared" si="7"/>
        <v>21333.900000000005</v>
      </c>
      <c r="Y54">
        <f t="shared" si="8"/>
        <v>21333.900000000005</v>
      </c>
      <c r="Z54">
        <v>11.97037402558103</v>
      </c>
    </row>
    <row r="55" spans="1:26" x14ac:dyDescent="0.35">
      <c r="A55">
        <v>5160</v>
      </c>
      <c r="B55">
        <v>23050</v>
      </c>
      <c r="C55" s="1">
        <v>43000</v>
      </c>
      <c r="F55" s="54"/>
      <c r="G55">
        <v>13.5</v>
      </c>
      <c r="H55">
        <v>10.8</v>
      </c>
      <c r="I55">
        <v>18.399999999999999</v>
      </c>
      <c r="J55">
        <f t="shared" si="4"/>
        <v>331.6</v>
      </c>
      <c r="K55">
        <f t="shared" si="5"/>
        <v>331.6</v>
      </c>
      <c r="M55">
        <v>0.1</v>
      </c>
      <c r="N55">
        <v>0.9</v>
      </c>
      <c r="O55">
        <f t="shared" si="0"/>
        <v>-0.8</v>
      </c>
      <c r="Q55">
        <v>23</v>
      </c>
      <c r="R55">
        <f t="shared" si="9"/>
        <v>0.48764705882352943</v>
      </c>
      <c r="S55">
        <f t="shared" si="1"/>
        <v>0.4388823529411765</v>
      </c>
      <c r="T55">
        <f t="shared" si="2"/>
        <v>-0.33888235294117652</v>
      </c>
      <c r="U55" s="2">
        <f t="shared" si="6"/>
        <v>51.177529411764709</v>
      </c>
      <c r="W55">
        <v>551.5</v>
      </c>
      <c r="X55">
        <f t="shared" si="7"/>
        <v>21885.400000000005</v>
      </c>
      <c r="Y55">
        <f t="shared" si="8"/>
        <v>21885.400000000005</v>
      </c>
      <c r="Z55">
        <v>11.911126133370697</v>
      </c>
    </row>
    <row r="56" spans="1:26" x14ac:dyDescent="0.35">
      <c r="A56">
        <v>5160</v>
      </c>
      <c r="B56">
        <v>23050</v>
      </c>
      <c r="C56" s="1">
        <v>43001</v>
      </c>
      <c r="F56" s="54"/>
      <c r="G56">
        <v>14.3</v>
      </c>
      <c r="H56">
        <v>7.8</v>
      </c>
      <c r="I56">
        <v>20.2</v>
      </c>
      <c r="J56">
        <f t="shared" si="4"/>
        <v>345.90000000000003</v>
      </c>
      <c r="K56">
        <f t="shared" si="5"/>
        <v>345.90000000000003</v>
      </c>
      <c r="M56">
        <v>0</v>
      </c>
      <c r="N56">
        <v>2.4</v>
      </c>
      <c r="O56">
        <f t="shared" si="0"/>
        <v>-2.4</v>
      </c>
      <c r="Q56">
        <v>24</v>
      </c>
      <c r="R56">
        <f t="shared" si="9"/>
        <v>0.49529411764705877</v>
      </c>
      <c r="S56">
        <f t="shared" si="1"/>
        <v>1.1887058823529411</v>
      </c>
      <c r="T56">
        <f t="shared" si="2"/>
        <v>-1.1887058823529411</v>
      </c>
      <c r="U56" s="2">
        <f t="shared" si="6"/>
        <v>49.988823529411768</v>
      </c>
      <c r="W56">
        <v>1610.9</v>
      </c>
      <c r="X56">
        <f t="shared" si="7"/>
        <v>23496.300000000007</v>
      </c>
      <c r="Y56">
        <f t="shared" si="8"/>
        <v>23496.300000000007</v>
      </c>
      <c r="Z56">
        <v>11.851890418535236</v>
      </c>
    </row>
    <row r="57" spans="1:26" x14ac:dyDescent="0.35">
      <c r="A57">
        <v>5160</v>
      </c>
      <c r="B57">
        <v>23050</v>
      </c>
      <c r="C57" s="1">
        <v>43002</v>
      </c>
      <c r="F57" s="54"/>
      <c r="G57">
        <v>17.399999999999999</v>
      </c>
      <c r="H57">
        <v>11.2</v>
      </c>
      <c r="I57">
        <v>23.9</v>
      </c>
      <c r="J57">
        <f t="shared" si="4"/>
        <v>363.3</v>
      </c>
      <c r="K57">
        <f t="shared" si="5"/>
        <v>363.3</v>
      </c>
      <c r="M57">
        <v>0</v>
      </c>
      <c r="N57">
        <v>2.5</v>
      </c>
      <c r="O57">
        <f t="shared" si="0"/>
        <v>-2.5</v>
      </c>
      <c r="Q57">
        <v>25</v>
      </c>
      <c r="R57">
        <f t="shared" si="9"/>
        <v>0.50294117647058822</v>
      </c>
      <c r="S57">
        <f t="shared" si="1"/>
        <v>1.2573529411764706</v>
      </c>
      <c r="T57">
        <f t="shared" si="2"/>
        <v>-1.2573529411764706</v>
      </c>
      <c r="U57" s="2">
        <f t="shared" si="6"/>
        <v>48.731470588235297</v>
      </c>
      <c r="W57">
        <v>1275.9000000000001</v>
      </c>
      <c r="X57">
        <f t="shared" si="7"/>
        <v>24772.200000000008</v>
      </c>
      <c r="Y57">
        <f t="shared" si="8"/>
        <v>24772.200000000008</v>
      </c>
      <c r="Z57">
        <v>11.792675024293013</v>
      </c>
    </row>
    <row r="58" spans="1:26" x14ac:dyDescent="0.35">
      <c r="A58">
        <v>5160</v>
      </c>
      <c r="B58">
        <v>23050</v>
      </c>
      <c r="C58" s="1">
        <v>43003</v>
      </c>
      <c r="F58" s="54"/>
      <c r="G58">
        <v>16.2</v>
      </c>
      <c r="H58">
        <v>14.3</v>
      </c>
      <c r="I58">
        <v>19.5</v>
      </c>
      <c r="J58">
        <f t="shared" si="4"/>
        <v>379.5</v>
      </c>
      <c r="K58">
        <f t="shared" si="5"/>
        <v>379.5</v>
      </c>
      <c r="M58">
        <v>0.6</v>
      </c>
      <c r="N58">
        <v>1.1000000000000001</v>
      </c>
      <c r="O58">
        <f t="shared" si="0"/>
        <v>-0.50000000000000011</v>
      </c>
      <c r="Q58">
        <v>26</v>
      </c>
      <c r="R58">
        <f t="shared" si="9"/>
        <v>0.51058823529411768</v>
      </c>
      <c r="S58">
        <f t="shared" si="1"/>
        <v>0.5616470588235295</v>
      </c>
      <c r="T58">
        <f t="shared" si="2"/>
        <v>3.8352941176470479E-2</v>
      </c>
      <c r="U58" s="2">
        <f t="shared" si="6"/>
        <v>48.769823529411767</v>
      </c>
      <c r="W58">
        <v>712.6</v>
      </c>
      <c r="X58">
        <f t="shared" si="7"/>
        <v>25484.800000000007</v>
      </c>
      <c r="Y58">
        <f t="shared" si="8"/>
        <v>25484.800000000007</v>
      </c>
      <c r="Z58">
        <v>11.733488131297495</v>
      </c>
    </row>
    <row r="59" spans="1:26" x14ac:dyDescent="0.35">
      <c r="A59">
        <v>5160</v>
      </c>
      <c r="B59">
        <v>23050</v>
      </c>
      <c r="C59" s="1">
        <v>43004</v>
      </c>
      <c r="F59" s="54"/>
      <c r="G59">
        <v>15.3</v>
      </c>
      <c r="H59">
        <v>12.5</v>
      </c>
      <c r="I59">
        <v>18</v>
      </c>
      <c r="J59">
        <f t="shared" si="4"/>
        <v>394.8</v>
      </c>
      <c r="K59">
        <f t="shared" si="5"/>
        <v>394.8</v>
      </c>
      <c r="M59">
        <v>0.2</v>
      </c>
      <c r="N59">
        <v>1</v>
      </c>
      <c r="O59">
        <f t="shared" si="0"/>
        <v>-0.8</v>
      </c>
      <c r="Q59">
        <v>27</v>
      </c>
      <c r="R59">
        <f t="shared" si="9"/>
        <v>0.51823529411764713</v>
      </c>
      <c r="S59">
        <f t="shared" si="1"/>
        <v>0.51823529411764713</v>
      </c>
      <c r="T59">
        <f t="shared" si="2"/>
        <v>-0.31823529411764712</v>
      </c>
      <c r="U59" s="2">
        <f t="shared" si="6"/>
        <v>48.451588235294118</v>
      </c>
      <c r="W59">
        <v>709.3</v>
      </c>
      <c r="X59">
        <f t="shared" si="7"/>
        <v>26194.100000000006</v>
      </c>
      <c r="Y59">
        <f t="shared" si="8"/>
        <v>26194.100000000006</v>
      </c>
      <c r="Z59">
        <v>11.674337972575879</v>
      </c>
    </row>
    <row r="60" spans="1:26" x14ac:dyDescent="0.35">
      <c r="A60">
        <v>5160</v>
      </c>
      <c r="B60">
        <v>23050</v>
      </c>
      <c r="C60" s="1">
        <v>43005</v>
      </c>
      <c r="F60" s="54"/>
      <c r="G60">
        <v>15.7</v>
      </c>
      <c r="H60">
        <v>10.1</v>
      </c>
      <c r="I60">
        <v>21.2</v>
      </c>
      <c r="J60">
        <f t="shared" si="4"/>
        <v>410.5</v>
      </c>
      <c r="K60">
        <f t="shared" si="5"/>
        <v>410.5</v>
      </c>
      <c r="M60">
        <v>1.1000000000000001</v>
      </c>
      <c r="N60">
        <v>1.7</v>
      </c>
      <c r="O60">
        <f t="shared" si="0"/>
        <v>-0.59999999999999987</v>
      </c>
      <c r="Q60">
        <v>28</v>
      </c>
      <c r="R60">
        <f t="shared" si="9"/>
        <v>0.52588235294117647</v>
      </c>
      <c r="S60">
        <f t="shared" si="1"/>
        <v>0.89400000000000002</v>
      </c>
      <c r="T60">
        <f t="shared" si="2"/>
        <v>0.20600000000000007</v>
      </c>
      <c r="U60" s="2">
        <f t="shared" si="6"/>
        <v>48.657588235294121</v>
      </c>
      <c r="W60">
        <v>1045.2</v>
      </c>
      <c r="X60">
        <f t="shared" si="7"/>
        <v>27239.300000000007</v>
      </c>
      <c r="Y60">
        <f t="shared" si="8"/>
        <v>27239.300000000007</v>
      </c>
      <c r="Z60">
        <v>11.615232848431875</v>
      </c>
    </row>
    <row r="61" spans="1:26" x14ac:dyDescent="0.35">
      <c r="A61">
        <v>5160</v>
      </c>
      <c r="B61">
        <v>23050</v>
      </c>
      <c r="C61" s="1">
        <v>43006</v>
      </c>
      <c r="F61" s="54"/>
      <c r="G61">
        <v>17.600000000000001</v>
      </c>
      <c r="H61">
        <v>14.3</v>
      </c>
      <c r="I61">
        <v>21.8</v>
      </c>
      <c r="J61">
        <f t="shared" si="4"/>
        <v>428.1</v>
      </c>
      <c r="K61">
        <f t="shared" si="5"/>
        <v>428.1</v>
      </c>
      <c r="M61">
        <v>0</v>
      </c>
      <c r="N61">
        <v>1.1000000000000001</v>
      </c>
      <c r="O61">
        <f t="shared" si="0"/>
        <v>-1.1000000000000001</v>
      </c>
      <c r="Q61">
        <v>29</v>
      </c>
      <c r="R61">
        <f t="shared" si="9"/>
        <v>0.53352941176470581</v>
      </c>
      <c r="S61">
        <f t="shared" si="1"/>
        <v>0.58688235294117641</v>
      </c>
      <c r="T61">
        <f t="shared" si="2"/>
        <v>-0.58688235294117641</v>
      </c>
      <c r="U61" s="2">
        <f t="shared" si="6"/>
        <v>48.070705882352947</v>
      </c>
      <c r="W61">
        <v>700.6</v>
      </c>
      <c r="X61">
        <f t="shared" si="7"/>
        <v>27939.900000000005</v>
      </c>
      <c r="Y61">
        <f t="shared" si="8"/>
        <v>27939.900000000005</v>
      </c>
      <c r="Z61">
        <v>11.556181141301696</v>
      </c>
    </row>
    <row r="62" spans="1:26" x14ac:dyDescent="0.35">
      <c r="A62">
        <v>5160</v>
      </c>
      <c r="B62">
        <v>23050</v>
      </c>
      <c r="C62" s="1">
        <v>43007</v>
      </c>
      <c r="F62" s="54"/>
      <c r="G62">
        <v>19</v>
      </c>
      <c r="H62">
        <v>14.6</v>
      </c>
      <c r="I62">
        <v>24.6</v>
      </c>
      <c r="J62">
        <f t="shared" si="4"/>
        <v>447.1</v>
      </c>
      <c r="K62">
        <f t="shared" si="5"/>
        <v>447.1</v>
      </c>
      <c r="M62">
        <v>4.3</v>
      </c>
      <c r="N62">
        <v>2.8</v>
      </c>
      <c r="O62">
        <f t="shared" si="0"/>
        <v>1.5</v>
      </c>
      <c r="Q62">
        <v>30</v>
      </c>
      <c r="R62">
        <f t="shared" si="9"/>
        <v>0.54117647058823526</v>
      </c>
      <c r="S62">
        <f t="shared" si="1"/>
        <v>1.5152941176470587</v>
      </c>
      <c r="T62">
        <f t="shared" si="2"/>
        <v>2.7847058823529411</v>
      </c>
      <c r="U62" s="2">
        <f t="shared" si="6"/>
        <v>50.855411764705885</v>
      </c>
      <c r="W62">
        <v>1348.1</v>
      </c>
      <c r="X62">
        <f t="shared" si="7"/>
        <v>29288.000000000004</v>
      </c>
      <c r="Y62">
        <f t="shared" si="8"/>
        <v>29288.000000000004</v>
      </c>
      <c r="Z62">
        <v>11.497191330551889</v>
      </c>
    </row>
    <row r="63" spans="1:26" x14ac:dyDescent="0.35">
      <c r="A63">
        <v>5160</v>
      </c>
      <c r="B63">
        <v>23050</v>
      </c>
      <c r="C63" s="1">
        <v>43008</v>
      </c>
      <c r="F63" s="54"/>
      <c r="G63">
        <v>14.9</v>
      </c>
      <c r="H63">
        <v>13</v>
      </c>
      <c r="I63">
        <v>17.5</v>
      </c>
      <c r="J63">
        <f t="shared" si="4"/>
        <v>462</v>
      </c>
      <c r="K63">
        <f t="shared" si="5"/>
        <v>462</v>
      </c>
      <c r="M63">
        <v>0.7</v>
      </c>
      <c r="N63">
        <v>1.9</v>
      </c>
      <c r="O63">
        <f t="shared" si="0"/>
        <v>-1.2</v>
      </c>
      <c r="Q63">
        <v>31</v>
      </c>
      <c r="R63">
        <f t="shared" si="9"/>
        <v>0.54882352941176471</v>
      </c>
      <c r="S63">
        <f t="shared" si="1"/>
        <v>1.0427647058823528</v>
      </c>
      <c r="T63">
        <f t="shared" si="2"/>
        <v>-0.34276470588235286</v>
      </c>
      <c r="U63" s="2">
        <f t="shared" si="6"/>
        <v>50.512647058823532</v>
      </c>
      <c r="W63">
        <v>852.1</v>
      </c>
      <c r="X63">
        <f t="shared" si="7"/>
        <v>30140.100000000002</v>
      </c>
      <c r="Y63">
        <f t="shared" si="8"/>
        <v>30140.100000000002</v>
      </c>
      <c r="Z63">
        <v>11.438272007206884</v>
      </c>
    </row>
    <row r="64" spans="1:26" x14ac:dyDescent="0.35">
      <c r="A64">
        <v>5160</v>
      </c>
      <c r="B64">
        <v>23050</v>
      </c>
      <c r="C64" s="1">
        <v>43009</v>
      </c>
      <c r="F64" s="54"/>
      <c r="G64">
        <v>14.4</v>
      </c>
      <c r="H64">
        <v>12.7</v>
      </c>
      <c r="I64">
        <v>15.9</v>
      </c>
      <c r="J64">
        <f t="shared" si="4"/>
        <v>476.4</v>
      </c>
      <c r="K64">
        <f t="shared" si="5"/>
        <v>476.4</v>
      </c>
      <c r="M64">
        <v>2.2999999999999998</v>
      </c>
      <c r="N64">
        <v>0.7</v>
      </c>
      <c r="O64">
        <f t="shared" si="0"/>
        <v>1.5999999999999999</v>
      </c>
      <c r="Q64">
        <v>32</v>
      </c>
      <c r="R64">
        <f t="shared" si="9"/>
        <v>0.55647058823529405</v>
      </c>
      <c r="S64">
        <f t="shared" si="1"/>
        <v>0.38952941176470579</v>
      </c>
      <c r="T64">
        <f t="shared" si="2"/>
        <v>1.9104705882352939</v>
      </c>
      <c r="U64" s="2">
        <f t="shared" si="6"/>
        <v>52.423117647058824</v>
      </c>
      <c r="W64">
        <v>414.9</v>
      </c>
      <c r="X64">
        <f t="shared" si="7"/>
        <v>30555.000000000004</v>
      </c>
      <c r="Y64">
        <f t="shared" si="8"/>
        <v>30555.000000000004</v>
      </c>
      <c r="Z64">
        <v>11.379431888593611</v>
      </c>
    </row>
    <row r="65" spans="1:26" x14ac:dyDescent="0.35">
      <c r="A65">
        <v>5160</v>
      </c>
      <c r="B65">
        <v>23050</v>
      </c>
      <c r="C65" s="1">
        <v>43010</v>
      </c>
      <c r="F65" s="54"/>
      <c r="G65">
        <v>17.5</v>
      </c>
      <c r="H65">
        <v>15.1</v>
      </c>
      <c r="I65">
        <v>19.5</v>
      </c>
      <c r="J65">
        <f t="shared" si="4"/>
        <v>493.9</v>
      </c>
      <c r="K65">
        <f t="shared" si="5"/>
        <v>493.9</v>
      </c>
      <c r="M65">
        <v>2.8</v>
      </c>
      <c r="N65">
        <v>1.1000000000000001</v>
      </c>
      <c r="O65">
        <f t="shared" si="0"/>
        <v>1.6999999999999997</v>
      </c>
      <c r="Q65">
        <v>33</v>
      </c>
      <c r="R65">
        <f t="shared" si="9"/>
        <v>0.5641176470588235</v>
      </c>
      <c r="S65">
        <f t="shared" si="1"/>
        <v>0.62052941176470588</v>
      </c>
      <c r="T65">
        <f t="shared" si="2"/>
        <v>2.179470588235294</v>
      </c>
      <c r="U65" s="2">
        <f t="shared" si="6"/>
        <v>54.602588235294121</v>
      </c>
      <c r="W65">
        <v>717.8</v>
      </c>
      <c r="X65">
        <f t="shared" si="7"/>
        <v>31272.800000000003</v>
      </c>
      <c r="Y65">
        <f t="shared" si="8"/>
        <v>31272.800000000003</v>
      </c>
      <c r="Z65">
        <v>11.32067983288956</v>
      </c>
    </row>
    <row r="66" spans="1:26" x14ac:dyDescent="0.35">
      <c r="A66">
        <v>5160</v>
      </c>
      <c r="B66">
        <v>23050</v>
      </c>
      <c r="C66" s="1">
        <v>43011</v>
      </c>
      <c r="F66" s="54"/>
      <c r="G66">
        <v>13.8</v>
      </c>
      <c r="H66">
        <v>12.8</v>
      </c>
      <c r="I66">
        <v>17.600000000000001</v>
      </c>
      <c r="J66">
        <f t="shared" si="4"/>
        <v>507.7</v>
      </c>
      <c r="K66">
        <f t="shared" si="5"/>
        <v>507.7</v>
      </c>
      <c r="M66">
        <v>0</v>
      </c>
      <c r="N66">
        <v>2</v>
      </c>
      <c r="O66">
        <f t="shared" si="0"/>
        <v>-2</v>
      </c>
      <c r="Q66">
        <v>34</v>
      </c>
      <c r="R66">
        <f t="shared" si="9"/>
        <v>0.57176470588235295</v>
      </c>
      <c r="S66">
        <f t="shared" si="1"/>
        <v>1.1435294117647059</v>
      </c>
      <c r="T66">
        <f t="shared" si="2"/>
        <v>-1.1435294117647059</v>
      </c>
      <c r="U66" s="2">
        <f t="shared" si="6"/>
        <v>53.459058823529418</v>
      </c>
      <c r="W66">
        <v>890.7</v>
      </c>
      <c r="X66">
        <f t="shared" si="7"/>
        <v>32163.500000000004</v>
      </c>
      <c r="Y66">
        <f t="shared" si="8"/>
        <v>32163.500000000004</v>
      </c>
      <c r="Z66">
        <v>11.2620248535597</v>
      </c>
    </row>
    <row r="67" spans="1:26" x14ac:dyDescent="0.35">
      <c r="A67">
        <v>5160</v>
      </c>
      <c r="B67">
        <v>23050</v>
      </c>
      <c r="C67" s="1">
        <v>43012</v>
      </c>
      <c r="F67" s="54"/>
      <c r="G67">
        <v>11.3</v>
      </c>
      <c r="H67">
        <v>5.8</v>
      </c>
      <c r="I67">
        <v>17.7</v>
      </c>
      <c r="J67">
        <f t="shared" si="4"/>
        <v>519</v>
      </c>
      <c r="K67">
        <f t="shared" si="5"/>
        <v>519</v>
      </c>
      <c r="M67">
        <v>0.1</v>
      </c>
      <c r="N67">
        <v>2.2999999999999998</v>
      </c>
      <c r="O67">
        <f t="shared" si="0"/>
        <v>-2.1999999999999997</v>
      </c>
      <c r="Q67">
        <v>35</v>
      </c>
      <c r="R67">
        <f t="shared" si="9"/>
        <v>0.57941176470588229</v>
      </c>
      <c r="S67">
        <f t="shared" si="1"/>
        <v>1.3326470588235291</v>
      </c>
      <c r="T67">
        <f t="shared" si="2"/>
        <v>-1.232647058823529</v>
      </c>
      <c r="U67" s="2">
        <f t="shared" si="6"/>
        <v>52.226411764705887</v>
      </c>
      <c r="W67">
        <v>1372.2</v>
      </c>
      <c r="X67">
        <f t="shared" si="7"/>
        <v>33535.700000000004</v>
      </c>
      <c r="Y67">
        <f t="shared" si="8"/>
        <v>33535.700000000004</v>
      </c>
      <c r="Z67">
        <v>11.203476133666761</v>
      </c>
    </row>
    <row r="68" spans="1:26" x14ac:dyDescent="0.35">
      <c r="A68">
        <v>5160</v>
      </c>
      <c r="B68">
        <v>23050</v>
      </c>
      <c r="C68" s="1">
        <v>43013</v>
      </c>
      <c r="F68" s="54"/>
      <c r="G68">
        <v>11.1</v>
      </c>
      <c r="H68">
        <v>6.4</v>
      </c>
      <c r="I68">
        <v>16.399999999999999</v>
      </c>
      <c r="J68">
        <f t="shared" si="4"/>
        <v>530.1</v>
      </c>
      <c r="K68">
        <f t="shared" si="5"/>
        <v>530.1</v>
      </c>
      <c r="M68">
        <v>0.5</v>
      </c>
      <c r="N68">
        <v>1.1000000000000001</v>
      </c>
      <c r="O68">
        <f t="shared" si="0"/>
        <v>-0.60000000000000009</v>
      </c>
      <c r="Q68">
        <v>36</v>
      </c>
      <c r="R68">
        <f t="shared" si="9"/>
        <v>0.58705882352941174</v>
      </c>
      <c r="S68">
        <f t="shared" si="1"/>
        <v>0.64576470588235302</v>
      </c>
      <c r="T68">
        <f t="shared" si="2"/>
        <v>-0.14576470588235302</v>
      </c>
      <c r="U68" s="2">
        <f t="shared" si="6"/>
        <v>52.080647058823537</v>
      </c>
      <c r="W68">
        <v>597.79999999999995</v>
      </c>
      <c r="X68">
        <f t="shared" si="7"/>
        <v>34133.500000000007</v>
      </c>
      <c r="Y68">
        <f t="shared" si="8"/>
        <v>34133.500000000007</v>
      </c>
      <c r="Z68">
        <v>11.145043040038079</v>
      </c>
    </row>
    <row r="69" spans="1:26" x14ac:dyDescent="0.35">
      <c r="A69">
        <v>5160</v>
      </c>
      <c r="B69">
        <v>23050</v>
      </c>
      <c r="C69" s="1">
        <v>43014</v>
      </c>
      <c r="F69" s="54"/>
      <c r="G69">
        <v>10</v>
      </c>
      <c r="H69">
        <v>7.3</v>
      </c>
      <c r="I69">
        <v>14.6</v>
      </c>
      <c r="J69">
        <f t="shared" si="4"/>
        <v>540.1</v>
      </c>
      <c r="K69">
        <f t="shared" si="5"/>
        <v>540.1</v>
      </c>
      <c r="M69">
        <v>0</v>
      </c>
      <c r="N69">
        <v>1.3</v>
      </c>
      <c r="O69">
        <f t="shared" ref="O69:O132" si="10">M69-N69</f>
        <v>-1.3</v>
      </c>
      <c r="Q69">
        <v>37</v>
      </c>
      <c r="R69">
        <f t="shared" si="9"/>
        <v>0.5947058823529412</v>
      </c>
      <c r="S69">
        <f t="shared" ref="S69:S132" si="11">R69*N69</f>
        <v>0.77311764705882358</v>
      </c>
      <c r="T69">
        <f t="shared" ref="T69:T132" si="12">M69-S69</f>
        <v>-0.77311764705882358</v>
      </c>
      <c r="U69" s="2">
        <f t="shared" si="6"/>
        <v>51.307529411764712</v>
      </c>
      <c r="W69">
        <v>729.8</v>
      </c>
      <c r="X69">
        <f t="shared" si="7"/>
        <v>34863.30000000001</v>
      </c>
      <c r="Y69">
        <f t="shared" si="8"/>
        <v>34863.30000000001</v>
      </c>
      <c r="Z69">
        <v>11.086735137270988</v>
      </c>
    </row>
    <row r="70" spans="1:26" x14ac:dyDescent="0.35">
      <c r="A70">
        <v>5160</v>
      </c>
      <c r="B70">
        <v>23050</v>
      </c>
      <c r="C70" s="1">
        <v>43015</v>
      </c>
      <c r="F70" s="54"/>
      <c r="G70">
        <v>10.6</v>
      </c>
      <c r="H70">
        <v>2.7</v>
      </c>
      <c r="I70">
        <v>15.8</v>
      </c>
      <c r="J70">
        <f t="shared" si="4"/>
        <v>550.70000000000005</v>
      </c>
      <c r="K70">
        <f t="shared" si="5"/>
        <v>550.70000000000005</v>
      </c>
      <c r="M70">
        <v>1.9</v>
      </c>
      <c r="N70">
        <v>1.8</v>
      </c>
      <c r="O70">
        <f t="shared" si="10"/>
        <v>9.9999999999999867E-2</v>
      </c>
      <c r="Q70">
        <v>38</v>
      </c>
      <c r="R70">
        <f t="shared" si="9"/>
        <v>0.60235294117647054</v>
      </c>
      <c r="S70">
        <f t="shared" si="11"/>
        <v>1.084235294117647</v>
      </c>
      <c r="T70">
        <f t="shared" si="12"/>
        <v>0.81576470588235295</v>
      </c>
      <c r="U70" s="2">
        <f t="shared" si="6"/>
        <v>52.123294117647063</v>
      </c>
      <c r="W70">
        <v>1385.2</v>
      </c>
      <c r="X70">
        <f t="shared" si="7"/>
        <v>36248.500000000007</v>
      </c>
      <c r="Y70">
        <f t="shared" si="8"/>
        <v>36248.500000000007</v>
      </c>
      <c r="Z70">
        <v>11.028562201557394</v>
      </c>
    </row>
    <row r="71" spans="1:26" x14ac:dyDescent="0.35">
      <c r="A71">
        <v>5160</v>
      </c>
      <c r="B71">
        <v>23050</v>
      </c>
      <c r="C71" s="1">
        <v>43016</v>
      </c>
      <c r="F71" s="54"/>
      <c r="G71">
        <v>13.6</v>
      </c>
      <c r="H71">
        <v>12.2</v>
      </c>
      <c r="I71">
        <v>16.600000000000001</v>
      </c>
      <c r="J71">
        <f t="shared" si="4"/>
        <v>564.30000000000007</v>
      </c>
      <c r="K71">
        <f t="shared" si="5"/>
        <v>564.30000000000007</v>
      </c>
      <c r="M71">
        <v>0.1</v>
      </c>
      <c r="N71">
        <v>1</v>
      </c>
      <c r="O71">
        <f t="shared" si="10"/>
        <v>-0.9</v>
      </c>
      <c r="Q71">
        <v>39</v>
      </c>
      <c r="R71">
        <f t="shared" si="9"/>
        <v>0.61</v>
      </c>
      <c r="S71">
        <f t="shared" si="11"/>
        <v>0.61</v>
      </c>
      <c r="T71">
        <f t="shared" si="12"/>
        <v>-0.51</v>
      </c>
      <c r="U71" s="2">
        <f t="shared" si="6"/>
        <v>51.613294117647065</v>
      </c>
      <c r="W71">
        <v>395.9</v>
      </c>
      <c r="X71">
        <f t="shared" si="7"/>
        <v>36644.400000000009</v>
      </c>
      <c r="Y71">
        <f t="shared" si="8"/>
        <v>36644.400000000009</v>
      </c>
      <c r="Z71">
        <v>10.970534234306607</v>
      </c>
    </row>
    <row r="72" spans="1:26" x14ac:dyDescent="0.35">
      <c r="A72">
        <v>5160</v>
      </c>
      <c r="B72">
        <v>23050</v>
      </c>
      <c r="C72" s="1">
        <v>43017</v>
      </c>
      <c r="F72" s="54"/>
      <c r="G72">
        <v>12.8</v>
      </c>
      <c r="H72">
        <v>8.5</v>
      </c>
      <c r="I72">
        <v>17.5</v>
      </c>
      <c r="J72">
        <f t="shared" si="4"/>
        <v>577.1</v>
      </c>
      <c r="K72">
        <f t="shared" si="5"/>
        <v>577.1</v>
      </c>
      <c r="M72">
        <v>0</v>
      </c>
      <c r="N72">
        <v>0.6</v>
      </c>
      <c r="O72">
        <f t="shared" si="10"/>
        <v>-0.6</v>
      </c>
      <c r="Q72">
        <v>40</v>
      </c>
      <c r="R72">
        <f t="shared" si="9"/>
        <v>0.61764705882352944</v>
      </c>
      <c r="S72">
        <f t="shared" si="11"/>
        <v>0.37058823529411766</v>
      </c>
      <c r="T72">
        <f t="shared" si="12"/>
        <v>-0.37058823529411766</v>
      </c>
      <c r="U72" s="2">
        <f t="shared" si="6"/>
        <v>51.242705882352951</v>
      </c>
      <c r="W72">
        <v>367.1</v>
      </c>
      <c r="X72">
        <f t="shared" si="7"/>
        <v>37011.500000000007</v>
      </c>
      <c r="Y72">
        <f t="shared" si="8"/>
        <v>37011.500000000007</v>
      </c>
      <c r="Z72">
        <v>10.91266147554402</v>
      </c>
    </row>
    <row r="73" spans="1:26" x14ac:dyDescent="0.35">
      <c r="A73">
        <v>5160</v>
      </c>
      <c r="B73">
        <v>23050</v>
      </c>
      <c r="C73" s="1">
        <v>43018</v>
      </c>
      <c r="F73" s="54"/>
      <c r="G73">
        <v>14.7</v>
      </c>
      <c r="H73">
        <v>12.9</v>
      </c>
      <c r="I73">
        <v>16.399999999999999</v>
      </c>
      <c r="J73">
        <f t="shared" si="4"/>
        <v>591.80000000000007</v>
      </c>
      <c r="K73">
        <f t="shared" si="5"/>
        <v>591.80000000000007</v>
      </c>
      <c r="M73">
        <v>0</v>
      </c>
      <c r="N73">
        <v>0.8</v>
      </c>
      <c r="O73">
        <f t="shared" si="10"/>
        <v>-0.8</v>
      </c>
      <c r="Q73">
        <v>41</v>
      </c>
      <c r="R73">
        <f t="shared" si="9"/>
        <v>0.62529411764705878</v>
      </c>
      <c r="S73">
        <f t="shared" si="11"/>
        <v>0.500235294117647</v>
      </c>
      <c r="T73">
        <f t="shared" si="12"/>
        <v>-0.500235294117647</v>
      </c>
      <c r="U73" s="2">
        <f t="shared" si="6"/>
        <v>50.742470588235307</v>
      </c>
      <c r="W73">
        <v>528.6</v>
      </c>
      <c r="X73">
        <f t="shared" si="7"/>
        <v>37540.100000000006</v>
      </c>
      <c r="Y73">
        <f t="shared" si="8"/>
        <v>37540.100000000006</v>
      </c>
      <c r="Z73">
        <v>10.85495441706149</v>
      </c>
    </row>
    <row r="74" spans="1:26" x14ac:dyDescent="0.35">
      <c r="A74">
        <v>5160</v>
      </c>
      <c r="B74">
        <v>23050</v>
      </c>
      <c r="C74" s="1">
        <v>43019</v>
      </c>
      <c r="F74" s="54"/>
      <c r="G74">
        <v>15.7</v>
      </c>
      <c r="H74">
        <v>12.6</v>
      </c>
      <c r="I74">
        <v>19.600000000000001</v>
      </c>
      <c r="J74">
        <f t="shared" si="4"/>
        <v>607.50000000000011</v>
      </c>
      <c r="K74">
        <f t="shared" si="5"/>
        <v>607.50000000000011</v>
      </c>
      <c r="M74">
        <v>0</v>
      </c>
      <c r="N74">
        <v>1.4</v>
      </c>
      <c r="O74">
        <f t="shared" si="10"/>
        <v>-1.4</v>
      </c>
      <c r="Q74">
        <v>42</v>
      </c>
      <c r="R74">
        <f t="shared" si="9"/>
        <v>0.63294117647058823</v>
      </c>
      <c r="S74">
        <f t="shared" si="11"/>
        <v>0.88611764705882345</v>
      </c>
      <c r="T74">
        <f t="shared" si="12"/>
        <v>-0.88611764705882345</v>
      </c>
      <c r="U74" s="2">
        <f t="shared" si="6"/>
        <v>49.856352941176482</v>
      </c>
      <c r="W74">
        <v>605.70000000000005</v>
      </c>
      <c r="X74">
        <f t="shared" si="7"/>
        <v>38145.800000000003</v>
      </c>
      <c r="Y74">
        <f t="shared" si="8"/>
        <v>38145.800000000003</v>
      </c>
      <c r="Z74">
        <v>10.797423815293467</v>
      </c>
    </row>
    <row r="75" spans="1:26" x14ac:dyDescent="0.35">
      <c r="A75">
        <v>5160</v>
      </c>
      <c r="B75">
        <v>23050</v>
      </c>
      <c r="C75" s="1">
        <v>43020</v>
      </c>
      <c r="F75" s="54"/>
      <c r="G75">
        <v>16.600000000000001</v>
      </c>
      <c r="H75">
        <v>14.4</v>
      </c>
      <c r="I75">
        <v>20.100000000000001</v>
      </c>
      <c r="J75">
        <f t="shared" si="4"/>
        <v>624.10000000000014</v>
      </c>
      <c r="K75">
        <f t="shared" si="5"/>
        <v>624.10000000000014</v>
      </c>
      <c r="M75">
        <v>0.1</v>
      </c>
      <c r="N75">
        <v>1.3</v>
      </c>
      <c r="O75">
        <f t="shared" si="10"/>
        <v>-1.2</v>
      </c>
      <c r="Q75">
        <v>43</v>
      </c>
      <c r="R75">
        <f t="shared" si="9"/>
        <v>0.64058823529411768</v>
      </c>
      <c r="S75">
        <f t="shared" si="11"/>
        <v>0.83276470588235296</v>
      </c>
      <c r="T75">
        <f t="shared" si="12"/>
        <v>-0.73276470588235298</v>
      </c>
      <c r="U75" s="2">
        <f t="shared" si="6"/>
        <v>49.123588235294129</v>
      </c>
      <c r="W75">
        <v>276.8</v>
      </c>
      <c r="X75">
        <f t="shared" si="7"/>
        <v>38422.600000000006</v>
      </c>
      <c r="Y75">
        <f t="shared" si="8"/>
        <v>38422.600000000006</v>
      </c>
      <c r="Z75">
        <v>10.74008070389111</v>
      </c>
    </row>
    <row r="76" spans="1:26" x14ac:dyDescent="0.35">
      <c r="A76">
        <v>5160</v>
      </c>
      <c r="B76">
        <v>23050</v>
      </c>
      <c r="C76" s="1">
        <v>43021</v>
      </c>
      <c r="F76" s="54"/>
      <c r="G76">
        <v>15.4</v>
      </c>
      <c r="H76">
        <v>10.3</v>
      </c>
      <c r="I76">
        <v>21.2</v>
      </c>
      <c r="J76">
        <f t="shared" si="4"/>
        <v>639.50000000000011</v>
      </c>
      <c r="K76">
        <f t="shared" si="5"/>
        <v>639.50000000000011</v>
      </c>
      <c r="M76">
        <v>0.1</v>
      </c>
      <c r="N76">
        <v>1.5</v>
      </c>
      <c r="O76">
        <f t="shared" si="10"/>
        <v>-1.4</v>
      </c>
      <c r="Q76">
        <v>44</v>
      </c>
      <c r="R76">
        <f t="shared" si="9"/>
        <v>0.64823529411764702</v>
      </c>
      <c r="S76">
        <f t="shared" si="11"/>
        <v>0.97235294117647053</v>
      </c>
      <c r="T76">
        <f t="shared" si="12"/>
        <v>-0.87235294117647055</v>
      </c>
      <c r="U76" s="2">
        <f t="shared" si="6"/>
        <v>48.251235294117656</v>
      </c>
      <c r="W76">
        <v>828.6</v>
      </c>
      <c r="X76">
        <f t="shared" si="7"/>
        <v>39251.200000000004</v>
      </c>
      <c r="Y76">
        <f t="shared" si="8"/>
        <v>39251.200000000004</v>
      </c>
      <c r="Z76">
        <v>10.682936405964647</v>
      </c>
    </row>
    <row r="77" spans="1:26" x14ac:dyDescent="0.35">
      <c r="A77">
        <v>5160</v>
      </c>
      <c r="B77">
        <v>23050</v>
      </c>
      <c r="C77" s="1">
        <v>43022</v>
      </c>
      <c r="F77" s="54"/>
      <c r="G77">
        <v>14.7</v>
      </c>
      <c r="H77">
        <v>7.8</v>
      </c>
      <c r="I77">
        <v>21.9</v>
      </c>
      <c r="J77">
        <f t="shared" si="4"/>
        <v>654.20000000000016</v>
      </c>
      <c r="K77">
        <f t="shared" si="5"/>
        <v>654.20000000000016</v>
      </c>
      <c r="M77">
        <v>0.1</v>
      </c>
      <c r="N77">
        <v>2.5</v>
      </c>
      <c r="O77">
        <f t="shared" si="10"/>
        <v>-2.4</v>
      </c>
      <c r="Q77">
        <v>45</v>
      </c>
      <c r="R77">
        <f t="shared" si="9"/>
        <v>0.65588235294117647</v>
      </c>
      <c r="S77">
        <f t="shared" si="11"/>
        <v>1.6397058823529411</v>
      </c>
      <c r="T77">
        <f t="shared" si="12"/>
        <v>-1.539705882352941</v>
      </c>
      <c r="U77" s="2">
        <f t="shared" si="6"/>
        <v>46.711529411764715</v>
      </c>
      <c r="W77">
        <v>1261.9000000000001</v>
      </c>
      <c r="X77">
        <f t="shared" si="7"/>
        <v>40513.100000000006</v>
      </c>
      <c r="Y77">
        <f t="shared" si="8"/>
        <v>40513.100000000006</v>
      </c>
      <c r="Z77">
        <v>10.626002545962196</v>
      </c>
    </row>
    <row r="78" spans="1:26" x14ac:dyDescent="0.35">
      <c r="A78">
        <v>5160</v>
      </c>
      <c r="B78">
        <v>23050</v>
      </c>
      <c r="C78" s="1">
        <v>43023</v>
      </c>
      <c r="F78" s="54"/>
      <c r="G78">
        <v>16.7</v>
      </c>
      <c r="H78">
        <v>9.6999999999999993</v>
      </c>
      <c r="I78">
        <v>23.1</v>
      </c>
      <c r="J78">
        <f t="shared" si="4"/>
        <v>670.9000000000002</v>
      </c>
      <c r="K78">
        <f t="shared" si="5"/>
        <v>670.9000000000002</v>
      </c>
      <c r="M78">
        <v>0</v>
      </c>
      <c r="N78">
        <v>2.4</v>
      </c>
      <c r="O78">
        <f t="shared" si="10"/>
        <v>-2.4</v>
      </c>
      <c r="Q78">
        <v>46</v>
      </c>
      <c r="R78">
        <f t="shared" si="9"/>
        <v>0.66352941176470592</v>
      </c>
      <c r="S78">
        <f t="shared" si="11"/>
        <v>1.5924705882352941</v>
      </c>
      <c r="T78">
        <f t="shared" si="12"/>
        <v>-1.5924705882352941</v>
      </c>
      <c r="U78" s="2">
        <f t="shared" si="6"/>
        <v>45.119058823529421</v>
      </c>
      <c r="W78">
        <v>1275.4000000000001</v>
      </c>
      <c r="X78">
        <f t="shared" si="7"/>
        <v>41788.500000000007</v>
      </c>
      <c r="Y78">
        <f t="shared" si="8"/>
        <v>41788.500000000007</v>
      </c>
      <c r="Z78">
        <v>10.56929106115115</v>
      </c>
    </row>
    <row r="79" spans="1:26" x14ac:dyDescent="0.35">
      <c r="A79">
        <v>5160</v>
      </c>
      <c r="B79">
        <v>23050</v>
      </c>
      <c r="C79" s="1">
        <v>43024</v>
      </c>
      <c r="F79" s="54"/>
      <c r="G79">
        <v>17.5</v>
      </c>
      <c r="H79">
        <v>12.3</v>
      </c>
      <c r="I79">
        <v>24.8</v>
      </c>
      <c r="J79">
        <f t="shared" si="4"/>
        <v>688.4000000000002</v>
      </c>
      <c r="K79">
        <f t="shared" si="5"/>
        <v>688.4000000000002</v>
      </c>
      <c r="M79">
        <v>0</v>
      </c>
      <c r="N79">
        <v>2.8</v>
      </c>
      <c r="O79">
        <f t="shared" si="10"/>
        <v>-2.8</v>
      </c>
      <c r="Q79">
        <v>47</v>
      </c>
      <c r="R79">
        <f t="shared" si="9"/>
        <v>0.67117647058823526</v>
      </c>
      <c r="S79">
        <f t="shared" si="11"/>
        <v>1.8792941176470586</v>
      </c>
      <c r="T79">
        <f t="shared" si="12"/>
        <v>-1.8792941176470586</v>
      </c>
      <c r="U79" s="2">
        <f t="shared" si="6"/>
        <v>43.239764705882365</v>
      </c>
      <c r="W79">
        <v>1271.9000000000001</v>
      </c>
      <c r="X79">
        <f t="shared" si="7"/>
        <v>43060.400000000009</v>
      </c>
      <c r="Y79">
        <f t="shared" si="8"/>
        <v>43060.400000000009</v>
      </c>
      <c r="Z79">
        <v>10.512814212666026</v>
      </c>
    </row>
    <row r="80" spans="1:26" x14ac:dyDescent="0.35">
      <c r="A80">
        <v>5160</v>
      </c>
      <c r="B80">
        <v>23050</v>
      </c>
      <c r="C80" s="1">
        <v>43025</v>
      </c>
      <c r="F80" s="54"/>
      <c r="G80">
        <v>16.600000000000001</v>
      </c>
      <c r="H80">
        <v>12.5</v>
      </c>
      <c r="I80">
        <v>21.7</v>
      </c>
      <c r="J80">
        <f t="shared" si="4"/>
        <v>705.00000000000023</v>
      </c>
      <c r="K80">
        <f t="shared" si="5"/>
        <v>705.00000000000023</v>
      </c>
      <c r="M80">
        <v>0</v>
      </c>
      <c r="N80">
        <v>2.1</v>
      </c>
      <c r="O80">
        <f t="shared" si="10"/>
        <v>-2.1</v>
      </c>
      <c r="Q80">
        <v>48</v>
      </c>
      <c r="R80">
        <f t="shared" si="9"/>
        <v>0.6788235294117646</v>
      </c>
      <c r="S80">
        <f t="shared" si="11"/>
        <v>1.4255294117647057</v>
      </c>
      <c r="T80">
        <f t="shared" si="12"/>
        <v>-1.4255294117647057</v>
      </c>
      <c r="U80" s="2">
        <f t="shared" si="6"/>
        <v>41.814235294117658</v>
      </c>
      <c r="W80">
        <v>1296.5999999999999</v>
      </c>
      <c r="X80">
        <f t="shared" si="7"/>
        <v>44357.000000000007</v>
      </c>
      <c r="Y80">
        <f t="shared" si="8"/>
        <v>44357.000000000007</v>
      </c>
      <c r="Z80">
        <v>10.456584596084546</v>
      </c>
    </row>
    <row r="81" spans="1:26" x14ac:dyDescent="0.35">
      <c r="A81">
        <v>5160</v>
      </c>
      <c r="B81">
        <v>23050</v>
      </c>
      <c r="C81" s="1">
        <v>43026</v>
      </c>
      <c r="F81" s="54"/>
      <c r="G81">
        <v>15.4</v>
      </c>
      <c r="H81">
        <v>12.3</v>
      </c>
      <c r="I81">
        <v>19.100000000000001</v>
      </c>
      <c r="J81">
        <f t="shared" si="4"/>
        <v>720.4000000000002</v>
      </c>
      <c r="K81">
        <f t="shared" si="5"/>
        <v>720.4000000000002</v>
      </c>
      <c r="M81">
        <v>0.4</v>
      </c>
      <c r="N81">
        <v>1</v>
      </c>
      <c r="O81">
        <f t="shared" si="10"/>
        <v>-0.6</v>
      </c>
      <c r="Q81">
        <v>49</v>
      </c>
      <c r="R81">
        <f t="shared" si="9"/>
        <v>0.68647058823529417</v>
      </c>
      <c r="S81">
        <f t="shared" si="11"/>
        <v>0.68647058823529417</v>
      </c>
      <c r="T81">
        <f t="shared" si="12"/>
        <v>-0.28647058823529414</v>
      </c>
      <c r="U81" s="2">
        <f t="shared" si="6"/>
        <v>41.527764705882362</v>
      </c>
      <c r="W81">
        <v>578.70000000000005</v>
      </c>
      <c r="X81">
        <f t="shared" si="7"/>
        <v>44935.700000000004</v>
      </c>
      <c r="Y81">
        <f t="shared" si="8"/>
        <v>44935.700000000004</v>
      </c>
      <c r="Z81">
        <v>10.400615151491301</v>
      </c>
    </row>
    <row r="82" spans="1:26" x14ac:dyDescent="0.35">
      <c r="A82">
        <v>5160</v>
      </c>
      <c r="B82">
        <v>23050</v>
      </c>
      <c r="C82" s="1">
        <v>43027</v>
      </c>
      <c r="F82" s="54"/>
      <c r="G82">
        <v>15.8</v>
      </c>
      <c r="H82">
        <v>12.7</v>
      </c>
      <c r="I82">
        <v>19.5</v>
      </c>
      <c r="J82">
        <f t="shared" si="4"/>
        <v>736.20000000000016</v>
      </c>
      <c r="K82">
        <f t="shared" si="5"/>
        <v>736.20000000000016</v>
      </c>
      <c r="M82">
        <v>3.3</v>
      </c>
      <c r="N82">
        <v>1.8</v>
      </c>
      <c r="O82">
        <f t="shared" si="10"/>
        <v>1.4999999999999998</v>
      </c>
      <c r="Q82">
        <v>50</v>
      </c>
      <c r="R82">
        <f t="shared" si="9"/>
        <v>0.69411764705882351</v>
      </c>
      <c r="S82">
        <f t="shared" si="11"/>
        <v>1.2494117647058824</v>
      </c>
      <c r="T82">
        <f t="shared" si="12"/>
        <v>2.0505882352941174</v>
      </c>
      <c r="U82" s="2">
        <f t="shared" si="6"/>
        <v>43.578352941176476</v>
      </c>
      <c r="W82">
        <v>624.9</v>
      </c>
      <c r="X82">
        <f t="shared" si="7"/>
        <v>45560.600000000006</v>
      </c>
      <c r="Y82">
        <f t="shared" si="8"/>
        <v>45560.600000000006</v>
      </c>
      <c r="Z82">
        <v>10.344919172986113</v>
      </c>
    </row>
    <row r="83" spans="1:26" x14ac:dyDescent="0.35">
      <c r="A83">
        <v>5160</v>
      </c>
      <c r="B83">
        <v>23050</v>
      </c>
      <c r="C83" s="1">
        <v>43028</v>
      </c>
      <c r="F83" s="54"/>
      <c r="G83">
        <v>13.7</v>
      </c>
      <c r="H83">
        <v>10.8</v>
      </c>
      <c r="I83">
        <v>16.2</v>
      </c>
      <c r="J83">
        <f t="shared" si="4"/>
        <v>749.9000000000002</v>
      </c>
      <c r="K83">
        <f t="shared" si="5"/>
        <v>749.9000000000002</v>
      </c>
      <c r="M83">
        <v>1</v>
      </c>
      <c r="N83">
        <v>1.6</v>
      </c>
      <c r="O83">
        <f t="shared" si="10"/>
        <v>-0.60000000000000009</v>
      </c>
      <c r="Q83">
        <v>51</v>
      </c>
      <c r="R83">
        <f t="shared" si="9"/>
        <v>0.70176470588235285</v>
      </c>
      <c r="S83">
        <f t="shared" si="11"/>
        <v>1.1228235294117646</v>
      </c>
      <c r="T83">
        <f t="shared" si="12"/>
        <v>-0.12282352941176455</v>
      </c>
      <c r="U83" s="2">
        <f t="shared" si="6"/>
        <v>43.455529411764715</v>
      </c>
      <c r="W83">
        <v>840.2</v>
      </c>
      <c r="X83">
        <f t="shared" si="7"/>
        <v>46400.800000000003</v>
      </c>
      <c r="Y83">
        <f t="shared" si="8"/>
        <v>46400.800000000003</v>
      </c>
      <c r="Z83">
        <v>10.289510317591857</v>
      </c>
    </row>
    <row r="84" spans="1:26" x14ac:dyDescent="0.35">
      <c r="A84">
        <v>5160</v>
      </c>
      <c r="B84">
        <v>23050</v>
      </c>
      <c r="C84" s="1">
        <v>43029</v>
      </c>
      <c r="F84" s="54"/>
      <c r="G84">
        <v>13.3</v>
      </c>
      <c r="H84">
        <v>12.2</v>
      </c>
      <c r="I84">
        <v>15.6</v>
      </c>
      <c r="J84">
        <f t="shared" si="4"/>
        <v>763.20000000000016</v>
      </c>
      <c r="K84">
        <f t="shared" si="5"/>
        <v>763.20000000000016</v>
      </c>
      <c r="M84">
        <v>1.6</v>
      </c>
      <c r="N84">
        <v>1.9</v>
      </c>
      <c r="O84">
        <f t="shared" si="10"/>
        <v>-0.29999999999999982</v>
      </c>
      <c r="Q84">
        <v>52</v>
      </c>
      <c r="R84">
        <f t="shared" si="9"/>
        <v>0.70941176470588241</v>
      </c>
      <c r="S84">
        <f t="shared" si="11"/>
        <v>1.3478823529411765</v>
      </c>
      <c r="T84">
        <f t="shared" si="12"/>
        <v>0.25211764705882356</v>
      </c>
      <c r="U84" s="2">
        <f t="shared" si="6"/>
        <v>43.70764705882354</v>
      </c>
      <c r="W84">
        <v>713.1</v>
      </c>
      <c r="X84">
        <f t="shared" si="7"/>
        <v>47113.9</v>
      </c>
      <c r="Y84">
        <f t="shared" si="8"/>
        <v>47113.9</v>
      </c>
      <c r="Z84">
        <v>10.234402613514222</v>
      </c>
    </row>
    <row r="85" spans="1:26" x14ac:dyDescent="0.35">
      <c r="A85">
        <v>5160</v>
      </c>
      <c r="B85">
        <v>23050</v>
      </c>
      <c r="C85" s="1">
        <v>43030</v>
      </c>
      <c r="F85" s="54"/>
      <c r="G85">
        <v>10.199999999999999</v>
      </c>
      <c r="H85">
        <v>7.9</v>
      </c>
      <c r="I85">
        <v>12.4</v>
      </c>
      <c r="J85">
        <f t="shared" si="4"/>
        <v>773.4000000000002</v>
      </c>
      <c r="K85">
        <f t="shared" si="5"/>
        <v>773.4000000000002</v>
      </c>
      <c r="M85">
        <v>0.7</v>
      </c>
      <c r="N85">
        <v>1.4</v>
      </c>
      <c r="O85">
        <f t="shared" si="10"/>
        <v>-0.7</v>
      </c>
      <c r="Q85">
        <v>53</v>
      </c>
      <c r="R85">
        <f t="shared" si="9"/>
        <v>0.71705882352941175</v>
      </c>
      <c r="S85">
        <f t="shared" si="11"/>
        <v>1.0038823529411764</v>
      </c>
      <c r="T85">
        <f t="shared" si="12"/>
        <v>-0.30388235294117649</v>
      </c>
      <c r="U85" s="2">
        <f t="shared" si="6"/>
        <v>43.403764705882367</v>
      </c>
      <c r="W85">
        <v>719.3</v>
      </c>
      <c r="X85">
        <f t="shared" si="7"/>
        <v>47833.200000000004</v>
      </c>
      <c r="Y85">
        <f t="shared" si="8"/>
        <v>47833.200000000004</v>
      </c>
      <c r="Z85">
        <v>10.179610467703426</v>
      </c>
    </row>
    <row r="86" spans="1:26" x14ac:dyDescent="0.35">
      <c r="A86">
        <v>5160</v>
      </c>
      <c r="B86">
        <v>23050</v>
      </c>
      <c r="C86" s="1">
        <v>43031</v>
      </c>
      <c r="F86" s="54"/>
      <c r="G86">
        <v>12.2</v>
      </c>
      <c r="H86">
        <v>9.6</v>
      </c>
      <c r="I86">
        <v>14.1</v>
      </c>
      <c r="J86">
        <f t="shared" si="4"/>
        <v>785.60000000000025</v>
      </c>
      <c r="K86">
        <f t="shared" si="5"/>
        <v>785.60000000000025</v>
      </c>
      <c r="M86">
        <v>2</v>
      </c>
      <c r="N86">
        <v>0.5</v>
      </c>
      <c r="O86">
        <f t="shared" si="10"/>
        <v>1.5</v>
      </c>
      <c r="Q86">
        <v>54</v>
      </c>
      <c r="R86">
        <f t="shared" si="9"/>
        <v>0.72470588235294109</v>
      </c>
      <c r="S86">
        <f t="shared" si="11"/>
        <v>0.36235294117647054</v>
      </c>
      <c r="T86">
        <f t="shared" si="12"/>
        <v>1.6376470588235295</v>
      </c>
      <c r="U86" s="2">
        <f t="shared" si="6"/>
        <v>45.041411764705899</v>
      </c>
      <c r="W86">
        <v>289.5</v>
      </c>
      <c r="X86">
        <f t="shared" si="7"/>
        <v>48122.700000000004</v>
      </c>
      <c r="Y86">
        <f t="shared" si="8"/>
        <v>48122.700000000004</v>
      </c>
      <c r="Z86">
        <v>10.125148672665754</v>
      </c>
    </row>
    <row r="87" spans="1:26" x14ac:dyDescent="0.35">
      <c r="A87">
        <v>5160</v>
      </c>
      <c r="B87">
        <v>23050</v>
      </c>
      <c r="C87" s="1">
        <v>43032</v>
      </c>
      <c r="F87" s="54"/>
      <c r="G87">
        <v>15.3</v>
      </c>
      <c r="H87">
        <v>13</v>
      </c>
      <c r="I87">
        <v>17.600000000000001</v>
      </c>
      <c r="J87">
        <f t="shared" si="4"/>
        <v>800.9000000000002</v>
      </c>
      <c r="K87">
        <f t="shared" si="5"/>
        <v>800.9000000000002</v>
      </c>
      <c r="M87">
        <v>0.1</v>
      </c>
      <c r="N87">
        <v>0.3</v>
      </c>
      <c r="O87">
        <f t="shared" si="10"/>
        <v>-0.19999999999999998</v>
      </c>
      <c r="Q87">
        <v>55</v>
      </c>
      <c r="R87">
        <f t="shared" si="9"/>
        <v>0.73235294117647065</v>
      </c>
      <c r="S87">
        <f t="shared" si="11"/>
        <v>0.2197058823529412</v>
      </c>
      <c r="T87">
        <f t="shared" si="12"/>
        <v>-0.11970588235294119</v>
      </c>
      <c r="U87" s="2">
        <f t="shared" si="6"/>
        <v>44.92170588235296</v>
      </c>
      <c r="W87">
        <v>206.3</v>
      </c>
      <c r="X87">
        <f t="shared" si="7"/>
        <v>48329.000000000007</v>
      </c>
      <c r="Y87">
        <f t="shared" si="8"/>
        <v>48329.000000000007</v>
      </c>
      <c r="Z87">
        <v>10.071032412470462</v>
      </c>
    </row>
    <row r="88" spans="1:26" x14ac:dyDescent="0.35">
      <c r="A88">
        <v>5160</v>
      </c>
      <c r="B88">
        <v>23050</v>
      </c>
      <c r="C88" s="1">
        <v>43033</v>
      </c>
      <c r="F88" s="54"/>
      <c r="G88">
        <v>14.9</v>
      </c>
      <c r="H88">
        <v>13.8</v>
      </c>
      <c r="I88">
        <v>17.899999999999999</v>
      </c>
      <c r="J88">
        <f t="shared" si="4"/>
        <v>815.80000000000018</v>
      </c>
      <c r="K88">
        <f t="shared" si="5"/>
        <v>815.80000000000018</v>
      </c>
      <c r="M88">
        <v>0.2</v>
      </c>
      <c r="N88">
        <v>0.8</v>
      </c>
      <c r="O88">
        <f t="shared" si="10"/>
        <v>-0.60000000000000009</v>
      </c>
      <c r="Q88">
        <v>56</v>
      </c>
      <c r="R88">
        <f t="shared" si="9"/>
        <v>0.74</v>
      </c>
      <c r="S88">
        <f t="shared" si="11"/>
        <v>0.59199999999999997</v>
      </c>
      <c r="T88">
        <f t="shared" si="12"/>
        <v>-0.39199999999999996</v>
      </c>
      <c r="U88" s="2">
        <f t="shared" si="6"/>
        <v>44.529705882352957</v>
      </c>
      <c r="W88">
        <v>536.5</v>
      </c>
      <c r="X88">
        <f t="shared" si="7"/>
        <v>48865.500000000007</v>
      </c>
      <c r="Y88">
        <f t="shared" si="8"/>
        <v>48865.500000000007</v>
      </c>
      <c r="Z88">
        <v>10.017277267895453</v>
      </c>
    </row>
    <row r="89" spans="1:26" x14ac:dyDescent="0.35">
      <c r="A89">
        <v>5160</v>
      </c>
      <c r="B89">
        <v>23050</v>
      </c>
      <c r="C89" s="1">
        <v>43034</v>
      </c>
      <c r="F89" s="54"/>
      <c r="G89">
        <v>14.4</v>
      </c>
      <c r="H89">
        <v>8.8000000000000007</v>
      </c>
      <c r="I89">
        <v>20.399999999999999</v>
      </c>
      <c r="J89">
        <f t="shared" si="4"/>
        <v>830.20000000000016</v>
      </c>
      <c r="K89">
        <f t="shared" si="5"/>
        <v>830.20000000000016</v>
      </c>
      <c r="M89">
        <v>0.2</v>
      </c>
      <c r="N89">
        <v>1.5</v>
      </c>
      <c r="O89">
        <f t="shared" si="10"/>
        <v>-1.3</v>
      </c>
      <c r="Q89">
        <v>57</v>
      </c>
      <c r="R89">
        <f t="shared" si="9"/>
        <v>0.74764705882352944</v>
      </c>
      <c r="S89">
        <f t="shared" si="11"/>
        <v>1.1214705882352942</v>
      </c>
      <c r="T89">
        <f t="shared" si="12"/>
        <v>-0.92147058823529426</v>
      </c>
      <c r="U89" s="2">
        <f t="shared" si="6"/>
        <v>43.608235294117662</v>
      </c>
      <c r="W89">
        <v>801.1</v>
      </c>
      <c r="X89">
        <f t="shared" si="7"/>
        <v>49666.600000000006</v>
      </c>
      <c r="Y89">
        <f t="shared" si="8"/>
        <v>49666.600000000006</v>
      </c>
      <c r="Z89">
        <v>9.9638992206530936</v>
      </c>
    </row>
    <row r="90" spans="1:26" x14ac:dyDescent="0.35">
      <c r="A90">
        <v>5160</v>
      </c>
      <c r="B90">
        <v>23050</v>
      </c>
      <c r="C90" s="1">
        <v>43035</v>
      </c>
      <c r="F90" s="54"/>
      <c r="G90">
        <v>11.3</v>
      </c>
      <c r="H90">
        <v>10.8</v>
      </c>
      <c r="I90">
        <v>14.8</v>
      </c>
      <c r="J90">
        <f t="shared" si="4"/>
        <v>841.50000000000011</v>
      </c>
      <c r="K90">
        <f t="shared" si="5"/>
        <v>841.50000000000011</v>
      </c>
      <c r="M90">
        <v>0.2</v>
      </c>
      <c r="N90">
        <v>0.7</v>
      </c>
      <c r="O90">
        <f t="shared" si="10"/>
        <v>-0.49999999999999994</v>
      </c>
      <c r="Q90">
        <v>58</v>
      </c>
      <c r="R90">
        <f t="shared" si="9"/>
        <v>0.75529411764705889</v>
      </c>
      <c r="S90">
        <f t="shared" si="11"/>
        <v>0.52870588235294114</v>
      </c>
      <c r="T90">
        <f t="shared" si="12"/>
        <v>-0.32870588235294113</v>
      </c>
      <c r="U90" s="2">
        <f t="shared" si="6"/>
        <v>43.27952941176472</v>
      </c>
      <c r="W90">
        <v>337.2</v>
      </c>
      <c r="X90">
        <f t="shared" si="7"/>
        <v>50003.8</v>
      </c>
      <c r="Y90">
        <f t="shared" si="8"/>
        <v>50003.8</v>
      </c>
      <c r="Z90">
        <v>9.9109146566355335</v>
      </c>
    </row>
    <row r="91" spans="1:26" x14ac:dyDescent="0.35">
      <c r="A91">
        <v>5160</v>
      </c>
      <c r="B91">
        <v>23050</v>
      </c>
      <c r="C91" s="1">
        <v>43036</v>
      </c>
      <c r="F91" s="54"/>
      <c r="G91">
        <v>7.8</v>
      </c>
      <c r="H91">
        <v>2.2000000000000002</v>
      </c>
      <c r="I91">
        <v>13.1</v>
      </c>
      <c r="J91">
        <f t="shared" si="4"/>
        <v>849.30000000000007</v>
      </c>
      <c r="K91">
        <f t="shared" si="5"/>
        <v>849.30000000000007</v>
      </c>
      <c r="M91">
        <v>0.2</v>
      </c>
      <c r="N91">
        <v>1.3</v>
      </c>
      <c r="O91">
        <f t="shared" si="10"/>
        <v>-1.1000000000000001</v>
      </c>
      <c r="Q91">
        <v>59</v>
      </c>
      <c r="R91">
        <f t="shared" si="9"/>
        <v>0.76294117647058823</v>
      </c>
      <c r="S91">
        <f t="shared" si="11"/>
        <v>0.99182352941176477</v>
      </c>
      <c r="T91">
        <f t="shared" si="12"/>
        <v>-0.79182352941176481</v>
      </c>
      <c r="U91" s="2">
        <f t="shared" si="6"/>
        <v>42.487705882352955</v>
      </c>
      <c r="W91">
        <v>810.3</v>
      </c>
      <c r="X91">
        <f t="shared" si="7"/>
        <v>50814.100000000006</v>
      </c>
      <c r="Y91">
        <f t="shared" si="8"/>
        <v>50814.100000000006</v>
      </c>
      <c r="Z91">
        <v>9.8583403681172683</v>
      </c>
    </row>
    <row r="92" spans="1:26" x14ac:dyDescent="0.35">
      <c r="A92">
        <v>5160</v>
      </c>
      <c r="B92">
        <v>23050</v>
      </c>
      <c r="C92" s="1">
        <v>43037</v>
      </c>
      <c r="F92" s="54"/>
      <c r="G92">
        <v>11.2</v>
      </c>
      <c r="H92">
        <v>8.1</v>
      </c>
      <c r="I92">
        <v>13.9</v>
      </c>
      <c r="J92">
        <f t="shared" si="4"/>
        <v>860.50000000000011</v>
      </c>
      <c r="K92">
        <f t="shared" si="5"/>
        <v>860.50000000000011</v>
      </c>
      <c r="M92">
        <v>2.7</v>
      </c>
      <c r="N92">
        <v>0.4</v>
      </c>
      <c r="O92">
        <f t="shared" si="10"/>
        <v>2.3000000000000003</v>
      </c>
      <c r="Q92">
        <v>60</v>
      </c>
      <c r="R92">
        <f t="shared" si="9"/>
        <v>0.77058823529411768</v>
      </c>
      <c r="S92">
        <f t="shared" si="11"/>
        <v>0.30823529411764711</v>
      </c>
      <c r="T92">
        <f t="shared" si="12"/>
        <v>2.3917647058823532</v>
      </c>
      <c r="U92" s="2">
        <f t="shared" si="6"/>
        <v>44.879470588235307</v>
      </c>
      <c r="W92">
        <v>144</v>
      </c>
      <c r="X92">
        <f t="shared" si="7"/>
        <v>50958.100000000006</v>
      </c>
      <c r="Y92">
        <f t="shared" si="8"/>
        <v>50958.100000000006</v>
      </c>
      <c r="Z92">
        <v>9.8061935548509691</v>
      </c>
    </row>
    <row r="93" spans="1:26" x14ac:dyDescent="0.35">
      <c r="A93">
        <v>5160</v>
      </c>
      <c r="B93">
        <v>23050</v>
      </c>
      <c r="C93" s="1">
        <v>43038</v>
      </c>
      <c r="F93" s="54"/>
      <c r="G93">
        <v>7.2</v>
      </c>
      <c r="H93">
        <v>4.0999999999999996</v>
      </c>
      <c r="I93">
        <v>11.5</v>
      </c>
      <c r="J93">
        <f t="shared" si="4"/>
        <v>867.70000000000016</v>
      </c>
      <c r="K93">
        <f t="shared" si="5"/>
        <v>867.70000000000016</v>
      </c>
      <c r="M93">
        <v>0</v>
      </c>
      <c r="N93">
        <v>0.8</v>
      </c>
      <c r="O93">
        <f t="shared" si="10"/>
        <v>-0.8</v>
      </c>
      <c r="Q93">
        <v>61</v>
      </c>
      <c r="R93">
        <f t="shared" si="9"/>
        <v>0.77823529411764703</v>
      </c>
      <c r="S93">
        <f t="shared" si="11"/>
        <v>0.62258823529411766</v>
      </c>
      <c r="T93">
        <f t="shared" si="12"/>
        <v>-0.62258823529411766</v>
      </c>
      <c r="U93" s="2">
        <f t="shared" si="6"/>
        <v>44.25688235294119</v>
      </c>
      <c r="W93">
        <v>486.8</v>
      </c>
      <c r="X93">
        <f t="shared" si="7"/>
        <v>51444.900000000009</v>
      </c>
      <c r="Y93">
        <f t="shared" si="8"/>
        <v>51444.900000000009</v>
      </c>
      <c r="Z93">
        <v>9.7544918239913976</v>
      </c>
    </row>
    <row r="94" spans="1:26" x14ac:dyDescent="0.35">
      <c r="A94">
        <v>5160</v>
      </c>
      <c r="B94">
        <v>23050</v>
      </c>
      <c r="C94" s="1">
        <v>43039</v>
      </c>
      <c r="F94" s="54"/>
      <c r="G94">
        <v>6.5</v>
      </c>
      <c r="H94">
        <v>2.4</v>
      </c>
      <c r="I94">
        <v>11.4</v>
      </c>
      <c r="J94">
        <f t="shared" si="4"/>
        <v>874.20000000000016</v>
      </c>
      <c r="K94">
        <f t="shared" si="5"/>
        <v>874.20000000000016</v>
      </c>
      <c r="M94">
        <v>0</v>
      </c>
      <c r="N94">
        <v>1.4</v>
      </c>
      <c r="O94">
        <f t="shared" si="10"/>
        <v>-1.4</v>
      </c>
      <c r="Q94">
        <v>62</v>
      </c>
      <c r="R94">
        <f t="shared" si="9"/>
        <v>0.78588235294117648</v>
      </c>
      <c r="S94">
        <f t="shared" si="11"/>
        <v>1.100235294117647</v>
      </c>
      <c r="T94">
        <f t="shared" si="12"/>
        <v>-1.100235294117647</v>
      </c>
      <c r="U94" s="2">
        <f t="shared" si="6"/>
        <v>43.156647058823545</v>
      </c>
      <c r="W94">
        <v>1101.5999999999999</v>
      </c>
      <c r="X94">
        <f t="shared" si="7"/>
        <v>52546.500000000007</v>
      </c>
      <c r="Y94">
        <f t="shared" si="8"/>
        <v>52546.500000000007</v>
      </c>
      <c r="Z94">
        <v>9.7032531887810745</v>
      </c>
    </row>
    <row r="95" spans="1:26" x14ac:dyDescent="0.35">
      <c r="A95">
        <v>5160</v>
      </c>
      <c r="B95">
        <v>23050</v>
      </c>
      <c r="C95" s="1">
        <v>43040</v>
      </c>
      <c r="F95" s="54"/>
      <c r="G95">
        <v>8.3000000000000007</v>
      </c>
      <c r="H95">
        <v>3.6</v>
      </c>
      <c r="I95">
        <v>13.4</v>
      </c>
      <c r="J95">
        <f t="shared" si="4"/>
        <v>882.50000000000011</v>
      </c>
      <c r="K95">
        <f t="shared" si="5"/>
        <v>882.50000000000011</v>
      </c>
      <c r="M95">
        <v>0</v>
      </c>
      <c r="N95">
        <v>1.4</v>
      </c>
      <c r="O95">
        <f t="shared" si="10"/>
        <v>-1.4</v>
      </c>
      <c r="Q95">
        <v>63</v>
      </c>
      <c r="R95">
        <f t="shared" si="9"/>
        <v>0.79352941176470582</v>
      </c>
      <c r="S95">
        <f t="shared" si="11"/>
        <v>1.1109411764705881</v>
      </c>
      <c r="T95">
        <f t="shared" si="12"/>
        <v>-1.1109411764705881</v>
      </c>
      <c r="U95" s="2">
        <f t="shared" si="6"/>
        <v>42.045705882352955</v>
      </c>
      <c r="W95">
        <v>993.9</v>
      </c>
      <c r="X95">
        <f t="shared" si="7"/>
        <v>53540.400000000009</v>
      </c>
      <c r="Y95">
        <f t="shared" si="8"/>
        <v>53540.400000000009</v>
      </c>
      <c r="Z95">
        <v>9.6524960659307144</v>
      </c>
    </row>
    <row r="96" spans="1:26" x14ac:dyDescent="0.35">
      <c r="A96">
        <v>5160</v>
      </c>
      <c r="B96">
        <v>23050</v>
      </c>
      <c r="C96" s="1">
        <v>43041</v>
      </c>
      <c r="F96" s="54"/>
      <c r="G96">
        <v>11.7</v>
      </c>
      <c r="H96">
        <v>9.1999999999999993</v>
      </c>
      <c r="I96">
        <v>13.8</v>
      </c>
      <c r="J96">
        <f t="shared" si="4"/>
        <v>894.20000000000016</v>
      </c>
      <c r="K96">
        <f t="shared" si="5"/>
        <v>894.20000000000016</v>
      </c>
      <c r="M96">
        <v>0.2</v>
      </c>
      <c r="N96">
        <v>0.3</v>
      </c>
      <c r="O96">
        <f t="shared" si="10"/>
        <v>-9.9999999999999978E-2</v>
      </c>
      <c r="Q96">
        <v>64</v>
      </c>
      <c r="R96">
        <f t="shared" si="9"/>
        <v>0.80117647058823527</v>
      </c>
      <c r="S96">
        <f t="shared" si="11"/>
        <v>0.24035294117647057</v>
      </c>
      <c r="T96">
        <f t="shared" si="12"/>
        <v>-4.0352941176470564E-2</v>
      </c>
      <c r="U96" s="2">
        <f t="shared" si="6"/>
        <v>42.005352941176483</v>
      </c>
      <c r="W96">
        <v>402.1</v>
      </c>
      <c r="X96">
        <f t="shared" si="7"/>
        <v>53942.500000000007</v>
      </c>
      <c r="Y96">
        <f t="shared" si="8"/>
        <v>53942.500000000007</v>
      </c>
      <c r="Z96">
        <v>9.6022392716269582</v>
      </c>
    </row>
    <row r="97" spans="1:26" x14ac:dyDescent="0.35">
      <c r="A97">
        <v>5160</v>
      </c>
      <c r="B97">
        <v>23050</v>
      </c>
      <c r="C97" s="1">
        <v>43042</v>
      </c>
      <c r="F97" s="54"/>
      <c r="G97">
        <v>10.9</v>
      </c>
      <c r="H97">
        <v>5.4</v>
      </c>
      <c r="I97">
        <v>15.8</v>
      </c>
      <c r="J97">
        <f t="shared" si="4"/>
        <v>905.10000000000014</v>
      </c>
      <c r="K97">
        <f t="shared" si="5"/>
        <v>905.10000000000014</v>
      </c>
      <c r="M97">
        <v>0</v>
      </c>
      <c r="N97">
        <v>1.2</v>
      </c>
      <c r="O97">
        <f t="shared" si="10"/>
        <v>-1.2</v>
      </c>
      <c r="Q97">
        <v>65</v>
      </c>
      <c r="R97">
        <f t="shared" si="9"/>
        <v>0.80882352941176472</v>
      </c>
      <c r="S97">
        <f t="shared" si="11"/>
        <v>0.97058823529411764</v>
      </c>
      <c r="T97">
        <f t="shared" si="12"/>
        <v>-0.97058823529411764</v>
      </c>
      <c r="U97" s="2">
        <f t="shared" si="6"/>
        <v>41.034764705882367</v>
      </c>
      <c r="W97">
        <v>939.9</v>
      </c>
      <c r="X97">
        <f t="shared" si="7"/>
        <v>54882.400000000009</v>
      </c>
      <c r="Y97">
        <f t="shared" si="8"/>
        <v>54882.400000000009</v>
      </c>
      <c r="Z97">
        <v>9.5525020161000569</v>
      </c>
    </row>
    <row r="98" spans="1:26" x14ac:dyDescent="0.35">
      <c r="A98">
        <v>5160</v>
      </c>
      <c r="B98">
        <v>23050</v>
      </c>
      <c r="C98" s="1">
        <v>43043</v>
      </c>
      <c r="F98" s="54"/>
      <c r="G98">
        <v>11.9</v>
      </c>
      <c r="H98">
        <v>10.1</v>
      </c>
      <c r="I98">
        <v>15.9</v>
      </c>
      <c r="J98">
        <f t="shared" si="4"/>
        <v>917.00000000000011</v>
      </c>
      <c r="K98">
        <f t="shared" si="5"/>
        <v>917.00000000000011</v>
      </c>
      <c r="M98">
        <v>7.2</v>
      </c>
      <c r="N98">
        <v>1.1000000000000001</v>
      </c>
      <c r="O98">
        <f t="shared" si="10"/>
        <v>6.1</v>
      </c>
      <c r="Q98">
        <v>66</v>
      </c>
      <c r="R98">
        <f t="shared" si="9"/>
        <v>0.81647058823529406</v>
      </c>
      <c r="S98">
        <f t="shared" si="11"/>
        <v>0.89811764705882358</v>
      </c>
      <c r="T98">
        <f t="shared" si="12"/>
        <v>6.3018823529411767</v>
      </c>
      <c r="U98" s="2">
        <f t="shared" si="6"/>
        <v>47.336647058823544</v>
      </c>
      <c r="W98">
        <v>371.2</v>
      </c>
      <c r="X98">
        <f t="shared" si="7"/>
        <v>55253.600000000006</v>
      </c>
      <c r="Y98">
        <f t="shared" si="8"/>
        <v>55253.600000000006</v>
      </c>
      <c r="Z98">
        <v>9.5033038966845069</v>
      </c>
    </row>
    <row r="99" spans="1:26" x14ac:dyDescent="0.35">
      <c r="A99">
        <v>5160</v>
      </c>
      <c r="B99">
        <v>23050</v>
      </c>
      <c r="C99" s="1">
        <v>43044</v>
      </c>
      <c r="F99" s="54"/>
      <c r="G99">
        <v>6.8</v>
      </c>
      <c r="H99">
        <v>5.5</v>
      </c>
      <c r="I99">
        <v>10.1</v>
      </c>
      <c r="J99">
        <f t="shared" ref="J99:J162" si="13">J98+G99</f>
        <v>923.80000000000007</v>
      </c>
      <c r="K99">
        <f t="shared" ref="K99:K162" si="14">K98+G99</f>
        <v>923.80000000000007</v>
      </c>
      <c r="M99">
        <v>1.3</v>
      </c>
      <c r="N99">
        <v>0.7</v>
      </c>
      <c r="O99">
        <f t="shared" si="10"/>
        <v>0.60000000000000009</v>
      </c>
      <c r="Q99">
        <v>67</v>
      </c>
      <c r="R99">
        <f t="shared" si="9"/>
        <v>0.82411764705882351</v>
      </c>
      <c r="S99">
        <f t="shared" si="11"/>
        <v>0.5768823529411764</v>
      </c>
      <c r="T99">
        <f t="shared" si="12"/>
        <v>0.72311764705882364</v>
      </c>
      <c r="U99" s="2">
        <f t="shared" ref="U99:U162" si="15">MIN(U98+T99,150.8)</f>
        <v>48.059764705882365</v>
      </c>
      <c r="W99">
        <v>480.7</v>
      </c>
      <c r="X99">
        <f t="shared" ref="X99:X162" si="16">X98+W99</f>
        <v>55734.3</v>
      </c>
      <c r="Y99">
        <f t="shared" ref="Y99:Y162" si="17">Y98+W99</f>
        <v>55734.3</v>
      </c>
      <c r="Z99">
        <v>9.4546648893067538</v>
      </c>
    </row>
    <row r="100" spans="1:26" x14ac:dyDescent="0.35">
      <c r="A100">
        <v>5160</v>
      </c>
      <c r="B100">
        <v>23050</v>
      </c>
      <c r="C100" s="1">
        <v>43045</v>
      </c>
      <c r="F100" s="54"/>
      <c r="G100">
        <v>4.2</v>
      </c>
      <c r="H100">
        <v>2.4</v>
      </c>
      <c r="I100">
        <v>9.9</v>
      </c>
      <c r="J100">
        <f t="shared" si="13"/>
        <v>928.00000000000011</v>
      </c>
      <c r="K100">
        <f t="shared" si="14"/>
        <v>928.00000000000011</v>
      </c>
      <c r="M100">
        <v>0.3</v>
      </c>
      <c r="N100">
        <v>1</v>
      </c>
      <c r="O100">
        <f t="shared" si="10"/>
        <v>-0.7</v>
      </c>
      <c r="Q100">
        <v>68</v>
      </c>
      <c r="R100">
        <f t="shared" si="9"/>
        <v>0.83176470588235296</v>
      </c>
      <c r="S100">
        <f t="shared" si="11"/>
        <v>0.83176470588235296</v>
      </c>
      <c r="T100">
        <f t="shared" si="12"/>
        <v>-0.53176470588235292</v>
      </c>
      <c r="U100" s="2">
        <f t="shared" si="15"/>
        <v>47.528000000000013</v>
      </c>
      <c r="W100">
        <v>815.7</v>
      </c>
      <c r="X100">
        <f t="shared" si="16"/>
        <v>56550</v>
      </c>
      <c r="Y100">
        <f t="shared" si="17"/>
        <v>56550</v>
      </c>
      <c r="Z100">
        <v>9.406605338335412</v>
      </c>
    </row>
    <row r="101" spans="1:26" x14ac:dyDescent="0.35">
      <c r="A101">
        <v>5160</v>
      </c>
      <c r="B101">
        <v>23050</v>
      </c>
      <c r="C101" s="1">
        <v>43046</v>
      </c>
      <c r="F101" s="54"/>
      <c r="G101">
        <v>3</v>
      </c>
      <c r="H101">
        <v>-2.2999999999999998</v>
      </c>
      <c r="I101">
        <v>9.1999999999999993</v>
      </c>
      <c r="J101">
        <f t="shared" si="13"/>
        <v>931.00000000000011</v>
      </c>
      <c r="K101">
        <f t="shared" si="14"/>
        <v>931.00000000000011</v>
      </c>
      <c r="M101">
        <v>1.1000000000000001</v>
      </c>
      <c r="N101">
        <v>1.2</v>
      </c>
      <c r="O101">
        <f t="shared" si="10"/>
        <v>-9.9999999999999867E-2</v>
      </c>
      <c r="Q101">
        <v>69</v>
      </c>
      <c r="R101">
        <f t="shared" si="9"/>
        <v>0.8394117647058823</v>
      </c>
      <c r="S101">
        <f t="shared" si="11"/>
        <v>1.0072941176470587</v>
      </c>
      <c r="T101">
        <f t="shared" si="12"/>
        <v>9.2705882352941416E-2</v>
      </c>
      <c r="U101" s="2">
        <f t="shared" si="15"/>
        <v>47.620705882352951</v>
      </c>
      <c r="W101">
        <v>934.4</v>
      </c>
      <c r="X101">
        <f t="shared" si="16"/>
        <v>57484.4</v>
      </c>
      <c r="Y101">
        <f t="shared" si="17"/>
        <v>57484.4</v>
      </c>
      <c r="Z101">
        <v>9.3591459447317558</v>
      </c>
    </row>
    <row r="102" spans="1:26" x14ac:dyDescent="0.35">
      <c r="A102">
        <v>5160</v>
      </c>
      <c r="B102">
        <v>23050</v>
      </c>
      <c r="C102" s="1">
        <v>43047</v>
      </c>
      <c r="F102" s="54"/>
      <c r="G102">
        <v>6.1</v>
      </c>
      <c r="H102">
        <v>3.4</v>
      </c>
      <c r="I102">
        <v>7.2</v>
      </c>
      <c r="J102">
        <f t="shared" si="13"/>
        <v>937.10000000000014</v>
      </c>
      <c r="K102">
        <f t="shared" si="14"/>
        <v>937.10000000000014</v>
      </c>
      <c r="M102">
        <v>1.7</v>
      </c>
      <c r="N102">
        <v>0.1</v>
      </c>
      <c r="O102">
        <f t="shared" si="10"/>
        <v>1.5999999999999999</v>
      </c>
      <c r="Q102">
        <v>70</v>
      </c>
      <c r="R102">
        <f t="shared" si="9"/>
        <v>0.84705882352941175</v>
      </c>
      <c r="S102">
        <f t="shared" si="11"/>
        <v>8.4705882352941186E-2</v>
      </c>
      <c r="T102">
        <f t="shared" si="12"/>
        <v>1.6152941176470588</v>
      </c>
      <c r="U102" s="2">
        <f t="shared" si="15"/>
        <v>49.236000000000011</v>
      </c>
      <c r="W102">
        <v>132.5</v>
      </c>
      <c r="X102">
        <f t="shared" si="16"/>
        <v>57616.9</v>
      </c>
      <c r="Y102">
        <f t="shared" si="17"/>
        <v>57616.9</v>
      </c>
      <c r="Z102">
        <v>9.3123077524408071</v>
      </c>
    </row>
    <row r="103" spans="1:26" x14ac:dyDescent="0.35">
      <c r="A103">
        <v>5160</v>
      </c>
      <c r="B103">
        <v>23050</v>
      </c>
      <c r="C103" s="1">
        <v>43048</v>
      </c>
      <c r="F103" s="54"/>
      <c r="G103">
        <v>7.6</v>
      </c>
      <c r="H103">
        <v>6.3</v>
      </c>
      <c r="I103">
        <v>9.3000000000000007</v>
      </c>
      <c r="J103">
        <f t="shared" si="13"/>
        <v>944.70000000000016</v>
      </c>
      <c r="K103">
        <f t="shared" si="14"/>
        <v>944.70000000000016</v>
      </c>
      <c r="M103">
        <v>0.9</v>
      </c>
      <c r="N103">
        <v>0.2</v>
      </c>
      <c r="O103">
        <f t="shared" si="10"/>
        <v>0.7</v>
      </c>
      <c r="Q103">
        <v>71</v>
      </c>
      <c r="R103">
        <f t="shared" ref="R103:R122" si="18">0.35+((Q103-5)/85)*(1-0.35)</f>
        <v>0.8547058823529412</v>
      </c>
      <c r="S103">
        <f t="shared" si="11"/>
        <v>0.17094117647058826</v>
      </c>
      <c r="T103">
        <f t="shared" si="12"/>
        <v>0.72905882352941176</v>
      </c>
      <c r="U103" s="2">
        <f t="shared" si="15"/>
        <v>49.965058823529425</v>
      </c>
      <c r="W103">
        <v>143</v>
      </c>
      <c r="X103">
        <f t="shared" si="16"/>
        <v>57759.9</v>
      </c>
      <c r="Y103">
        <f t="shared" si="17"/>
        <v>57759.9</v>
      </c>
      <c r="Z103">
        <v>9.2661121329669811</v>
      </c>
    </row>
    <row r="104" spans="1:26" x14ac:dyDescent="0.35">
      <c r="A104">
        <v>5160</v>
      </c>
      <c r="B104">
        <v>23050</v>
      </c>
      <c r="C104" s="1">
        <v>43049</v>
      </c>
      <c r="F104" s="54"/>
      <c r="G104">
        <v>9.6999999999999993</v>
      </c>
      <c r="H104">
        <v>7.6</v>
      </c>
      <c r="I104">
        <v>11</v>
      </c>
      <c r="J104">
        <f t="shared" si="13"/>
        <v>954.4000000000002</v>
      </c>
      <c r="K104">
        <f t="shared" si="14"/>
        <v>954.4000000000002</v>
      </c>
      <c r="M104">
        <v>1.5</v>
      </c>
      <c r="N104">
        <v>0.2</v>
      </c>
      <c r="O104">
        <f t="shared" si="10"/>
        <v>1.3</v>
      </c>
      <c r="Q104">
        <v>72</v>
      </c>
      <c r="R104">
        <f t="shared" si="18"/>
        <v>0.86235294117647054</v>
      </c>
      <c r="S104">
        <f t="shared" si="11"/>
        <v>0.17247058823529413</v>
      </c>
      <c r="T104">
        <f t="shared" si="12"/>
        <v>1.3275294117647058</v>
      </c>
      <c r="U104" s="2">
        <f t="shared" si="15"/>
        <v>51.292588235294133</v>
      </c>
      <c r="W104">
        <v>254.9</v>
      </c>
      <c r="X104">
        <f t="shared" si="16"/>
        <v>58014.8</v>
      </c>
      <c r="Y104">
        <f t="shared" si="17"/>
        <v>58014.8</v>
      </c>
      <c r="Z104">
        <v>9.2205807680822787</v>
      </c>
    </row>
    <row r="105" spans="1:26" x14ac:dyDescent="0.35">
      <c r="A105">
        <v>5160</v>
      </c>
      <c r="B105">
        <v>23050</v>
      </c>
      <c r="C105" s="1">
        <v>43050</v>
      </c>
      <c r="F105" s="54"/>
      <c r="G105">
        <v>11.4</v>
      </c>
      <c r="H105">
        <v>9.1</v>
      </c>
      <c r="I105">
        <v>12.9</v>
      </c>
      <c r="J105">
        <f t="shared" si="13"/>
        <v>965.80000000000018</v>
      </c>
      <c r="K105">
        <f t="shared" si="14"/>
        <v>965.80000000000018</v>
      </c>
      <c r="M105">
        <v>2.9</v>
      </c>
      <c r="N105">
        <v>0.2</v>
      </c>
      <c r="O105">
        <f t="shared" si="10"/>
        <v>2.6999999999999997</v>
      </c>
      <c r="Q105">
        <v>73</v>
      </c>
      <c r="R105">
        <f t="shared" si="18"/>
        <v>0.87</v>
      </c>
      <c r="S105">
        <f t="shared" si="11"/>
        <v>0.17400000000000002</v>
      </c>
      <c r="T105">
        <f t="shared" si="12"/>
        <v>2.726</v>
      </c>
      <c r="U105" s="2">
        <f t="shared" si="15"/>
        <v>54.018588235294132</v>
      </c>
      <c r="W105">
        <v>144.30000000000001</v>
      </c>
      <c r="X105">
        <f t="shared" si="16"/>
        <v>58159.100000000006</v>
      </c>
      <c r="Y105">
        <f t="shared" si="17"/>
        <v>58159.100000000006</v>
      </c>
      <c r="Z105">
        <v>9.1757356306201672</v>
      </c>
    </row>
    <row r="106" spans="1:26" x14ac:dyDescent="0.35">
      <c r="A106">
        <v>5160</v>
      </c>
      <c r="B106">
        <v>23050</v>
      </c>
      <c r="C106" s="1">
        <v>43051</v>
      </c>
      <c r="F106" s="54"/>
      <c r="G106">
        <v>8.3000000000000007</v>
      </c>
      <c r="H106">
        <v>5.0999999999999996</v>
      </c>
      <c r="I106">
        <v>11.2</v>
      </c>
      <c r="J106">
        <f t="shared" si="13"/>
        <v>974.10000000000014</v>
      </c>
      <c r="K106">
        <f t="shared" si="14"/>
        <v>974.10000000000014</v>
      </c>
      <c r="M106">
        <v>2.2999999999999998</v>
      </c>
      <c r="N106">
        <v>0.3</v>
      </c>
      <c r="O106">
        <f t="shared" si="10"/>
        <v>1.9999999999999998</v>
      </c>
      <c r="Q106">
        <v>74</v>
      </c>
      <c r="R106">
        <f t="shared" si="18"/>
        <v>0.87764705882352945</v>
      </c>
      <c r="S106">
        <f t="shared" si="11"/>
        <v>0.26329411764705885</v>
      </c>
      <c r="T106">
        <f t="shared" si="12"/>
        <v>2.0367058823529409</v>
      </c>
      <c r="U106" s="2">
        <f t="shared" si="15"/>
        <v>56.055294117647072</v>
      </c>
      <c r="W106">
        <v>351.8</v>
      </c>
      <c r="X106">
        <f t="shared" si="16"/>
        <v>58510.900000000009</v>
      </c>
      <c r="Y106">
        <f t="shared" si="17"/>
        <v>58510.900000000009</v>
      </c>
      <c r="Z106">
        <v>9.1315989633139694</v>
      </c>
    </row>
    <row r="107" spans="1:26" x14ac:dyDescent="0.35">
      <c r="A107">
        <v>5160</v>
      </c>
      <c r="B107">
        <v>23050</v>
      </c>
      <c r="C107" s="1">
        <v>43052</v>
      </c>
      <c r="F107" s="54"/>
      <c r="G107">
        <v>4.0999999999999996</v>
      </c>
      <c r="H107">
        <v>2.2999999999999998</v>
      </c>
      <c r="I107">
        <v>9.1</v>
      </c>
      <c r="J107">
        <f t="shared" si="13"/>
        <v>978.20000000000016</v>
      </c>
      <c r="K107">
        <f t="shared" si="14"/>
        <v>978.20000000000016</v>
      </c>
      <c r="M107">
        <v>0</v>
      </c>
      <c r="N107">
        <v>1</v>
      </c>
      <c r="O107">
        <f t="shared" si="10"/>
        <v>-1</v>
      </c>
      <c r="Q107">
        <v>75</v>
      </c>
      <c r="R107">
        <f t="shared" si="18"/>
        <v>0.88529411764705879</v>
      </c>
      <c r="S107">
        <f t="shared" si="11"/>
        <v>0.88529411764705879</v>
      </c>
      <c r="T107">
        <f t="shared" si="12"/>
        <v>-0.88529411764705879</v>
      </c>
      <c r="U107" s="2">
        <f t="shared" si="15"/>
        <v>55.170000000000016</v>
      </c>
      <c r="W107">
        <v>342.5</v>
      </c>
      <c r="X107">
        <f t="shared" si="16"/>
        <v>58853.400000000009</v>
      </c>
      <c r="Y107">
        <f t="shared" si="17"/>
        <v>58853.400000000009</v>
      </c>
      <c r="Z107">
        <v>9.0881932556453684</v>
      </c>
    </row>
    <row r="108" spans="1:26" x14ac:dyDescent="0.35">
      <c r="A108">
        <v>5160</v>
      </c>
      <c r="B108">
        <v>23050</v>
      </c>
      <c r="C108" s="1">
        <v>43053</v>
      </c>
      <c r="F108" s="54"/>
      <c r="G108">
        <v>3.6</v>
      </c>
      <c r="H108">
        <v>-0.2</v>
      </c>
      <c r="I108">
        <v>9.1</v>
      </c>
      <c r="J108">
        <f t="shared" si="13"/>
        <v>981.80000000000018</v>
      </c>
      <c r="K108">
        <f t="shared" si="14"/>
        <v>981.80000000000018</v>
      </c>
      <c r="M108">
        <v>0</v>
      </c>
      <c r="N108">
        <v>1</v>
      </c>
      <c r="O108">
        <f t="shared" si="10"/>
        <v>-1</v>
      </c>
      <c r="Q108">
        <v>76</v>
      </c>
      <c r="R108">
        <f t="shared" si="18"/>
        <v>0.89294117647058824</v>
      </c>
      <c r="S108">
        <f t="shared" si="11"/>
        <v>0.89294117647058824</v>
      </c>
      <c r="T108">
        <f t="shared" si="12"/>
        <v>-0.89294117647058824</v>
      </c>
      <c r="U108" s="2">
        <f t="shared" si="15"/>
        <v>54.27705882352943</v>
      </c>
      <c r="W108">
        <v>738.9</v>
      </c>
      <c r="X108">
        <f t="shared" si="16"/>
        <v>59592.30000000001</v>
      </c>
      <c r="Y108">
        <f t="shared" si="17"/>
        <v>59592.30000000001</v>
      </c>
      <c r="Z108">
        <v>9.045541218676151</v>
      </c>
    </row>
    <row r="109" spans="1:26" x14ac:dyDescent="0.35">
      <c r="A109">
        <v>5160</v>
      </c>
      <c r="B109">
        <v>23050</v>
      </c>
      <c r="C109" s="1">
        <v>43054</v>
      </c>
      <c r="E109" t="s">
        <v>35</v>
      </c>
      <c r="F109" s="54"/>
      <c r="G109">
        <v>5.2</v>
      </c>
      <c r="H109">
        <v>1.6</v>
      </c>
      <c r="I109">
        <v>8.8000000000000007</v>
      </c>
      <c r="J109">
        <f t="shared" si="13"/>
        <v>987.00000000000023</v>
      </c>
      <c r="K109">
        <f t="shared" si="14"/>
        <v>987.00000000000023</v>
      </c>
      <c r="M109">
        <v>0.1</v>
      </c>
      <c r="N109">
        <v>0.7</v>
      </c>
      <c r="O109">
        <f t="shared" si="10"/>
        <v>-0.6</v>
      </c>
      <c r="Q109">
        <v>77</v>
      </c>
      <c r="R109">
        <f t="shared" si="18"/>
        <v>0.90058823529411769</v>
      </c>
      <c r="S109">
        <f t="shared" si="11"/>
        <v>0.63041176470588234</v>
      </c>
      <c r="T109">
        <f t="shared" si="12"/>
        <v>-0.53041176470588236</v>
      </c>
      <c r="U109" s="2">
        <f t="shared" si="15"/>
        <v>53.746647058823548</v>
      </c>
      <c r="W109">
        <v>429.9</v>
      </c>
      <c r="X109">
        <f t="shared" si="16"/>
        <v>60022.200000000012</v>
      </c>
      <c r="Y109">
        <f t="shared" si="17"/>
        <v>60022.200000000012</v>
      </c>
      <c r="Z109">
        <v>9.0036657578448196</v>
      </c>
    </row>
    <row r="110" spans="1:26" x14ac:dyDescent="0.35">
      <c r="A110">
        <v>5160</v>
      </c>
      <c r="B110">
        <v>23050</v>
      </c>
      <c r="C110" s="1">
        <v>43055</v>
      </c>
      <c r="E110">
        <v>1</v>
      </c>
      <c r="F110" s="54"/>
      <c r="G110">
        <v>4.3</v>
      </c>
      <c r="H110">
        <v>3.7</v>
      </c>
      <c r="I110">
        <v>5</v>
      </c>
      <c r="J110">
        <f t="shared" si="13"/>
        <v>991.30000000000018</v>
      </c>
      <c r="K110">
        <f t="shared" si="14"/>
        <v>991.30000000000018</v>
      </c>
      <c r="M110">
        <v>0</v>
      </c>
      <c r="N110">
        <v>0.3</v>
      </c>
      <c r="O110">
        <f t="shared" si="10"/>
        <v>-0.3</v>
      </c>
      <c r="Q110">
        <v>78</v>
      </c>
      <c r="R110">
        <f t="shared" si="18"/>
        <v>0.90823529411764703</v>
      </c>
      <c r="S110">
        <f t="shared" si="11"/>
        <v>0.27247058823529408</v>
      </c>
      <c r="T110">
        <f t="shared" si="12"/>
        <v>-0.27247058823529408</v>
      </c>
      <c r="U110" s="2">
        <f t="shared" si="15"/>
        <v>53.474176470588255</v>
      </c>
      <c r="W110">
        <v>227.9</v>
      </c>
      <c r="X110">
        <f t="shared" si="16"/>
        <v>60250.100000000013</v>
      </c>
      <c r="Y110">
        <f t="shared" si="17"/>
        <v>60250.100000000013</v>
      </c>
      <c r="Z110">
        <v>8.9625899437191912</v>
      </c>
    </row>
    <row r="111" spans="1:26" x14ac:dyDescent="0.35">
      <c r="A111">
        <v>5160</v>
      </c>
      <c r="B111">
        <v>23050</v>
      </c>
      <c r="C111" s="1">
        <v>43056</v>
      </c>
      <c r="F111" s="54"/>
      <c r="G111">
        <v>6.7</v>
      </c>
      <c r="H111">
        <v>3.4</v>
      </c>
      <c r="I111">
        <v>9.3000000000000007</v>
      </c>
      <c r="J111">
        <f t="shared" si="13"/>
        <v>998.00000000000023</v>
      </c>
      <c r="K111">
        <f t="shared" si="14"/>
        <v>998.00000000000023</v>
      </c>
      <c r="M111">
        <v>0.1</v>
      </c>
      <c r="N111">
        <v>0.1</v>
      </c>
      <c r="O111">
        <f t="shared" si="10"/>
        <v>0</v>
      </c>
      <c r="Q111">
        <v>79</v>
      </c>
      <c r="R111">
        <f t="shared" si="18"/>
        <v>0.91588235294117648</v>
      </c>
      <c r="S111">
        <f t="shared" si="11"/>
        <v>9.1588235294117651E-2</v>
      </c>
      <c r="T111">
        <f t="shared" si="12"/>
        <v>8.4117647058823547E-3</v>
      </c>
      <c r="U111" s="2">
        <f t="shared" si="15"/>
        <v>53.482588235294138</v>
      </c>
      <c r="W111">
        <v>210.6</v>
      </c>
      <c r="X111">
        <f t="shared" si="16"/>
        <v>60460.700000000012</v>
      </c>
      <c r="Y111">
        <f t="shared" si="17"/>
        <v>60460.700000000012</v>
      </c>
      <c r="Z111">
        <v>8.9223369807063477</v>
      </c>
    </row>
    <row r="112" spans="1:26" x14ac:dyDescent="0.35">
      <c r="A112">
        <v>5160</v>
      </c>
      <c r="B112">
        <v>23050</v>
      </c>
      <c r="C112" s="1">
        <v>43057</v>
      </c>
      <c r="F112" s="54"/>
      <c r="G112">
        <v>5.6</v>
      </c>
      <c r="H112">
        <v>3.6</v>
      </c>
      <c r="I112">
        <v>8.1</v>
      </c>
      <c r="J112">
        <f t="shared" si="13"/>
        <v>1003.6000000000003</v>
      </c>
      <c r="K112">
        <f t="shared" si="14"/>
        <v>1003.6000000000003</v>
      </c>
      <c r="M112">
        <v>0.1</v>
      </c>
      <c r="N112">
        <v>0.3</v>
      </c>
      <c r="O112">
        <f t="shared" si="10"/>
        <v>-0.19999999999999998</v>
      </c>
      <c r="Q112">
        <v>80</v>
      </c>
      <c r="R112">
        <f t="shared" si="18"/>
        <v>0.92352941176470582</v>
      </c>
      <c r="S112">
        <f t="shared" si="11"/>
        <v>0.27705882352941175</v>
      </c>
      <c r="T112">
        <f t="shared" si="12"/>
        <v>-0.17705882352941174</v>
      </c>
      <c r="U112" s="2">
        <f t="shared" si="15"/>
        <v>53.305529411764724</v>
      </c>
      <c r="W112">
        <v>186.7</v>
      </c>
      <c r="X112">
        <f t="shared" si="16"/>
        <v>60647.400000000009</v>
      </c>
      <c r="Y112">
        <f t="shared" si="17"/>
        <v>60647.400000000009</v>
      </c>
      <c r="Z112">
        <v>8.88293017373271</v>
      </c>
    </row>
    <row r="113" spans="1:27" x14ac:dyDescent="0.35">
      <c r="A113">
        <v>5160</v>
      </c>
      <c r="B113">
        <v>23050</v>
      </c>
      <c r="C113" s="1">
        <v>43058</v>
      </c>
      <c r="F113" s="54"/>
      <c r="G113">
        <v>6</v>
      </c>
      <c r="H113">
        <v>3.8</v>
      </c>
      <c r="I113">
        <v>7.9</v>
      </c>
      <c r="J113">
        <f t="shared" si="13"/>
        <v>1009.6000000000003</v>
      </c>
      <c r="K113">
        <f t="shared" si="14"/>
        <v>1009.6000000000003</v>
      </c>
      <c r="M113">
        <v>0.2</v>
      </c>
      <c r="N113">
        <v>0.2</v>
      </c>
      <c r="O113">
        <f t="shared" si="10"/>
        <v>0</v>
      </c>
      <c r="Q113">
        <v>81</v>
      </c>
      <c r="R113">
        <f t="shared" si="18"/>
        <v>0.93117647058823527</v>
      </c>
      <c r="S113">
        <f t="shared" si="11"/>
        <v>0.18623529411764705</v>
      </c>
      <c r="T113">
        <f t="shared" si="12"/>
        <v>1.3764705882352957E-2</v>
      </c>
      <c r="U113" s="2">
        <f t="shared" si="15"/>
        <v>53.319294117647075</v>
      </c>
      <c r="W113">
        <v>270.60000000000002</v>
      </c>
      <c r="X113">
        <f t="shared" si="16"/>
        <v>60918.000000000007</v>
      </c>
      <c r="Y113">
        <f t="shared" si="17"/>
        <v>60918.000000000007</v>
      </c>
      <c r="Z113">
        <v>8.8443928929191156</v>
      </c>
    </row>
    <row r="114" spans="1:27" x14ac:dyDescent="0.35">
      <c r="A114">
        <v>5160</v>
      </c>
      <c r="B114">
        <v>23050</v>
      </c>
      <c r="C114" s="1">
        <v>43059</v>
      </c>
      <c r="F114" s="54"/>
      <c r="G114">
        <v>7.6</v>
      </c>
      <c r="H114">
        <v>4.5</v>
      </c>
      <c r="I114">
        <v>9.3000000000000007</v>
      </c>
      <c r="J114">
        <f t="shared" si="13"/>
        <v>1017.2000000000003</v>
      </c>
      <c r="K114">
        <f t="shared" si="14"/>
        <v>1017.2000000000003</v>
      </c>
      <c r="M114">
        <v>0.1</v>
      </c>
      <c r="N114">
        <v>0.1</v>
      </c>
      <c r="O114">
        <f t="shared" si="10"/>
        <v>0</v>
      </c>
      <c r="Q114">
        <v>82</v>
      </c>
      <c r="R114">
        <f t="shared" si="18"/>
        <v>0.93882352941176472</v>
      </c>
      <c r="S114">
        <f t="shared" si="11"/>
        <v>9.3882352941176472E-2</v>
      </c>
      <c r="T114">
        <f t="shared" si="12"/>
        <v>6.1176470588235332E-3</v>
      </c>
      <c r="U114" s="2">
        <f t="shared" si="15"/>
        <v>53.325411764705898</v>
      </c>
      <c r="W114">
        <v>196.5</v>
      </c>
      <c r="X114">
        <f t="shared" si="16"/>
        <v>61114.500000000007</v>
      </c>
      <c r="Y114">
        <f t="shared" si="17"/>
        <v>61114.500000000007</v>
      </c>
      <c r="Z114">
        <v>8.8067485362889073</v>
      </c>
    </row>
    <row r="115" spans="1:27" x14ac:dyDescent="0.35">
      <c r="A115">
        <v>5160</v>
      </c>
      <c r="B115">
        <v>23050</v>
      </c>
      <c r="C115" s="1">
        <v>43060</v>
      </c>
      <c r="F115" s="54"/>
      <c r="G115">
        <v>8.1</v>
      </c>
      <c r="H115">
        <v>7.6</v>
      </c>
      <c r="I115">
        <v>8.6</v>
      </c>
      <c r="J115">
        <f t="shared" si="13"/>
        <v>1025.3000000000002</v>
      </c>
      <c r="K115">
        <f t="shared" si="14"/>
        <v>1025.3000000000002</v>
      </c>
      <c r="M115">
        <v>0</v>
      </c>
      <c r="N115">
        <v>0.3</v>
      </c>
      <c r="O115">
        <f t="shared" si="10"/>
        <v>-0.3</v>
      </c>
      <c r="Q115">
        <v>83</v>
      </c>
      <c r="R115">
        <f t="shared" si="18"/>
        <v>0.94647058823529406</v>
      </c>
      <c r="S115">
        <f t="shared" si="11"/>
        <v>0.2839411764705882</v>
      </c>
      <c r="T115">
        <f t="shared" si="12"/>
        <v>-0.2839411764705882</v>
      </c>
      <c r="U115" s="2">
        <f t="shared" si="15"/>
        <v>53.041470588235306</v>
      </c>
      <c r="W115">
        <v>248.8</v>
      </c>
      <c r="X115">
        <f t="shared" si="16"/>
        <v>61363.30000000001</v>
      </c>
      <c r="Y115">
        <f t="shared" si="17"/>
        <v>61363.30000000001</v>
      </c>
      <c r="Z115">
        <v>8.7700204905608743</v>
      </c>
    </row>
    <row r="116" spans="1:27" x14ac:dyDescent="0.35">
      <c r="A116">
        <v>5160</v>
      </c>
      <c r="B116">
        <v>23050</v>
      </c>
      <c r="C116" s="1">
        <v>43061</v>
      </c>
      <c r="F116" s="54"/>
      <c r="G116">
        <v>10.6</v>
      </c>
      <c r="H116">
        <v>5.5</v>
      </c>
      <c r="I116">
        <v>13.5</v>
      </c>
      <c r="J116">
        <f t="shared" si="13"/>
        <v>1035.9000000000001</v>
      </c>
      <c r="K116">
        <f t="shared" si="14"/>
        <v>1035.9000000000001</v>
      </c>
      <c r="M116">
        <v>0.1</v>
      </c>
      <c r="N116">
        <v>1.4</v>
      </c>
      <c r="O116">
        <f t="shared" si="10"/>
        <v>-1.2999999999999998</v>
      </c>
      <c r="Q116">
        <v>84</v>
      </c>
      <c r="R116">
        <f t="shared" si="18"/>
        <v>0.95411764705882351</v>
      </c>
      <c r="S116">
        <f t="shared" si="11"/>
        <v>1.3357647058823527</v>
      </c>
      <c r="T116">
        <f t="shared" si="12"/>
        <v>-1.2357647058823527</v>
      </c>
      <c r="U116" s="2">
        <f t="shared" si="15"/>
        <v>51.805705882352953</v>
      </c>
      <c r="W116">
        <v>658.3</v>
      </c>
      <c r="X116">
        <f t="shared" si="16"/>
        <v>62021.600000000013</v>
      </c>
      <c r="Y116">
        <f t="shared" si="17"/>
        <v>62021.600000000013</v>
      </c>
      <c r="Z116">
        <v>8.7342320900935455</v>
      </c>
    </row>
    <row r="117" spans="1:27" x14ac:dyDescent="0.35">
      <c r="A117">
        <v>5160</v>
      </c>
      <c r="B117">
        <v>23050</v>
      </c>
      <c r="C117" s="1">
        <v>43062</v>
      </c>
      <c r="F117" s="54"/>
      <c r="G117">
        <v>13.8</v>
      </c>
      <c r="H117">
        <v>12.5</v>
      </c>
      <c r="I117">
        <v>16</v>
      </c>
      <c r="J117">
        <f t="shared" si="13"/>
        <v>1049.7</v>
      </c>
      <c r="K117">
        <f t="shared" si="14"/>
        <v>1049.7</v>
      </c>
      <c r="M117">
        <v>5.8</v>
      </c>
      <c r="N117">
        <v>2.1</v>
      </c>
      <c r="O117">
        <f t="shared" si="10"/>
        <v>3.6999999999999997</v>
      </c>
      <c r="Q117">
        <v>85</v>
      </c>
      <c r="R117">
        <f t="shared" si="18"/>
        <v>0.96176470588235297</v>
      </c>
      <c r="S117">
        <f t="shared" si="11"/>
        <v>2.0197058823529415</v>
      </c>
      <c r="T117">
        <f t="shared" si="12"/>
        <v>3.7802941176470584</v>
      </c>
      <c r="U117" s="2">
        <f t="shared" si="15"/>
        <v>55.586000000000013</v>
      </c>
      <c r="W117">
        <v>363.1</v>
      </c>
      <c r="X117">
        <f t="shared" si="16"/>
        <v>62384.700000000012</v>
      </c>
      <c r="Y117">
        <f t="shared" si="17"/>
        <v>62384.700000000012</v>
      </c>
      <c r="Z117">
        <v>8.6994065740626283</v>
      </c>
    </row>
    <row r="118" spans="1:27" x14ac:dyDescent="0.35">
      <c r="A118">
        <v>5160</v>
      </c>
      <c r="B118">
        <v>23050</v>
      </c>
      <c r="C118" s="1">
        <v>43063</v>
      </c>
      <c r="F118" s="54"/>
      <c r="G118">
        <v>11.1</v>
      </c>
      <c r="H118">
        <v>9.1</v>
      </c>
      <c r="I118">
        <v>13.2</v>
      </c>
      <c r="J118">
        <f t="shared" si="13"/>
        <v>1060.8</v>
      </c>
      <c r="K118">
        <f t="shared" si="14"/>
        <v>1060.8</v>
      </c>
      <c r="M118">
        <v>0.9</v>
      </c>
      <c r="N118">
        <v>0.6</v>
      </c>
      <c r="O118">
        <f t="shared" si="10"/>
        <v>0.30000000000000004</v>
      </c>
      <c r="Q118">
        <v>86</v>
      </c>
      <c r="R118">
        <f t="shared" si="18"/>
        <v>0.96941176470588231</v>
      </c>
      <c r="S118">
        <f t="shared" si="11"/>
        <v>0.58164705882352941</v>
      </c>
      <c r="T118">
        <f t="shared" si="12"/>
        <v>0.31835294117647062</v>
      </c>
      <c r="U118" s="2">
        <f t="shared" si="15"/>
        <v>55.904352941176484</v>
      </c>
      <c r="W118">
        <v>120.6</v>
      </c>
      <c r="X118">
        <f t="shared" si="16"/>
        <v>62505.30000000001</v>
      </c>
      <c r="Y118">
        <f t="shared" si="17"/>
        <v>62505.30000000001</v>
      </c>
      <c r="Z118">
        <v>8.6655670419692452</v>
      </c>
    </row>
    <row r="119" spans="1:27" x14ac:dyDescent="0.35">
      <c r="A119">
        <v>5160</v>
      </c>
      <c r="B119">
        <v>23050</v>
      </c>
      <c r="C119" s="1">
        <v>43064</v>
      </c>
      <c r="E119">
        <v>2</v>
      </c>
      <c r="F119" s="54"/>
      <c r="G119">
        <v>4.5999999999999996</v>
      </c>
      <c r="H119">
        <v>2.8</v>
      </c>
      <c r="I119">
        <v>6.5</v>
      </c>
      <c r="J119">
        <f t="shared" si="13"/>
        <v>1065.3999999999999</v>
      </c>
      <c r="K119">
        <f t="shared" si="14"/>
        <v>1065.3999999999999</v>
      </c>
      <c r="M119">
        <v>0.2</v>
      </c>
      <c r="N119">
        <v>0.3</v>
      </c>
      <c r="O119">
        <f t="shared" si="10"/>
        <v>-9.9999999999999978E-2</v>
      </c>
      <c r="Q119">
        <v>87</v>
      </c>
      <c r="R119">
        <f t="shared" si="18"/>
        <v>0.97705882352941176</v>
      </c>
      <c r="S119">
        <f t="shared" si="11"/>
        <v>0.29311764705882354</v>
      </c>
      <c r="T119">
        <f t="shared" si="12"/>
        <v>-9.3117647058823527E-2</v>
      </c>
      <c r="U119" s="2">
        <f t="shared" si="15"/>
        <v>55.811235294117658</v>
      </c>
      <c r="W119">
        <v>272.7</v>
      </c>
      <c r="X119">
        <f t="shared" si="16"/>
        <v>62778.000000000007</v>
      </c>
      <c r="Y119">
        <f t="shared" si="17"/>
        <v>62778.000000000007</v>
      </c>
      <c r="Z119">
        <v>8.6327364075929296</v>
      </c>
    </row>
    <row r="120" spans="1:27" x14ac:dyDescent="0.35">
      <c r="A120">
        <v>5160</v>
      </c>
      <c r="B120">
        <v>23050</v>
      </c>
      <c r="C120" s="1">
        <v>43065</v>
      </c>
      <c r="E120">
        <v>3</v>
      </c>
      <c r="F120" s="54"/>
      <c r="G120">
        <v>3.7</v>
      </c>
      <c r="H120">
        <v>-0.7</v>
      </c>
      <c r="I120">
        <v>7.4</v>
      </c>
      <c r="J120">
        <f t="shared" si="13"/>
        <v>1069.0999999999999</v>
      </c>
      <c r="K120">
        <f t="shared" si="14"/>
        <v>1069.0999999999999</v>
      </c>
      <c r="M120">
        <v>0.1</v>
      </c>
      <c r="N120">
        <v>0.4</v>
      </c>
      <c r="O120">
        <f t="shared" si="10"/>
        <v>-0.30000000000000004</v>
      </c>
      <c r="Q120">
        <v>88</v>
      </c>
      <c r="R120">
        <f t="shared" si="18"/>
        <v>0.98470588235294121</v>
      </c>
      <c r="S120">
        <f t="shared" si="11"/>
        <v>0.39388235294117652</v>
      </c>
      <c r="T120">
        <f t="shared" si="12"/>
        <v>-0.29388235294117648</v>
      </c>
      <c r="U120" s="2">
        <f t="shared" si="15"/>
        <v>55.517352941176483</v>
      </c>
      <c r="W120">
        <v>474.4</v>
      </c>
      <c r="X120">
        <f t="shared" si="16"/>
        <v>63252.400000000009</v>
      </c>
      <c r="Y120">
        <f t="shared" si="17"/>
        <v>63252.400000000009</v>
      </c>
      <c r="Z120">
        <v>8.600937351519887</v>
      </c>
    </row>
    <row r="121" spans="1:27" x14ac:dyDescent="0.35">
      <c r="A121">
        <v>5160</v>
      </c>
      <c r="B121">
        <v>23050</v>
      </c>
      <c r="C121" s="1">
        <v>43066</v>
      </c>
      <c r="F121" s="54"/>
      <c r="G121">
        <v>6.7</v>
      </c>
      <c r="H121">
        <v>3.7</v>
      </c>
      <c r="I121">
        <v>8.5</v>
      </c>
      <c r="J121">
        <f t="shared" si="13"/>
        <v>1075.8</v>
      </c>
      <c r="K121">
        <f t="shared" si="14"/>
        <v>1075.8</v>
      </c>
      <c r="M121">
        <v>8.9</v>
      </c>
      <c r="N121">
        <v>0.7</v>
      </c>
      <c r="O121">
        <f t="shared" si="10"/>
        <v>8.2000000000000011</v>
      </c>
      <c r="Q121">
        <v>89</v>
      </c>
      <c r="R121">
        <f t="shared" si="18"/>
        <v>0.99235294117647066</v>
      </c>
      <c r="S121">
        <f t="shared" si="11"/>
        <v>0.6946470588235294</v>
      </c>
      <c r="T121">
        <f t="shared" si="12"/>
        <v>8.2053529411764714</v>
      </c>
      <c r="U121" s="2">
        <f t="shared" si="15"/>
        <v>63.722705882352955</v>
      </c>
      <c r="W121">
        <v>204</v>
      </c>
      <c r="X121">
        <f t="shared" si="16"/>
        <v>63456.400000000009</v>
      </c>
      <c r="Y121">
        <f t="shared" si="17"/>
        <v>63456.400000000009</v>
      </c>
      <c r="Z121">
        <v>8.5701922723938182</v>
      </c>
    </row>
    <row r="122" spans="1:27" s="6" customFormat="1" ht="15" thickBot="1" x14ac:dyDescent="0.4">
      <c r="A122" s="6">
        <v>5160</v>
      </c>
      <c r="B122" s="6">
        <v>23050</v>
      </c>
      <c r="C122" s="7">
        <v>43067</v>
      </c>
      <c r="F122" s="55"/>
      <c r="G122" s="6">
        <v>6.5</v>
      </c>
      <c r="H122" s="6">
        <v>5.5</v>
      </c>
      <c r="I122" s="6">
        <v>9.1</v>
      </c>
      <c r="J122" s="6">
        <f t="shared" si="13"/>
        <v>1082.3</v>
      </c>
      <c r="K122" s="6">
        <f t="shared" si="14"/>
        <v>1082.3</v>
      </c>
      <c r="M122" s="6">
        <v>1.8</v>
      </c>
      <c r="N122" s="6">
        <v>0.7</v>
      </c>
      <c r="O122" s="6">
        <f t="shared" si="10"/>
        <v>1.1000000000000001</v>
      </c>
      <c r="Q122" s="6">
        <v>90</v>
      </c>
      <c r="R122" s="6">
        <f t="shared" si="18"/>
        <v>1</v>
      </c>
      <c r="S122" s="6">
        <f t="shared" si="11"/>
        <v>0.7</v>
      </c>
      <c r="T122" s="6">
        <f t="shared" si="12"/>
        <v>1.1000000000000001</v>
      </c>
      <c r="U122" s="9">
        <f t="shared" si="15"/>
        <v>64.822705882352949</v>
      </c>
      <c r="W122" s="6">
        <v>190.3</v>
      </c>
      <c r="X122" s="6">
        <f t="shared" si="16"/>
        <v>63646.700000000012</v>
      </c>
      <c r="Y122" s="6">
        <f t="shared" si="17"/>
        <v>63646.700000000012</v>
      </c>
      <c r="Z122" s="6">
        <v>8.5405232370532556</v>
      </c>
    </row>
    <row r="123" spans="1:27" x14ac:dyDescent="0.35">
      <c r="A123">
        <v>5160</v>
      </c>
      <c r="B123">
        <v>23050</v>
      </c>
      <c r="C123" s="1">
        <v>43068</v>
      </c>
      <c r="E123">
        <v>4</v>
      </c>
      <c r="F123" s="50" t="s">
        <v>52</v>
      </c>
      <c r="G123">
        <v>2.1</v>
      </c>
      <c r="H123">
        <v>-0.7</v>
      </c>
      <c r="I123">
        <v>5.5</v>
      </c>
      <c r="J123">
        <f t="shared" si="13"/>
        <v>1084.3999999999999</v>
      </c>
      <c r="K123">
        <f>G123</f>
        <v>2.1</v>
      </c>
      <c r="L123" s="13" t="s">
        <v>36</v>
      </c>
      <c r="M123">
        <v>0.2</v>
      </c>
      <c r="N123">
        <v>0.3</v>
      </c>
      <c r="O123">
        <f t="shared" si="10"/>
        <v>-9.9999999999999978E-2</v>
      </c>
      <c r="Q123">
        <v>91</v>
      </c>
      <c r="R123">
        <v>1</v>
      </c>
      <c r="S123">
        <f t="shared" si="11"/>
        <v>0.3</v>
      </c>
      <c r="T123">
        <f t="shared" si="12"/>
        <v>-9.9999999999999978E-2</v>
      </c>
      <c r="U123" s="2">
        <f t="shared" si="15"/>
        <v>64.722705882352955</v>
      </c>
      <c r="V123" s="14" t="s">
        <v>43</v>
      </c>
      <c r="W123">
        <v>373.4</v>
      </c>
      <c r="X123">
        <f t="shared" si="16"/>
        <v>64020.100000000013</v>
      </c>
      <c r="Y123">
        <f>W123</f>
        <v>373.4</v>
      </c>
      <c r="Z123">
        <v>8.5119519297357726</v>
      </c>
      <c r="AA123" s="14" t="s">
        <v>48</v>
      </c>
    </row>
    <row r="124" spans="1:27" x14ac:dyDescent="0.35">
      <c r="A124">
        <v>5160</v>
      </c>
      <c r="B124">
        <v>23050</v>
      </c>
      <c r="C124" s="1">
        <v>43069</v>
      </c>
      <c r="E124">
        <v>5</v>
      </c>
      <c r="F124" s="51"/>
      <c r="G124">
        <v>1.3</v>
      </c>
      <c r="H124">
        <v>-0.4</v>
      </c>
      <c r="I124">
        <v>4.5999999999999996</v>
      </c>
      <c r="J124">
        <f t="shared" si="13"/>
        <v>1085.6999999999998</v>
      </c>
      <c r="K124">
        <f t="shared" si="14"/>
        <v>3.4000000000000004</v>
      </c>
      <c r="L124" s="11">
        <v>459.8</v>
      </c>
      <c r="M124">
        <v>0.6</v>
      </c>
      <c r="N124">
        <v>0.5</v>
      </c>
      <c r="O124">
        <f t="shared" si="10"/>
        <v>9.9999999999999978E-2</v>
      </c>
      <c r="Q124">
        <v>92</v>
      </c>
      <c r="R124">
        <v>1</v>
      </c>
      <c r="S124">
        <f t="shared" si="11"/>
        <v>0.5</v>
      </c>
      <c r="T124">
        <f t="shared" si="12"/>
        <v>9.9999999999999978E-2</v>
      </c>
      <c r="U124" s="2">
        <f t="shared" si="15"/>
        <v>64.822705882352949</v>
      </c>
      <c r="V124">
        <v>0</v>
      </c>
      <c r="W124">
        <v>229.3</v>
      </c>
      <c r="X124">
        <f t="shared" si="16"/>
        <v>64249.400000000016</v>
      </c>
      <c r="Y124">
        <f t="shared" si="17"/>
        <v>602.70000000000005</v>
      </c>
      <c r="Z124">
        <v>8.4844996005455222</v>
      </c>
      <c r="AA124">
        <v>31894.2</v>
      </c>
    </row>
    <row r="125" spans="1:27" x14ac:dyDescent="0.35">
      <c r="A125">
        <v>5160</v>
      </c>
      <c r="B125">
        <v>23050</v>
      </c>
      <c r="C125" s="1">
        <v>43070</v>
      </c>
      <c r="E125">
        <v>6</v>
      </c>
      <c r="F125" s="51"/>
      <c r="G125">
        <v>1.1000000000000001</v>
      </c>
      <c r="H125">
        <v>-0.4</v>
      </c>
      <c r="I125">
        <v>2.2000000000000002</v>
      </c>
      <c r="J125">
        <f t="shared" si="13"/>
        <v>1086.7999999999997</v>
      </c>
      <c r="K125">
        <f t="shared" si="14"/>
        <v>4.5</v>
      </c>
      <c r="L125" s="13" t="s">
        <v>37</v>
      </c>
      <c r="M125">
        <v>0.5</v>
      </c>
      <c r="N125">
        <v>0.2</v>
      </c>
      <c r="O125">
        <f t="shared" si="10"/>
        <v>0.3</v>
      </c>
      <c r="Q125">
        <v>93</v>
      </c>
      <c r="R125">
        <v>1</v>
      </c>
      <c r="S125">
        <f t="shared" si="11"/>
        <v>0.2</v>
      </c>
      <c r="T125">
        <f t="shared" si="12"/>
        <v>0.3</v>
      </c>
      <c r="U125" s="2">
        <f t="shared" si="15"/>
        <v>65.122705882352946</v>
      </c>
      <c r="V125" s="14" t="s">
        <v>44</v>
      </c>
      <c r="W125">
        <v>173.8</v>
      </c>
      <c r="X125">
        <f t="shared" si="16"/>
        <v>64423.200000000019</v>
      </c>
      <c r="Y125">
        <f t="shared" si="17"/>
        <v>776.5</v>
      </c>
      <c r="Z125">
        <v>8.4581870133957828</v>
      </c>
      <c r="AA125" s="14" t="s">
        <v>49</v>
      </c>
    </row>
    <row r="126" spans="1:27" x14ac:dyDescent="0.35">
      <c r="A126">
        <v>5160</v>
      </c>
      <c r="B126">
        <v>23050</v>
      </c>
      <c r="C126" s="1">
        <v>43071</v>
      </c>
      <c r="E126">
        <v>7</v>
      </c>
      <c r="F126" s="51"/>
      <c r="G126">
        <v>-0.2</v>
      </c>
      <c r="H126">
        <v>-0.7</v>
      </c>
      <c r="I126">
        <v>0.6</v>
      </c>
      <c r="J126">
        <v>1086.8</v>
      </c>
      <c r="K126">
        <v>4.5</v>
      </c>
      <c r="L126" s="11">
        <f>AVERAGE(G123:G216)</f>
        <v>4.6595744680851059</v>
      </c>
      <c r="M126">
        <v>0</v>
      </c>
      <c r="N126">
        <v>0.2</v>
      </c>
      <c r="O126">
        <f t="shared" si="10"/>
        <v>-0.2</v>
      </c>
      <c r="Q126">
        <v>94</v>
      </c>
      <c r="R126">
        <v>1</v>
      </c>
      <c r="S126">
        <f t="shared" si="11"/>
        <v>0.2</v>
      </c>
      <c r="T126">
        <f t="shared" si="12"/>
        <v>-0.2</v>
      </c>
      <c r="U126" s="2">
        <f t="shared" si="15"/>
        <v>64.922705882352943</v>
      </c>
      <c r="V126">
        <v>0</v>
      </c>
      <c r="W126">
        <v>150.9</v>
      </c>
      <c r="X126">
        <f t="shared" si="16"/>
        <v>64574.10000000002</v>
      </c>
      <c r="Y126">
        <f t="shared" si="17"/>
        <v>927.4</v>
      </c>
      <c r="Z126">
        <v>8.4330343936527097</v>
      </c>
      <c r="AA126">
        <f>(AA124/100)/L124</f>
        <v>0.6936537625054372</v>
      </c>
    </row>
    <row r="127" spans="1:27" x14ac:dyDescent="0.35">
      <c r="A127">
        <v>5160</v>
      </c>
      <c r="B127">
        <v>23050</v>
      </c>
      <c r="C127" s="1">
        <v>43072</v>
      </c>
      <c r="E127">
        <v>8</v>
      </c>
      <c r="F127" s="51"/>
      <c r="G127">
        <v>0.1</v>
      </c>
      <c r="H127">
        <v>-2.2999999999999998</v>
      </c>
      <c r="I127">
        <v>4.3</v>
      </c>
      <c r="J127">
        <f t="shared" si="13"/>
        <v>1086.8999999999999</v>
      </c>
      <c r="K127">
        <f t="shared" si="14"/>
        <v>4.5999999999999996</v>
      </c>
      <c r="L127" s="13" t="s">
        <v>38</v>
      </c>
      <c r="M127">
        <v>0.8</v>
      </c>
      <c r="N127">
        <v>0.4</v>
      </c>
      <c r="O127">
        <f t="shared" si="10"/>
        <v>0.4</v>
      </c>
      <c r="Q127">
        <v>95</v>
      </c>
      <c r="R127">
        <v>1</v>
      </c>
      <c r="S127">
        <f t="shared" si="11"/>
        <v>0.4</v>
      </c>
      <c r="T127">
        <f t="shared" si="12"/>
        <v>0.4</v>
      </c>
      <c r="U127" s="2">
        <f t="shared" si="15"/>
        <v>65.322705882352949</v>
      </c>
      <c r="V127" s="14" t="s">
        <v>45</v>
      </c>
      <c r="W127">
        <v>180.4</v>
      </c>
      <c r="X127">
        <f t="shared" si="16"/>
        <v>64754.500000000022</v>
      </c>
      <c r="Y127">
        <f t="shared" si="17"/>
        <v>1107.8</v>
      </c>
      <c r="Z127">
        <v>8.4090613757197445</v>
      </c>
      <c r="AA127" s="14" t="s">
        <v>50</v>
      </c>
    </row>
    <row r="128" spans="1:27" x14ac:dyDescent="0.35">
      <c r="A128">
        <v>5160</v>
      </c>
      <c r="B128">
        <v>23050</v>
      </c>
      <c r="C128" s="1">
        <v>43073</v>
      </c>
      <c r="F128" s="51"/>
      <c r="G128">
        <v>5.5</v>
      </c>
      <c r="H128">
        <v>1.9</v>
      </c>
      <c r="I128">
        <v>7.4</v>
      </c>
      <c r="J128">
        <f t="shared" si="13"/>
        <v>1092.3999999999999</v>
      </c>
      <c r="K128">
        <f t="shared" si="14"/>
        <v>10.1</v>
      </c>
      <c r="L128" s="11">
        <f>MIN(H123:H216)</f>
        <v>-9.1999999999999993</v>
      </c>
      <c r="M128">
        <v>0</v>
      </c>
      <c r="N128">
        <v>0.1</v>
      </c>
      <c r="O128">
        <f t="shared" si="10"/>
        <v>-0.1</v>
      </c>
      <c r="Q128">
        <v>96</v>
      </c>
      <c r="R128">
        <v>1</v>
      </c>
      <c r="S128">
        <f t="shared" si="11"/>
        <v>0.1</v>
      </c>
      <c r="T128">
        <f t="shared" si="12"/>
        <v>-0.1</v>
      </c>
      <c r="U128" s="2">
        <f t="shared" si="15"/>
        <v>65.222705882352955</v>
      </c>
      <c r="V128" s="2">
        <f>MIN(U123:U216)</f>
        <v>64.722705882352955</v>
      </c>
      <c r="W128">
        <v>189.2</v>
      </c>
      <c r="X128">
        <f t="shared" si="16"/>
        <v>64943.700000000019</v>
      </c>
      <c r="Y128">
        <f t="shared" si="17"/>
        <v>1297</v>
      </c>
      <c r="Z128">
        <v>8.3862869508140712</v>
      </c>
      <c r="AA128">
        <v>86</v>
      </c>
    </row>
    <row r="129" spans="1:27" x14ac:dyDescent="0.35">
      <c r="A129">
        <v>5160</v>
      </c>
      <c r="B129">
        <v>23050</v>
      </c>
      <c r="C129" s="1">
        <v>43074</v>
      </c>
      <c r="F129" s="51"/>
      <c r="G129">
        <v>6.1</v>
      </c>
      <c r="H129">
        <v>4.8</v>
      </c>
      <c r="I129">
        <v>7.2</v>
      </c>
      <c r="J129">
        <f t="shared" si="13"/>
        <v>1098.4999999999998</v>
      </c>
      <c r="K129">
        <f t="shared" si="14"/>
        <v>16.2</v>
      </c>
      <c r="L129" s="13" t="s">
        <v>39</v>
      </c>
      <c r="M129">
        <v>0</v>
      </c>
      <c r="N129">
        <v>0.1</v>
      </c>
      <c r="O129">
        <f t="shared" si="10"/>
        <v>-0.1</v>
      </c>
      <c r="Q129">
        <v>97</v>
      </c>
      <c r="R129">
        <v>1</v>
      </c>
      <c r="S129">
        <f t="shared" si="11"/>
        <v>0.1</v>
      </c>
      <c r="T129">
        <f t="shared" si="12"/>
        <v>-0.1</v>
      </c>
      <c r="U129" s="2">
        <f t="shared" si="15"/>
        <v>65.12270588235296</v>
      </c>
      <c r="V129" s="14" t="s">
        <v>46</v>
      </c>
      <c r="W129">
        <v>148.9</v>
      </c>
      <c r="X129">
        <f t="shared" si="16"/>
        <v>65092.60000000002</v>
      </c>
      <c r="Y129">
        <f t="shared" si="17"/>
        <v>1445.9</v>
      </c>
      <c r="Z129">
        <v>8.3647294151968303</v>
      </c>
      <c r="AA129" t="s">
        <v>51</v>
      </c>
    </row>
    <row r="130" spans="1:27" x14ac:dyDescent="0.35">
      <c r="A130">
        <v>5160</v>
      </c>
      <c r="B130">
        <v>23050</v>
      </c>
      <c r="C130" s="1">
        <v>43075</v>
      </c>
      <c r="E130">
        <v>9</v>
      </c>
      <c r="F130" s="51"/>
      <c r="G130">
        <v>3.2</v>
      </c>
      <c r="H130">
        <v>2.2000000000000002</v>
      </c>
      <c r="I130">
        <v>3.9</v>
      </c>
      <c r="J130">
        <f t="shared" si="13"/>
        <v>1101.6999999999998</v>
      </c>
      <c r="K130">
        <f t="shared" si="14"/>
        <v>19.399999999999999</v>
      </c>
      <c r="L130" s="11">
        <f>MAX(I123:I216)</f>
        <v>14.1</v>
      </c>
      <c r="M130">
        <v>0</v>
      </c>
      <c r="N130">
        <v>0.2</v>
      </c>
      <c r="O130">
        <f t="shared" si="10"/>
        <v>-0.2</v>
      </c>
      <c r="Q130">
        <v>98</v>
      </c>
      <c r="R130">
        <v>1</v>
      </c>
      <c r="S130">
        <f t="shared" si="11"/>
        <v>0.2</v>
      </c>
      <c r="T130">
        <f t="shared" si="12"/>
        <v>-0.2</v>
      </c>
      <c r="U130" s="2">
        <f t="shared" si="15"/>
        <v>64.922705882352957</v>
      </c>
      <c r="V130" s="2">
        <f>MAX(U123:U216)</f>
        <v>150.80000000000001</v>
      </c>
      <c r="W130">
        <v>101.8</v>
      </c>
      <c r="X130">
        <f t="shared" si="16"/>
        <v>65194.400000000023</v>
      </c>
      <c r="Y130">
        <f t="shared" si="17"/>
        <v>1547.7</v>
      </c>
      <c r="Z130">
        <v>8.3444063191272893</v>
      </c>
      <c r="AA130">
        <v>25</v>
      </c>
    </row>
    <row r="131" spans="1:27" x14ac:dyDescent="0.35">
      <c r="A131">
        <v>5160</v>
      </c>
      <c r="B131">
        <v>23050</v>
      </c>
      <c r="C131" s="1">
        <v>43076</v>
      </c>
      <c r="E131">
        <v>10</v>
      </c>
      <c r="F131" s="51"/>
      <c r="G131">
        <v>4.4000000000000004</v>
      </c>
      <c r="H131">
        <v>-0.1</v>
      </c>
      <c r="I131">
        <v>8</v>
      </c>
      <c r="J131">
        <f t="shared" si="13"/>
        <v>1106.0999999999999</v>
      </c>
      <c r="K131">
        <f t="shared" si="14"/>
        <v>23.799999999999997</v>
      </c>
      <c r="L131" s="13" t="s">
        <v>40</v>
      </c>
      <c r="M131">
        <v>5.2</v>
      </c>
      <c r="N131">
        <v>0.2</v>
      </c>
      <c r="O131">
        <f t="shared" si="10"/>
        <v>5</v>
      </c>
      <c r="Q131">
        <v>99</v>
      </c>
      <c r="R131">
        <v>1</v>
      </c>
      <c r="S131">
        <f t="shared" si="11"/>
        <v>0.2</v>
      </c>
      <c r="T131">
        <f t="shared" si="12"/>
        <v>5</v>
      </c>
      <c r="U131" s="2">
        <f t="shared" si="15"/>
        <v>69.922705882352957</v>
      </c>
      <c r="V131" s="14" t="s">
        <v>47</v>
      </c>
      <c r="W131">
        <v>137.19999999999999</v>
      </c>
      <c r="X131">
        <f t="shared" si="16"/>
        <v>65331.60000000002</v>
      </c>
      <c r="Y131">
        <f t="shared" si="17"/>
        <v>1684.9</v>
      </c>
      <c r="Z131">
        <v>8.3253344168175492</v>
      </c>
    </row>
    <row r="132" spans="1:27" x14ac:dyDescent="0.35">
      <c r="A132">
        <v>5160</v>
      </c>
      <c r="B132">
        <v>23050</v>
      </c>
      <c r="C132" s="1">
        <v>43077</v>
      </c>
      <c r="E132">
        <v>11</v>
      </c>
      <c r="F132" s="51"/>
      <c r="G132">
        <v>3.5</v>
      </c>
      <c r="H132">
        <v>1.3</v>
      </c>
      <c r="I132">
        <v>6.3</v>
      </c>
      <c r="J132">
        <f t="shared" si="13"/>
        <v>1109.5999999999999</v>
      </c>
      <c r="K132">
        <f t="shared" si="14"/>
        <v>27.299999999999997</v>
      </c>
      <c r="L132" s="11">
        <v>0</v>
      </c>
      <c r="M132">
        <v>0.8</v>
      </c>
      <c r="N132">
        <v>0.6</v>
      </c>
      <c r="O132">
        <f t="shared" si="10"/>
        <v>0.20000000000000007</v>
      </c>
      <c r="Q132">
        <v>100</v>
      </c>
      <c r="R132">
        <v>1</v>
      </c>
      <c r="S132">
        <f t="shared" si="11"/>
        <v>0.6</v>
      </c>
      <c r="T132">
        <f t="shared" si="12"/>
        <v>0.20000000000000007</v>
      </c>
      <c r="U132" s="2">
        <f t="shared" si="15"/>
        <v>70.12270588235296</v>
      </c>
      <c r="V132" s="2">
        <f>AVERAGE(U123:U216)</f>
        <v>127.57329662077588</v>
      </c>
      <c r="W132">
        <v>227.1</v>
      </c>
      <c r="X132">
        <f t="shared" si="16"/>
        <v>65558.700000000026</v>
      </c>
      <c r="Y132">
        <f t="shared" si="17"/>
        <v>1912</v>
      </c>
      <c r="Z132">
        <v>8.3075296176685569</v>
      </c>
    </row>
    <row r="133" spans="1:27" x14ac:dyDescent="0.35">
      <c r="A133">
        <v>5160</v>
      </c>
      <c r="B133">
        <v>23050</v>
      </c>
      <c r="C133" s="1">
        <v>43078</v>
      </c>
      <c r="E133">
        <v>12</v>
      </c>
      <c r="F133" s="51"/>
      <c r="G133">
        <v>2</v>
      </c>
      <c r="H133">
        <v>-0.3</v>
      </c>
      <c r="I133">
        <v>3.9</v>
      </c>
      <c r="J133">
        <f t="shared" si="13"/>
        <v>1111.5999999999999</v>
      </c>
      <c r="K133">
        <f t="shared" si="14"/>
        <v>29.299999999999997</v>
      </c>
      <c r="L133" s="13" t="s">
        <v>41</v>
      </c>
      <c r="M133">
        <v>13.7</v>
      </c>
      <c r="N133">
        <v>0.3</v>
      </c>
      <c r="O133">
        <f t="shared" ref="O133:O196" si="19">M133-N133</f>
        <v>13.399999999999999</v>
      </c>
      <c r="Q133">
        <v>101</v>
      </c>
      <c r="R133">
        <v>1</v>
      </c>
      <c r="S133">
        <f t="shared" ref="S133:S196" si="20">R133*N133</f>
        <v>0.3</v>
      </c>
      <c r="T133">
        <f t="shared" ref="T133:T196" si="21">M133-S133</f>
        <v>13.399999999999999</v>
      </c>
      <c r="U133" s="2">
        <f t="shared" si="15"/>
        <v>83.522705882352966</v>
      </c>
      <c r="W133">
        <v>405.4</v>
      </c>
      <c r="X133">
        <f t="shared" si="16"/>
        <v>65964.10000000002</v>
      </c>
      <c r="Y133">
        <f t="shared" si="17"/>
        <v>2317.4</v>
      </c>
      <c r="Z133">
        <v>8.291006939069975</v>
      </c>
    </row>
    <row r="134" spans="1:27" x14ac:dyDescent="0.35">
      <c r="A134">
        <v>5160</v>
      </c>
      <c r="B134">
        <v>23050</v>
      </c>
      <c r="C134" s="1">
        <v>43079</v>
      </c>
      <c r="F134" s="51"/>
      <c r="G134">
        <v>7.4</v>
      </c>
      <c r="H134">
        <v>3.1</v>
      </c>
      <c r="I134">
        <v>10.5</v>
      </c>
      <c r="J134">
        <f t="shared" si="13"/>
        <v>1119</v>
      </c>
      <c r="K134">
        <f t="shared" si="14"/>
        <v>36.699999999999996</v>
      </c>
      <c r="L134" s="11">
        <v>36</v>
      </c>
      <c r="M134">
        <v>9.6</v>
      </c>
      <c r="N134">
        <v>0.8</v>
      </c>
      <c r="O134">
        <f t="shared" si="19"/>
        <v>8.7999999999999989</v>
      </c>
      <c r="Q134">
        <v>102</v>
      </c>
      <c r="R134">
        <v>1</v>
      </c>
      <c r="S134">
        <f t="shared" si="20"/>
        <v>0.8</v>
      </c>
      <c r="T134">
        <f t="shared" si="21"/>
        <v>8.7999999999999989</v>
      </c>
      <c r="U134" s="2">
        <f t="shared" si="15"/>
        <v>92.322705882352963</v>
      </c>
      <c r="V134">
        <f>(V132*100)/150.8</f>
        <v>84.59767680422803</v>
      </c>
      <c r="W134">
        <v>277.10000000000002</v>
      </c>
      <c r="X134">
        <f t="shared" si="16"/>
        <v>66241.200000000026</v>
      </c>
      <c r="Y134">
        <f t="shared" si="17"/>
        <v>2594.5</v>
      </c>
      <c r="Z134">
        <v>8.2757804610454624</v>
      </c>
    </row>
    <row r="135" spans="1:27" x14ac:dyDescent="0.35">
      <c r="A135">
        <v>5160</v>
      </c>
      <c r="B135">
        <v>23050</v>
      </c>
      <c r="C135" s="1">
        <v>43080</v>
      </c>
      <c r="F135" s="51"/>
      <c r="G135">
        <v>6.6</v>
      </c>
      <c r="H135">
        <v>4.4000000000000004</v>
      </c>
      <c r="I135">
        <v>9.6</v>
      </c>
      <c r="J135">
        <f t="shared" si="13"/>
        <v>1125.5999999999999</v>
      </c>
      <c r="K135">
        <f t="shared" si="14"/>
        <v>43.3</v>
      </c>
      <c r="L135" s="13" t="s">
        <v>42</v>
      </c>
      <c r="M135">
        <v>0.4</v>
      </c>
      <c r="N135">
        <v>1.3</v>
      </c>
      <c r="O135">
        <f t="shared" si="19"/>
        <v>-0.9</v>
      </c>
      <c r="Q135">
        <v>103</v>
      </c>
      <c r="R135">
        <v>1</v>
      </c>
      <c r="S135">
        <f t="shared" si="20"/>
        <v>1.3</v>
      </c>
      <c r="T135">
        <f t="shared" si="21"/>
        <v>-0.9</v>
      </c>
      <c r="U135" s="2">
        <f t="shared" si="15"/>
        <v>91.422705882352957</v>
      </c>
      <c r="W135">
        <v>120.8</v>
      </c>
      <c r="X135">
        <f t="shared" si="16"/>
        <v>66362.000000000029</v>
      </c>
      <c r="Y135">
        <f t="shared" si="17"/>
        <v>2715.3</v>
      </c>
      <c r="Z135">
        <v>8.2618632830215475</v>
      </c>
    </row>
    <row r="136" spans="1:27" x14ac:dyDescent="0.35">
      <c r="A136">
        <v>5160</v>
      </c>
      <c r="B136">
        <v>23050</v>
      </c>
      <c r="C136" s="1">
        <v>43081</v>
      </c>
      <c r="E136">
        <v>13</v>
      </c>
      <c r="F136" s="51"/>
      <c r="G136">
        <v>2.1</v>
      </c>
      <c r="H136">
        <v>-1.5</v>
      </c>
      <c r="I136">
        <v>5.8</v>
      </c>
      <c r="J136">
        <f t="shared" si="13"/>
        <v>1127.6999999999998</v>
      </c>
      <c r="K136">
        <f t="shared" si="14"/>
        <v>45.4</v>
      </c>
      <c r="L136" s="11">
        <v>30</v>
      </c>
      <c r="M136">
        <v>1</v>
      </c>
      <c r="N136">
        <v>0.5</v>
      </c>
      <c r="O136">
        <f t="shared" si="19"/>
        <v>0.5</v>
      </c>
      <c r="Q136">
        <v>104</v>
      </c>
      <c r="R136">
        <v>1</v>
      </c>
      <c r="S136">
        <f t="shared" si="20"/>
        <v>0.5</v>
      </c>
      <c r="T136">
        <f t="shared" si="21"/>
        <v>0.5</v>
      </c>
      <c r="U136" s="2">
        <f t="shared" si="15"/>
        <v>91.922705882352957</v>
      </c>
      <c r="W136">
        <v>430.3</v>
      </c>
      <c r="X136">
        <f t="shared" si="16"/>
        <v>66792.300000000032</v>
      </c>
      <c r="Y136">
        <f t="shared" si="17"/>
        <v>3145.6000000000004</v>
      </c>
      <c r="Z136">
        <v>8.2492674829917547</v>
      </c>
    </row>
    <row r="137" spans="1:27" x14ac:dyDescent="0.35">
      <c r="A137">
        <v>5160</v>
      </c>
      <c r="B137">
        <v>23050</v>
      </c>
      <c r="C137" s="1">
        <v>43082</v>
      </c>
      <c r="F137" s="51"/>
      <c r="G137">
        <v>8.1</v>
      </c>
      <c r="H137">
        <v>2.7</v>
      </c>
      <c r="I137">
        <v>10.199999999999999</v>
      </c>
      <c r="J137">
        <f t="shared" si="13"/>
        <v>1135.7999999999997</v>
      </c>
      <c r="K137">
        <f t="shared" si="14"/>
        <v>53.5</v>
      </c>
      <c r="M137">
        <v>4.4000000000000004</v>
      </c>
      <c r="N137">
        <v>0.4</v>
      </c>
      <c r="O137">
        <f t="shared" si="19"/>
        <v>4</v>
      </c>
      <c r="Q137">
        <v>105</v>
      </c>
      <c r="R137">
        <v>1</v>
      </c>
      <c r="S137">
        <f t="shared" si="20"/>
        <v>0.4</v>
      </c>
      <c r="T137">
        <f t="shared" si="21"/>
        <v>4</v>
      </c>
      <c r="U137" s="2">
        <f t="shared" si="15"/>
        <v>95.922705882352957</v>
      </c>
      <c r="W137">
        <v>190.4</v>
      </c>
      <c r="X137">
        <f t="shared" si="16"/>
        <v>66982.700000000026</v>
      </c>
      <c r="Y137">
        <f t="shared" si="17"/>
        <v>3336.0000000000005</v>
      </c>
      <c r="Z137">
        <v>8.2380040793386176</v>
      </c>
    </row>
    <row r="138" spans="1:27" x14ac:dyDescent="0.35">
      <c r="A138">
        <v>5160</v>
      </c>
      <c r="B138">
        <v>23050</v>
      </c>
      <c r="C138" s="1">
        <v>43083</v>
      </c>
      <c r="F138" s="51"/>
      <c r="G138">
        <v>6.1</v>
      </c>
      <c r="H138">
        <v>5.4</v>
      </c>
      <c r="I138">
        <v>7.2</v>
      </c>
      <c r="J138">
        <f t="shared" si="13"/>
        <v>1141.8999999999996</v>
      </c>
      <c r="K138">
        <f t="shared" si="14"/>
        <v>59.6</v>
      </c>
      <c r="M138">
        <v>6.4</v>
      </c>
      <c r="N138">
        <v>1</v>
      </c>
      <c r="O138">
        <f t="shared" si="19"/>
        <v>5.4</v>
      </c>
      <c r="Q138">
        <v>106</v>
      </c>
      <c r="R138">
        <v>1</v>
      </c>
      <c r="S138">
        <f t="shared" si="20"/>
        <v>1</v>
      </c>
      <c r="T138">
        <f t="shared" si="21"/>
        <v>5.4</v>
      </c>
      <c r="U138" s="2">
        <f t="shared" si="15"/>
        <v>101.32270588235296</v>
      </c>
      <c r="W138">
        <v>178.4</v>
      </c>
      <c r="X138">
        <f t="shared" si="16"/>
        <v>67161.10000000002</v>
      </c>
      <c r="Y138">
        <f t="shared" si="17"/>
        <v>3514.4000000000005</v>
      </c>
      <c r="Z138">
        <v>8.2280829955641064</v>
      </c>
    </row>
    <row r="139" spans="1:27" x14ac:dyDescent="0.35">
      <c r="A139">
        <v>5160</v>
      </c>
      <c r="B139">
        <v>23050</v>
      </c>
      <c r="C139" s="1">
        <v>43084</v>
      </c>
      <c r="E139">
        <v>14</v>
      </c>
      <c r="F139" s="51"/>
      <c r="G139">
        <v>4.7</v>
      </c>
      <c r="H139">
        <v>4</v>
      </c>
      <c r="I139">
        <v>6.6</v>
      </c>
      <c r="J139">
        <f t="shared" si="13"/>
        <v>1146.5999999999997</v>
      </c>
      <c r="K139">
        <f t="shared" si="14"/>
        <v>64.3</v>
      </c>
      <c r="M139">
        <v>4.2</v>
      </c>
      <c r="N139">
        <v>1</v>
      </c>
      <c r="O139">
        <f t="shared" si="19"/>
        <v>3.2</v>
      </c>
      <c r="Q139">
        <v>107</v>
      </c>
      <c r="R139">
        <v>1</v>
      </c>
      <c r="S139">
        <f t="shared" si="20"/>
        <v>1</v>
      </c>
      <c r="T139">
        <f t="shared" si="21"/>
        <v>3.2</v>
      </c>
      <c r="U139" s="2">
        <f t="shared" si="15"/>
        <v>104.52270588235297</v>
      </c>
      <c r="W139">
        <v>184</v>
      </c>
      <c r="X139">
        <f t="shared" si="16"/>
        <v>67345.10000000002</v>
      </c>
      <c r="Y139">
        <f t="shared" si="17"/>
        <v>3698.4000000000005</v>
      </c>
      <c r="Z139">
        <v>8.2195130281643021</v>
      </c>
    </row>
    <row r="140" spans="1:27" x14ac:dyDescent="0.35">
      <c r="A140">
        <v>5160</v>
      </c>
      <c r="B140">
        <v>23050</v>
      </c>
      <c r="C140" s="1">
        <v>43085</v>
      </c>
      <c r="E140">
        <v>15</v>
      </c>
      <c r="F140" s="51"/>
      <c r="G140">
        <v>2.6</v>
      </c>
      <c r="H140">
        <v>0.9</v>
      </c>
      <c r="I140">
        <v>5.2</v>
      </c>
      <c r="J140">
        <f t="shared" si="13"/>
        <v>1149.1999999999996</v>
      </c>
      <c r="K140">
        <f t="shared" si="14"/>
        <v>66.899999999999991</v>
      </c>
      <c r="M140">
        <v>0.6</v>
      </c>
      <c r="N140">
        <v>0.6</v>
      </c>
      <c r="O140">
        <f t="shared" si="19"/>
        <v>0</v>
      </c>
      <c r="Q140">
        <v>108</v>
      </c>
      <c r="R140">
        <v>1</v>
      </c>
      <c r="S140">
        <f t="shared" si="20"/>
        <v>0.6</v>
      </c>
      <c r="T140">
        <f t="shared" si="21"/>
        <v>0</v>
      </c>
      <c r="U140" s="2">
        <f t="shared" si="15"/>
        <v>104.52270588235297</v>
      </c>
      <c r="W140">
        <v>314.60000000000002</v>
      </c>
      <c r="X140">
        <f t="shared" si="16"/>
        <v>67659.700000000026</v>
      </c>
      <c r="Y140">
        <f t="shared" si="17"/>
        <v>4013.0000000000005</v>
      </c>
      <c r="Z140">
        <v>8.2123018178666243</v>
      </c>
    </row>
    <row r="141" spans="1:27" x14ac:dyDescent="0.35">
      <c r="A141">
        <v>5160</v>
      </c>
      <c r="B141">
        <v>23050</v>
      </c>
      <c r="C141" s="1">
        <v>43086</v>
      </c>
      <c r="E141">
        <v>16</v>
      </c>
      <c r="F141" s="51"/>
      <c r="G141">
        <v>3.4</v>
      </c>
      <c r="H141">
        <v>1.2</v>
      </c>
      <c r="I141">
        <v>8.9</v>
      </c>
      <c r="J141">
        <f t="shared" si="13"/>
        <v>1152.5999999999997</v>
      </c>
      <c r="K141">
        <f t="shared" si="14"/>
        <v>70.3</v>
      </c>
      <c r="M141">
        <v>1.9</v>
      </c>
      <c r="N141">
        <v>0.6</v>
      </c>
      <c r="O141">
        <f t="shared" si="19"/>
        <v>1.2999999999999998</v>
      </c>
      <c r="Q141">
        <v>109</v>
      </c>
      <c r="R141">
        <v>1</v>
      </c>
      <c r="S141">
        <f t="shared" si="20"/>
        <v>0.6</v>
      </c>
      <c r="T141">
        <f t="shared" si="21"/>
        <v>1.2999999999999998</v>
      </c>
      <c r="U141" s="2">
        <f t="shared" si="15"/>
        <v>105.82270588235296</v>
      </c>
      <c r="W141">
        <v>113.3</v>
      </c>
      <c r="X141">
        <f t="shared" si="16"/>
        <v>67773.000000000029</v>
      </c>
      <c r="Y141">
        <f t="shared" si="17"/>
        <v>4126.3</v>
      </c>
      <c r="Z141">
        <v>8.2064558244279908</v>
      </c>
    </row>
    <row r="142" spans="1:27" x14ac:dyDescent="0.35">
      <c r="A142">
        <v>5160</v>
      </c>
      <c r="B142">
        <v>23050</v>
      </c>
      <c r="C142" s="1">
        <v>43087</v>
      </c>
      <c r="F142" s="51"/>
      <c r="G142">
        <v>6.4</v>
      </c>
      <c r="H142">
        <v>4.3</v>
      </c>
      <c r="I142">
        <v>8.8000000000000007</v>
      </c>
      <c r="J142">
        <f t="shared" si="13"/>
        <v>1158.9999999999998</v>
      </c>
      <c r="K142">
        <f t="shared" si="14"/>
        <v>76.7</v>
      </c>
      <c r="M142">
        <v>0.9</v>
      </c>
      <c r="N142">
        <v>0.6</v>
      </c>
      <c r="O142">
        <f t="shared" si="19"/>
        <v>0.30000000000000004</v>
      </c>
      <c r="Q142">
        <v>110</v>
      </c>
      <c r="R142">
        <v>1</v>
      </c>
      <c r="S142">
        <f t="shared" si="20"/>
        <v>0.6</v>
      </c>
      <c r="T142">
        <f t="shared" si="21"/>
        <v>0.30000000000000004</v>
      </c>
      <c r="U142" s="2">
        <f t="shared" si="15"/>
        <v>106.12270588235296</v>
      </c>
      <c r="W142">
        <v>299.39999999999998</v>
      </c>
      <c r="X142">
        <f t="shared" si="16"/>
        <v>68072.400000000023</v>
      </c>
      <c r="Y142">
        <f t="shared" si="17"/>
        <v>4425.7</v>
      </c>
      <c r="Z142">
        <v>8.201980305169851</v>
      </c>
    </row>
    <row r="143" spans="1:27" x14ac:dyDescent="0.35">
      <c r="A143">
        <v>5160</v>
      </c>
      <c r="B143">
        <v>23050</v>
      </c>
      <c r="C143" s="1">
        <v>43088</v>
      </c>
      <c r="E143">
        <v>17</v>
      </c>
      <c r="F143" s="51"/>
      <c r="G143">
        <v>1.6</v>
      </c>
      <c r="H143">
        <v>-0.1</v>
      </c>
      <c r="I143">
        <v>2.8</v>
      </c>
      <c r="J143">
        <f t="shared" si="13"/>
        <v>1160.5999999999997</v>
      </c>
      <c r="K143">
        <f t="shared" si="14"/>
        <v>78.3</v>
      </c>
      <c r="M143">
        <v>0.1</v>
      </c>
      <c r="N143">
        <v>0.2</v>
      </c>
      <c r="O143">
        <f t="shared" si="19"/>
        <v>-0.1</v>
      </c>
      <c r="Q143">
        <v>111</v>
      </c>
      <c r="R143">
        <v>1</v>
      </c>
      <c r="S143">
        <f t="shared" si="20"/>
        <v>0.2</v>
      </c>
      <c r="T143">
        <f t="shared" si="21"/>
        <v>-0.1</v>
      </c>
      <c r="U143" s="2">
        <f t="shared" si="15"/>
        <v>106.02270588235297</v>
      </c>
      <c r="W143">
        <v>230.7</v>
      </c>
      <c r="X143">
        <f t="shared" si="16"/>
        <v>68303.10000000002</v>
      </c>
      <c r="Y143">
        <f t="shared" si="17"/>
        <v>4656.3999999999996</v>
      </c>
      <c r="Z143">
        <v>8.1988792974015752</v>
      </c>
    </row>
    <row r="144" spans="1:27" x14ac:dyDescent="0.35">
      <c r="A144">
        <v>5160</v>
      </c>
      <c r="B144">
        <v>23050</v>
      </c>
      <c r="C144" s="1">
        <v>43089</v>
      </c>
      <c r="E144">
        <v>18</v>
      </c>
      <c r="F144" s="51"/>
      <c r="G144">
        <v>5</v>
      </c>
      <c r="H144">
        <v>1.1000000000000001</v>
      </c>
      <c r="I144">
        <v>7</v>
      </c>
      <c r="J144">
        <f t="shared" si="13"/>
        <v>1165.5999999999997</v>
      </c>
      <c r="K144">
        <f t="shared" si="14"/>
        <v>83.3</v>
      </c>
      <c r="M144">
        <v>0.4</v>
      </c>
      <c r="N144">
        <v>0.1</v>
      </c>
      <c r="O144">
        <f t="shared" si="19"/>
        <v>0.30000000000000004</v>
      </c>
      <c r="Q144">
        <v>112</v>
      </c>
      <c r="R144">
        <v>1</v>
      </c>
      <c r="S144">
        <f t="shared" si="20"/>
        <v>0.1</v>
      </c>
      <c r="T144">
        <f t="shared" si="21"/>
        <v>0.30000000000000004</v>
      </c>
      <c r="U144" s="2">
        <f t="shared" si="15"/>
        <v>106.32270588235296</v>
      </c>
      <c r="W144">
        <v>179.2</v>
      </c>
      <c r="X144">
        <f t="shared" si="16"/>
        <v>68482.300000000017</v>
      </c>
      <c r="Y144">
        <f t="shared" si="17"/>
        <v>4835.5999999999995</v>
      </c>
      <c r="Z144">
        <v>8.1971556048573593</v>
      </c>
    </row>
    <row r="145" spans="1:26" x14ac:dyDescent="0.35">
      <c r="A145">
        <v>5160</v>
      </c>
      <c r="B145">
        <v>23050</v>
      </c>
      <c r="C145" s="1">
        <v>43090</v>
      </c>
      <c r="F145" s="51"/>
      <c r="G145">
        <v>8</v>
      </c>
      <c r="H145">
        <v>6.7</v>
      </c>
      <c r="I145">
        <v>8.6999999999999993</v>
      </c>
      <c r="J145">
        <f t="shared" si="13"/>
        <v>1173.5999999999997</v>
      </c>
      <c r="K145">
        <f t="shared" si="14"/>
        <v>91.3</v>
      </c>
      <c r="M145">
        <v>1.3</v>
      </c>
      <c r="N145">
        <v>0.2</v>
      </c>
      <c r="O145">
        <f t="shared" si="19"/>
        <v>1.1000000000000001</v>
      </c>
      <c r="Q145">
        <v>113</v>
      </c>
      <c r="R145">
        <v>1</v>
      </c>
      <c r="S145">
        <f t="shared" si="20"/>
        <v>0.2</v>
      </c>
      <c r="T145">
        <f t="shared" si="21"/>
        <v>1.1000000000000001</v>
      </c>
      <c r="U145" s="2">
        <f t="shared" si="15"/>
        <v>107.42270588235296</v>
      </c>
      <c r="W145">
        <v>180.1</v>
      </c>
      <c r="X145">
        <f t="shared" si="16"/>
        <v>68662.400000000023</v>
      </c>
      <c r="Y145">
        <f t="shared" si="17"/>
        <v>5015.7</v>
      </c>
      <c r="Z145">
        <v>8.1968107882438357</v>
      </c>
    </row>
    <row r="146" spans="1:26" x14ac:dyDescent="0.35">
      <c r="A146">
        <v>5160</v>
      </c>
      <c r="B146">
        <v>23050</v>
      </c>
      <c r="C146" s="1">
        <v>43091</v>
      </c>
      <c r="F146" s="51"/>
      <c r="G146">
        <v>8.6999999999999993</v>
      </c>
      <c r="H146">
        <v>7.7</v>
      </c>
      <c r="I146">
        <v>9.5</v>
      </c>
      <c r="J146">
        <f t="shared" si="13"/>
        <v>1182.2999999999997</v>
      </c>
      <c r="K146">
        <f t="shared" si="14"/>
        <v>100</v>
      </c>
      <c r="M146">
        <v>0.5</v>
      </c>
      <c r="N146">
        <v>0.2</v>
      </c>
      <c r="O146">
        <f t="shared" si="19"/>
        <v>0.3</v>
      </c>
      <c r="Q146">
        <v>114</v>
      </c>
      <c r="R146">
        <v>1</v>
      </c>
      <c r="S146">
        <f t="shared" si="20"/>
        <v>0.2</v>
      </c>
      <c r="T146">
        <f t="shared" si="21"/>
        <v>0.3</v>
      </c>
      <c r="U146" s="2">
        <f t="shared" si="15"/>
        <v>107.72270588235295</v>
      </c>
      <c r="W146">
        <v>210.2</v>
      </c>
      <c r="X146">
        <f t="shared" si="16"/>
        <v>68872.60000000002</v>
      </c>
      <c r="Y146">
        <f t="shared" si="17"/>
        <v>5225.8999999999996</v>
      </c>
      <c r="Z146">
        <v>8.1978451599665085</v>
      </c>
    </row>
    <row r="147" spans="1:26" x14ac:dyDescent="0.35">
      <c r="A147">
        <v>5160</v>
      </c>
      <c r="B147">
        <v>23050</v>
      </c>
      <c r="C147" s="1">
        <v>43092</v>
      </c>
      <c r="F147" s="51"/>
      <c r="G147">
        <v>8.3000000000000007</v>
      </c>
      <c r="H147">
        <v>8</v>
      </c>
      <c r="I147">
        <v>9.1</v>
      </c>
      <c r="J147">
        <f t="shared" si="13"/>
        <v>1190.5999999999997</v>
      </c>
      <c r="K147">
        <f t="shared" si="14"/>
        <v>108.3</v>
      </c>
      <c r="M147">
        <v>0.3</v>
      </c>
      <c r="N147">
        <v>0.3</v>
      </c>
      <c r="O147">
        <f t="shared" si="19"/>
        <v>0</v>
      </c>
      <c r="Q147">
        <v>115</v>
      </c>
      <c r="R147">
        <v>1</v>
      </c>
      <c r="S147">
        <f t="shared" si="20"/>
        <v>0.3</v>
      </c>
      <c r="T147">
        <f t="shared" si="21"/>
        <v>0</v>
      </c>
      <c r="U147" s="2">
        <f t="shared" si="15"/>
        <v>107.72270588235295</v>
      </c>
      <c r="W147">
        <v>155.6</v>
      </c>
      <c r="X147">
        <f t="shared" si="16"/>
        <v>69028.200000000026</v>
      </c>
      <c r="Y147">
        <f t="shared" si="17"/>
        <v>5381.5</v>
      </c>
      <c r="Z147">
        <v>8.200257783073134</v>
      </c>
    </row>
    <row r="148" spans="1:26" x14ac:dyDescent="0.35">
      <c r="A148">
        <v>5160</v>
      </c>
      <c r="B148">
        <v>23050</v>
      </c>
      <c r="C148" s="1">
        <v>43093</v>
      </c>
      <c r="F148" s="51"/>
      <c r="G148">
        <v>7.7</v>
      </c>
      <c r="H148">
        <v>7.5</v>
      </c>
      <c r="I148">
        <v>8.5</v>
      </c>
      <c r="J148">
        <f t="shared" si="13"/>
        <v>1198.2999999999997</v>
      </c>
      <c r="K148">
        <f t="shared" si="14"/>
        <v>116</v>
      </c>
      <c r="M148">
        <v>0.4</v>
      </c>
      <c r="N148">
        <v>0.4</v>
      </c>
      <c r="O148">
        <f t="shared" si="19"/>
        <v>0</v>
      </c>
      <c r="Q148">
        <v>116</v>
      </c>
      <c r="R148">
        <v>1</v>
      </c>
      <c r="S148">
        <f t="shared" si="20"/>
        <v>0.4</v>
      </c>
      <c r="T148">
        <f t="shared" si="21"/>
        <v>0</v>
      </c>
      <c r="U148" s="2">
        <f t="shared" si="15"/>
        <v>107.72270588235295</v>
      </c>
      <c r="W148">
        <v>91.9</v>
      </c>
      <c r="X148">
        <f t="shared" si="16"/>
        <v>69120.10000000002</v>
      </c>
      <c r="Y148">
        <f t="shared" si="17"/>
        <v>5473.4</v>
      </c>
      <c r="Z148">
        <v>8.2040464744216823</v>
      </c>
    </row>
    <row r="149" spans="1:26" x14ac:dyDescent="0.35">
      <c r="A149">
        <v>5160</v>
      </c>
      <c r="B149">
        <v>23050</v>
      </c>
      <c r="C149" s="1">
        <v>43094</v>
      </c>
      <c r="E149">
        <v>19</v>
      </c>
      <c r="F149" s="51"/>
      <c r="G149">
        <v>4.5</v>
      </c>
      <c r="H149">
        <v>4</v>
      </c>
      <c r="I149">
        <v>5.6</v>
      </c>
      <c r="J149">
        <f t="shared" si="13"/>
        <v>1202.7999999999997</v>
      </c>
      <c r="K149">
        <f t="shared" si="14"/>
        <v>120.5</v>
      </c>
      <c r="M149">
        <v>0.5</v>
      </c>
      <c r="N149">
        <v>0.4</v>
      </c>
      <c r="O149">
        <f t="shared" si="19"/>
        <v>9.9999999999999978E-2</v>
      </c>
      <c r="Q149">
        <v>117</v>
      </c>
      <c r="R149">
        <v>1</v>
      </c>
      <c r="S149">
        <f t="shared" si="20"/>
        <v>0.4</v>
      </c>
      <c r="T149">
        <f t="shared" si="21"/>
        <v>9.9999999999999978E-2</v>
      </c>
      <c r="U149" s="2">
        <f t="shared" si="15"/>
        <v>107.82270588235295</v>
      </c>
      <c r="W149">
        <v>205.4</v>
      </c>
      <c r="X149">
        <f t="shared" si="16"/>
        <v>69325.500000000015</v>
      </c>
      <c r="Y149">
        <f t="shared" si="17"/>
        <v>5678.7999999999993</v>
      </c>
      <c r="Z149">
        <v>8.209207812049959</v>
      </c>
    </row>
    <row r="150" spans="1:26" x14ac:dyDescent="0.35">
      <c r="A150">
        <v>5160</v>
      </c>
      <c r="B150">
        <v>23050</v>
      </c>
      <c r="C150" s="1">
        <v>43095</v>
      </c>
      <c r="F150" s="51"/>
      <c r="G150">
        <v>6.8</v>
      </c>
      <c r="H150">
        <v>4.2</v>
      </c>
      <c r="I150">
        <v>7.9</v>
      </c>
      <c r="J150">
        <f t="shared" si="13"/>
        <v>1209.5999999999997</v>
      </c>
      <c r="K150">
        <f t="shared" si="14"/>
        <v>127.3</v>
      </c>
      <c r="M150">
        <v>5.7</v>
      </c>
      <c r="N150">
        <v>0.7</v>
      </c>
      <c r="O150">
        <f t="shared" si="19"/>
        <v>5</v>
      </c>
      <c r="Q150">
        <v>118</v>
      </c>
      <c r="R150">
        <v>1</v>
      </c>
      <c r="S150">
        <f t="shared" si="20"/>
        <v>0.7</v>
      </c>
      <c r="T150">
        <f t="shared" si="21"/>
        <v>5</v>
      </c>
      <c r="U150" s="2">
        <f t="shared" si="15"/>
        <v>112.82270588235295</v>
      </c>
      <c r="W150">
        <v>157.30000000000001</v>
      </c>
      <c r="X150">
        <f t="shared" si="16"/>
        <v>69482.800000000017</v>
      </c>
      <c r="Y150">
        <f t="shared" si="17"/>
        <v>5836.0999999999995</v>
      </c>
      <c r="Z150">
        <v>8.2157371466937068</v>
      </c>
    </row>
    <row r="151" spans="1:26" x14ac:dyDescent="0.35">
      <c r="A151">
        <v>5160</v>
      </c>
      <c r="B151">
        <v>23050</v>
      </c>
      <c r="C151" s="1">
        <v>43096</v>
      </c>
      <c r="E151">
        <v>20</v>
      </c>
      <c r="F151" s="51"/>
      <c r="G151">
        <v>4.5</v>
      </c>
      <c r="H151">
        <v>4.0999999999999996</v>
      </c>
      <c r="I151">
        <v>5.4</v>
      </c>
      <c r="J151">
        <f t="shared" si="13"/>
        <v>1214.0999999999997</v>
      </c>
      <c r="K151">
        <f t="shared" si="14"/>
        <v>131.80000000000001</v>
      </c>
      <c r="M151">
        <v>0.9</v>
      </c>
      <c r="N151">
        <v>0.9</v>
      </c>
      <c r="O151">
        <f t="shared" si="19"/>
        <v>0</v>
      </c>
      <c r="Q151">
        <v>119</v>
      </c>
      <c r="R151">
        <v>1</v>
      </c>
      <c r="S151">
        <f t="shared" si="20"/>
        <v>0.9</v>
      </c>
      <c r="T151">
        <f t="shared" si="21"/>
        <v>0</v>
      </c>
      <c r="U151" s="2">
        <f t="shared" si="15"/>
        <v>112.82270588235295</v>
      </c>
      <c r="W151">
        <v>137</v>
      </c>
      <c r="X151">
        <f t="shared" si="16"/>
        <v>69619.800000000017</v>
      </c>
      <c r="Y151">
        <f t="shared" si="17"/>
        <v>5973.0999999999995</v>
      </c>
      <c r="Z151">
        <v>8.2236286173703981</v>
      </c>
    </row>
    <row r="152" spans="1:26" x14ac:dyDescent="0.35">
      <c r="A152">
        <v>5160</v>
      </c>
      <c r="B152">
        <v>23050</v>
      </c>
      <c r="C152" s="1">
        <v>43097</v>
      </c>
      <c r="E152">
        <v>21</v>
      </c>
      <c r="F152" s="51"/>
      <c r="G152">
        <v>1.2</v>
      </c>
      <c r="H152">
        <v>-0.3</v>
      </c>
      <c r="I152">
        <v>4</v>
      </c>
      <c r="J152">
        <f t="shared" si="13"/>
        <v>1215.2999999999997</v>
      </c>
      <c r="K152">
        <f t="shared" si="14"/>
        <v>133</v>
      </c>
      <c r="M152">
        <v>1.2</v>
      </c>
      <c r="N152">
        <v>0.5</v>
      </c>
      <c r="O152">
        <f t="shared" si="19"/>
        <v>0.7</v>
      </c>
      <c r="Q152">
        <v>120</v>
      </c>
      <c r="R152">
        <v>1</v>
      </c>
      <c r="S152">
        <f t="shared" si="20"/>
        <v>0.5</v>
      </c>
      <c r="T152">
        <f t="shared" si="21"/>
        <v>0.7</v>
      </c>
      <c r="U152" s="2">
        <f t="shared" si="15"/>
        <v>113.52270588235295</v>
      </c>
      <c r="W152">
        <v>552.20000000000005</v>
      </c>
      <c r="X152">
        <f t="shared" si="16"/>
        <v>70172.000000000015</v>
      </c>
      <c r="Y152">
        <f t="shared" si="17"/>
        <v>6525.2999999999993</v>
      </c>
      <c r="Z152">
        <v>8.2328751709173389</v>
      </c>
    </row>
    <row r="153" spans="1:26" x14ac:dyDescent="0.35">
      <c r="A153">
        <v>5160</v>
      </c>
      <c r="B153">
        <v>23050</v>
      </c>
      <c r="C153" s="1">
        <v>43098</v>
      </c>
      <c r="F153" s="51"/>
      <c r="G153">
        <v>6.1</v>
      </c>
      <c r="H153">
        <v>-0.1</v>
      </c>
      <c r="I153">
        <v>13.3</v>
      </c>
      <c r="J153">
        <f t="shared" si="13"/>
        <v>1221.3999999999996</v>
      </c>
      <c r="K153">
        <f t="shared" si="14"/>
        <v>139.1</v>
      </c>
      <c r="M153">
        <v>7.6</v>
      </c>
      <c r="N153">
        <v>0.7</v>
      </c>
      <c r="O153">
        <f t="shared" si="19"/>
        <v>6.8999999999999995</v>
      </c>
      <c r="Q153">
        <v>121</v>
      </c>
      <c r="R153">
        <v>1</v>
      </c>
      <c r="S153">
        <f t="shared" si="20"/>
        <v>0.7</v>
      </c>
      <c r="T153">
        <f t="shared" si="21"/>
        <v>6.8999999999999995</v>
      </c>
      <c r="U153" s="2">
        <f t="shared" si="15"/>
        <v>120.42270588235296</v>
      </c>
      <c r="W153">
        <v>122.9</v>
      </c>
      <c r="X153">
        <f t="shared" si="16"/>
        <v>70294.900000000009</v>
      </c>
      <c r="Y153">
        <f t="shared" si="17"/>
        <v>6648.1999999999989</v>
      </c>
      <c r="Z153">
        <v>8.2434685853455907</v>
      </c>
    </row>
    <row r="154" spans="1:26" x14ac:dyDescent="0.35">
      <c r="A154">
        <v>5160</v>
      </c>
      <c r="B154">
        <v>23050</v>
      </c>
      <c r="C154" s="1">
        <v>43099</v>
      </c>
      <c r="F154" s="51"/>
      <c r="G154">
        <v>12.9</v>
      </c>
      <c r="H154">
        <v>9.3000000000000007</v>
      </c>
      <c r="I154">
        <v>13.5</v>
      </c>
      <c r="J154">
        <f t="shared" si="13"/>
        <v>1234.2999999999997</v>
      </c>
      <c r="K154">
        <f t="shared" si="14"/>
        <v>152</v>
      </c>
      <c r="M154">
        <v>0.1</v>
      </c>
      <c r="N154">
        <v>0.2</v>
      </c>
      <c r="O154">
        <f t="shared" si="19"/>
        <v>-0.1</v>
      </c>
      <c r="Q154">
        <v>122</v>
      </c>
      <c r="R154">
        <v>1</v>
      </c>
      <c r="S154">
        <f t="shared" si="20"/>
        <v>0.2</v>
      </c>
      <c r="T154">
        <f t="shared" si="21"/>
        <v>-0.1</v>
      </c>
      <c r="U154" s="2">
        <f t="shared" si="15"/>
        <v>120.32270588235296</v>
      </c>
      <c r="W154">
        <v>93.1</v>
      </c>
      <c r="X154">
        <f t="shared" si="16"/>
        <v>70388.000000000015</v>
      </c>
      <c r="Y154">
        <f t="shared" si="17"/>
        <v>6741.2999999999993</v>
      </c>
      <c r="Z154">
        <v>8.2553994968457349</v>
      </c>
    </row>
    <row r="155" spans="1:26" x14ac:dyDescent="0.35">
      <c r="A155">
        <v>5160</v>
      </c>
      <c r="B155">
        <v>23050</v>
      </c>
      <c r="C155" s="1">
        <v>43100</v>
      </c>
      <c r="F155" s="51"/>
      <c r="G155">
        <v>11.5</v>
      </c>
      <c r="H155">
        <v>9.6999999999999993</v>
      </c>
      <c r="I155">
        <v>14.1</v>
      </c>
      <c r="J155">
        <f t="shared" si="13"/>
        <v>1245.7999999999997</v>
      </c>
      <c r="K155">
        <f t="shared" si="14"/>
        <v>163.5</v>
      </c>
      <c r="M155">
        <v>2.6</v>
      </c>
      <c r="N155">
        <v>2</v>
      </c>
      <c r="O155">
        <f t="shared" si="19"/>
        <v>0.60000000000000009</v>
      </c>
      <c r="Q155">
        <v>123</v>
      </c>
      <c r="R155">
        <v>1</v>
      </c>
      <c r="S155">
        <f t="shared" si="20"/>
        <v>2</v>
      </c>
      <c r="T155">
        <f t="shared" si="21"/>
        <v>0.60000000000000009</v>
      </c>
      <c r="U155" s="2">
        <f t="shared" si="15"/>
        <v>120.92270588235296</v>
      </c>
      <c r="W155">
        <v>305.7</v>
      </c>
      <c r="X155">
        <f t="shared" si="16"/>
        <v>70693.700000000012</v>
      </c>
      <c r="Y155">
        <f t="shared" si="17"/>
        <v>7046.9999999999991</v>
      </c>
      <c r="Z155">
        <v>8.2686574302579956</v>
      </c>
    </row>
    <row r="156" spans="1:26" x14ac:dyDescent="0.35">
      <c r="A156">
        <v>5160</v>
      </c>
      <c r="B156">
        <v>23050</v>
      </c>
      <c r="C156" s="1">
        <v>43101</v>
      </c>
      <c r="F156" s="51"/>
      <c r="G156">
        <v>7.6</v>
      </c>
      <c r="H156">
        <v>6.2</v>
      </c>
      <c r="I156">
        <v>9.5</v>
      </c>
      <c r="J156">
        <f t="shared" si="13"/>
        <v>1253.3999999999996</v>
      </c>
      <c r="K156">
        <f t="shared" si="14"/>
        <v>171.1</v>
      </c>
      <c r="M156">
        <v>2.2000000000000002</v>
      </c>
      <c r="N156">
        <v>1.3</v>
      </c>
      <c r="O156">
        <f t="shared" si="19"/>
        <v>0.90000000000000013</v>
      </c>
      <c r="Q156">
        <v>124</v>
      </c>
      <c r="R156">
        <v>1</v>
      </c>
      <c r="S156">
        <f t="shared" si="20"/>
        <v>1.3</v>
      </c>
      <c r="T156">
        <f t="shared" si="21"/>
        <v>0.90000000000000013</v>
      </c>
      <c r="U156" s="2">
        <f t="shared" si="15"/>
        <v>121.82270588235296</v>
      </c>
      <c r="W156">
        <v>136.19999999999999</v>
      </c>
      <c r="X156">
        <f t="shared" si="16"/>
        <v>70829.900000000009</v>
      </c>
      <c r="Y156">
        <f t="shared" si="17"/>
        <v>7183.1999999999989</v>
      </c>
      <c r="Z156">
        <v>8.2832308327981625</v>
      </c>
    </row>
    <row r="157" spans="1:26" x14ac:dyDescent="0.35">
      <c r="A157">
        <v>5160</v>
      </c>
      <c r="B157">
        <v>23050</v>
      </c>
      <c r="C157" s="1">
        <v>43102</v>
      </c>
      <c r="F157" s="51"/>
      <c r="G157">
        <v>8.6999999999999993</v>
      </c>
      <c r="H157">
        <v>5.3</v>
      </c>
      <c r="I157">
        <v>12.8</v>
      </c>
      <c r="J157">
        <f t="shared" si="13"/>
        <v>1262.0999999999997</v>
      </c>
      <c r="K157">
        <f t="shared" si="14"/>
        <v>179.79999999999998</v>
      </c>
      <c r="M157">
        <v>2.2999999999999998</v>
      </c>
      <c r="N157">
        <v>0.8</v>
      </c>
      <c r="O157">
        <f t="shared" si="19"/>
        <v>1.4999999999999998</v>
      </c>
      <c r="Q157">
        <v>125</v>
      </c>
      <c r="R157">
        <v>1</v>
      </c>
      <c r="S157">
        <f t="shared" si="20"/>
        <v>0.8</v>
      </c>
      <c r="T157">
        <f t="shared" si="21"/>
        <v>1.4999999999999998</v>
      </c>
      <c r="U157" s="2">
        <f t="shared" si="15"/>
        <v>123.32270588235296</v>
      </c>
      <c r="W157">
        <v>149.6</v>
      </c>
      <c r="X157">
        <f t="shared" si="16"/>
        <v>70979.500000000015</v>
      </c>
      <c r="Y157">
        <f t="shared" si="17"/>
        <v>7332.7999999999993</v>
      </c>
      <c r="Z157">
        <v>8.299107110811816</v>
      </c>
    </row>
    <row r="158" spans="1:26" x14ac:dyDescent="0.35">
      <c r="A158">
        <v>5160</v>
      </c>
      <c r="B158">
        <v>23050</v>
      </c>
      <c r="C158" s="1">
        <v>43103</v>
      </c>
      <c r="F158" s="51"/>
      <c r="G158">
        <v>11</v>
      </c>
      <c r="H158">
        <v>9.6999999999999993</v>
      </c>
      <c r="I158">
        <v>13</v>
      </c>
      <c r="J158">
        <f t="shared" si="13"/>
        <v>1273.0999999999997</v>
      </c>
      <c r="K158">
        <f t="shared" si="14"/>
        <v>190.79999999999998</v>
      </c>
      <c r="M158">
        <v>6.1</v>
      </c>
      <c r="N158">
        <v>2</v>
      </c>
      <c r="O158">
        <f t="shared" si="19"/>
        <v>4.0999999999999996</v>
      </c>
      <c r="Q158">
        <v>126</v>
      </c>
      <c r="R158">
        <v>1</v>
      </c>
      <c r="S158">
        <f t="shared" si="20"/>
        <v>2</v>
      </c>
      <c r="T158">
        <f t="shared" si="21"/>
        <v>4.0999999999999996</v>
      </c>
      <c r="U158" s="2">
        <f t="shared" si="15"/>
        <v>127.42270588235296</v>
      </c>
      <c r="W158">
        <v>394.9</v>
      </c>
      <c r="X158">
        <f t="shared" si="16"/>
        <v>71374.400000000009</v>
      </c>
      <c r="Y158">
        <f t="shared" si="17"/>
        <v>7727.6999999999989</v>
      </c>
      <c r="Z158">
        <v>8.3162726693133955</v>
      </c>
    </row>
    <row r="159" spans="1:26" x14ac:dyDescent="0.35">
      <c r="A159">
        <v>5160</v>
      </c>
      <c r="B159">
        <v>23050</v>
      </c>
      <c r="C159" s="1">
        <v>43104</v>
      </c>
      <c r="F159" s="51"/>
      <c r="G159">
        <v>11.6</v>
      </c>
      <c r="H159">
        <v>9.5</v>
      </c>
      <c r="I159">
        <v>13.6</v>
      </c>
      <c r="J159">
        <f t="shared" si="13"/>
        <v>1284.6999999999996</v>
      </c>
      <c r="K159">
        <f t="shared" si="14"/>
        <v>202.39999999999998</v>
      </c>
      <c r="M159">
        <v>5.4</v>
      </c>
      <c r="N159">
        <v>0.8</v>
      </c>
      <c r="O159">
        <f t="shared" si="19"/>
        <v>4.6000000000000005</v>
      </c>
      <c r="Q159">
        <v>127</v>
      </c>
      <c r="R159">
        <v>1</v>
      </c>
      <c r="S159">
        <f t="shared" si="20"/>
        <v>0.8</v>
      </c>
      <c r="T159">
        <f t="shared" si="21"/>
        <v>4.6000000000000005</v>
      </c>
      <c r="U159" s="2">
        <f t="shared" si="15"/>
        <v>132.02270588235297</v>
      </c>
      <c r="W159">
        <v>114.2</v>
      </c>
      <c r="X159">
        <f t="shared" si="16"/>
        <v>71488.600000000006</v>
      </c>
      <c r="Y159">
        <f t="shared" si="17"/>
        <v>7841.8999999999987</v>
      </c>
      <c r="Z159">
        <v>8.3347129540531704</v>
      </c>
    </row>
    <row r="160" spans="1:26" x14ac:dyDescent="0.35">
      <c r="A160">
        <v>5160</v>
      </c>
      <c r="B160">
        <v>23050</v>
      </c>
      <c r="C160" s="1">
        <v>43105</v>
      </c>
      <c r="F160" s="51"/>
      <c r="G160">
        <v>9</v>
      </c>
      <c r="H160">
        <v>8</v>
      </c>
      <c r="I160">
        <v>10.9</v>
      </c>
      <c r="J160">
        <f t="shared" si="13"/>
        <v>1293.6999999999996</v>
      </c>
      <c r="K160">
        <f t="shared" si="14"/>
        <v>211.39999999999998</v>
      </c>
      <c r="M160">
        <v>0.9</v>
      </c>
      <c r="N160">
        <v>0.7</v>
      </c>
      <c r="O160">
        <f t="shared" si="19"/>
        <v>0.20000000000000007</v>
      </c>
      <c r="Q160">
        <v>128</v>
      </c>
      <c r="R160">
        <v>1</v>
      </c>
      <c r="S160">
        <f t="shared" si="20"/>
        <v>0.7</v>
      </c>
      <c r="T160">
        <f t="shared" si="21"/>
        <v>0.20000000000000007</v>
      </c>
      <c r="U160" s="2">
        <f t="shared" si="15"/>
        <v>132.22270588235295</v>
      </c>
      <c r="W160">
        <v>153</v>
      </c>
      <c r="X160">
        <f t="shared" si="16"/>
        <v>71641.600000000006</v>
      </c>
      <c r="Y160">
        <f t="shared" si="17"/>
        <v>7994.8999999999987</v>
      </c>
      <c r="Z160">
        <v>8.3544124958445867</v>
      </c>
    </row>
    <row r="161" spans="1:26" x14ac:dyDescent="0.35">
      <c r="A161">
        <v>5160</v>
      </c>
      <c r="B161">
        <v>23050</v>
      </c>
      <c r="C161" s="1">
        <v>43106</v>
      </c>
      <c r="F161" s="51"/>
      <c r="G161">
        <v>6.8</v>
      </c>
      <c r="H161">
        <v>6.1</v>
      </c>
      <c r="I161">
        <v>7.5</v>
      </c>
      <c r="J161">
        <f t="shared" si="13"/>
        <v>1300.4999999999995</v>
      </c>
      <c r="K161">
        <f t="shared" si="14"/>
        <v>218.2</v>
      </c>
      <c r="M161">
        <v>4.4000000000000004</v>
      </c>
      <c r="N161">
        <v>0.2</v>
      </c>
      <c r="O161">
        <f t="shared" si="19"/>
        <v>4.2</v>
      </c>
      <c r="Q161">
        <v>129</v>
      </c>
      <c r="R161">
        <v>1</v>
      </c>
      <c r="S161">
        <f t="shared" si="20"/>
        <v>0.2</v>
      </c>
      <c r="T161">
        <f t="shared" si="21"/>
        <v>4.2</v>
      </c>
      <c r="U161" s="2">
        <f t="shared" si="15"/>
        <v>136.42270588235294</v>
      </c>
      <c r="W161">
        <v>110.7</v>
      </c>
      <c r="X161">
        <f t="shared" si="16"/>
        <v>71752.3</v>
      </c>
      <c r="Y161">
        <f t="shared" si="17"/>
        <v>8105.5999999999985</v>
      </c>
      <c r="Z161">
        <v>8.3753549568767358</v>
      </c>
    </row>
    <row r="162" spans="1:26" x14ac:dyDescent="0.35">
      <c r="A162">
        <v>5160</v>
      </c>
      <c r="B162">
        <v>23050</v>
      </c>
      <c r="C162" s="1">
        <v>43107</v>
      </c>
      <c r="F162" s="51"/>
      <c r="G162">
        <v>7</v>
      </c>
      <c r="H162">
        <v>6.6</v>
      </c>
      <c r="I162">
        <v>7.2</v>
      </c>
      <c r="J162">
        <f t="shared" si="13"/>
        <v>1307.4999999999995</v>
      </c>
      <c r="K162">
        <f t="shared" si="14"/>
        <v>225.2</v>
      </c>
      <c r="M162">
        <v>0.2</v>
      </c>
      <c r="N162">
        <v>0.6</v>
      </c>
      <c r="O162">
        <f t="shared" si="19"/>
        <v>-0.39999999999999997</v>
      </c>
      <c r="Q162">
        <v>130</v>
      </c>
      <c r="R162">
        <v>1</v>
      </c>
      <c r="S162">
        <f t="shared" si="20"/>
        <v>0.6</v>
      </c>
      <c r="T162">
        <f t="shared" si="21"/>
        <v>-0.39999999999999997</v>
      </c>
      <c r="U162" s="2">
        <f t="shared" si="15"/>
        <v>136.02270588235294</v>
      </c>
      <c r="W162">
        <v>99</v>
      </c>
      <c r="X162">
        <f t="shared" si="16"/>
        <v>71851.3</v>
      </c>
      <c r="Y162">
        <f t="shared" si="17"/>
        <v>8204.5999999999985</v>
      </c>
      <c r="Z162">
        <v>8.3975231787317437</v>
      </c>
    </row>
    <row r="163" spans="1:26" x14ac:dyDescent="0.35">
      <c r="A163">
        <v>5160</v>
      </c>
      <c r="B163">
        <v>23050</v>
      </c>
      <c r="C163" s="1">
        <v>43108</v>
      </c>
      <c r="F163" s="51"/>
      <c r="G163">
        <v>6.4</v>
      </c>
      <c r="H163">
        <v>6.4</v>
      </c>
      <c r="I163">
        <v>7.3</v>
      </c>
      <c r="J163">
        <f t="shared" ref="J163:J226" si="22">J162+G163</f>
        <v>1313.8999999999996</v>
      </c>
      <c r="K163">
        <f t="shared" ref="K163:K226" si="23">K162+G163</f>
        <v>231.6</v>
      </c>
      <c r="M163">
        <v>0.2</v>
      </c>
      <c r="N163">
        <v>0.7</v>
      </c>
      <c r="O163">
        <f t="shared" si="19"/>
        <v>-0.49999999999999994</v>
      </c>
      <c r="Q163">
        <v>131</v>
      </c>
      <c r="R163">
        <v>1</v>
      </c>
      <c r="S163">
        <f t="shared" si="20"/>
        <v>0.7</v>
      </c>
      <c r="T163">
        <f t="shared" si="21"/>
        <v>-0.49999999999999994</v>
      </c>
      <c r="U163" s="2">
        <f t="shared" ref="U163:U226" si="24">MIN(U162+T163,150.8)</f>
        <v>135.52270588235294</v>
      </c>
      <c r="W163">
        <v>290.10000000000002</v>
      </c>
      <c r="X163">
        <f t="shared" ref="X163:X226" si="25">X162+W163</f>
        <v>72141.400000000009</v>
      </c>
      <c r="Y163">
        <f t="shared" ref="Y163:Y226" si="26">Y162+W163</f>
        <v>8494.6999999999989</v>
      </c>
      <c r="Z163">
        <v>8.4208992318246683</v>
      </c>
    </row>
    <row r="164" spans="1:26" x14ac:dyDescent="0.35">
      <c r="A164">
        <v>5160</v>
      </c>
      <c r="B164">
        <v>23050</v>
      </c>
      <c r="C164" s="1">
        <v>43109</v>
      </c>
      <c r="F164" s="51"/>
      <c r="G164">
        <v>6</v>
      </c>
      <c r="H164">
        <v>3.4</v>
      </c>
      <c r="I164">
        <v>8.3000000000000007</v>
      </c>
      <c r="J164">
        <f t="shared" si="22"/>
        <v>1319.8999999999996</v>
      </c>
      <c r="K164">
        <f t="shared" si="23"/>
        <v>237.6</v>
      </c>
      <c r="M164">
        <v>3.5</v>
      </c>
      <c r="N164">
        <v>0.2</v>
      </c>
      <c r="O164">
        <f t="shared" si="19"/>
        <v>3.3</v>
      </c>
      <c r="Q164">
        <v>132</v>
      </c>
      <c r="R164">
        <v>1</v>
      </c>
      <c r="S164">
        <f t="shared" si="20"/>
        <v>0.2</v>
      </c>
      <c r="T164">
        <f t="shared" si="21"/>
        <v>3.3</v>
      </c>
      <c r="U164" s="2">
        <f t="shared" si="24"/>
        <v>138.82270588235295</v>
      </c>
      <c r="W164">
        <v>122.2</v>
      </c>
      <c r="X164">
        <f t="shared" si="25"/>
        <v>72263.600000000006</v>
      </c>
      <c r="Y164">
        <f t="shared" si="26"/>
        <v>8616.9</v>
      </c>
      <c r="Z164">
        <v>8.4454644659839477</v>
      </c>
    </row>
    <row r="165" spans="1:26" x14ac:dyDescent="0.35">
      <c r="A165">
        <v>5160</v>
      </c>
      <c r="B165">
        <v>23050</v>
      </c>
      <c r="C165" s="1">
        <v>43110</v>
      </c>
      <c r="F165" s="51"/>
      <c r="G165">
        <v>7.2</v>
      </c>
      <c r="H165">
        <v>7</v>
      </c>
      <c r="I165">
        <v>8.5</v>
      </c>
      <c r="J165">
        <f t="shared" si="22"/>
        <v>1327.0999999999997</v>
      </c>
      <c r="K165">
        <f t="shared" si="23"/>
        <v>244.79999999999998</v>
      </c>
      <c r="M165">
        <v>1.6</v>
      </c>
      <c r="N165">
        <v>0.5</v>
      </c>
      <c r="O165">
        <f t="shared" si="19"/>
        <v>1.1000000000000001</v>
      </c>
      <c r="Q165">
        <v>133</v>
      </c>
      <c r="R165">
        <v>1</v>
      </c>
      <c r="S165">
        <f t="shared" si="20"/>
        <v>0.5</v>
      </c>
      <c r="T165">
        <f t="shared" si="21"/>
        <v>1.1000000000000001</v>
      </c>
      <c r="U165" s="2">
        <f t="shared" si="24"/>
        <v>139.92270588235294</v>
      </c>
      <c r="W165">
        <v>127.5</v>
      </c>
      <c r="X165">
        <f t="shared" si="25"/>
        <v>72391.100000000006</v>
      </c>
      <c r="Y165">
        <f t="shared" si="26"/>
        <v>8744.4</v>
      </c>
      <c r="Z165">
        <v>8.4711995618934495</v>
      </c>
    </row>
    <row r="166" spans="1:26" x14ac:dyDescent="0.35">
      <c r="A166">
        <v>5160</v>
      </c>
      <c r="B166">
        <v>23050</v>
      </c>
      <c r="C166" s="1">
        <v>43111</v>
      </c>
      <c r="F166" s="51"/>
      <c r="G166">
        <v>6.9</v>
      </c>
      <c r="H166">
        <v>5.7</v>
      </c>
      <c r="I166">
        <v>8.6999999999999993</v>
      </c>
      <c r="J166">
        <f t="shared" si="22"/>
        <v>1333.9999999999998</v>
      </c>
      <c r="K166">
        <f t="shared" si="23"/>
        <v>251.7</v>
      </c>
      <c r="M166">
        <v>0.1</v>
      </c>
      <c r="N166">
        <v>0.4</v>
      </c>
      <c r="O166">
        <f t="shared" si="19"/>
        <v>-0.30000000000000004</v>
      </c>
      <c r="Q166">
        <v>134</v>
      </c>
      <c r="R166">
        <v>1</v>
      </c>
      <c r="S166">
        <f t="shared" si="20"/>
        <v>0.4</v>
      </c>
      <c r="T166">
        <f t="shared" si="21"/>
        <v>-0.30000000000000004</v>
      </c>
      <c r="U166" s="2">
        <f t="shared" si="24"/>
        <v>139.62270588235293</v>
      </c>
      <c r="W166">
        <v>167.4</v>
      </c>
      <c r="X166">
        <f t="shared" si="25"/>
        <v>72558.5</v>
      </c>
      <c r="Y166">
        <f t="shared" si="26"/>
        <v>8911.7999999999993</v>
      </c>
      <c r="Z166">
        <v>8.4980845831224041</v>
      </c>
    </row>
    <row r="167" spans="1:26" x14ac:dyDescent="0.35">
      <c r="A167">
        <v>5160</v>
      </c>
      <c r="B167">
        <v>23050</v>
      </c>
      <c r="C167" s="1">
        <v>43112</v>
      </c>
      <c r="E167">
        <v>22</v>
      </c>
      <c r="F167" s="51"/>
      <c r="G167">
        <v>4.9000000000000004</v>
      </c>
      <c r="H167">
        <v>4.5</v>
      </c>
      <c r="I167">
        <v>6.1</v>
      </c>
      <c r="J167">
        <f t="shared" si="22"/>
        <v>1338.8999999999999</v>
      </c>
      <c r="K167">
        <f t="shared" si="23"/>
        <v>256.59999999999997</v>
      </c>
      <c r="M167">
        <v>0</v>
      </c>
      <c r="N167">
        <v>0.3</v>
      </c>
      <c r="O167">
        <f t="shared" si="19"/>
        <v>-0.3</v>
      </c>
      <c r="Q167">
        <v>135</v>
      </c>
      <c r="R167">
        <v>1</v>
      </c>
      <c r="S167">
        <f t="shared" si="20"/>
        <v>0.3</v>
      </c>
      <c r="T167">
        <f t="shared" si="21"/>
        <v>-0.3</v>
      </c>
      <c r="U167" s="2">
        <f t="shared" si="24"/>
        <v>139.32270588235292</v>
      </c>
      <c r="W167">
        <v>135.19999999999999</v>
      </c>
      <c r="X167">
        <f t="shared" si="25"/>
        <v>72693.7</v>
      </c>
      <c r="Y167">
        <f t="shared" si="26"/>
        <v>9047</v>
      </c>
      <c r="Z167">
        <v>8.5260990284770966</v>
      </c>
    </row>
    <row r="168" spans="1:26" x14ac:dyDescent="0.35">
      <c r="A168">
        <v>5160</v>
      </c>
      <c r="B168">
        <v>23050</v>
      </c>
      <c r="C168" s="1">
        <v>43113</v>
      </c>
      <c r="E168">
        <v>23</v>
      </c>
      <c r="F168" s="51"/>
      <c r="G168">
        <v>3</v>
      </c>
      <c r="H168">
        <v>1.8</v>
      </c>
      <c r="I168">
        <v>3.6</v>
      </c>
      <c r="J168">
        <f t="shared" si="22"/>
        <v>1341.8999999999999</v>
      </c>
      <c r="K168">
        <f t="shared" si="23"/>
        <v>259.59999999999997</v>
      </c>
      <c r="M168">
        <v>0</v>
      </c>
      <c r="N168">
        <v>0.1</v>
      </c>
      <c r="O168">
        <f t="shared" si="19"/>
        <v>-0.1</v>
      </c>
      <c r="Q168">
        <v>136</v>
      </c>
      <c r="R168">
        <v>1</v>
      </c>
      <c r="S168">
        <f t="shared" si="20"/>
        <v>0.1</v>
      </c>
      <c r="T168">
        <f t="shared" si="21"/>
        <v>-0.1</v>
      </c>
      <c r="U168" s="2">
        <f t="shared" si="24"/>
        <v>139.22270588235293</v>
      </c>
      <c r="W168">
        <v>204.8</v>
      </c>
      <c r="X168">
        <f t="shared" si="25"/>
        <v>72898.5</v>
      </c>
      <c r="Y168">
        <f t="shared" si="26"/>
        <v>9251.7999999999993</v>
      </c>
      <c r="Z168">
        <v>8.5552218844174899</v>
      </c>
    </row>
    <row r="169" spans="1:26" x14ac:dyDescent="0.35">
      <c r="A169">
        <v>5160</v>
      </c>
      <c r="B169">
        <v>23050</v>
      </c>
      <c r="C169" s="1">
        <v>43114</v>
      </c>
      <c r="E169">
        <v>24</v>
      </c>
      <c r="F169" s="51"/>
      <c r="G169">
        <v>2.8</v>
      </c>
      <c r="H169">
        <v>1.2</v>
      </c>
      <c r="I169">
        <v>5.8</v>
      </c>
      <c r="J169">
        <f t="shared" si="22"/>
        <v>1344.6999999999998</v>
      </c>
      <c r="K169">
        <f t="shared" si="23"/>
        <v>262.39999999999998</v>
      </c>
      <c r="M169">
        <v>0.1</v>
      </c>
      <c r="N169">
        <v>0.5</v>
      </c>
      <c r="O169">
        <f t="shared" si="19"/>
        <v>-0.4</v>
      </c>
      <c r="Q169">
        <v>137</v>
      </c>
      <c r="R169">
        <v>1</v>
      </c>
      <c r="S169">
        <f t="shared" si="20"/>
        <v>0.5</v>
      </c>
      <c r="T169">
        <f t="shared" si="21"/>
        <v>-0.4</v>
      </c>
      <c r="U169" s="2">
        <f t="shared" si="24"/>
        <v>138.82270588235292</v>
      </c>
      <c r="W169">
        <v>283.39999999999998</v>
      </c>
      <c r="X169">
        <f t="shared" si="25"/>
        <v>73181.899999999994</v>
      </c>
      <c r="Y169">
        <f t="shared" si="26"/>
        <v>9535.1999999999989</v>
      </c>
      <c r="Z169">
        <v>8.5854316772932187</v>
      </c>
    </row>
    <row r="170" spans="1:26" x14ac:dyDescent="0.35">
      <c r="A170">
        <v>5160</v>
      </c>
      <c r="B170">
        <v>23050</v>
      </c>
      <c r="C170" s="1">
        <v>43115</v>
      </c>
      <c r="F170" s="51"/>
      <c r="G170">
        <v>7.2</v>
      </c>
      <c r="H170">
        <v>1.3</v>
      </c>
      <c r="I170">
        <v>9.8000000000000007</v>
      </c>
      <c r="J170">
        <f t="shared" si="22"/>
        <v>1351.8999999999999</v>
      </c>
      <c r="K170">
        <f t="shared" si="23"/>
        <v>269.59999999999997</v>
      </c>
      <c r="M170">
        <v>8.6999999999999993</v>
      </c>
      <c r="N170">
        <v>0.1</v>
      </c>
      <c r="O170">
        <f t="shared" si="19"/>
        <v>8.6</v>
      </c>
      <c r="Q170">
        <v>138</v>
      </c>
      <c r="R170">
        <v>1</v>
      </c>
      <c r="S170">
        <f t="shared" si="20"/>
        <v>0.1</v>
      </c>
      <c r="T170">
        <f t="shared" si="21"/>
        <v>8.6</v>
      </c>
      <c r="U170" s="2">
        <f t="shared" si="24"/>
        <v>147.42270588235291</v>
      </c>
      <c r="W170">
        <v>124.8</v>
      </c>
      <c r="X170">
        <f t="shared" si="25"/>
        <v>73306.7</v>
      </c>
      <c r="Y170">
        <f t="shared" si="26"/>
        <v>9659.9999999999982</v>
      </c>
      <c r="Z170">
        <v>8.6167065251659256</v>
      </c>
    </row>
    <row r="171" spans="1:26" x14ac:dyDescent="0.35">
      <c r="A171">
        <v>5160</v>
      </c>
      <c r="B171">
        <v>23050</v>
      </c>
      <c r="C171" s="1">
        <v>43116</v>
      </c>
      <c r="F171" s="51"/>
      <c r="G171">
        <v>8.9</v>
      </c>
      <c r="H171">
        <v>8.1</v>
      </c>
      <c r="I171">
        <v>10.9</v>
      </c>
      <c r="J171">
        <f t="shared" si="22"/>
        <v>1360.8</v>
      </c>
      <c r="K171">
        <f t="shared" si="23"/>
        <v>278.49999999999994</v>
      </c>
      <c r="M171">
        <v>5</v>
      </c>
      <c r="N171">
        <v>1.3</v>
      </c>
      <c r="O171">
        <f t="shared" si="19"/>
        <v>3.7</v>
      </c>
      <c r="Q171">
        <v>139</v>
      </c>
      <c r="R171">
        <v>1</v>
      </c>
      <c r="S171">
        <f t="shared" si="20"/>
        <v>1.3</v>
      </c>
      <c r="T171">
        <f t="shared" si="21"/>
        <v>3.7</v>
      </c>
      <c r="U171" s="2">
        <f t="shared" si="24"/>
        <v>150.80000000000001</v>
      </c>
      <c r="W171">
        <v>140.19999999999999</v>
      </c>
      <c r="X171">
        <f t="shared" si="25"/>
        <v>73446.899999999994</v>
      </c>
      <c r="Y171">
        <f t="shared" si="26"/>
        <v>9800.1999999999989</v>
      </c>
      <c r="Z171">
        <v>8.6490241889989221</v>
      </c>
    </row>
    <row r="172" spans="1:26" x14ac:dyDescent="0.35">
      <c r="A172">
        <v>5160</v>
      </c>
      <c r="B172">
        <v>23050</v>
      </c>
      <c r="C172" s="1">
        <v>43117</v>
      </c>
      <c r="F172" s="51"/>
      <c r="G172">
        <v>5.7</v>
      </c>
      <c r="H172">
        <v>4.5</v>
      </c>
      <c r="I172">
        <v>9.1</v>
      </c>
      <c r="J172">
        <f t="shared" si="22"/>
        <v>1366.5</v>
      </c>
      <c r="K172">
        <f t="shared" si="23"/>
        <v>284.19999999999993</v>
      </c>
      <c r="M172">
        <v>0.6</v>
      </c>
      <c r="N172">
        <v>1.7</v>
      </c>
      <c r="O172">
        <f t="shared" si="19"/>
        <v>-1.1000000000000001</v>
      </c>
      <c r="Q172">
        <v>140</v>
      </c>
      <c r="R172">
        <v>1</v>
      </c>
      <c r="S172">
        <f t="shared" si="20"/>
        <v>1.7</v>
      </c>
      <c r="T172">
        <f t="shared" si="21"/>
        <v>-1.1000000000000001</v>
      </c>
      <c r="U172" s="2">
        <f t="shared" si="24"/>
        <v>149.70000000000002</v>
      </c>
      <c r="W172">
        <v>434.8</v>
      </c>
      <c r="X172">
        <f t="shared" si="25"/>
        <v>73881.7</v>
      </c>
      <c r="Y172">
        <f t="shared" si="26"/>
        <v>10234.999999999998</v>
      </c>
      <c r="Z172">
        <v>8.6823621230099821</v>
      </c>
    </row>
    <row r="173" spans="1:26" x14ac:dyDescent="0.35">
      <c r="A173">
        <v>5160</v>
      </c>
      <c r="B173">
        <v>23050</v>
      </c>
      <c r="C173" s="1">
        <v>43118</v>
      </c>
      <c r="F173" s="51"/>
      <c r="G173">
        <v>9.1999999999999993</v>
      </c>
      <c r="H173">
        <v>5.2</v>
      </c>
      <c r="I173">
        <v>10.8</v>
      </c>
      <c r="J173">
        <f t="shared" si="22"/>
        <v>1375.7</v>
      </c>
      <c r="K173">
        <f t="shared" si="23"/>
        <v>293.39999999999992</v>
      </c>
      <c r="M173">
        <v>5.3</v>
      </c>
      <c r="N173">
        <v>0.2</v>
      </c>
      <c r="O173">
        <f t="shared" si="19"/>
        <v>5.0999999999999996</v>
      </c>
      <c r="Q173">
        <v>141</v>
      </c>
      <c r="R173">
        <v>1</v>
      </c>
      <c r="S173">
        <f t="shared" si="20"/>
        <v>0.2</v>
      </c>
      <c r="T173">
        <f t="shared" si="21"/>
        <v>5.0999999999999996</v>
      </c>
      <c r="U173" s="2">
        <f t="shared" si="24"/>
        <v>150.80000000000001</v>
      </c>
      <c r="W173">
        <v>129.1</v>
      </c>
      <c r="X173">
        <f t="shared" si="25"/>
        <v>74010.8</v>
      </c>
      <c r="Y173">
        <f t="shared" si="26"/>
        <v>10364.099999999999</v>
      </c>
      <c r="Z173">
        <v>8.7166975239987732</v>
      </c>
    </row>
    <row r="174" spans="1:26" x14ac:dyDescent="0.35">
      <c r="A174">
        <v>5160</v>
      </c>
      <c r="B174">
        <v>23050</v>
      </c>
      <c r="C174" s="1">
        <v>43119</v>
      </c>
      <c r="E174">
        <v>25</v>
      </c>
      <c r="F174" s="51"/>
      <c r="G174">
        <v>4.8</v>
      </c>
      <c r="H174">
        <v>3.4</v>
      </c>
      <c r="I174">
        <v>7.2</v>
      </c>
      <c r="J174">
        <f t="shared" si="22"/>
        <v>1380.5</v>
      </c>
      <c r="K174">
        <f t="shared" si="23"/>
        <v>298.19999999999993</v>
      </c>
      <c r="M174">
        <v>6.2</v>
      </c>
      <c r="N174">
        <v>0.8</v>
      </c>
      <c r="O174">
        <f t="shared" si="19"/>
        <v>5.4</v>
      </c>
      <c r="Q174">
        <v>142</v>
      </c>
      <c r="R174">
        <v>1</v>
      </c>
      <c r="S174">
        <f t="shared" si="20"/>
        <v>0.8</v>
      </c>
      <c r="T174">
        <f t="shared" si="21"/>
        <v>5.4</v>
      </c>
      <c r="U174" s="2">
        <f t="shared" si="24"/>
        <v>150.80000000000001</v>
      </c>
      <c r="W174">
        <v>316.8</v>
      </c>
      <c r="X174">
        <f t="shared" si="25"/>
        <v>74327.600000000006</v>
      </c>
      <c r="Y174">
        <f t="shared" si="26"/>
        <v>10680.899999999998</v>
      </c>
      <c r="Z174">
        <v>8.7520073794767974</v>
      </c>
    </row>
    <row r="175" spans="1:26" x14ac:dyDescent="0.35">
      <c r="A175">
        <v>5160</v>
      </c>
      <c r="B175">
        <v>23050</v>
      </c>
      <c r="C175" s="1">
        <v>43120</v>
      </c>
      <c r="F175" s="51"/>
      <c r="G175">
        <v>9.1999999999999993</v>
      </c>
      <c r="H175">
        <v>3.1</v>
      </c>
      <c r="I175">
        <v>12.2</v>
      </c>
      <c r="J175">
        <f t="shared" si="22"/>
        <v>1389.7</v>
      </c>
      <c r="K175">
        <f t="shared" si="23"/>
        <v>307.39999999999992</v>
      </c>
      <c r="M175">
        <v>6.9</v>
      </c>
      <c r="N175">
        <v>0.1</v>
      </c>
      <c r="O175">
        <f t="shared" si="19"/>
        <v>6.8000000000000007</v>
      </c>
      <c r="Q175">
        <v>143</v>
      </c>
      <c r="R175">
        <v>1</v>
      </c>
      <c r="S175">
        <f t="shared" si="20"/>
        <v>0.1</v>
      </c>
      <c r="T175">
        <f t="shared" si="21"/>
        <v>6.8000000000000007</v>
      </c>
      <c r="U175" s="2">
        <f t="shared" si="24"/>
        <v>150.80000000000001</v>
      </c>
      <c r="W175">
        <v>202.4</v>
      </c>
      <c r="X175">
        <f t="shared" si="25"/>
        <v>74530</v>
      </c>
      <c r="Y175">
        <f t="shared" si="26"/>
        <v>10883.299999999997</v>
      </c>
      <c r="Z175">
        <v>8.7882685144440984</v>
      </c>
    </row>
    <row r="176" spans="1:26" x14ac:dyDescent="0.35">
      <c r="A176">
        <v>5160</v>
      </c>
      <c r="B176">
        <v>23050</v>
      </c>
      <c r="C176" s="1">
        <v>43121</v>
      </c>
      <c r="F176" s="51"/>
      <c r="G176">
        <v>9.6</v>
      </c>
      <c r="H176">
        <v>7.9</v>
      </c>
      <c r="I176">
        <v>11.9</v>
      </c>
      <c r="J176">
        <f t="shared" si="22"/>
        <v>1399.3</v>
      </c>
      <c r="K176">
        <f t="shared" si="23"/>
        <v>316.99999999999994</v>
      </c>
      <c r="M176">
        <v>1.9</v>
      </c>
      <c r="N176">
        <v>0.7</v>
      </c>
      <c r="O176">
        <f t="shared" si="19"/>
        <v>1.2</v>
      </c>
      <c r="Q176">
        <v>144</v>
      </c>
      <c r="R176">
        <v>1</v>
      </c>
      <c r="S176">
        <f t="shared" si="20"/>
        <v>0.7</v>
      </c>
      <c r="T176">
        <f t="shared" si="21"/>
        <v>1.2</v>
      </c>
      <c r="U176" s="2">
        <f t="shared" si="24"/>
        <v>150.80000000000001</v>
      </c>
      <c r="W176">
        <v>206.8</v>
      </c>
      <c r="X176">
        <f t="shared" si="25"/>
        <v>74736.800000000003</v>
      </c>
      <c r="Y176">
        <f t="shared" si="26"/>
        <v>11090.099999999997</v>
      </c>
      <c r="Z176">
        <v>8.8254576366739368</v>
      </c>
    </row>
    <row r="177" spans="1:26" x14ac:dyDescent="0.35">
      <c r="A177">
        <v>5160</v>
      </c>
      <c r="B177">
        <v>23050</v>
      </c>
      <c r="C177" s="1">
        <v>43122</v>
      </c>
      <c r="F177" s="51"/>
      <c r="G177">
        <v>10</v>
      </c>
      <c r="H177">
        <v>7.2</v>
      </c>
      <c r="I177">
        <v>12.6</v>
      </c>
      <c r="J177">
        <f t="shared" si="22"/>
        <v>1409.3</v>
      </c>
      <c r="K177">
        <f t="shared" si="23"/>
        <v>326.99999999999994</v>
      </c>
      <c r="M177">
        <v>1.1000000000000001</v>
      </c>
      <c r="N177">
        <v>0.6</v>
      </c>
      <c r="O177">
        <f t="shared" si="19"/>
        <v>0.50000000000000011</v>
      </c>
      <c r="Q177">
        <v>145</v>
      </c>
      <c r="R177">
        <v>1</v>
      </c>
      <c r="S177">
        <f t="shared" si="20"/>
        <v>0.6</v>
      </c>
      <c r="T177">
        <f t="shared" si="21"/>
        <v>0.50000000000000011</v>
      </c>
      <c r="U177" s="2">
        <f t="shared" si="24"/>
        <v>150.80000000000001</v>
      </c>
      <c r="W177">
        <v>114.6</v>
      </c>
      <c r="X177">
        <f t="shared" si="25"/>
        <v>74851.400000000009</v>
      </c>
      <c r="Y177">
        <f t="shared" si="26"/>
        <v>11204.699999999997</v>
      </c>
      <c r="Z177">
        <v>8.8635513803831607</v>
      </c>
    </row>
    <row r="178" spans="1:26" x14ac:dyDescent="0.35">
      <c r="A178">
        <v>5160</v>
      </c>
      <c r="B178">
        <v>23050</v>
      </c>
      <c r="C178" s="1">
        <v>43123</v>
      </c>
      <c r="F178" s="51"/>
      <c r="G178">
        <v>8.8000000000000007</v>
      </c>
      <c r="H178">
        <v>5.6</v>
      </c>
      <c r="I178">
        <v>11.1</v>
      </c>
      <c r="J178">
        <f t="shared" si="22"/>
        <v>1418.1</v>
      </c>
      <c r="K178">
        <f t="shared" si="23"/>
        <v>335.79999999999995</v>
      </c>
      <c r="M178">
        <v>0.3</v>
      </c>
      <c r="N178">
        <v>0.2</v>
      </c>
      <c r="O178">
        <f t="shared" si="19"/>
        <v>9.9999999999999978E-2</v>
      </c>
      <c r="Q178">
        <v>146</v>
      </c>
      <c r="R178">
        <v>1</v>
      </c>
      <c r="S178">
        <f t="shared" si="20"/>
        <v>0.2</v>
      </c>
      <c r="T178">
        <f t="shared" si="21"/>
        <v>9.9999999999999978E-2</v>
      </c>
      <c r="U178" s="2">
        <f t="shared" si="24"/>
        <v>150.80000000000001</v>
      </c>
      <c r="W178">
        <v>200.5</v>
      </c>
      <c r="X178">
        <f t="shared" si="25"/>
        <v>75051.900000000009</v>
      </c>
      <c r="Y178">
        <f t="shared" si="26"/>
        <v>11405.199999999997</v>
      </c>
      <c r="Z178">
        <v>8.9025263481825476</v>
      </c>
    </row>
    <row r="179" spans="1:26" x14ac:dyDescent="0.35">
      <c r="A179">
        <v>5160</v>
      </c>
      <c r="B179">
        <v>23050</v>
      </c>
      <c r="C179" s="1">
        <v>43124</v>
      </c>
      <c r="F179" s="51"/>
      <c r="G179">
        <v>11.4</v>
      </c>
      <c r="H179">
        <v>10.9</v>
      </c>
      <c r="I179">
        <v>12.2</v>
      </c>
      <c r="J179">
        <f t="shared" si="22"/>
        <v>1429.5</v>
      </c>
      <c r="K179">
        <f t="shared" si="23"/>
        <v>347.19999999999993</v>
      </c>
      <c r="M179">
        <v>4.5</v>
      </c>
      <c r="N179">
        <v>1</v>
      </c>
      <c r="O179">
        <f t="shared" si="19"/>
        <v>3.5</v>
      </c>
      <c r="Q179">
        <v>147</v>
      </c>
      <c r="R179">
        <v>1</v>
      </c>
      <c r="S179">
        <f t="shared" si="20"/>
        <v>1</v>
      </c>
      <c r="T179">
        <f t="shared" si="21"/>
        <v>3.5</v>
      </c>
      <c r="U179" s="2">
        <f t="shared" si="24"/>
        <v>150.80000000000001</v>
      </c>
      <c r="W179">
        <v>249.2</v>
      </c>
      <c r="X179">
        <f t="shared" si="25"/>
        <v>75301.100000000006</v>
      </c>
      <c r="Y179">
        <f t="shared" si="26"/>
        <v>11654.399999999998</v>
      </c>
      <c r="Z179">
        <v>8.9423591512174401</v>
      </c>
    </row>
    <row r="180" spans="1:26" x14ac:dyDescent="0.35">
      <c r="A180">
        <v>5160</v>
      </c>
      <c r="B180">
        <v>23050</v>
      </c>
      <c r="C180" s="1">
        <v>43125</v>
      </c>
      <c r="F180" s="51"/>
      <c r="G180">
        <v>7.9</v>
      </c>
      <c r="H180">
        <v>7.5</v>
      </c>
      <c r="I180">
        <v>8.3000000000000007</v>
      </c>
      <c r="J180">
        <f t="shared" si="22"/>
        <v>1437.4</v>
      </c>
      <c r="K180">
        <f t="shared" si="23"/>
        <v>355.09999999999991</v>
      </c>
      <c r="M180">
        <v>6.6</v>
      </c>
      <c r="N180">
        <v>0.3</v>
      </c>
      <c r="O180">
        <f t="shared" si="19"/>
        <v>6.3</v>
      </c>
      <c r="Q180">
        <v>148</v>
      </c>
      <c r="R180">
        <v>1</v>
      </c>
      <c r="S180">
        <f t="shared" si="20"/>
        <v>0.3</v>
      </c>
      <c r="T180">
        <f t="shared" si="21"/>
        <v>6.3</v>
      </c>
      <c r="U180" s="2">
        <f t="shared" si="24"/>
        <v>150.80000000000001</v>
      </c>
      <c r="W180">
        <v>147.30000000000001</v>
      </c>
      <c r="X180">
        <f t="shared" si="25"/>
        <v>75448.400000000009</v>
      </c>
      <c r="Y180">
        <f t="shared" si="26"/>
        <v>11801.699999999997</v>
      </c>
      <c r="Z180">
        <v>8.9830264474246029</v>
      </c>
    </row>
    <row r="181" spans="1:26" x14ac:dyDescent="0.35">
      <c r="A181">
        <v>5160</v>
      </c>
      <c r="B181">
        <v>23050</v>
      </c>
      <c r="C181" s="1">
        <v>43126</v>
      </c>
      <c r="E181" t="s">
        <v>34</v>
      </c>
      <c r="F181" s="51"/>
      <c r="G181">
        <v>4.5999999999999996</v>
      </c>
      <c r="H181">
        <v>4</v>
      </c>
      <c r="I181">
        <v>5.7</v>
      </c>
      <c r="J181">
        <f t="shared" si="22"/>
        <v>1442</v>
      </c>
      <c r="K181">
        <f t="shared" si="23"/>
        <v>359.69999999999993</v>
      </c>
      <c r="M181">
        <v>0.2</v>
      </c>
      <c r="N181">
        <v>0.2</v>
      </c>
      <c r="O181">
        <f t="shared" si="19"/>
        <v>0</v>
      </c>
      <c r="Q181">
        <v>149</v>
      </c>
      <c r="R181">
        <v>1</v>
      </c>
      <c r="S181">
        <f t="shared" si="20"/>
        <v>0.2</v>
      </c>
      <c r="T181">
        <f t="shared" si="21"/>
        <v>0</v>
      </c>
      <c r="U181" s="2">
        <f t="shared" si="24"/>
        <v>150.80000000000001</v>
      </c>
      <c r="W181">
        <v>241.4</v>
      </c>
      <c r="X181">
        <f t="shared" si="25"/>
        <v>75689.8</v>
      </c>
      <c r="Y181">
        <f t="shared" si="26"/>
        <v>12043.099999999997</v>
      </c>
      <c r="Z181">
        <v>9.0245049778462523</v>
      </c>
    </row>
    <row r="182" spans="1:26" x14ac:dyDescent="0.35">
      <c r="A182">
        <v>5160</v>
      </c>
      <c r="B182">
        <v>23050</v>
      </c>
      <c r="C182" s="1">
        <v>43127</v>
      </c>
      <c r="F182" s="51"/>
      <c r="G182">
        <v>2.4</v>
      </c>
      <c r="H182">
        <v>1.1000000000000001</v>
      </c>
      <c r="I182">
        <v>4.3</v>
      </c>
      <c r="J182">
        <f t="shared" si="22"/>
        <v>1444.4</v>
      </c>
      <c r="K182">
        <f t="shared" si="23"/>
        <v>362.09999999999991</v>
      </c>
      <c r="M182">
        <v>0.2</v>
      </c>
      <c r="N182">
        <v>0.5</v>
      </c>
      <c r="O182">
        <f t="shared" si="19"/>
        <v>-0.3</v>
      </c>
      <c r="Q182">
        <v>150</v>
      </c>
      <c r="R182">
        <v>1</v>
      </c>
      <c r="S182">
        <f t="shared" si="20"/>
        <v>0.5</v>
      </c>
      <c r="T182">
        <f t="shared" si="21"/>
        <v>-0.3</v>
      </c>
      <c r="U182" s="2">
        <f t="shared" si="24"/>
        <v>150.5</v>
      </c>
      <c r="W182">
        <v>434</v>
      </c>
      <c r="X182">
        <f t="shared" si="25"/>
        <v>76123.8</v>
      </c>
      <c r="Y182">
        <f t="shared" si="26"/>
        <v>12477.099999999997</v>
      </c>
      <c r="Z182">
        <v>9.0667716009563826</v>
      </c>
    </row>
    <row r="183" spans="1:26" x14ac:dyDescent="0.35">
      <c r="A183">
        <v>5160</v>
      </c>
      <c r="B183">
        <v>23050</v>
      </c>
      <c r="C183" s="1">
        <v>43128</v>
      </c>
      <c r="F183" s="51"/>
      <c r="G183">
        <v>6.8</v>
      </c>
      <c r="H183">
        <v>3</v>
      </c>
      <c r="I183">
        <v>8.9</v>
      </c>
      <c r="J183">
        <f t="shared" si="22"/>
        <v>1451.2</v>
      </c>
      <c r="K183">
        <f t="shared" si="23"/>
        <v>368.89999999999992</v>
      </c>
      <c r="M183">
        <v>1.1000000000000001</v>
      </c>
      <c r="N183">
        <v>0.2</v>
      </c>
      <c r="O183">
        <f t="shared" si="19"/>
        <v>0.90000000000000013</v>
      </c>
      <c r="Q183">
        <v>151</v>
      </c>
      <c r="R183">
        <v>1</v>
      </c>
      <c r="S183">
        <f t="shared" si="20"/>
        <v>0.2</v>
      </c>
      <c r="T183">
        <f t="shared" si="21"/>
        <v>0.90000000000000013</v>
      </c>
      <c r="U183" s="2">
        <f t="shared" si="24"/>
        <v>150.80000000000001</v>
      </c>
      <c r="W183">
        <v>101.7</v>
      </c>
      <c r="X183">
        <f t="shared" si="25"/>
        <v>76225.5</v>
      </c>
      <c r="Y183">
        <f t="shared" si="26"/>
        <v>12578.799999999997</v>
      </c>
      <c r="Z183">
        <v>9.1098033249680732</v>
      </c>
    </row>
    <row r="184" spans="1:26" x14ac:dyDescent="0.35">
      <c r="A184">
        <v>5160</v>
      </c>
      <c r="B184">
        <v>23050</v>
      </c>
      <c r="C184" s="1">
        <v>43129</v>
      </c>
      <c r="F184" s="51"/>
      <c r="G184">
        <v>9</v>
      </c>
      <c r="H184">
        <v>8.6</v>
      </c>
      <c r="I184">
        <v>9.9</v>
      </c>
      <c r="J184">
        <f t="shared" si="22"/>
        <v>1460.2</v>
      </c>
      <c r="K184">
        <f t="shared" si="23"/>
        <v>377.89999999999992</v>
      </c>
      <c r="M184">
        <v>0.4</v>
      </c>
      <c r="N184">
        <v>0.4</v>
      </c>
      <c r="O184">
        <f t="shared" si="19"/>
        <v>0</v>
      </c>
      <c r="Q184">
        <v>152</v>
      </c>
      <c r="R184">
        <v>1</v>
      </c>
      <c r="S184">
        <f t="shared" si="20"/>
        <v>0.4</v>
      </c>
      <c r="T184">
        <f t="shared" si="21"/>
        <v>0</v>
      </c>
      <c r="U184" s="2">
        <f t="shared" si="24"/>
        <v>150.80000000000001</v>
      </c>
      <c r="W184">
        <v>143</v>
      </c>
      <c r="X184">
        <f t="shared" si="25"/>
        <v>76368.5</v>
      </c>
      <c r="Y184">
        <f t="shared" si="26"/>
        <v>12721.799999999997</v>
      </c>
      <c r="Z184">
        <v>9.1535773381030996</v>
      </c>
    </row>
    <row r="185" spans="1:26" x14ac:dyDescent="0.35">
      <c r="A185">
        <v>5160</v>
      </c>
      <c r="B185">
        <v>23050</v>
      </c>
      <c r="C185" s="1">
        <v>43130</v>
      </c>
      <c r="F185" s="51"/>
      <c r="G185">
        <v>9.1</v>
      </c>
      <c r="H185">
        <v>7.7</v>
      </c>
      <c r="I185">
        <v>10.3</v>
      </c>
      <c r="J185">
        <f t="shared" si="22"/>
        <v>1469.3</v>
      </c>
      <c r="K185">
        <f t="shared" si="23"/>
        <v>386.99999999999994</v>
      </c>
      <c r="M185">
        <v>0.3</v>
      </c>
      <c r="N185">
        <v>0.4</v>
      </c>
      <c r="O185">
        <f t="shared" si="19"/>
        <v>-0.10000000000000003</v>
      </c>
      <c r="Q185">
        <v>153</v>
      </c>
      <c r="R185">
        <v>1</v>
      </c>
      <c r="S185">
        <f t="shared" si="20"/>
        <v>0.4</v>
      </c>
      <c r="T185">
        <f t="shared" si="21"/>
        <v>-0.10000000000000003</v>
      </c>
      <c r="U185" s="2">
        <f t="shared" si="24"/>
        <v>150.70000000000002</v>
      </c>
      <c r="W185">
        <v>209.7</v>
      </c>
      <c r="X185">
        <f t="shared" si="25"/>
        <v>76578.2</v>
      </c>
      <c r="Y185">
        <f t="shared" si="26"/>
        <v>12931.499999999998</v>
      </c>
      <c r="Z185">
        <v>9.1980710368168275</v>
      </c>
    </row>
    <row r="186" spans="1:26" x14ac:dyDescent="0.35">
      <c r="A186">
        <v>5160</v>
      </c>
      <c r="B186">
        <v>23050</v>
      </c>
      <c r="C186" s="1">
        <v>43131</v>
      </c>
      <c r="F186" s="51"/>
      <c r="G186">
        <v>7.4</v>
      </c>
      <c r="H186">
        <v>7.4</v>
      </c>
      <c r="I186">
        <v>8.1999999999999993</v>
      </c>
      <c r="J186">
        <f t="shared" si="22"/>
        <v>1476.7</v>
      </c>
      <c r="K186">
        <f t="shared" si="23"/>
        <v>394.39999999999992</v>
      </c>
      <c r="M186">
        <v>13.9</v>
      </c>
      <c r="N186">
        <v>0.7</v>
      </c>
      <c r="O186">
        <f t="shared" si="19"/>
        <v>13.200000000000001</v>
      </c>
      <c r="Q186">
        <v>154</v>
      </c>
      <c r="R186">
        <v>1</v>
      </c>
      <c r="S186">
        <f t="shared" si="20"/>
        <v>0.7</v>
      </c>
      <c r="T186">
        <f t="shared" si="21"/>
        <v>13.200000000000001</v>
      </c>
      <c r="U186" s="2">
        <f t="shared" si="24"/>
        <v>150.80000000000001</v>
      </c>
      <c r="W186">
        <v>141.19999999999999</v>
      </c>
      <c r="X186">
        <f t="shared" si="25"/>
        <v>76719.399999999994</v>
      </c>
      <c r="Y186">
        <f t="shared" si="26"/>
        <v>13072.699999999999</v>
      </c>
      <c r="Z186">
        <v>9.2432620519823026</v>
      </c>
    </row>
    <row r="187" spans="1:26" x14ac:dyDescent="0.35">
      <c r="A187">
        <v>5160</v>
      </c>
      <c r="B187">
        <v>23050</v>
      </c>
      <c r="C187" s="1">
        <v>43132</v>
      </c>
      <c r="F187" s="51"/>
      <c r="G187">
        <v>3.7</v>
      </c>
      <c r="H187">
        <v>2.5</v>
      </c>
      <c r="I187">
        <v>6.4</v>
      </c>
      <c r="J187">
        <f t="shared" si="22"/>
        <v>1480.4</v>
      </c>
      <c r="K187">
        <f t="shared" si="23"/>
        <v>398.09999999999991</v>
      </c>
      <c r="M187">
        <v>0.1</v>
      </c>
      <c r="N187">
        <v>0.7</v>
      </c>
      <c r="O187">
        <f t="shared" si="19"/>
        <v>-0.6</v>
      </c>
      <c r="Q187">
        <v>155</v>
      </c>
      <c r="R187">
        <v>1</v>
      </c>
      <c r="S187">
        <f t="shared" si="20"/>
        <v>0.7</v>
      </c>
      <c r="T187">
        <f t="shared" si="21"/>
        <v>-0.6</v>
      </c>
      <c r="U187" s="2">
        <f t="shared" si="24"/>
        <v>150.20000000000002</v>
      </c>
      <c r="W187">
        <v>347.3</v>
      </c>
      <c r="X187">
        <f t="shared" si="25"/>
        <v>77066.7</v>
      </c>
      <c r="Y187">
        <f t="shared" si="26"/>
        <v>13419.999999999998</v>
      </c>
      <c r="Z187">
        <v>9.2891282730472842</v>
      </c>
    </row>
    <row r="188" spans="1:26" x14ac:dyDescent="0.35">
      <c r="A188">
        <v>5160</v>
      </c>
      <c r="B188">
        <v>23050</v>
      </c>
      <c r="C188" s="1">
        <v>43133</v>
      </c>
      <c r="F188" s="51"/>
      <c r="G188">
        <v>2.5</v>
      </c>
      <c r="H188">
        <v>-0.6</v>
      </c>
      <c r="I188">
        <v>6.1</v>
      </c>
      <c r="J188">
        <f t="shared" si="22"/>
        <v>1482.9</v>
      </c>
      <c r="K188">
        <f t="shared" si="23"/>
        <v>400.59999999999991</v>
      </c>
      <c r="M188">
        <v>0.5</v>
      </c>
      <c r="N188">
        <v>0.6</v>
      </c>
      <c r="O188">
        <f t="shared" si="19"/>
        <v>-9.9999999999999978E-2</v>
      </c>
      <c r="Q188">
        <v>156</v>
      </c>
      <c r="R188">
        <v>1</v>
      </c>
      <c r="S188">
        <f t="shared" si="20"/>
        <v>0.6</v>
      </c>
      <c r="T188">
        <f t="shared" si="21"/>
        <v>-9.9999999999999978E-2</v>
      </c>
      <c r="U188" s="2">
        <f t="shared" si="24"/>
        <v>150.10000000000002</v>
      </c>
      <c r="W188">
        <v>503.6</v>
      </c>
      <c r="X188">
        <f t="shared" si="25"/>
        <v>77570.3</v>
      </c>
      <c r="Y188">
        <f t="shared" si="26"/>
        <v>13923.599999999999</v>
      </c>
      <c r="Z188">
        <v>9.335647870186941</v>
      </c>
    </row>
    <row r="189" spans="1:26" x14ac:dyDescent="0.35">
      <c r="A189">
        <v>5160</v>
      </c>
      <c r="B189">
        <v>23050</v>
      </c>
      <c r="C189" s="1">
        <v>43134</v>
      </c>
      <c r="F189" s="51"/>
      <c r="G189">
        <v>3</v>
      </c>
      <c r="H189">
        <v>0.6</v>
      </c>
      <c r="I189">
        <v>4.5</v>
      </c>
      <c r="J189">
        <f t="shared" si="22"/>
        <v>1485.9</v>
      </c>
      <c r="K189">
        <f t="shared" si="23"/>
        <v>403.59999999999991</v>
      </c>
      <c r="M189">
        <v>1.2</v>
      </c>
      <c r="N189">
        <v>0.1</v>
      </c>
      <c r="O189">
        <f t="shared" si="19"/>
        <v>1.0999999999999999</v>
      </c>
      <c r="Q189">
        <v>157</v>
      </c>
      <c r="R189">
        <v>1</v>
      </c>
      <c r="S189">
        <f t="shared" si="20"/>
        <v>0.1</v>
      </c>
      <c r="T189">
        <f t="shared" si="21"/>
        <v>1.0999999999999999</v>
      </c>
      <c r="U189" s="2">
        <f t="shared" si="24"/>
        <v>150.80000000000001</v>
      </c>
      <c r="W189">
        <v>169.1</v>
      </c>
      <c r="X189">
        <f t="shared" si="25"/>
        <v>77739.400000000009</v>
      </c>
      <c r="Y189">
        <f t="shared" si="26"/>
        <v>14092.699999999999</v>
      </c>
      <c r="Z189">
        <v>9.3827993144829822</v>
      </c>
    </row>
    <row r="190" spans="1:26" x14ac:dyDescent="0.35">
      <c r="A190">
        <v>5160</v>
      </c>
      <c r="B190">
        <v>23050</v>
      </c>
      <c r="C190" s="1">
        <v>43135</v>
      </c>
      <c r="F190" s="51"/>
      <c r="G190">
        <v>2.2999999999999998</v>
      </c>
      <c r="H190">
        <v>0.5</v>
      </c>
      <c r="I190">
        <v>3.7</v>
      </c>
      <c r="J190">
        <f t="shared" si="22"/>
        <v>1488.2</v>
      </c>
      <c r="K190">
        <f t="shared" si="23"/>
        <v>405.89999999999992</v>
      </c>
      <c r="M190">
        <v>1.9</v>
      </c>
      <c r="N190">
        <v>0.3</v>
      </c>
      <c r="O190">
        <f t="shared" si="19"/>
        <v>1.5999999999999999</v>
      </c>
      <c r="Q190">
        <v>158</v>
      </c>
      <c r="R190">
        <v>1</v>
      </c>
      <c r="S190">
        <f t="shared" si="20"/>
        <v>0.3</v>
      </c>
      <c r="T190">
        <f t="shared" si="21"/>
        <v>1.5999999999999999</v>
      </c>
      <c r="U190" s="2">
        <f t="shared" si="24"/>
        <v>150.80000000000001</v>
      </c>
      <c r="W190">
        <v>176.4</v>
      </c>
      <c r="X190">
        <f t="shared" si="25"/>
        <v>77915.8</v>
      </c>
      <c r="Y190">
        <f t="shared" si="26"/>
        <v>14269.099999999999</v>
      </c>
      <c r="Z190">
        <v>9.4305613961670929</v>
      </c>
    </row>
    <row r="191" spans="1:26" x14ac:dyDescent="0.35">
      <c r="A191">
        <v>5160</v>
      </c>
      <c r="B191">
        <v>23050</v>
      </c>
      <c r="C191" s="1">
        <v>43136</v>
      </c>
      <c r="F191" s="51"/>
      <c r="G191">
        <v>-0.2</v>
      </c>
      <c r="H191">
        <v>-1.7</v>
      </c>
      <c r="I191">
        <v>0.4</v>
      </c>
      <c r="J191">
        <v>1488.2</v>
      </c>
      <c r="K191">
        <v>405.9</v>
      </c>
      <c r="M191">
        <v>1.4</v>
      </c>
      <c r="N191">
        <v>0.4</v>
      </c>
      <c r="O191">
        <f t="shared" si="19"/>
        <v>0.99999999999999989</v>
      </c>
      <c r="Q191">
        <v>159</v>
      </c>
      <c r="R191">
        <v>1</v>
      </c>
      <c r="S191">
        <f t="shared" si="20"/>
        <v>0.4</v>
      </c>
      <c r="T191">
        <f t="shared" si="21"/>
        <v>0.99999999999999989</v>
      </c>
      <c r="U191" s="2">
        <f t="shared" si="24"/>
        <v>150.80000000000001</v>
      </c>
      <c r="W191">
        <v>275.7</v>
      </c>
      <c r="X191">
        <f t="shared" si="25"/>
        <v>78191.5</v>
      </c>
      <c r="Y191">
        <f t="shared" si="26"/>
        <v>14544.8</v>
      </c>
      <c r="Z191">
        <v>9.4789132409728172</v>
      </c>
    </row>
    <row r="192" spans="1:26" x14ac:dyDescent="0.35">
      <c r="A192">
        <v>5160</v>
      </c>
      <c r="B192">
        <v>23050</v>
      </c>
      <c r="C192" s="1">
        <v>43137</v>
      </c>
      <c r="F192" s="51"/>
      <c r="G192">
        <v>-0.3</v>
      </c>
      <c r="H192">
        <v>-1.1000000000000001</v>
      </c>
      <c r="I192">
        <v>0.2</v>
      </c>
      <c r="J192">
        <v>1488.2</v>
      </c>
      <c r="K192">
        <v>405.9</v>
      </c>
      <c r="M192">
        <v>1.8</v>
      </c>
      <c r="N192">
        <v>0.3</v>
      </c>
      <c r="O192">
        <f t="shared" si="19"/>
        <v>1.5</v>
      </c>
      <c r="Q192">
        <v>160</v>
      </c>
      <c r="R192">
        <v>1</v>
      </c>
      <c r="S192">
        <f t="shared" si="20"/>
        <v>0.3</v>
      </c>
      <c r="T192">
        <f t="shared" si="21"/>
        <v>1.5</v>
      </c>
      <c r="U192" s="2">
        <f t="shared" si="24"/>
        <v>150.80000000000001</v>
      </c>
      <c r="W192">
        <v>185.7</v>
      </c>
      <c r="X192">
        <f t="shared" si="25"/>
        <v>78377.2</v>
      </c>
      <c r="Y192">
        <f t="shared" si="26"/>
        <v>14730.5</v>
      </c>
      <c r="Z192">
        <v>9.5278343246454149</v>
      </c>
    </row>
    <row r="193" spans="1:26" x14ac:dyDescent="0.35">
      <c r="A193">
        <v>5160</v>
      </c>
      <c r="B193">
        <v>23050</v>
      </c>
      <c r="C193" s="1">
        <v>43138</v>
      </c>
      <c r="F193" s="51"/>
      <c r="G193">
        <v>-2.1</v>
      </c>
      <c r="H193">
        <v>-4.0999999999999996</v>
      </c>
      <c r="I193">
        <v>-0.9</v>
      </c>
      <c r="J193">
        <v>1488.2</v>
      </c>
      <c r="K193">
        <v>405.9</v>
      </c>
      <c r="M193">
        <v>0</v>
      </c>
      <c r="N193">
        <v>0.2</v>
      </c>
      <c r="O193">
        <f t="shared" si="19"/>
        <v>-0.2</v>
      </c>
      <c r="Q193">
        <v>161</v>
      </c>
      <c r="R193">
        <v>1</v>
      </c>
      <c r="S193">
        <f t="shared" si="20"/>
        <v>0.2</v>
      </c>
      <c r="T193">
        <f t="shared" si="21"/>
        <v>-0.2</v>
      </c>
      <c r="U193" s="2">
        <f t="shared" si="24"/>
        <v>150.60000000000002</v>
      </c>
      <c r="W193">
        <v>194.6</v>
      </c>
      <c r="X193">
        <f t="shared" si="25"/>
        <v>78571.8</v>
      </c>
      <c r="Y193">
        <f t="shared" si="26"/>
        <v>14925.1</v>
      </c>
      <c r="Z193">
        <v>9.5773044856638379</v>
      </c>
    </row>
    <row r="194" spans="1:26" x14ac:dyDescent="0.35">
      <c r="A194">
        <v>5160</v>
      </c>
      <c r="B194">
        <v>23050</v>
      </c>
      <c r="C194" s="1">
        <v>43139</v>
      </c>
      <c r="F194" s="51"/>
      <c r="G194">
        <v>-4.4000000000000004</v>
      </c>
      <c r="H194">
        <v>-6.3</v>
      </c>
      <c r="I194">
        <v>-1.8</v>
      </c>
      <c r="J194">
        <v>1488.2</v>
      </c>
      <c r="K194">
        <v>405.9</v>
      </c>
      <c r="M194">
        <v>0</v>
      </c>
      <c r="N194">
        <v>0.7</v>
      </c>
      <c r="O194">
        <f t="shared" si="19"/>
        <v>-0.7</v>
      </c>
      <c r="Q194">
        <v>162</v>
      </c>
      <c r="R194">
        <v>1</v>
      </c>
      <c r="S194">
        <f t="shared" si="20"/>
        <v>0.7</v>
      </c>
      <c r="T194">
        <f t="shared" si="21"/>
        <v>-0.7</v>
      </c>
      <c r="U194" s="2">
        <f t="shared" si="24"/>
        <v>149.90000000000003</v>
      </c>
      <c r="W194">
        <v>846.2</v>
      </c>
      <c r="X194">
        <f t="shared" si="25"/>
        <v>79418</v>
      </c>
      <c r="Y194">
        <f t="shared" si="26"/>
        <v>15771.300000000001</v>
      </c>
      <c r="Z194">
        <v>9.6273039362327175</v>
      </c>
    </row>
    <row r="195" spans="1:26" x14ac:dyDescent="0.35">
      <c r="A195">
        <v>5160</v>
      </c>
      <c r="B195">
        <v>23050</v>
      </c>
      <c r="C195" s="1">
        <v>43140</v>
      </c>
      <c r="F195" s="51"/>
      <c r="G195">
        <v>-2.5</v>
      </c>
      <c r="H195">
        <v>-7</v>
      </c>
      <c r="I195">
        <v>0.4</v>
      </c>
      <c r="J195">
        <v>1488.2</v>
      </c>
      <c r="K195">
        <v>405.9</v>
      </c>
      <c r="M195">
        <v>1.2</v>
      </c>
      <c r="N195">
        <v>0.1</v>
      </c>
      <c r="O195">
        <f t="shared" si="19"/>
        <v>1.0999999999999999</v>
      </c>
      <c r="Q195">
        <v>163</v>
      </c>
      <c r="R195">
        <v>1</v>
      </c>
      <c r="S195">
        <f t="shared" si="20"/>
        <v>0.1</v>
      </c>
      <c r="T195">
        <f t="shared" si="21"/>
        <v>1.0999999999999999</v>
      </c>
      <c r="U195" s="2">
        <f t="shared" si="24"/>
        <v>150.80000000000001</v>
      </c>
      <c r="W195">
        <v>252.7</v>
      </c>
      <c r="X195">
        <f t="shared" si="25"/>
        <v>79670.7</v>
      </c>
      <c r="Y195">
        <f t="shared" si="26"/>
        <v>16024.000000000002</v>
      </c>
      <c r="Z195">
        <v>9.6778132716054852</v>
      </c>
    </row>
    <row r="196" spans="1:26" x14ac:dyDescent="0.35">
      <c r="A196">
        <v>5160</v>
      </c>
      <c r="B196">
        <v>23050</v>
      </c>
      <c r="C196" s="1">
        <v>43141</v>
      </c>
      <c r="F196" s="51"/>
      <c r="G196">
        <v>-0.3</v>
      </c>
      <c r="H196">
        <v>-6.5</v>
      </c>
      <c r="I196">
        <v>6</v>
      </c>
      <c r="J196">
        <v>1488.2</v>
      </c>
      <c r="K196">
        <v>405.9</v>
      </c>
      <c r="M196">
        <v>2.7</v>
      </c>
      <c r="N196">
        <v>0.9</v>
      </c>
      <c r="O196">
        <f t="shared" si="19"/>
        <v>1.8000000000000003</v>
      </c>
      <c r="Q196">
        <v>164</v>
      </c>
      <c r="R196">
        <v>1</v>
      </c>
      <c r="S196">
        <f t="shared" si="20"/>
        <v>0.9</v>
      </c>
      <c r="T196">
        <f t="shared" si="21"/>
        <v>1.8000000000000003</v>
      </c>
      <c r="U196" s="2">
        <f t="shared" si="24"/>
        <v>150.80000000000001</v>
      </c>
      <c r="W196">
        <v>967.1</v>
      </c>
      <c r="X196">
        <f t="shared" si="25"/>
        <v>80637.8</v>
      </c>
      <c r="Y196">
        <f t="shared" si="26"/>
        <v>16991.100000000002</v>
      </c>
      <c r="Z196">
        <v>9.7288134778020279</v>
      </c>
    </row>
    <row r="197" spans="1:26" x14ac:dyDescent="0.35">
      <c r="A197">
        <v>5160</v>
      </c>
      <c r="B197">
        <v>23050</v>
      </c>
      <c r="C197" s="1">
        <v>43142</v>
      </c>
      <c r="F197" s="51"/>
      <c r="G197">
        <v>4.9000000000000004</v>
      </c>
      <c r="H197">
        <v>2.9</v>
      </c>
      <c r="I197">
        <v>8.5</v>
      </c>
      <c r="J197">
        <f t="shared" si="22"/>
        <v>1493.1000000000001</v>
      </c>
      <c r="K197">
        <f t="shared" si="23"/>
        <v>410.79999999999995</v>
      </c>
      <c r="M197">
        <v>0.8</v>
      </c>
      <c r="N197">
        <v>1.2</v>
      </c>
      <c r="O197">
        <f t="shared" ref="O197:O260" si="27">M197-N197</f>
        <v>-0.39999999999999991</v>
      </c>
      <c r="Q197">
        <v>165</v>
      </c>
      <c r="R197">
        <v>1</v>
      </c>
      <c r="S197">
        <f t="shared" ref="S197:S260" si="28">R197*N197</f>
        <v>1.2</v>
      </c>
      <c r="T197">
        <f t="shared" ref="T197:T260" si="29">M197-S197</f>
        <v>-0.39999999999999991</v>
      </c>
      <c r="U197" s="2">
        <f t="shared" si="24"/>
        <v>150.4</v>
      </c>
      <c r="W197">
        <v>847.6</v>
      </c>
      <c r="X197">
        <f t="shared" si="25"/>
        <v>81485.400000000009</v>
      </c>
      <c r="Y197">
        <f t="shared" si="26"/>
        <v>17838.7</v>
      </c>
      <c r="Z197">
        <v>9.7802859377862053</v>
      </c>
    </row>
    <row r="198" spans="1:26" x14ac:dyDescent="0.35">
      <c r="A198">
        <v>5160</v>
      </c>
      <c r="B198">
        <v>23050</v>
      </c>
      <c r="C198" s="1">
        <v>43143</v>
      </c>
      <c r="F198" s="51"/>
      <c r="G198">
        <v>1</v>
      </c>
      <c r="H198">
        <v>-2.7</v>
      </c>
      <c r="I198">
        <v>5.0999999999999996</v>
      </c>
      <c r="J198">
        <f t="shared" si="22"/>
        <v>1494.1000000000001</v>
      </c>
      <c r="K198">
        <f t="shared" si="23"/>
        <v>411.79999999999995</v>
      </c>
      <c r="M198">
        <v>0</v>
      </c>
      <c r="N198">
        <v>0.9</v>
      </c>
      <c r="O198">
        <f t="shared" si="27"/>
        <v>-0.9</v>
      </c>
      <c r="Q198">
        <v>166</v>
      </c>
      <c r="R198">
        <v>1</v>
      </c>
      <c r="S198">
        <f t="shared" si="28"/>
        <v>0.9</v>
      </c>
      <c r="T198">
        <f t="shared" si="29"/>
        <v>-0.9</v>
      </c>
      <c r="U198" s="2">
        <f t="shared" si="24"/>
        <v>149.5</v>
      </c>
      <c r="W198">
        <v>1052</v>
      </c>
      <c r="X198">
        <f t="shared" si="25"/>
        <v>82537.400000000009</v>
      </c>
      <c r="Y198">
        <f t="shared" si="26"/>
        <v>18890.7</v>
      </c>
      <c r="Z198">
        <v>9.8322124361697441</v>
      </c>
    </row>
    <row r="199" spans="1:26" x14ac:dyDescent="0.35">
      <c r="A199">
        <v>5160</v>
      </c>
      <c r="B199">
        <v>23050</v>
      </c>
      <c r="C199" s="1">
        <v>43144</v>
      </c>
      <c r="F199" s="51"/>
      <c r="G199">
        <v>0.2</v>
      </c>
      <c r="H199">
        <v>-0.6</v>
      </c>
      <c r="I199">
        <v>0.8</v>
      </c>
      <c r="J199">
        <f t="shared" si="22"/>
        <v>1494.3000000000002</v>
      </c>
      <c r="K199">
        <f t="shared" si="23"/>
        <v>411.99999999999994</v>
      </c>
      <c r="M199">
        <v>0.9</v>
      </c>
      <c r="N199">
        <v>0.4</v>
      </c>
      <c r="O199">
        <f t="shared" si="27"/>
        <v>0.5</v>
      </c>
      <c r="Q199">
        <v>167</v>
      </c>
      <c r="R199">
        <v>1</v>
      </c>
      <c r="S199">
        <f t="shared" si="28"/>
        <v>0.4</v>
      </c>
      <c r="T199">
        <f t="shared" si="29"/>
        <v>0.5</v>
      </c>
      <c r="U199" s="2">
        <f t="shared" si="24"/>
        <v>150</v>
      </c>
      <c r="W199">
        <v>259.5</v>
      </c>
      <c r="X199">
        <f t="shared" si="25"/>
        <v>82796.900000000009</v>
      </c>
      <c r="Y199">
        <f t="shared" si="26"/>
        <v>19150.2</v>
      </c>
      <c r="Z199">
        <v>9.8845751625097087</v>
      </c>
    </row>
    <row r="200" spans="1:26" x14ac:dyDescent="0.35">
      <c r="A200">
        <v>5160</v>
      </c>
      <c r="B200">
        <v>23050</v>
      </c>
      <c r="C200" s="1">
        <v>43145</v>
      </c>
      <c r="F200" s="51"/>
      <c r="G200">
        <v>1.8</v>
      </c>
      <c r="H200">
        <v>-2.6</v>
      </c>
      <c r="I200">
        <v>9.4</v>
      </c>
      <c r="J200">
        <f t="shared" si="22"/>
        <v>1496.1000000000001</v>
      </c>
      <c r="K200">
        <f t="shared" si="23"/>
        <v>413.79999999999995</v>
      </c>
      <c r="M200">
        <v>3.5</v>
      </c>
      <c r="N200">
        <v>0.9</v>
      </c>
      <c r="O200">
        <f t="shared" si="27"/>
        <v>2.6</v>
      </c>
      <c r="Q200">
        <v>168</v>
      </c>
      <c r="R200">
        <v>1</v>
      </c>
      <c r="S200">
        <f t="shared" si="28"/>
        <v>0.9</v>
      </c>
      <c r="T200">
        <f t="shared" si="29"/>
        <v>2.6</v>
      </c>
      <c r="U200" s="2">
        <f t="shared" si="24"/>
        <v>150.80000000000001</v>
      </c>
      <c r="W200">
        <v>362</v>
      </c>
      <c r="X200">
        <f t="shared" si="25"/>
        <v>83158.900000000009</v>
      </c>
      <c r="Y200">
        <f t="shared" si="26"/>
        <v>19512.2</v>
      </c>
      <c r="Z200">
        <v>9.9373567132670466</v>
      </c>
    </row>
    <row r="201" spans="1:26" x14ac:dyDescent="0.35">
      <c r="A201">
        <v>5160</v>
      </c>
      <c r="B201">
        <v>23050</v>
      </c>
      <c r="C201" s="1">
        <v>43146</v>
      </c>
      <c r="F201" s="51"/>
      <c r="G201">
        <v>9.3000000000000007</v>
      </c>
      <c r="H201">
        <v>4.4000000000000004</v>
      </c>
      <c r="I201">
        <v>11.9</v>
      </c>
      <c r="J201">
        <f t="shared" si="22"/>
        <v>1505.4</v>
      </c>
      <c r="K201">
        <f t="shared" si="23"/>
        <v>423.09999999999997</v>
      </c>
      <c r="M201">
        <v>3.9</v>
      </c>
      <c r="N201">
        <v>0.4</v>
      </c>
      <c r="O201">
        <f t="shared" si="27"/>
        <v>3.5</v>
      </c>
      <c r="Q201">
        <v>169</v>
      </c>
      <c r="R201">
        <v>1</v>
      </c>
      <c r="S201">
        <f t="shared" si="28"/>
        <v>0.4</v>
      </c>
      <c r="T201">
        <f t="shared" si="29"/>
        <v>3.5</v>
      </c>
      <c r="U201" s="2">
        <f t="shared" si="24"/>
        <v>150.80000000000001</v>
      </c>
      <c r="W201">
        <v>299.39999999999998</v>
      </c>
      <c r="X201">
        <f t="shared" si="25"/>
        <v>83458.3</v>
      </c>
      <c r="Y201">
        <f t="shared" si="26"/>
        <v>19811.600000000002</v>
      </c>
      <c r="Z201">
        <v>9.990540092493454</v>
      </c>
    </row>
    <row r="202" spans="1:26" x14ac:dyDescent="0.35">
      <c r="A202">
        <v>5160</v>
      </c>
      <c r="B202">
        <v>23050</v>
      </c>
      <c r="C202" s="1">
        <v>43147</v>
      </c>
      <c r="F202" s="51"/>
      <c r="G202">
        <v>6</v>
      </c>
      <c r="H202">
        <v>2.8</v>
      </c>
      <c r="I202">
        <v>8.8000000000000007</v>
      </c>
      <c r="J202">
        <f t="shared" si="22"/>
        <v>1511.4</v>
      </c>
      <c r="K202">
        <f t="shared" si="23"/>
        <v>429.09999999999997</v>
      </c>
      <c r="M202">
        <v>7.5</v>
      </c>
      <c r="N202">
        <v>0.6</v>
      </c>
      <c r="O202">
        <f t="shared" si="27"/>
        <v>6.9</v>
      </c>
      <c r="Q202">
        <v>170</v>
      </c>
      <c r="R202">
        <v>1</v>
      </c>
      <c r="S202">
        <f t="shared" si="28"/>
        <v>0.6</v>
      </c>
      <c r="T202">
        <f t="shared" si="29"/>
        <v>6.9</v>
      </c>
      <c r="U202" s="2">
        <f t="shared" si="24"/>
        <v>150.80000000000001</v>
      </c>
      <c r="W202">
        <v>682</v>
      </c>
      <c r="X202">
        <f t="shared" si="25"/>
        <v>84140.3</v>
      </c>
      <c r="Y202">
        <f t="shared" si="26"/>
        <v>20493.600000000002</v>
      </c>
      <c r="Z202">
        <v>10.044108711313269</v>
      </c>
    </row>
    <row r="203" spans="1:26" x14ac:dyDescent="0.35">
      <c r="A203">
        <v>5160</v>
      </c>
      <c r="B203">
        <v>23050</v>
      </c>
      <c r="C203" s="1">
        <v>43148</v>
      </c>
      <c r="F203" s="51"/>
      <c r="G203">
        <v>4.5</v>
      </c>
      <c r="H203">
        <v>4.2</v>
      </c>
      <c r="I203">
        <v>6.4</v>
      </c>
      <c r="J203">
        <f t="shared" si="22"/>
        <v>1515.9</v>
      </c>
      <c r="K203">
        <f t="shared" si="23"/>
        <v>433.59999999999997</v>
      </c>
      <c r="M203">
        <v>1.5</v>
      </c>
      <c r="N203">
        <v>0.5</v>
      </c>
      <c r="O203">
        <f t="shared" si="27"/>
        <v>1</v>
      </c>
      <c r="Q203">
        <v>171</v>
      </c>
      <c r="R203">
        <v>1</v>
      </c>
      <c r="S203">
        <f t="shared" si="28"/>
        <v>0.5</v>
      </c>
      <c r="T203">
        <f t="shared" si="29"/>
        <v>1</v>
      </c>
      <c r="U203" s="2">
        <f t="shared" si="24"/>
        <v>150.80000000000001</v>
      </c>
      <c r="W203">
        <v>201.8</v>
      </c>
      <c r="X203">
        <f t="shared" si="25"/>
        <v>84342.1</v>
      </c>
      <c r="Y203">
        <f t="shared" si="26"/>
        <v>20695.400000000001</v>
      </c>
      <c r="Z203">
        <v>10.098046386266208</v>
      </c>
    </row>
    <row r="204" spans="1:26" x14ac:dyDescent="0.35">
      <c r="A204">
        <v>5160</v>
      </c>
      <c r="B204">
        <v>23050</v>
      </c>
      <c r="C204" s="1">
        <v>43149</v>
      </c>
      <c r="F204" s="51"/>
      <c r="G204">
        <v>3.6</v>
      </c>
      <c r="H204">
        <v>-0.5</v>
      </c>
      <c r="I204">
        <v>7.7</v>
      </c>
      <c r="J204">
        <f t="shared" si="22"/>
        <v>1519.5</v>
      </c>
      <c r="K204">
        <f t="shared" si="23"/>
        <v>437.2</v>
      </c>
      <c r="M204">
        <v>0</v>
      </c>
      <c r="N204">
        <v>0.5</v>
      </c>
      <c r="O204">
        <f t="shared" si="27"/>
        <v>-0.5</v>
      </c>
      <c r="Q204">
        <v>172</v>
      </c>
      <c r="R204">
        <v>1</v>
      </c>
      <c r="S204">
        <f t="shared" si="28"/>
        <v>0.5</v>
      </c>
      <c r="T204">
        <f t="shared" si="29"/>
        <v>-0.5</v>
      </c>
      <c r="U204" s="2">
        <f t="shared" si="24"/>
        <v>150.30000000000001</v>
      </c>
      <c r="W204">
        <v>418.2</v>
      </c>
      <c r="X204">
        <f t="shared" si="25"/>
        <v>84760.3</v>
      </c>
      <c r="Y204">
        <f t="shared" si="26"/>
        <v>21113.600000000002</v>
      </c>
      <c r="Z204">
        <v>10.152337336575524</v>
      </c>
    </row>
    <row r="205" spans="1:26" x14ac:dyDescent="0.35">
      <c r="A205">
        <v>5160</v>
      </c>
      <c r="B205">
        <v>23050</v>
      </c>
      <c r="C205" s="1">
        <v>43150</v>
      </c>
      <c r="F205" s="51"/>
      <c r="G205">
        <v>5.5</v>
      </c>
      <c r="H205">
        <v>2.2999999999999998</v>
      </c>
      <c r="I205">
        <v>8.5</v>
      </c>
      <c r="J205">
        <f t="shared" si="22"/>
        <v>1525</v>
      </c>
      <c r="K205">
        <f t="shared" si="23"/>
        <v>442.7</v>
      </c>
      <c r="M205">
        <v>2.5</v>
      </c>
      <c r="N205">
        <v>0.4</v>
      </c>
      <c r="O205">
        <f t="shared" si="27"/>
        <v>2.1</v>
      </c>
      <c r="Q205">
        <v>173</v>
      </c>
      <c r="R205">
        <v>1</v>
      </c>
      <c r="S205">
        <f t="shared" si="28"/>
        <v>0.4</v>
      </c>
      <c r="T205">
        <f t="shared" si="29"/>
        <v>2.1</v>
      </c>
      <c r="U205" s="2">
        <f t="shared" si="24"/>
        <v>150.80000000000001</v>
      </c>
      <c r="W205">
        <v>221.8</v>
      </c>
      <c r="X205">
        <f t="shared" si="25"/>
        <v>84982.1</v>
      </c>
      <c r="Y205">
        <f t="shared" si="26"/>
        <v>21335.4</v>
      </c>
      <c r="Z205">
        <v>10.206966180404756</v>
      </c>
    </row>
    <row r="206" spans="1:26" x14ac:dyDescent="0.35">
      <c r="A206">
        <v>5160</v>
      </c>
      <c r="B206">
        <v>23050</v>
      </c>
      <c r="C206" s="1">
        <v>43151</v>
      </c>
      <c r="F206" s="51"/>
      <c r="G206">
        <v>6.7</v>
      </c>
      <c r="H206">
        <v>6.3</v>
      </c>
      <c r="I206">
        <v>8.1999999999999993</v>
      </c>
      <c r="J206">
        <f t="shared" si="22"/>
        <v>1531.7</v>
      </c>
      <c r="K206">
        <f t="shared" si="23"/>
        <v>449.4</v>
      </c>
      <c r="M206">
        <v>6.9</v>
      </c>
      <c r="N206">
        <v>0.4</v>
      </c>
      <c r="O206">
        <f t="shared" si="27"/>
        <v>6.5</v>
      </c>
      <c r="Q206">
        <v>174</v>
      </c>
      <c r="R206">
        <v>1</v>
      </c>
      <c r="S206">
        <f t="shared" si="28"/>
        <v>0.4</v>
      </c>
      <c r="T206">
        <f t="shared" si="29"/>
        <v>6.5</v>
      </c>
      <c r="U206" s="2">
        <f t="shared" si="24"/>
        <v>150.80000000000001</v>
      </c>
      <c r="W206">
        <v>219.6</v>
      </c>
      <c r="X206">
        <f t="shared" si="25"/>
        <v>85201.700000000012</v>
      </c>
      <c r="Y206">
        <f t="shared" si="26"/>
        <v>21555</v>
      </c>
      <c r="Z206">
        <v>10.261917930164515</v>
      </c>
    </row>
    <row r="207" spans="1:26" x14ac:dyDescent="0.35">
      <c r="A207">
        <v>5160</v>
      </c>
      <c r="B207">
        <v>23050</v>
      </c>
      <c r="C207" s="1">
        <v>43152</v>
      </c>
      <c r="F207" s="51"/>
      <c r="G207">
        <v>2.2999999999999998</v>
      </c>
      <c r="H207">
        <v>1</v>
      </c>
      <c r="I207">
        <v>4</v>
      </c>
      <c r="J207">
        <f t="shared" si="22"/>
        <v>1534</v>
      </c>
      <c r="K207">
        <f t="shared" si="23"/>
        <v>451.7</v>
      </c>
      <c r="M207">
        <v>0.1</v>
      </c>
      <c r="N207">
        <v>1</v>
      </c>
      <c r="O207">
        <f t="shared" si="27"/>
        <v>-0.9</v>
      </c>
      <c r="Q207">
        <v>175</v>
      </c>
      <c r="R207">
        <v>1</v>
      </c>
      <c r="S207">
        <f t="shared" si="28"/>
        <v>1</v>
      </c>
      <c r="T207">
        <f t="shared" si="29"/>
        <v>-0.9</v>
      </c>
      <c r="U207" s="2">
        <f t="shared" si="24"/>
        <v>149.9</v>
      </c>
      <c r="W207">
        <v>829.4</v>
      </c>
      <c r="X207">
        <f t="shared" si="25"/>
        <v>86031.1</v>
      </c>
      <c r="Y207">
        <f t="shared" si="26"/>
        <v>22384.400000000001</v>
      </c>
      <c r="Z207">
        <v>10.317177986929005</v>
      </c>
    </row>
    <row r="208" spans="1:26" x14ac:dyDescent="0.35">
      <c r="A208">
        <v>5160</v>
      </c>
      <c r="B208">
        <v>23050</v>
      </c>
      <c r="C208" s="1">
        <v>43153</v>
      </c>
      <c r="F208" s="51"/>
      <c r="G208">
        <v>0.8</v>
      </c>
      <c r="H208">
        <v>-1.3</v>
      </c>
      <c r="I208">
        <v>2.5</v>
      </c>
      <c r="J208">
        <f t="shared" si="22"/>
        <v>1534.8</v>
      </c>
      <c r="K208">
        <f t="shared" si="23"/>
        <v>452.5</v>
      </c>
      <c r="M208">
        <v>0</v>
      </c>
      <c r="N208">
        <v>1.1000000000000001</v>
      </c>
      <c r="O208">
        <f t="shared" si="27"/>
        <v>-1.1000000000000001</v>
      </c>
      <c r="Q208">
        <v>176</v>
      </c>
      <c r="R208">
        <v>1</v>
      </c>
      <c r="S208">
        <f t="shared" si="28"/>
        <v>1.1000000000000001</v>
      </c>
      <c r="T208">
        <f t="shared" si="29"/>
        <v>-1.1000000000000001</v>
      </c>
      <c r="U208" s="2">
        <f t="shared" si="24"/>
        <v>148.80000000000001</v>
      </c>
      <c r="W208">
        <v>1119.8</v>
      </c>
      <c r="X208">
        <f t="shared" si="25"/>
        <v>87150.900000000009</v>
      </c>
      <c r="Y208">
        <f t="shared" si="26"/>
        <v>23504.2</v>
      </c>
      <c r="Z208">
        <v>10.372732134019857</v>
      </c>
    </row>
    <row r="209" spans="1:27" x14ac:dyDescent="0.35">
      <c r="A209">
        <v>5160</v>
      </c>
      <c r="B209">
        <v>23050</v>
      </c>
      <c r="C209" s="1">
        <v>43154</v>
      </c>
      <c r="F209" s="51"/>
      <c r="G209">
        <v>0.6</v>
      </c>
      <c r="H209">
        <v>-1.7</v>
      </c>
      <c r="I209">
        <v>2.4</v>
      </c>
      <c r="J209">
        <f t="shared" si="22"/>
        <v>1535.3999999999999</v>
      </c>
      <c r="K209">
        <f t="shared" si="23"/>
        <v>453.1</v>
      </c>
      <c r="M209">
        <v>0</v>
      </c>
      <c r="N209">
        <v>1.3</v>
      </c>
      <c r="O209">
        <f t="shared" si="27"/>
        <v>-1.3</v>
      </c>
      <c r="Q209">
        <v>177</v>
      </c>
      <c r="R209">
        <v>1</v>
      </c>
      <c r="S209">
        <f t="shared" si="28"/>
        <v>1.3</v>
      </c>
      <c r="T209">
        <f t="shared" si="29"/>
        <v>-1.3</v>
      </c>
      <c r="U209" s="2">
        <f t="shared" si="24"/>
        <v>147.5</v>
      </c>
      <c r="W209">
        <v>1061.3</v>
      </c>
      <c r="X209">
        <f t="shared" si="25"/>
        <v>88212.200000000012</v>
      </c>
      <c r="Y209">
        <f t="shared" si="26"/>
        <v>24565.5</v>
      </c>
      <c r="Z209">
        <v>10.428566529812825</v>
      </c>
    </row>
    <row r="210" spans="1:27" x14ac:dyDescent="0.35">
      <c r="A210">
        <v>5160</v>
      </c>
      <c r="B210">
        <v>23050</v>
      </c>
      <c r="C210" s="1">
        <v>43155</v>
      </c>
      <c r="F210" s="51"/>
      <c r="G210">
        <v>0.9</v>
      </c>
      <c r="H210">
        <v>-1.5</v>
      </c>
      <c r="I210">
        <v>3</v>
      </c>
      <c r="J210">
        <f t="shared" si="22"/>
        <v>1536.3</v>
      </c>
      <c r="K210">
        <f t="shared" si="23"/>
        <v>454</v>
      </c>
      <c r="M210">
        <v>0</v>
      </c>
      <c r="N210">
        <v>1.3</v>
      </c>
      <c r="O210">
        <f t="shared" si="27"/>
        <v>-1.3</v>
      </c>
      <c r="Q210">
        <v>178</v>
      </c>
      <c r="R210">
        <v>1</v>
      </c>
      <c r="S210">
        <f t="shared" si="28"/>
        <v>1.3</v>
      </c>
      <c r="T210">
        <f t="shared" si="29"/>
        <v>-1.3</v>
      </c>
      <c r="U210" s="2">
        <f t="shared" si="24"/>
        <v>146.19999999999999</v>
      </c>
      <c r="W210">
        <v>1102.3</v>
      </c>
      <c r="X210">
        <f t="shared" si="25"/>
        <v>89314.500000000015</v>
      </c>
      <c r="Y210">
        <f t="shared" si="26"/>
        <v>25667.8</v>
      </c>
      <c r="Z210">
        <v>10.484667699820667</v>
      </c>
    </row>
    <row r="211" spans="1:27" x14ac:dyDescent="0.35">
      <c r="A211">
        <v>5160</v>
      </c>
      <c r="B211">
        <v>23050</v>
      </c>
      <c r="C211" s="1">
        <v>43156</v>
      </c>
      <c r="F211" s="51"/>
      <c r="G211">
        <v>-0.2</v>
      </c>
      <c r="H211">
        <v>-2.1</v>
      </c>
      <c r="I211">
        <v>1.6</v>
      </c>
      <c r="J211">
        <v>1536.3</v>
      </c>
      <c r="K211">
        <v>454</v>
      </c>
      <c r="M211">
        <v>0</v>
      </c>
      <c r="N211">
        <v>1.9</v>
      </c>
      <c r="O211">
        <f t="shared" si="27"/>
        <v>-1.9</v>
      </c>
      <c r="Q211">
        <v>179</v>
      </c>
      <c r="R211">
        <v>1</v>
      </c>
      <c r="S211">
        <f t="shared" si="28"/>
        <v>1.9</v>
      </c>
      <c r="T211">
        <f t="shared" si="29"/>
        <v>-1.9</v>
      </c>
      <c r="U211" s="2">
        <f t="shared" si="24"/>
        <v>144.29999999999998</v>
      </c>
      <c r="W211">
        <v>1393.6</v>
      </c>
      <c r="X211">
        <f t="shared" si="25"/>
        <v>90708.10000000002</v>
      </c>
      <c r="Y211">
        <f t="shared" si="26"/>
        <v>27061.399999999998</v>
      </c>
      <c r="Z211">
        <v>10.541022528103289</v>
      </c>
    </row>
    <row r="212" spans="1:27" x14ac:dyDescent="0.35">
      <c r="A212">
        <v>5160</v>
      </c>
      <c r="B212">
        <v>23050</v>
      </c>
      <c r="C212" s="1">
        <v>43157</v>
      </c>
      <c r="F212" s="51"/>
      <c r="G212">
        <v>-2.6</v>
      </c>
      <c r="H212">
        <v>-4.3</v>
      </c>
      <c r="I212">
        <v>-0.7</v>
      </c>
      <c r="J212">
        <v>1536.3</v>
      </c>
      <c r="K212">
        <v>454</v>
      </c>
      <c r="M212">
        <v>0</v>
      </c>
      <c r="N212">
        <v>1.9</v>
      </c>
      <c r="O212">
        <f t="shared" si="27"/>
        <v>-1.9</v>
      </c>
      <c r="Q212">
        <v>180</v>
      </c>
      <c r="R212">
        <v>1</v>
      </c>
      <c r="S212">
        <f t="shared" si="28"/>
        <v>1.9</v>
      </c>
      <c r="T212">
        <f t="shared" si="29"/>
        <v>-1.9</v>
      </c>
      <c r="U212" s="2">
        <f t="shared" si="24"/>
        <v>142.39999999999998</v>
      </c>
      <c r="W212">
        <v>1457.6</v>
      </c>
      <c r="X212">
        <f t="shared" si="25"/>
        <v>92165.700000000026</v>
      </c>
      <c r="Y212">
        <f t="shared" si="26"/>
        <v>28518.999999999996</v>
      </c>
      <c r="Z212">
        <v>10.597618248053815</v>
      </c>
    </row>
    <row r="213" spans="1:27" x14ac:dyDescent="0.35">
      <c r="A213">
        <v>5160</v>
      </c>
      <c r="B213">
        <v>23050</v>
      </c>
      <c r="C213" s="1">
        <v>43158</v>
      </c>
      <c r="F213" s="51"/>
      <c r="G213">
        <v>-4.7</v>
      </c>
      <c r="H213">
        <v>-6.6</v>
      </c>
      <c r="I213">
        <v>-2.5</v>
      </c>
      <c r="J213">
        <v>1536.3</v>
      </c>
      <c r="K213">
        <v>454</v>
      </c>
      <c r="M213">
        <v>0</v>
      </c>
      <c r="N213">
        <v>1.1000000000000001</v>
      </c>
      <c r="O213">
        <f t="shared" si="27"/>
        <v>-1.1000000000000001</v>
      </c>
      <c r="Q213">
        <v>181</v>
      </c>
      <c r="R213">
        <v>1</v>
      </c>
      <c r="S213">
        <f t="shared" si="28"/>
        <v>1.1000000000000001</v>
      </c>
      <c r="T213">
        <f t="shared" si="29"/>
        <v>-1.1000000000000001</v>
      </c>
      <c r="U213" s="2">
        <f t="shared" si="24"/>
        <v>141.29999999999998</v>
      </c>
      <c r="W213">
        <v>1453.5</v>
      </c>
      <c r="X213">
        <f t="shared" si="25"/>
        <v>93619.200000000026</v>
      </c>
      <c r="Y213">
        <f t="shared" si="26"/>
        <v>29972.499999999996</v>
      </c>
      <c r="Z213">
        <v>10.654442432607084</v>
      </c>
    </row>
    <row r="214" spans="1:27" x14ac:dyDescent="0.35">
      <c r="A214">
        <v>5160</v>
      </c>
      <c r="B214">
        <v>23050</v>
      </c>
      <c r="C214" s="1">
        <v>43159</v>
      </c>
      <c r="F214" s="51"/>
      <c r="G214">
        <v>-4.3</v>
      </c>
      <c r="H214">
        <v>-9.1999999999999993</v>
      </c>
      <c r="I214">
        <v>-1.5</v>
      </c>
      <c r="J214">
        <v>1536.3</v>
      </c>
      <c r="K214">
        <v>454</v>
      </c>
      <c r="M214">
        <v>0.4</v>
      </c>
      <c r="N214">
        <v>0.9</v>
      </c>
      <c r="O214">
        <f t="shared" si="27"/>
        <v>-0.5</v>
      </c>
      <c r="Q214">
        <v>182</v>
      </c>
      <c r="R214">
        <v>1</v>
      </c>
      <c r="S214">
        <f t="shared" si="28"/>
        <v>0.9</v>
      </c>
      <c r="T214">
        <f t="shared" si="29"/>
        <v>-0.5</v>
      </c>
      <c r="U214" s="2">
        <f t="shared" si="24"/>
        <v>140.79999999999998</v>
      </c>
      <c r="W214">
        <v>703</v>
      </c>
      <c r="X214">
        <f t="shared" si="25"/>
        <v>94322.200000000026</v>
      </c>
      <c r="Y214">
        <f t="shared" si="26"/>
        <v>30675.499999999996</v>
      </c>
      <c r="Z214">
        <v>10.711482983914562</v>
      </c>
    </row>
    <row r="215" spans="1:27" x14ac:dyDescent="0.35">
      <c r="A215">
        <v>5160</v>
      </c>
      <c r="B215">
        <v>23050</v>
      </c>
      <c r="C215" s="1">
        <v>43160</v>
      </c>
      <c r="F215" s="51"/>
      <c r="G215">
        <v>1</v>
      </c>
      <c r="H215">
        <v>-2.7</v>
      </c>
      <c r="I215">
        <v>5.4</v>
      </c>
      <c r="J215">
        <f t="shared" si="22"/>
        <v>1537.3</v>
      </c>
      <c r="K215">
        <f t="shared" si="23"/>
        <v>455</v>
      </c>
      <c r="M215">
        <v>5.3</v>
      </c>
      <c r="N215">
        <v>0.8</v>
      </c>
      <c r="O215">
        <f t="shared" si="27"/>
        <v>4.5</v>
      </c>
      <c r="Q215">
        <v>183</v>
      </c>
      <c r="R215">
        <v>1</v>
      </c>
      <c r="S215">
        <f t="shared" si="28"/>
        <v>0.8</v>
      </c>
      <c r="T215">
        <f t="shared" si="29"/>
        <v>4.5</v>
      </c>
      <c r="U215" s="2">
        <f t="shared" si="24"/>
        <v>145.29999999999998</v>
      </c>
      <c r="W215">
        <v>580.1</v>
      </c>
      <c r="X215">
        <f t="shared" si="25"/>
        <v>94902.300000000032</v>
      </c>
      <c r="Y215">
        <f t="shared" si="26"/>
        <v>31255.599999999995</v>
      </c>
      <c r="Z215">
        <v>10.768728122527447</v>
      </c>
    </row>
    <row r="216" spans="1:27" s="6" customFormat="1" ht="15" thickBot="1" x14ac:dyDescent="0.4">
      <c r="A216" s="6">
        <v>5160</v>
      </c>
      <c r="B216" s="6">
        <v>23050</v>
      </c>
      <c r="C216" s="7">
        <v>43161</v>
      </c>
      <c r="F216" s="52"/>
      <c r="G216" s="6">
        <v>4.8</v>
      </c>
      <c r="H216" s="6">
        <v>2.8</v>
      </c>
      <c r="I216" s="6">
        <v>8.1999999999999993</v>
      </c>
      <c r="J216" s="6">
        <f t="shared" si="22"/>
        <v>1542.1</v>
      </c>
      <c r="K216" s="6">
        <f t="shared" si="23"/>
        <v>459.8</v>
      </c>
      <c r="M216" s="6">
        <v>1.9</v>
      </c>
      <c r="N216" s="6">
        <v>0.9</v>
      </c>
      <c r="O216" s="6">
        <f t="shared" si="27"/>
        <v>0.99999999999999989</v>
      </c>
      <c r="Q216" s="8">
        <v>184</v>
      </c>
      <c r="R216" s="8">
        <v>1</v>
      </c>
      <c r="S216" s="6">
        <f t="shared" si="28"/>
        <v>0.9</v>
      </c>
      <c r="T216" s="6">
        <f t="shared" si="29"/>
        <v>0.99999999999999989</v>
      </c>
      <c r="U216" s="9">
        <f t="shared" si="24"/>
        <v>146.29999999999998</v>
      </c>
      <c r="W216" s="6">
        <v>638.6</v>
      </c>
      <c r="X216" s="6">
        <f t="shared" si="25"/>
        <v>95540.900000000038</v>
      </c>
      <c r="Y216" s="6">
        <f t="shared" si="26"/>
        <v>31894.199999999993</v>
      </c>
      <c r="Z216" s="6">
        <v>10.826166376127393</v>
      </c>
    </row>
    <row r="217" spans="1:27" x14ac:dyDescent="0.35">
      <c r="A217">
        <v>5160</v>
      </c>
      <c r="B217">
        <v>23050</v>
      </c>
      <c r="C217" s="1">
        <v>43162</v>
      </c>
      <c r="F217" s="47" t="s">
        <v>53</v>
      </c>
      <c r="G217">
        <v>6.2</v>
      </c>
      <c r="H217">
        <v>1.4</v>
      </c>
      <c r="I217">
        <v>12.6</v>
      </c>
      <c r="J217">
        <f t="shared" si="22"/>
        <v>1548.3</v>
      </c>
      <c r="K217">
        <f>G217</f>
        <v>6.2</v>
      </c>
      <c r="L217" s="15" t="s">
        <v>36</v>
      </c>
      <c r="M217">
        <v>9.1999999999999993</v>
      </c>
      <c r="N217">
        <v>1.1000000000000001</v>
      </c>
      <c r="O217">
        <f t="shared" si="27"/>
        <v>8.1</v>
      </c>
      <c r="Q217">
        <v>185</v>
      </c>
      <c r="R217">
        <f>1+((Q217-184)/29)*(1.15-1)</f>
        <v>1.0051724137931035</v>
      </c>
      <c r="S217">
        <f t="shared" si="28"/>
        <v>1.105689655172414</v>
      </c>
      <c r="T217">
        <f t="shared" si="29"/>
        <v>8.0943103448275853</v>
      </c>
      <c r="U217" s="2">
        <f t="shared" si="24"/>
        <v>150.80000000000001</v>
      </c>
      <c r="V217" s="16" t="s">
        <v>43</v>
      </c>
      <c r="W217">
        <v>636.1</v>
      </c>
      <c r="X217">
        <f t="shared" si="25"/>
        <v>96177.000000000044</v>
      </c>
      <c r="Y217">
        <f>W217</f>
        <v>636.1</v>
      </c>
      <c r="Z217">
        <v>10.883786567842053</v>
      </c>
      <c r="AA217" s="16" t="s">
        <v>48</v>
      </c>
    </row>
    <row r="218" spans="1:27" x14ac:dyDescent="0.35">
      <c r="A218">
        <v>5160</v>
      </c>
      <c r="B218">
        <v>23050</v>
      </c>
      <c r="C218" s="1">
        <v>43163</v>
      </c>
      <c r="F218" s="48"/>
      <c r="G218">
        <v>5.7</v>
      </c>
      <c r="H218">
        <v>3.3</v>
      </c>
      <c r="I218">
        <v>7.2</v>
      </c>
      <c r="J218">
        <f t="shared" si="22"/>
        <v>1554</v>
      </c>
      <c r="K218">
        <f t="shared" si="23"/>
        <v>11.9</v>
      </c>
      <c r="L218" s="11">
        <v>210.7</v>
      </c>
      <c r="M218">
        <v>7.8</v>
      </c>
      <c r="N218">
        <v>0.3</v>
      </c>
      <c r="O218">
        <f t="shared" si="27"/>
        <v>7.5</v>
      </c>
      <c r="Q218">
        <v>186</v>
      </c>
      <c r="R218">
        <f t="shared" ref="R218:R245" si="30">1+((Q218-184)/29)*(1.15-1)</f>
        <v>1.0103448275862068</v>
      </c>
      <c r="S218">
        <f t="shared" si="28"/>
        <v>0.30310344827586205</v>
      </c>
      <c r="T218">
        <f t="shared" si="29"/>
        <v>7.4968965517241379</v>
      </c>
      <c r="U218" s="2">
        <f t="shared" si="24"/>
        <v>150.80000000000001</v>
      </c>
      <c r="V218">
        <v>0</v>
      </c>
      <c r="W218">
        <v>281.39999999999998</v>
      </c>
      <c r="X218">
        <f t="shared" si="25"/>
        <v>96458.400000000038</v>
      </c>
      <c r="Y218">
        <f t="shared" si="26"/>
        <v>917.5</v>
      </c>
      <c r="Z218">
        <v>10.941577804180367</v>
      </c>
      <c r="AA218">
        <v>20280.099999999999</v>
      </c>
    </row>
    <row r="219" spans="1:27" x14ac:dyDescent="0.35">
      <c r="A219">
        <v>5160</v>
      </c>
      <c r="B219">
        <v>23050</v>
      </c>
      <c r="C219" s="1">
        <v>43164</v>
      </c>
      <c r="F219" s="48"/>
      <c r="G219">
        <v>6.9</v>
      </c>
      <c r="H219">
        <v>2.6</v>
      </c>
      <c r="I219">
        <v>10.8</v>
      </c>
      <c r="J219">
        <f t="shared" si="22"/>
        <v>1560.9</v>
      </c>
      <c r="K219">
        <f t="shared" si="23"/>
        <v>18.8</v>
      </c>
      <c r="L219" s="15" t="s">
        <v>37</v>
      </c>
      <c r="M219">
        <v>0.2</v>
      </c>
      <c r="N219">
        <v>0.6</v>
      </c>
      <c r="O219">
        <f t="shared" si="27"/>
        <v>-0.39999999999999997</v>
      </c>
      <c r="Q219">
        <v>187</v>
      </c>
      <c r="R219">
        <f t="shared" si="30"/>
        <v>1.0155172413793103</v>
      </c>
      <c r="S219">
        <f t="shared" si="28"/>
        <v>0.60931034482758617</v>
      </c>
      <c r="T219">
        <f t="shared" si="29"/>
        <v>-0.40931034482758616</v>
      </c>
      <c r="U219" s="2">
        <f t="shared" si="24"/>
        <v>150.39068965517242</v>
      </c>
      <c r="V219" s="16" t="s">
        <v>44</v>
      </c>
      <c r="W219">
        <v>530.9</v>
      </c>
      <c r="X219">
        <f t="shared" si="25"/>
        <v>96989.300000000032</v>
      </c>
      <c r="Y219">
        <f t="shared" si="26"/>
        <v>1448.4</v>
      </c>
      <c r="Z219">
        <v>10.999529462620504</v>
      </c>
      <c r="AA219" s="16" t="s">
        <v>49</v>
      </c>
    </row>
    <row r="220" spans="1:27" x14ac:dyDescent="0.35">
      <c r="A220">
        <v>5160</v>
      </c>
      <c r="B220">
        <v>23050</v>
      </c>
      <c r="C220" s="1">
        <v>43165</v>
      </c>
      <c r="F220" s="48"/>
      <c r="G220">
        <v>6.5</v>
      </c>
      <c r="H220">
        <v>3.2</v>
      </c>
      <c r="I220">
        <v>10.3</v>
      </c>
      <c r="J220">
        <f t="shared" si="22"/>
        <v>1567.4</v>
      </c>
      <c r="K220">
        <f t="shared" si="23"/>
        <v>25.3</v>
      </c>
      <c r="L220" s="11">
        <f>AVERAGE(G217:G245)</f>
        <v>7.2655172413793077</v>
      </c>
      <c r="M220">
        <v>3.6</v>
      </c>
      <c r="N220">
        <v>0.8</v>
      </c>
      <c r="O220">
        <f t="shared" si="27"/>
        <v>2.8</v>
      </c>
      <c r="Q220">
        <v>188</v>
      </c>
      <c r="R220">
        <f t="shared" si="30"/>
        <v>1.0206896551724138</v>
      </c>
      <c r="S220">
        <f t="shared" si="28"/>
        <v>0.81655172413793109</v>
      </c>
      <c r="T220">
        <f t="shared" si="29"/>
        <v>2.7834482758620691</v>
      </c>
      <c r="U220" s="2">
        <f t="shared" si="24"/>
        <v>150.80000000000001</v>
      </c>
      <c r="V220">
        <v>0</v>
      </c>
      <c r="W220">
        <v>421.4</v>
      </c>
      <c r="X220">
        <f t="shared" si="25"/>
        <v>97410.700000000026</v>
      </c>
      <c r="Y220">
        <f t="shared" si="26"/>
        <v>1869.8000000000002</v>
      </c>
      <c r="Z220">
        <v>11.057631178881126</v>
      </c>
      <c r="AA220">
        <f>(AA218/100)/L218</f>
        <v>0.96251067869008067</v>
      </c>
    </row>
    <row r="221" spans="1:27" x14ac:dyDescent="0.35">
      <c r="A221">
        <v>5160</v>
      </c>
      <c r="B221">
        <v>23050</v>
      </c>
      <c r="C221" s="1">
        <v>43166</v>
      </c>
      <c r="F221" s="48"/>
      <c r="G221">
        <v>6.5</v>
      </c>
      <c r="H221">
        <v>4.9000000000000004</v>
      </c>
      <c r="I221">
        <v>9.1</v>
      </c>
      <c r="J221">
        <f t="shared" si="22"/>
        <v>1573.9</v>
      </c>
      <c r="K221">
        <f t="shared" si="23"/>
        <v>31.8</v>
      </c>
      <c r="L221" s="15" t="s">
        <v>38</v>
      </c>
      <c r="M221">
        <v>0.2</v>
      </c>
      <c r="N221">
        <v>1.1000000000000001</v>
      </c>
      <c r="O221">
        <f t="shared" si="27"/>
        <v>-0.90000000000000013</v>
      </c>
      <c r="Q221">
        <v>189</v>
      </c>
      <c r="R221">
        <f t="shared" si="30"/>
        <v>1.0258620689655171</v>
      </c>
      <c r="S221">
        <f t="shared" si="28"/>
        <v>1.1284482758620689</v>
      </c>
      <c r="T221">
        <f t="shared" si="29"/>
        <v>-0.92844827586206891</v>
      </c>
      <c r="U221" s="2">
        <f t="shared" si="24"/>
        <v>149.87155172413793</v>
      </c>
      <c r="V221" s="16" t="s">
        <v>45</v>
      </c>
      <c r="W221">
        <v>615.9</v>
      </c>
      <c r="X221">
        <f t="shared" si="25"/>
        <v>98026.60000000002</v>
      </c>
      <c r="Y221">
        <f t="shared" si="26"/>
        <v>2485.7000000000003</v>
      </c>
      <c r="Z221">
        <v>11.115872833904769</v>
      </c>
      <c r="AA221" s="16" t="s">
        <v>50</v>
      </c>
    </row>
    <row r="222" spans="1:27" x14ac:dyDescent="0.35">
      <c r="A222">
        <v>5160</v>
      </c>
      <c r="B222">
        <v>23050</v>
      </c>
      <c r="C222" s="1">
        <v>43167</v>
      </c>
      <c r="F222" s="48"/>
      <c r="G222">
        <v>8.1</v>
      </c>
      <c r="H222">
        <v>4.3</v>
      </c>
      <c r="I222">
        <v>12.1</v>
      </c>
      <c r="J222">
        <f t="shared" si="22"/>
        <v>1582</v>
      </c>
      <c r="K222">
        <f t="shared" si="23"/>
        <v>39.9</v>
      </c>
      <c r="L222" s="11">
        <f>MIN(H217:H245)</f>
        <v>-2.4</v>
      </c>
      <c r="M222">
        <v>0.1</v>
      </c>
      <c r="N222">
        <v>1.6</v>
      </c>
      <c r="O222">
        <f t="shared" si="27"/>
        <v>-1.5</v>
      </c>
      <c r="Q222">
        <v>190</v>
      </c>
      <c r="R222">
        <f t="shared" si="30"/>
        <v>1.0310344827586206</v>
      </c>
      <c r="S222">
        <f t="shared" si="28"/>
        <v>1.6496551724137931</v>
      </c>
      <c r="T222">
        <f t="shared" si="29"/>
        <v>-1.549655172413793</v>
      </c>
      <c r="U222" s="2">
        <f t="shared" si="24"/>
        <v>148.32189655172414</v>
      </c>
      <c r="V222" s="2">
        <f>MIN(U217:U245)</f>
        <v>144.04431034482758</v>
      </c>
      <c r="W222">
        <v>918.2</v>
      </c>
      <c r="X222">
        <f t="shared" si="25"/>
        <v>98944.800000000017</v>
      </c>
      <c r="Y222">
        <f t="shared" si="26"/>
        <v>3403.9000000000005</v>
      </c>
      <c r="Z222">
        <v>11.174244540580226</v>
      </c>
      <c r="AA222">
        <v>21</v>
      </c>
    </row>
    <row r="223" spans="1:27" x14ac:dyDescent="0.35">
      <c r="A223">
        <v>5160</v>
      </c>
      <c r="B223">
        <v>23050</v>
      </c>
      <c r="C223" s="1">
        <v>43168</v>
      </c>
      <c r="F223" s="48"/>
      <c r="G223">
        <v>12.3</v>
      </c>
      <c r="H223">
        <v>7.7</v>
      </c>
      <c r="I223">
        <v>15.1</v>
      </c>
      <c r="J223">
        <f t="shared" si="22"/>
        <v>1594.3</v>
      </c>
      <c r="K223">
        <f t="shared" si="23"/>
        <v>52.2</v>
      </c>
      <c r="L223" s="15" t="s">
        <v>39</v>
      </c>
      <c r="M223">
        <v>2.9</v>
      </c>
      <c r="N223">
        <v>1.8</v>
      </c>
      <c r="O223">
        <f t="shared" si="27"/>
        <v>1.0999999999999999</v>
      </c>
      <c r="Q223">
        <v>191</v>
      </c>
      <c r="R223">
        <f t="shared" si="30"/>
        <v>1.0362068965517242</v>
      </c>
      <c r="S223">
        <f t="shared" si="28"/>
        <v>1.8651724137931036</v>
      </c>
      <c r="T223">
        <f t="shared" si="29"/>
        <v>1.0348275862068963</v>
      </c>
      <c r="U223" s="2">
        <f t="shared" si="24"/>
        <v>149.35672413793102</v>
      </c>
      <c r="V223" s="16" t="s">
        <v>46</v>
      </c>
      <c r="W223">
        <v>781.6</v>
      </c>
      <c r="X223">
        <f t="shared" si="25"/>
        <v>99726.400000000023</v>
      </c>
      <c r="Y223">
        <f t="shared" si="26"/>
        <v>4185.5000000000009</v>
      </c>
      <c r="Z223">
        <v>11.232736630228848</v>
      </c>
    </row>
    <row r="224" spans="1:27" x14ac:dyDescent="0.35">
      <c r="A224">
        <v>5160</v>
      </c>
      <c r="B224">
        <v>23050</v>
      </c>
      <c r="C224" s="1">
        <v>43169</v>
      </c>
      <c r="F224" s="48"/>
      <c r="G224">
        <v>14</v>
      </c>
      <c r="H224">
        <v>10.8</v>
      </c>
      <c r="I224">
        <v>16.899999999999999</v>
      </c>
      <c r="J224">
        <f t="shared" si="22"/>
        <v>1608.3</v>
      </c>
      <c r="K224">
        <f t="shared" si="23"/>
        <v>66.2</v>
      </c>
      <c r="L224" s="11">
        <f>MAX(I217:I245)</f>
        <v>16.899999999999999</v>
      </c>
      <c r="M224">
        <v>13.1</v>
      </c>
      <c r="N224">
        <v>1.4</v>
      </c>
      <c r="O224">
        <f t="shared" si="27"/>
        <v>11.7</v>
      </c>
      <c r="Q224">
        <v>192</v>
      </c>
      <c r="R224">
        <f t="shared" si="30"/>
        <v>1.0413793103448277</v>
      </c>
      <c r="S224">
        <f t="shared" si="28"/>
        <v>1.4579310344827587</v>
      </c>
      <c r="T224">
        <f t="shared" si="29"/>
        <v>11.642068965517241</v>
      </c>
      <c r="U224" s="2">
        <f t="shared" si="24"/>
        <v>150.80000000000001</v>
      </c>
      <c r="V224" s="2">
        <f>MAX(U217:U245)</f>
        <v>150.80000000000001</v>
      </c>
      <c r="W224">
        <v>509.4</v>
      </c>
      <c r="X224">
        <f t="shared" si="25"/>
        <v>100235.80000000002</v>
      </c>
      <c r="Y224">
        <f t="shared" si="26"/>
        <v>4694.9000000000005</v>
      </c>
      <c r="Z224">
        <v>11.291339638878142</v>
      </c>
    </row>
    <row r="225" spans="1:26" x14ac:dyDescent="0.35">
      <c r="A225">
        <v>5160</v>
      </c>
      <c r="B225">
        <v>23050</v>
      </c>
      <c r="C225" s="1">
        <v>43170</v>
      </c>
      <c r="F225" s="48"/>
      <c r="G225">
        <v>12.5</v>
      </c>
      <c r="H225">
        <v>9.9</v>
      </c>
      <c r="I225">
        <v>16.3</v>
      </c>
      <c r="J225">
        <f t="shared" si="22"/>
        <v>1620.8</v>
      </c>
      <c r="K225">
        <f t="shared" si="23"/>
        <v>78.7</v>
      </c>
      <c r="L225" s="15" t="s">
        <v>40</v>
      </c>
      <c r="M225">
        <v>0.2</v>
      </c>
      <c r="N225">
        <v>2.2999999999999998</v>
      </c>
      <c r="O225">
        <f t="shared" si="27"/>
        <v>-2.0999999999999996</v>
      </c>
      <c r="Q225">
        <v>193</v>
      </c>
      <c r="R225">
        <f t="shared" si="30"/>
        <v>1.046551724137931</v>
      </c>
      <c r="S225">
        <f t="shared" si="28"/>
        <v>2.407068965517241</v>
      </c>
      <c r="T225">
        <f t="shared" si="29"/>
        <v>-2.2070689655172409</v>
      </c>
      <c r="U225" s="2">
        <f t="shared" si="24"/>
        <v>148.59293103448277</v>
      </c>
      <c r="V225" s="16" t="s">
        <v>47</v>
      </c>
      <c r="W225">
        <v>647.4</v>
      </c>
      <c r="X225">
        <f t="shared" si="25"/>
        <v>100883.20000000001</v>
      </c>
      <c r="Y225">
        <f t="shared" si="26"/>
        <v>5342.3</v>
      </c>
      <c r="Z225">
        <v>11.350044293344279</v>
      </c>
    </row>
    <row r="226" spans="1:26" x14ac:dyDescent="0.35">
      <c r="A226">
        <v>5160</v>
      </c>
      <c r="B226">
        <v>23050</v>
      </c>
      <c r="C226" s="1">
        <v>43171</v>
      </c>
      <c r="F226" s="48"/>
      <c r="G226">
        <v>10.3</v>
      </c>
      <c r="H226">
        <v>9.5</v>
      </c>
      <c r="I226">
        <v>12.9</v>
      </c>
      <c r="J226">
        <f t="shared" si="22"/>
        <v>1631.1</v>
      </c>
      <c r="K226">
        <f t="shared" si="23"/>
        <v>89</v>
      </c>
      <c r="L226" s="11">
        <v>0</v>
      </c>
      <c r="M226">
        <v>4.4000000000000004</v>
      </c>
      <c r="N226">
        <v>2.2999999999999998</v>
      </c>
      <c r="O226">
        <f t="shared" si="27"/>
        <v>2.1000000000000005</v>
      </c>
      <c r="Q226">
        <v>194</v>
      </c>
      <c r="R226">
        <f t="shared" si="30"/>
        <v>1.0517241379310345</v>
      </c>
      <c r="S226">
        <f t="shared" si="28"/>
        <v>2.4189655172413791</v>
      </c>
      <c r="T226">
        <f t="shared" si="29"/>
        <v>1.9810344827586213</v>
      </c>
      <c r="U226" s="2">
        <f t="shared" si="24"/>
        <v>150.57396551724139</v>
      </c>
      <c r="V226" s="2">
        <f>AVERAGE(U217:U245)</f>
        <v>149.06732461355531</v>
      </c>
      <c r="W226">
        <v>697.4</v>
      </c>
      <c r="X226">
        <f t="shared" si="25"/>
        <v>101580.6</v>
      </c>
      <c r="Y226">
        <f t="shared" si="26"/>
        <v>6039.7</v>
      </c>
      <c r="Z226">
        <v>11.408841497143632</v>
      </c>
    </row>
    <row r="227" spans="1:26" x14ac:dyDescent="0.35">
      <c r="A227">
        <v>5160</v>
      </c>
      <c r="B227">
        <v>23050</v>
      </c>
      <c r="C227" s="1">
        <v>43172</v>
      </c>
      <c r="F227" s="48"/>
      <c r="G227">
        <v>7.9</v>
      </c>
      <c r="H227">
        <v>7.7</v>
      </c>
      <c r="I227">
        <v>10.4</v>
      </c>
      <c r="J227">
        <f t="shared" ref="J227:J290" si="31">J226+G227</f>
        <v>1639</v>
      </c>
      <c r="K227">
        <f t="shared" ref="K227:K289" si="32">K226+G227</f>
        <v>96.9</v>
      </c>
      <c r="L227" s="15" t="s">
        <v>41</v>
      </c>
      <c r="M227">
        <v>0</v>
      </c>
      <c r="N227">
        <v>1.9</v>
      </c>
      <c r="O227">
        <f t="shared" si="27"/>
        <v>-1.9</v>
      </c>
      <c r="Q227">
        <v>195</v>
      </c>
      <c r="R227">
        <f t="shared" si="30"/>
        <v>1.056896551724138</v>
      </c>
      <c r="S227">
        <f t="shared" si="28"/>
        <v>2.008103448275862</v>
      </c>
      <c r="T227">
        <f t="shared" si="29"/>
        <v>-2.008103448275862</v>
      </c>
      <c r="U227" s="2">
        <f t="shared" ref="U227:U290" si="33">MIN(U226+T227,150.8)</f>
        <v>148.56586206896552</v>
      </c>
      <c r="W227">
        <v>1245.0999999999999</v>
      </c>
      <c r="X227">
        <f t="shared" ref="X227:X290" si="34">X226+W227</f>
        <v>102825.70000000001</v>
      </c>
      <c r="Y227">
        <f t="shared" ref="Y227:Y245" si="35">Y226+W227</f>
        <v>7284.7999999999993</v>
      </c>
      <c r="Z227">
        <v>11.467722316252058</v>
      </c>
    </row>
    <row r="228" spans="1:26" x14ac:dyDescent="0.35">
      <c r="A228">
        <v>5160</v>
      </c>
      <c r="B228">
        <v>23050</v>
      </c>
      <c r="C228" s="1">
        <v>43173</v>
      </c>
      <c r="F228" s="48"/>
      <c r="G228">
        <v>8.6999999999999993</v>
      </c>
      <c r="H228">
        <v>1.4</v>
      </c>
      <c r="I228">
        <v>14</v>
      </c>
      <c r="J228">
        <f t="shared" si="31"/>
        <v>1647.7</v>
      </c>
      <c r="K228">
        <f t="shared" si="32"/>
        <v>105.60000000000001</v>
      </c>
      <c r="L228" s="11">
        <v>13</v>
      </c>
      <c r="M228">
        <v>7.3</v>
      </c>
      <c r="N228">
        <v>1.9</v>
      </c>
      <c r="O228">
        <f t="shared" si="27"/>
        <v>5.4</v>
      </c>
      <c r="Q228">
        <v>196</v>
      </c>
      <c r="R228">
        <f t="shared" si="30"/>
        <v>1.0620689655172413</v>
      </c>
      <c r="S228">
        <f t="shared" si="28"/>
        <v>2.0179310344827583</v>
      </c>
      <c r="T228">
        <f t="shared" si="29"/>
        <v>5.2820689655172419</v>
      </c>
      <c r="U228" s="2">
        <f t="shared" si="33"/>
        <v>150.80000000000001</v>
      </c>
      <c r="V228">
        <f>(V226*100)/150.8</f>
        <v>98.851011016946487</v>
      </c>
      <c r="W228">
        <v>1280.0999999999999</v>
      </c>
      <c r="X228">
        <f t="shared" si="34"/>
        <v>104105.80000000002</v>
      </c>
      <c r="Y228">
        <f t="shared" si="35"/>
        <v>8564.9</v>
      </c>
      <c r="Z228">
        <v>11.526677964729256</v>
      </c>
    </row>
    <row r="229" spans="1:26" x14ac:dyDescent="0.35">
      <c r="A229">
        <v>5160</v>
      </c>
      <c r="B229">
        <v>23050</v>
      </c>
      <c r="C229" s="1">
        <v>43174</v>
      </c>
      <c r="F229" s="48"/>
      <c r="G229">
        <v>9.1</v>
      </c>
      <c r="H229">
        <v>7.8</v>
      </c>
      <c r="I229">
        <v>11.1</v>
      </c>
      <c r="J229">
        <f t="shared" si="31"/>
        <v>1656.8</v>
      </c>
      <c r="K229">
        <f t="shared" si="32"/>
        <v>114.7</v>
      </c>
      <c r="L229" s="15" t="s">
        <v>42</v>
      </c>
      <c r="M229">
        <v>1.7</v>
      </c>
      <c r="N229">
        <v>0.9</v>
      </c>
      <c r="O229">
        <f t="shared" si="27"/>
        <v>0.79999999999999993</v>
      </c>
      <c r="Q229">
        <v>197</v>
      </c>
      <c r="R229">
        <f t="shared" si="30"/>
        <v>1.0672413793103448</v>
      </c>
      <c r="S229">
        <f t="shared" si="28"/>
        <v>0.96051724137931038</v>
      </c>
      <c r="T229">
        <f t="shared" si="29"/>
        <v>0.73948275862068957</v>
      </c>
      <c r="U229" s="2">
        <f t="shared" si="33"/>
        <v>150.80000000000001</v>
      </c>
      <c r="W229">
        <v>376.7</v>
      </c>
      <c r="X229">
        <f t="shared" si="34"/>
        <v>104482.50000000001</v>
      </c>
      <c r="Y229">
        <f t="shared" si="35"/>
        <v>8941.6</v>
      </c>
      <c r="Z229">
        <v>11.585699790224414</v>
      </c>
    </row>
    <row r="230" spans="1:26" x14ac:dyDescent="0.35">
      <c r="A230">
        <v>5160</v>
      </c>
      <c r="B230">
        <v>23050</v>
      </c>
      <c r="C230" s="1">
        <v>43175</v>
      </c>
      <c r="F230" s="48"/>
      <c r="G230">
        <v>8</v>
      </c>
      <c r="H230">
        <v>6.4</v>
      </c>
      <c r="I230">
        <v>12.1</v>
      </c>
      <c r="J230">
        <f t="shared" si="31"/>
        <v>1664.8</v>
      </c>
      <c r="K230">
        <f t="shared" si="32"/>
        <v>122.7</v>
      </c>
      <c r="L230" s="11">
        <v>4</v>
      </c>
      <c r="M230">
        <v>1.8</v>
      </c>
      <c r="N230">
        <v>1.3</v>
      </c>
      <c r="O230">
        <f t="shared" si="27"/>
        <v>0.5</v>
      </c>
      <c r="Q230">
        <v>198</v>
      </c>
      <c r="R230">
        <f t="shared" si="30"/>
        <v>1.0724137931034483</v>
      </c>
      <c r="S230">
        <f t="shared" si="28"/>
        <v>1.3941379310344828</v>
      </c>
      <c r="T230">
        <f t="shared" si="29"/>
        <v>0.40586206896551724</v>
      </c>
      <c r="U230" s="2">
        <f t="shared" si="33"/>
        <v>150.80000000000001</v>
      </c>
      <c r="W230">
        <v>862.5</v>
      </c>
      <c r="X230">
        <f t="shared" si="34"/>
        <v>105345.00000000001</v>
      </c>
      <c r="Y230">
        <f t="shared" si="35"/>
        <v>9804.1</v>
      </c>
      <c r="Z230">
        <v>11.644779259378117</v>
      </c>
    </row>
    <row r="231" spans="1:26" x14ac:dyDescent="0.35">
      <c r="A231">
        <v>5160</v>
      </c>
      <c r="B231">
        <v>23050</v>
      </c>
      <c r="C231" s="1">
        <v>43176</v>
      </c>
      <c r="F231" s="48"/>
      <c r="G231">
        <v>5.5</v>
      </c>
      <c r="H231">
        <v>2.2999999999999998</v>
      </c>
      <c r="I231">
        <v>10.199999999999999</v>
      </c>
      <c r="J231">
        <f t="shared" si="31"/>
        <v>1670.3</v>
      </c>
      <c r="K231">
        <f t="shared" si="32"/>
        <v>128.19999999999999</v>
      </c>
      <c r="M231">
        <v>1</v>
      </c>
      <c r="N231">
        <v>1.2</v>
      </c>
      <c r="O231">
        <f t="shared" si="27"/>
        <v>-0.19999999999999996</v>
      </c>
      <c r="Q231">
        <v>199</v>
      </c>
      <c r="R231">
        <f t="shared" si="30"/>
        <v>1.0775862068965516</v>
      </c>
      <c r="S231">
        <f t="shared" si="28"/>
        <v>1.2931034482758619</v>
      </c>
      <c r="T231">
        <f t="shared" si="29"/>
        <v>-0.29310344827586188</v>
      </c>
      <c r="U231" s="2">
        <f t="shared" si="33"/>
        <v>150.50689655172414</v>
      </c>
      <c r="W231">
        <v>1034.5</v>
      </c>
      <c r="X231">
        <f t="shared" si="34"/>
        <v>106379.50000000001</v>
      </c>
      <c r="Y231">
        <f t="shared" si="35"/>
        <v>10838.6</v>
      </c>
      <c r="Z231">
        <v>11.70390794313461</v>
      </c>
    </row>
    <row r="232" spans="1:26" x14ac:dyDescent="0.35">
      <c r="A232">
        <v>5160</v>
      </c>
      <c r="B232">
        <v>23050</v>
      </c>
      <c r="C232" s="1">
        <v>43177</v>
      </c>
      <c r="F232" s="48"/>
      <c r="G232">
        <v>1.7</v>
      </c>
      <c r="H232">
        <v>1.5</v>
      </c>
      <c r="I232">
        <v>2.6</v>
      </c>
      <c r="J232">
        <f t="shared" si="31"/>
        <v>1672</v>
      </c>
      <c r="K232">
        <f t="shared" si="32"/>
        <v>129.89999999999998</v>
      </c>
      <c r="M232">
        <v>0</v>
      </c>
      <c r="N232">
        <v>0.7</v>
      </c>
      <c r="O232">
        <f t="shared" si="27"/>
        <v>-0.7</v>
      </c>
      <c r="Q232">
        <v>200</v>
      </c>
      <c r="R232">
        <f t="shared" si="30"/>
        <v>1.0827586206896551</v>
      </c>
      <c r="S232">
        <f t="shared" si="28"/>
        <v>0.75793103448275856</v>
      </c>
      <c r="T232">
        <f t="shared" si="29"/>
        <v>-0.75793103448275856</v>
      </c>
      <c r="U232" s="2">
        <f t="shared" si="33"/>
        <v>149.74896551724137</v>
      </c>
      <c r="W232">
        <v>602.29999999999995</v>
      </c>
      <c r="X232">
        <f t="shared" si="34"/>
        <v>106981.80000000002</v>
      </c>
      <c r="Y232">
        <f t="shared" si="35"/>
        <v>11440.9</v>
      </c>
      <c r="Z232">
        <v>11.763077501977568</v>
      </c>
    </row>
    <row r="233" spans="1:26" x14ac:dyDescent="0.35">
      <c r="A233">
        <v>5160</v>
      </c>
      <c r="B233">
        <v>23050</v>
      </c>
      <c r="C233" s="1">
        <v>43178</v>
      </c>
      <c r="F233" s="48"/>
      <c r="G233">
        <v>1</v>
      </c>
      <c r="H233">
        <v>-0.5</v>
      </c>
      <c r="I233">
        <v>2</v>
      </c>
      <c r="J233">
        <f t="shared" si="31"/>
        <v>1673</v>
      </c>
      <c r="K233">
        <f t="shared" si="32"/>
        <v>130.89999999999998</v>
      </c>
      <c r="M233">
        <v>0.2</v>
      </c>
      <c r="N233">
        <v>0.6</v>
      </c>
      <c r="O233">
        <f t="shared" si="27"/>
        <v>-0.39999999999999997</v>
      </c>
      <c r="Q233">
        <v>201</v>
      </c>
      <c r="R233">
        <f t="shared" si="30"/>
        <v>1.0879310344827586</v>
      </c>
      <c r="S233">
        <f t="shared" si="28"/>
        <v>0.65275862068965518</v>
      </c>
      <c r="T233">
        <f t="shared" si="29"/>
        <v>-0.45275862068965517</v>
      </c>
      <c r="U233" s="2">
        <f t="shared" si="33"/>
        <v>149.29620689655172</v>
      </c>
      <c r="W233">
        <v>484.6</v>
      </c>
      <c r="X233">
        <f t="shared" si="34"/>
        <v>107466.40000000002</v>
      </c>
      <c r="Y233">
        <f t="shared" si="35"/>
        <v>11925.5</v>
      </c>
      <c r="Z233">
        <v>11.822279671101724</v>
      </c>
    </row>
    <row r="234" spans="1:26" x14ac:dyDescent="0.35">
      <c r="A234">
        <v>5160</v>
      </c>
      <c r="B234">
        <v>23050</v>
      </c>
      <c r="C234" s="1">
        <v>43179</v>
      </c>
      <c r="F234" s="48"/>
      <c r="G234">
        <v>3.1</v>
      </c>
      <c r="H234">
        <v>-1</v>
      </c>
      <c r="I234">
        <v>6.6</v>
      </c>
      <c r="J234">
        <f t="shared" si="31"/>
        <v>1676.1</v>
      </c>
      <c r="K234">
        <f t="shared" si="32"/>
        <v>133.99999999999997</v>
      </c>
      <c r="M234">
        <v>0</v>
      </c>
      <c r="N234">
        <v>1.5</v>
      </c>
      <c r="O234">
        <f t="shared" si="27"/>
        <v>-1.5</v>
      </c>
      <c r="Q234">
        <v>202</v>
      </c>
      <c r="R234">
        <f t="shared" si="30"/>
        <v>1.0931034482758619</v>
      </c>
      <c r="S234">
        <f t="shared" si="28"/>
        <v>1.6396551724137929</v>
      </c>
      <c r="T234">
        <f t="shared" si="29"/>
        <v>-1.6396551724137929</v>
      </c>
      <c r="U234" s="2">
        <f t="shared" si="33"/>
        <v>147.65655172413793</v>
      </c>
      <c r="W234">
        <v>1281</v>
      </c>
      <c r="X234">
        <f t="shared" si="34"/>
        <v>108747.40000000002</v>
      </c>
      <c r="Y234">
        <f t="shared" si="35"/>
        <v>13206.5</v>
      </c>
      <c r="Z234">
        <v>11.881506245532083</v>
      </c>
    </row>
    <row r="235" spans="1:26" x14ac:dyDescent="0.35">
      <c r="A235">
        <v>5160</v>
      </c>
      <c r="B235">
        <v>23050</v>
      </c>
      <c r="C235" s="1">
        <v>43180</v>
      </c>
      <c r="F235" s="48"/>
      <c r="G235">
        <v>3.1</v>
      </c>
      <c r="H235">
        <v>-0.6</v>
      </c>
      <c r="I235">
        <v>6.8</v>
      </c>
      <c r="J235">
        <f t="shared" si="31"/>
        <v>1679.1999999999998</v>
      </c>
      <c r="K235">
        <f t="shared" si="32"/>
        <v>137.09999999999997</v>
      </c>
      <c r="M235">
        <v>0</v>
      </c>
      <c r="N235">
        <v>1.4</v>
      </c>
      <c r="O235">
        <f t="shared" si="27"/>
        <v>-1.4</v>
      </c>
      <c r="Q235">
        <v>203</v>
      </c>
      <c r="R235">
        <f t="shared" si="30"/>
        <v>1.0982758620689654</v>
      </c>
      <c r="S235">
        <f t="shared" si="28"/>
        <v>1.5375862068965516</v>
      </c>
      <c r="T235">
        <f t="shared" si="29"/>
        <v>-1.5375862068965516</v>
      </c>
      <c r="U235" s="2">
        <f t="shared" si="33"/>
        <v>146.11896551724138</v>
      </c>
      <c r="W235">
        <v>1238</v>
      </c>
      <c r="X235">
        <f t="shared" si="34"/>
        <v>109985.40000000002</v>
      </c>
      <c r="Y235">
        <f t="shared" si="35"/>
        <v>14444.5</v>
      </c>
      <c r="Z235">
        <v>11.940749065201889</v>
      </c>
    </row>
    <row r="236" spans="1:26" x14ac:dyDescent="0.35">
      <c r="A236">
        <v>5160</v>
      </c>
      <c r="B236">
        <v>23050</v>
      </c>
      <c r="C236" s="1">
        <v>43181</v>
      </c>
      <c r="F236" s="48"/>
      <c r="G236">
        <v>3.1</v>
      </c>
      <c r="H236">
        <v>-2.4</v>
      </c>
      <c r="I236">
        <v>7</v>
      </c>
      <c r="J236">
        <f t="shared" si="31"/>
        <v>1682.2999999999997</v>
      </c>
      <c r="K236">
        <f t="shared" si="32"/>
        <v>140.19999999999996</v>
      </c>
      <c r="M236">
        <v>0</v>
      </c>
      <c r="N236">
        <v>0.6</v>
      </c>
      <c r="O236">
        <f t="shared" si="27"/>
        <v>-0.6</v>
      </c>
      <c r="Q236">
        <v>204</v>
      </c>
      <c r="R236">
        <f t="shared" si="30"/>
        <v>1.103448275862069</v>
      </c>
      <c r="S236">
        <f t="shared" si="28"/>
        <v>0.66206896551724137</v>
      </c>
      <c r="T236">
        <f t="shared" si="29"/>
        <v>-0.66206896551724137</v>
      </c>
      <c r="U236" s="2">
        <f t="shared" si="33"/>
        <v>145.45689655172413</v>
      </c>
      <c r="W236">
        <v>414.1</v>
      </c>
      <c r="X236">
        <f t="shared" si="34"/>
        <v>110399.50000000003</v>
      </c>
      <c r="Y236">
        <f t="shared" si="35"/>
        <v>14858.6</v>
      </c>
      <c r="Z236">
        <v>12</v>
      </c>
    </row>
    <row r="237" spans="1:26" x14ac:dyDescent="0.35">
      <c r="A237">
        <v>5160</v>
      </c>
      <c r="B237">
        <v>23050</v>
      </c>
      <c r="C237" s="1">
        <v>43182</v>
      </c>
      <c r="F237" s="48"/>
      <c r="G237">
        <v>5.4</v>
      </c>
      <c r="H237">
        <v>3.5</v>
      </c>
      <c r="I237">
        <v>6.3</v>
      </c>
      <c r="J237">
        <f t="shared" si="31"/>
        <v>1687.6999999999998</v>
      </c>
      <c r="K237">
        <f t="shared" si="32"/>
        <v>145.59999999999997</v>
      </c>
      <c r="M237">
        <v>0.7</v>
      </c>
      <c r="N237">
        <v>0.7</v>
      </c>
      <c r="O237">
        <f t="shared" si="27"/>
        <v>0</v>
      </c>
      <c r="Q237">
        <v>205</v>
      </c>
      <c r="R237">
        <f t="shared" si="30"/>
        <v>1.1086206896551722</v>
      </c>
      <c r="S237">
        <f t="shared" si="28"/>
        <v>0.77603448275862053</v>
      </c>
      <c r="T237">
        <f t="shared" si="29"/>
        <v>-7.603448275862057E-2</v>
      </c>
      <c r="U237" s="2">
        <f t="shared" si="33"/>
        <v>145.38086206896551</v>
      </c>
      <c r="W237">
        <v>456.5</v>
      </c>
      <c r="X237">
        <f t="shared" si="34"/>
        <v>110856.00000000003</v>
      </c>
      <c r="Y237">
        <f t="shared" si="35"/>
        <v>15315.1</v>
      </c>
      <c r="Z237">
        <v>12.059250934798111</v>
      </c>
    </row>
    <row r="238" spans="1:26" x14ac:dyDescent="0.35">
      <c r="A238">
        <v>5160</v>
      </c>
      <c r="B238">
        <v>23050</v>
      </c>
      <c r="C238" s="1">
        <v>43183</v>
      </c>
      <c r="F238" s="48"/>
      <c r="G238">
        <v>8.1999999999999993</v>
      </c>
      <c r="H238">
        <v>5.8</v>
      </c>
      <c r="I238">
        <v>11.3</v>
      </c>
      <c r="J238">
        <f t="shared" si="31"/>
        <v>1695.8999999999999</v>
      </c>
      <c r="K238">
        <f t="shared" si="32"/>
        <v>153.79999999999995</v>
      </c>
      <c r="M238">
        <v>0</v>
      </c>
      <c r="N238">
        <v>1.2</v>
      </c>
      <c r="O238">
        <f t="shared" si="27"/>
        <v>-1.2</v>
      </c>
      <c r="Q238">
        <v>206</v>
      </c>
      <c r="R238">
        <f t="shared" si="30"/>
        <v>1.1137931034482758</v>
      </c>
      <c r="S238">
        <f t="shared" si="28"/>
        <v>1.3365517241379308</v>
      </c>
      <c r="T238">
        <f t="shared" si="29"/>
        <v>-1.3365517241379308</v>
      </c>
      <c r="U238" s="2">
        <f t="shared" si="33"/>
        <v>144.04431034482758</v>
      </c>
      <c r="W238">
        <v>986.1</v>
      </c>
      <c r="X238">
        <f t="shared" si="34"/>
        <v>111842.10000000003</v>
      </c>
      <c r="Y238">
        <f t="shared" si="35"/>
        <v>16301.2</v>
      </c>
      <c r="Z238">
        <v>12.118493754467917</v>
      </c>
    </row>
    <row r="239" spans="1:26" x14ac:dyDescent="0.35">
      <c r="A239">
        <v>5160</v>
      </c>
      <c r="B239">
        <v>23050</v>
      </c>
      <c r="C239" s="1">
        <v>43184</v>
      </c>
      <c r="F239" s="48"/>
      <c r="G239">
        <v>10.1</v>
      </c>
      <c r="H239">
        <v>5.3</v>
      </c>
      <c r="I239">
        <v>13.9</v>
      </c>
      <c r="J239">
        <f t="shared" si="31"/>
        <v>1705.9999999999998</v>
      </c>
      <c r="K239">
        <f t="shared" si="32"/>
        <v>163.89999999999995</v>
      </c>
      <c r="M239">
        <v>2.5</v>
      </c>
      <c r="N239">
        <v>0.8</v>
      </c>
      <c r="O239">
        <f t="shared" si="27"/>
        <v>1.7</v>
      </c>
      <c r="Q239">
        <v>207</v>
      </c>
      <c r="R239">
        <f t="shared" si="30"/>
        <v>1.1189655172413793</v>
      </c>
      <c r="S239">
        <f t="shared" si="28"/>
        <v>0.89517241379310342</v>
      </c>
      <c r="T239">
        <f t="shared" si="29"/>
        <v>1.6048275862068966</v>
      </c>
      <c r="U239" s="2">
        <f t="shared" si="33"/>
        <v>145.64913793103449</v>
      </c>
      <c r="W239">
        <v>551.4</v>
      </c>
      <c r="X239">
        <f t="shared" si="34"/>
        <v>112393.50000000003</v>
      </c>
      <c r="Y239">
        <f t="shared" si="35"/>
        <v>16852.600000000002</v>
      </c>
      <c r="Z239">
        <v>12.177720328898275</v>
      </c>
    </row>
    <row r="240" spans="1:26" x14ac:dyDescent="0.35">
      <c r="A240">
        <v>5160</v>
      </c>
      <c r="B240">
        <v>23050</v>
      </c>
      <c r="C240" s="1">
        <v>43185</v>
      </c>
      <c r="F240" s="48"/>
      <c r="G240">
        <v>8.9</v>
      </c>
      <c r="H240">
        <v>6.6</v>
      </c>
      <c r="I240">
        <v>11.7</v>
      </c>
      <c r="J240">
        <f t="shared" si="31"/>
        <v>1714.8999999999999</v>
      </c>
      <c r="K240">
        <f t="shared" si="32"/>
        <v>172.79999999999995</v>
      </c>
      <c r="M240">
        <v>2.4</v>
      </c>
      <c r="N240">
        <v>1.3</v>
      </c>
      <c r="O240">
        <f t="shared" si="27"/>
        <v>1.0999999999999999</v>
      </c>
      <c r="Q240">
        <v>208</v>
      </c>
      <c r="R240">
        <f t="shared" si="30"/>
        <v>1.1241379310344828</v>
      </c>
      <c r="S240">
        <f t="shared" si="28"/>
        <v>1.4613793103448276</v>
      </c>
      <c r="T240">
        <f t="shared" si="29"/>
        <v>0.93862068965517231</v>
      </c>
      <c r="U240" s="2">
        <f t="shared" si="33"/>
        <v>146.58775862068967</v>
      </c>
      <c r="W240">
        <v>998.9</v>
      </c>
      <c r="X240">
        <f t="shared" si="34"/>
        <v>113392.40000000002</v>
      </c>
      <c r="Y240">
        <f t="shared" si="35"/>
        <v>17851.500000000004</v>
      </c>
      <c r="Z240">
        <v>12.23692249802243</v>
      </c>
    </row>
    <row r="241" spans="1:27" x14ac:dyDescent="0.35">
      <c r="A241">
        <v>5160</v>
      </c>
      <c r="B241">
        <v>23050</v>
      </c>
      <c r="C241" s="1">
        <v>43186</v>
      </c>
      <c r="F241" s="48"/>
      <c r="G241">
        <v>9.5</v>
      </c>
      <c r="H241">
        <v>5.7</v>
      </c>
      <c r="I241">
        <v>13</v>
      </c>
      <c r="J241">
        <f t="shared" si="31"/>
        <v>1724.3999999999999</v>
      </c>
      <c r="K241">
        <f t="shared" si="32"/>
        <v>182.29999999999995</v>
      </c>
      <c r="M241">
        <v>2.9</v>
      </c>
      <c r="N241">
        <v>0.8</v>
      </c>
      <c r="O241">
        <f t="shared" si="27"/>
        <v>2.0999999999999996</v>
      </c>
      <c r="Q241">
        <v>209</v>
      </c>
      <c r="R241">
        <f t="shared" si="30"/>
        <v>1.1293103448275861</v>
      </c>
      <c r="S241">
        <f t="shared" si="28"/>
        <v>0.90344827586206888</v>
      </c>
      <c r="T241">
        <f t="shared" si="29"/>
        <v>1.9965517241379311</v>
      </c>
      <c r="U241" s="2">
        <f t="shared" si="33"/>
        <v>148.5843103448276</v>
      </c>
      <c r="W241">
        <v>613.20000000000005</v>
      </c>
      <c r="X241">
        <f t="shared" si="34"/>
        <v>114005.60000000002</v>
      </c>
      <c r="Y241">
        <f t="shared" si="35"/>
        <v>18464.700000000004</v>
      </c>
      <c r="Z241">
        <v>12.296092056865389</v>
      </c>
    </row>
    <row r="242" spans="1:27" x14ac:dyDescent="0.35">
      <c r="A242">
        <v>5160</v>
      </c>
      <c r="B242">
        <v>23050</v>
      </c>
      <c r="C242" s="1">
        <v>43187</v>
      </c>
      <c r="F242" s="48"/>
      <c r="G242">
        <v>9.4</v>
      </c>
      <c r="H242">
        <v>8.5</v>
      </c>
      <c r="I242">
        <v>11.9</v>
      </c>
      <c r="J242">
        <f t="shared" si="31"/>
        <v>1733.8</v>
      </c>
      <c r="K242">
        <f t="shared" si="32"/>
        <v>191.69999999999996</v>
      </c>
      <c r="M242">
        <v>3.4</v>
      </c>
      <c r="N242">
        <v>1.2</v>
      </c>
      <c r="O242">
        <f t="shared" si="27"/>
        <v>2.2000000000000002</v>
      </c>
      <c r="Q242">
        <v>210</v>
      </c>
      <c r="R242">
        <f t="shared" si="30"/>
        <v>1.1344827586206896</v>
      </c>
      <c r="S242">
        <f t="shared" si="28"/>
        <v>1.3613793103448275</v>
      </c>
      <c r="T242">
        <f t="shared" si="29"/>
        <v>2.0386206896551724</v>
      </c>
      <c r="U242" s="2">
        <f t="shared" si="33"/>
        <v>150.62293103448278</v>
      </c>
      <c r="W242">
        <v>427.4</v>
      </c>
      <c r="X242">
        <f t="shared" si="34"/>
        <v>114433.00000000001</v>
      </c>
      <c r="Y242">
        <f t="shared" si="35"/>
        <v>18892.100000000006</v>
      </c>
      <c r="Z242">
        <v>12.355220740621883</v>
      </c>
    </row>
    <row r="243" spans="1:27" x14ac:dyDescent="0.35">
      <c r="A243">
        <v>5160</v>
      </c>
      <c r="B243">
        <v>23050</v>
      </c>
      <c r="C243" s="1">
        <v>43188</v>
      </c>
      <c r="F243" s="48"/>
      <c r="G243">
        <v>6.2</v>
      </c>
      <c r="H243">
        <v>2.7</v>
      </c>
      <c r="I243">
        <v>10.199999999999999</v>
      </c>
      <c r="J243">
        <f t="shared" si="31"/>
        <v>1740</v>
      </c>
      <c r="K243">
        <f t="shared" si="32"/>
        <v>197.89999999999995</v>
      </c>
      <c r="M243">
        <v>3.1</v>
      </c>
      <c r="N243">
        <v>0.9</v>
      </c>
      <c r="O243">
        <f t="shared" si="27"/>
        <v>2.2000000000000002</v>
      </c>
      <c r="Q243">
        <v>211</v>
      </c>
      <c r="R243">
        <f t="shared" si="30"/>
        <v>1.1396551724137931</v>
      </c>
      <c r="S243">
        <f t="shared" si="28"/>
        <v>1.0256896551724137</v>
      </c>
      <c r="T243">
        <f t="shared" si="29"/>
        <v>2.0743103448275866</v>
      </c>
      <c r="U243" s="2">
        <f t="shared" si="33"/>
        <v>150.80000000000001</v>
      </c>
      <c r="W243">
        <v>645.20000000000005</v>
      </c>
      <c r="X243">
        <f t="shared" si="34"/>
        <v>115078.20000000001</v>
      </c>
      <c r="Y243">
        <f t="shared" si="35"/>
        <v>19537.300000000007</v>
      </c>
      <c r="Z243">
        <v>12.414300209775586</v>
      </c>
    </row>
    <row r="244" spans="1:27" x14ac:dyDescent="0.35">
      <c r="A244">
        <v>5160</v>
      </c>
      <c r="B244">
        <v>23050</v>
      </c>
      <c r="C244" s="1">
        <v>43189</v>
      </c>
      <c r="F244" s="48"/>
      <c r="G244">
        <v>6.2</v>
      </c>
      <c r="H244">
        <v>4.2</v>
      </c>
      <c r="I244">
        <v>8.3000000000000007</v>
      </c>
      <c r="J244">
        <f t="shared" si="31"/>
        <v>1746.2</v>
      </c>
      <c r="K244">
        <f t="shared" si="32"/>
        <v>204.09999999999994</v>
      </c>
      <c r="M244">
        <v>1.2</v>
      </c>
      <c r="N244">
        <v>0.6</v>
      </c>
      <c r="O244">
        <f t="shared" si="27"/>
        <v>0.6</v>
      </c>
      <c r="Q244">
        <v>212</v>
      </c>
      <c r="R244">
        <f t="shared" si="30"/>
        <v>1.1448275862068964</v>
      </c>
      <c r="S244">
        <f t="shared" si="28"/>
        <v>0.68689655172413777</v>
      </c>
      <c r="T244">
        <f t="shared" si="29"/>
        <v>0.51310344827586218</v>
      </c>
      <c r="U244" s="2">
        <f t="shared" si="33"/>
        <v>150.80000000000001</v>
      </c>
      <c r="W244">
        <v>362.9</v>
      </c>
      <c r="X244">
        <f t="shared" si="34"/>
        <v>115441.1</v>
      </c>
      <c r="Y244">
        <f t="shared" si="35"/>
        <v>19900.200000000008</v>
      </c>
      <c r="Z244">
        <v>12.473322035270744</v>
      </c>
    </row>
    <row r="245" spans="1:27" s="6" customFormat="1" ht="15" thickBot="1" x14ac:dyDescent="0.4">
      <c r="A245" s="6">
        <v>5160</v>
      </c>
      <c r="B245" s="6">
        <v>23050</v>
      </c>
      <c r="C245" s="7">
        <v>43190</v>
      </c>
      <c r="F245" s="49"/>
      <c r="G245" s="6">
        <v>6.6</v>
      </c>
      <c r="H245" s="6">
        <v>2.4</v>
      </c>
      <c r="I245" s="6">
        <v>8.9</v>
      </c>
      <c r="J245" s="6">
        <f t="shared" si="31"/>
        <v>1752.8</v>
      </c>
      <c r="K245" s="6">
        <f t="shared" si="32"/>
        <v>210.69999999999993</v>
      </c>
      <c r="M245" s="6">
        <v>0.2</v>
      </c>
      <c r="N245" s="6">
        <v>0.5</v>
      </c>
      <c r="O245" s="6">
        <f t="shared" si="27"/>
        <v>-0.3</v>
      </c>
      <c r="Q245" s="6">
        <v>213</v>
      </c>
      <c r="R245" s="8">
        <f t="shared" si="30"/>
        <v>1.1499999999999999</v>
      </c>
      <c r="S245" s="6">
        <f t="shared" si="28"/>
        <v>0.57499999999999996</v>
      </c>
      <c r="T245" s="6">
        <f t="shared" si="29"/>
        <v>-0.37499999999999994</v>
      </c>
      <c r="U245" s="9">
        <f t="shared" si="33"/>
        <v>150.42500000000001</v>
      </c>
      <c r="W245" s="6">
        <v>379.9</v>
      </c>
      <c r="X245" s="6">
        <f t="shared" si="34"/>
        <v>115821</v>
      </c>
      <c r="Y245" s="6">
        <f t="shared" si="35"/>
        <v>20280.100000000009</v>
      </c>
      <c r="Z245" s="6">
        <v>12.532277683747942</v>
      </c>
    </row>
    <row r="246" spans="1:27" x14ac:dyDescent="0.35">
      <c r="A246">
        <v>5160</v>
      </c>
      <c r="B246">
        <v>23050</v>
      </c>
      <c r="C246" s="1">
        <v>43191</v>
      </c>
      <c r="D246" t="s">
        <v>31</v>
      </c>
      <c r="F246" s="44" t="s">
        <v>55</v>
      </c>
      <c r="G246">
        <v>8.1999999999999993</v>
      </c>
      <c r="H246">
        <v>4.9000000000000004</v>
      </c>
      <c r="I246">
        <v>10.4</v>
      </c>
      <c r="J246">
        <f t="shared" si="31"/>
        <v>1761</v>
      </c>
      <c r="K246">
        <f>G246</f>
        <v>8.1999999999999993</v>
      </c>
      <c r="M246">
        <v>0</v>
      </c>
      <c r="N246">
        <v>1.4</v>
      </c>
      <c r="O246">
        <f t="shared" si="27"/>
        <v>-1.4</v>
      </c>
      <c r="Q246">
        <v>214</v>
      </c>
      <c r="R246">
        <f t="shared" ref="R246" si="36">1+((Q246-184)/30)*(1.15-1)</f>
        <v>1.1499999999999999</v>
      </c>
      <c r="S246">
        <f t="shared" si="28"/>
        <v>1.6099999999999999</v>
      </c>
      <c r="T246">
        <f t="shared" si="29"/>
        <v>-1.6099999999999999</v>
      </c>
      <c r="U246" s="2">
        <f t="shared" si="33"/>
        <v>148.815</v>
      </c>
      <c r="V246" s="18" t="s">
        <v>43</v>
      </c>
      <c r="W246">
        <v>645.5</v>
      </c>
      <c r="X246">
        <f t="shared" si="34"/>
        <v>116466.5</v>
      </c>
      <c r="Y246">
        <f>W246</f>
        <v>645.5</v>
      </c>
      <c r="Z246">
        <v>12.591158502856366</v>
      </c>
      <c r="AA246" s="18" t="s">
        <v>48</v>
      </c>
    </row>
    <row r="247" spans="1:27" x14ac:dyDescent="0.35">
      <c r="A247">
        <v>5160</v>
      </c>
      <c r="B247">
        <v>23050</v>
      </c>
      <c r="C247" s="1">
        <v>43192</v>
      </c>
      <c r="F247" s="45"/>
      <c r="G247">
        <v>11</v>
      </c>
      <c r="H247">
        <v>6.6</v>
      </c>
      <c r="I247">
        <v>13.8</v>
      </c>
      <c r="J247">
        <f t="shared" si="31"/>
        <v>1772</v>
      </c>
      <c r="K247">
        <f>K246+G247</f>
        <v>19.2</v>
      </c>
      <c r="L247" s="17" t="s">
        <v>36</v>
      </c>
      <c r="M247">
        <v>0.6</v>
      </c>
      <c r="N247">
        <v>1.5</v>
      </c>
      <c r="O247">
        <f t="shared" si="27"/>
        <v>-0.9</v>
      </c>
      <c r="Q247">
        <v>215</v>
      </c>
      <c r="R247">
        <v>1.1499999999999999</v>
      </c>
      <c r="S247">
        <f t="shared" si="28"/>
        <v>1.7249999999999999</v>
      </c>
      <c r="T247">
        <f t="shared" si="29"/>
        <v>-1.125</v>
      </c>
      <c r="U247" s="2">
        <f t="shared" si="33"/>
        <v>147.69</v>
      </c>
      <c r="V247">
        <v>0</v>
      </c>
      <c r="W247">
        <v>781.5</v>
      </c>
      <c r="X247">
        <f t="shared" si="34"/>
        <v>117248</v>
      </c>
      <c r="Y247">
        <f>Y246+W247</f>
        <v>1427</v>
      </c>
      <c r="Z247">
        <v>12.649955706655721</v>
      </c>
      <c r="AA247">
        <v>24625.7</v>
      </c>
    </row>
    <row r="248" spans="1:27" x14ac:dyDescent="0.35">
      <c r="A248">
        <v>5160</v>
      </c>
      <c r="B248">
        <v>23050</v>
      </c>
      <c r="C248" s="1">
        <v>43193</v>
      </c>
      <c r="F248" s="45"/>
      <c r="G248">
        <v>11</v>
      </c>
      <c r="H248">
        <v>9.4</v>
      </c>
      <c r="I248">
        <v>13.6</v>
      </c>
      <c r="J248">
        <f t="shared" si="31"/>
        <v>1783</v>
      </c>
      <c r="K248">
        <f t="shared" si="32"/>
        <v>30.2</v>
      </c>
      <c r="L248" s="11">
        <v>268.7</v>
      </c>
      <c r="M248">
        <v>7.6</v>
      </c>
      <c r="N248">
        <v>1.2</v>
      </c>
      <c r="O248">
        <f t="shared" si="27"/>
        <v>6.3999999999999995</v>
      </c>
      <c r="Q248">
        <v>216</v>
      </c>
      <c r="R248">
        <v>1.1499999999999999</v>
      </c>
      <c r="S248">
        <f t="shared" si="28"/>
        <v>1.38</v>
      </c>
      <c r="T248">
        <f t="shared" si="29"/>
        <v>6.22</v>
      </c>
      <c r="U248" s="2">
        <f t="shared" si="33"/>
        <v>150.80000000000001</v>
      </c>
      <c r="V248" s="18" t="s">
        <v>44</v>
      </c>
      <c r="W248">
        <v>483.9</v>
      </c>
      <c r="X248">
        <f t="shared" si="34"/>
        <v>117731.9</v>
      </c>
      <c r="Y248">
        <f t="shared" ref="Y248:Y311" si="37">Y247+W248</f>
        <v>1910.9</v>
      </c>
      <c r="Z248">
        <v>12.708660361121856</v>
      </c>
      <c r="AA248" s="18" t="s">
        <v>49</v>
      </c>
    </row>
    <row r="249" spans="1:27" x14ac:dyDescent="0.35">
      <c r="A249">
        <v>5160</v>
      </c>
      <c r="B249">
        <v>23050</v>
      </c>
      <c r="C249" s="1">
        <v>43194</v>
      </c>
      <c r="F249" s="45"/>
      <c r="G249">
        <v>11</v>
      </c>
      <c r="H249">
        <v>9.8000000000000007</v>
      </c>
      <c r="I249">
        <v>12.6</v>
      </c>
      <c r="J249">
        <f t="shared" si="31"/>
        <v>1794</v>
      </c>
      <c r="K249">
        <f t="shared" si="32"/>
        <v>41.2</v>
      </c>
      <c r="L249" s="17" t="s">
        <v>37</v>
      </c>
      <c r="M249">
        <v>4.5999999999999996</v>
      </c>
      <c r="N249">
        <v>1.7</v>
      </c>
      <c r="O249">
        <f t="shared" si="27"/>
        <v>2.8999999999999995</v>
      </c>
      <c r="Q249">
        <v>217</v>
      </c>
      <c r="R249">
        <v>1.1499999999999999</v>
      </c>
      <c r="S249">
        <f t="shared" si="28"/>
        <v>1.9549999999999998</v>
      </c>
      <c r="T249">
        <f t="shared" si="29"/>
        <v>2.6449999999999996</v>
      </c>
      <c r="U249" s="2">
        <f t="shared" si="33"/>
        <v>150.80000000000001</v>
      </c>
      <c r="V249">
        <v>0</v>
      </c>
      <c r="W249">
        <v>318.10000000000002</v>
      </c>
      <c r="X249">
        <f t="shared" si="34"/>
        <v>118050</v>
      </c>
      <c r="Y249">
        <f t="shared" si="37"/>
        <v>2229</v>
      </c>
      <c r="Z249">
        <v>12.76726336977115</v>
      </c>
      <c r="AA249" s="2">
        <f>(AA247/100)/L248</f>
        <v>0.91647562337179012</v>
      </c>
    </row>
    <row r="250" spans="1:27" x14ac:dyDescent="0.35">
      <c r="A250">
        <v>5160</v>
      </c>
      <c r="B250">
        <v>23050</v>
      </c>
      <c r="C250" s="1">
        <v>43195</v>
      </c>
      <c r="F250" s="45"/>
      <c r="G250">
        <v>8.8000000000000007</v>
      </c>
      <c r="H250">
        <v>7.1</v>
      </c>
      <c r="I250">
        <v>10.9</v>
      </c>
      <c r="J250">
        <f t="shared" si="31"/>
        <v>1802.8</v>
      </c>
      <c r="K250">
        <f t="shared" si="32"/>
        <v>50</v>
      </c>
      <c r="L250" s="11">
        <f>AVERAGE(G246:G266)</f>
        <v>12.795238095238098</v>
      </c>
      <c r="M250">
        <v>0</v>
      </c>
      <c r="N250">
        <v>1.4</v>
      </c>
      <c r="O250">
        <f t="shared" si="27"/>
        <v>-1.4</v>
      </c>
      <c r="Q250">
        <v>218</v>
      </c>
      <c r="R250">
        <v>1.1499999999999999</v>
      </c>
      <c r="S250">
        <f t="shared" si="28"/>
        <v>1.6099999999999999</v>
      </c>
      <c r="T250">
        <f t="shared" si="29"/>
        <v>-1.6099999999999999</v>
      </c>
      <c r="U250" s="2">
        <f t="shared" si="33"/>
        <v>149.19</v>
      </c>
      <c r="V250" s="18" t="s">
        <v>45</v>
      </c>
      <c r="W250">
        <v>673.3</v>
      </c>
      <c r="X250">
        <f t="shared" si="34"/>
        <v>118723.3</v>
      </c>
      <c r="Y250">
        <f t="shared" si="37"/>
        <v>2902.3</v>
      </c>
      <c r="Z250">
        <v>12.825755459419772</v>
      </c>
      <c r="AA250" s="18" t="s">
        <v>50</v>
      </c>
    </row>
    <row r="251" spans="1:27" x14ac:dyDescent="0.35">
      <c r="A251">
        <v>5160</v>
      </c>
      <c r="B251">
        <v>23050</v>
      </c>
      <c r="C251" s="1">
        <v>43196</v>
      </c>
      <c r="F251" s="45"/>
      <c r="G251">
        <v>12.2</v>
      </c>
      <c r="H251">
        <v>4.0999999999999996</v>
      </c>
      <c r="I251">
        <v>18.8</v>
      </c>
      <c r="J251">
        <f t="shared" si="31"/>
        <v>1815</v>
      </c>
      <c r="K251">
        <f t="shared" si="32"/>
        <v>62.2</v>
      </c>
      <c r="L251" s="17" t="s">
        <v>38</v>
      </c>
      <c r="M251">
        <v>1.2</v>
      </c>
      <c r="N251">
        <v>3.2</v>
      </c>
      <c r="O251">
        <f t="shared" si="27"/>
        <v>-2</v>
      </c>
      <c r="Q251">
        <v>219</v>
      </c>
      <c r="R251">
        <v>1.1499999999999999</v>
      </c>
      <c r="S251">
        <f t="shared" si="28"/>
        <v>3.6799999999999997</v>
      </c>
      <c r="T251">
        <f t="shared" si="29"/>
        <v>-2.4799999999999995</v>
      </c>
      <c r="U251" s="2">
        <f t="shared" si="33"/>
        <v>146.71</v>
      </c>
      <c r="V251" s="2">
        <f>MIN(U246:U266)</f>
        <v>121.93499999999995</v>
      </c>
      <c r="W251">
        <v>2039.3</v>
      </c>
      <c r="X251">
        <f t="shared" si="34"/>
        <v>120762.6</v>
      </c>
      <c r="Y251">
        <f t="shared" si="37"/>
        <v>4941.6000000000004</v>
      </c>
      <c r="Z251">
        <v>12.884127166095231</v>
      </c>
      <c r="AA251">
        <v>11</v>
      </c>
    </row>
    <row r="252" spans="1:27" x14ac:dyDescent="0.35">
      <c r="A252">
        <v>5160</v>
      </c>
      <c r="B252">
        <v>23050</v>
      </c>
      <c r="C252" s="1">
        <v>43197</v>
      </c>
      <c r="F252" s="45"/>
      <c r="G252">
        <v>13.7</v>
      </c>
      <c r="H252">
        <v>10.9</v>
      </c>
      <c r="I252">
        <v>17.3</v>
      </c>
      <c r="J252">
        <f t="shared" si="31"/>
        <v>1828.7</v>
      </c>
      <c r="K252">
        <f t="shared" si="32"/>
        <v>75.900000000000006</v>
      </c>
      <c r="L252" s="11">
        <f>MIN(H246:H266)</f>
        <v>4.0999999999999996</v>
      </c>
      <c r="M252">
        <v>2.7</v>
      </c>
      <c r="N252">
        <v>1.3</v>
      </c>
      <c r="O252">
        <f t="shared" si="27"/>
        <v>1.4000000000000001</v>
      </c>
      <c r="Q252">
        <v>220</v>
      </c>
      <c r="R252">
        <v>1.1499999999999999</v>
      </c>
      <c r="S252">
        <f t="shared" si="28"/>
        <v>1.4949999999999999</v>
      </c>
      <c r="T252">
        <f t="shared" si="29"/>
        <v>1.2050000000000003</v>
      </c>
      <c r="U252" s="2">
        <f t="shared" si="33"/>
        <v>147.91500000000002</v>
      </c>
      <c r="V252" s="18" t="s">
        <v>46</v>
      </c>
      <c r="W252">
        <v>363.3</v>
      </c>
      <c r="X252">
        <f t="shared" si="34"/>
        <v>121125.90000000001</v>
      </c>
      <c r="Y252">
        <f t="shared" si="37"/>
        <v>5304.9000000000005</v>
      </c>
      <c r="Z252">
        <v>12.942368821118874</v>
      </c>
    </row>
    <row r="253" spans="1:27" x14ac:dyDescent="0.35">
      <c r="A253">
        <v>5160</v>
      </c>
      <c r="B253">
        <v>23050</v>
      </c>
      <c r="C253" s="1">
        <v>43198</v>
      </c>
      <c r="F253" s="45"/>
      <c r="G253">
        <v>13.8</v>
      </c>
      <c r="H253">
        <v>9.8000000000000007</v>
      </c>
      <c r="I253">
        <v>18.7</v>
      </c>
      <c r="J253">
        <f t="shared" si="31"/>
        <v>1842.5</v>
      </c>
      <c r="K253">
        <f t="shared" si="32"/>
        <v>89.7</v>
      </c>
      <c r="L253" s="17" t="s">
        <v>39</v>
      </c>
      <c r="M253">
        <v>2</v>
      </c>
      <c r="N253">
        <v>1.1000000000000001</v>
      </c>
      <c r="O253">
        <f t="shared" si="27"/>
        <v>0.89999999999999991</v>
      </c>
      <c r="Q253">
        <v>221</v>
      </c>
      <c r="R253">
        <v>1.1499999999999999</v>
      </c>
      <c r="S253">
        <f t="shared" si="28"/>
        <v>1.2649999999999999</v>
      </c>
      <c r="T253">
        <f t="shared" si="29"/>
        <v>0.7350000000000001</v>
      </c>
      <c r="U253" s="2">
        <f t="shared" si="33"/>
        <v>148.65000000000003</v>
      </c>
      <c r="V253" s="2">
        <f>MAX(U246:U266)</f>
        <v>150.80000000000001</v>
      </c>
      <c r="W253">
        <v>619.70000000000005</v>
      </c>
      <c r="X253">
        <f t="shared" si="34"/>
        <v>121745.60000000001</v>
      </c>
      <c r="Y253">
        <f t="shared" si="37"/>
        <v>5924.6</v>
      </c>
      <c r="Z253">
        <v>13.000470537379494</v>
      </c>
    </row>
    <row r="254" spans="1:27" x14ac:dyDescent="0.35">
      <c r="A254">
        <v>5160</v>
      </c>
      <c r="B254">
        <v>23050</v>
      </c>
      <c r="C254" s="1">
        <v>43199</v>
      </c>
      <c r="F254" s="45"/>
      <c r="G254">
        <v>12</v>
      </c>
      <c r="H254">
        <v>10.6</v>
      </c>
      <c r="I254">
        <v>14.1</v>
      </c>
      <c r="J254">
        <f t="shared" si="31"/>
        <v>1854.5</v>
      </c>
      <c r="K254">
        <f t="shared" si="32"/>
        <v>101.7</v>
      </c>
      <c r="L254" s="11">
        <f>MAX(I246:I266)</f>
        <v>26.9</v>
      </c>
      <c r="M254">
        <v>2.9</v>
      </c>
      <c r="N254">
        <v>0.8</v>
      </c>
      <c r="O254">
        <f t="shared" si="27"/>
        <v>2.0999999999999996</v>
      </c>
      <c r="Q254">
        <v>222</v>
      </c>
      <c r="R254">
        <v>1.1499999999999999</v>
      </c>
      <c r="S254">
        <f t="shared" si="28"/>
        <v>0.91999999999999993</v>
      </c>
      <c r="T254">
        <f t="shared" si="29"/>
        <v>1.98</v>
      </c>
      <c r="U254" s="2">
        <f t="shared" si="33"/>
        <v>150.63000000000002</v>
      </c>
      <c r="V254" s="18" t="s">
        <v>47</v>
      </c>
      <c r="W254">
        <v>567.70000000000005</v>
      </c>
      <c r="X254">
        <f t="shared" si="34"/>
        <v>122313.3</v>
      </c>
      <c r="Y254">
        <f t="shared" si="37"/>
        <v>6492.3</v>
      </c>
      <c r="Z254">
        <v>13.058422195819631</v>
      </c>
    </row>
    <row r="255" spans="1:27" x14ac:dyDescent="0.35">
      <c r="A255">
        <v>5160</v>
      </c>
      <c r="B255">
        <v>23050</v>
      </c>
      <c r="C255" s="1">
        <v>43200</v>
      </c>
      <c r="F255" s="45"/>
      <c r="G255">
        <v>9.9</v>
      </c>
      <c r="H255">
        <v>9.4</v>
      </c>
      <c r="I255">
        <v>10.8</v>
      </c>
      <c r="J255">
        <f t="shared" si="31"/>
        <v>1864.4</v>
      </c>
      <c r="K255">
        <f t="shared" si="32"/>
        <v>111.60000000000001</v>
      </c>
      <c r="L255" s="17" t="s">
        <v>40</v>
      </c>
      <c r="M255">
        <v>4.2</v>
      </c>
      <c r="N255">
        <v>0.8</v>
      </c>
      <c r="O255">
        <f t="shared" si="27"/>
        <v>3.4000000000000004</v>
      </c>
      <c r="Q255">
        <v>223</v>
      </c>
      <c r="R255">
        <v>1.1499999999999999</v>
      </c>
      <c r="S255">
        <f t="shared" si="28"/>
        <v>0.91999999999999993</v>
      </c>
      <c r="T255">
        <f t="shared" si="29"/>
        <v>3.2800000000000002</v>
      </c>
      <c r="U255" s="2">
        <f t="shared" si="33"/>
        <v>150.80000000000001</v>
      </c>
      <c r="V255" s="2">
        <f>AVERAGE(U246:U266)</f>
        <v>145.11547619047619</v>
      </c>
      <c r="W255">
        <v>489</v>
      </c>
      <c r="X255">
        <f t="shared" si="34"/>
        <v>122802.3</v>
      </c>
      <c r="Y255">
        <f t="shared" si="37"/>
        <v>6981.3</v>
      </c>
      <c r="Z255">
        <v>13.116213432157945</v>
      </c>
    </row>
    <row r="256" spans="1:27" x14ac:dyDescent="0.35">
      <c r="A256">
        <v>5160</v>
      </c>
      <c r="B256">
        <v>23050</v>
      </c>
      <c r="C256" s="1">
        <v>43201</v>
      </c>
      <c r="F256" s="45"/>
      <c r="G256">
        <v>11.4</v>
      </c>
      <c r="H256">
        <v>6.7</v>
      </c>
      <c r="I256">
        <v>16.100000000000001</v>
      </c>
      <c r="J256">
        <f t="shared" si="31"/>
        <v>1875.8000000000002</v>
      </c>
      <c r="K256">
        <f t="shared" si="32"/>
        <v>123.00000000000001</v>
      </c>
      <c r="L256" s="11">
        <v>3</v>
      </c>
      <c r="M256">
        <v>0.1</v>
      </c>
      <c r="N256">
        <v>2.2999999999999998</v>
      </c>
      <c r="O256">
        <f t="shared" si="27"/>
        <v>-2.1999999999999997</v>
      </c>
      <c r="Q256">
        <v>224</v>
      </c>
      <c r="R256">
        <v>1.1499999999999999</v>
      </c>
      <c r="S256">
        <f t="shared" si="28"/>
        <v>2.6449999999999996</v>
      </c>
      <c r="T256">
        <f t="shared" si="29"/>
        <v>-2.5449999999999995</v>
      </c>
      <c r="U256" s="2">
        <f t="shared" si="33"/>
        <v>148.25500000000002</v>
      </c>
      <c r="W256">
        <v>1402.9</v>
      </c>
      <c r="X256">
        <f t="shared" si="34"/>
        <v>124205.2</v>
      </c>
      <c r="Y256">
        <f t="shared" si="37"/>
        <v>8384.2000000000007</v>
      </c>
      <c r="Z256">
        <v>13.173833623872605</v>
      </c>
    </row>
    <row r="257" spans="1:27" x14ac:dyDescent="0.35">
      <c r="A257">
        <v>5160</v>
      </c>
      <c r="B257">
        <v>23050</v>
      </c>
      <c r="C257" s="1">
        <v>43202</v>
      </c>
      <c r="F257" s="45"/>
      <c r="G257">
        <v>10.199999999999999</v>
      </c>
      <c r="H257">
        <v>9.1</v>
      </c>
      <c r="I257">
        <v>12</v>
      </c>
      <c r="J257">
        <f t="shared" si="31"/>
        <v>1886.0000000000002</v>
      </c>
      <c r="K257">
        <f t="shared" si="32"/>
        <v>133.20000000000002</v>
      </c>
      <c r="L257" s="17" t="s">
        <v>41</v>
      </c>
      <c r="M257">
        <v>3.9</v>
      </c>
      <c r="N257">
        <v>0.6</v>
      </c>
      <c r="O257">
        <f t="shared" si="27"/>
        <v>3.3</v>
      </c>
      <c r="Q257">
        <v>225</v>
      </c>
      <c r="R257">
        <v>1.1499999999999999</v>
      </c>
      <c r="S257">
        <f t="shared" si="28"/>
        <v>0.69</v>
      </c>
      <c r="T257">
        <f t="shared" si="29"/>
        <v>3.21</v>
      </c>
      <c r="U257" s="2">
        <f t="shared" si="33"/>
        <v>150.80000000000001</v>
      </c>
      <c r="V257">
        <f>(V255*100)/150.8</f>
        <v>96.230421876973594</v>
      </c>
      <c r="W257">
        <v>481.7</v>
      </c>
      <c r="X257">
        <f t="shared" si="34"/>
        <v>124686.9</v>
      </c>
      <c r="Y257">
        <f t="shared" si="37"/>
        <v>8865.9000000000015</v>
      </c>
      <c r="Z257">
        <v>13.231271877472551</v>
      </c>
    </row>
    <row r="258" spans="1:27" x14ac:dyDescent="0.35">
      <c r="A258">
        <v>5160</v>
      </c>
      <c r="B258">
        <v>23050</v>
      </c>
      <c r="C258" s="1">
        <v>43203</v>
      </c>
      <c r="F258" s="45"/>
      <c r="G258">
        <v>10.9</v>
      </c>
      <c r="H258">
        <v>7.3</v>
      </c>
      <c r="I258">
        <v>14.6</v>
      </c>
      <c r="J258">
        <f t="shared" si="31"/>
        <v>1896.9000000000003</v>
      </c>
      <c r="K258">
        <f t="shared" si="32"/>
        <v>144.10000000000002</v>
      </c>
      <c r="L258" s="11">
        <v>2</v>
      </c>
      <c r="M258">
        <v>0.6</v>
      </c>
      <c r="N258">
        <v>1.9</v>
      </c>
      <c r="O258">
        <f t="shared" si="27"/>
        <v>-1.2999999999999998</v>
      </c>
      <c r="Q258">
        <v>226</v>
      </c>
      <c r="R258">
        <v>1.1499999999999999</v>
      </c>
      <c r="S258">
        <f t="shared" si="28"/>
        <v>2.1849999999999996</v>
      </c>
      <c r="T258">
        <f t="shared" si="29"/>
        <v>-1.5849999999999995</v>
      </c>
      <c r="U258" s="2">
        <f t="shared" si="33"/>
        <v>149.215</v>
      </c>
      <c r="W258">
        <v>1371.6</v>
      </c>
      <c r="X258">
        <f t="shared" si="34"/>
        <v>126058.5</v>
      </c>
      <c r="Y258">
        <f t="shared" si="37"/>
        <v>10237.500000000002</v>
      </c>
      <c r="Z258">
        <v>13.288517016085436</v>
      </c>
    </row>
    <row r="259" spans="1:27" x14ac:dyDescent="0.35">
      <c r="A259">
        <v>5160</v>
      </c>
      <c r="B259">
        <v>23050</v>
      </c>
      <c r="C259" s="1">
        <v>43204</v>
      </c>
      <c r="F259" s="45"/>
      <c r="G259">
        <v>11.4</v>
      </c>
      <c r="H259">
        <v>7.1</v>
      </c>
      <c r="I259">
        <v>15.1</v>
      </c>
      <c r="J259">
        <f t="shared" si="31"/>
        <v>1908.3000000000004</v>
      </c>
      <c r="K259">
        <f t="shared" si="32"/>
        <v>155.50000000000003</v>
      </c>
      <c r="L259" s="17" t="s">
        <v>42</v>
      </c>
      <c r="M259">
        <v>2.4</v>
      </c>
      <c r="N259">
        <v>0.7</v>
      </c>
      <c r="O259">
        <f t="shared" si="27"/>
        <v>1.7</v>
      </c>
      <c r="Q259">
        <v>227</v>
      </c>
      <c r="R259">
        <v>1.1499999999999999</v>
      </c>
      <c r="S259">
        <f t="shared" si="28"/>
        <v>0.80499999999999994</v>
      </c>
      <c r="T259">
        <f t="shared" si="29"/>
        <v>1.595</v>
      </c>
      <c r="U259" s="2">
        <f t="shared" si="33"/>
        <v>150.80000000000001</v>
      </c>
      <c r="W259">
        <v>627</v>
      </c>
      <c r="X259">
        <f t="shared" si="34"/>
        <v>126685.5</v>
      </c>
      <c r="Y259">
        <f t="shared" si="37"/>
        <v>10864.500000000002</v>
      </c>
      <c r="Z259">
        <v>13.345557567392914</v>
      </c>
    </row>
    <row r="260" spans="1:27" x14ac:dyDescent="0.35">
      <c r="A260">
        <v>5160</v>
      </c>
      <c r="B260">
        <v>23050</v>
      </c>
      <c r="C260" s="1">
        <v>43205</v>
      </c>
      <c r="F260" s="45"/>
      <c r="G260">
        <v>11.5</v>
      </c>
      <c r="H260">
        <v>6.8</v>
      </c>
      <c r="I260">
        <v>15.6</v>
      </c>
      <c r="J260">
        <f t="shared" si="31"/>
        <v>1919.8000000000004</v>
      </c>
      <c r="K260">
        <f t="shared" si="32"/>
        <v>167.00000000000003</v>
      </c>
      <c r="L260" s="11">
        <v>0</v>
      </c>
      <c r="M260">
        <v>0</v>
      </c>
      <c r="N260">
        <v>1.4</v>
      </c>
      <c r="O260">
        <f t="shared" si="27"/>
        <v>-1.4</v>
      </c>
      <c r="Q260">
        <v>228</v>
      </c>
      <c r="R260">
        <v>1.1499999999999999</v>
      </c>
      <c r="S260">
        <f t="shared" si="28"/>
        <v>1.6099999999999999</v>
      </c>
      <c r="T260">
        <f t="shared" si="29"/>
        <v>-1.6099999999999999</v>
      </c>
      <c r="U260" s="2">
        <f t="shared" si="33"/>
        <v>149.19</v>
      </c>
      <c r="W260">
        <v>1094.4000000000001</v>
      </c>
      <c r="X260">
        <f t="shared" si="34"/>
        <v>127779.9</v>
      </c>
      <c r="Y260">
        <f t="shared" si="37"/>
        <v>11958.900000000001</v>
      </c>
      <c r="Z260">
        <v>13.402381751946184</v>
      </c>
    </row>
    <row r="261" spans="1:27" x14ac:dyDescent="0.35">
      <c r="A261">
        <v>5160</v>
      </c>
      <c r="B261">
        <v>23050</v>
      </c>
      <c r="C261" s="1">
        <v>43206</v>
      </c>
      <c r="F261" s="45"/>
      <c r="G261">
        <v>11.4</v>
      </c>
      <c r="H261">
        <v>8.1</v>
      </c>
      <c r="I261">
        <v>15.2</v>
      </c>
      <c r="J261">
        <f t="shared" si="31"/>
        <v>1931.2000000000005</v>
      </c>
      <c r="K261">
        <f t="shared" si="32"/>
        <v>178.40000000000003</v>
      </c>
      <c r="M261">
        <v>0</v>
      </c>
      <c r="N261">
        <v>2</v>
      </c>
      <c r="O261">
        <f t="shared" ref="O261:O324" si="38">M261-N261</f>
        <v>-2</v>
      </c>
      <c r="Q261">
        <v>229</v>
      </c>
      <c r="R261">
        <v>1.1499999999999999</v>
      </c>
      <c r="S261">
        <f t="shared" ref="S261:S324" si="39">R261*N261</f>
        <v>2.2999999999999998</v>
      </c>
      <c r="T261">
        <f t="shared" ref="T261:T324" si="40">M261-S261</f>
        <v>-2.2999999999999998</v>
      </c>
      <c r="U261" s="2">
        <f t="shared" si="33"/>
        <v>146.88999999999999</v>
      </c>
      <c r="W261">
        <v>1589.4</v>
      </c>
      <c r="X261">
        <f t="shared" si="34"/>
        <v>129369.29999999999</v>
      </c>
      <c r="Y261">
        <f t="shared" si="37"/>
        <v>13548.300000000001</v>
      </c>
      <c r="Z261">
        <v>13.458977471896711</v>
      </c>
    </row>
    <row r="262" spans="1:27" x14ac:dyDescent="0.35">
      <c r="A262">
        <v>5160</v>
      </c>
      <c r="B262">
        <v>23050</v>
      </c>
      <c r="C262" s="1">
        <v>43207</v>
      </c>
      <c r="F262" s="45"/>
      <c r="G262">
        <v>14</v>
      </c>
      <c r="H262">
        <v>5.7</v>
      </c>
      <c r="I262">
        <v>20.5</v>
      </c>
      <c r="J262">
        <f t="shared" si="31"/>
        <v>1945.2000000000005</v>
      </c>
      <c r="K262">
        <f t="shared" si="32"/>
        <v>192.40000000000003</v>
      </c>
      <c r="M262">
        <v>0</v>
      </c>
      <c r="N262">
        <v>3.9</v>
      </c>
      <c r="O262">
        <f t="shared" si="38"/>
        <v>-3.9</v>
      </c>
      <c r="Q262">
        <v>230</v>
      </c>
      <c r="R262">
        <v>1.1499999999999999</v>
      </c>
      <c r="S262">
        <f t="shared" si="39"/>
        <v>4.4849999999999994</v>
      </c>
      <c r="T262">
        <f t="shared" si="40"/>
        <v>-4.4849999999999994</v>
      </c>
      <c r="U262" s="2">
        <f t="shared" si="33"/>
        <v>142.40499999999997</v>
      </c>
      <c r="W262">
        <v>2512.9</v>
      </c>
      <c r="X262">
        <f t="shared" si="34"/>
        <v>131882.19999999998</v>
      </c>
      <c r="Y262">
        <f t="shared" si="37"/>
        <v>16061.2</v>
      </c>
      <c r="Z262">
        <v>13.515332300179331</v>
      </c>
    </row>
    <row r="263" spans="1:27" x14ac:dyDescent="0.35">
      <c r="A263">
        <v>5160</v>
      </c>
      <c r="B263">
        <v>23050</v>
      </c>
      <c r="C263" s="1">
        <v>43208</v>
      </c>
      <c r="F263" s="45"/>
      <c r="G263">
        <v>17.5</v>
      </c>
      <c r="H263">
        <v>11.1</v>
      </c>
      <c r="I263">
        <v>24.4</v>
      </c>
      <c r="J263">
        <f t="shared" si="31"/>
        <v>1962.7000000000005</v>
      </c>
      <c r="K263">
        <f t="shared" si="32"/>
        <v>209.90000000000003</v>
      </c>
      <c r="M263">
        <v>0</v>
      </c>
      <c r="N263">
        <v>4.5</v>
      </c>
      <c r="O263">
        <f t="shared" si="38"/>
        <v>-4.5</v>
      </c>
      <c r="Q263">
        <v>231</v>
      </c>
      <c r="R263">
        <v>1.1499999999999999</v>
      </c>
      <c r="S263">
        <f t="shared" si="39"/>
        <v>5.1749999999999998</v>
      </c>
      <c r="T263">
        <f t="shared" si="40"/>
        <v>-5.1749999999999998</v>
      </c>
      <c r="U263" s="2">
        <f t="shared" si="33"/>
        <v>137.22999999999996</v>
      </c>
      <c r="W263">
        <v>2101.1</v>
      </c>
      <c r="X263">
        <f t="shared" si="34"/>
        <v>133983.29999999999</v>
      </c>
      <c r="Y263">
        <f t="shared" si="37"/>
        <v>18162.3</v>
      </c>
      <c r="Z263">
        <v>13.571433470187175</v>
      </c>
    </row>
    <row r="264" spans="1:27" x14ac:dyDescent="0.35">
      <c r="A264">
        <v>5160</v>
      </c>
      <c r="B264">
        <v>23050</v>
      </c>
      <c r="C264" s="1">
        <v>43209</v>
      </c>
      <c r="F264" s="45"/>
      <c r="G264">
        <v>18.399999999999999</v>
      </c>
      <c r="H264">
        <v>11.2</v>
      </c>
      <c r="I264">
        <v>25.4</v>
      </c>
      <c r="J264">
        <f t="shared" si="31"/>
        <v>1981.1000000000006</v>
      </c>
      <c r="K264">
        <f t="shared" si="32"/>
        <v>228.30000000000004</v>
      </c>
      <c r="M264">
        <v>0</v>
      </c>
      <c r="N264">
        <v>4.8</v>
      </c>
      <c r="O264">
        <f t="shared" si="38"/>
        <v>-4.8</v>
      </c>
      <c r="Q264">
        <v>232</v>
      </c>
      <c r="R264">
        <v>1.1499999999999999</v>
      </c>
      <c r="S264">
        <f t="shared" si="39"/>
        <v>5.52</v>
      </c>
      <c r="T264">
        <f t="shared" si="40"/>
        <v>-5.52</v>
      </c>
      <c r="U264" s="2">
        <f t="shared" si="33"/>
        <v>131.70999999999995</v>
      </c>
      <c r="W264">
        <v>2545.6999999999998</v>
      </c>
      <c r="X264">
        <f t="shared" si="34"/>
        <v>136529</v>
      </c>
      <c r="Y264">
        <f t="shared" si="37"/>
        <v>20708</v>
      </c>
      <c r="Z264">
        <v>13.627267865980141</v>
      </c>
    </row>
    <row r="265" spans="1:27" x14ac:dyDescent="0.35">
      <c r="A265">
        <v>5160</v>
      </c>
      <c r="B265">
        <v>23050</v>
      </c>
      <c r="C265" s="1">
        <v>43210</v>
      </c>
      <c r="F265" s="45"/>
      <c r="G265">
        <v>19.7</v>
      </c>
      <c r="H265">
        <v>11.8</v>
      </c>
      <c r="I265">
        <v>26.9</v>
      </c>
      <c r="J265">
        <f t="shared" si="31"/>
        <v>2000.8000000000006</v>
      </c>
      <c r="K265">
        <f t="shared" si="32"/>
        <v>248.00000000000003</v>
      </c>
      <c r="M265">
        <v>0</v>
      </c>
      <c r="N265">
        <v>4.0999999999999996</v>
      </c>
      <c r="O265">
        <f t="shared" si="38"/>
        <v>-4.0999999999999996</v>
      </c>
      <c r="Q265">
        <v>233</v>
      </c>
      <c r="R265">
        <v>1.1499999999999999</v>
      </c>
      <c r="S265">
        <f t="shared" si="39"/>
        <v>4.714999999999999</v>
      </c>
      <c r="T265">
        <f t="shared" si="40"/>
        <v>-4.714999999999999</v>
      </c>
      <c r="U265" s="2">
        <f t="shared" si="33"/>
        <v>126.99499999999995</v>
      </c>
      <c r="W265">
        <v>1905.9</v>
      </c>
      <c r="X265">
        <f t="shared" si="34"/>
        <v>138434.9</v>
      </c>
      <c r="Y265">
        <f t="shared" si="37"/>
        <v>22613.9</v>
      </c>
      <c r="Z265">
        <v>13.682822013070995</v>
      </c>
    </row>
    <row r="266" spans="1:27" s="6" customFormat="1" ht="15" thickBot="1" x14ac:dyDescent="0.4">
      <c r="A266" s="6">
        <v>5160</v>
      </c>
      <c r="B266" s="6">
        <v>23050</v>
      </c>
      <c r="C266" s="7">
        <v>43211</v>
      </c>
      <c r="D266" s="6" t="s">
        <v>32</v>
      </c>
      <c r="F266" s="46"/>
      <c r="G266" s="6">
        <v>20.7</v>
      </c>
      <c r="H266" s="6">
        <v>15.6</v>
      </c>
      <c r="I266" s="6">
        <v>26.9</v>
      </c>
      <c r="J266" s="6">
        <f t="shared" si="31"/>
        <v>2021.5000000000007</v>
      </c>
      <c r="K266" s="6">
        <f t="shared" si="32"/>
        <v>268.70000000000005</v>
      </c>
      <c r="M266" s="6">
        <v>0</v>
      </c>
      <c r="N266" s="6">
        <v>4.4000000000000004</v>
      </c>
      <c r="O266" s="6">
        <f t="shared" si="38"/>
        <v>-4.4000000000000004</v>
      </c>
      <c r="Q266" s="6">
        <v>234</v>
      </c>
      <c r="R266" s="6">
        <v>1.1499999999999999</v>
      </c>
      <c r="S266" s="6">
        <f t="shared" si="39"/>
        <v>5.0599999999999996</v>
      </c>
      <c r="T266" s="6">
        <f t="shared" si="40"/>
        <v>-5.0599999999999996</v>
      </c>
      <c r="U266" s="9">
        <f t="shared" si="33"/>
        <v>121.93499999999995</v>
      </c>
      <c r="W266" s="6">
        <v>2011.8</v>
      </c>
      <c r="X266" s="6">
        <f t="shared" si="34"/>
        <v>140446.69999999998</v>
      </c>
      <c r="Y266" s="6">
        <f t="shared" si="37"/>
        <v>24625.7</v>
      </c>
      <c r="Z266" s="6">
        <v>13.738082069835485</v>
      </c>
    </row>
    <row r="267" spans="1:27" x14ac:dyDescent="0.35">
      <c r="A267">
        <v>5160</v>
      </c>
      <c r="B267">
        <v>23050</v>
      </c>
      <c r="C267" s="1">
        <v>43212</v>
      </c>
      <c r="F267" s="41" t="s">
        <v>56</v>
      </c>
      <c r="G267">
        <v>18.899999999999999</v>
      </c>
      <c r="H267">
        <v>14</v>
      </c>
      <c r="I267">
        <v>25</v>
      </c>
      <c r="J267">
        <f t="shared" si="31"/>
        <v>2040.4000000000008</v>
      </c>
      <c r="K267">
        <f>G267</f>
        <v>18.899999999999999</v>
      </c>
      <c r="L267" s="19" t="s">
        <v>36</v>
      </c>
      <c r="M267">
        <v>0</v>
      </c>
      <c r="N267">
        <v>4.2</v>
      </c>
      <c r="O267">
        <f t="shared" si="38"/>
        <v>-4.2</v>
      </c>
      <c r="Q267">
        <v>235</v>
      </c>
      <c r="R267">
        <v>1.1499999999999999</v>
      </c>
      <c r="S267">
        <f t="shared" si="39"/>
        <v>4.83</v>
      </c>
      <c r="T267">
        <f t="shared" si="40"/>
        <v>-4.83</v>
      </c>
      <c r="U267" s="2">
        <f t="shared" si="33"/>
        <v>117.10499999999995</v>
      </c>
      <c r="V267" s="20" t="s">
        <v>43</v>
      </c>
      <c r="W267">
        <v>2124.9</v>
      </c>
      <c r="X267">
        <f t="shared" si="34"/>
        <v>142571.59999999998</v>
      </c>
      <c r="Y267">
        <f>W267</f>
        <v>2124.9</v>
      </c>
      <c r="Z267">
        <v>13.793033819595244</v>
      </c>
      <c r="AA267" s="20" t="s">
        <v>48</v>
      </c>
    </row>
    <row r="268" spans="1:27" x14ac:dyDescent="0.35">
      <c r="A268">
        <v>5160</v>
      </c>
      <c r="B268">
        <v>23050</v>
      </c>
      <c r="C268" s="1">
        <v>43213</v>
      </c>
      <c r="F268" s="42"/>
      <c r="G268">
        <v>14.5</v>
      </c>
      <c r="H268">
        <v>12.5</v>
      </c>
      <c r="I268">
        <v>17.600000000000001</v>
      </c>
      <c r="J268">
        <f t="shared" si="31"/>
        <v>2054.9000000000005</v>
      </c>
      <c r="K268">
        <f t="shared" si="32"/>
        <v>33.4</v>
      </c>
      <c r="L268" s="11">
        <v>302</v>
      </c>
      <c r="M268">
        <v>0.1</v>
      </c>
      <c r="N268">
        <v>1.2</v>
      </c>
      <c r="O268">
        <f t="shared" si="38"/>
        <v>-1.0999999999999999</v>
      </c>
      <c r="Q268">
        <v>236</v>
      </c>
      <c r="R268">
        <v>1.1499999999999999</v>
      </c>
      <c r="S268">
        <f t="shared" si="39"/>
        <v>1.38</v>
      </c>
      <c r="T268">
        <f t="shared" si="40"/>
        <v>-1.2799999999999998</v>
      </c>
      <c r="U268" s="2">
        <f t="shared" si="33"/>
        <v>115.82499999999995</v>
      </c>
      <c r="V268">
        <v>0</v>
      </c>
      <c r="W268">
        <v>583.9</v>
      </c>
      <c r="X268">
        <f t="shared" si="34"/>
        <v>143155.49999999997</v>
      </c>
      <c r="Y268">
        <f t="shared" si="37"/>
        <v>2708.8</v>
      </c>
      <c r="Z268">
        <v>13.847662663424472</v>
      </c>
      <c r="AA268">
        <v>37209.4</v>
      </c>
    </row>
    <row r="269" spans="1:27" x14ac:dyDescent="0.35">
      <c r="A269">
        <v>5160</v>
      </c>
      <c r="B269">
        <v>23050</v>
      </c>
      <c r="C269" s="1">
        <v>43214</v>
      </c>
      <c r="F269" s="42"/>
      <c r="G269">
        <v>13.6</v>
      </c>
      <c r="H269">
        <v>7.2</v>
      </c>
      <c r="I269">
        <v>19.399999999999999</v>
      </c>
      <c r="J269">
        <f t="shared" si="31"/>
        <v>2068.5000000000005</v>
      </c>
      <c r="K269">
        <f t="shared" si="32"/>
        <v>47</v>
      </c>
      <c r="L269" s="19" t="s">
        <v>37</v>
      </c>
      <c r="M269">
        <v>0</v>
      </c>
      <c r="N269">
        <v>3</v>
      </c>
      <c r="O269">
        <f t="shared" si="38"/>
        <v>-3</v>
      </c>
      <c r="Q269">
        <v>237</v>
      </c>
      <c r="R269">
        <v>1.1499999999999999</v>
      </c>
      <c r="S269">
        <f t="shared" si="39"/>
        <v>3.4499999999999997</v>
      </c>
      <c r="T269">
        <f t="shared" si="40"/>
        <v>-3.4499999999999997</v>
      </c>
      <c r="U269" s="2">
        <f t="shared" si="33"/>
        <v>112.37499999999994</v>
      </c>
      <c r="V269" s="20" t="s">
        <v>44</v>
      </c>
      <c r="W269">
        <v>2049.1999999999998</v>
      </c>
      <c r="X269">
        <f t="shared" si="34"/>
        <v>145204.69999999998</v>
      </c>
      <c r="Y269">
        <f t="shared" si="37"/>
        <v>4758</v>
      </c>
      <c r="Z269">
        <v>13.901953613733792</v>
      </c>
      <c r="AA269" s="20" t="s">
        <v>49</v>
      </c>
    </row>
    <row r="270" spans="1:27" x14ac:dyDescent="0.35">
      <c r="A270">
        <v>5160</v>
      </c>
      <c r="B270">
        <v>23050</v>
      </c>
      <c r="C270" s="1">
        <v>43215</v>
      </c>
      <c r="F270" s="42"/>
      <c r="G270">
        <v>12.6</v>
      </c>
      <c r="H270">
        <v>9.1999999999999993</v>
      </c>
      <c r="I270">
        <v>16</v>
      </c>
      <c r="J270">
        <f t="shared" si="31"/>
        <v>2081.1000000000004</v>
      </c>
      <c r="K270">
        <f t="shared" si="32"/>
        <v>59.6</v>
      </c>
      <c r="L270" s="11">
        <f>AVERAGE(G267:G289)</f>
        <v>13.130434782608699</v>
      </c>
      <c r="M270">
        <v>1.1000000000000001</v>
      </c>
      <c r="N270">
        <v>1</v>
      </c>
      <c r="O270">
        <f t="shared" si="38"/>
        <v>0.10000000000000009</v>
      </c>
      <c r="Q270">
        <v>238</v>
      </c>
      <c r="R270">
        <v>1.1499999999999999</v>
      </c>
      <c r="S270">
        <f t="shared" si="39"/>
        <v>1.1499999999999999</v>
      </c>
      <c r="T270">
        <f t="shared" si="40"/>
        <v>-4.9999999999999822E-2</v>
      </c>
      <c r="U270" s="2">
        <f t="shared" si="33"/>
        <v>112.32499999999995</v>
      </c>
      <c r="V270">
        <v>0</v>
      </c>
      <c r="W270">
        <v>530.70000000000005</v>
      </c>
      <c r="X270">
        <f t="shared" si="34"/>
        <v>145735.4</v>
      </c>
      <c r="Y270">
        <f t="shared" si="37"/>
        <v>5288.7</v>
      </c>
      <c r="Z270">
        <v>13.955891288686729</v>
      </c>
      <c r="AA270">
        <f>(AA268/100)/L268</f>
        <v>1.2320993377483445</v>
      </c>
    </row>
    <row r="271" spans="1:27" x14ac:dyDescent="0.35">
      <c r="A271">
        <v>5160</v>
      </c>
      <c r="B271">
        <v>23050</v>
      </c>
      <c r="C271" s="1">
        <v>43216</v>
      </c>
      <c r="F271" s="42"/>
      <c r="G271">
        <v>10.7</v>
      </c>
      <c r="H271">
        <v>6.3</v>
      </c>
      <c r="I271">
        <v>15.1</v>
      </c>
      <c r="J271">
        <f t="shared" si="31"/>
        <v>2091.8000000000002</v>
      </c>
      <c r="K271">
        <f t="shared" si="32"/>
        <v>70.3</v>
      </c>
      <c r="L271" s="19" t="s">
        <v>38</v>
      </c>
      <c r="M271">
        <v>0</v>
      </c>
      <c r="N271">
        <v>2.9</v>
      </c>
      <c r="O271">
        <f t="shared" si="38"/>
        <v>-2.9</v>
      </c>
      <c r="Q271">
        <v>239</v>
      </c>
      <c r="R271">
        <v>1.1499999999999999</v>
      </c>
      <c r="S271">
        <f t="shared" si="39"/>
        <v>3.3349999999999995</v>
      </c>
      <c r="T271">
        <f t="shared" si="40"/>
        <v>-3.3349999999999995</v>
      </c>
      <c r="U271" s="2">
        <f t="shared" si="33"/>
        <v>108.98999999999995</v>
      </c>
      <c r="V271" s="20" t="s">
        <v>45</v>
      </c>
      <c r="W271">
        <v>2001.8</v>
      </c>
      <c r="X271">
        <f t="shared" si="34"/>
        <v>147737.19999999998</v>
      </c>
      <c r="Y271">
        <f t="shared" si="37"/>
        <v>7290.5</v>
      </c>
      <c r="Z271">
        <v>14.009459907506546</v>
      </c>
      <c r="AA271" s="20" t="s">
        <v>50</v>
      </c>
    </row>
    <row r="272" spans="1:27" x14ac:dyDescent="0.35">
      <c r="A272">
        <v>5160</v>
      </c>
      <c r="B272">
        <v>23050</v>
      </c>
      <c r="C272" s="1">
        <v>43217</v>
      </c>
      <c r="F272" s="42"/>
      <c r="G272">
        <v>11.8</v>
      </c>
      <c r="H272">
        <v>6.8</v>
      </c>
      <c r="I272">
        <v>17.399999999999999</v>
      </c>
      <c r="J272">
        <f t="shared" si="31"/>
        <v>2103.6000000000004</v>
      </c>
      <c r="K272">
        <f t="shared" si="32"/>
        <v>82.1</v>
      </c>
      <c r="L272" s="11">
        <f>MIN(H267:H289)</f>
        <v>2.9</v>
      </c>
      <c r="M272">
        <v>0</v>
      </c>
      <c r="N272">
        <v>3</v>
      </c>
      <c r="O272">
        <f t="shared" si="38"/>
        <v>-3</v>
      </c>
      <c r="Q272">
        <v>240</v>
      </c>
      <c r="R272">
        <v>1.1499999999999999</v>
      </c>
      <c r="S272">
        <f t="shared" si="39"/>
        <v>3.4499999999999997</v>
      </c>
      <c r="T272">
        <f t="shared" si="40"/>
        <v>-3.4499999999999997</v>
      </c>
      <c r="U272" s="2">
        <f t="shared" si="33"/>
        <v>105.53999999999995</v>
      </c>
      <c r="V272" s="2">
        <f>MIN(U267:U289)</f>
        <v>75.989999999999952</v>
      </c>
      <c r="W272">
        <v>1382.3</v>
      </c>
      <c r="X272">
        <f t="shared" si="34"/>
        <v>149119.49999999997</v>
      </c>
      <c r="Y272">
        <f t="shared" si="37"/>
        <v>8672.7999999999993</v>
      </c>
      <c r="Z272">
        <v>14.062643286732953</v>
      </c>
      <c r="AA272">
        <v>7</v>
      </c>
    </row>
    <row r="273" spans="1:26" x14ac:dyDescent="0.35">
      <c r="A273">
        <v>5160</v>
      </c>
      <c r="B273">
        <v>23050</v>
      </c>
      <c r="C273" s="1">
        <v>43218</v>
      </c>
      <c r="F273" s="42"/>
      <c r="G273">
        <v>11.2</v>
      </c>
      <c r="H273">
        <v>8.4</v>
      </c>
      <c r="I273">
        <v>13.8</v>
      </c>
      <c r="J273">
        <f t="shared" si="31"/>
        <v>2114.8000000000002</v>
      </c>
      <c r="K273">
        <f t="shared" si="32"/>
        <v>93.3</v>
      </c>
      <c r="L273" s="19" t="s">
        <v>39</v>
      </c>
      <c r="M273">
        <v>1.8</v>
      </c>
      <c r="N273">
        <v>1.8</v>
      </c>
      <c r="O273">
        <f t="shared" si="38"/>
        <v>0</v>
      </c>
      <c r="Q273">
        <v>241</v>
      </c>
      <c r="R273">
        <v>1.1499999999999999</v>
      </c>
      <c r="S273">
        <f t="shared" si="39"/>
        <v>2.0699999999999998</v>
      </c>
      <c r="T273">
        <f t="shared" si="40"/>
        <v>-0.2699999999999998</v>
      </c>
      <c r="U273" s="2">
        <f t="shared" si="33"/>
        <v>105.26999999999995</v>
      </c>
      <c r="V273" s="20" t="s">
        <v>46</v>
      </c>
      <c r="W273">
        <v>1343.5</v>
      </c>
      <c r="X273">
        <f t="shared" si="34"/>
        <v>150462.99999999997</v>
      </c>
      <c r="Y273">
        <f t="shared" si="37"/>
        <v>10016.299999999999</v>
      </c>
      <c r="Z273">
        <v>14.115424837490291</v>
      </c>
    </row>
    <row r="274" spans="1:26" x14ac:dyDescent="0.35">
      <c r="A274">
        <v>5160</v>
      </c>
      <c r="B274">
        <v>23050</v>
      </c>
      <c r="C274" s="1">
        <v>43219</v>
      </c>
      <c r="F274" s="42"/>
      <c r="G274">
        <v>10</v>
      </c>
      <c r="H274">
        <v>8.8000000000000007</v>
      </c>
      <c r="I274">
        <v>10.9</v>
      </c>
      <c r="J274">
        <f t="shared" si="31"/>
        <v>2124.8000000000002</v>
      </c>
      <c r="K274">
        <f t="shared" si="32"/>
        <v>103.3</v>
      </c>
      <c r="L274" s="11">
        <f>MAX(I267:I289)</f>
        <v>25.4</v>
      </c>
      <c r="M274">
        <v>15.4</v>
      </c>
      <c r="N274">
        <v>1.1000000000000001</v>
      </c>
      <c r="O274">
        <f t="shared" si="38"/>
        <v>14.3</v>
      </c>
      <c r="Q274">
        <v>242</v>
      </c>
      <c r="R274">
        <v>1.1499999999999999</v>
      </c>
      <c r="S274">
        <f t="shared" si="39"/>
        <v>1.2649999999999999</v>
      </c>
      <c r="T274">
        <f t="shared" si="40"/>
        <v>14.135</v>
      </c>
      <c r="U274" s="2">
        <f t="shared" si="33"/>
        <v>119.40499999999996</v>
      </c>
      <c r="V274" s="2">
        <f>MAX(U267:U289)</f>
        <v>120.76999999999995</v>
      </c>
      <c r="W274">
        <v>708.9</v>
      </c>
      <c r="X274">
        <f t="shared" si="34"/>
        <v>151171.89999999997</v>
      </c>
      <c r="Y274">
        <f t="shared" si="37"/>
        <v>10725.199999999999</v>
      </c>
      <c r="Z274">
        <v>14.167787563830256</v>
      </c>
    </row>
    <row r="275" spans="1:26" x14ac:dyDescent="0.35">
      <c r="A275">
        <v>5160</v>
      </c>
      <c r="B275">
        <v>23050</v>
      </c>
      <c r="C275" s="1">
        <v>43220</v>
      </c>
      <c r="F275" s="42"/>
      <c r="G275">
        <v>6.7</v>
      </c>
      <c r="H275">
        <v>6.4</v>
      </c>
      <c r="I275">
        <v>8</v>
      </c>
      <c r="J275">
        <f t="shared" si="31"/>
        <v>2131.5</v>
      </c>
      <c r="K275">
        <f t="shared" si="32"/>
        <v>110</v>
      </c>
      <c r="L275" s="19" t="s">
        <v>40</v>
      </c>
      <c r="M275">
        <v>2.4</v>
      </c>
      <c r="N275">
        <v>0.9</v>
      </c>
      <c r="O275">
        <f t="shared" si="38"/>
        <v>1.5</v>
      </c>
      <c r="Q275">
        <v>243</v>
      </c>
      <c r="R275">
        <v>1.1499999999999999</v>
      </c>
      <c r="S275">
        <f t="shared" si="39"/>
        <v>1.0349999999999999</v>
      </c>
      <c r="T275">
        <f t="shared" si="40"/>
        <v>1.365</v>
      </c>
      <c r="U275" s="2">
        <f t="shared" si="33"/>
        <v>120.76999999999995</v>
      </c>
      <c r="V275" s="20" t="s">
        <v>47</v>
      </c>
      <c r="W275">
        <v>595.79999999999995</v>
      </c>
      <c r="X275">
        <f t="shared" si="34"/>
        <v>151767.69999999995</v>
      </c>
      <c r="Y275">
        <f t="shared" si="37"/>
        <v>11320.999999999998</v>
      </c>
      <c r="Z275">
        <v>14.219714062213793</v>
      </c>
    </row>
    <row r="276" spans="1:26" x14ac:dyDescent="0.35">
      <c r="A276">
        <v>5160</v>
      </c>
      <c r="B276">
        <v>23050</v>
      </c>
      <c r="C276" s="1">
        <v>43221</v>
      </c>
      <c r="F276" s="42"/>
      <c r="G276">
        <v>7.4</v>
      </c>
      <c r="H276">
        <v>3.6</v>
      </c>
      <c r="I276">
        <v>11.6</v>
      </c>
      <c r="J276">
        <f t="shared" si="31"/>
        <v>2138.9</v>
      </c>
      <c r="K276">
        <f t="shared" si="32"/>
        <v>117.4</v>
      </c>
      <c r="L276" s="11">
        <v>3</v>
      </c>
      <c r="M276">
        <v>0.1</v>
      </c>
      <c r="N276">
        <v>1</v>
      </c>
      <c r="O276">
        <f t="shared" si="38"/>
        <v>-0.9</v>
      </c>
      <c r="Q276">
        <v>244</v>
      </c>
      <c r="R276">
        <v>1.1499999999999999</v>
      </c>
      <c r="S276">
        <f t="shared" si="39"/>
        <v>1.1499999999999999</v>
      </c>
      <c r="T276">
        <f t="shared" si="40"/>
        <v>-1.0499999999999998</v>
      </c>
      <c r="U276" s="2">
        <f t="shared" si="33"/>
        <v>119.71999999999996</v>
      </c>
      <c r="V276" s="2">
        <f>AVERAGE(U267:U289)</f>
        <v>102.57217391304343</v>
      </c>
      <c r="W276">
        <v>861.2</v>
      </c>
      <c r="X276">
        <f t="shared" si="34"/>
        <v>152628.89999999997</v>
      </c>
      <c r="Y276">
        <f t="shared" si="37"/>
        <v>12182.199999999999</v>
      </c>
      <c r="Z276">
        <v>14.27118652219797</v>
      </c>
    </row>
    <row r="277" spans="1:26" x14ac:dyDescent="0.35">
      <c r="A277">
        <v>5160</v>
      </c>
      <c r="B277">
        <v>23050</v>
      </c>
      <c r="C277" s="1">
        <v>43222</v>
      </c>
      <c r="F277" s="42"/>
      <c r="G277">
        <v>10.199999999999999</v>
      </c>
      <c r="H277">
        <v>2.9</v>
      </c>
      <c r="I277">
        <v>14.9</v>
      </c>
      <c r="J277">
        <f t="shared" si="31"/>
        <v>2149.1</v>
      </c>
      <c r="K277">
        <f t="shared" si="32"/>
        <v>127.60000000000001</v>
      </c>
      <c r="L277" s="19" t="s">
        <v>41</v>
      </c>
      <c r="M277">
        <v>0.2</v>
      </c>
      <c r="N277">
        <v>1.6</v>
      </c>
      <c r="O277">
        <f t="shared" si="38"/>
        <v>-1.4000000000000001</v>
      </c>
      <c r="Q277">
        <v>245</v>
      </c>
      <c r="R277">
        <v>1.1499999999999999</v>
      </c>
      <c r="S277">
        <f t="shared" si="39"/>
        <v>1.8399999999999999</v>
      </c>
      <c r="T277">
        <f t="shared" si="40"/>
        <v>-1.64</v>
      </c>
      <c r="U277" s="2">
        <f t="shared" si="33"/>
        <v>118.07999999999996</v>
      </c>
      <c r="W277">
        <v>1251.5999999999999</v>
      </c>
      <c r="X277">
        <f t="shared" si="34"/>
        <v>153880.49999999997</v>
      </c>
      <c r="Y277">
        <f t="shared" si="37"/>
        <v>13433.8</v>
      </c>
      <c r="Z277">
        <v>14.322186728394513</v>
      </c>
    </row>
    <row r="278" spans="1:26" x14ac:dyDescent="0.35">
      <c r="A278">
        <v>5160</v>
      </c>
      <c r="B278">
        <v>23050</v>
      </c>
      <c r="C278" s="1">
        <v>43223</v>
      </c>
      <c r="F278" s="42"/>
      <c r="G278">
        <v>11.2</v>
      </c>
      <c r="H278">
        <v>7.9</v>
      </c>
      <c r="I278">
        <v>15.1</v>
      </c>
      <c r="J278">
        <f t="shared" si="31"/>
        <v>2160.2999999999997</v>
      </c>
      <c r="K278">
        <f t="shared" si="32"/>
        <v>138.80000000000001</v>
      </c>
      <c r="L278" s="11">
        <v>2</v>
      </c>
      <c r="M278">
        <v>0</v>
      </c>
      <c r="N278">
        <v>2.8</v>
      </c>
      <c r="O278">
        <f t="shared" si="38"/>
        <v>-2.8</v>
      </c>
      <c r="Q278">
        <v>246</v>
      </c>
      <c r="R278">
        <v>1.1499999999999999</v>
      </c>
      <c r="S278">
        <f t="shared" si="39"/>
        <v>3.2199999999999998</v>
      </c>
      <c r="T278">
        <f t="shared" si="40"/>
        <v>-3.2199999999999998</v>
      </c>
      <c r="U278" s="2">
        <f t="shared" si="33"/>
        <v>114.85999999999996</v>
      </c>
      <c r="V278">
        <f>(V276*100)/150.8</f>
        <v>68.01868296620917</v>
      </c>
      <c r="W278">
        <v>1616.4</v>
      </c>
      <c r="X278">
        <f t="shared" si="34"/>
        <v>155496.89999999997</v>
      </c>
      <c r="Y278">
        <f t="shared" si="37"/>
        <v>15050.199999999999</v>
      </c>
      <c r="Z278">
        <v>14.372696063767282</v>
      </c>
    </row>
    <row r="279" spans="1:26" x14ac:dyDescent="0.35">
      <c r="A279">
        <v>5160</v>
      </c>
      <c r="B279">
        <v>23050</v>
      </c>
      <c r="C279" s="1">
        <v>43224</v>
      </c>
      <c r="F279" s="42"/>
      <c r="G279">
        <v>12.3</v>
      </c>
      <c r="H279">
        <v>6.9</v>
      </c>
      <c r="I279">
        <v>17.100000000000001</v>
      </c>
      <c r="J279">
        <f t="shared" si="31"/>
        <v>2172.6</v>
      </c>
      <c r="K279">
        <f t="shared" si="32"/>
        <v>151.10000000000002</v>
      </c>
      <c r="L279" s="19" t="s">
        <v>42</v>
      </c>
      <c r="M279">
        <v>0</v>
      </c>
      <c r="N279">
        <v>4.4000000000000004</v>
      </c>
      <c r="O279">
        <f t="shared" si="38"/>
        <v>-4.4000000000000004</v>
      </c>
      <c r="Q279">
        <v>247</v>
      </c>
      <c r="R279">
        <v>1.1499999999999999</v>
      </c>
      <c r="S279">
        <f t="shared" si="39"/>
        <v>5.0599999999999996</v>
      </c>
      <c r="T279">
        <f t="shared" si="40"/>
        <v>-5.0599999999999996</v>
      </c>
      <c r="U279" s="2">
        <f t="shared" si="33"/>
        <v>109.79999999999995</v>
      </c>
      <c r="W279">
        <v>2881.1</v>
      </c>
      <c r="X279">
        <f t="shared" si="34"/>
        <v>158377.99999999997</v>
      </c>
      <c r="Y279">
        <f t="shared" si="37"/>
        <v>17931.3</v>
      </c>
      <c r="Z279">
        <v>14.422695514336162</v>
      </c>
    </row>
    <row r="280" spans="1:26" x14ac:dyDescent="0.35">
      <c r="A280">
        <v>5160</v>
      </c>
      <c r="B280">
        <v>23050</v>
      </c>
      <c r="C280" s="1">
        <v>43225</v>
      </c>
      <c r="F280" s="42"/>
      <c r="G280">
        <v>16.100000000000001</v>
      </c>
      <c r="H280">
        <v>9.1999999999999993</v>
      </c>
      <c r="I280">
        <v>21.6</v>
      </c>
      <c r="J280">
        <f t="shared" si="31"/>
        <v>2188.6999999999998</v>
      </c>
      <c r="K280">
        <f t="shared" si="32"/>
        <v>167.20000000000002</v>
      </c>
      <c r="L280" s="11">
        <v>0</v>
      </c>
      <c r="M280">
        <v>0</v>
      </c>
      <c r="N280">
        <v>4.9000000000000004</v>
      </c>
      <c r="O280">
        <f t="shared" si="38"/>
        <v>-4.9000000000000004</v>
      </c>
      <c r="Q280">
        <v>248</v>
      </c>
      <c r="R280">
        <v>1.1499999999999999</v>
      </c>
      <c r="S280">
        <f t="shared" si="39"/>
        <v>5.6349999999999998</v>
      </c>
      <c r="T280">
        <f t="shared" si="40"/>
        <v>-5.6349999999999998</v>
      </c>
      <c r="U280" s="2">
        <f t="shared" si="33"/>
        <v>104.16499999999995</v>
      </c>
      <c r="W280">
        <v>2879.6</v>
      </c>
      <c r="X280">
        <f t="shared" si="34"/>
        <v>161257.59999999998</v>
      </c>
      <c r="Y280">
        <f t="shared" si="37"/>
        <v>20810.899999999998</v>
      </c>
      <c r="Z280">
        <v>14.472165675354583</v>
      </c>
    </row>
    <row r="281" spans="1:26" x14ac:dyDescent="0.35">
      <c r="A281">
        <v>5160</v>
      </c>
      <c r="B281">
        <v>23050</v>
      </c>
      <c r="C281" s="1">
        <v>43226</v>
      </c>
      <c r="F281" s="42"/>
      <c r="G281">
        <v>19.399999999999999</v>
      </c>
      <c r="H281">
        <v>13.4</v>
      </c>
      <c r="I281">
        <v>24.9</v>
      </c>
      <c r="J281">
        <f t="shared" si="31"/>
        <v>2208.1</v>
      </c>
      <c r="K281">
        <f t="shared" si="32"/>
        <v>186.60000000000002</v>
      </c>
      <c r="M281">
        <v>0</v>
      </c>
      <c r="N281">
        <v>5.3</v>
      </c>
      <c r="O281">
        <f t="shared" si="38"/>
        <v>-5.3</v>
      </c>
      <c r="Q281">
        <v>249</v>
      </c>
      <c r="R281">
        <v>1.1499999999999999</v>
      </c>
      <c r="S281">
        <f t="shared" si="39"/>
        <v>6.0949999999999998</v>
      </c>
      <c r="T281">
        <f t="shared" si="40"/>
        <v>-6.0949999999999998</v>
      </c>
      <c r="U281" s="2">
        <f t="shared" si="33"/>
        <v>98.069999999999951</v>
      </c>
      <c r="W281">
        <v>2938.6</v>
      </c>
      <c r="X281">
        <f t="shared" si="34"/>
        <v>164196.19999999998</v>
      </c>
      <c r="Y281">
        <f t="shared" si="37"/>
        <v>23749.499999999996</v>
      </c>
      <c r="Z281">
        <v>14.521086759027181</v>
      </c>
    </row>
    <row r="282" spans="1:26" x14ac:dyDescent="0.35">
      <c r="A282">
        <v>5160</v>
      </c>
      <c r="B282">
        <v>23050</v>
      </c>
      <c r="C282" s="1">
        <v>43227</v>
      </c>
      <c r="F282" s="42"/>
      <c r="G282">
        <v>19.5</v>
      </c>
      <c r="H282">
        <v>15</v>
      </c>
      <c r="I282">
        <v>25.4</v>
      </c>
      <c r="J282">
        <f t="shared" si="31"/>
        <v>2227.6</v>
      </c>
      <c r="K282">
        <f t="shared" si="32"/>
        <v>206.10000000000002</v>
      </c>
      <c r="M282">
        <v>0</v>
      </c>
      <c r="N282">
        <v>5.5</v>
      </c>
      <c r="O282">
        <f t="shared" si="38"/>
        <v>-5.5</v>
      </c>
      <c r="Q282">
        <v>250</v>
      </c>
      <c r="R282">
        <v>1.1499999999999999</v>
      </c>
      <c r="S282">
        <f t="shared" si="39"/>
        <v>6.3249999999999993</v>
      </c>
      <c r="T282">
        <f t="shared" si="40"/>
        <v>-6.3249999999999993</v>
      </c>
      <c r="U282" s="2">
        <f t="shared" si="33"/>
        <v>91.744999999999948</v>
      </c>
      <c r="W282">
        <v>2621.4</v>
      </c>
      <c r="X282">
        <f t="shared" si="34"/>
        <v>166817.59999999998</v>
      </c>
      <c r="Y282">
        <f t="shared" si="37"/>
        <v>26370.899999999998</v>
      </c>
      <c r="Z282">
        <v>14.569438603832905</v>
      </c>
    </row>
    <row r="283" spans="1:26" x14ac:dyDescent="0.35">
      <c r="A283">
        <v>5160</v>
      </c>
      <c r="B283">
        <v>23050</v>
      </c>
      <c r="C283" s="1">
        <v>43228</v>
      </c>
      <c r="F283" s="42"/>
      <c r="G283">
        <v>18.7</v>
      </c>
      <c r="H283">
        <v>12.3</v>
      </c>
      <c r="I283">
        <v>25.2</v>
      </c>
      <c r="J283">
        <f t="shared" si="31"/>
        <v>2246.2999999999997</v>
      </c>
      <c r="K283">
        <f t="shared" si="32"/>
        <v>224.8</v>
      </c>
      <c r="M283">
        <v>0</v>
      </c>
      <c r="N283">
        <v>4.5</v>
      </c>
      <c r="O283">
        <f t="shared" si="38"/>
        <v>-4.5</v>
      </c>
      <c r="Q283">
        <v>251</v>
      </c>
      <c r="R283">
        <v>1.1499999999999999</v>
      </c>
      <c r="S283">
        <f t="shared" si="39"/>
        <v>5.1749999999999998</v>
      </c>
      <c r="T283">
        <f t="shared" si="40"/>
        <v>-5.1749999999999998</v>
      </c>
      <c r="U283" s="2">
        <f t="shared" si="33"/>
        <v>86.569999999999951</v>
      </c>
      <c r="W283">
        <v>2394.1</v>
      </c>
      <c r="X283">
        <f t="shared" si="34"/>
        <v>169211.69999999998</v>
      </c>
      <c r="Y283">
        <f t="shared" si="37"/>
        <v>28764.999999999996</v>
      </c>
      <c r="Z283">
        <v>14.617200685517016</v>
      </c>
    </row>
    <row r="284" spans="1:26" x14ac:dyDescent="0.35">
      <c r="A284">
        <v>5160</v>
      </c>
      <c r="B284">
        <v>23050</v>
      </c>
      <c r="C284" s="1">
        <v>43229</v>
      </c>
      <c r="F284" s="42"/>
      <c r="G284">
        <v>15.3</v>
      </c>
      <c r="H284">
        <v>12</v>
      </c>
      <c r="I284">
        <v>18.100000000000001</v>
      </c>
      <c r="J284">
        <f t="shared" si="31"/>
        <v>2261.6</v>
      </c>
      <c r="K284">
        <f t="shared" si="32"/>
        <v>240.10000000000002</v>
      </c>
      <c r="M284">
        <v>0</v>
      </c>
      <c r="N284">
        <v>1.6</v>
      </c>
      <c r="O284">
        <f t="shared" si="38"/>
        <v>-1.6</v>
      </c>
      <c r="Q284">
        <v>252</v>
      </c>
      <c r="R284">
        <v>1.1499999999999999</v>
      </c>
      <c r="S284">
        <f t="shared" si="39"/>
        <v>1.8399999999999999</v>
      </c>
      <c r="T284">
        <f t="shared" si="40"/>
        <v>-1.8399999999999999</v>
      </c>
      <c r="U284" s="2">
        <f t="shared" si="33"/>
        <v>84.729999999999947</v>
      </c>
      <c r="W284">
        <v>778.5</v>
      </c>
      <c r="X284">
        <f t="shared" si="34"/>
        <v>169990.19999999998</v>
      </c>
      <c r="Y284">
        <f t="shared" si="37"/>
        <v>29543.499999999996</v>
      </c>
      <c r="Z284">
        <v>14.664352129813057</v>
      </c>
    </row>
    <row r="285" spans="1:26" x14ac:dyDescent="0.35">
      <c r="A285">
        <v>5160</v>
      </c>
      <c r="B285">
        <v>23050</v>
      </c>
      <c r="C285" s="1">
        <v>43230</v>
      </c>
      <c r="F285" s="42"/>
      <c r="G285">
        <v>13</v>
      </c>
      <c r="H285">
        <v>10.7</v>
      </c>
      <c r="I285">
        <v>16.5</v>
      </c>
      <c r="J285">
        <f t="shared" si="31"/>
        <v>2274.6</v>
      </c>
      <c r="K285">
        <f t="shared" si="32"/>
        <v>253.10000000000002</v>
      </c>
      <c r="M285">
        <v>0</v>
      </c>
      <c r="N285">
        <v>3</v>
      </c>
      <c r="O285">
        <f t="shared" si="38"/>
        <v>-3</v>
      </c>
      <c r="Q285">
        <v>253</v>
      </c>
      <c r="R285">
        <v>1.1499999999999999</v>
      </c>
      <c r="S285">
        <f t="shared" si="39"/>
        <v>3.4499999999999997</v>
      </c>
      <c r="T285">
        <f t="shared" si="40"/>
        <v>-3.4499999999999997</v>
      </c>
      <c r="U285" s="2">
        <f t="shared" si="33"/>
        <v>81.279999999999944</v>
      </c>
      <c r="W285">
        <v>1547.1</v>
      </c>
      <c r="X285">
        <f t="shared" si="34"/>
        <v>171537.3</v>
      </c>
      <c r="Y285">
        <f t="shared" si="37"/>
        <v>31090.599999999995</v>
      </c>
      <c r="Z285">
        <v>14.710871726952716</v>
      </c>
    </row>
    <row r="286" spans="1:26" x14ac:dyDescent="0.35">
      <c r="A286">
        <v>5160</v>
      </c>
      <c r="B286">
        <v>23050</v>
      </c>
      <c r="C286" s="1">
        <v>43231</v>
      </c>
      <c r="F286" s="42"/>
      <c r="G286">
        <v>14.1</v>
      </c>
      <c r="H286">
        <v>7.8</v>
      </c>
      <c r="I286">
        <v>20</v>
      </c>
      <c r="J286">
        <f t="shared" si="31"/>
        <v>2288.6999999999998</v>
      </c>
      <c r="K286">
        <f t="shared" si="32"/>
        <v>267.20000000000005</v>
      </c>
      <c r="M286">
        <v>0</v>
      </c>
      <c r="N286">
        <v>4.5999999999999996</v>
      </c>
      <c r="O286">
        <f t="shared" si="38"/>
        <v>-4.5999999999999996</v>
      </c>
      <c r="Q286">
        <v>254</v>
      </c>
      <c r="R286">
        <v>1.1499999999999999</v>
      </c>
      <c r="S286">
        <f t="shared" si="39"/>
        <v>5.2899999999999991</v>
      </c>
      <c r="T286">
        <f t="shared" si="40"/>
        <v>-5.2899999999999991</v>
      </c>
      <c r="U286" s="2">
        <f t="shared" si="33"/>
        <v>75.989999999999952</v>
      </c>
      <c r="W286">
        <v>2762.7</v>
      </c>
      <c r="X286">
        <f t="shared" si="34"/>
        <v>174300</v>
      </c>
      <c r="Y286">
        <f t="shared" si="37"/>
        <v>33853.299999999996</v>
      </c>
      <c r="Z286">
        <v>14.756737948017696</v>
      </c>
    </row>
    <row r="287" spans="1:26" x14ac:dyDescent="0.35">
      <c r="A287">
        <v>5160</v>
      </c>
      <c r="B287">
        <v>23050</v>
      </c>
      <c r="C287" s="1">
        <v>43232</v>
      </c>
      <c r="F287" s="42"/>
      <c r="G287">
        <v>11.5</v>
      </c>
      <c r="H287">
        <v>9.5</v>
      </c>
      <c r="I287">
        <v>15.1</v>
      </c>
      <c r="J287">
        <f t="shared" si="31"/>
        <v>2300.1999999999998</v>
      </c>
      <c r="K287">
        <f t="shared" si="32"/>
        <v>278.70000000000005</v>
      </c>
      <c r="M287">
        <v>11.7</v>
      </c>
      <c r="N287">
        <v>1.7</v>
      </c>
      <c r="O287">
        <f t="shared" si="38"/>
        <v>10</v>
      </c>
      <c r="Q287">
        <v>255</v>
      </c>
      <c r="R287">
        <v>1.1499999999999999</v>
      </c>
      <c r="S287">
        <f t="shared" si="39"/>
        <v>1.9549999999999998</v>
      </c>
      <c r="T287">
        <f t="shared" si="40"/>
        <v>9.7449999999999992</v>
      </c>
      <c r="U287" s="2">
        <f t="shared" si="33"/>
        <v>85.734999999999957</v>
      </c>
      <c r="W287">
        <v>1012.1</v>
      </c>
      <c r="X287">
        <f t="shared" si="34"/>
        <v>175312.1</v>
      </c>
      <c r="Y287">
        <f t="shared" si="37"/>
        <v>34865.399999999994</v>
      </c>
      <c r="Z287">
        <v>14.801928963183173</v>
      </c>
    </row>
    <row r="288" spans="1:26" x14ac:dyDescent="0.35">
      <c r="A288">
        <v>5160</v>
      </c>
      <c r="B288">
        <v>23050</v>
      </c>
      <c r="C288" s="1">
        <v>43233</v>
      </c>
      <c r="F288" s="42"/>
      <c r="G288">
        <v>11.7</v>
      </c>
      <c r="H288">
        <v>7.9</v>
      </c>
      <c r="I288">
        <v>14.8</v>
      </c>
      <c r="J288">
        <f t="shared" si="31"/>
        <v>2311.8999999999996</v>
      </c>
      <c r="K288">
        <f t="shared" si="32"/>
        <v>290.40000000000003</v>
      </c>
      <c r="M288">
        <v>0</v>
      </c>
      <c r="N288">
        <v>2.5</v>
      </c>
      <c r="O288">
        <f t="shared" si="38"/>
        <v>-2.5</v>
      </c>
      <c r="Q288">
        <v>256</v>
      </c>
      <c r="R288">
        <v>1.1499999999999999</v>
      </c>
      <c r="S288">
        <f t="shared" si="39"/>
        <v>2.875</v>
      </c>
      <c r="T288">
        <f t="shared" si="40"/>
        <v>-2.875</v>
      </c>
      <c r="U288" s="2">
        <f t="shared" si="33"/>
        <v>82.859999999999957</v>
      </c>
      <c r="W288">
        <v>1707.6</v>
      </c>
      <c r="X288">
        <f t="shared" si="34"/>
        <v>177019.7</v>
      </c>
      <c r="Y288">
        <f t="shared" si="37"/>
        <v>36572.999999999993</v>
      </c>
      <c r="Z288">
        <v>14.846422661896899</v>
      </c>
    </row>
    <row r="289" spans="1:27" s="6" customFormat="1" ht="15" thickBot="1" x14ac:dyDescent="0.4">
      <c r="A289" s="6">
        <v>5160</v>
      </c>
      <c r="B289" s="6">
        <v>23050</v>
      </c>
      <c r="C289" s="7">
        <v>43234</v>
      </c>
      <c r="F289" s="43"/>
      <c r="G289" s="6">
        <v>11.6</v>
      </c>
      <c r="H289" s="6">
        <v>9.6999999999999993</v>
      </c>
      <c r="I289" s="6">
        <v>13.5</v>
      </c>
      <c r="J289" s="6">
        <f t="shared" si="31"/>
        <v>2323.4999999999995</v>
      </c>
      <c r="K289" s="6">
        <f t="shared" si="32"/>
        <v>302.00000000000006</v>
      </c>
      <c r="M289" s="6">
        <v>6.7</v>
      </c>
      <c r="N289" s="6">
        <v>1.4</v>
      </c>
      <c r="O289" s="6">
        <f t="shared" si="38"/>
        <v>5.3000000000000007</v>
      </c>
      <c r="Q289" s="6">
        <v>257</v>
      </c>
      <c r="R289" s="6">
        <v>1.1499999999999999</v>
      </c>
      <c r="S289" s="6">
        <f t="shared" si="39"/>
        <v>1.6099999999999999</v>
      </c>
      <c r="T289" s="6">
        <f t="shared" si="40"/>
        <v>5.09</v>
      </c>
      <c r="U289" s="9">
        <f t="shared" si="33"/>
        <v>87.94999999999996</v>
      </c>
      <c r="W289" s="6">
        <v>636.4</v>
      </c>
      <c r="X289" s="6">
        <f t="shared" si="34"/>
        <v>177656.1</v>
      </c>
      <c r="Y289" s="6">
        <f t="shared" si="37"/>
        <v>37209.399999999994</v>
      </c>
      <c r="Z289" s="6">
        <v>14.890196675031927</v>
      </c>
    </row>
    <row r="290" spans="1:27" x14ac:dyDescent="0.35">
      <c r="A290">
        <v>5160</v>
      </c>
      <c r="B290">
        <v>23050</v>
      </c>
      <c r="C290" s="1">
        <v>43235</v>
      </c>
      <c r="F290" s="38" t="s">
        <v>57</v>
      </c>
      <c r="G290">
        <v>15.5</v>
      </c>
      <c r="H290">
        <v>10</v>
      </c>
      <c r="I290">
        <v>20.5</v>
      </c>
      <c r="J290">
        <f t="shared" si="31"/>
        <v>2338.9999999999995</v>
      </c>
      <c r="K290">
        <f>G290</f>
        <v>15.5</v>
      </c>
      <c r="L290" s="21" t="s">
        <v>36</v>
      </c>
      <c r="M290">
        <v>0</v>
      </c>
      <c r="N290">
        <v>3</v>
      </c>
      <c r="O290">
        <f t="shared" si="38"/>
        <v>-3</v>
      </c>
      <c r="Q290">
        <v>258</v>
      </c>
      <c r="R290">
        <f>1.15+((Q290-257)/54)*(0.35-1.15)</f>
        <v>1.1351851851851851</v>
      </c>
      <c r="S290">
        <f t="shared" si="39"/>
        <v>3.405555555555555</v>
      </c>
      <c r="T290">
        <f t="shared" si="40"/>
        <v>-3.405555555555555</v>
      </c>
      <c r="U290" s="2">
        <f t="shared" si="33"/>
        <v>84.544444444444409</v>
      </c>
      <c r="V290" s="22" t="s">
        <v>43</v>
      </c>
      <c r="W290">
        <v>1902.4</v>
      </c>
      <c r="X290">
        <f t="shared" si="34"/>
        <v>179558.5</v>
      </c>
      <c r="Y290">
        <f>W290</f>
        <v>1902.4</v>
      </c>
      <c r="Z290">
        <v>14.933228399043617</v>
      </c>
      <c r="AA290" s="22" t="s">
        <v>48</v>
      </c>
    </row>
    <row r="291" spans="1:27" x14ac:dyDescent="0.35">
      <c r="A291">
        <v>5160</v>
      </c>
      <c r="B291">
        <v>23050</v>
      </c>
      <c r="C291" s="1">
        <v>43236</v>
      </c>
      <c r="F291" s="39"/>
      <c r="G291">
        <v>15.2</v>
      </c>
      <c r="H291">
        <v>10.199999999999999</v>
      </c>
      <c r="I291">
        <v>21.2</v>
      </c>
      <c r="J291">
        <f t="shared" ref="J291:J354" si="41">J290+G291</f>
        <v>2354.1999999999994</v>
      </c>
      <c r="K291">
        <f t="shared" ref="K291:K354" si="42">K290+G291</f>
        <v>30.7</v>
      </c>
      <c r="L291" s="11">
        <v>304.60000000000002</v>
      </c>
      <c r="M291">
        <v>0.7</v>
      </c>
      <c r="N291">
        <v>4</v>
      </c>
      <c r="O291">
        <f t="shared" si="38"/>
        <v>-3.3</v>
      </c>
      <c r="Q291">
        <v>259</v>
      </c>
      <c r="R291">
        <f t="shared" ref="R291:R343" si="43">1.15+((Q291-257)/54)*(0.35-1.15)</f>
        <v>1.1203703703703702</v>
      </c>
      <c r="S291">
        <f t="shared" si="39"/>
        <v>4.481481481481481</v>
      </c>
      <c r="T291">
        <f t="shared" si="40"/>
        <v>-3.7814814814814808</v>
      </c>
      <c r="U291" s="2">
        <f t="shared" ref="U291:U354" si="44">MIN(U290+T291,150.8)</f>
        <v>80.762962962962931</v>
      </c>
      <c r="V291">
        <v>0</v>
      </c>
      <c r="W291">
        <v>2340.8000000000002</v>
      </c>
      <c r="X291">
        <f t="shared" ref="X291:X354" si="45">X290+W291</f>
        <v>181899.3</v>
      </c>
      <c r="Y291">
        <f t="shared" si="37"/>
        <v>4243.2000000000007</v>
      </c>
      <c r="Z291">
        <v>14.975495022153746</v>
      </c>
      <c r="AA291">
        <v>33350.6</v>
      </c>
    </row>
    <row r="292" spans="1:27" x14ac:dyDescent="0.35">
      <c r="A292">
        <v>5160</v>
      </c>
      <c r="B292">
        <v>23050</v>
      </c>
      <c r="C292" s="1">
        <v>43237</v>
      </c>
      <c r="F292" s="39"/>
      <c r="G292">
        <v>13.5</v>
      </c>
      <c r="H292">
        <v>10.8</v>
      </c>
      <c r="I292">
        <v>18.5</v>
      </c>
      <c r="J292">
        <f t="shared" si="41"/>
        <v>2367.6999999999994</v>
      </c>
      <c r="K292">
        <f t="shared" si="42"/>
        <v>44.2</v>
      </c>
      <c r="L292" s="21" t="s">
        <v>37</v>
      </c>
      <c r="M292">
        <v>0</v>
      </c>
      <c r="N292">
        <v>2.7</v>
      </c>
      <c r="O292">
        <f t="shared" si="38"/>
        <v>-2.7</v>
      </c>
      <c r="Q292">
        <v>260</v>
      </c>
      <c r="R292">
        <f t="shared" si="43"/>
        <v>1.1055555555555554</v>
      </c>
      <c r="S292">
        <f t="shared" si="39"/>
        <v>2.9849999999999999</v>
      </c>
      <c r="T292">
        <f t="shared" si="40"/>
        <v>-2.9849999999999999</v>
      </c>
      <c r="U292" s="2">
        <f t="shared" si="44"/>
        <v>77.777962962962931</v>
      </c>
      <c r="V292" s="22" t="s">
        <v>44</v>
      </c>
      <c r="W292">
        <v>1383.8</v>
      </c>
      <c r="X292">
        <f t="shared" si="45"/>
        <v>183283.09999999998</v>
      </c>
      <c r="Y292">
        <f t="shared" si="37"/>
        <v>5627.0000000000009</v>
      </c>
      <c r="Z292">
        <v>15.016973552575397</v>
      </c>
      <c r="AA292" s="22" t="s">
        <v>49</v>
      </c>
    </row>
    <row r="293" spans="1:27" x14ac:dyDescent="0.35">
      <c r="A293">
        <v>5160</v>
      </c>
      <c r="B293">
        <v>23050</v>
      </c>
      <c r="C293" s="1">
        <v>43238</v>
      </c>
      <c r="F293" s="39"/>
      <c r="G293">
        <v>13.2</v>
      </c>
      <c r="H293">
        <v>8.3000000000000007</v>
      </c>
      <c r="I293">
        <v>17.7</v>
      </c>
      <c r="J293">
        <f t="shared" si="41"/>
        <v>2380.8999999999992</v>
      </c>
      <c r="K293">
        <f t="shared" si="42"/>
        <v>57.400000000000006</v>
      </c>
      <c r="L293" s="11">
        <f>AVERAGE(G290:G307)</f>
        <v>16.922222222222224</v>
      </c>
      <c r="M293">
        <v>0</v>
      </c>
      <c r="N293">
        <v>4.4000000000000004</v>
      </c>
      <c r="O293">
        <f t="shared" si="38"/>
        <v>-4.4000000000000004</v>
      </c>
      <c r="Q293">
        <v>261</v>
      </c>
      <c r="R293">
        <f t="shared" si="43"/>
        <v>1.0907407407407406</v>
      </c>
      <c r="S293">
        <f t="shared" si="39"/>
        <v>4.7992592592592587</v>
      </c>
      <c r="T293">
        <f t="shared" si="40"/>
        <v>-4.7992592592592587</v>
      </c>
      <c r="U293" s="2">
        <f t="shared" si="44"/>
        <v>72.978703703703673</v>
      </c>
      <c r="V293">
        <v>0</v>
      </c>
      <c r="W293">
        <v>2979.2</v>
      </c>
      <c r="X293">
        <f t="shared" si="45"/>
        <v>186262.3</v>
      </c>
      <c r="Y293">
        <f t="shared" si="37"/>
        <v>8606.2000000000007</v>
      </c>
      <c r="Z293">
        <v>15.05764084878256</v>
      </c>
      <c r="AA293">
        <f>(AA291/100)/L291</f>
        <v>1.0948982271831909</v>
      </c>
    </row>
    <row r="294" spans="1:27" x14ac:dyDescent="0.35">
      <c r="A294">
        <v>5160</v>
      </c>
      <c r="B294">
        <v>23050</v>
      </c>
      <c r="C294" s="1">
        <v>43239</v>
      </c>
      <c r="F294" s="39"/>
      <c r="G294">
        <v>13.8</v>
      </c>
      <c r="H294">
        <v>8.6999999999999993</v>
      </c>
      <c r="I294">
        <v>18.600000000000001</v>
      </c>
      <c r="J294">
        <f t="shared" si="41"/>
        <v>2394.6999999999994</v>
      </c>
      <c r="K294">
        <f t="shared" si="42"/>
        <v>71.2</v>
      </c>
      <c r="L294" s="21" t="s">
        <v>38</v>
      </c>
      <c r="M294">
        <v>0</v>
      </c>
      <c r="N294">
        <v>4.5</v>
      </c>
      <c r="O294">
        <f t="shared" si="38"/>
        <v>-4.5</v>
      </c>
      <c r="Q294">
        <v>262</v>
      </c>
      <c r="R294">
        <f t="shared" si="43"/>
        <v>1.075925925925926</v>
      </c>
      <c r="S294">
        <f t="shared" si="39"/>
        <v>4.8416666666666668</v>
      </c>
      <c r="T294">
        <f t="shared" si="40"/>
        <v>-4.8416666666666668</v>
      </c>
      <c r="U294" s="2">
        <f t="shared" si="44"/>
        <v>68.137037037037004</v>
      </c>
      <c r="V294" s="22" t="s">
        <v>45</v>
      </c>
      <c r="W294">
        <v>2887</v>
      </c>
      <c r="X294">
        <f t="shared" si="45"/>
        <v>189149.3</v>
      </c>
      <c r="Y294">
        <f t="shared" si="37"/>
        <v>11493.2</v>
      </c>
      <c r="Z294">
        <v>15.097473651817451</v>
      </c>
      <c r="AA294" s="22" t="s">
        <v>50</v>
      </c>
    </row>
    <row r="295" spans="1:27" x14ac:dyDescent="0.35">
      <c r="A295">
        <v>5160</v>
      </c>
      <c r="B295">
        <v>23050</v>
      </c>
      <c r="C295" s="1">
        <v>43240</v>
      </c>
      <c r="F295" s="39"/>
      <c r="G295">
        <v>15.6</v>
      </c>
      <c r="H295">
        <v>8.9</v>
      </c>
      <c r="I295">
        <v>21.3</v>
      </c>
      <c r="J295">
        <f t="shared" si="41"/>
        <v>2410.2999999999993</v>
      </c>
      <c r="K295">
        <f t="shared" si="42"/>
        <v>86.8</v>
      </c>
      <c r="L295" s="11">
        <f>MIN(H290:H307)</f>
        <v>8.3000000000000007</v>
      </c>
      <c r="M295">
        <v>0</v>
      </c>
      <c r="N295">
        <v>4.4000000000000004</v>
      </c>
      <c r="O295">
        <f t="shared" si="38"/>
        <v>-4.4000000000000004</v>
      </c>
      <c r="Q295">
        <v>263</v>
      </c>
      <c r="R295">
        <f t="shared" si="43"/>
        <v>1.0611111111111111</v>
      </c>
      <c r="S295">
        <f t="shared" si="39"/>
        <v>4.6688888888888895</v>
      </c>
      <c r="T295">
        <f t="shared" si="40"/>
        <v>-4.6688888888888895</v>
      </c>
      <c r="U295" s="2">
        <f t="shared" si="44"/>
        <v>63.468148148148117</v>
      </c>
      <c r="V295" s="2">
        <f>MIN(U290:U307)</f>
        <v>51.121111111111077</v>
      </c>
      <c r="W295">
        <v>2649.4</v>
      </c>
      <c r="X295">
        <f t="shared" si="45"/>
        <v>191798.69999999998</v>
      </c>
      <c r="Y295">
        <f t="shared" si="37"/>
        <v>14142.6</v>
      </c>
      <c r="Z295">
        <v>15.136448619616839</v>
      </c>
      <c r="AA295">
        <v>1</v>
      </c>
    </row>
    <row r="296" spans="1:27" x14ac:dyDescent="0.35">
      <c r="A296">
        <v>5160</v>
      </c>
      <c r="B296">
        <v>23050</v>
      </c>
      <c r="C296" s="1">
        <v>43241</v>
      </c>
      <c r="F296" s="39"/>
      <c r="G296">
        <v>17.2</v>
      </c>
      <c r="H296">
        <v>12.1</v>
      </c>
      <c r="I296">
        <v>22.6</v>
      </c>
      <c r="J296">
        <f t="shared" si="41"/>
        <v>2427.4999999999991</v>
      </c>
      <c r="K296">
        <f t="shared" si="42"/>
        <v>104</v>
      </c>
      <c r="L296" s="21" t="s">
        <v>39</v>
      </c>
      <c r="M296">
        <v>0</v>
      </c>
      <c r="N296">
        <v>4.2</v>
      </c>
      <c r="O296">
        <f t="shared" si="38"/>
        <v>-4.2</v>
      </c>
      <c r="Q296">
        <v>264</v>
      </c>
      <c r="R296">
        <f t="shared" si="43"/>
        <v>1.0462962962962963</v>
      </c>
      <c r="S296">
        <f t="shared" si="39"/>
        <v>4.3944444444444448</v>
      </c>
      <c r="T296">
        <f t="shared" si="40"/>
        <v>-4.3944444444444448</v>
      </c>
      <c r="U296" s="2">
        <f t="shared" si="44"/>
        <v>59.073703703703671</v>
      </c>
      <c r="V296" s="22" t="s">
        <v>46</v>
      </c>
      <c r="W296">
        <v>2525.4</v>
      </c>
      <c r="X296">
        <f t="shared" si="45"/>
        <v>194324.09999999998</v>
      </c>
      <c r="Y296">
        <f t="shared" si="37"/>
        <v>16668</v>
      </c>
      <c r="Z296">
        <v>15.174542363326063</v>
      </c>
    </row>
    <row r="297" spans="1:27" x14ac:dyDescent="0.35">
      <c r="A297">
        <v>5160</v>
      </c>
      <c r="B297">
        <v>23050</v>
      </c>
      <c r="C297" s="1">
        <v>43242</v>
      </c>
      <c r="F297" s="39"/>
      <c r="G297">
        <v>16.399999999999999</v>
      </c>
      <c r="H297">
        <v>11.6</v>
      </c>
      <c r="I297">
        <v>22</v>
      </c>
      <c r="J297">
        <f t="shared" si="41"/>
        <v>2443.8999999999992</v>
      </c>
      <c r="K297">
        <f t="shared" si="42"/>
        <v>120.4</v>
      </c>
      <c r="L297" s="11">
        <f>MAX(I290:I307)</f>
        <v>26.2</v>
      </c>
      <c r="M297">
        <v>4.3</v>
      </c>
      <c r="N297">
        <v>3.4</v>
      </c>
      <c r="O297">
        <f t="shared" si="38"/>
        <v>0.89999999999999991</v>
      </c>
      <c r="Q297">
        <v>265</v>
      </c>
      <c r="R297">
        <f t="shared" si="43"/>
        <v>1.0314814814814814</v>
      </c>
      <c r="S297">
        <f t="shared" si="39"/>
        <v>3.507037037037037</v>
      </c>
      <c r="T297">
        <f t="shared" si="40"/>
        <v>0.79296296296296287</v>
      </c>
      <c r="U297" s="2">
        <f t="shared" si="44"/>
        <v>59.866666666666632</v>
      </c>
      <c r="V297" s="2">
        <f>MAX(U290:U307)</f>
        <v>84.544444444444409</v>
      </c>
      <c r="W297">
        <v>2070.9</v>
      </c>
      <c r="X297">
        <f t="shared" si="45"/>
        <v>196394.99999999997</v>
      </c>
      <c r="Y297">
        <f t="shared" si="37"/>
        <v>18738.900000000001</v>
      </c>
      <c r="Z297">
        <v>15.211731485555902</v>
      </c>
    </row>
    <row r="298" spans="1:27" x14ac:dyDescent="0.35">
      <c r="A298">
        <v>5160</v>
      </c>
      <c r="B298">
        <v>23050</v>
      </c>
      <c r="C298" s="1">
        <v>43243</v>
      </c>
      <c r="F298" s="39"/>
      <c r="G298">
        <v>16.2</v>
      </c>
      <c r="H298">
        <v>11.7</v>
      </c>
      <c r="I298">
        <v>20.6</v>
      </c>
      <c r="J298">
        <f t="shared" si="41"/>
        <v>2460.099999999999</v>
      </c>
      <c r="K298">
        <f t="shared" si="42"/>
        <v>136.6</v>
      </c>
      <c r="L298" s="21" t="s">
        <v>40</v>
      </c>
      <c r="M298">
        <v>0.1</v>
      </c>
      <c r="N298">
        <v>2.7</v>
      </c>
      <c r="O298">
        <f t="shared" si="38"/>
        <v>-2.6</v>
      </c>
      <c r="Q298">
        <v>266</v>
      </c>
      <c r="R298">
        <f t="shared" si="43"/>
        <v>1.0166666666666666</v>
      </c>
      <c r="S298">
        <f t="shared" si="39"/>
        <v>2.7450000000000001</v>
      </c>
      <c r="T298">
        <f t="shared" si="40"/>
        <v>-2.645</v>
      </c>
      <c r="U298" s="2">
        <f t="shared" si="44"/>
        <v>57.221666666666628</v>
      </c>
      <c r="V298" s="22" t="s">
        <v>47</v>
      </c>
      <c r="W298">
        <v>1682.7</v>
      </c>
      <c r="X298">
        <f t="shared" si="45"/>
        <v>198077.69999999998</v>
      </c>
      <c r="Y298">
        <f t="shared" si="37"/>
        <v>20421.600000000002</v>
      </c>
      <c r="Z298">
        <v>15.247992620523203</v>
      </c>
    </row>
    <row r="299" spans="1:27" x14ac:dyDescent="0.35">
      <c r="A299">
        <v>5160</v>
      </c>
      <c r="B299">
        <v>23050</v>
      </c>
      <c r="C299" s="1">
        <v>43244</v>
      </c>
      <c r="F299" s="39"/>
      <c r="G299">
        <v>18.7</v>
      </c>
      <c r="H299">
        <v>12.9</v>
      </c>
      <c r="I299">
        <v>23.6</v>
      </c>
      <c r="J299">
        <f t="shared" si="41"/>
        <v>2478.7999999999988</v>
      </c>
      <c r="K299">
        <f t="shared" si="42"/>
        <v>155.29999999999998</v>
      </c>
      <c r="L299" s="11">
        <v>3</v>
      </c>
      <c r="M299">
        <v>0</v>
      </c>
      <c r="N299">
        <v>2.5</v>
      </c>
      <c r="O299">
        <f t="shared" si="38"/>
        <v>-2.5</v>
      </c>
      <c r="Q299">
        <v>267</v>
      </c>
      <c r="R299">
        <f t="shared" si="43"/>
        <v>1.0018518518518518</v>
      </c>
      <c r="S299">
        <f t="shared" si="39"/>
        <v>2.5046296296296293</v>
      </c>
      <c r="T299">
        <f t="shared" si="40"/>
        <v>-2.5046296296296293</v>
      </c>
      <c r="U299" s="2">
        <f t="shared" si="44"/>
        <v>54.717037037037002</v>
      </c>
      <c r="V299" s="2">
        <f>AVERAGE(U290:U307)</f>
        <v>62.143364197530822</v>
      </c>
      <c r="W299">
        <v>1338</v>
      </c>
      <c r="X299">
        <f t="shared" si="45"/>
        <v>199415.69999999998</v>
      </c>
      <c r="Y299">
        <f t="shared" si="37"/>
        <v>21759.600000000002</v>
      </c>
      <c r="Z299">
        <v>15.283302476001227</v>
      </c>
    </row>
    <row r="300" spans="1:27" x14ac:dyDescent="0.35">
      <c r="A300">
        <v>5160</v>
      </c>
      <c r="B300">
        <v>23050</v>
      </c>
      <c r="C300" s="1">
        <v>43245</v>
      </c>
      <c r="F300" s="39"/>
      <c r="G300">
        <v>18.8</v>
      </c>
      <c r="H300">
        <v>14.7</v>
      </c>
      <c r="I300">
        <v>25.2</v>
      </c>
      <c r="J300">
        <f t="shared" si="41"/>
        <v>2497.599999999999</v>
      </c>
      <c r="K300">
        <f t="shared" si="42"/>
        <v>174.1</v>
      </c>
      <c r="L300" s="21" t="s">
        <v>41</v>
      </c>
      <c r="M300">
        <v>4.0999999999999996</v>
      </c>
      <c r="N300">
        <v>2.7</v>
      </c>
      <c r="O300">
        <f t="shared" si="38"/>
        <v>1.3999999999999995</v>
      </c>
      <c r="Q300">
        <v>268</v>
      </c>
      <c r="R300">
        <f t="shared" si="43"/>
        <v>0.98703703703703694</v>
      </c>
      <c r="S300">
        <f t="shared" si="39"/>
        <v>2.665</v>
      </c>
      <c r="T300">
        <f t="shared" si="40"/>
        <v>1.4349999999999996</v>
      </c>
      <c r="U300" s="2">
        <f t="shared" si="44"/>
        <v>56.152037037037005</v>
      </c>
      <c r="W300">
        <v>1297.0999999999999</v>
      </c>
      <c r="X300">
        <f t="shared" si="45"/>
        <v>200712.8</v>
      </c>
      <c r="Y300">
        <f t="shared" si="37"/>
        <v>23056.7</v>
      </c>
      <c r="Z300">
        <v>15.317637876990018</v>
      </c>
    </row>
    <row r="301" spans="1:27" x14ac:dyDescent="0.35">
      <c r="A301">
        <v>5160</v>
      </c>
      <c r="B301">
        <v>23050</v>
      </c>
      <c r="C301" s="1">
        <v>43246</v>
      </c>
      <c r="F301" s="39"/>
      <c r="G301">
        <v>19.100000000000001</v>
      </c>
      <c r="H301">
        <v>15.8</v>
      </c>
      <c r="I301">
        <v>26.2</v>
      </c>
      <c r="J301">
        <f t="shared" si="41"/>
        <v>2516.6999999999989</v>
      </c>
      <c r="K301">
        <f t="shared" si="42"/>
        <v>193.2</v>
      </c>
      <c r="L301" s="11">
        <v>0</v>
      </c>
      <c r="M301">
        <v>3.8</v>
      </c>
      <c r="N301">
        <v>3.9</v>
      </c>
      <c r="O301">
        <f t="shared" si="38"/>
        <v>-0.10000000000000009</v>
      </c>
      <c r="Q301">
        <v>269</v>
      </c>
      <c r="R301">
        <f t="shared" si="43"/>
        <v>0.9722222222222221</v>
      </c>
      <c r="S301">
        <f t="shared" si="39"/>
        <v>3.7916666666666661</v>
      </c>
      <c r="T301">
        <f t="shared" si="40"/>
        <v>8.3333333333337478E-3</v>
      </c>
      <c r="U301" s="2">
        <f t="shared" si="44"/>
        <v>56.160370370370337</v>
      </c>
      <c r="V301">
        <f>(V299*100)/150.8</f>
        <v>41.209127451943509</v>
      </c>
      <c r="W301">
        <v>1405.9</v>
      </c>
      <c r="X301">
        <f t="shared" si="45"/>
        <v>202118.69999999998</v>
      </c>
      <c r="Y301">
        <f t="shared" si="37"/>
        <v>24462.600000000002</v>
      </c>
      <c r="Z301">
        <v>15.350975811001076</v>
      </c>
    </row>
    <row r="302" spans="1:27" x14ac:dyDescent="0.35">
      <c r="A302">
        <v>5160</v>
      </c>
      <c r="B302">
        <v>23050</v>
      </c>
      <c r="C302" s="1">
        <v>43247</v>
      </c>
      <c r="F302" s="39"/>
      <c r="G302">
        <v>20.399999999999999</v>
      </c>
      <c r="H302">
        <v>15.7</v>
      </c>
      <c r="I302">
        <v>25</v>
      </c>
      <c r="J302">
        <f t="shared" si="41"/>
        <v>2537.099999999999</v>
      </c>
      <c r="K302">
        <f t="shared" si="42"/>
        <v>213.6</v>
      </c>
      <c r="L302" s="21" t="s">
        <v>42</v>
      </c>
      <c r="M302">
        <v>0.1</v>
      </c>
      <c r="N302">
        <v>4.0999999999999996</v>
      </c>
      <c r="O302">
        <f t="shared" si="38"/>
        <v>-3.9999999999999996</v>
      </c>
      <c r="Q302">
        <v>270</v>
      </c>
      <c r="R302">
        <f t="shared" si="43"/>
        <v>0.95740740740740737</v>
      </c>
      <c r="S302">
        <f t="shared" si="39"/>
        <v>3.92537037037037</v>
      </c>
      <c r="T302">
        <f t="shared" si="40"/>
        <v>-3.8253703703703699</v>
      </c>
      <c r="U302" s="2">
        <f t="shared" si="44"/>
        <v>52.334999999999965</v>
      </c>
      <c r="W302">
        <v>2128.8000000000002</v>
      </c>
      <c r="X302">
        <f t="shared" si="45"/>
        <v>204247.49999999997</v>
      </c>
      <c r="Y302">
        <f t="shared" si="37"/>
        <v>26591.4</v>
      </c>
      <c r="Z302">
        <v>15.383293474834074</v>
      </c>
    </row>
    <row r="303" spans="1:27" x14ac:dyDescent="0.35">
      <c r="A303">
        <v>5160</v>
      </c>
      <c r="B303">
        <v>23050</v>
      </c>
      <c r="C303" s="1">
        <v>43248</v>
      </c>
      <c r="F303" s="39"/>
      <c r="G303">
        <v>19</v>
      </c>
      <c r="H303">
        <v>16.2</v>
      </c>
      <c r="I303">
        <v>21.6</v>
      </c>
      <c r="J303">
        <f t="shared" si="41"/>
        <v>2556.099999999999</v>
      </c>
      <c r="K303">
        <f t="shared" si="42"/>
        <v>232.6</v>
      </c>
      <c r="L303" s="11">
        <v>0</v>
      </c>
      <c r="M303">
        <v>0.2</v>
      </c>
      <c r="N303">
        <v>1.5</v>
      </c>
      <c r="O303">
        <f t="shared" si="38"/>
        <v>-1.3</v>
      </c>
      <c r="Q303">
        <v>271</v>
      </c>
      <c r="R303">
        <f t="shared" si="43"/>
        <v>0.94259259259259254</v>
      </c>
      <c r="S303">
        <f t="shared" si="39"/>
        <v>1.4138888888888888</v>
      </c>
      <c r="T303">
        <f t="shared" si="40"/>
        <v>-1.2138888888888888</v>
      </c>
      <c r="U303" s="2">
        <f t="shared" si="44"/>
        <v>51.121111111111077</v>
      </c>
      <c r="W303">
        <v>1174.7</v>
      </c>
      <c r="X303">
        <f t="shared" si="45"/>
        <v>205422.19999999998</v>
      </c>
      <c r="Y303">
        <f t="shared" si="37"/>
        <v>27766.100000000002</v>
      </c>
      <c r="Z303">
        <v>15.41456832270678</v>
      </c>
    </row>
    <row r="304" spans="1:27" x14ac:dyDescent="0.35">
      <c r="A304">
        <v>5160</v>
      </c>
      <c r="B304">
        <v>23050</v>
      </c>
      <c r="C304" s="1">
        <v>43249</v>
      </c>
      <c r="F304" s="39"/>
      <c r="G304">
        <v>17.899999999999999</v>
      </c>
      <c r="H304">
        <v>15.6</v>
      </c>
      <c r="I304">
        <v>22.2</v>
      </c>
      <c r="J304">
        <f t="shared" si="41"/>
        <v>2573.9999999999991</v>
      </c>
      <c r="K304">
        <f t="shared" si="42"/>
        <v>250.5</v>
      </c>
      <c r="M304">
        <v>10.4</v>
      </c>
      <c r="N304">
        <v>3.5</v>
      </c>
      <c r="O304">
        <f t="shared" si="38"/>
        <v>6.9</v>
      </c>
      <c r="Q304">
        <v>272</v>
      </c>
      <c r="R304">
        <f t="shared" si="43"/>
        <v>0.9277777777777777</v>
      </c>
      <c r="S304">
        <f t="shared" si="39"/>
        <v>3.2472222222222218</v>
      </c>
      <c r="T304">
        <f t="shared" si="40"/>
        <v>7.1527777777777786</v>
      </c>
      <c r="U304" s="2">
        <f t="shared" si="44"/>
        <v>58.273888888888855</v>
      </c>
      <c r="W304">
        <v>1970.6</v>
      </c>
      <c r="X304">
        <f t="shared" si="45"/>
        <v>207392.8</v>
      </c>
      <c r="Y304">
        <f t="shared" si="37"/>
        <v>29736.7</v>
      </c>
      <c r="Z304">
        <v>15.444778115582508</v>
      </c>
    </row>
    <row r="305" spans="1:27" x14ac:dyDescent="0.35">
      <c r="A305">
        <v>5160</v>
      </c>
      <c r="B305">
        <v>23050</v>
      </c>
      <c r="C305" s="1">
        <v>43250</v>
      </c>
      <c r="F305" s="39"/>
      <c r="G305">
        <v>18.5</v>
      </c>
      <c r="H305">
        <v>15.2</v>
      </c>
      <c r="I305">
        <v>23.2</v>
      </c>
      <c r="J305">
        <f t="shared" si="41"/>
        <v>2592.4999999999991</v>
      </c>
      <c r="K305">
        <f t="shared" si="42"/>
        <v>269</v>
      </c>
      <c r="M305">
        <v>1.5</v>
      </c>
      <c r="N305">
        <v>2.4</v>
      </c>
      <c r="O305">
        <f t="shared" si="38"/>
        <v>-0.89999999999999991</v>
      </c>
      <c r="Q305">
        <v>273</v>
      </c>
      <c r="R305">
        <f t="shared" si="43"/>
        <v>0.91296296296296298</v>
      </c>
      <c r="S305">
        <f t="shared" si="39"/>
        <v>2.1911111111111112</v>
      </c>
      <c r="T305">
        <f t="shared" si="40"/>
        <v>-0.69111111111111123</v>
      </c>
      <c r="U305" s="2">
        <f t="shared" si="44"/>
        <v>57.582777777777743</v>
      </c>
      <c r="W305">
        <v>1102.8</v>
      </c>
      <c r="X305">
        <f t="shared" si="45"/>
        <v>208495.59999999998</v>
      </c>
      <c r="Y305">
        <f t="shared" si="37"/>
        <v>30839.5</v>
      </c>
      <c r="Z305">
        <v>15.473900971522902</v>
      </c>
    </row>
    <row r="306" spans="1:27" x14ac:dyDescent="0.35">
      <c r="A306">
        <v>5160</v>
      </c>
      <c r="B306">
        <v>23050</v>
      </c>
      <c r="C306" s="1">
        <v>43251</v>
      </c>
      <c r="F306" s="39"/>
      <c r="G306">
        <v>18.5</v>
      </c>
      <c r="H306">
        <v>16.3</v>
      </c>
      <c r="I306">
        <v>21.5</v>
      </c>
      <c r="J306">
        <f t="shared" si="41"/>
        <v>2610.9999999999991</v>
      </c>
      <c r="K306">
        <f t="shared" si="42"/>
        <v>287.5</v>
      </c>
      <c r="M306">
        <v>0.2</v>
      </c>
      <c r="N306">
        <v>3.1</v>
      </c>
      <c r="O306">
        <f t="shared" si="38"/>
        <v>-2.9</v>
      </c>
      <c r="Q306">
        <v>274</v>
      </c>
      <c r="R306">
        <f t="shared" si="43"/>
        <v>0.89814814814814814</v>
      </c>
      <c r="S306">
        <f t="shared" si="39"/>
        <v>2.7842592592592594</v>
      </c>
      <c r="T306">
        <f t="shared" si="40"/>
        <v>-2.5842592592592593</v>
      </c>
      <c r="U306" s="2">
        <f t="shared" si="44"/>
        <v>54.99851851851848</v>
      </c>
      <c r="W306">
        <v>1684.2</v>
      </c>
      <c r="X306">
        <f t="shared" si="45"/>
        <v>210179.8</v>
      </c>
      <c r="Y306">
        <f t="shared" si="37"/>
        <v>32523.7</v>
      </c>
      <c r="Z306">
        <v>15.501915416877596</v>
      </c>
    </row>
    <row r="307" spans="1:27" s="6" customFormat="1" ht="15" thickBot="1" x14ac:dyDescent="0.4">
      <c r="A307" s="6">
        <v>5160</v>
      </c>
      <c r="B307" s="6">
        <v>23050</v>
      </c>
      <c r="C307" s="7">
        <v>43252</v>
      </c>
      <c r="F307" s="40"/>
      <c r="G307" s="6">
        <v>17.100000000000001</v>
      </c>
      <c r="H307" s="6">
        <v>15.6</v>
      </c>
      <c r="I307" s="6">
        <v>20.2</v>
      </c>
      <c r="J307" s="6">
        <f t="shared" si="41"/>
        <v>2628.099999999999</v>
      </c>
      <c r="K307" s="6">
        <f t="shared" si="42"/>
        <v>304.60000000000002</v>
      </c>
      <c r="M307" s="6">
        <v>0</v>
      </c>
      <c r="N307" s="6">
        <v>1.8</v>
      </c>
      <c r="O307" s="6">
        <f t="shared" si="38"/>
        <v>-1.8</v>
      </c>
      <c r="Q307" s="6">
        <v>275</v>
      </c>
      <c r="R307" s="6">
        <f t="shared" si="43"/>
        <v>0.8833333333333333</v>
      </c>
      <c r="S307" s="6">
        <f t="shared" si="39"/>
        <v>1.59</v>
      </c>
      <c r="T307" s="6">
        <f t="shared" si="40"/>
        <v>-1.59</v>
      </c>
      <c r="U307" s="9">
        <f t="shared" si="44"/>
        <v>53.408518518518477</v>
      </c>
      <c r="W307" s="6">
        <v>826.9</v>
      </c>
      <c r="X307" s="6">
        <f t="shared" si="45"/>
        <v>211006.69999999998</v>
      </c>
      <c r="Y307" s="6">
        <f t="shared" si="37"/>
        <v>33350.6</v>
      </c>
      <c r="Z307" s="6">
        <v>15.528800438106551</v>
      </c>
    </row>
    <row r="308" spans="1:27" x14ac:dyDescent="0.35">
      <c r="A308">
        <v>5160</v>
      </c>
      <c r="B308">
        <v>23050</v>
      </c>
      <c r="C308" s="1">
        <v>43253</v>
      </c>
      <c r="F308" s="35" t="s">
        <v>58</v>
      </c>
      <c r="G308">
        <v>18.8</v>
      </c>
      <c r="H308">
        <v>11.9</v>
      </c>
      <c r="I308">
        <v>23.3</v>
      </c>
      <c r="J308">
        <f t="shared" si="41"/>
        <v>2646.8999999999992</v>
      </c>
      <c r="K308">
        <f>G308</f>
        <v>18.8</v>
      </c>
      <c r="L308" s="23" t="s">
        <v>36</v>
      </c>
      <c r="M308">
        <v>0</v>
      </c>
      <c r="N308">
        <v>1.6</v>
      </c>
      <c r="O308">
        <f t="shared" si="38"/>
        <v>-1.6</v>
      </c>
      <c r="Q308">
        <v>276</v>
      </c>
      <c r="R308">
        <f t="shared" si="43"/>
        <v>0.86851851851851847</v>
      </c>
      <c r="S308">
        <f t="shared" si="39"/>
        <v>1.3896296296296295</v>
      </c>
      <c r="T308">
        <f t="shared" si="40"/>
        <v>-1.3896296296296295</v>
      </c>
      <c r="U308" s="2">
        <f t="shared" si="44"/>
        <v>52.018888888888846</v>
      </c>
      <c r="V308" s="24" t="s">
        <v>43</v>
      </c>
      <c r="W308">
        <v>870.5</v>
      </c>
      <c r="X308">
        <f t="shared" si="45"/>
        <v>211877.19999999998</v>
      </c>
      <c r="Y308">
        <f>W308</f>
        <v>870.5</v>
      </c>
      <c r="Z308">
        <v>15.554535534016049</v>
      </c>
      <c r="AA308" s="24" t="s">
        <v>48</v>
      </c>
    </row>
    <row r="309" spans="1:27" x14ac:dyDescent="0.35">
      <c r="A309">
        <v>5160</v>
      </c>
      <c r="B309">
        <v>23050</v>
      </c>
      <c r="C309" s="1">
        <v>43254</v>
      </c>
      <c r="F309" s="36"/>
      <c r="G309">
        <v>20.7</v>
      </c>
      <c r="H309">
        <v>16.8</v>
      </c>
      <c r="I309">
        <v>25.7</v>
      </c>
      <c r="J309">
        <f t="shared" si="41"/>
        <v>2667.599999999999</v>
      </c>
      <c r="K309">
        <f t="shared" si="42"/>
        <v>39.5</v>
      </c>
      <c r="L309" s="11">
        <v>405.6</v>
      </c>
      <c r="M309">
        <v>3.4</v>
      </c>
      <c r="N309">
        <v>3.8</v>
      </c>
      <c r="O309">
        <f t="shared" si="38"/>
        <v>-0.39999999999999991</v>
      </c>
      <c r="Q309">
        <v>277</v>
      </c>
      <c r="R309">
        <f t="shared" si="43"/>
        <v>0.85370370370370363</v>
      </c>
      <c r="S309">
        <f t="shared" si="39"/>
        <v>3.2440740740740734</v>
      </c>
      <c r="T309">
        <f t="shared" si="40"/>
        <v>0.15592592592592647</v>
      </c>
      <c r="U309" s="2">
        <f t="shared" si="44"/>
        <v>52.174814814814773</v>
      </c>
      <c r="V309">
        <v>0</v>
      </c>
      <c r="W309">
        <v>1880.4</v>
      </c>
      <c r="X309">
        <f t="shared" si="45"/>
        <v>213757.59999999998</v>
      </c>
      <c r="Y309">
        <f t="shared" si="37"/>
        <v>2750.9</v>
      </c>
      <c r="Z309">
        <v>15.57910076817533</v>
      </c>
      <c r="AA309">
        <v>32951.5</v>
      </c>
    </row>
    <row r="310" spans="1:27" x14ac:dyDescent="0.35">
      <c r="A310">
        <v>5160</v>
      </c>
      <c r="B310">
        <v>23050</v>
      </c>
      <c r="C310" s="1">
        <v>43255</v>
      </c>
      <c r="F310" s="36"/>
      <c r="G310">
        <v>20</v>
      </c>
      <c r="H310">
        <v>16.8</v>
      </c>
      <c r="I310">
        <v>24.3</v>
      </c>
      <c r="J310">
        <f t="shared" si="41"/>
        <v>2687.599999999999</v>
      </c>
      <c r="K310">
        <f t="shared" si="42"/>
        <v>59.5</v>
      </c>
      <c r="L310" s="23" t="s">
        <v>37</v>
      </c>
      <c r="M310">
        <v>0.2</v>
      </c>
      <c r="N310">
        <v>2.7</v>
      </c>
      <c r="O310">
        <f t="shared" si="38"/>
        <v>-2.5</v>
      </c>
      <c r="Q310">
        <v>278</v>
      </c>
      <c r="R310">
        <f t="shared" si="43"/>
        <v>0.8388888888888888</v>
      </c>
      <c r="S310">
        <f t="shared" si="39"/>
        <v>2.2649999999999997</v>
      </c>
      <c r="T310">
        <f t="shared" si="40"/>
        <v>-2.0649999999999995</v>
      </c>
      <c r="U310" s="2">
        <f t="shared" si="44"/>
        <v>50.109814814814776</v>
      </c>
      <c r="V310" s="24" t="s">
        <v>44</v>
      </c>
      <c r="W310">
        <v>1520</v>
      </c>
      <c r="X310">
        <f t="shared" si="45"/>
        <v>215277.59999999998</v>
      </c>
      <c r="Y310">
        <f t="shared" si="37"/>
        <v>4270.8999999999996</v>
      </c>
      <c r="Z310">
        <v>15.602476821268258</v>
      </c>
      <c r="AA310" s="24" t="s">
        <v>49</v>
      </c>
    </row>
    <row r="311" spans="1:27" x14ac:dyDescent="0.35">
      <c r="A311">
        <v>5160</v>
      </c>
      <c r="B311">
        <v>23050</v>
      </c>
      <c r="C311" s="1">
        <v>43256</v>
      </c>
      <c r="F311" s="36"/>
      <c r="G311">
        <v>18.399999999999999</v>
      </c>
      <c r="H311">
        <v>15.2</v>
      </c>
      <c r="I311">
        <v>21.2</v>
      </c>
      <c r="J311">
        <f t="shared" si="41"/>
        <v>2705.9999999999991</v>
      </c>
      <c r="K311">
        <f t="shared" si="42"/>
        <v>77.900000000000006</v>
      </c>
      <c r="L311" s="11">
        <f>AVERAGE(G308:G329)</f>
        <v>18.45</v>
      </c>
      <c r="M311">
        <v>12.5</v>
      </c>
      <c r="N311">
        <v>1.1000000000000001</v>
      </c>
      <c r="O311">
        <f t="shared" si="38"/>
        <v>11.4</v>
      </c>
      <c r="Q311">
        <v>279</v>
      </c>
      <c r="R311">
        <f t="shared" si="43"/>
        <v>0.82407407407407396</v>
      </c>
      <c r="S311">
        <f t="shared" si="39"/>
        <v>0.90648148148148144</v>
      </c>
      <c r="T311">
        <f t="shared" si="40"/>
        <v>11.593518518518518</v>
      </c>
      <c r="U311" s="2">
        <f t="shared" si="44"/>
        <v>61.703333333333291</v>
      </c>
      <c r="V311">
        <v>1</v>
      </c>
      <c r="W311">
        <v>711.1</v>
      </c>
      <c r="X311">
        <f t="shared" si="45"/>
        <v>215988.69999999998</v>
      </c>
      <c r="Y311">
        <f t="shared" si="37"/>
        <v>4982</v>
      </c>
      <c r="Z311">
        <v>15.624645043123266</v>
      </c>
      <c r="AA311">
        <f>(AA309/100)/L309</f>
        <v>0.81241370808678492</v>
      </c>
    </row>
    <row r="312" spans="1:27" x14ac:dyDescent="0.35">
      <c r="A312">
        <v>5160</v>
      </c>
      <c r="B312">
        <v>23050</v>
      </c>
      <c r="C312" s="1">
        <v>43257</v>
      </c>
      <c r="F312" s="36"/>
      <c r="G312">
        <v>17.8</v>
      </c>
      <c r="H312">
        <v>15.8</v>
      </c>
      <c r="I312">
        <v>20.399999999999999</v>
      </c>
      <c r="J312">
        <f t="shared" si="41"/>
        <v>2723.7999999999993</v>
      </c>
      <c r="K312">
        <f t="shared" si="42"/>
        <v>95.7</v>
      </c>
      <c r="L312" s="23" t="s">
        <v>38</v>
      </c>
      <c r="M312">
        <v>6.3</v>
      </c>
      <c r="N312">
        <v>1.5</v>
      </c>
      <c r="O312">
        <f t="shared" si="38"/>
        <v>4.8</v>
      </c>
      <c r="Q312">
        <v>280</v>
      </c>
      <c r="R312">
        <f t="shared" si="43"/>
        <v>0.80925925925925912</v>
      </c>
      <c r="S312">
        <f t="shared" si="39"/>
        <v>1.2138888888888886</v>
      </c>
      <c r="T312">
        <f t="shared" si="40"/>
        <v>5.0861111111111112</v>
      </c>
      <c r="U312" s="2">
        <f t="shared" si="44"/>
        <v>66.789444444444399</v>
      </c>
      <c r="V312" s="24" t="s">
        <v>45</v>
      </c>
      <c r="W312">
        <v>774.8</v>
      </c>
      <c r="X312">
        <f t="shared" si="45"/>
        <v>216763.49999999997</v>
      </c>
      <c r="Y312">
        <f t="shared" ref="Y312:Y367" si="46">Y311+W312</f>
        <v>5756.8</v>
      </c>
      <c r="Z312">
        <v>15.645587504155413</v>
      </c>
      <c r="AA312" s="24" t="s">
        <v>50</v>
      </c>
    </row>
    <row r="313" spans="1:27" x14ac:dyDescent="0.35">
      <c r="A313">
        <v>5160</v>
      </c>
      <c r="B313">
        <v>23050</v>
      </c>
      <c r="C313" s="1">
        <v>43258</v>
      </c>
      <c r="F313" s="36"/>
      <c r="G313">
        <v>19.2</v>
      </c>
      <c r="H313">
        <v>14.8</v>
      </c>
      <c r="I313">
        <v>24.9</v>
      </c>
      <c r="J313">
        <f t="shared" si="41"/>
        <v>2742.9999999999991</v>
      </c>
      <c r="K313">
        <f t="shared" si="42"/>
        <v>114.9</v>
      </c>
      <c r="L313" s="11">
        <f>MIN(H308:H329)</f>
        <v>9.1</v>
      </c>
      <c r="M313">
        <v>0</v>
      </c>
      <c r="N313">
        <v>2.1</v>
      </c>
      <c r="O313">
        <f t="shared" si="38"/>
        <v>-2.1</v>
      </c>
      <c r="Q313">
        <v>281</v>
      </c>
      <c r="R313">
        <f t="shared" si="43"/>
        <v>0.7944444444444444</v>
      </c>
      <c r="S313">
        <f t="shared" si="39"/>
        <v>1.6683333333333332</v>
      </c>
      <c r="T313">
        <f t="shared" si="40"/>
        <v>-1.6683333333333332</v>
      </c>
      <c r="U313" s="2">
        <f t="shared" si="44"/>
        <v>65.121111111111063</v>
      </c>
      <c r="V313" s="2">
        <f>MIN(U308:U329)</f>
        <v>50.109814814814776</v>
      </c>
      <c r="W313">
        <v>943.1</v>
      </c>
      <c r="X313">
        <f t="shared" si="45"/>
        <v>217706.59999999998</v>
      </c>
      <c r="Y313">
        <f t="shared" si="46"/>
        <v>6699.9000000000005</v>
      </c>
      <c r="Z313">
        <v>15.66528704594683</v>
      </c>
      <c r="AA313">
        <v>7</v>
      </c>
    </row>
    <row r="314" spans="1:27" x14ac:dyDescent="0.35">
      <c r="A314">
        <v>5160</v>
      </c>
      <c r="B314">
        <v>23050</v>
      </c>
      <c r="C314" s="1">
        <v>43259</v>
      </c>
      <c r="F314" s="36"/>
      <c r="G314">
        <v>21.1</v>
      </c>
      <c r="H314">
        <v>15.1</v>
      </c>
      <c r="I314">
        <v>25.5</v>
      </c>
      <c r="J314">
        <f t="shared" si="41"/>
        <v>2764.099999999999</v>
      </c>
      <c r="K314">
        <f t="shared" si="42"/>
        <v>136</v>
      </c>
      <c r="L314" s="23" t="s">
        <v>39</v>
      </c>
      <c r="M314">
        <v>0</v>
      </c>
      <c r="N314">
        <v>3.4</v>
      </c>
      <c r="O314">
        <f t="shared" si="38"/>
        <v>-3.4</v>
      </c>
      <c r="Q314">
        <v>282</v>
      </c>
      <c r="R314">
        <f t="shared" si="43"/>
        <v>0.77962962962962956</v>
      </c>
      <c r="S314">
        <f t="shared" si="39"/>
        <v>2.6507407407407406</v>
      </c>
      <c r="T314">
        <f t="shared" si="40"/>
        <v>-2.6507407407407406</v>
      </c>
      <c r="U314" s="2">
        <f t="shared" si="44"/>
        <v>62.470370370370318</v>
      </c>
      <c r="V314" s="24" t="s">
        <v>46</v>
      </c>
      <c r="W314">
        <v>1958.6</v>
      </c>
      <c r="X314">
        <f t="shared" si="45"/>
        <v>219665.19999999998</v>
      </c>
      <c r="Y314">
        <f t="shared" si="46"/>
        <v>8658.5</v>
      </c>
      <c r="Z314">
        <v>15.683727330686601</v>
      </c>
    </row>
    <row r="315" spans="1:27" x14ac:dyDescent="0.35">
      <c r="A315">
        <v>5160</v>
      </c>
      <c r="B315">
        <v>23050</v>
      </c>
      <c r="C315" s="1">
        <v>43260</v>
      </c>
      <c r="F315" s="36"/>
      <c r="G315">
        <v>20</v>
      </c>
      <c r="H315">
        <v>18.5</v>
      </c>
      <c r="I315">
        <v>25.2</v>
      </c>
      <c r="J315">
        <f t="shared" si="41"/>
        <v>2784.099999999999</v>
      </c>
      <c r="K315">
        <f t="shared" si="42"/>
        <v>156</v>
      </c>
      <c r="L315" s="11">
        <f>MAX(I308:I329)</f>
        <v>28.4</v>
      </c>
      <c r="M315">
        <v>7.1</v>
      </c>
      <c r="N315">
        <v>4.3</v>
      </c>
      <c r="O315">
        <f t="shared" si="38"/>
        <v>2.8</v>
      </c>
      <c r="Q315">
        <v>283</v>
      </c>
      <c r="R315">
        <f t="shared" si="43"/>
        <v>0.76481481481481484</v>
      </c>
      <c r="S315">
        <f t="shared" si="39"/>
        <v>3.2887037037037037</v>
      </c>
      <c r="T315">
        <f t="shared" si="40"/>
        <v>3.811296296296296</v>
      </c>
      <c r="U315" s="2">
        <f t="shared" si="44"/>
        <v>66.281666666666609</v>
      </c>
      <c r="V315" s="2">
        <f>MAX(U308:U329)</f>
        <v>76.094074074074015</v>
      </c>
      <c r="W315">
        <v>2055.4</v>
      </c>
      <c r="X315">
        <f t="shared" si="45"/>
        <v>221720.59999999998</v>
      </c>
      <c r="Y315">
        <f t="shared" si="46"/>
        <v>10713.9</v>
      </c>
      <c r="Z315">
        <v>15.700892889188184</v>
      </c>
    </row>
    <row r="316" spans="1:27" x14ac:dyDescent="0.35">
      <c r="A316">
        <v>5160</v>
      </c>
      <c r="B316">
        <v>23050</v>
      </c>
      <c r="C316" s="1">
        <v>43261</v>
      </c>
      <c r="F316" s="36"/>
      <c r="G316">
        <v>19.8</v>
      </c>
      <c r="H316">
        <v>15.3</v>
      </c>
      <c r="I316">
        <v>23.2</v>
      </c>
      <c r="J316">
        <f t="shared" si="41"/>
        <v>2803.8999999999992</v>
      </c>
      <c r="K316">
        <f t="shared" si="42"/>
        <v>175.8</v>
      </c>
      <c r="L316" s="23" t="s">
        <v>40</v>
      </c>
      <c r="M316">
        <v>6.9</v>
      </c>
      <c r="N316">
        <v>2.2000000000000002</v>
      </c>
      <c r="O316">
        <f t="shared" si="38"/>
        <v>4.7</v>
      </c>
      <c r="Q316">
        <v>284</v>
      </c>
      <c r="R316">
        <f t="shared" si="43"/>
        <v>0.75</v>
      </c>
      <c r="S316">
        <f t="shared" si="39"/>
        <v>1.6500000000000001</v>
      </c>
      <c r="T316">
        <f t="shared" si="40"/>
        <v>5.25</v>
      </c>
      <c r="U316" s="2">
        <f t="shared" si="44"/>
        <v>71.531666666666609</v>
      </c>
      <c r="V316" s="24" t="s">
        <v>47</v>
      </c>
      <c r="W316">
        <v>1328.2</v>
      </c>
      <c r="X316">
        <f t="shared" si="45"/>
        <v>223048.8</v>
      </c>
      <c r="Y316">
        <f t="shared" si="46"/>
        <v>12042.1</v>
      </c>
      <c r="Z316">
        <v>15.716769167201836</v>
      </c>
    </row>
    <row r="317" spans="1:27" x14ac:dyDescent="0.35">
      <c r="A317">
        <v>5160</v>
      </c>
      <c r="B317">
        <v>23050</v>
      </c>
      <c r="C317" s="1">
        <v>43262</v>
      </c>
      <c r="F317" s="36"/>
      <c r="G317">
        <v>19.600000000000001</v>
      </c>
      <c r="H317">
        <v>17.7</v>
      </c>
      <c r="I317">
        <v>23.5</v>
      </c>
      <c r="J317">
        <f t="shared" si="41"/>
        <v>2823.4999999999991</v>
      </c>
      <c r="K317">
        <f t="shared" si="42"/>
        <v>195.4</v>
      </c>
      <c r="L317" s="11">
        <v>4</v>
      </c>
      <c r="M317">
        <v>6.3</v>
      </c>
      <c r="N317">
        <v>2.7</v>
      </c>
      <c r="O317">
        <f t="shared" si="38"/>
        <v>3.5999999999999996</v>
      </c>
      <c r="Q317">
        <v>285</v>
      </c>
      <c r="R317">
        <f t="shared" si="43"/>
        <v>0.73518518518518516</v>
      </c>
      <c r="S317">
        <f t="shared" si="39"/>
        <v>1.9850000000000001</v>
      </c>
      <c r="T317">
        <f t="shared" si="40"/>
        <v>4.3149999999999995</v>
      </c>
      <c r="U317" s="2">
        <f t="shared" si="44"/>
        <v>75.846666666666607</v>
      </c>
      <c r="V317" s="2">
        <f>AVERAGE(U308:U329)</f>
        <v>65.620109427609378</v>
      </c>
      <c r="W317">
        <v>1314.9</v>
      </c>
      <c r="X317">
        <f t="shared" si="45"/>
        <v>224363.69999999998</v>
      </c>
      <c r="Y317">
        <f t="shared" si="46"/>
        <v>13357</v>
      </c>
      <c r="Z317">
        <v>15.731342569741999</v>
      </c>
    </row>
    <row r="318" spans="1:27" x14ac:dyDescent="0.35">
      <c r="A318">
        <v>5160</v>
      </c>
      <c r="B318">
        <v>23050</v>
      </c>
      <c r="C318" s="1">
        <v>43263</v>
      </c>
      <c r="F318" s="36"/>
      <c r="G318">
        <v>16.899999999999999</v>
      </c>
      <c r="H318">
        <v>15</v>
      </c>
      <c r="I318">
        <v>19.600000000000001</v>
      </c>
      <c r="J318">
        <f t="shared" si="41"/>
        <v>2840.3999999999992</v>
      </c>
      <c r="K318">
        <f t="shared" si="42"/>
        <v>212.3</v>
      </c>
      <c r="L318" s="23" t="s">
        <v>41</v>
      </c>
      <c r="M318">
        <v>1.4</v>
      </c>
      <c r="N318">
        <v>1.6</v>
      </c>
      <c r="O318">
        <f t="shared" si="38"/>
        <v>-0.20000000000000018</v>
      </c>
      <c r="Q318">
        <v>286</v>
      </c>
      <c r="R318">
        <f t="shared" si="43"/>
        <v>0.72037037037037033</v>
      </c>
      <c r="S318">
        <f t="shared" si="39"/>
        <v>1.1525925925925926</v>
      </c>
      <c r="T318">
        <f t="shared" si="40"/>
        <v>0.2474074074074073</v>
      </c>
      <c r="U318" s="2">
        <f t="shared" si="44"/>
        <v>76.094074074074015</v>
      </c>
      <c r="W318">
        <v>713.8</v>
      </c>
      <c r="X318">
        <f t="shared" si="45"/>
        <v>225077.49999999997</v>
      </c>
      <c r="Y318">
        <f t="shared" si="46"/>
        <v>14070.8</v>
      </c>
      <c r="Z318">
        <v>15.744600503154267</v>
      </c>
    </row>
    <row r="319" spans="1:27" x14ac:dyDescent="0.35">
      <c r="A319">
        <v>5160</v>
      </c>
      <c r="B319">
        <v>23050</v>
      </c>
      <c r="C319" s="1">
        <v>43264</v>
      </c>
      <c r="F319" s="36"/>
      <c r="G319">
        <v>14.6</v>
      </c>
      <c r="H319">
        <v>13.1</v>
      </c>
      <c r="I319">
        <v>17.100000000000001</v>
      </c>
      <c r="J319">
        <f t="shared" si="41"/>
        <v>2854.9999999999991</v>
      </c>
      <c r="K319">
        <f t="shared" si="42"/>
        <v>226.9</v>
      </c>
      <c r="L319" s="11">
        <v>0</v>
      </c>
      <c r="M319">
        <v>0</v>
      </c>
      <c r="N319">
        <v>2.5</v>
      </c>
      <c r="O319">
        <f t="shared" si="38"/>
        <v>-2.5</v>
      </c>
      <c r="Q319">
        <v>287</v>
      </c>
      <c r="R319">
        <f t="shared" si="43"/>
        <v>0.70555555555555549</v>
      </c>
      <c r="S319">
        <f t="shared" si="39"/>
        <v>1.7638888888888888</v>
      </c>
      <c r="T319">
        <f t="shared" si="40"/>
        <v>-1.7638888888888888</v>
      </c>
      <c r="U319" s="2">
        <f t="shared" si="44"/>
        <v>74.33018518518513</v>
      </c>
      <c r="V319">
        <f>(V317*100)/150.8</f>
        <v>43.514661424144144</v>
      </c>
      <c r="W319">
        <v>1448</v>
      </c>
      <c r="X319">
        <f t="shared" si="45"/>
        <v>226525.49999999997</v>
      </c>
      <c r="Y319">
        <f t="shared" si="46"/>
        <v>15518.8</v>
      </c>
      <c r="Z319">
        <v>15.756531414654408</v>
      </c>
    </row>
    <row r="320" spans="1:27" x14ac:dyDescent="0.35">
      <c r="A320">
        <v>5160</v>
      </c>
      <c r="B320">
        <v>23050</v>
      </c>
      <c r="C320" s="1">
        <v>43265</v>
      </c>
      <c r="F320" s="36"/>
      <c r="G320">
        <v>15.9</v>
      </c>
      <c r="H320">
        <v>9.1</v>
      </c>
      <c r="I320">
        <v>19.399999999999999</v>
      </c>
      <c r="J320">
        <f t="shared" si="41"/>
        <v>2870.8999999999992</v>
      </c>
      <c r="K320">
        <f t="shared" si="42"/>
        <v>242.8</v>
      </c>
      <c r="L320" s="23" t="s">
        <v>42</v>
      </c>
      <c r="M320">
        <v>1</v>
      </c>
      <c r="N320">
        <v>2.5</v>
      </c>
      <c r="O320">
        <f t="shared" si="38"/>
        <v>-1.5</v>
      </c>
      <c r="Q320">
        <v>288</v>
      </c>
      <c r="R320">
        <f t="shared" si="43"/>
        <v>0.69074074074074066</v>
      </c>
      <c r="S320">
        <f t="shared" si="39"/>
        <v>1.7268518518518516</v>
      </c>
      <c r="T320">
        <f t="shared" si="40"/>
        <v>-0.72685185185185164</v>
      </c>
      <c r="U320" s="2">
        <f t="shared" si="44"/>
        <v>73.603333333333282</v>
      </c>
      <c r="W320">
        <v>1847.1</v>
      </c>
      <c r="X320">
        <f t="shared" si="45"/>
        <v>228372.59999999998</v>
      </c>
      <c r="Y320">
        <f t="shared" si="46"/>
        <v>17365.899999999998</v>
      </c>
      <c r="Z320">
        <v>15.767124829082663</v>
      </c>
    </row>
    <row r="321" spans="1:26" x14ac:dyDescent="0.35">
      <c r="A321">
        <v>5160</v>
      </c>
      <c r="B321">
        <v>23050</v>
      </c>
      <c r="C321" s="1">
        <v>43266</v>
      </c>
      <c r="F321" s="36"/>
      <c r="G321">
        <v>18.3</v>
      </c>
      <c r="H321">
        <v>16</v>
      </c>
      <c r="I321">
        <v>20.5</v>
      </c>
      <c r="J321">
        <f t="shared" si="41"/>
        <v>2889.1999999999994</v>
      </c>
      <c r="K321">
        <f t="shared" si="42"/>
        <v>261.10000000000002</v>
      </c>
      <c r="L321" s="11">
        <v>0</v>
      </c>
      <c r="M321">
        <v>0.3</v>
      </c>
      <c r="N321">
        <v>1.4</v>
      </c>
      <c r="O321">
        <f t="shared" si="38"/>
        <v>-1.0999999999999999</v>
      </c>
      <c r="Q321">
        <v>289</v>
      </c>
      <c r="R321">
        <f t="shared" si="43"/>
        <v>0.67592592592592593</v>
      </c>
      <c r="S321">
        <f t="shared" si="39"/>
        <v>0.94629629629629619</v>
      </c>
      <c r="T321">
        <f t="shared" si="40"/>
        <v>-0.64629629629629615</v>
      </c>
      <c r="U321" s="2">
        <f t="shared" si="44"/>
        <v>72.957037037036983</v>
      </c>
      <c r="W321">
        <v>655.8</v>
      </c>
      <c r="X321">
        <f t="shared" si="45"/>
        <v>229028.39999999997</v>
      </c>
      <c r="Y321">
        <f t="shared" si="46"/>
        <v>18021.699999999997</v>
      </c>
      <c r="Z321">
        <v>15.776371382629602</v>
      </c>
    </row>
    <row r="322" spans="1:26" x14ac:dyDescent="0.35">
      <c r="A322">
        <v>5160</v>
      </c>
      <c r="B322">
        <v>23050</v>
      </c>
      <c r="C322" s="1">
        <v>43267</v>
      </c>
      <c r="F322" s="36"/>
      <c r="G322">
        <v>17.399999999999999</v>
      </c>
      <c r="H322">
        <v>13.5</v>
      </c>
      <c r="I322">
        <v>21.5</v>
      </c>
      <c r="J322">
        <f t="shared" si="41"/>
        <v>2906.5999999999995</v>
      </c>
      <c r="K322">
        <f t="shared" si="42"/>
        <v>278.5</v>
      </c>
      <c r="M322">
        <v>0.1</v>
      </c>
      <c r="N322">
        <v>1.9</v>
      </c>
      <c r="O322">
        <f t="shared" si="38"/>
        <v>-1.7999999999999998</v>
      </c>
      <c r="Q322">
        <v>290</v>
      </c>
      <c r="R322">
        <f t="shared" si="43"/>
        <v>0.66111111111111098</v>
      </c>
      <c r="S322">
        <f t="shared" si="39"/>
        <v>1.2561111111111107</v>
      </c>
      <c r="T322">
        <f t="shared" si="40"/>
        <v>-1.1561111111111106</v>
      </c>
      <c r="U322" s="2">
        <f t="shared" si="44"/>
        <v>71.800925925925867</v>
      </c>
      <c r="W322">
        <v>1082.4000000000001</v>
      </c>
      <c r="X322">
        <f t="shared" si="45"/>
        <v>230110.79999999996</v>
      </c>
      <c r="Y322">
        <f t="shared" si="46"/>
        <v>19104.099999999999</v>
      </c>
      <c r="Z322">
        <v>15.784262853306293</v>
      </c>
    </row>
    <row r="323" spans="1:26" x14ac:dyDescent="0.35">
      <c r="A323">
        <v>5160</v>
      </c>
      <c r="B323">
        <v>23050</v>
      </c>
      <c r="C323" s="1">
        <v>43268</v>
      </c>
      <c r="F323" s="36"/>
      <c r="G323">
        <v>16.7</v>
      </c>
      <c r="H323">
        <v>12.8</v>
      </c>
      <c r="I323">
        <v>19.899999999999999</v>
      </c>
      <c r="J323">
        <f t="shared" si="41"/>
        <v>2923.2999999999993</v>
      </c>
      <c r="K323">
        <f t="shared" si="42"/>
        <v>295.2</v>
      </c>
      <c r="M323">
        <v>0.2</v>
      </c>
      <c r="N323">
        <v>1.5</v>
      </c>
      <c r="O323">
        <f t="shared" si="38"/>
        <v>-1.3</v>
      </c>
      <c r="Q323">
        <v>291</v>
      </c>
      <c r="R323">
        <f t="shared" si="43"/>
        <v>0.64629629629629626</v>
      </c>
      <c r="S323">
        <f t="shared" si="39"/>
        <v>0.96944444444444433</v>
      </c>
      <c r="T323">
        <f t="shared" si="40"/>
        <v>-0.76944444444444438</v>
      </c>
      <c r="U323" s="2">
        <f t="shared" si="44"/>
        <v>71.031481481481421</v>
      </c>
      <c r="W323">
        <v>574.5</v>
      </c>
      <c r="X323">
        <f t="shared" si="45"/>
        <v>230685.29999999996</v>
      </c>
      <c r="Y323">
        <f t="shared" si="46"/>
        <v>19678.599999999999</v>
      </c>
      <c r="Z323">
        <v>15.790792187950041</v>
      </c>
    </row>
    <row r="324" spans="1:26" x14ac:dyDescent="0.35">
      <c r="A324">
        <v>5160</v>
      </c>
      <c r="B324">
        <v>23050</v>
      </c>
      <c r="C324" s="1">
        <v>43269</v>
      </c>
      <c r="F324" s="36"/>
      <c r="G324">
        <v>18.899999999999999</v>
      </c>
      <c r="H324">
        <v>15.1</v>
      </c>
      <c r="I324">
        <v>23.1</v>
      </c>
      <c r="J324">
        <f t="shared" si="41"/>
        <v>2942.1999999999994</v>
      </c>
      <c r="K324">
        <f t="shared" si="42"/>
        <v>314.09999999999997</v>
      </c>
      <c r="M324">
        <v>0</v>
      </c>
      <c r="N324">
        <v>2.2000000000000002</v>
      </c>
      <c r="O324">
        <f t="shared" si="38"/>
        <v>-2.2000000000000002</v>
      </c>
      <c r="Q324">
        <v>292</v>
      </c>
      <c r="R324">
        <f t="shared" si="43"/>
        <v>0.63148148148148142</v>
      </c>
      <c r="S324">
        <f t="shared" si="39"/>
        <v>1.3892592592592592</v>
      </c>
      <c r="T324">
        <f t="shared" si="40"/>
        <v>-1.3892592592592592</v>
      </c>
      <c r="U324" s="2">
        <f t="shared" si="44"/>
        <v>69.642222222222159</v>
      </c>
      <c r="W324">
        <v>989.9</v>
      </c>
      <c r="X324">
        <f t="shared" si="45"/>
        <v>231675.19999999995</v>
      </c>
      <c r="Y324">
        <f t="shared" si="46"/>
        <v>20668.5</v>
      </c>
      <c r="Z324">
        <v>15.795953525578319</v>
      </c>
    </row>
    <row r="325" spans="1:26" x14ac:dyDescent="0.35">
      <c r="A325">
        <v>5160</v>
      </c>
      <c r="B325">
        <v>23050</v>
      </c>
      <c r="C325" s="1">
        <v>43270</v>
      </c>
      <c r="F325" s="36"/>
      <c r="G325">
        <v>18.600000000000001</v>
      </c>
      <c r="H325">
        <v>14.1</v>
      </c>
      <c r="I325">
        <v>23.3</v>
      </c>
      <c r="J325">
        <f t="shared" si="41"/>
        <v>2960.7999999999993</v>
      </c>
      <c r="K325">
        <f t="shared" si="42"/>
        <v>332.7</v>
      </c>
      <c r="M325">
        <v>0.2</v>
      </c>
      <c r="N325">
        <v>1.8</v>
      </c>
      <c r="O325">
        <f t="shared" ref="O325:O367" si="47">M325-N325</f>
        <v>-1.6</v>
      </c>
      <c r="Q325">
        <v>293</v>
      </c>
      <c r="R325">
        <f t="shared" si="43"/>
        <v>0.6166666666666667</v>
      </c>
      <c r="S325">
        <f t="shared" ref="S325:S367" si="48">R325*N325</f>
        <v>1.1100000000000001</v>
      </c>
      <c r="T325">
        <f t="shared" ref="T325:T367" si="49">M325-S325</f>
        <v>-0.91000000000000014</v>
      </c>
      <c r="U325" s="2">
        <f t="shared" si="44"/>
        <v>68.732222222222163</v>
      </c>
      <c r="W325">
        <v>822</v>
      </c>
      <c r="X325">
        <f t="shared" si="45"/>
        <v>232497.19999999995</v>
      </c>
      <c r="Y325">
        <f t="shared" si="46"/>
        <v>21490.5</v>
      </c>
      <c r="Z325">
        <v>15.799742216926866</v>
      </c>
    </row>
    <row r="326" spans="1:26" x14ac:dyDescent="0.35">
      <c r="A326">
        <v>5160</v>
      </c>
      <c r="B326">
        <v>23050</v>
      </c>
      <c r="C326" s="1">
        <v>43271</v>
      </c>
      <c r="F326" s="36"/>
      <c r="G326">
        <v>22.5</v>
      </c>
      <c r="H326">
        <v>16.5</v>
      </c>
      <c r="I326">
        <v>28.4</v>
      </c>
      <c r="J326">
        <f t="shared" si="41"/>
        <v>2983.2999999999993</v>
      </c>
      <c r="K326">
        <f t="shared" si="42"/>
        <v>355.2</v>
      </c>
      <c r="M326">
        <v>0</v>
      </c>
      <c r="N326">
        <v>6.4</v>
      </c>
      <c r="O326">
        <f t="shared" si="47"/>
        <v>-6.4</v>
      </c>
      <c r="Q326">
        <v>294</v>
      </c>
      <c r="R326">
        <f t="shared" si="43"/>
        <v>0.60185185185185175</v>
      </c>
      <c r="S326">
        <f t="shared" si="48"/>
        <v>3.8518518518518512</v>
      </c>
      <c r="T326">
        <f t="shared" si="49"/>
        <v>-3.8518518518518512</v>
      </c>
      <c r="U326" s="2">
        <f t="shared" si="44"/>
        <v>64.880370370370315</v>
      </c>
      <c r="W326">
        <v>3023.2</v>
      </c>
      <c r="X326">
        <f t="shared" si="45"/>
        <v>235520.39999999997</v>
      </c>
      <c r="Y326">
        <f t="shared" si="46"/>
        <v>24513.7</v>
      </c>
      <c r="Z326">
        <v>15.802154840033493</v>
      </c>
    </row>
    <row r="327" spans="1:26" x14ac:dyDescent="0.35">
      <c r="A327">
        <v>5160</v>
      </c>
      <c r="B327">
        <v>23050</v>
      </c>
      <c r="C327" s="1">
        <v>43272</v>
      </c>
      <c r="F327" s="36"/>
      <c r="G327">
        <v>18.3</v>
      </c>
      <c r="H327">
        <v>15.5</v>
      </c>
      <c r="I327">
        <v>22.6</v>
      </c>
      <c r="J327">
        <f t="shared" si="41"/>
        <v>3001.5999999999995</v>
      </c>
      <c r="K327">
        <f t="shared" si="42"/>
        <v>373.5</v>
      </c>
      <c r="M327">
        <v>0</v>
      </c>
      <c r="N327">
        <v>4.2</v>
      </c>
      <c r="O327">
        <f t="shared" si="47"/>
        <v>-4.2</v>
      </c>
      <c r="Q327">
        <v>295</v>
      </c>
      <c r="R327">
        <f t="shared" si="43"/>
        <v>0.58703703703703702</v>
      </c>
      <c r="S327">
        <f t="shared" si="48"/>
        <v>2.4655555555555555</v>
      </c>
      <c r="T327">
        <f t="shared" si="49"/>
        <v>-2.4655555555555555</v>
      </c>
      <c r="U327" s="2">
        <f t="shared" si="44"/>
        <v>62.414814814814761</v>
      </c>
      <c r="W327">
        <v>1942.9</v>
      </c>
      <c r="X327">
        <f t="shared" si="45"/>
        <v>237463.29999999996</v>
      </c>
      <c r="Y327">
        <f t="shared" si="46"/>
        <v>26456.600000000002</v>
      </c>
      <c r="Z327">
        <v>15.803189211756163</v>
      </c>
    </row>
    <row r="328" spans="1:26" x14ac:dyDescent="0.35">
      <c r="A328">
        <v>5160</v>
      </c>
      <c r="B328">
        <v>23050</v>
      </c>
      <c r="C328" s="1">
        <v>43273</v>
      </c>
      <c r="F328" s="36"/>
      <c r="G328">
        <v>15.7</v>
      </c>
      <c r="H328">
        <v>10.9</v>
      </c>
      <c r="I328">
        <v>20.5</v>
      </c>
      <c r="J328">
        <f t="shared" si="41"/>
        <v>3017.2999999999993</v>
      </c>
      <c r="K328">
        <f t="shared" si="42"/>
        <v>389.2</v>
      </c>
      <c r="M328">
        <v>0</v>
      </c>
      <c r="N328">
        <v>6.3</v>
      </c>
      <c r="O328">
        <f t="shared" si="47"/>
        <v>-6.3</v>
      </c>
      <c r="Q328">
        <v>296</v>
      </c>
      <c r="R328">
        <f t="shared" si="43"/>
        <v>0.57222222222222219</v>
      </c>
      <c r="S328">
        <f t="shared" si="48"/>
        <v>3.6049999999999995</v>
      </c>
      <c r="T328">
        <f t="shared" si="49"/>
        <v>-3.6049999999999995</v>
      </c>
      <c r="U328" s="2">
        <f t="shared" si="44"/>
        <v>58.809814814814764</v>
      </c>
      <c r="W328">
        <v>3281.3</v>
      </c>
      <c r="X328">
        <f t="shared" si="45"/>
        <v>240744.59999999995</v>
      </c>
      <c r="Y328">
        <f t="shared" si="46"/>
        <v>29737.9</v>
      </c>
      <c r="Z328">
        <v>15.802844395142637</v>
      </c>
    </row>
    <row r="329" spans="1:26" s="6" customFormat="1" ht="15" thickBot="1" x14ac:dyDescent="0.4">
      <c r="A329" s="6">
        <v>5160</v>
      </c>
      <c r="B329" s="6">
        <v>23050</v>
      </c>
      <c r="C329" s="7">
        <v>43274</v>
      </c>
      <c r="F329" s="37"/>
      <c r="G329" s="6">
        <v>16.7</v>
      </c>
      <c r="H329" s="6">
        <v>12</v>
      </c>
      <c r="I329" s="6">
        <v>21.5</v>
      </c>
      <c r="J329" s="6">
        <f t="shared" si="41"/>
        <v>3033.9999999999991</v>
      </c>
      <c r="K329" s="6">
        <f t="shared" si="42"/>
        <v>405.9</v>
      </c>
      <c r="M329" s="6">
        <v>0</v>
      </c>
      <c r="N329" s="6">
        <v>6.3</v>
      </c>
      <c r="O329" s="6">
        <f t="shared" si="47"/>
        <v>-6.3</v>
      </c>
      <c r="Q329" s="6">
        <v>297</v>
      </c>
      <c r="R329" s="6">
        <f t="shared" si="43"/>
        <v>0.55740740740740735</v>
      </c>
      <c r="S329" s="6">
        <f t="shared" si="48"/>
        <v>3.5116666666666663</v>
      </c>
      <c r="T329" s="6">
        <f t="shared" si="49"/>
        <v>-3.5116666666666663</v>
      </c>
      <c r="U329" s="9">
        <f t="shared" si="44"/>
        <v>55.298148148148101</v>
      </c>
      <c r="W329" s="6">
        <v>3213.6</v>
      </c>
      <c r="X329" s="6">
        <f t="shared" si="45"/>
        <v>243958.19999999995</v>
      </c>
      <c r="Y329" s="6">
        <f t="shared" si="46"/>
        <v>32951.5</v>
      </c>
      <c r="Z329" s="6">
        <v>15.801120702598423</v>
      </c>
    </row>
    <row r="330" spans="1:26" x14ac:dyDescent="0.35">
      <c r="A330">
        <v>5160</v>
      </c>
      <c r="B330">
        <v>23050</v>
      </c>
      <c r="C330" s="1">
        <v>43275</v>
      </c>
      <c r="G330">
        <v>18.2</v>
      </c>
      <c r="H330">
        <v>13.8</v>
      </c>
      <c r="I330">
        <v>23.1</v>
      </c>
      <c r="J330">
        <f t="shared" si="41"/>
        <v>3052.1999999999989</v>
      </c>
      <c r="K330">
        <f t="shared" si="42"/>
        <v>424.09999999999997</v>
      </c>
      <c r="M330">
        <v>0</v>
      </c>
      <c r="N330">
        <v>5.6</v>
      </c>
      <c r="O330">
        <f t="shared" si="47"/>
        <v>-5.6</v>
      </c>
      <c r="Q330">
        <v>298</v>
      </c>
      <c r="R330">
        <f t="shared" si="43"/>
        <v>0.54259259259259252</v>
      </c>
      <c r="S330">
        <f t="shared" si="48"/>
        <v>3.0385185185185177</v>
      </c>
      <c r="T330">
        <f t="shared" si="49"/>
        <v>-3.0385185185185177</v>
      </c>
      <c r="U330" s="2">
        <f t="shared" si="44"/>
        <v>52.259629629629586</v>
      </c>
      <c r="W330">
        <v>2616.3000000000002</v>
      </c>
      <c r="X330">
        <f t="shared" si="45"/>
        <v>246574.49999999994</v>
      </c>
      <c r="Y330">
        <f>W330</f>
        <v>2616.3000000000002</v>
      </c>
      <c r="Z330">
        <v>15.798019694830149</v>
      </c>
    </row>
    <row r="331" spans="1:26" x14ac:dyDescent="0.35">
      <c r="A331">
        <v>5160</v>
      </c>
      <c r="B331">
        <v>23050</v>
      </c>
      <c r="C331" s="1">
        <v>43276</v>
      </c>
      <c r="G331">
        <v>19.8</v>
      </c>
      <c r="H331">
        <v>13.4</v>
      </c>
      <c r="I331">
        <v>24.7</v>
      </c>
      <c r="J331">
        <f t="shared" si="41"/>
        <v>3071.9999999999991</v>
      </c>
      <c r="K331">
        <f t="shared" si="42"/>
        <v>443.9</v>
      </c>
      <c r="M331">
        <v>0</v>
      </c>
      <c r="N331">
        <v>6.5</v>
      </c>
      <c r="O331">
        <f t="shared" si="47"/>
        <v>-6.5</v>
      </c>
      <c r="Q331">
        <v>299</v>
      </c>
      <c r="R331">
        <f t="shared" si="43"/>
        <v>0.52777777777777768</v>
      </c>
      <c r="S331">
        <f t="shared" si="48"/>
        <v>3.4305555555555549</v>
      </c>
      <c r="T331">
        <f t="shared" si="49"/>
        <v>-3.4305555555555549</v>
      </c>
      <c r="U331" s="2">
        <f t="shared" si="44"/>
        <v>48.829074074074029</v>
      </c>
      <c r="W331">
        <v>3307.8</v>
      </c>
      <c r="X331">
        <f t="shared" si="45"/>
        <v>249882.29999999993</v>
      </c>
      <c r="Y331">
        <f t="shared" si="46"/>
        <v>5924.1</v>
      </c>
      <c r="Z331">
        <v>15.793544175572009</v>
      </c>
    </row>
    <row r="332" spans="1:26" x14ac:dyDescent="0.35">
      <c r="A332">
        <v>5160</v>
      </c>
      <c r="B332">
        <v>23050</v>
      </c>
      <c r="C332" s="1">
        <v>43277</v>
      </c>
      <c r="G332">
        <v>22</v>
      </c>
      <c r="H332">
        <v>16.899999999999999</v>
      </c>
      <c r="I332">
        <v>27.2</v>
      </c>
      <c r="J332">
        <f t="shared" si="41"/>
        <v>3093.9999999999991</v>
      </c>
      <c r="K332">
        <f t="shared" si="42"/>
        <v>465.9</v>
      </c>
      <c r="M332">
        <v>0</v>
      </c>
      <c r="N332">
        <v>7.5</v>
      </c>
      <c r="O332">
        <f t="shared" si="47"/>
        <v>-7.5</v>
      </c>
      <c r="Q332">
        <v>300</v>
      </c>
      <c r="R332">
        <f t="shared" si="43"/>
        <v>0.51296296296296295</v>
      </c>
      <c r="S332">
        <f t="shared" si="48"/>
        <v>3.8472222222222223</v>
      </c>
      <c r="T332">
        <f t="shared" si="49"/>
        <v>-3.8472222222222223</v>
      </c>
      <c r="U332" s="2">
        <f t="shared" si="44"/>
        <v>44.981851851851808</v>
      </c>
      <c r="W332">
        <v>3296.7</v>
      </c>
      <c r="X332">
        <f t="shared" si="45"/>
        <v>253178.99999999994</v>
      </c>
      <c r="Y332">
        <f t="shared" si="46"/>
        <v>9220.7999999999993</v>
      </c>
      <c r="Z332">
        <v>15.787698182133378</v>
      </c>
    </row>
    <row r="333" spans="1:26" x14ac:dyDescent="0.35">
      <c r="A333">
        <v>5160</v>
      </c>
      <c r="B333">
        <v>23050</v>
      </c>
      <c r="C333" s="1">
        <v>43278</v>
      </c>
      <c r="G333">
        <v>22.9</v>
      </c>
      <c r="H333">
        <v>16.600000000000001</v>
      </c>
      <c r="I333">
        <v>28.8</v>
      </c>
      <c r="J333">
        <f t="shared" si="41"/>
        <v>3116.8999999999992</v>
      </c>
      <c r="K333">
        <f t="shared" si="42"/>
        <v>488.79999999999995</v>
      </c>
      <c r="M333">
        <v>0</v>
      </c>
      <c r="N333">
        <v>7.7</v>
      </c>
      <c r="O333">
        <f t="shared" si="47"/>
        <v>-7.7</v>
      </c>
      <c r="Q333">
        <v>301</v>
      </c>
      <c r="R333">
        <f t="shared" si="43"/>
        <v>0.49814814814814812</v>
      </c>
      <c r="S333">
        <f t="shared" si="48"/>
        <v>3.8357407407407407</v>
      </c>
      <c r="T333">
        <f t="shared" si="49"/>
        <v>-3.8357407407407407</v>
      </c>
      <c r="U333" s="2">
        <f t="shared" si="44"/>
        <v>41.146111111111068</v>
      </c>
      <c r="W333">
        <v>3295.3</v>
      </c>
      <c r="X333">
        <f t="shared" si="45"/>
        <v>256474.29999999993</v>
      </c>
      <c r="Y333">
        <f t="shared" si="46"/>
        <v>12516.099999999999</v>
      </c>
      <c r="Z333">
        <v>15.780486971835696</v>
      </c>
    </row>
    <row r="334" spans="1:26" x14ac:dyDescent="0.35">
      <c r="A334">
        <v>5160</v>
      </c>
      <c r="B334">
        <v>23050</v>
      </c>
      <c r="C334" s="1">
        <v>43279</v>
      </c>
      <c r="G334">
        <v>22.9</v>
      </c>
      <c r="H334">
        <v>18.100000000000001</v>
      </c>
      <c r="I334">
        <v>27.4</v>
      </c>
      <c r="J334">
        <f t="shared" si="41"/>
        <v>3139.7999999999993</v>
      </c>
      <c r="K334">
        <f t="shared" si="42"/>
        <v>511.69999999999993</v>
      </c>
      <c r="M334">
        <v>0</v>
      </c>
      <c r="N334">
        <v>8.3000000000000007</v>
      </c>
      <c r="O334">
        <f t="shared" si="47"/>
        <v>-8.3000000000000007</v>
      </c>
      <c r="Q334">
        <v>302</v>
      </c>
      <c r="R334">
        <f t="shared" si="43"/>
        <v>0.48333333333333328</v>
      </c>
      <c r="S334">
        <f t="shared" si="48"/>
        <v>4.0116666666666667</v>
      </c>
      <c r="T334">
        <f t="shared" si="49"/>
        <v>-4.0116666666666667</v>
      </c>
      <c r="U334" s="2">
        <f t="shared" si="44"/>
        <v>37.134444444444398</v>
      </c>
      <c r="W334">
        <v>3308.9</v>
      </c>
      <c r="X334">
        <f t="shared" si="45"/>
        <v>259783.19999999992</v>
      </c>
      <c r="Y334">
        <f t="shared" si="46"/>
        <v>15824.999999999998</v>
      </c>
      <c r="Z334">
        <v>15.771917004435894</v>
      </c>
    </row>
    <row r="335" spans="1:26" x14ac:dyDescent="0.35">
      <c r="A335">
        <v>5160</v>
      </c>
      <c r="B335">
        <v>23050</v>
      </c>
      <c r="C335" s="1">
        <v>43280</v>
      </c>
      <c r="G335">
        <v>23.8</v>
      </c>
      <c r="H335">
        <v>19</v>
      </c>
      <c r="I335">
        <v>27.7</v>
      </c>
      <c r="J335">
        <f t="shared" si="41"/>
        <v>3163.5999999999995</v>
      </c>
      <c r="K335">
        <f t="shared" si="42"/>
        <v>535.49999999999989</v>
      </c>
      <c r="M335">
        <v>0</v>
      </c>
      <c r="N335">
        <v>6.5</v>
      </c>
      <c r="O335">
        <f t="shared" si="47"/>
        <v>-6.5</v>
      </c>
      <c r="Q335">
        <v>303</v>
      </c>
      <c r="R335">
        <f t="shared" si="43"/>
        <v>0.46851851851851845</v>
      </c>
      <c r="S335">
        <f t="shared" si="48"/>
        <v>3.0453703703703701</v>
      </c>
      <c r="T335">
        <f t="shared" si="49"/>
        <v>-3.0453703703703701</v>
      </c>
      <c r="U335" s="2">
        <f t="shared" si="44"/>
        <v>34.089074074074027</v>
      </c>
      <c r="W335">
        <v>2251.1</v>
      </c>
      <c r="X335">
        <f t="shared" si="45"/>
        <v>262034.29999999993</v>
      </c>
      <c r="Y335">
        <f t="shared" si="46"/>
        <v>18076.099999999999</v>
      </c>
      <c r="Z335">
        <v>15.761995920661381</v>
      </c>
    </row>
    <row r="336" spans="1:26" x14ac:dyDescent="0.35">
      <c r="A336">
        <v>5160</v>
      </c>
      <c r="B336">
        <v>23050</v>
      </c>
      <c r="C336" s="1">
        <v>43281</v>
      </c>
      <c r="G336">
        <v>26.4</v>
      </c>
      <c r="H336">
        <v>20.399999999999999</v>
      </c>
      <c r="I336">
        <v>31.9</v>
      </c>
      <c r="J336">
        <f t="shared" si="41"/>
        <v>3189.9999999999995</v>
      </c>
      <c r="K336">
        <f t="shared" si="42"/>
        <v>561.89999999999986</v>
      </c>
      <c r="M336">
        <v>0</v>
      </c>
      <c r="N336">
        <v>6.9</v>
      </c>
      <c r="O336">
        <f t="shared" si="47"/>
        <v>-6.9</v>
      </c>
      <c r="Q336">
        <v>304</v>
      </c>
      <c r="R336">
        <f t="shared" si="43"/>
        <v>0.45370370370370372</v>
      </c>
      <c r="S336">
        <f t="shared" si="48"/>
        <v>3.130555555555556</v>
      </c>
      <c r="T336">
        <f t="shared" si="49"/>
        <v>-3.130555555555556</v>
      </c>
      <c r="U336" s="2">
        <f t="shared" si="44"/>
        <v>30.958518518518471</v>
      </c>
      <c r="W336">
        <v>2659</v>
      </c>
      <c r="X336">
        <f t="shared" si="45"/>
        <v>264693.29999999993</v>
      </c>
      <c r="Y336">
        <f t="shared" si="46"/>
        <v>20735.099999999999</v>
      </c>
      <c r="Z336">
        <v>15.750732517008247</v>
      </c>
    </row>
    <row r="337" spans="1:26" x14ac:dyDescent="0.35">
      <c r="A337">
        <v>5160</v>
      </c>
      <c r="B337">
        <v>23050</v>
      </c>
      <c r="C337" s="1">
        <v>43282</v>
      </c>
      <c r="G337">
        <v>26</v>
      </c>
      <c r="H337">
        <v>21.6</v>
      </c>
      <c r="I337">
        <v>30.1</v>
      </c>
      <c r="J337">
        <f t="shared" si="41"/>
        <v>3215.9999999999995</v>
      </c>
      <c r="K337">
        <f t="shared" si="42"/>
        <v>587.89999999999986</v>
      </c>
      <c r="M337">
        <v>12.4</v>
      </c>
      <c r="N337">
        <v>3.5</v>
      </c>
      <c r="O337">
        <f t="shared" si="47"/>
        <v>8.9</v>
      </c>
      <c r="Q337">
        <v>305</v>
      </c>
      <c r="R337">
        <f t="shared" si="43"/>
        <v>0.43888888888888888</v>
      </c>
      <c r="S337">
        <f t="shared" si="48"/>
        <v>1.536111111111111</v>
      </c>
      <c r="T337">
        <f t="shared" si="49"/>
        <v>10.863888888888889</v>
      </c>
      <c r="U337" s="2">
        <f t="shared" si="44"/>
        <v>41.822407407407361</v>
      </c>
      <c r="W337">
        <v>1326.6</v>
      </c>
      <c r="X337">
        <f t="shared" si="45"/>
        <v>266019.89999999991</v>
      </c>
      <c r="Y337">
        <f t="shared" si="46"/>
        <v>22061.699999999997</v>
      </c>
      <c r="Z337">
        <v>15.738136716978454</v>
      </c>
    </row>
    <row r="338" spans="1:26" x14ac:dyDescent="0.35">
      <c r="A338">
        <v>5160</v>
      </c>
      <c r="B338">
        <v>23050</v>
      </c>
      <c r="C338" s="1">
        <v>43283</v>
      </c>
      <c r="G338">
        <v>22.4</v>
      </c>
      <c r="H338">
        <v>18.8</v>
      </c>
      <c r="I338">
        <v>26.2</v>
      </c>
      <c r="J338">
        <f t="shared" si="41"/>
        <v>3238.3999999999996</v>
      </c>
      <c r="K338">
        <f t="shared" si="42"/>
        <v>610.29999999999984</v>
      </c>
      <c r="M338">
        <v>8.1</v>
      </c>
      <c r="N338">
        <v>4.2</v>
      </c>
      <c r="O338">
        <f t="shared" si="47"/>
        <v>3.8999999999999995</v>
      </c>
      <c r="Q338">
        <v>306</v>
      </c>
      <c r="R338">
        <f t="shared" si="43"/>
        <v>0.42407407407407405</v>
      </c>
      <c r="S338">
        <f t="shared" si="48"/>
        <v>1.7811111111111111</v>
      </c>
      <c r="T338">
        <f t="shared" si="49"/>
        <v>6.318888888888889</v>
      </c>
      <c r="U338" s="2">
        <f t="shared" si="44"/>
        <v>48.141296296296247</v>
      </c>
      <c r="W338">
        <v>1959.2</v>
      </c>
      <c r="X338">
        <f t="shared" si="45"/>
        <v>267979.09999999992</v>
      </c>
      <c r="Y338">
        <f t="shared" si="46"/>
        <v>24020.899999999998</v>
      </c>
      <c r="Z338">
        <v>15.724219538954539</v>
      </c>
    </row>
    <row r="339" spans="1:26" x14ac:dyDescent="0.35">
      <c r="A339">
        <v>5160</v>
      </c>
      <c r="B339">
        <v>23050</v>
      </c>
      <c r="C339" s="1">
        <v>43284</v>
      </c>
      <c r="G339">
        <v>21.6</v>
      </c>
      <c r="H339">
        <v>17.2</v>
      </c>
      <c r="I339">
        <v>26.4</v>
      </c>
      <c r="J339">
        <f t="shared" si="41"/>
        <v>3259.9999999999995</v>
      </c>
      <c r="K339">
        <f t="shared" si="42"/>
        <v>631.89999999999986</v>
      </c>
      <c r="M339">
        <v>0.3</v>
      </c>
      <c r="N339">
        <v>4.4000000000000004</v>
      </c>
      <c r="O339">
        <f t="shared" si="47"/>
        <v>-4.1000000000000005</v>
      </c>
      <c r="Q339">
        <v>307</v>
      </c>
      <c r="R339">
        <f t="shared" si="43"/>
        <v>0.40925925925925921</v>
      </c>
      <c r="S339">
        <f t="shared" si="48"/>
        <v>1.8007407407407408</v>
      </c>
      <c r="T339">
        <f t="shared" si="49"/>
        <v>-1.5007407407407407</v>
      </c>
      <c r="U339" s="2">
        <f t="shared" si="44"/>
        <v>46.640555555555508</v>
      </c>
      <c r="W339">
        <v>2156.9</v>
      </c>
      <c r="X339">
        <f t="shared" si="45"/>
        <v>270135.99999999994</v>
      </c>
      <c r="Y339">
        <f t="shared" si="46"/>
        <v>26177.8</v>
      </c>
      <c r="Z339">
        <v>15.708993060930023</v>
      </c>
    </row>
    <row r="340" spans="1:26" x14ac:dyDescent="0.35">
      <c r="A340">
        <v>5160</v>
      </c>
      <c r="B340">
        <v>23050</v>
      </c>
      <c r="C340" s="1">
        <v>43285</v>
      </c>
      <c r="G340">
        <v>22.2</v>
      </c>
      <c r="H340">
        <v>17.100000000000001</v>
      </c>
      <c r="I340">
        <v>26.5</v>
      </c>
      <c r="J340">
        <f t="shared" si="41"/>
        <v>3282.1999999999994</v>
      </c>
      <c r="K340">
        <f t="shared" si="42"/>
        <v>654.09999999999991</v>
      </c>
      <c r="M340">
        <v>10.5</v>
      </c>
      <c r="N340">
        <v>4.0999999999999996</v>
      </c>
      <c r="O340">
        <f t="shared" si="47"/>
        <v>6.4</v>
      </c>
      <c r="Q340">
        <v>308</v>
      </c>
      <c r="R340">
        <f t="shared" si="43"/>
        <v>0.39444444444444449</v>
      </c>
      <c r="S340">
        <f t="shared" si="48"/>
        <v>1.6172222222222223</v>
      </c>
      <c r="T340">
        <f t="shared" si="49"/>
        <v>8.8827777777777772</v>
      </c>
      <c r="U340" s="2">
        <f t="shared" si="44"/>
        <v>55.523333333333284</v>
      </c>
      <c r="W340">
        <v>1920.2</v>
      </c>
      <c r="X340">
        <f t="shared" si="45"/>
        <v>272056.19999999995</v>
      </c>
      <c r="Y340">
        <f t="shared" si="46"/>
        <v>28098</v>
      </c>
      <c r="Z340">
        <v>15.692470382331441</v>
      </c>
    </row>
    <row r="341" spans="1:26" x14ac:dyDescent="0.35">
      <c r="A341">
        <v>5160</v>
      </c>
      <c r="B341">
        <v>23050</v>
      </c>
      <c r="C341" s="1">
        <v>43286</v>
      </c>
      <c r="G341">
        <v>19.899999999999999</v>
      </c>
      <c r="H341">
        <v>17.399999999999999</v>
      </c>
      <c r="I341">
        <v>23.6</v>
      </c>
      <c r="J341">
        <f t="shared" si="41"/>
        <v>3302.0999999999995</v>
      </c>
      <c r="K341">
        <f t="shared" si="42"/>
        <v>673.99999999999989</v>
      </c>
      <c r="M341">
        <v>3.2</v>
      </c>
      <c r="N341">
        <v>1.7</v>
      </c>
      <c r="O341">
        <f t="shared" si="47"/>
        <v>1.5000000000000002</v>
      </c>
      <c r="Q341">
        <v>309</v>
      </c>
      <c r="R341">
        <f t="shared" si="43"/>
        <v>0.37962962962962965</v>
      </c>
      <c r="S341">
        <f t="shared" si="48"/>
        <v>0.64537037037037037</v>
      </c>
      <c r="T341">
        <f t="shared" si="49"/>
        <v>2.5546296296296296</v>
      </c>
      <c r="U341" s="2">
        <f t="shared" si="44"/>
        <v>58.077962962962914</v>
      </c>
      <c r="W341">
        <v>765.2</v>
      </c>
      <c r="X341">
        <f t="shared" si="45"/>
        <v>272821.39999999997</v>
      </c>
      <c r="Y341">
        <f t="shared" si="46"/>
        <v>28863.200000000001</v>
      </c>
      <c r="Z341">
        <v>15.674665583182453</v>
      </c>
    </row>
    <row r="342" spans="1:26" x14ac:dyDescent="0.35">
      <c r="A342">
        <v>5160</v>
      </c>
      <c r="B342">
        <v>23050</v>
      </c>
      <c r="C342" s="1">
        <v>43287</v>
      </c>
      <c r="G342">
        <v>21.8</v>
      </c>
      <c r="H342">
        <v>18.100000000000001</v>
      </c>
      <c r="I342">
        <v>26.5</v>
      </c>
      <c r="J342">
        <f t="shared" si="41"/>
        <v>3323.8999999999996</v>
      </c>
      <c r="K342">
        <f t="shared" si="42"/>
        <v>695.79999999999984</v>
      </c>
      <c r="M342">
        <v>0</v>
      </c>
      <c r="N342">
        <v>4.7</v>
      </c>
      <c r="O342">
        <f t="shared" si="47"/>
        <v>-4.7</v>
      </c>
      <c r="Q342">
        <v>310</v>
      </c>
      <c r="R342">
        <f t="shared" si="43"/>
        <v>0.36481481481481481</v>
      </c>
      <c r="S342">
        <f t="shared" si="48"/>
        <v>1.7146296296296297</v>
      </c>
      <c r="T342">
        <f t="shared" si="49"/>
        <v>-1.7146296296296297</v>
      </c>
      <c r="U342" s="2">
        <f t="shared" si="44"/>
        <v>56.363333333333287</v>
      </c>
      <c r="W342">
        <v>2297.1</v>
      </c>
      <c r="X342">
        <f t="shared" si="45"/>
        <v>275118.49999999994</v>
      </c>
      <c r="Y342">
        <f t="shared" si="46"/>
        <v>31160.3</v>
      </c>
      <c r="Z342">
        <v>15.655593680872709</v>
      </c>
    </row>
    <row r="343" spans="1:26" s="6" customFormat="1" ht="15" thickBot="1" x14ac:dyDescent="0.4">
      <c r="A343" s="6">
        <v>5160</v>
      </c>
      <c r="B343" s="6">
        <v>23050</v>
      </c>
      <c r="C343" s="7">
        <v>43288</v>
      </c>
      <c r="D343" s="6" t="s">
        <v>33</v>
      </c>
      <c r="G343" s="6">
        <v>23.5</v>
      </c>
      <c r="H343" s="6">
        <v>16.899999999999999</v>
      </c>
      <c r="I343" s="6">
        <v>29.3</v>
      </c>
      <c r="J343" s="6">
        <f t="shared" si="41"/>
        <v>3347.3999999999996</v>
      </c>
      <c r="K343">
        <f t="shared" si="42"/>
        <v>719.29999999999984</v>
      </c>
      <c r="M343" s="6">
        <v>0</v>
      </c>
      <c r="N343" s="6">
        <v>5.2</v>
      </c>
      <c r="O343" s="6">
        <f t="shared" si="47"/>
        <v>-5.2</v>
      </c>
      <c r="Q343" s="6">
        <v>311</v>
      </c>
      <c r="R343">
        <f t="shared" si="43"/>
        <v>0.35</v>
      </c>
      <c r="S343" s="6">
        <f t="shared" si="48"/>
        <v>1.8199999999999998</v>
      </c>
      <c r="T343" s="6">
        <f t="shared" si="49"/>
        <v>-1.8199999999999998</v>
      </c>
      <c r="U343" s="9">
        <f t="shared" si="44"/>
        <v>54.543333333333287</v>
      </c>
      <c r="W343" s="6">
        <v>2416.6</v>
      </c>
      <c r="X343" s="6">
        <f t="shared" si="45"/>
        <v>277535.09999999992</v>
      </c>
      <c r="Y343">
        <f t="shared" si="46"/>
        <v>33576.9</v>
      </c>
      <c r="Z343" s="6">
        <v>15.635270584803173</v>
      </c>
    </row>
    <row r="344" spans="1:26" x14ac:dyDescent="0.35">
      <c r="A344">
        <v>5160</v>
      </c>
      <c r="B344">
        <v>23050</v>
      </c>
      <c r="C344" s="1">
        <v>43289</v>
      </c>
      <c r="G344">
        <v>24.6</v>
      </c>
      <c r="H344">
        <v>18.8</v>
      </c>
      <c r="I344">
        <v>29.9</v>
      </c>
      <c r="J344">
        <f t="shared" si="41"/>
        <v>3371.9999999999995</v>
      </c>
      <c r="K344">
        <f t="shared" si="42"/>
        <v>743.89999999999986</v>
      </c>
      <c r="M344">
        <v>0</v>
      </c>
      <c r="N344">
        <v>5</v>
      </c>
      <c r="O344">
        <f t="shared" si="47"/>
        <v>-5</v>
      </c>
      <c r="S344">
        <f t="shared" si="48"/>
        <v>0</v>
      </c>
      <c r="T344">
        <f t="shared" si="49"/>
        <v>0</v>
      </c>
      <c r="U344" s="2">
        <f t="shared" si="44"/>
        <v>54.543333333333287</v>
      </c>
      <c r="W344">
        <v>2008.9</v>
      </c>
      <c r="X344">
        <f t="shared" si="45"/>
        <v>279543.99999999994</v>
      </c>
      <c r="Y344">
        <f t="shared" si="46"/>
        <v>35585.800000000003</v>
      </c>
    </row>
    <row r="345" spans="1:26" x14ac:dyDescent="0.35">
      <c r="A345">
        <v>5160</v>
      </c>
      <c r="B345">
        <v>23050</v>
      </c>
      <c r="C345" s="1">
        <v>43290</v>
      </c>
      <c r="G345">
        <v>22.4</v>
      </c>
      <c r="H345">
        <v>18.600000000000001</v>
      </c>
      <c r="I345">
        <v>26.1</v>
      </c>
      <c r="J345">
        <f t="shared" si="41"/>
        <v>3394.3999999999996</v>
      </c>
      <c r="K345">
        <f t="shared" si="42"/>
        <v>766.29999999999984</v>
      </c>
      <c r="M345">
        <v>0</v>
      </c>
      <c r="N345">
        <v>6.7</v>
      </c>
      <c r="O345">
        <f t="shared" si="47"/>
        <v>-6.7</v>
      </c>
      <c r="S345">
        <f t="shared" si="48"/>
        <v>0</v>
      </c>
      <c r="T345">
        <f t="shared" si="49"/>
        <v>0</v>
      </c>
      <c r="U345" s="2">
        <f t="shared" si="44"/>
        <v>54.543333333333287</v>
      </c>
      <c r="W345">
        <v>2794.7</v>
      </c>
      <c r="X345">
        <f t="shared" si="45"/>
        <v>282338.69999999995</v>
      </c>
      <c r="Y345">
        <f t="shared" si="46"/>
        <v>38380.5</v>
      </c>
    </row>
    <row r="346" spans="1:26" x14ac:dyDescent="0.35">
      <c r="A346">
        <v>5160</v>
      </c>
      <c r="B346">
        <v>23050</v>
      </c>
      <c r="C346" s="1">
        <v>43291</v>
      </c>
      <c r="G346">
        <v>20.5</v>
      </c>
      <c r="H346">
        <v>16.399999999999999</v>
      </c>
      <c r="I346">
        <v>24.8</v>
      </c>
      <c r="J346">
        <f t="shared" si="41"/>
        <v>3414.8999999999996</v>
      </c>
      <c r="K346">
        <f t="shared" si="42"/>
        <v>786.79999999999984</v>
      </c>
      <c r="M346">
        <v>0</v>
      </c>
      <c r="N346">
        <v>4.4000000000000004</v>
      </c>
      <c r="O346">
        <f t="shared" si="47"/>
        <v>-4.4000000000000004</v>
      </c>
      <c r="S346">
        <f t="shared" si="48"/>
        <v>0</v>
      </c>
      <c r="T346">
        <f t="shared" si="49"/>
        <v>0</v>
      </c>
      <c r="U346" s="2">
        <f t="shared" si="44"/>
        <v>54.543333333333287</v>
      </c>
      <c r="W346">
        <v>1866.6</v>
      </c>
      <c r="X346">
        <f t="shared" si="45"/>
        <v>284205.29999999993</v>
      </c>
      <c r="Y346">
        <f t="shared" si="46"/>
        <v>40247.1</v>
      </c>
    </row>
    <row r="347" spans="1:26" x14ac:dyDescent="0.35">
      <c r="A347">
        <v>5160</v>
      </c>
      <c r="B347">
        <v>23050</v>
      </c>
      <c r="C347" s="1">
        <v>43292</v>
      </c>
      <c r="G347">
        <v>17.899999999999999</v>
      </c>
      <c r="H347">
        <v>13.7</v>
      </c>
      <c r="I347">
        <v>22.4</v>
      </c>
      <c r="J347">
        <f t="shared" si="41"/>
        <v>3432.7999999999997</v>
      </c>
      <c r="K347">
        <f t="shared" si="42"/>
        <v>804.69999999999982</v>
      </c>
      <c r="M347">
        <v>0</v>
      </c>
      <c r="N347">
        <v>2.4</v>
      </c>
      <c r="O347">
        <f t="shared" si="47"/>
        <v>-2.4</v>
      </c>
      <c r="S347">
        <f t="shared" si="48"/>
        <v>0</v>
      </c>
      <c r="T347">
        <f t="shared" si="49"/>
        <v>0</v>
      </c>
      <c r="U347" s="2">
        <f t="shared" si="44"/>
        <v>54.543333333333287</v>
      </c>
      <c r="W347">
        <v>915.9</v>
      </c>
      <c r="X347">
        <f t="shared" si="45"/>
        <v>285121.19999999995</v>
      </c>
      <c r="Y347">
        <f t="shared" si="46"/>
        <v>41163</v>
      </c>
    </row>
    <row r="348" spans="1:26" x14ac:dyDescent="0.35">
      <c r="A348">
        <v>5160</v>
      </c>
      <c r="B348">
        <v>23050</v>
      </c>
      <c r="C348" s="1">
        <v>43293</v>
      </c>
      <c r="G348">
        <v>20.3</v>
      </c>
      <c r="H348">
        <v>14.4</v>
      </c>
      <c r="I348">
        <v>25</v>
      </c>
      <c r="J348">
        <f t="shared" si="41"/>
        <v>3453.1</v>
      </c>
      <c r="K348">
        <f t="shared" si="42"/>
        <v>824.99999999999977</v>
      </c>
      <c r="M348">
        <v>0</v>
      </c>
      <c r="N348">
        <v>3.2</v>
      </c>
      <c r="O348">
        <f t="shared" si="47"/>
        <v>-3.2</v>
      </c>
      <c r="S348">
        <f t="shared" si="48"/>
        <v>0</v>
      </c>
      <c r="T348">
        <f t="shared" si="49"/>
        <v>0</v>
      </c>
      <c r="U348" s="2">
        <f t="shared" si="44"/>
        <v>54.543333333333287</v>
      </c>
      <c r="W348">
        <v>1315</v>
      </c>
      <c r="X348">
        <f t="shared" si="45"/>
        <v>286436.19999999995</v>
      </c>
      <c r="Y348">
        <f t="shared" si="46"/>
        <v>42478</v>
      </c>
    </row>
    <row r="349" spans="1:26" x14ac:dyDescent="0.35">
      <c r="A349">
        <v>5160</v>
      </c>
      <c r="B349">
        <v>23050</v>
      </c>
      <c r="C349" s="1">
        <v>43294</v>
      </c>
      <c r="G349">
        <v>22.6</v>
      </c>
      <c r="H349">
        <v>16.5</v>
      </c>
      <c r="I349">
        <v>27.8</v>
      </c>
      <c r="J349">
        <f t="shared" si="41"/>
        <v>3475.7</v>
      </c>
      <c r="K349">
        <f t="shared" si="42"/>
        <v>847.5999999999998</v>
      </c>
      <c r="M349">
        <v>0</v>
      </c>
      <c r="N349">
        <v>5.3</v>
      </c>
      <c r="O349">
        <f t="shared" si="47"/>
        <v>-5.3</v>
      </c>
      <c r="S349">
        <f t="shared" si="48"/>
        <v>0</v>
      </c>
      <c r="T349">
        <f t="shared" si="49"/>
        <v>0</v>
      </c>
      <c r="U349" s="2">
        <f t="shared" si="44"/>
        <v>54.543333333333287</v>
      </c>
      <c r="W349">
        <v>2470.6999999999998</v>
      </c>
      <c r="X349">
        <f t="shared" si="45"/>
        <v>288906.89999999997</v>
      </c>
      <c r="Y349">
        <f t="shared" si="46"/>
        <v>44948.7</v>
      </c>
    </row>
    <row r="350" spans="1:26" x14ac:dyDescent="0.35">
      <c r="A350">
        <v>5160</v>
      </c>
      <c r="B350">
        <v>23050</v>
      </c>
      <c r="C350" s="1">
        <v>43295</v>
      </c>
      <c r="G350">
        <v>23.4</v>
      </c>
      <c r="H350">
        <v>18.2</v>
      </c>
      <c r="I350">
        <v>30</v>
      </c>
      <c r="J350">
        <f t="shared" si="41"/>
        <v>3499.1</v>
      </c>
      <c r="K350">
        <f t="shared" si="42"/>
        <v>870.99999999999977</v>
      </c>
      <c r="M350">
        <v>0</v>
      </c>
      <c r="N350">
        <v>5.2</v>
      </c>
      <c r="O350">
        <f t="shared" si="47"/>
        <v>-5.2</v>
      </c>
      <c r="S350">
        <f t="shared" si="48"/>
        <v>0</v>
      </c>
      <c r="T350">
        <f t="shared" si="49"/>
        <v>0</v>
      </c>
      <c r="U350" s="2">
        <f t="shared" si="44"/>
        <v>54.543333333333287</v>
      </c>
      <c r="W350">
        <v>2324.6</v>
      </c>
      <c r="X350">
        <f t="shared" si="45"/>
        <v>291231.49999999994</v>
      </c>
      <c r="Y350">
        <f t="shared" si="46"/>
        <v>47273.299999999996</v>
      </c>
    </row>
    <row r="351" spans="1:26" x14ac:dyDescent="0.35">
      <c r="A351">
        <v>5160</v>
      </c>
      <c r="B351">
        <v>23050</v>
      </c>
      <c r="C351" s="1">
        <v>43296</v>
      </c>
      <c r="G351">
        <v>24.6</v>
      </c>
      <c r="H351">
        <v>19.100000000000001</v>
      </c>
      <c r="I351">
        <v>31.1</v>
      </c>
      <c r="J351">
        <f t="shared" si="41"/>
        <v>3523.7</v>
      </c>
      <c r="K351">
        <f t="shared" si="42"/>
        <v>895.5999999999998</v>
      </c>
      <c r="M351">
        <v>0</v>
      </c>
      <c r="N351">
        <v>5.7</v>
      </c>
      <c r="O351">
        <f t="shared" si="47"/>
        <v>-5.7</v>
      </c>
      <c r="S351">
        <f t="shared" si="48"/>
        <v>0</v>
      </c>
      <c r="T351">
        <f t="shared" si="49"/>
        <v>0</v>
      </c>
      <c r="U351" s="2">
        <f t="shared" si="44"/>
        <v>54.543333333333287</v>
      </c>
      <c r="W351">
        <v>2561.8000000000002</v>
      </c>
      <c r="X351">
        <f t="shared" si="45"/>
        <v>293793.29999999993</v>
      </c>
      <c r="Y351">
        <f t="shared" si="46"/>
        <v>49835.1</v>
      </c>
    </row>
    <row r="352" spans="1:26" x14ac:dyDescent="0.35">
      <c r="A352">
        <v>5160</v>
      </c>
      <c r="B352">
        <v>23050</v>
      </c>
      <c r="C352" s="1">
        <v>43297</v>
      </c>
      <c r="G352">
        <v>23.5</v>
      </c>
      <c r="H352">
        <v>17.600000000000001</v>
      </c>
      <c r="I352">
        <v>29</v>
      </c>
      <c r="J352">
        <f t="shared" si="41"/>
        <v>3547.2</v>
      </c>
      <c r="K352">
        <f t="shared" si="42"/>
        <v>919.0999999999998</v>
      </c>
      <c r="M352">
        <v>0</v>
      </c>
      <c r="N352">
        <v>5.5</v>
      </c>
      <c r="O352">
        <f t="shared" si="47"/>
        <v>-5.5</v>
      </c>
      <c r="S352">
        <f t="shared" si="48"/>
        <v>0</v>
      </c>
      <c r="T352">
        <f t="shared" si="49"/>
        <v>0</v>
      </c>
      <c r="U352" s="2">
        <f t="shared" si="44"/>
        <v>54.543333333333287</v>
      </c>
      <c r="W352">
        <v>2143.8000000000002</v>
      </c>
      <c r="X352">
        <f t="shared" si="45"/>
        <v>295937.09999999992</v>
      </c>
      <c r="Y352">
        <f t="shared" si="46"/>
        <v>51978.9</v>
      </c>
    </row>
    <row r="353" spans="1:25" x14ac:dyDescent="0.35">
      <c r="A353">
        <v>5160</v>
      </c>
      <c r="B353">
        <v>23050</v>
      </c>
      <c r="C353" s="1">
        <v>43298</v>
      </c>
      <c r="G353">
        <v>21.3</v>
      </c>
      <c r="H353">
        <v>17.100000000000001</v>
      </c>
      <c r="I353">
        <v>25.5</v>
      </c>
      <c r="J353">
        <f t="shared" si="41"/>
        <v>3568.5</v>
      </c>
      <c r="K353">
        <f t="shared" si="42"/>
        <v>940.39999999999975</v>
      </c>
      <c r="M353">
        <v>0</v>
      </c>
      <c r="N353">
        <v>4</v>
      </c>
      <c r="O353">
        <f t="shared" si="47"/>
        <v>-4</v>
      </c>
      <c r="S353">
        <f t="shared" si="48"/>
        <v>0</v>
      </c>
      <c r="T353">
        <f t="shared" si="49"/>
        <v>0</v>
      </c>
      <c r="U353" s="2">
        <f t="shared" si="44"/>
        <v>54.543333333333287</v>
      </c>
      <c r="W353">
        <v>1557.5</v>
      </c>
      <c r="X353">
        <f t="shared" si="45"/>
        <v>297494.59999999992</v>
      </c>
      <c r="Y353">
        <f t="shared" si="46"/>
        <v>53536.4</v>
      </c>
    </row>
    <row r="354" spans="1:25" x14ac:dyDescent="0.35">
      <c r="A354">
        <v>5160</v>
      </c>
      <c r="B354">
        <v>23050</v>
      </c>
      <c r="C354" s="1">
        <v>43299</v>
      </c>
      <c r="G354">
        <v>22.6</v>
      </c>
      <c r="H354">
        <v>15.6</v>
      </c>
      <c r="I354">
        <v>28.5</v>
      </c>
      <c r="J354">
        <f t="shared" si="41"/>
        <v>3591.1</v>
      </c>
      <c r="K354">
        <f t="shared" si="42"/>
        <v>962.99999999999977</v>
      </c>
      <c r="M354">
        <v>0</v>
      </c>
      <c r="N354">
        <v>3.1</v>
      </c>
      <c r="O354">
        <f t="shared" si="47"/>
        <v>-3.1</v>
      </c>
      <c r="S354">
        <f t="shared" si="48"/>
        <v>0</v>
      </c>
      <c r="T354">
        <f t="shared" si="49"/>
        <v>0</v>
      </c>
      <c r="U354" s="2">
        <f t="shared" si="44"/>
        <v>54.543333333333287</v>
      </c>
      <c r="W354">
        <v>1495.7</v>
      </c>
      <c r="X354">
        <f t="shared" si="45"/>
        <v>298990.29999999993</v>
      </c>
      <c r="Y354">
        <f t="shared" si="46"/>
        <v>55032.1</v>
      </c>
    </row>
    <row r="355" spans="1:25" x14ac:dyDescent="0.35">
      <c r="A355">
        <v>5160</v>
      </c>
      <c r="B355">
        <v>23050</v>
      </c>
      <c r="C355" s="1">
        <v>43300</v>
      </c>
      <c r="G355">
        <v>23.8</v>
      </c>
      <c r="H355">
        <v>18.5</v>
      </c>
      <c r="I355">
        <v>30</v>
      </c>
      <c r="J355">
        <f t="shared" ref="J355:J367" si="50">J354+G355</f>
        <v>3614.9</v>
      </c>
      <c r="K355">
        <f t="shared" ref="K355:K367" si="51">K354+G355</f>
        <v>986.79999999999973</v>
      </c>
      <c r="M355">
        <v>8.3000000000000007</v>
      </c>
      <c r="N355">
        <v>4.8</v>
      </c>
      <c r="O355">
        <f t="shared" si="47"/>
        <v>3.5000000000000009</v>
      </c>
      <c r="S355">
        <f t="shared" si="48"/>
        <v>0</v>
      </c>
      <c r="T355">
        <f t="shared" si="49"/>
        <v>8.3000000000000007</v>
      </c>
      <c r="U355" s="2">
        <f t="shared" ref="U355:U367" si="52">MIN(U354+T355,150.8)</f>
        <v>62.843333333333291</v>
      </c>
      <c r="W355">
        <v>1948.7</v>
      </c>
      <c r="X355">
        <f t="shared" ref="X355:X367" si="53">X354+W355</f>
        <v>300938.99999999994</v>
      </c>
      <c r="Y355">
        <f t="shared" si="46"/>
        <v>56980.799999999996</v>
      </c>
    </row>
    <row r="356" spans="1:25" x14ac:dyDescent="0.35">
      <c r="A356">
        <v>5160</v>
      </c>
      <c r="B356">
        <v>23050</v>
      </c>
      <c r="C356" s="1">
        <v>43301</v>
      </c>
      <c r="G356">
        <v>19.600000000000001</v>
      </c>
      <c r="H356">
        <v>18.100000000000001</v>
      </c>
      <c r="I356">
        <v>22.8</v>
      </c>
      <c r="J356">
        <f t="shared" si="50"/>
        <v>3634.5</v>
      </c>
      <c r="K356">
        <f t="shared" si="51"/>
        <v>1006.3999999999997</v>
      </c>
      <c r="M356">
        <v>0</v>
      </c>
      <c r="N356">
        <v>3</v>
      </c>
      <c r="O356">
        <f t="shared" si="47"/>
        <v>-3</v>
      </c>
      <c r="S356">
        <f t="shared" si="48"/>
        <v>0</v>
      </c>
      <c r="T356">
        <f t="shared" si="49"/>
        <v>0</v>
      </c>
      <c r="U356" s="2">
        <f t="shared" si="52"/>
        <v>62.843333333333291</v>
      </c>
      <c r="W356">
        <v>1514.9</v>
      </c>
      <c r="X356">
        <f t="shared" si="53"/>
        <v>302453.89999999997</v>
      </c>
      <c r="Y356">
        <f t="shared" si="46"/>
        <v>58495.7</v>
      </c>
    </row>
    <row r="357" spans="1:25" x14ac:dyDescent="0.35">
      <c r="A357">
        <v>5160</v>
      </c>
      <c r="B357">
        <v>23050</v>
      </c>
      <c r="C357" s="1">
        <v>43302</v>
      </c>
      <c r="G357">
        <v>19.600000000000001</v>
      </c>
      <c r="H357">
        <v>15.2</v>
      </c>
      <c r="I357">
        <v>24.7</v>
      </c>
      <c r="J357">
        <f t="shared" si="50"/>
        <v>3654.1</v>
      </c>
      <c r="K357">
        <f t="shared" si="51"/>
        <v>1025.9999999999998</v>
      </c>
      <c r="M357">
        <v>0</v>
      </c>
      <c r="N357">
        <v>3.7</v>
      </c>
      <c r="O357">
        <f t="shared" si="47"/>
        <v>-3.7</v>
      </c>
      <c r="S357">
        <f t="shared" si="48"/>
        <v>0</v>
      </c>
      <c r="T357">
        <f t="shared" si="49"/>
        <v>0</v>
      </c>
      <c r="U357" s="2">
        <f t="shared" si="52"/>
        <v>62.843333333333291</v>
      </c>
      <c r="W357">
        <v>1817.9</v>
      </c>
      <c r="X357">
        <f t="shared" si="53"/>
        <v>304271.8</v>
      </c>
      <c r="Y357">
        <f t="shared" si="46"/>
        <v>60313.599999999999</v>
      </c>
    </row>
    <row r="358" spans="1:25" x14ac:dyDescent="0.35">
      <c r="A358">
        <v>5160</v>
      </c>
      <c r="B358">
        <v>23050</v>
      </c>
      <c r="C358" s="1">
        <v>43303</v>
      </c>
      <c r="G358">
        <v>20.5</v>
      </c>
      <c r="H358">
        <v>14.3</v>
      </c>
      <c r="I358">
        <v>26</v>
      </c>
      <c r="J358">
        <f t="shared" si="50"/>
        <v>3674.6</v>
      </c>
      <c r="K358">
        <f t="shared" si="51"/>
        <v>1046.4999999999998</v>
      </c>
      <c r="M358">
        <v>0</v>
      </c>
      <c r="N358">
        <v>4.7</v>
      </c>
      <c r="O358">
        <f t="shared" si="47"/>
        <v>-4.7</v>
      </c>
      <c r="S358">
        <f t="shared" si="48"/>
        <v>0</v>
      </c>
      <c r="T358">
        <f t="shared" si="49"/>
        <v>0</v>
      </c>
      <c r="U358" s="2">
        <f t="shared" si="52"/>
        <v>62.843333333333291</v>
      </c>
      <c r="W358">
        <v>2345.6</v>
      </c>
      <c r="X358">
        <f t="shared" si="53"/>
        <v>306617.39999999997</v>
      </c>
      <c r="Y358">
        <f t="shared" si="46"/>
        <v>62659.199999999997</v>
      </c>
    </row>
    <row r="359" spans="1:25" x14ac:dyDescent="0.35">
      <c r="A359">
        <v>5160</v>
      </c>
      <c r="B359">
        <v>23050</v>
      </c>
      <c r="C359" s="1">
        <v>43304</v>
      </c>
      <c r="G359">
        <v>23.4</v>
      </c>
      <c r="H359">
        <v>15.6</v>
      </c>
      <c r="I359">
        <v>29.3</v>
      </c>
      <c r="J359">
        <f t="shared" si="50"/>
        <v>3698</v>
      </c>
      <c r="K359">
        <f t="shared" si="51"/>
        <v>1069.8999999999999</v>
      </c>
      <c r="M359">
        <v>0</v>
      </c>
      <c r="N359">
        <v>4.7</v>
      </c>
      <c r="O359">
        <f t="shared" si="47"/>
        <v>-4.7</v>
      </c>
      <c r="S359">
        <f t="shared" si="48"/>
        <v>0</v>
      </c>
      <c r="T359">
        <f t="shared" si="49"/>
        <v>0</v>
      </c>
      <c r="U359" s="2">
        <f t="shared" si="52"/>
        <v>62.843333333333291</v>
      </c>
      <c r="W359">
        <v>2204.6</v>
      </c>
      <c r="X359">
        <f t="shared" si="53"/>
        <v>308821.99999999994</v>
      </c>
      <c r="Y359">
        <f t="shared" si="46"/>
        <v>64863.799999999996</v>
      </c>
    </row>
    <row r="360" spans="1:25" x14ac:dyDescent="0.35">
      <c r="A360">
        <v>5160</v>
      </c>
      <c r="B360">
        <v>23050</v>
      </c>
      <c r="C360" s="1">
        <v>43305</v>
      </c>
      <c r="G360">
        <v>24.9</v>
      </c>
      <c r="H360">
        <v>18.2</v>
      </c>
      <c r="I360">
        <v>32.1</v>
      </c>
      <c r="J360">
        <f t="shared" si="50"/>
        <v>3722.9</v>
      </c>
      <c r="K360">
        <f t="shared" si="51"/>
        <v>1094.8</v>
      </c>
      <c r="M360">
        <v>0</v>
      </c>
      <c r="N360">
        <v>2.9</v>
      </c>
      <c r="O360">
        <f t="shared" si="47"/>
        <v>-2.9</v>
      </c>
      <c r="S360">
        <f t="shared" si="48"/>
        <v>0</v>
      </c>
      <c r="T360">
        <f t="shared" si="49"/>
        <v>0</v>
      </c>
      <c r="U360" s="2">
        <f t="shared" si="52"/>
        <v>62.843333333333291</v>
      </c>
      <c r="W360">
        <v>1019.8</v>
      </c>
      <c r="X360">
        <f t="shared" si="53"/>
        <v>309841.79999999993</v>
      </c>
      <c r="Y360">
        <f t="shared" si="46"/>
        <v>65883.599999999991</v>
      </c>
    </row>
    <row r="361" spans="1:25" x14ac:dyDescent="0.35">
      <c r="A361">
        <v>5160</v>
      </c>
      <c r="B361">
        <v>23050</v>
      </c>
      <c r="C361" s="1">
        <v>43306</v>
      </c>
      <c r="G361">
        <v>25.4</v>
      </c>
      <c r="H361">
        <v>18.8</v>
      </c>
      <c r="I361">
        <v>31.9</v>
      </c>
      <c r="J361">
        <f t="shared" si="50"/>
        <v>3748.3</v>
      </c>
      <c r="K361">
        <f t="shared" si="51"/>
        <v>1120.2</v>
      </c>
      <c r="M361">
        <v>0</v>
      </c>
      <c r="N361">
        <v>6.2</v>
      </c>
      <c r="O361">
        <f t="shared" si="47"/>
        <v>-6.2</v>
      </c>
      <c r="S361">
        <f t="shared" si="48"/>
        <v>0</v>
      </c>
      <c r="T361">
        <f t="shared" si="49"/>
        <v>0</v>
      </c>
      <c r="U361" s="2">
        <f t="shared" si="52"/>
        <v>62.843333333333291</v>
      </c>
      <c r="W361">
        <v>2700.4</v>
      </c>
      <c r="X361">
        <f t="shared" si="53"/>
        <v>312542.19999999995</v>
      </c>
      <c r="Y361">
        <f t="shared" si="46"/>
        <v>68583.999999999985</v>
      </c>
    </row>
    <row r="362" spans="1:25" x14ac:dyDescent="0.35">
      <c r="A362">
        <v>5160</v>
      </c>
      <c r="B362">
        <v>23050</v>
      </c>
      <c r="C362" s="1">
        <v>43307</v>
      </c>
      <c r="G362">
        <v>27</v>
      </c>
      <c r="H362">
        <v>19.600000000000001</v>
      </c>
      <c r="I362">
        <v>33.9</v>
      </c>
      <c r="J362">
        <f t="shared" si="50"/>
        <v>3775.3</v>
      </c>
      <c r="K362">
        <f t="shared" si="51"/>
        <v>1147.2</v>
      </c>
      <c r="M362">
        <v>0</v>
      </c>
      <c r="N362">
        <v>5.4</v>
      </c>
      <c r="O362">
        <f t="shared" si="47"/>
        <v>-5.4</v>
      </c>
      <c r="S362">
        <f t="shared" si="48"/>
        <v>0</v>
      </c>
      <c r="T362">
        <f t="shared" si="49"/>
        <v>0</v>
      </c>
      <c r="U362" s="2">
        <f t="shared" si="52"/>
        <v>62.843333333333291</v>
      </c>
      <c r="W362">
        <v>1987.3</v>
      </c>
      <c r="X362">
        <f t="shared" si="53"/>
        <v>314529.49999999994</v>
      </c>
      <c r="Y362">
        <f t="shared" si="46"/>
        <v>70571.299999999988</v>
      </c>
    </row>
    <row r="363" spans="1:25" x14ac:dyDescent="0.35">
      <c r="A363">
        <v>5160</v>
      </c>
      <c r="B363">
        <v>23050</v>
      </c>
      <c r="C363" s="1">
        <v>43308</v>
      </c>
      <c r="G363">
        <v>24.5</v>
      </c>
      <c r="H363">
        <v>20.5</v>
      </c>
      <c r="I363">
        <v>31.6</v>
      </c>
      <c r="J363">
        <f t="shared" si="50"/>
        <v>3799.8</v>
      </c>
      <c r="K363">
        <f t="shared" si="51"/>
        <v>1171.7</v>
      </c>
      <c r="M363">
        <v>0</v>
      </c>
      <c r="N363">
        <v>5.5</v>
      </c>
      <c r="O363">
        <f t="shared" si="47"/>
        <v>-5.5</v>
      </c>
      <c r="S363">
        <f t="shared" si="48"/>
        <v>0</v>
      </c>
      <c r="T363">
        <f t="shared" si="49"/>
        <v>0</v>
      </c>
      <c r="U363" s="2">
        <f t="shared" si="52"/>
        <v>62.843333333333291</v>
      </c>
      <c r="W363">
        <v>2148.1</v>
      </c>
      <c r="X363">
        <f t="shared" si="53"/>
        <v>316677.59999999992</v>
      </c>
      <c r="Y363">
        <f t="shared" si="46"/>
        <v>72719.399999999994</v>
      </c>
    </row>
    <row r="364" spans="1:25" x14ac:dyDescent="0.35">
      <c r="A364">
        <v>5160</v>
      </c>
      <c r="B364">
        <v>23050</v>
      </c>
      <c r="C364" s="1">
        <v>43309</v>
      </c>
      <c r="G364">
        <v>21.5</v>
      </c>
      <c r="H364">
        <v>19.7</v>
      </c>
      <c r="I364">
        <v>24</v>
      </c>
      <c r="J364">
        <f t="shared" si="50"/>
        <v>3821.3</v>
      </c>
      <c r="K364">
        <f t="shared" si="51"/>
        <v>1193.2</v>
      </c>
      <c r="M364">
        <v>0</v>
      </c>
      <c r="N364">
        <v>5.4</v>
      </c>
      <c r="O364">
        <f t="shared" si="47"/>
        <v>-5.4</v>
      </c>
      <c r="S364">
        <f t="shared" si="48"/>
        <v>0</v>
      </c>
      <c r="T364">
        <f t="shared" si="49"/>
        <v>0</v>
      </c>
      <c r="U364" s="2">
        <f t="shared" si="52"/>
        <v>62.843333333333291</v>
      </c>
      <c r="W364">
        <v>1987.2</v>
      </c>
      <c r="X364">
        <f t="shared" si="53"/>
        <v>318664.79999999993</v>
      </c>
      <c r="Y364">
        <f t="shared" si="46"/>
        <v>74706.599999999991</v>
      </c>
    </row>
    <row r="365" spans="1:25" x14ac:dyDescent="0.35">
      <c r="A365">
        <v>5160</v>
      </c>
      <c r="B365">
        <v>23050</v>
      </c>
      <c r="C365" s="1">
        <v>43310</v>
      </c>
      <c r="G365">
        <v>21.4</v>
      </c>
      <c r="H365">
        <v>16.399999999999999</v>
      </c>
      <c r="I365">
        <v>26.3</v>
      </c>
      <c r="J365">
        <f t="shared" si="50"/>
        <v>3842.7000000000003</v>
      </c>
      <c r="K365">
        <f t="shared" si="51"/>
        <v>1214.6000000000001</v>
      </c>
      <c r="M365">
        <v>0</v>
      </c>
      <c r="N365">
        <v>4.4000000000000004</v>
      </c>
      <c r="O365">
        <f t="shared" si="47"/>
        <v>-4.4000000000000004</v>
      </c>
      <c r="S365">
        <f t="shared" si="48"/>
        <v>0</v>
      </c>
      <c r="T365">
        <f t="shared" si="49"/>
        <v>0</v>
      </c>
      <c r="U365" s="2">
        <f t="shared" si="52"/>
        <v>62.843333333333291</v>
      </c>
      <c r="W365">
        <v>1317.4</v>
      </c>
      <c r="X365">
        <f t="shared" si="53"/>
        <v>319982.19999999995</v>
      </c>
      <c r="Y365">
        <f t="shared" si="46"/>
        <v>76023.999999999985</v>
      </c>
    </row>
    <row r="366" spans="1:25" x14ac:dyDescent="0.35">
      <c r="A366">
        <v>5160</v>
      </c>
      <c r="B366">
        <v>23050</v>
      </c>
      <c r="C366" s="1">
        <v>43311</v>
      </c>
      <c r="G366">
        <v>22.1</v>
      </c>
      <c r="H366">
        <v>17.600000000000001</v>
      </c>
      <c r="I366">
        <v>26.3</v>
      </c>
      <c r="J366">
        <f t="shared" si="50"/>
        <v>3864.8</v>
      </c>
      <c r="K366">
        <f t="shared" si="51"/>
        <v>1236.7</v>
      </c>
      <c r="M366">
        <v>0</v>
      </c>
      <c r="N366">
        <v>3.1</v>
      </c>
      <c r="O366">
        <f t="shared" si="47"/>
        <v>-3.1</v>
      </c>
      <c r="S366">
        <f t="shared" si="48"/>
        <v>0</v>
      </c>
      <c r="T366">
        <f t="shared" si="49"/>
        <v>0</v>
      </c>
      <c r="U366" s="2">
        <f t="shared" si="52"/>
        <v>62.843333333333291</v>
      </c>
      <c r="W366">
        <v>1020.7</v>
      </c>
      <c r="X366">
        <f t="shared" si="53"/>
        <v>321002.89999999997</v>
      </c>
      <c r="Y366">
        <f t="shared" si="46"/>
        <v>77044.699999999983</v>
      </c>
    </row>
    <row r="367" spans="1:25" x14ac:dyDescent="0.35">
      <c r="A367">
        <v>5160</v>
      </c>
      <c r="B367">
        <v>23050</v>
      </c>
      <c r="C367" s="1">
        <v>43312</v>
      </c>
      <c r="G367">
        <v>22.3</v>
      </c>
      <c r="H367">
        <v>17.8</v>
      </c>
      <c r="I367">
        <v>26.4</v>
      </c>
      <c r="J367">
        <f t="shared" si="50"/>
        <v>3887.1000000000004</v>
      </c>
      <c r="K367">
        <f t="shared" si="51"/>
        <v>1259</v>
      </c>
      <c r="M367">
        <v>0</v>
      </c>
      <c r="N367">
        <v>3</v>
      </c>
      <c r="O367">
        <f t="shared" si="47"/>
        <v>-3</v>
      </c>
      <c r="S367">
        <f t="shared" si="48"/>
        <v>0</v>
      </c>
      <c r="T367">
        <f t="shared" si="49"/>
        <v>0</v>
      </c>
      <c r="U367" s="2">
        <f t="shared" si="52"/>
        <v>62.843333333333291</v>
      </c>
      <c r="W367">
        <v>1263.3</v>
      </c>
      <c r="X367">
        <f t="shared" si="53"/>
        <v>322266.19999999995</v>
      </c>
      <c r="Y367">
        <f t="shared" si="46"/>
        <v>78307.999999999985</v>
      </c>
    </row>
  </sheetData>
  <mergeCells count="10">
    <mergeCell ref="G2:L2"/>
    <mergeCell ref="M2:V2"/>
    <mergeCell ref="W2:AA2"/>
    <mergeCell ref="F308:F329"/>
    <mergeCell ref="F290:F307"/>
    <mergeCell ref="F267:F289"/>
    <mergeCell ref="F246:F266"/>
    <mergeCell ref="F217:F245"/>
    <mergeCell ref="F123:F216"/>
    <mergeCell ref="F33:F122"/>
  </mergeCells>
  <conditionalFormatting sqref="G4:I367">
    <cfRule type="cellIs" dxfId="35" priority="23" operator="lessThan">
      <formula>0</formula>
    </cfRule>
    <cfRule type="cellIs" dxfId="34" priority="24" operator="between">
      <formula>5</formula>
      <formula>0</formula>
    </cfRule>
    <cfRule type="cellIs" dxfId="33" priority="25" operator="greaterThanOrEqual">
      <formula>25</formula>
    </cfRule>
  </conditionalFormatting>
  <conditionalFormatting sqref="L34 L42 L44 L46">
    <cfRule type="cellIs" dxfId="32" priority="15" operator="lessThanOrEqual">
      <formula>0</formula>
    </cfRule>
    <cfRule type="cellIs" dxfId="31" priority="16" operator="lessThanOrEqual">
      <formula>5</formula>
    </cfRule>
  </conditionalFormatting>
  <conditionalFormatting sqref="L124 L132 L134 L136">
    <cfRule type="cellIs" dxfId="30" priority="11" operator="lessThanOrEqual">
      <formula>0</formula>
    </cfRule>
    <cfRule type="cellIs" dxfId="29" priority="12" operator="lessThanOrEqual">
      <formula>5</formula>
    </cfRule>
  </conditionalFormatting>
  <conditionalFormatting sqref="L218 L226 L228 L230">
    <cfRule type="cellIs" dxfId="28" priority="9" operator="lessThanOrEqual">
      <formula>0</formula>
    </cfRule>
    <cfRule type="cellIs" dxfId="27" priority="10" operator="lessThanOrEqual">
      <formula>5</formula>
    </cfRule>
  </conditionalFormatting>
  <conditionalFormatting sqref="L248 L256 L258 L260">
    <cfRule type="cellIs" dxfId="26" priority="7" operator="lessThanOrEqual">
      <formula>0</formula>
    </cfRule>
    <cfRule type="cellIs" dxfId="25" priority="8" operator="lessThanOrEqual">
      <formula>5</formula>
    </cfRule>
  </conditionalFormatting>
  <conditionalFormatting sqref="L268 L276 L278 L280">
    <cfRule type="cellIs" dxfId="24" priority="5" operator="lessThanOrEqual">
      <formula>0</formula>
    </cfRule>
    <cfRule type="cellIs" dxfId="23" priority="6" operator="lessThanOrEqual">
      <formula>5</formula>
    </cfRule>
  </conditionalFormatting>
  <conditionalFormatting sqref="L291 L301">
    <cfRule type="cellIs" dxfId="22" priority="3" operator="lessThanOrEqual">
      <formula>0</formula>
    </cfRule>
    <cfRule type="cellIs" dxfId="21" priority="4" operator="lessThanOrEqual">
      <formula>5</formula>
    </cfRule>
  </conditionalFormatting>
  <conditionalFormatting sqref="L309 L319">
    <cfRule type="cellIs" dxfId="20" priority="1" operator="lessThanOrEqual">
      <formula>0</formula>
    </cfRule>
    <cfRule type="cellIs" dxfId="19" priority="2" operator="lessThanOrEqual">
      <formula>5</formula>
    </cfRule>
  </conditionalFormatting>
  <conditionalFormatting sqref="O4:O367">
    <cfRule type="cellIs" dxfId="18" priority="26" operator="lessThan">
      <formula>0</formula>
    </cfRule>
  </conditionalFormatting>
  <conditionalFormatting sqref="T4:T367">
    <cfRule type="cellIs" dxfId="17" priority="21" operator="lessThan">
      <formula>0</formula>
    </cfRule>
  </conditionalFormatting>
  <conditionalFormatting sqref="U33">
    <cfRule type="cellIs" dxfId="16" priority="18" operator="lessThan">
      <formula>50.27</formula>
    </cfRule>
  </conditionalFormatting>
  <conditionalFormatting sqref="U34:U367">
    <cfRule type="cellIs" dxfId="15" priority="19" operator="equal">
      <formula>0</formula>
    </cfRule>
    <cfRule type="cellIs" dxfId="14" priority="20" operator="lessThanOrEqual">
      <formula>50.27</formula>
    </cfRule>
  </conditionalFormatting>
  <conditionalFormatting sqref="V34">
    <cfRule type="cellIs" dxfId="13" priority="13" operator="equal">
      <formula>0</formula>
    </cfRule>
    <cfRule type="cellIs" dxfId="12" priority="14" operator="lessThanOrEqual">
      <formula>63.2</formula>
    </cfRule>
  </conditionalFormatting>
  <conditionalFormatting sqref="W4:W367">
    <cfRule type="cellIs" dxfId="11" priority="22" operator="lessThan">
      <formula>900</formula>
    </cfRule>
  </conditionalFormatting>
  <conditionalFormatting sqref="Z33:Z343">
    <cfRule type="cellIs" dxfId="10" priority="17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N+ exp</vt:lpstr>
      <vt:lpstr>N+</vt:lpstr>
      <vt:lpstr>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Léa Desbats</cp:lastModifiedBy>
  <dcterms:created xsi:type="dcterms:W3CDTF">2019-10-31T10:09:50Z</dcterms:created>
  <dcterms:modified xsi:type="dcterms:W3CDTF">2025-12-10T10:28:05Z</dcterms:modified>
</cp:coreProperties>
</file>